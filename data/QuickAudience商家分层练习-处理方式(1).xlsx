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24" tabRatio="500" activeTab="3"/>
  </bookViews>
  <sheets>
    <sheet name="封面说明" sheetId="1" r:id="rId1"/>
    <sheet name="字段字典与作业指引" sheetId="2" r:id="rId2"/>
    <sheet name="打分卡" sheetId="3" r:id="rId3"/>
    <sheet name="商家明细" sheetId="4" r:id="rId4"/>
    <sheet name="分层结果与业务动作" sheetId="5" r:id="rId5"/>
  </sheets>
  <definedNames>
    <definedName name="_xlnm._FilterDatabase" localSheetId="3" hidden="1">商家明细!$A$1:$AU$2001</definedName>
  </definedNames>
  <calcPr calcId="144525"/>
</workbook>
</file>

<file path=xl/sharedStrings.xml><?xml version="1.0" encoding="utf-8"?>
<sst xmlns="http://schemas.openxmlformats.org/spreadsheetml/2006/main" count="20252" uniqueCount="5056">
  <si>
    <r>
      <rPr>
        <b/>
        <sz val="20"/>
        <rFont val="Cambria"/>
        <charset val="1"/>
      </rPr>
      <t xml:space="preserve">Quick Audience </t>
    </r>
    <r>
      <rPr>
        <b/>
        <sz val="20"/>
        <rFont val="Noto Sans CJK SC"/>
        <charset val="134"/>
      </rPr>
      <t xml:space="preserve">商家分层练习 </t>
    </r>
    <r>
      <rPr>
        <b/>
        <sz val="20"/>
        <rFont val="Cambria"/>
        <charset val="1"/>
      </rPr>
      <t xml:space="preserve">· </t>
    </r>
    <r>
      <rPr>
        <b/>
        <sz val="20"/>
        <rFont val="Noto Sans CJK SC"/>
        <charset val="134"/>
      </rPr>
      <t>模拟数据（</t>
    </r>
    <r>
      <rPr>
        <b/>
        <sz val="20"/>
        <rFont val="Cambria"/>
        <charset val="1"/>
      </rPr>
      <t>Mock Data</t>
    </r>
    <r>
      <rPr>
        <b/>
        <sz val="20"/>
        <rFont val="Noto Sans CJK SC"/>
        <charset val="134"/>
      </rPr>
      <t>）</t>
    </r>
  </si>
  <si>
    <t>瓴羊 Quick Audience：数据×AI 智能营销平台｜收入 = 系统订阅 + 通道按消耗计费（短信 / AI外呼 / Push / 企微）</t>
  </si>
  <si>
    <t>关键数据概览</t>
  </si>
  <si>
    <t>商家总数（家）</t>
  </si>
  <si>
    <t>有消耗商家（家）</t>
  </si>
  <si>
    <t>未激活商家（近12月消耗为0）</t>
  </si>
  <si>
    <t>近12月通道总消耗（元）</t>
  </si>
  <si>
    <t>年消耗&gt;500万的商家（SKA候选）</t>
  </si>
  <si>
    <t>年消耗&gt;100万商家的消耗占比</t>
  </si>
  <si>
    <r>
      <rPr>
        <b/>
        <sz val="13"/>
        <rFont val="Cambria"/>
        <charset val="1"/>
      </rPr>
      <t xml:space="preserve">Sheet </t>
    </r>
    <r>
      <rPr>
        <b/>
        <sz val="13"/>
        <rFont val="Noto Sans CJK SC"/>
        <charset val="134"/>
      </rPr>
      <t>导航</t>
    </r>
  </si>
  <si>
    <t>字段字典与作业指引</t>
  </si>
  <si>
    <r>
      <rPr>
        <sz val="11"/>
        <color rgb="FF595959"/>
        <rFont val="Cambria"/>
        <charset val="1"/>
      </rPr>
      <t>24</t>
    </r>
    <r>
      <rPr>
        <sz val="11"/>
        <color rgb="FF595959"/>
        <rFont val="Noto Sans CJK SC"/>
        <charset val="134"/>
      </rPr>
      <t xml:space="preserve">个字段口径说明 </t>
    </r>
    <r>
      <rPr>
        <sz val="11"/>
        <color rgb="FF595959"/>
        <rFont val="Cambria"/>
        <charset val="1"/>
      </rPr>
      <t xml:space="preserve">+ </t>
    </r>
    <r>
      <rPr>
        <sz val="11"/>
        <color rgb="FF595959"/>
        <rFont val="Noto Sans CJK SC"/>
        <charset val="134"/>
      </rPr>
      <t>四种分层方法的练习取数建议</t>
    </r>
  </si>
  <si>
    <t>打分卡</t>
  </si>
  <si>
    <t>指标体系 · 权重 · 分档口径 · 分层映射规则（公式的配置源）</t>
  </si>
  <si>
    <t>商家明细</t>
  </si>
  <si>
    <r>
      <rPr>
        <sz val="11"/>
        <color rgb="FF595959"/>
        <rFont val="Cambria"/>
        <charset val="1"/>
      </rPr>
      <t>2000</t>
    </r>
    <r>
      <rPr>
        <sz val="11"/>
        <color rgb="FF595959"/>
        <rFont val="Noto Sans CJK SC"/>
        <charset val="134"/>
      </rPr>
      <t xml:space="preserve">家商家明细 </t>
    </r>
    <r>
      <rPr>
        <sz val="11"/>
        <color rgb="FF595959"/>
        <rFont val="Cambria"/>
        <charset val="1"/>
      </rPr>
      <t>+ 18</t>
    </r>
    <r>
      <rPr>
        <sz val="11"/>
        <color rgb="FF595959"/>
        <rFont val="Noto Sans CJK SC"/>
        <charset val="134"/>
      </rPr>
      <t>列内嵌公式（档位分→综合分→层级→通道策略）</t>
    </r>
  </si>
  <si>
    <t>分层结果与业务动作</t>
  </si>
  <si>
    <t>分层汇总统计（活公式）+ 结构验证 + 分层×通道动作表</t>
  </si>
  <si>
    <t>说明：本数据为模拟生成，仅用于课堂分层练习，与瓴羊及任何真实客户数据无关。</t>
  </si>
  <si>
    <t>使用路径：打分卡（理解口径）→ 商家明细（看公式怎么算）→ 分层结果与业务动作（看结果怎么接业务）。</t>
  </si>
  <si>
    <t>字段字典（24个原始字段 + 1个合计公式列）</t>
  </si>
  <si>
    <t>字段</t>
  </si>
  <si>
    <t>口径说明</t>
  </si>
  <si>
    <t>商家ID / 商家名称</t>
  </si>
  <si>
    <t>商家唯一标识与虚构品牌名（脱敏模拟）</t>
  </si>
  <si>
    <t>所属行业</t>
  </si>
  <si>
    <t>快消食品/美妆个护/消费电子/母婴/服饰/家居家装/医药健康/零售连锁</t>
  </si>
  <si>
    <t>所在区域 / 客户来源</t>
  </si>
  <si>
    <t>华东等7大区；直客或渠道代理</t>
  </si>
  <si>
    <t>签约时间 / 合作月数</t>
  </si>
  <si>
    <t>首次签约日期及至今月数</t>
  </si>
  <si>
    <t>生命周期阶段</t>
  </si>
  <si>
    <t>潜客试用/首次订购客户/增购客户/续订客户/流失预警/已流失</t>
  </si>
  <si>
    <t>合同类型</t>
  </si>
  <si>
    <t>订阅+消耗 或 纯消耗</t>
  </si>
  <si>
    <t>近12月消耗-短信/AI外呼/Push及企微(元)</t>
  </si>
  <si>
    <t>按通道拆分的近12个月消耗金额（消耗性收入）</t>
  </si>
  <si>
    <t>近12月消耗合计(元)</t>
  </si>
  <si>
    <t>三通道消耗合计（公式列）</t>
  </si>
  <si>
    <t>V(价值贡献）</t>
  </si>
  <si>
    <t>月均发送量(万条) / 月均活跃发送天数(天)</t>
  </si>
  <si>
    <t>触达量级与使用活跃度</t>
  </si>
  <si>
    <t>A（活跃度）</t>
  </si>
  <si>
    <t>触达场景数(个)</t>
  </si>
  <si>
    <t>使用的触达场景数量（短信/卡片短信/外呼/Push/企微/Webhook，0-6）</t>
  </si>
  <si>
    <t>数据接入深度(0-3级)</t>
  </si>
  <si>
    <r>
      <rPr>
        <sz val="10"/>
        <rFont val="Cambria"/>
        <charset val="1"/>
      </rPr>
      <t>0</t>
    </r>
    <r>
      <rPr>
        <sz val="10"/>
        <rFont val="Noto Sans CJK SC"/>
        <charset val="134"/>
      </rPr>
      <t>未接入</t>
    </r>
    <r>
      <rPr>
        <sz val="10"/>
        <rFont val="Cambria"/>
        <charset val="1"/>
      </rPr>
      <t>/1</t>
    </r>
    <r>
      <rPr>
        <sz val="10"/>
        <rFont val="Noto Sans CJK SC"/>
        <charset val="134"/>
      </rPr>
      <t>仅订单</t>
    </r>
    <r>
      <rPr>
        <sz val="10"/>
        <rFont val="Cambria"/>
        <charset val="1"/>
      </rPr>
      <t>/2</t>
    </r>
    <r>
      <rPr>
        <sz val="10"/>
        <rFont val="Noto Sans CJK SC"/>
        <charset val="134"/>
      </rPr>
      <t>订单</t>
    </r>
    <r>
      <rPr>
        <sz val="10"/>
        <rFont val="Cambria"/>
        <charset val="1"/>
      </rPr>
      <t>+</t>
    </r>
    <r>
      <rPr>
        <sz val="10"/>
        <rFont val="Noto Sans CJK SC"/>
        <charset val="134"/>
      </rPr>
      <t>行为</t>
    </r>
    <r>
      <rPr>
        <sz val="10"/>
        <rFont val="Cambria"/>
        <charset val="1"/>
      </rPr>
      <t>/3</t>
    </r>
    <r>
      <rPr>
        <sz val="10"/>
        <rFont val="Noto Sans CJK SC"/>
        <charset val="134"/>
      </rPr>
      <t>全渠道一方数据</t>
    </r>
  </si>
  <si>
    <t>私域会员规模(万人) / 会员月活跃度(%)</t>
  </si>
  <si>
    <t>商家可触达的会员资产规模与活跃水平</t>
  </si>
  <si>
    <t>P(潜力）</t>
  </si>
  <si>
    <t>营销团队人数(人) / 年度营销预算(万元)</t>
  </si>
  <si>
    <t>商家营销组织与预算配置</t>
  </si>
  <si>
    <t>近12月大促参与次数(次)</t>
  </si>
  <si>
    <r>
      <rPr>
        <sz val="10"/>
        <rFont val="Cambria"/>
        <charset val="1"/>
      </rPr>
      <t>618/</t>
    </r>
    <r>
      <rPr>
        <sz val="10"/>
        <rFont val="Noto Sans CJK SC"/>
        <charset val="134"/>
      </rPr>
      <t>双</t>
    </r>
    <r>
      <rPr>
        <sz val="10"/>
        <rFont val="Cambria"/>
        <charset val="1"/>
      </rPr>
      <t>11/</t>
    </r>
    <r>
      <rPr>
        <sz val="10"/>
        <rFont val="Noto Sans CJK SC"/>
        <charset val="134"/>
      </rPr>
      <t>年货节等平台大促的参与次数</t>
    </r>
  </si>
  <si>
    <t>续费次数(次)</t>
  </si>
  <si>
    <t>历史续费次数</t>
  </si>
  <si>
    <t>H(健康度）</t>
  </si>
  <si>
    <t>近3月消耗环比趋势</t>
  </si>
  <si>
    <t>上升/持平/下降/连续下降</t>
  </si>
  <si>
    <t>是否战略客户</t>
  </si>
  <si>
    <t>总部签约的战略客户（分层时需业务校准）</t>
  </si>
  <si>
    <t>年度营销预算(万元)</t>
  </si>
  <si>
    <t>可拓展预算空间  =  年度营销预算  −  近 12 月消耗</t>
  </si>
  <si>
    <t>四种分层方法 · 练习取数指引</t>
  </si>
  <si>
    <t>分层方法</t>
  </si>
  <si>
    <t>建议取数字段</t>
  </si>
  <si>
    <t>练习要点</t>
  </si>
  <si>
    <r>
      <rPr>
        <sz val="10"/>
        <rFont val="Cambria"/>
        <charset val="1"/>
      </rPr>
      <t xml:space="preserve">01 </t>
    </r>
    <r>
      <rPr>
        <sz val="10"/>
        <rFont val="Noto Sans CJK SC"/>
        <charset val="134"/>
      </rPr>
      <t>单一指标分层</t>
    </r>
  </si>
  <si>
    <t>近12月消耗合计（M列）</t>
  </si>
  <si>
    <t>对齐课件短信案例：用Excel直方图看消耗分布→自定阈值切出SKA/KA/腰部/基础/未激活→验证金字塔结构</t>
  </si>
  <si>
    <r>
      <rPr>
        <sz val="10"/>
        <rFont val="Cambria"/>
        <charset val="1"/>
      </rPr>
      <t xml:space="preserve">02 </t>
    </r>
    <r>
      <rPr>
        <sz val="10"/>
        <rFont val="Noto Sans CJK SC"/>
        <charset val="134"/>
      </rPr>
      <t>四象限法</t>
    </r>
  </si>
  <si>
    <t>价值轴：合计消耗、场景数、接入深度；潜力轴：会员规模、预算、团队、大促次数</t>
  </si>
  <si>
    <t>分别给两轴定义高/低档→四象限落位（核心经营/成熟守护/培育成长/自助长尾）→逐象限出策略；注意新签&lt;3个月商家看潜力不看消耗</t>
  </si>
  <si>
    <r>
      <rPr>
        <sz val="10"/>
        <rFont val="Cambria"/>
        <charset val="1"/>
      </rPr>
      <t xml:space="preserve">03 </t>
    </r>
    <r>
      <rPr>
        <sz val="10"/>
        <rFont val="Noto Sans CJK SC"/>
        <charset val="134"/>
      </rPr>
      <t>客户生命周期</t>
    </r>
  </si>
  <si>
    <t>生命周期阶段（H列）+ 近3月趋势（X列）+ 合作月数（G列）</t>
  </si>
  <si>
    <t>按潜客/首购/增购/续订/流失分层→各阶段核心目标与运营动作→找出流失预警名单</t>
  </si>
  <si>
    <r>
      <rPr>
        <sz val="10"/>
        <rFont val="Cambria"/>
        <charset val="1"/>
      </rPr>
      <t xml:space="preserve">04 </t>
    </r>
    <r>
      <rPr>
        <sz val="10"/>
        <rFont val="Noto Sans CJK SC"/>
        <charset val="134"/>
      </rPr>
      <t>综合打分制</t>
    </r>
  </si>
  <si>
    <t>自选4-6个维度（建议：消耗、活跃天数、场景数、接入深度、会员规模、大促次数）</t>
  </si>
  <si>
    <t>自行设定权重与档位打分规则→加权得出综合分→按分数段切层→说明设计理由</t>
  </si>
  <si>
    <t>提示：数据中刻意埋了『高潜新签』（低消耗高潜力）与『衰退KA』（连续下降）两类典型商家，适合用来讨论四象限与升降级规则。</t>
  </si>
  <si>
    <t>商家分层打分卡（指标体系 · 权重 · 分档口径）</t>
  </si>
  <si>
    <t>权重逻辑：结果指标定层级（价值40+活跃20），先行指标定倾斜（潜力30），风险指标管降级（健康10）。档界锚定有消耗商家的P25/P50/P75/P90分位数。</t>
  </si>
  <si>
    <t>一级维度</t>
  </si>
  <si>
    <t>子指标</t>
  </si>
  <si>
    <t>子权重</t>
  </si>
  <si>
    <t>单位</t>
  </si>
  <si>
    <t>档界1</t>
  </si>
  <si>
    <t>档界2</t>
  </si>
  <si>
    <t>档界3</t>
  </si>
  <si>
    <t>档界4</t>
  </si>
  <si>
    <t>档界5</t>
  </si>
  <si>
    <r>
      <rPr>
        <b/>
        <sz val="10"/>
        <color rgb="FFFFFFFF"/>
        <rFont val="Cambria"/>
        <charset val="1"/>
      </rPr>
      <t>1</t>
    </r>
    <r>
      <rPr>
        <b/>
        <sz val="10"/>
        <color rgb="FFFFFFFF"/>
        <rFont val="Noto Sans CJK SC"/>
        <charset val="134"/>
      </rPr>
      <t>分</t>
    </r>
  </si>
  <si>
    <r>
      <rPr>
        <b/>
        <sz val="10"/>
        <color rgb="FFFFFFFF"/>
        <rFont val="Cambria"/>
        <charset val="1"/>
      </rPr>
      <t>2</t>
    </r>
    <r>
      <rPr>
        <b/>
        <sz val="10"/>
        <color rgb="FFFFFFFF"/>
        <rFont val="Noto Sans CJK SC"/>
        <charset val="134"/>
      </rPr>
      <t>分</t>
    </r>
  </si>
  <si>
    <r>
      <rPr>
        <b/>
        <sz val="10"/>
        <color rgb="FFFFFFFF"/>
        <rFont val="Cambria"/>
        <charset val="1"/>
      </rPr>
      <t>3</t>
    </r>
    <r>
      <rPr>
        <b/>
        <sz val="10"/>
        <color rgb="FFFFFFFF"/>
        <rFont val="Noto Sans CJK SC"/>
        <charset val="134"/>
      </rPr>
      <t>分</t>
    </r>
  </si>
  <si>
    <r>
      <rPr>
        <b/>
        <sz val="10"/>
        <color rgb="FFFFFFFF"/>
        <rFont val="Cambria"/>
        <charset val="1"/>
      </rPr>
      <t>4</t>
    </r>
    <r>
      <rPr>
        <b/>
        <sz val="10"/>
        <color rgb="FFFFFFFF"/>
        <rFont val="Noto Sans CJK SC"/>
        <charset val="134"/>
      </rPr>
      <t>分</t>
    </r>
  </si>
  <si>
    <r>
      <rPr>
        <b/>
        <sz val="10"/>
        <color rgb="FFFFFFFF"/>
        <rFont val="Cambria"/>
        <charset val="1"/>
      </rPr>
      <t>5</t>
    </r>
    <r>
      <rPr>
        <b/>
        <sz val="10"/>
        <color rgb="FFFFFFFF"/>
        <rFont val="Noto Sans CJK SC"/>
        <charset val="134"/>
      </rPr>
      <t>分</t>
    </r>
  </si>
  <si>
    <t>价值贡献</t>
  </si>
  <si>
    <t>近12月消耗合计</t>
  </si>
  <si>
    <t>元</t>
  </si>
  <si>
    <t>触达场景数</t>
  </si>
  <si>
    <t>个</t>
  </si>
  <si>
    <t>数据接入深度</t>
  </si>
  <si>
    <t>级</t>
  </si>
  <si>
    <t>使用活跃</t>
  </si>
  <si>
    <t>月均发送量</t>
  </si>
  <si>
    <t>万条</t>
  </si>
  <si>
    <t>月均活跃发送天数</t>
  </si>
  <si>
    <t>天</t>
  </si>
  <si>
    <t>增长潜力</t>
  </si>
  <si>
    <t>私域会员规模</t>
  </si>
  <si>
    <t>万人</t>
  </si>
  <si>
    <t>年度营销预算</t>
  </si>
  <si>
    <t>万元</t>
  </si>
  <si>
    <t>近12月大促参与次数</t>
  </si>
  <si>
    <t>次</t>
  </si>
  <si>
    <t>营销团队人数</t>
  </si>
  <si>
    <t>人</t>
  </si>
  <si>
    <t>健康度</t>
  </si>
  <si>
    <t>文本</t>
  </si>
  <si>
    <t>连续下降=1分 / 下降=2分 / 持平=3分 / 上升=5分（文本映射）</t>
  </si>
  <si>
    <t>续费次数</t>
  </si>
  <si>
    <t>分层映射规则</t>
  </si>
  <si>
    <t>SKA</t>
  </si>
  <si>
    <t>综合分 ≥ 90</t>
  </si>
  <si>
    <t>KA</t>
  </si>
  <si>
    <r>
      <rPr>
        <sz val="10"/>
        <rFont val="Cambria"/>
        <charset val="1"/>
      </rPr>
      <t xml:space="preserve">75 ≤ </t>
    </r>
    <r>
      <rPr>
        <sz val="10"/>
        <rFont val="Noto Sans CJK SC"/>
        <charset val="134"/>
      </rPr>
      <t xml:space="preserve">综合分 </t>
    </r>
    <r>
      <rPr>
        <sz val="10"/>
        <rFont val="Cambria"/>
        <charset val="1"/>
      </rPr>
      <t>&lt; 90</t>
    </r>
  </si>
  <si>
    <t>腰部</t>
  </si>
  <si>
    <r>
      <rPr>
        <sz val="10"/>
        <rFont val="Cambria"/>
        <charset val="1"/>
      </rPr>
      <t xml:space="preserve">40 ≤ </t>
    </r>
    <r>
      <rPr>
        <sz val="10"/>
        <rFont val="Noto Sans CJK SC"/>
        <charset val="134"/>
      </rPr>
      <t xml:space="preserve">综合分 </t>
    </r>
    <r>
      <rPr>
        <sz val="10"/>
        <rFont val="Cambria"/>
        <charset val="1"/>
      </rPr>
      <t>&lt; 75</t>
    </r>
  </si>
  <si>
    <t>基础长尾</t>
  </si>
  <si>
    <t>综合分 &lt; 40（有消耗）</t>
  </si>
  <si>
    <t>新客观察期</t>
  </si>
  <si>
    <t>消耗=0 且 合作月数&lt;3（高潜新签培育池）</t>
  </si>
  <si>
    <t>未激活</t>
  </si>
  <si>
    <t>消耗=0 且 合作月数≥3（沉默/流失池）</t>
  </si>
  <si>
    <t>计算口径</t>
  </si>
  <si>
    <t>① 维度分 = Σ(子权重 × 档位分) ÷ 5，折算为：价值分0-40、活跃分0-20、潜力分0-30、健康分0-10</t>
  </si>
  <si>
    <t>② 综合分 = 价值分 + 活跃分 + 潜力分 + 健康分（百分制）</t>
  </si>
  <si>
    <t>③ 新客修正：合作月数&lt;3个月的商家，价值分按 潜力分÷30×40 折算（看潜力不看消耗）</t>
  </si>
  <si>
    <t>④ 一票否决：近12月消耗=0 不参与评分分层，按合作月数分流至新客观察期/未激活</t>
  </si>
  <si>
    <t>⑤ 预警规则：近3月趋势=连续下降 → 打「连续下降-预警」标签，运营优先介入</t>
  </si>
  <si>
    <t>⑥ 迭代节奏：月度监测趋势，季度重算综合分，连续2个周期跨档才执行升降级</t>
  </si>
  <si>
    <t>商家ID</t>
  </si>
  <si>
    <t>商家名称</t>
  </si>
  <si>
    <t>所在区域</t>
  </si>
  <si>
    <t>客户来源</t>
  </si>
  <si>
    <t>签约时间</t>
  </si>
  <si>
    <t>合作月数</t>
  </si>
  <si>
    <t>近12月消耗-短信(元)</t>
  </si>
  <si>
    <t>近12月消耗-AI外呼(元)</t>
  </si>
  <si>
    <t>近12月消耗-Push及企微(元)</t>
  </si>
  <si>
    <t>消耗金额%</t>
  </si>
  <si>
    <t>累计消耗金额</t>
  </si>
  <si>
    <t>累计消耗金额%</t>
  </si>
  <si>
    <t>月均发送量(万条)</t>
  </si>
  <si>
    <t>月均活跃发送天数(天)</t>
  </si>
  <si>
    <t>私域会员规模(万人)</t>
  </si>
  <si>
    <t>会员月活跃度(%)</t>
  </si>
  <si>
    <t>营销团队人数(人)</t>
  </si>
  <si>
    <t>消耗档位分</t>
  </si>
  <si>
    <t>场景档位分</t>
  </si>
  <si>
    <t>深度档位分</t>
  </si>
  <si>
    <t>发送量档位分</t>
  </si>
  <si>
    <t>天数档位分</t>
  </si>
  <si>
    <t>会员档位分</t>
  </si>
  <si>
    <t>预算档位分</t>
  </si>
  <si>
    <t>大促档位分</t>
  </si>
  <si>
    <t>团队档位分</t>
  </si>
  <si>
    <t>趋势档位分</t>
  </si>
  <si>
    <t>续费档位分</t>
  </si>
  <si>
    <t>价值分(0-40)</t>
  </si>
  <si>
    <t>活跃分(0-20)</t>
  </si>
  <si>
    <t>潜力分(0-30)</t>
  </si>
  <si>
    <t>健康分(0-10)</t>
  </si>
  <si>
    <t>综合分</t>
  </si>
  <si>
    <t>分层结果</t>
  </si>
  <si>
    <t>预警标签</t>
  </si>
  <si>
    <t>主打通道策略</t>
  </si>
  <si>
    <t>QA00001</t>
  </si>
  <si>
    <t>素珂香氛</t>
  </si>
  <si>
    <t>美妆个护</t>
  </si>
  <si>
    <t>西北</t>
  </si>
  <si>
    <t>直客</t>
  </si>
  <si>
    <t>2024-04-10</t>
  </si>
  <si>
    <t>续订客户</t>
  </si>
  <si>
    <t>订阅+消耗</t>
  </si>
  <si>
    <t>持平</t>
  </si>
  <si>
    <t>是</t>
  </si>
  <si>
    <t>QA00002</t>
  </si>
  <si>
    <t>海刻零食</t>
  </si>
  <si>
    <t>快消食品</t>
  </si>
  <si>
    <t>华中</t>
  </si>
  <si>
    <t>2023-07-22</t>
  </si>
  <si>
    <t>增购客户</t>
  </si>
  <si>
    <t>QA00003</t>
  </si>
  <si>
    <t>沐之家居</t>
  </si>
  <si>
    <t>家居家装</t>
  </si>
  <si>
    <t>华南</t>
  </si>
  <si>
    <t>渠道代理</t>
  </si>
  <si>
    <t>2023-01-29</t>
  </si>
  <si>
    <t>上升</t>
  </si>
  <si>
    <t>QA00004</t>
  </si>
  <si>
    <t>森橙烘焙</t>
  </si>
  <si>
    <t>华东</t>
  </si>
  <si>
    <t>2022-09-30</t>
  </si>
  <si>
    <t>QA00005</t>
  </si>
  <si>
    <t>鹿棠食品</t>
  </si>
  <si>
    <t>2023-09-17</t>
  </si>
  <si>
    <t>QA00006</t>
  </si>
  <si>
    <t>屿岚康养</t>
  </si>
  <si>
    <t>医药健康</t>
  </si>
  <si>
    <t>2023-09-21</t>
  </si>
  <si>
    <t>流失预警</t>
  </si>
  <si>
    <t>连续下降</t>
  </si>
  <si>
    <t>QA00007</t>
  </si>
  <si>
    <t>安溪美妆</t>
  </si>
  <si>
    <t>2025-04-19</t>
  </si>
  <si>
    <t>QA00008</t>
  </si>
  <si>
    <t>南棠衣品</t>
  </si>
  <si>
    <t>服饰</t>
  </si>
  <si>
    <t>2025-02-07</t>
  </si>
  <si>
    <t>否</t>
  </si>
  <si>
    <t>QA00009</t>
  </si>
  <si>
    <t>沁茉母婴</t>
  </si>
  <si>
    <t>母婴</t>
  </si>
  <si>
    <t>2024-11-19</t>
  </si>
  <si>
    <t>QA00010</t>
  </si>
  <si>
    <t>柚野母婴</t>
  </si>
  <si>
    <t>华北</t>
  </si>
  <si>
    <t>2024-06-01</t>
  </si>
  <si>
    <t>QA00011</t>
  </si>
  <si>
    <t>安茉香氛</t>
  </si>
  <si>
    <t>2024-07-08</t>
  </si>
  <si>
    <t>QA00012</t>
  </si>
  <si>
    <t>芮野优选</t>
  </si>
  <si>
    <t>零售连锁</t>
  </si>
  <si>
    <t>西南</t>
  </si>
  <si>
    <t>2025-03-28</t>
  </si>
  <si>
    <t>QA00013</t>
  </si>
  <si>
    <t>夕言数码</t>
  </si>
  <si>
    <t>消费电子</t>
  </si>
  <si>
    <t>2023-06-17</t>
  </si>
  <si>
    <t>QA00014</t>
  </si>
  <si>
    <t>臻田数码</t>
  </si>
  <si>
    <t>2024-09-08</t>
  </si>
  <si>
    <t>QA00015</t>
  </si>
  <si>
    <t>柒初食品</t>
  </si>
  <si>
    <t>2024-10-26</t>
  </si>
  <si>
    <t>QA00016</t>
  </si>
  <si>
    <t>森茉生活</t>
  </si>
  <si>
    <t>2024-01-29</t>
  </si>
  <si>
    <t>QA00017</t>
  </si>
  <si>
    <t>缇禾电子</t>
  </si>
  <si>
    <t>东北</t>
  </si>
  <si>
    <t>2023-11-08</t>
  </si>
  <si>
    <t>QA00018</t>
  </si>
  <si>
    <t>月珂生活</t>
  </si>
  <si>
    <t>2023-07-20</t>
  </si>
  <si>
    <t>QA00019</t>
  </si>
  <si>
    <t>曜栖饮品</t>
  </si>
  <si>
    <t>2024-03-15</t>
  </si>
  <si>
    <t>QA00020</t>
  </si>
  <si>
    <t>川栖康养</t>
  </si>
  <si>
    <t>2025-02-23</t>
  </si>
  <si>
    <t>QA00021</t>
  </si>
  <si>
    <t>初之食品</t>
  </si>
  <si>
    <t>2024-10-23</t>
  </si>
  <si>
    <t>QA00022</t>
  </si>
  <si>
    <t>澜言衣品</t>
  </si>
  <si>
    <t>2025-01-30</t>
  </si>
  <si>
    <t>QA00023</t>
  </si>
  <si>
    <t>黎芽时装</t>
  </si>
  <si>
    <t>2024-10-07</t>
  </si>
  <si>
    <t>QA00024</t>
  </si>
  <si>
    <t>柒汀服饰</t>
  </si>
  <si>
    <t>2025-06-19</t>
  </si>
  <si>
    <t>QA00025</t>
  </si>
  <si>
    <t>乐野烘焙</t>
  </si>
  <si>
    <t>2023-06-21</t>
  </si>
  <si>
    <t>QA00026</t>
  </si>
  <si>
    <t>星谷美妆</t>
  </si>
  <si>
    <t>QA00027</t>
  </si>
  <si>
    <t>北汀乳业</t>
  </si>
  <si>
    <t>2025-04-07</t>
  </si>
  <si>
    <t>QA00028</t>
  </si>
  <si>
    <t>乔之母婴</t>
  </si>
  <si>
    <t>2025-03-30</t>
  </si>
  <si>
    <t>QA00029</t>
  </si>
  <si>
    <t>柚岚时装</t>
  </si>
  <si>
    <t>2024-03-17</t>
  </si>
  <si>
    <t>QA00030</t>
  </si>
  <si>
    <t>月诺科技</t>
  </si>
  <si>
    <t>2024-10-12</t>
  </si>
  <si>
    <t>QA00031</t>
  </si>
  <si>
    <t>屿田康养</t>
  </si>
  <si>
    <t>2023-08-11</t>
  </si>
  <si>
    <t>QA00032</t>
  </si>
  <si>
    <t>晨朵生活</t>
  </si>
  <si>
    <t>2023-09-16</t>
  </si>
  <si>
    <t>QA00033</t>
  </si>
  <si>
    <t>星刻优选</t>
  </si>
  <si>
    <t>2024-12-12</t>
  </si>
  <si>
    <t>首次订购客户</t>
  </si>
  <si>
    <t>纯消耗</t>
  </si>
  <si>
    <t>QA00034</t>
  </si>
  <si>
    <t>缇田健康</t>
  </si>
  <si>
    <t>2025-04-01</t>
  </si>
  <si>
    <t>QA00035</t>
  </si>
  <si>
    <t>川茉食品</t>
  </si>
  <si>
    <t>2024-04-02</t>
  </si>
  <si>
    <t>QA00036</t>
  </si>
  <si>
    <t>缇宝饮品</t>
  </si>
  <si>
    <t>2024-12-13</t>
  </si>
  <si>
    <t>QA00037</t>
  </si>
  <si>
    <t>乐田母婴</t>
  </si>
  <si>
    <t>2025-12-19</t>
  </si>
  <si>
    <t>下降</t>
  </si>
  <si>
    <t>QA00038</t>
  </si>
  <si>
    <t>安之家纺</t>
  </si>
  <si>
    <t>2024-05-15</t>
  </si>
  <si>
    <t>QA00039</t>
  </si>
  <si>
    <t>云溪母婴</t>
  </si>
  <si>
    <t>2024-03-13</t>
  </si>
  <si>
    <t>QA00040</t>
  </si>
  <si>
    <t>缇田宝贝</t>
  </si>
  <si>
    <t>2024-06-07</t>
  </si>
  <si>
    <t>QA00041</t>
  </si>
  <si>
    <t>鹿言家纺</t>
  </si>
  <si>
    <t>2025-01-10</t>
  </si>
  <si>
    <t>QA00042</t>
  </si>
  <si>
    <t>初溪家纺</t>
  </si>
  <si>
    <t>2024-09-30</t>
  </si>
  <si>
    <t>QA00043</t>
  </si>
  <si>
    <t>沁禾数码</t>
  </si>
  <si>
    <t>2024-11-14</t>
  </si>
  <si>
    <t>QA00044</t>
  </si>
  <si>
    <t>禾诺超市</t>
  </si>
  <si>
    <t>2024-12-05</t>
  </si>
  <si>
    <t>QA00045</t>
  </si>
  <si>
    <t>月橙衣品</t>
  </si>
  <si>
    <t>2025-09-19</t>
  </si>
  <si>
    <t>QA00046</t>
  </si>
  <si>
    <t>洛芽超市</t>
  </si>
  <si>
    <t>2025-05-29</t>
  </si>
  <si>
    <t>QA00047</t>
  </si>
  <si>
    <t>乔之日化</t>
  </si>
  <si>
    <t>2025-01-07</t>
  </si>
  <si>
    <t>QA00048</t>
  </si>
  <si>
    <t>熙谷日化</t>
  </si>
  <si>
    <t>2024-07-21</t>
  </si>
  <si>
    <t>QA00049</t>
  </si>
  <si>
    <t>海宝母婴</t>
  </si>
  <si>
    <t>2025-12-28</t>
  </si>
  <si>
    <t>QA00050</t>
  </si>
  <si>
    <t>森刻康养</t>
  </si>
  <si>
    <t>2025-02-15</t>
  </si>
  <si>
    <t>QA00051</t>
  </si>
  <si>
    <t>山汀时装</t>
  </si>
  <si>
    <t>2024-06-27</t>
  </si>
  <si>
    <t>QA00052</t>
  </si>
  <si>
    <t>柚珂零食</t>
  </si>
  <si>
    <t>2024-04-15</t>
  </si>
  <si>
    <t>QA00053</t>
  </si>
  <si>
    <t>栀溪护肤</t>
  </si>
  <si>
    <t>2024-02-27</t>
  </si>
  <si>
    <t>QA00054</t>
  </si>
  <si>
    <t>岚橙科技</t>
  </si>
  <si>
    <t>2023-12-26</t>
  </si>
  <si>
    <t>QA00055</t>
  </si>
  <si>
    <t>臻初宝贝</t>
  </si>
  <si>
    <t>2025-04-28</t>
  </si>
  <si>
    <t>QA00056</t>
  </si>
  <si>
    <t>月橙时装</t>
  </si>
  <si>
    <t>2024-05-02</t>
  </si>
  <si>
    <t>QA00057</t>
  </si>
  <si>
    <t>沁溪家居</t>
  </si>
  <si>
    <t>QA00058</t>
  </si>
  <si>
    <t>蔓芽乳业</t>
  </si>
  <si>
    <t>2024-04-06</t>
  </si>
  <si>
    <t>QA00059</t>
  </si>
  <si>
    <t>山橙服饰</t>
  </si>
  <si>
    <t>2024-12-18</t>
  </si>
  <si>
    <t>QA00060</t>
  </si>
  <si>
    <t>海初时装</t>
  </si>
  <si>
    <t>2025-06-25</t>
  </si>
  <si>
    <t>QA00061</t>
  </si>
  <si>
    <t>川橙康养</t>
  </si>
  <si>
    <t>2024-01-25</t>
  </si>
  <si>
    <t>QA00062</t>
  </si>
  <si>
    <t>乔刻乳业</t>
  </si>
  <si>
    <t>2025-04-11</t>
  </si>
  <si>
    <t>QA00063</t>
  </si>
  <si>
    <t>柒谷饮品</t>
  </si>
  <si>
    <t>2024-05-31</t>
  </si>
  <si>
    <t>QA00064</t>
  </si>
  <si>
    <t>森溪便利</t>
  </si>
  <si>
    <t>2025-08-12</t>
  </si>
  <si>
    <t>QA00065</t>
  </si>
  <si>
    <t>芮诺母婴</t>
  </si>
  <si>
    <t>2025-04-18</t>
  </si>
  <si>
    <t>QA00066</t>
  </si>
  <si>
    <t>沐棠科技</t>
  </si>
  <si>
    <t>2024-01-11</t>
  </si>
  <si>
    <t>QA00067</t>
  </si>
  <si>
    <t>臻汀烘焙</t>
  </si>
  <si>
    <t>2024-03-06</t>
  </si>
  <si>
    <t>QA00068</t>
  </si>
  <si>
    <t>云谷美妆</t>
  </si>
  <si>
    <t>2024-09-18</t>
  </si>
  <si>
    <t>QA00069</t>
  </si>
  <si>
    <t>月栖食品</t>
  </si>
  <si>
    <t>QA00070</t>
  </si>
  <si>
    <t>鹿田数码</t>
  </si>
  <si>
    <t>2024-02-16</t>
  </si>
  <si>
    <t>QA00071</t>
  </si>
  <si>
    <t>洛禾烘焙</t>
  </si>
  <si>
    <t>2024-12-11</t>
  </si>
  <si>
    <t>QA00072</t>
  </si>
  <si>
    <t>澄芽宝贝</t>
  </si>
  <si>
    <t>2024-05-18</t>
  </si>
  <si>
    <t>QA00073</t>
  </si>
  <si>
    <t>月宝母婴</t>
  </si>
  <si>
    <t>2024-08-19</t>
  </si>
  <si>
    <t>QA00074</t>
  </si>
  <si>
    <t>栀芽护肤</t>
  </si>
  <si>
    <t>2025-11-11</t>
  </si>
  <si>
    <t>QA00075</t>
  </si>
  <si>
    <t>素棠服饰</t>
  </si>
  <si>
    <t>2024-10-14</t>
  </si>
  <si>
    <t>QA00076</t>
  </si>
  <si>
    <t>鹿刻宝贝</t>
  </si>
  <si>
    <t>2024-10-30</t>
  </si>
  <si>
    <t>QA00077</t>
  </si>
  <si>
    <t>澜珂衣品</t>
  </si>
  <si>
    <t>2023-12-09</t>
  </si>
  <si>
    <t>QA00078</t>
  </si>
  <si>
    <t>禾野婴童</t>
  </si>
  <si>
    <t>2024-11-16</t>
  </si>
  <si>
    <t>QA00079</t>
  </si>
  <si>
    <t>乐溪香氛</t>
  </si>
  <si>
    <t>2024-08-21</t>
  </si>
  <si>
    <t>QA00080</t>
  </si>
  <si>
    <t>禾禾食品</t>
  </si>
  <si>
    <t>2024-02-13</t>
  </si>
  <si>
    <t>QA00081</t>
  </si>
  <si>
    <t>缇芽家居</t>
  </si>
  <si>
    <t>2024-09-07</t>
  </si>
  <si>
    <t>QA00082</t>
  </si>
  <si>
    <t>黎珂乳业</t>
  </si>
  <si>
    <t>2025-07-28</t>
  </si>
  <si>
    <t>QA00083</t>
  </si>
  <si>
    <t>洛芽香氛</t>
  </si>
  <si>
    <t>2025-10-15</t>
  </si>
  <si>
    <t>QA00084</t>
  </si>
  <si>
    <t>屿橙家纺</t>
  </si>
  <si>
    <t>2024-07-22</t>
  </si>
  <si>
    <t>QA00085</t>
  </si>
  <si>
    <t>林宝康养</t>
  </si>
  <si>
    <t>2024-05-08</t>
  </si>
  <si>
    <t>QA00086</t>
  </si>
  <si>
    <t>蔓言宝贝</t>
  </si>
  <si>
    <t>2025-12-30</t>
  </si>
  <si>
    <t>QA00087</t>
  </si>
  <si>
    <t>沐芽零食</t>
  </si>
  <si>
    <t>2024-01-01</t>
  </si>
  <si>
    <t>QA00088</t>
  </si>
  <si>
    <t>晨野零食</t>
  </si>
  <si>
    <t>2024-03-18</t>
  </si>
  <si>
    <t>QA00089</t>
  </si>
  <si>
    <t>星珂衣品</t>
  </si>
  <si>
    <t>2025-11-08</t>
  </si>
  <si>
    <t>QA00090</t>
  </si>
  <si>
    <t>乔茉智能</t>
  </si>
  <si>
    <t>2024-08-01</t>
  </si>
  <si>
    <t>QA00091</t>
  </si>
  <si>
    <t>北禾科技</t>
  </si>
  <si>
    <t>2025-10-19</t>
  </si>
  <si>
    <t>QA00092</t>
  </si>
  <si>
    <t>雪橙香氛</t>
  </si>
  <si>
    <t>2024-12-30</t>
  </si>
  <si>
    <t>QA00093</t>
  </si>
  <si>
    <t>沁棠数码</t>
  </si>
  <si>
    <t>2025-05-24</t>
  </si>
  <si>
    <t>QA00094</t>
  </si>
  <si>
    <t>晨橙香氛</t>
  </si>
  <si>
    <t>QA00095</t>
  </si>
  <si>
    <t>沐芽母婴</t>
  </si>
  <si>
    <t>QA00096</t>
  </si>
  <si>
    <t>月栖烘焙</t>
  </si>
  <si>
    <t>2025-09-20</t>
  </si>
  <si>
    <t>QA00097</t>
  </si>
  <si>
    <t>鹿野宝贝</t>
  </si>
  <si>
    <t>2024-05-19</t>
  </si>
  <si>
    <t>QA00098</t>
  </si>
  <si>
    <t>微橙母婴</t>
  </si>
  <si>
    <t>2025-08-29</t>
  </si>
  <si>
    <t>QA00099</t>
  </si>
  <si>
    <t>星初家纺</t>
  </si>
  <si>
    <t>QA00100</t>
  </si>
  <si>
    <t>熙禾烘焙</t>
  </si>
  <si>
    <t>2024-08-12</t>
  </si>
  <si>
    <t>QA00101</t>
  </si>
  <si>
    <t>锦刻家纺</t>
  </si>
  <si>
    <t>2025-05-28</t>
  </si>
  <si>
    <t>QA00102</t>
  </si>
  <si>
    <t>澄诺母婴</t>
  </si>
  <si>
    <t>2024-07-27</t>
  </si>
  <si>
    <t>QA00103</t>
  </si>
  <si>
    <t>禾芽日化</t>
  </si>
  <si>
    <t>2025-01-11</t>
  </si>
  <si>
    <t>QA00104</t>
  </si>
  <si>
    <t>初禾衣品</t>
  </si>
  <si>
    <t>QA00105</t>
  </si>
  <si>
    <t>云芽香氛</t>
  </si>
  <si>
    <t>2024-04-26</t>
  </si>
  <si>
    <t>QA00106</t>
  </si>
  <si>
    <t>蔓栖科技</t>
  </si>
  <si>
    <t>2024-08-14</t>
  </si>
  <si>
    <t>QA00107</t>
  </si>
  <si>
    <t>月野衣品</t>
  </si>
  <si>
    <t>2025-05-20</t>
  </si>
  <si>
    <t>QA00108</t>
  </si>
  <si>
    <t>屿茉科技</t>
  </si>
  <si>
    <t>2024-09-10</t>
  </si>
  <si>
    <t>QA00109</t>
  </si>
  <si>
    <t>澜之日化</t>
  </si>
  <si>
    <t>2024-04-17</t>
  </si>
  <si>
    <t>QA00110</t>
  </si>
  <si>
    <t>熙橙饮品</t>
  </si>
  <si>
    <t>QA00111</t>
  </si>
  <si>
    <t>禾栖婴童</t>
  </si>
  <si>
    <t>2024-12-27</t>
  </si>
  <si>
    <t>QA00112</t>
  </si>
  <si>
    <t>乐溪家纺</t>
  </si>
  <si>
    <t>2024-03-22</t>
  </si>
  <si>
    <t>QA00113</t>
  </si>
  <si>
    <t>黎谷烘焙</t>
  </si>
  <si>
    <t>2024-10-29</t>
  </si>
  <si>
    <t>QA00114</t>
  </si>
  <si>
    <t>曜溪服饰</t>
  </si>
  <si>
    <t>2025-03-22</t>
  </si>
  <si>
    <t>QA00115</t>
  </si>
  <si>
    <t>熙溪日化</t>
  </si>
  <si>
    <t>QA00116</t>
  </si>
  <si>
    <t>晨初家居</t>
  </si>
  <si>
    <t>2025-07-31</t>
  </si>
  <si>
    <t>QA00117</t>
  </si>
  <si>
    <t>柒谷烘焙</t>
  </si>
  <si>
    <t>2024-10-21</t>
  </si>
  <si>
    <t>QA00118</t>
  </si>
  <si>
    <t>洛岚衣品</t>
  </si>
  <si>
    <t>QA00119</t>
  </si>
  <si>
    <t>沁诺乳业</t>
  </si>
  <si>
    <t>2024-03-14</t>
  </si>
  <si>
    <t>QA00120</t>
  </si>
  <si>
    <t>屿汀健康</t>
  </si>
  <si>
    <t>2025-08-26</t>
  </si>
  <si>
    <t>QA00121</t>
  </si>
  <si>
    <t>澄棠智能</t>
  </si>
  <si>
    <t>QA00122</t>
  </si>
  <si>
    <t>柒岚婴童</t>
  </si>
  <si>
    <t>2025-05-30</t>
  </si>
  <si>
    <t>QA00123</t>
  </si>
  <si>
    <t>柚朵美妆</t>
  </si>
  <si>
    <t>2024-10-06</t>
  </si>
  <si>
    <t>QA00124</t>
  </si>
  <si>
    <t>柚刻香氛</t>
  </si>
  <si>
    <t>2025-12-04</t>
  </si>
  <si>
    <t>QA00125</t>
  </si>
  <si>
    <t>云刻衣品</t>
  </si>
  <si>
    <t>2024-09-01</t>
  </si>
  <si>
    <t>QA00126</t>
  </si>
  <si>
    <t>雨橙母婴</t>
  </si>
  <si>
    <t>2024-08-25</t>
  </si>
  <si>
    <t>QA00127</t>
  </si>
  <si>
    <t>沁田护肤</t>
  </si>
  <si>
    <t>2025-07-05</t>
  </si>
  <si>
    <t>QA00128</t>
  </si>
  <si>
    <t>微汀康养</t>
  </si>
  <si>
    <t>2023-12-18</t>
  </si>
  <si>
    <t>QA00129</t>
  </si>
  <si>
    <t>森朵家居</t>
  </si>
  <si>
    <t>2023-12-17</t>
  </si>
  <si>
    <t>QA00130</t>
  </si>
  <si>
    <t>澜谷零食</t>
  </si>
  <si>
    <t>2025-05-13</t>
  </si>
  <si>
    <t>QA00131</t>
  </si>
  <si>
    <t>山珂美妆</t>
  </si>
  <si>
    <t>QA00132</t>
  </si>
  <si>
    <t>缇朵科技</t>
  </si>
  <si>
    <t>2024-01-17</t>
  </si>
  <si>
    <t>QA00133</t>
  </si>
  <si>
    <t>林溪食品</t>
  </si>
  <si>
    <t>2025-01-13</t>
  </si>
  <si>
    <t>QA00134</t>
  </si>
  <si>
    <t>星汀家居</t>
  </si>
  <si>
    <t>2025-07-06</t>
  </si>
  <si>
    <t>QA00135</t>
  </si>
  <si>
    <t>屿茉乳业</t>
  </si>
  <si>
    <t>2024-06-30</t>
  </si>
  <si>
    <t>QA00136</t>
  </si>
  <si>
    <t>沐宝智能</t>
  </si>
  <si>
    <t>2025-06-10</t>
  </si>
  <si>
    <t>QA00137</t>
  </si>
  <si>
    <t>禾汀香氛</t>
  </si>
  <si>
    <t>QA00138</t>
  </si>
  <si>
    <t>鹿茉食品</t>
  </si>
  <si>
    <t>2024-04-18</t>
  </si>
  <si>
    <t>QA00139</t>
  </si>
  <si>
    <t>森橙乳业</t>
  </si>
  <si>
    <t>2025-02-24</t>
  </si>
  <si>
    <t>QA00140</t>
  </si>
  <si>
    <t>岚溪香氛</t>
  </si>
  <si>
    <t>2026-03-20</t>
  </si>
  <si>
    <t>QA00141</t>
  </si>
  <si>
    <t>星之烘焙</t>
  </si>
  <si>
    <t>2025-04-26</t>
  </si>
  <si>
    <t>QA00142</t>
  </si>
  <si>
    <t>星宝食品</t>
  </si>
  <si>
    <t>QA00143</t>
  </si>
  <si>
    <t>栀言食品</t>
  </si>
  <si>
    <t>2026-02-17</t>
  </si>
  <si>
    <t>QA00144</t>
  </si>
  <si>
    <t>北茉科技</t>
  </si>
  <si>
    <t>2025-08-22</t>
  </si>
  <si>
    <t>QA00145</t>
  </si>
  <si>
    <t>月之生活</t>
  </si>
  <si>
    <t>2025-02-20</t>
  </si>
  <si>
    <t>QA00146</t>
  </si>
  <si>
    <t>禾橙家居</t>
  </si>
  <si>
    <t>2024-08-28</t>
  </si>
  <si>
    <t>QA00147</t>
  </si>
  <si>
    <t>柚野便利</t>
  </si>
  <si>
    <t>2024-09-22</t>
  </si>
  <si>
    <t>QA00148</t>
  </si>
  <si>
    <t>川岚乳业</t>
  </si>
  <si>
    <t>2026-01-21</t>
  </si>
  <si>
    <t>QA00149</t>
  </si>
  <si>
    <t>屿珂电子</t>
  </si>
  <si>
    <t>2026-02-15</t>
  </si>
  <si>
    <t>QA00150</t>
  </si>
  <si>
    <t>云宝数码</t>
  </si>
  <si>
    <t>2026-03-10</t>
  </si>
  <si>
    <t>潜客试用</t>
  </si>
  <si>
    <t>QA00151</t>
  </si>
  <si>
    <t>素诺美妆</t>
  </si>
  <si>
    <t>QA00152</t>
  </si>
  <si>
    <t>蔓栖家纺</t>
  </si>
  <si>
    <t>2025-12-10</t>
  </si>
  <si>
    <t>QA00153</t>
  </si>
  <si>
    <t>海谷婴童</t>
  </si>
  <si>
    <t>QA00154</t>
  </si>
  <si>
    <t>沐栖家居</t>
  </si>
  <si>
    <t>2024-11-22</t>
  </si>
  <si>
    <t>QA00155</t>
  </si>
  <si>
    <t>夕茉食品</t>
  </si>
  <si>
    <t>2026-02-25</t>
  </si>
  <si>
    <t>QA00156</t>
  </si>
  <si>
    <t>初芽家纺</t>
  </si>
  <si>
    <t>2024-07-05</t>
  </si>
  <si>
    <t>QA00157</t>
  </si>
  <si>
    <t>星芽医药</t>
  </si>
  <si>
    <t>2025-02-19</t>
  </si>
  <si>
    <t>QA00158</t>
  </si>
  <si>
    <t>洛诺食品</t>
  </si>
  <si>
    <t>2024-10-01</t>
  </si>
  <si>
    <t>QA00159</t>
  </si>
  <si>
    <t>素朵时装</t>
  </si>
  <si>
    <t>2026-01-17</t>
  </si>
  <si>
    <t>QA00160</t>
  </si>
  <si>
    <t>南茉宝贝</t>
  </si>
  <si>
    <t>2026-01-16</t>
  </si>
  <si>
    <t>QA00161</t>
  </si>
  <si>
    <t>月初日化</t>
  </si>
  <si>
    <t>2024-12-01</t>
  </si>
  <si>
    <t>QA00162</t>
  </si>
  <si>
    <t>柚溪烘焙</t>
  </si>
  <si>
    <t>QA00163</t>
  </si>
  <si>
    <t>芮宝数码</t>
  </si>
  <si>
    <t>2025-10-20</t>
  </si>
  <si>
    <t>QA00164</t>
  </si>
  <si>
    <t>臻刻电子</t>
  </si>
  <si>
    <t>2024-11-20</t>
  </si>
  <si>
    <t>QA00165</t>
  </si>
  <si>
    <t>岚言宝贝</t>
  </si>
  <si>
    <t>2025-10-28</t>
  </si>
  <si>
    <t>QA00166</t>
  </si>
  <si>
    <t>臻芽母婴</t>
  </si>
  <si>
    <t>2024-07-24</t>
  </si>
  <si>
    <t>QA00167</t>
  </si>
  <si>
    <t>海诺食品</t>
  </si>
  <si>
    <t>2025-08-30</t>
  </si>
  <si>
    <t>QA00168</t>
  </si>
  <si>
    <t>柒棠日化</t>
  </si>
  <si>
    <t>2025-09-27</t>
  </si>
  <si>
    <t>QA00169</t>
  </si>
  <si>
    <t>岚诺饮品</t>
  </si>
  <si>
    <t>2024-08-31</t>
  </si>
  <si>
    <t>QA00170</t>
  </si>
  <si>
    <t>芮诺科技</t>
  </si>
  <si>
    <t>2025-08-04</t>
  </si>
  <si>
    <t>QA00171</t>
  </si>
  <si>
    <t>南朵乳业</t>
  </si>
  <si>
    <t>2025-08-06</t>
  </si>
  <si>
    <t>QA00172</t>
  </si>
  <si>
    <t>禾之科技</t>
  </si>
  <si>
    <t>2026-03-29</t>
  </si>
  <si>
    <t>QA00173</t>
  </si>
  <si>
    <t>缇橙医药</t>
  </si>
  <si>
    <t>2026-01-26</t>
  </si>
  <si>
    <t>QA00174</t>
  </si>
  <si>
    <t>林宝生活</t>
  </si>
  <si>
    <t>2024-07-18</t>
  </si>
  <si>
    <t>QA00175</t>
  </si>
  <si>
    <t>缇芽乳业</t>
  </si>
  <si>
    <t>2025-08-10</t>
  </si>
  <si>
    <t>QA00176</t>
  </si>
  <si>
    <t>素之健康</t>
  </si>
  <si>
    <t>2025-07-02</t>
  </si>
  <si>
    <t>QA00177</t>
  </si>
  <si>
    <t>北禾零食</t>
  </si>
  <si>
    <t>2024-10-20</t>
  </si>
  <si>
    <t>QA00178</t>
  </si>
  <si>
    <t>柒珂护肤</t>
  </si>
  <si>
    <t>2025-02-16</t>
  </si>
  <si>
    <t>QA00179</t>
  </si>
  <si>
    <t>澄橙智能</t>
  </si>
  <si>
    <t>QA00180</t>
  </si>
  <si>
    <t>洛栖宝贝</t>
  </si>
  <si>
    <t>2025-07-01</t>
  </si>
  <si>
    <t>QA00181</t>
  </si>
  <si>
    <t>蔓谷饮品</t>
  </si>
  <si>
    <t>2024-09-04</t>
  </si>
  <si>
    <t>QA00182</t>
  </si>
  <si>
    <t>月刻烘焙</t>
  </si>
  <si>
    <t>2024-06-23</t>
  </si>
  <si>
    <t>QA00183</t>
  </si>
  <si>
    <t>沁朵电子</t>
  </si>
  <si>
    <t>2025-04-13</t>
  </si>
  <si>
    <t>QA00184</t>
  </si>
  <si>
    <t>月谷时装</t>
  </si>
  <si>
    <t>2024-10-18</t>
  </si>
  <si>
    <t>QA00185</t>
  </si>
  <si>
    <t>雪谷零食</t>
  </si>
  <si>
    <t>2026-03-23</t>
  </si>
  <si>
    <t>QA00186</t>
  </si>
  <si>
    <t>素栖食品</t>
  </si>
  <si>
    <t>2026-03-09</t>
  </si>
  <si>
    <t>QA00187</t>
  </si>
  <si>
    <t>乐珂服饰</t>
  </si>
  <si>
    <t>QA00188</t>
  </si>
  <si>
    <t>屿田优选</t>
  </si>
  <si>
    <t>2025-09-28</t>
  </si>
  <si>
    <t>QA00189</t>
  </si>
  <si>
    <t>洛岚数码</t>
  </si>
  <si>
    <t>2025-08-16</t>
  </si>
  <si>
    <t>QA00190</t>
  </si>
  <si>
    <t>沐汀宝贝</t>
  </si>
  <si>
    <t>QA00191</t>
  </si>
  <si>
    <t>星溪母婴</t>
  </si>
  <si>
    <t>2025-02-10</t>
  </si>
  <si>
    <t>QA00192</t>
  </si>
  <si>
    <t>锦橙智能</t>
  </si>
  <si>
    <t>QA00193</t>
  </si>
  <si>
    <t>微珂烘焙</t>
  </si>
  <si>
    <t>QA00194</t>
  </si>
  <si>
    <t>屿之乳业</t>
  </si>
  <si>
    <t>2025-12-14</t>
  </si>
  <si>
    <t>QA00195</t>
  </si>
  <si>
    <t>微刻家居</t>
  </si>
  <si>
    <t>2024-06-21</t>
  </si>
  <si>
    <t>QA00196</t>
  </si>
  <si>
    <t>星禾烘焙</t>
  </si>
  <si>
    <t>2024-06-26</t>
  </si>
  <si>
    <t>QA00197</t>
  </si>
  <si>
    <t>晨野便利</t>
  </si>
  <si>
    <t>2026-01-13</t>
  </si>
  <si>
    <t>QA00198</t>
  </si>
  <si>
    <t>星芽日化</t>
  </si>
  <si>
    <t>2026-01-18</t>
  </si>
  <si>
    <t>QA00199</t>
  </si>
  <si>
    <t>初诺服饰</t>
  </si>
  <si>
    <t>2024-09-26</t>
  </si>
  <si>
    <t>QA00200</t>
  </si>
  <si>
    <t>黎朵婴童</t>
  </si>
  <si>
    <t>2025-08-17</t>
  </si>
  <si>
    <t>QA00201</t>
  </si>
  <si>
    <t>蔓汀便利</t>
  </si>
  <si>
    <t>2026-02-12</t>
  </si>
  <si>
    <t>QA00202</t>
  </si>
  <si>
    <t>锦珂超市</t>
  </si>
  <si>
    <t>2025-02-04</t>
  </si>
  <si>
    <t>QA00203</t>
  </si>
  <si>
    <t>北宝香氛</t>
  </si>
  <si>
    <t>2025-07-22</t>
  </si>
  <si>
    <t>QA00204</t>
  </si>
  <si>
    <t>蔓初香氛</t>
  </si>
  <si>
    <t>2025-01-14</t>
  </si>
  <si>
    <t>QA00205</t>
  </si>
  <si>
    <t>夕宝科技</t>
  </si>
  <si>
    <t>2025-07-21</t>
  </si>
  <si>
    <t>QA00206</t>
  </si>
  <si>
    <t>雨茉乳业</t>
  </si>
  <si>
    <t>2024-10-10</t>
  </si>
  <si>
    <t>QA00207</t>
  </si>
  <si>
    <t>北宝宝贝</t>
  </si>
  <si>
    <t>QA00208</t>
  </si>
  <si>
    <t>云岚美妆</t>
  </si>
  <si>
    <t>QA00209</t>
  </si>
  <si>
    <t>缇溪服饰</t>
  </si>
  <si>
    <t>QA00210</t>
  </si>
  <si>
    <t>晨野超市</t>
  </si>
  <si>
    <t>2024-12-07</t>
  </si>
  <si>
    <t>QA00211</t>
  </si>
  <si>
    <t>夕汀衣品</t>
  </si>
  <si>
    <t>2025-04-23</t>
  </si>
  <si>
    <t>QA00212</t>
  </si>
  <si>
    <t>川宝食品</t>
  </si>
  <si>
    <t>2025-04-06</t>
  </si>
  <si>
    <t>QA00213</t>
  </si>
  <si>
    <t>栀岚康养</t>
  </si>
  <si>
    <t>2025-07-18</t>
  </si>
  <si>
    <t>QA00214</t>
  </si>
  <si>
    <t>芮刻优选</t>
  </si>
  <si>
    <t>QA00215</t>
  </si>
  <si>
    <t>素芽食品</t>
  </si>
  <si>
    <t>2025-01-17</t>
  </si>
  <si>
    <t>QA00216</t>
  </si>
  <si>
    <t>黎芽食品</t>
  </si>
  <si>
    <t>2026-02-04</t>
  </si>
  <si>
    <t>QA00217</t>
  </si>
  <si>
    <t>缇溪优选</t>
  </si>
  <si>
    <t>2025-01-19</t>
  </si>
  <si>
    <t>QA00218</t>
  </si>
  <si>
    <t>岚岚母婴</t>
  </si>
  <si>
    <t>2024-06-24</t>
  </si>
  <si>
    <t>QA00219</t>
  </si>
  <si>
    <t>黎初智能</t>
  </si>
  <si>
    <t>2026-03-08</t>
  </si>
  <si>
    <t>QA00220</t>
  </si>
  <si>
    <t>山橙饮品</t>
  </si>
  <si>
    <t>2024-06-29</t>
  </si>
  <si>
    <t>QA00221</t>
  </si>
  <si>
    <t>澄初康养</t>
  </si>
  <si>
    <t>2024-10-05</t>
  </si>
  <si>
    <t>QA00222</t>
  </si>
  <si>
    <t>北初生活</t>
  </si>
  <si>
    <t>2024-09-28</t>
  </si>
  <si>
    <t>QA00223</t>
  </si>
  <si>
    <t>安朵服饰</t>
  </si>
  <si>
    <t>2025-02-12</t>
  </si>
  <si>
    <t>QA00224</t>
  </si>
  <si>
    <t>曜茉日化</t>
  </si>
  <si>
    <t>2025-02-26</t>
  </si>
  <si>
    <t>QA00225</t>
  </si>
  <si>
    <t>乐宝家居</t>
  </si>
  <si>
    <t>2024-10-25</t>
  </si>
  <si>
    <t>QA00226</t>
  </si>
  <si>
    <t>缇汀婴童</t>
  </si>
  <si>
    <t>QA00227</t>
  </si>
  <si>
    <t>微野日化</t>
  </si>
  <si>
    <t>2026-03-11</t>
  </si>
  <si>
    <t>QA00228</t>
  </si>
  <si>
    <t>北之婴童</t>
  </si>
  <si>
    <t>2024-07-26</t>
  </si>
  <si>
    <t>QA00229</t>
  </si>
  <si>
    <t>海禾医药</t>
  </si>
  <si>
    <t>2024-11-18</t>
  </si>
  <si>
    <t>QA00230</t>
  </si>
  <si>
    <t>芮禾科技</t>
  </si>
  <si>
    <t>2024-06-06</t>
  </si>
  <si>
    <t>QA00231</t>
  </si>
  <si>
    <t>柚田母婴</t>
  </si>
  <si>
    <t>2024-12-17</t>
  </si>
  <si>
    <t>QA00232</t>
  </si>
  <si>
    <t>森岚衣品</t>
  </si>
  <si>
    <t>QA00233</t>
  </si>
  <si>
    <t>初禾乳业</t>
  </si>
  <si>
    <t>QA00234</t>
  </si>
  <si>
    <t>栀棠饮品</t>
  </si>
  <si>
    <t>2024-09-12</t>
  </si>
  <si>
    <t>QA00235</t>
  </si>
  <si>
    <t>海言时装</t>
  </si>
  <si>
    <t>2025-06-11</t>
  </si>
  <si>
    <t>QA00236</t>
  </si>
  <si>
    <t>素谷烘焙</t>
  </si>
  <si>
    <t>2025-07-26</t>
  </si>
  <si>
    <t>QA00237</t>
  </si>
  <si>
    <t>栀棠香氛</t>
  </si>
  <si>
    <t>2025-07-30</t>
  </si>
  <si>
    <t>QA00238</t>
  </si>
  <si>
    <t>晨橙医药</t>
  </si>
  <si>
    <t>QA00239</t>
  </si>
  <si>
    <t>南言数码</t>
  </si>
  <si>
    <t>2025-10-13</t>
  </si>
  <si>
    <t>QA00240</t>
  </si>
  <si>
    <t>洛谷香氛</t>
  </si>
  <si>
    <t>2026-01-06</t>
  </si>
  <si>
    <t>QA00241</t>
  </si>
  <si>
    <t>乐溪零食</t>
  </si>
  <si>
    <t>2025-09-24</t>
  </si>
  <si>
    <t>QA00242</t>
  </si>
  <si>
    <t>澄言日化</t>
  </si>
  <si>
    <t>2024-07-11</t>
  </si>
  <si>
    <t>QA00243</t>
  </si>
  <si>
    <t>缇野时装</t>
  </si>
  <si>
    <t>2025-09-08</t>
  </si>
  <si>
    <t>QA00244</t>
  </si>
  <si>
    <t>初谷服饰</t>
  </si>
  <si>
    <t>2026-01-28</t>
  </si>
  <si>
    <t>QA00245</t>
  </si>
  <si>
    <t>星溪日化</t>
  </si>
  <si>
    <t>2025-12-15</t>
  </si>
  <si>
    <t>QA00246</t>
  </si>
  <si>
    <t>初溪日化</t>
  </si>
  <si>
    <t>2025-08-31</t>
  </si>
  <si>
    <t>QA00247</t>
  </si>
  <si>
    <t>曜汀日化</t>
  </si>
  <si>
    <t>2024-10-31</t>
  </si>
  <si>
    <t>QA00248</t>
  </si>
  <si>
    <t>森棠烘焙</t>
  </si>
  <si>
    <t>2024-06-08</t>
  </si>
  <si>
    <t>QA00249</t>
  </si>
  <si>
    <t>川刻优选</t>
  </si>
  <si>
    <t>2024-07-12</t>
  </si>
  <si>
    <t>QA00250</t>
  </si>
  <si>
    <t>星岚婴童</t>
  </si>
  <si>
    <t>2025-05-01</t>
  </si>
  <si>
    <t>QA00251</t>
  </si>
  <si>
    <t>乔之美妆</t>
  </si>
  <si>
    <t>QA00252</t>
  </si>
  <si>
    <t>黎汀零食</t>
  </si>
  <si>
    <t>2026-03-18</t>
  </si>
  <si>
    <t>QA00253</t>
  </si>
  <si>
    <t>森言美妆</t>
  </si>
  <si>
    <t>QA00254</t>
  </si>
  <si>
    <t>微朵香氛</t>
  </si>
  <si>
    <t>QA00255</t>
  </si>
  <si>
    <t>曜珂食品</t>
  </si>
  <si>
    <t>2025-10-04</t>
  </si>
  <si>
    <t>QA00256</t>
  </si>
  <si>
    <t>芮汀健康</t>
  </si>
  <si>
    <t>2025-02-11</t>
  </si>
  <si>
    <t>QA00257</t>
  </si>
  <si>
    <t>蔓栖零食</t>
  </si>
  <si>
    <t>2025-06-27</t>
  </si>
  <si>
    <t>QA00258</t>
  </si>
  <si>
    <t>森棠衣品</t>
  </si>
  <si>
    <t>2025-06-15</t>
  </si>
  <si>
    <t>QA00259</t>
  </si>
  <si>
    <t>星诺零食</t>
  </si>
  <si>
    <t>QA00260</t>
  </si>
  <si>
    <t>澄茉生活</t>
  </si>
  <si>
    <t>QA00261</t>
  </si>
  <si>
    <t>蔓珂婴童</t>
  </si>
  <si>
    <t>QA00262</t>
  </si>
  <si>
    <t>沁谷电子</t>
  </si>
  <si>
    <t>2026-03-28</t>
  </si>
  <si>
    <t>QA00263</t>
  </si>
  <si>
    <t>星初优选</t>
  </si>
  <si>
    <t>QA00264</t>
  </si>
  <si>
    <t>星珂饮品</t>
  </si>
  <si>
    <t>QA00265</t>
  </si>
  <si>
    <t>柒诺便利</t>
  </si>
  <si>
    <t>2025-01-08</t>
  </si>
  <si>
    <t>QA00266</t>
  </si>
  <si>
    <t>月棠优选</t>
  </si>
  <si>
    <t>QA00267</t>
  </si>
  <si>
    <t>安珂医药</t>
  </si>
  <si>
    <t>QA00268</t>
  </si>
  <si>
    <t>屿之饮品</t>
  </si>
  <si>
    <t>QA00269</t>
  </si>
  <si>
    <t>洛溪衣品</t>
  </si>
  <si>
    <t>QA00270</t>
  </si>
  <si>
    <t>蔓刻婴童</t>
  </si>
  <si>
    <t>2025-12-21</t>
  </si>
  <si>
    <t>QA00271</t>
  </si>
  <si>
    <t>沁禾零食</t>
  </si>
  <si>
    <t>2026-02-14</t>
  </si>
  <si>
    <t>QA00272</t>
  </si>
  <si>
    <t>森田护肤</t>
  </si>
  <si>
    <t>QA00273</t>
  </si>
  <si>
    <t>柚棠超市</t>
  </si>
  <si>
    <t>2024-08-26</t>
  </si>
  <si>
    <t>QA00274</t>
  </si>
  <si>
    <t>曜汀医药</t>
  </si>
  <si>
    <t>QA00275</t>
  </si>
  <si>
    <t>缇岚乳业</t>
  </si>
  <si>
    <t>2024-12-16</t>
  </si>
  <si>
    <t>QA00276</t>
  </si>
  <si>
    <t>初茉美妆</t>
  </si>
  <si>
    <t>2025-03-02</t>
  </si>
  <si>
    <t>QA00277</t>
  </si>
  <si>
    <t>沁朵时装</t>
  </si>
  <si>
    <t>2025-11-24</t>
  </si>
  <si>
    <t>QA00278</t>
  </si>
  <si>
    <t>澜言服饰</t>
  </si>
  <si>
    <t>2026-01-25</t>
  </si>
  <si>
    <t>QA00279</t>
  </si>
  <si>
    <t>乔之数码</t>
  </si>
  <si>
    <t>QA00280</t>
  </si>
  <si>
    <t>夕珂婴童</t>
  </si>
  <si>
    <t>2025-11-29</t>
  </si>
  <si>
    <t>QA00281</t>
  </si>
  <si>
    <t>素谷家纺</t>
  </si>
  <si>
    <t>2025-11-07</t>
  </si>
  <si>
    <t>QA00282</t>
  </si>
  <si>
    <t>南岚零食</t>
  </si>
  <si>
    <t>2025-10-17</t>
  </si>
  <si>
    <t>QA00283</t>
  </si>
  <si>
    <t>乐田电子</t>
  </si>
  <si>
    <t>2024-10-17</t>
  </si>
  <si>
    <t>QA00284</t>
  </si>
  <si>
    <t>林芽美妆</t>
  </si>
  <si>
    <t>2026-02-27</t>
  </si>
  <si>
    <t>QA00285</t>
  </si>
  <si>
    <t>雨汀饮品</t>
  </si>
  <si>
    <t>2024-11-06</t>
  </si>
  <si>
    <t>QA00286</t>
  </si>
  <si>
    <t>缇之婴童</t>
  </si>
  <si>
    <t>2025-06-20</t>
  </si>
  <si>
    <t>QA00287</t>
  </si>
  <si>
    <t>蔓橙医药</t>
  </si>
  <si>
    <t>2025-03-11</t>
  </si>
  <si>
    <t>QA00288</t>
  </si>
  <si>
    <t>海汀烘焙</t>
  </si>
  <si>
    <t>2025-08-25</t>
  </si>
  <si>
    <t>QA00289</t>
  </si>
  <si>
    <t>夕刻美妆</t>
  </si>
  <si>
    <t>2024-12-28</t>
  </si>
  <si>
    <t>QA00290</t>
  </si>
  <si>
    <t>微汀医药</t>
  </si>
  <si>
    <t>2025-09-26</t>
  </si>
  <si>
    <t>QA00291</t>
  </si>
  <si>
    <t>栀谷数码</t>
  </si>
  <si>
    <t>QA00292</t>
  </si>
  <si>
    <t>月田零食</t>
  </si>
  <si>
    <t>QA00293</t>
  </si>
  <si>
    <t>洛栖电子</t>
  </si>
  <si>
    <t>QA00294</t>
  </si>
  <si>
    <t>沁言零食</t>
  </si>
  <si>
    <t>2024-07-25</t>
  </si>
  <si>
    <t>QA00295</t>
  </si>
  <si>
    <t>南汀衣品</t>
  </si>
  <si>
    <t>2024-07-17</t>
  </si>
  <si>
    <t>QA00296</t>
  </si>
  <si>
    <t>雪禾电子</t>
  </si>
  <si>
    <t>2024-07-23</t>
  </si>
  <si>
    <t>QA00297</t>
  </si>
  <si>
    <t>曜栖护肤</t>
  </si>
  <si>
    <t>2025-04-27</t>
  </si>
  <si>
    <t>QA00298</t>
  </si>
  <si>
    <t>月宝零食</t>
  </si>
  <si>
    <t>QA00299</t>
  </si>
  <si>
    <t>柚溪食品</t>
  </si>
  <si>
    <t>QA00300</t>
  </si>
  <si>
    <t>南禾饮品</t>
  </si>
  <si>
    <t>2025-08-05</t>
  </si>
  <si>
    <t>QA00301</t>
  </si>
  <si>
    <t>乐禾婴童</t>
  </si>
  <si>
    <t>QA00302</t>
  </si>
  <si>
    <t>南野时装</t>
  </si>
  <si>
    <t>2025-08-09</t>
  </si>
  <si>
    <t>QA00303</t>
  </si>
  <si>
    <t>洛汀饮品</t>
  </si>
  <si>
    <t>2026-05-23</t>
  </si>
  <si>
    <t>QA00304</t>
  </si>
  <si>
    <t>雨茉超市</t>
  </si>
  <si>
    <t>2025-05-25</t>
  </si>
  <si>
    <t>QA00305</t>
  </si>
  <si>
    <t>森谷衣品</t>
  </si>
  <si>
    <t>QA00306</t>
  </si>
  <si>
    <t>栀芽超市</t>
  </si>
  <si>
    <t>2025-05-26</t>
  </si>
  <si>
    <t>QA00307</t>
  </si>
  <si>
    <t>岚溪数码</t>
  </si>
  <si>
    <t>QA00308</t>
  </si>
  <si>
    <t>雨野家纺</t>
  </si>
  <si>
    <t>QA00309</t>
  </si>
  <si>
    <t>月茉家纺</t>
  </si>
  <si>
    <t>2025-09-10</t>
  </si>
  <si>
    <t>QA00310</t>
  </si>
  <si>
    <t>缇初烘焙</t>
  </si>
  <si>
    <t>QA00311</t>
  </si>
  <si>
    <t>黎禾便利</t>
  </si>
  <si>
    <t>QA00312</t>
  </si>
  <si>
    <t>澄野香氛</t>
  </si>
  <si>
    <t>QA00313</t>
  </si>
  <si>
    <t>乔之康养</t>
  </si>
  <si>
    <t>2024-06-28</t>
  </si>
  <si>
    <t>QA00314</t>
  </si>
  <si>
    <t>海宝美妆</t>
  </si>
  <si>
    <t>QA00315</t>
  </si>
  <si>
    <t>山言数码</t>
  </si>
  <si>
    <t>QA00316</t>
  </si>
  <si>
    <t>岚栖家纺</t>
  </si>
  <si>
    <t>2024-08-23</t>
  </si>
  <si>
    <t>QA00317</t>
  </si>
  <si>
    <t>鹿之家居</t>
  </si>
  <si>
    <t>QA00318</t>
  </si>
  <si>
    <t>岚谷数码</t>
  </si>
  <si>
    <t>QA00319</t>
  </si>
  <si>
    <t>芮谷母婴</t>
  </si>
  <si>
    <t>2026-03-30</t>
  </si>
  <si>
    <t>QA00320</t>
  </si>
  <si>
    <t>初芽宝贝</t>
  </si>
  <si>
    <t>QA00321</t>
  </si>
  <si>
    <t>熙宝乳业</t>
  </si>
  <si>
    <t>2025-08-14</t>
  </si>
  <si>
    <t>QA00322</t>
  </si>
  <si>
    <t>安禾衣品</t>
  </si>
  <si>
    <t>QA00323</t>
  </si>
  <si>
    <t>安诺服饰</t>
  </si>
  <si>
    <t>QA00324</t>
  </si>
  <si>
    <t>乐田生活</t>
  </si>
  <si>
    <t>QA00325</t>
  </si>
  <si>
    <t>沁宝护肤</t>
  </si>
  <si>
    <t>QA00326</t>
  </si>
  <si>
    <t>柒禾护肤</t>
  </si>
  <si>
    <t>QA00327</t>
  </si>
  <si>
    <t>乔谷母婴</t>
  </si>
  <si>
    <t>2026-05-10</t>
  </si>
  <si>
    <t>QA00328</t>
  </si>
  <si>
    <t>川田零食</t>
  </si>
  <si>
    <t>2024-11-27</t>
  </si>
  <si>
    <t>QA00329</t>
  </si>
  <si>
    <t>熙宝家纺</t>
  </si>
  <si>
    <t>2025-11-27</t>
  </si>
  <si>
    <t>QA00330</t>
  </si>
  <si>
    <t>安诺智能</t>
  </si>
  <si>
    <t>2025-10-09</t>
  </si>
  <si>
    <t>QA00331</t>
  </si>
  <si>
    <t>臻诺零食</t>
  </si>
  <si>
    <t>2025-12-06</t>
  </si>
  <si>
    <t>QA00332</t>
  </si>
  <si>
    <t>屿汀数码</t>
  </si>
  <si>
    <t>2026-01-24</t>
  </si>
  <si>
    <t>QA00333</t>
  </si>
  <si>
    <t>柒珂家纺</t>
  </si>
  <si>
    <t>2025-03-16</t>
  </si>
  <si>
    <t>QA00334</t>
  </si>
  <si>
    <t>沐朵美妆</t>
  </si>
  <si>
    <t>QA00335</t>
  </si>
  <si>
    <t>乐棠智能</t>
  </si>
  <si>
    <t>2025-12-16</t>
  </si>
  <si>
    <t>QA00336</t>
  </si>
  <si>
    <t>云诺香氛</t>
  </si>
  <si>
    <t>2026-04-01</t>
  </si>
  <si>
    <t>QA00337</t>
  </si>
  <si>
    <t>芮诺电子</t>
  </si>
  <si>
    <t>2024-06-20</t>
  </si>
  <si>
    <t>QA00338</t>
  </si>
  <si>
    <t>沐田零食</t>
  </si>
  <si>
    <t>QA00339</t>
  </si>
  <si>
    <t>晨田零食</t>
  </si>
  <si>
    <t>2025-12-31</t>
  </si>
  <si>
    <t>QA00340</t>
  </si>
  <si>
    <t>芮溪饮品</t>
  </si>
  <si>
    <t>QA00341</t>
  </si>
  <si>
    <t>蔓诺服饰</t>
  </si>
  <si>
    <t>2024-10-11</t>
  </si>
  <si>
    <t>QA00342</t>
  </si>
  <si>
    <t>栀谷零食</t>
  </si>
  <si>
    <t>QA00343</t>
  </si>
  <si>
    <t>素诺家居</t>
  </si>
  <si>
    <t>QA00344</t>
  </si>
  <si>
    <t>微朵美妆</t>
  </si>
  <si>
    <t>2026-03-25</t>
  </si>
  <si>
    <t>QA00345</t>
  </si>
  <si>
    <t>海茉电子</t>
  </si>
  <si>
    <t>QA00346</t>
  </si>
  <si>
    <t>素刻香氛</t>
  </si>
  <si>
    <t>QA00347</t>
  </si>
  <si>
    <t>安诺宝贝</t>
  </si>
  <si>
    <t>QA00348</t>
  </si>
  <si>
    <t>蔓野饮品</t>
  </si>
  <si>
    <t>2025-03-26</t>
  </si>
  <si>
    <t>QA00349</t>
  </si>
  <si>
    <t>南珂康养</t>
  </si>
  <si>
    <t>2024-07-20</t>
  </si>
  <si>
    <t>QA00350</t>
  </si>
  <si>
    <t>云田科技</t>
  </si>
  <si>
    <t>QA00351</t>
  </si>
  <si>
    <t>柚橙饮品</t>
  </si>
  <si>
    <t>2025-02-27</t>
  </si>
  <si>
    <t>QA00352</t>
  </si>
  <si>
    <t>洛之超市</t>
  </si>
  <si>
    <t>2024-08-30</t>
  </si>
  <si>
    <t>QA00353</t>
  </si>
  <si>
    <t>初岚医药</t>
  </si>
  <si>
    <t>QA00354</t>
  </si>
  <si>
    <t>夕诺科技</t>
  </si>
  <si>
    <t>2025-03-15</t>
  </si>
  <si>
    <t>QA00355</t>
  </si>
  <si>
    <t>安宝婴童</t>
  </si>
  <si>
    <t>2024-07-10</t>
  </si>
  <si>
    <t>QA00356</t>
  </si>
  <si>
    <t>安刻美妆</t>
  </si>
  <si>
    <t>QA00357</t>
  </si>
  <si>
    <t>澜宝美妆</t>
  </si>
  <si>
    <t>2025-10-31</t>
  </si>
  <si>
    <t>QA00358</t>
  </si>
  <si>
    <t>山茉时装</t>
  </si>
  <si>
    <t>2026-01-11</t>
  </si>
  <si>
    <t>QA00359</t>
  </si>
  <si>
    <t>月刻数码</t>
  </si>
  <si>
    <t>2025-12-20</t>
  </si>
  <si>
    <t>QA00360</t>
  </si>
  <si>
    <t>云宝食品</t>
  </si>
  <si>
    <t>2025-09-25</t>
  </si>
  <si>
    <t>QA00361</t>
  </si>
  <si>
    <t>月野时装</t>
  </si>
  <si>
    <t>2026-01-08</t>
  </si>
  <si>
    <t>QA00362</t>
  </si>
  <si>
    <t>锦野智能</t>
  </si>
  <si>
    <t>2024-08-27</t>
  </si>
  <si>
    <t>QA00363</t>
  </si>
  <si>
    <t>林棠衣品</t>
  </si>
  <si>
    <t>2026-03-26</t>
  </si>
  <si>
    <t>QA00364</t>
  </si>
  <si>
    <t>洛溪零食</t>
  </si>
  <si>
    <t>QA00365</t>
  </si>
  <si>
    <t>星溪超市</t>
  </si>
  <si>
    <t>QA00366</t>
  </si>
  <si>
    <t>柒之零食</t>
  </si>
  <si>
    <t>QA00367</t>
  </si>
  <si>
    <t>雨珂乳业</t>
  </si>
  <si>
    <t>2025-10-12</t>
  </si>
  <si>
    <t>QA00368</t>
  </si>
  <si>
    <t>臻诺日化</t>
  </si>
  <si>
    <t>2025-07-23</t>
  </si>
  <si>
    <t>QA00369</t>
  </si>
  <si>
    <t>芮朵乳业</t>
  </si>
  <si>
    <t>QA00370</t>
  </si>
  <si>
    <t>南岚美妆</t>
  </si>
  <si>
    <t>QA00371</t>
  </si>
  <si>
    <t>南宝服饰</t>
  </si>
  <si>
    <t>QA00372</t>
  </si>
  <si>
    <t>雪朵宝贝</t>
  </si>
  <si>
    <t>QA00373</t>
  </si>
  <si>
    <t>森棠康养</t>
  </si>
  <si>
    <t>2025-07-25</t>
  </si>
  <si>
    <t>QA00374</t>
  </si>
  <si>
    <t>乐禾烘焙</t>
  </si>
  <si>
    <t>2026-03-12</t>
  </si>
  <si>
    <t>QA00375</t>
  </si>
  <si>
    <t>晨诺电子</t>
  </si>
  <si>
    <t>QA00376</t>
  </si>
  <si>
    <t>月初饮品</t>
  </si>
  <si>
    <t>2025-11-13</t>
  </si>
  <si>
    <t>QA00377</t>
  </si>
  <si>
    <t>雨之母婴</t>
  </si>
  <si>
    <t>2025-11-22</t>
  </si>
  <si>
    <t>QA00378</t>
  </si>
  <si>
    <t>初言饮品</t>
  </si>
  <si>
    <t>QA00379</t>
  </si>
  <si>
    <t>柒珂零食</t>
  </si>
  <si>
    <t>2025-09-18</t>
  </si>
  <si>
    <t>QA00380</t>
  </si>
  <si>
    <t>鹿谷宝贝</t>
  </si>
  <si>
    <t>2025-12-17</t>
  </si>
  <si>
    <t>QA00381</t>
  </si>
  <si>
    <t>星朵宝贝</t>
  </si>
  <si>
    <t>2025-02-21</t>
  </si>
  <si>
    <t>QA00382</t>
  </si>
  <si>
    <t>海田智能</t>
  </si>
  <si>
    <t>QA00383</t>
  </si>
  <si>
    <t>屿珂生活</t>
  </si>
  <si>
    <t>2024-11-15</t>
  </si>
  <si>
    <t>QA00384</t>
  </si>
  <si>
    <t>曜岚零食</t>
  </si>
  <si>
    <t>2026-05-09</t>
  </si>
  <si>
    <t>QA00385</t>
  </si>
  <si>
    <t>鹿茉零食</t>
  </si>
  <si>
    <t>2026-02-16</t>
  </si>
  <si>
    <t>QA00386</t>
  </si>
  <si>
    <t>柒芽衣品</t>
  </si>
  <si>
    <t>QA00387</t>
  </si>
  <si>
    <t>北谷母婴</t>
  </si>
  <si>
    <t>2024-08-13</t>
  </si>
  <si>
    <t>QA00388</t>
  </si>
  <si>
    <t>曜棠食品</t>
  </si>
  <si>
    <t>QA00389</t>
  </si>
  <si>
    <t>微言家纺</t>
  </si>
  <si>
    <t>2024-11-10</t>
  </si>
  <si>
    <t>QA00390</t>
  </si>
  <si>
    <t>微溪乳业</t>
  </si>
  <si>
    <t>QA00391</t>
  </si>
  <si>
    <t>森岚便利</t>
  </si>
  <si>
    <t>2024-06-09</t>
  </si>
  <si>
    <t>QA00392</t>
  </si>
  <si>
    <t>晨刻食品</t>
  </si>
  <si>
    <t>2025-12-22</t>
  </si>
  <si>
    <t>QA00393</t>
  </si>
  <si>
    <t>星岚美妆</t>
  </si>
  <si>
    <t>QA00394</t>
  </si>
  <si>
    <t>安珂衣品</t>
  </si>
  <si>
    <t>QA00395</t>
  </si>
  <si>
    <t>鹿野科技</t>
  </si>
  <si>
    <t>2025-06-17</t>
  </si>
  <si>
    <t>QA00396</t>
  </si>
  <si>
    <t>臻宝时装</t>
  </si>
  <si>
    <t>2025-01-04</t>
  </si>
  <si>
    <t>QA00397</t>
  </si>
  <si>
    <t>曜谷时装</t>
  </si>
  <si>
    <t>2024-11-29</t>
  </si>
  <si>
    <t>QA00398</t>
  </si>
  <si>
    <t>黎橙母婴</t>
  </si>
  <si>
    <t>2025-01-05</t>
  </si>
  <si>
    <t>QA00399</t>
  </si>
  <si>
    <t>南溪生活</t>
  </si>
  <si>
    <t>QA00400</t>
  </si>
  <si>
    <t>雨诺科技</t>
  </si>
  <si>
    <t>2025-06-22</t>
  </si>
  <si>
    <t>QA00401</t>
  </si>
  <si>
    <t>乐之饮品</t>
  </si>
  <si>
    <t>2025-03-17</t>
  </si>
  <si>
    <t>QA00402</t>
  </si>
  <si>
    <t>南言家居</t>
  </si>
  <si>
    <t>QA00403</t>
  </si>
  <si>
    <t>素野护肤</t>
  </si>
  <si>
    <t>QA00404</t>
  </si>
  <si>
    <t>黎野优选</t>
  </si>
  <si>
    <t>2024-12-06</t>
  </si>
  <si>
    <t>QA00405</t>
  </si>
  <si>
    <t>森芽数码</t>
  </si>
  <si>
    <t>QA00406</t>
  </si>
  <si>
    <t>林之电子</t>
  </si>
  <si>
    <t>QA00407</t>
  </si>
  <si>
    <t>洛芽数码</t>
  </si>
  <si>
    <t>2025-03-25</t>
  </si>
  <si>
    <t>QA00408</t>
  </si>
  <si>
    <t>洛橙乳业</t>
  </si>
  <si>
    <t>QA00409</t>
  </si>
  <si>
    <t>南栖电子</t>
  </si>
  <si>
    <t>QA00410</t>
  </si>
  <si>
    <t>栀言日化</t>
  </si>
  <si>
    <t>2026-04-18</t>
  </si>
  <si>
    <t>QA00411</t>
  </si>
  <si>
    <t>乐溪护肤</t>
  </si>
  <si>
    <t>2025-11-10</t>
  </si>
  <si>
    <t>QA00412</t>
  </si>
  <si>
    <t>微之时装</t>
  </si>
  <si>
    <t>2025-10-30</t>
  </si>
  <si>
    <t>QA00413</t>
  </si>
  <si>
    <t>屿刻日化</t>
  </si>
  <si>
    <t>2026-03-31</t>
  </si>
  <si>
    <t>QA00414</t>
  </si>
  <si>
    <t>云溪衣品</t>
  </si>
  <si>
    <t>2025-08-18</t>
  </si>
  <si>
    <t>QA00415</t>
  </si>
  <si>
    <t>岚之超市</t>
  </si>
  <si>
    <t>2025-03-01</t>
  </si>
  <si>
    <t>QA00416</t>
  </si>
  <si>
    <t>乐宝护肤</t>
  </si>
  <si>
    <t>QA00417</t>
  </si>
  <si>
    <t>臻芽美妆</t>
  </si>
  <si>
    <t>QA00418</t>
  </si>
  <si>
    <t>素溪香氛</t>
  </si>
  <si>
    <t>2025-08-24</t>
  </si>
  <si>
    <t>QA00419</t>
  </si>
  <si>
    <t>雪栖优选</t>
  </si>
  <si>
    <t>2026-03-01</t>
  </si>
  <si>
    <t>QA00420</t>
  </si>
  <si>
    <t>乐朵康养</t>
  </si>
  <si>
    <t>2025-10-27</t>
  </si>
  <si>
    <t>QA00421</t>
  </si>
  <si>
    <t>芮汀护肤</t>
  </si>
  <si>
    <t>2026-02-10</t>
  </si>
  <si>
    <t>QA00422</t>
  </si>
  <si>
    <t>素言母婴</t>
  </si>
  <si>
    <t>2025-01-29</t>
  </si>
  <si>
    <t>QA00423</t>
  </si>
  <si>
    <t>锦刻服饰</t>
  </si>
  <si>
    <t>2025-12-11</t>
  </si>
  <si>
    <t>QA00424</t>
  </si>
  <si>
    <t>云岚康养</t>
  </si>
  <si>
    <t>QA00425</t>
  </si>
  <si>
    <t>澄野烘焙</t>
  </si>
  <si>
    <t>2025-01-06</t>
  </si>
  <si>
    <t>QA00426</t>
  </si>
  <si>
    <t>黎茉食品</t>
  </si>
  <si>
    <t>QA00427</t>
  </si>
  <si>
    <t>臻橙乳业</t>
  </si>
  <si>
    <t>2025-05-16</t>
  </si>
  <si>
    <t>QA00428</t>
  </si>
  <si>
    <t>鹿诺护肤</t>
  </si>
  <si>
    <t>2024-06-22</t>
  </si>
  <si>
    <t>QA00429</t>
  </si>
  <si>
    <t>栀田服饰</t>
  </si>
  <si>
    <t>2025-12-26</t>
  </si>
  <si>
    <t>QA00430</t>
  </si>
  <si>
    <t>洛栖烘焙</t>
  </si>
  <si>
    <t>2024-09-11</t>
  </si>
  <si>
    <t>QA00431</t>
  </si>
  <si>
    <t>雨橙食品</t>
  </si>
  <si>
    <t>QA00432</t>
  </si>
  <si>
    <t>屿朵婴童</t>
  </si>
  <si>
    <t>QA00433</t>
  </si>
  <si>
    <t>林宝优选</t>
  </si>
  <si>
    <t>QA00434</t>
  </si>
  <si>
    <t>星野宝贝</t>
  </si>
  <si>
    <t>2025-12-01</t>
  </si>
  <si>
    <t>QA00435</t>
  </si>
  <si>
    <t>芮言宝贝</t>
  </si>
  <si>
    <t>QA00436</t>
  </si>
  <si>
    <t>禾芽香氛</t>
  </si>
  <si>
    <t>2025-11-16</t>
  </si>
  <si>
    <t>QA00437</t>
  </si>
  <si>
    <t>曜汀香氛</t>
  </si>
  <si>
    <t>QA00438</t>
  </si>
  <si>
    <t>月朵美妆</t>
  </si>
  <si>
    <t>QA00439</t>
  </si>
  <si>
    <t>岚之电子</t>
  </si>
  <si>
    <t>2025-04-14</t>
  </si>
  <si>
    <t>QA00440</t>
  </si>
  <si>
    <t>沐珂数码</t>
  </si>
  <si>
    <t>2025-04-12</t>
  </si>
  <si>
    <t>QA00441</t>
  </si>
  <si>
    <t>曜芽零食</t>
  </si>
  <si>
    <t>QA00442</t>
  </si>
  <si>
    <t>海诺烘焙</t>
  </si>
  <si>
    <t>QA00443</t>
  </si>
  <si>
    <t>洛栖便利</t>
  </si>
  <si>
    <t>QA00444</t>
  </si>
  <si>
    <t>云茉时装</t>
  </si>
  <si>
    <t>QA00445</t>
  </si>
  <si>
    <t>北岚家居</t>
  </si>
  <si>
    <t>2024-07-19</t>
  </si>
  <si>
    <t>QA00446</t>
  </si>
  <si>
    <t>澄朵护肤</t>
  </si>
  <si>
    <t>2026-04-26</t>
  </si>
  <si>
    <t>QA00447</t>
  </si>
  <si>
    <t>柚野医药</t>
  </si>
  <si>
    <t>QA00448</t>
  </si>
  <si>
    <t>岚茉智能</t>
  </si>
  <si>
    <t>QA00449</t>
  </si>
  <si>
    <t>晨之数码</t>
  </si>
  <si>
    <t>2024-06-15</t>
  </si>
  <si>
    <t>QA00450</t>
  </si>
  <si>
    <t>蔓汀日化</t>
  </si>
  <si>
    <t>2026-01-29</t>
  </si>
  <si>
    <t>QA00451</t>
  </si>
  <si>
    <t>屿田电子</t>
  </si>
  <si>
    <t>QA00452</t>
  </si>
  <si>
    <t>芮野婴童</t>
  </si>
  <si>
    <t>QA00453</t>
  </si>
  <si>
    <t>林橙烘焙</t>
  </si>
  <si>
    <t>QA00454</t>
  </si>
  <si>
    <t>乔岚优选</t>
  </si>
  <si>
    <t>2026-01-20</t>
  </si>
  <si>
    <t>QA00455</t>
  </si>
  <si>
    <t>晨溪乳业</t>
  </si>
  <si>
    <t>2025-03-14</t>
  </si>
  <si>
    <t>QA00456</t>
  </si>
  <si>
    <t>微言烘焙</t>
  </si>
  <si>
    <t>2025-11-14</t>
  </si>
  <si>
    <t>QA00457</t>
  </si>
  <si>
    <t>乔之婴童</t>
  </si>
  <si>
    <t>QA00458</t>
  </si>
  <si>
    <t>星谷生活</t>
  </si>
  <si>
    <t>2025-10-29</t>
  </si>
  <si>
    <t>QA00459</t>
  </si>
  <si>
    <t>曜茉零食</t>
  </si>
  <si>
    <t>QA00460</t>
  </si>
  <si>
    <t>乔橙日化</t>
  </si>
  <si>
    <t>2024-08-29</t>
  </si>
  <si>
    <t>QA00461</t>
  </si>
  <si>
    <t>素溪服饰</t>
  </si>
  <si>
    <t>2024-07-02</t>
  </si>
  <si>
    <t>QA00462</t>
  </si>
  <si>
    <t>洛溪优选</t>
  </si>
  <si>
    <t>QA00463</t>
  </si>
  <si>
    <t>南谷时装</t>
  </si>
  <si>
    <t>QA00464</t>
  </si>
  <si>
    <t>洛谷食品</t>
  </si>
  <si>
    <t>QA00465</t>
  </si>
  <si>
    <t>初初护肤</t>
  </si>
  <si>
    <t>2025-05-05</t>
  </si>
  <si>
    <t>QA00466</t>
  </si>
  <si>
    <t>栀初服饰</t>
  </si>
  <si>
    <t>QA00467</t>
  </si>
  <si>
    <t>乔野零食</t>
  </si>
  <si>
    <t>2024-11-05</t>
  </si>
  <si>
    <t>QA00468</t>
  </si>
  <si>
    <t>安刻超市</t>
  </si>
  <si>
    <t>QA00469</t>
  </si>
  <si>
    <t>岚岚家居</t>
  </si>
  <si>
    <t>QA00470</t>
  </si>
  <si>
    <t>乔野智能</t>
  </si>
  <si>
    <t>2026-05-15</t>
  </si>
  <si>
    <t>QA00471</t>
  </si>
  <si>
    <t>南芽日化</t>
  </si>
  <si>
    <t>QA00472</t>
  </si>
  <si>
    <t>沐朵电子</t>
  </si>
  <si>
    <t>QA00473</t>
  </si>
  <si>
    <t>南珂香氛</t>
  </si>
  <si>
    <t>2025-12-18</t>
  </si>
  <si>
    <t>QA00474</t>
  </si>
  <si>
    <t>川橙护肤</t>
  </si>
  <si>
    <t>2024-09-09</t>
  </si>
  <si>
    <t>QA00475</t>
  </si>
  <si>
    <t>川朵美妆</t>
  </si>
  <si>
    <t>2025-06-07</t>
  </si>
  <si>
    <t>QA00476</t>
  </si>
  <si>
    <t>黎橙数码</t>
  </si>
  <si>
    <t>2025-03-05</t>
  </si>
  <si>
    <t>QA00477</t>
  </si>
  <si>
    <t>素芽婴童</t>
  </si>
  <si>
    <t>QA00478</t>
  </si>
  <si>
    <t>晨汀香氛</t>
  </si>
  <si>
    <t>2024-10-13</t>
  </si>
  <si>
    <t>QA00479</t>
  </si>
  <si>
    <t>黎茉服饰</t>
  </si>
  <si>
    <t>2025-05-18</t>
  </si>
  <si>
    <t>QA00480</t>
  </si>
  <si>
    <t>缇之饮品</t>
  </si>
  <si>
    <t>2025-10-06</t>
  </si>
  <si>
    <t>QA00481</t>
  </si>
  <si>
    <t>黎诺母婴</t>
  </si>
  <si>
    <t>2025-08-07</t>
  </si>
  <si>
    <t>QA00482</t>
  </si>
  <si>
    <t>澄初科技</t>
  </si>
  <si>
    <t>2025-01-23</t>
  </si>
  <si>
    <t>QA00483</t>
  </si>
  <si>
    <t>沁刻宝贝</t>
  </si>
  <si>
    <t>2025-07-15</t>
  </si>
  <si>
    <t>QA00484</t>
  </si>
  <si>
    <t>禾汀服饰</t>
  </si>
  <si>
    <t>QA00485</t>
  </si>
  <si>
    <t>雪栖护肤</t>
  </si>
  <si>
    <t>QA00486</t>
  </si>
  <si>
    <t>月谷科技</t>
  </si>
  <si>
    <t>2025-03-21</t>
  </si>
  <si>
    <t>QA00487</t>
  </si>
  <si>
    <t>洛禾服饰</t>
  </si>
  <si>
    <t>QA00488</t>
  </si>
  <si>
    <t>雪宝数码</t>
  </si>
  <si>
    <t>2025-06-18</t>
  </si>
  <si>
    <t>QA00489</t>
  </si>
  <si>
    <t>南初婴童</t>
  </si>
  <si>
    <t>2025-09-11</t>
  </si>
  <si>
    <t>QA00490</t>
  </si>
  <si>
    <t>乔茉香氛</t>
  </si>
  <si>
    <t>2025-06-12</t>
  </si>
  <si>
    <t>QA00491</t>
  </si>
  <si>
    <t>北棠科技</t>
  </si>
  <si>
    <t>2025-05-11</t>
  </si>
  <si>
    <t>QA00492</t>
  </si>
  <si>
    <t>屿言时装</t>
  </si>
  <si>
    <t>QA00493</t>
  </si>
  <si>
    <t>屿言烘焙</t>
  </si>
  <si>
    <t>2026-03-05</t>
  </si>
  <si>
    <t>QA00494</t>
  </si>
  <si>
    <t>素言烘焙</t>
  </si>
  <si>
    <t>2025-11-20</t>
  </si>
  <si>
    <t>QA00495</t>
  </si>
  <si>
    <t>鹿田医药</t>
  </si>
  <si>
    <t>2026-03-06</t>
  </si>
  <si>
    <t>QA00496</t>
  </si>
  <si>
    <t>澜溪护肤</t>
  </si>
  <si>
    <t>2026-05-14</t>
  </si>
  <si>
    <t>QA00497</t>
  </si>
  <si>
    <t>雪岚日化</t>
  </si>
  <si>
    <t>2026-02-20</t>
  </si>
  <si>
    <t>QA00498</t>
  </si>
  <si>
    <t>洛芽便利</t>
  </si>
  <si>
    <t>2025-02-08</t>
  </si>
  <si>
    <t>QA00499</t>
  </si>
  <si>
    <t>南初乳业</t>
  </si>
  <si>
    <t>2025-12-07</t>
  </si>
  <si>
    <t>QA00500</t>
  </si>
  <si>
    <t>雪野零食</t>
  </si>
  <si>
    <t>QA00501</t>
  </si>
  <si>
    <t>夕橙数码</t>
  </si>
  <si>
    <t>2024-06-17</t>
  </si>
  <si>
    <t>QA00502</t>
  </si>
  <si>
    <t>海初零食</t>
  </si>
  <si>
    <t>2025-02-18</t>
  </si>
  <si>
    <t>QA00503</t>
  </si>
  <si>
    <t>雪诺智能</t>
  </si>
  <si>
    <t>2024-12-14</t>
  </si>
  <si>
    <t>QA00504</t>
  </si>
  <si>
    <t>岚珂优选</t>
  </si>
  <si>
    <t>QA00505</t>
  </si>
  <si>
    <t>芮岚香氛</t>
  </si>
  <si>
    <t>QA00506</t>
  </si>
  <si>
    <t>林言护肤</t>
  </si>
  <si>
    <t>QA00507</t>
  </si>
  <si>
    <t>芮棠饮品</t>
  </si>
  <si>
    <t>2026-01-09</t>
  </si>
  <si>
    <t>QA00508</t>
  </si>
  <si>
    <t>缇芽时装</t>
  </si>
  <si>
    <t>2025-12-24</t>
  </si>
  <si>
    <t>QA00509</t>
  </si>
  <si>
    <t>雨宝家纺</t>
  </si>
  <si>
    <t>2024-09-23</t>
  </si>
  <si>
    <t>QA00510</t>
  </si>
  <si>
    <t>雪之医药</t>
  </si>
  <si>
    <t>QA00511</t>
  </si>
  <si>
    <t>岚溪康养</t>
  </si>
  <si>
    <t>2024-10-27</t>
  </si>
  <si>
    <t>QA00512</t>
  </si>
  <si>
    <t>雪禾乳业</t>
  </si>
  <si>
    <t>QA00513</t>
  </si>
  <si>
    <t>安言服饰</t>
  </si>
  <si>
    <t>2026-01-05</t>
  </si>
  <si>
    <t>QA00514</t>
  </si>
  <si>
    <t>雨野时装</t>
  </si>
  <si>
    <t>2024-12-10</t>
  </si>
  <si>
    <t>QA00515</t>
  </si>
  <si>
    <t>微橙数码</t>
  </si>
  <si>
    <t>2026-05-01</t>
  </si>
  <si>
    <t>QA00516</t>
  </si>
  <si>
    <t>澜栖饮品</t>
  </si>
  <si>
    <t>QA00517</t>
  </si>
  <si>
    <t>蔓朵零食</t>
  </si>
  <si>
    <t>QA00518</t>
  </si>
  <si>
    <t>熙橙乳业</t>
  </si>
  <si>
    <t>QA00519</t>
  </si>
  <si>
    <t>鹿言美妆</t>
  </si>
  <si>
    <t>2025-11-19</t>
  </si>
  <si>
    <t>QA00520</t>
  </si>
  <si>
    <t>柚溪康养</t>
  </si>
  <si>
    <t>2026-03-13</t>
  </si>
  <si>
    <t>QA00521</t>
  </si>
  <si>
    <t>黎诺生活</t>
  </si>
  <si>
    <t>QA00522</t>
  </si>
  <si>
    <t>星汀香氛</t>
  </si>
  <si>
    <t>QA00523</t>
  </si>
  <si>
    <t>岚言生活</t>
  </si>
  <si>
    <t>2025-02-28</t>
  </si>
  <si>
    <t>QA00524</t>
  </si>
  <si>
    <t>缇橙美妆</t>
  </si>
  <si>
    <t>2025-10-18</t>
  </si>
  <si>
    <t>QA00525</t>
  </si>
  <si>
    <t>熙野宝贝</t>
  </si>
  <si>
    <t>2025-01-28</t>
  </si>
  <si>
    <t>QA00526</t>
  </si>
  <si>
    <t>鹿朵美妆</t>
  </si>
  <si>
    <t>QA00527</t>
  </si>
  <si>
    <t>晨棠饮品</t>
  </si>
  <si>
    <t>2025-08-27</t>
  </si>
  <si>
    <t>QA00528</t>
  </si>
  <si>
    <t>星谷乳业</t>
  </si>
  <si>
    <t>2024-07-31</t>
  </si>
  <si>
    <t>QA00529</t>
  </si>
  <si>
    <t>雨茉智能</t>
  </si>
  <si>
    <t>2026-03-15</t>
  </si>
  <si>
    <t>QA00530</t>
  </si>
  <si>
    <t>鹿溪婴童</t>
  </si>
  <si>
    <t>QA00531</t>
  </si>
  <si>
    <t>柚谷智能</t>
  </si>
  <si>
    <t>2024-07-14</t>
  </si>
  <si>
    <t>QA00532</t>
  </si>
  <si>
    <t>素棠零食</t>
  </si>
  <si>
    <t>QA00533</t>
  </si>
  <si>
    <t>北橙医药</t>
  </si>
  <si>
    <t>QA00534</t>
  </si>
  <si>
    <t>月言智能</t>
  </si>
  <si>
    <t>2024-12-22</t>
  </si>
  <si>
    <t>QA00535</t>
  </si>
  <si>
    <t>林橙电子</t>
  </si>
  <si>
    <t>QA00536</t>
  </si>
  <si>
    <t>栀珂健康</t>
  </si>
  <si>
    <t>QA00537</t>
  </si>
  <si>
    <t>星之乳业</t>
  </si>
  <si>
    <t>2025-04-22</t>
  </si>
  <si>
    <t>QA00538</t>
  </si>
  <si>
    <t>北刻烘焙</t>
  </si>
  <si>
    <t>2024-12-09</t>
  </si>
  <si>
    <t>QA00539</t>
  </si>
  <si>
    <t>森溪生活</t>
  </si>
  <si>
    <t>QA00540</t>
  </si>
  <si>
    <t>素田智能</t>
  </si>
  <si>
    <t>QA00541</t>
  </si>
  <si>
    <t>沁芽母婴</t>
  </si>
  <si>
    <t>2025-01-26</t>
  </si>
  <si>
    <t>QA00542</t>
  </si>
  <si>
    <t>森岚食品</t>
  </si>
  <si>
    <t>QA00543</t>
  </si>
  <si>
    <t>林初零食</t>
  </si>
  <si>
    <t>QA00544</t>
  </si>
  <si>
    <t>山朵零食</t>
  </si>
  <si>
    <t>2025-04-05</t>
  </si>
  <si>
    <t>QA00545</t>
  </si>
  <si>
    <t>素茉服饰</t>
  </si>
  <si>
    <t>QA00546</t>
  </si>
  <si>
    <t>林岚便利</t>
  </si>
  <si>
    <t>QA00547</t>
  </si>
  <si>
    <t>岚茉烘焙</t>
  </si>
  <si>
    <t>QA00548</t>
  </si>
  <si>
    <t>初田美妆</t>
  </si>
  <si>
    <t>2025-12-23</t>
  </si>
  <si>
    <t>QA00549</t>
  </si>
  <si>
    <t>初初香氛</t>
  </si>
  <si>
    <t>2025-04-08</t>
  </si>
  <si>
    <t>QA00550</t>
  </si>
  <si>
    <t>北禾乳业</t>
  </si>
  <si>
    <t>2025-01-20</t>
  </si>
  <si>
    <t>QA00551</t>
  </si>
  <si>
    <t>蔓汀母婴</t>
  </si>
  <si>
    <t>QA00552</t>
  </si>
  <si>
    <t>洛之健康</t>
  </si>
  <si>
    <t>2026-02-21</t>
  </si>
  <si>
    <t>QA00553</t>
  </si>
  <si>
    <t>锦野饮品</t>
  </si>
  <si>
    <t>2024-12-25</t>
  </si>
  <si>
    <t>QA00554</t>
  </si>
  <si>
    <t>乔茉饮品</t>
  </si>
  <si>
    <t>2025-03-07</t>
  </si>
  <si>
    <t>QA00555</t>
  </si>
  <si>
    <t>川橙服饰</t>
  </si>
  <si>
    <t>2026-01-15</t>
  </si>
  <si>
    <t>QA00556</t>
  </si>
  <si>
    <t>岚宝饮品</t>
  </si>
  <si>
    <t>QA00557</t>
  </si>
  <si>
    <t>乐溪宝贝</t>
  </si>
  <si>
    <t>2024-08-24</t>
  </si>
  <si>
    <t>QA00558</t>
  </si>
  <si>
    <t>洛谷时装</t>
  </si>
  <si>
    <t>QA00559</t>
  </si>
  <si>
    <t>北言香氛</t>
  </si>
  <si>
    <t>2024-10-08</t>
  </si>
  <si>
    <t>QA00560</t>
  </si>
  <si>
    <t>洛茉烘焙</t>
  </si>
  <si>
    <t>2026-03-19</t>
  </si>
  <si>
    <t>QA00561</t>
  </si>
  <si>
    <t>川诺香氛</t>
  </si>
  <si>
    <t>QA00562</t>
  </si>
  <si>
    <t>蔓田智能</t>
  </si>
  <si>
    <t>QA00563</t>
  </si>
  <si>
    <t>海宝烘焙</t>
  </si>
  <si>
    <t>QA00564</t>
  </si>
  <si>
    <t>森珂烘焙</t>
  </si>
  <si>
    <t>QA00565</t>
  </si>
  <si>
    <t>黎刻时装</t>
  </si>
  <si>
    <t>2025-05-10</t>
  </si>
  <si>
    <t>QA00566</t>
  </si>
  <si>
    <t>屿言电子</t>
  </si>
  <si>
    <t>2025-06-08</t>
  </si>
  <si>
    <t>QA00567</t>
  </si>
  <si>
    <t>屿溪生活</t>
  </si>
  <si>
    <t>2025-01-15</t>
  </si>
  <si>
    <t>QA00568</t>
  </si>
  <si>
    <t>锦宝时装</t>
  </si>
  <si>
    <t>QA00569</t>
  </si>
  <si>
    <t>北栖服饰</t>
  </si>
  <si>
    <t>QA00570</t>
  </si>
  <si>
    <t>缇野护肤</t>
  </si>
  <si>
    <t>2025-08-11</t>
  </si>
  <si>
    <t>QA00571</t>
  </si>
  <si>
    <t>夕田数码</t>
  </si>
  <si>
    <t>QA00572</t>
  </si>
  <si>
    <t>初芽优选</t>
  </si>
  <si>
    <t>QA00573</t>
  </si>
  <si>
    <t>乐珂乳业</t>
  </si>
  <si>
    <t>QA00574</t>
  </si>
  <si>
    <t>星溪宝贝</t>
  </si>
  <si>
    <t>2025-06-23</t>
  </si>
  <si>
    <t>QA00575</t>
  </si>
  <si>
    <t>森朵美妆</t>
  </si>
  <si>
    <t>2025-01-21</t>
  </si>
  <si>
    <t>QA00576</t>
  </si>
  <si>
    <t>黎芽科技</t>
  </si>
  <si>
    <t>QA00577</t>
  </si>
  <si>
    <t>川棠烘焙</t>
  </si>
  <si>
    <t>2024-11-04</t>
  </si>
  <si>
    <t>QA00578</t>
  </si>
  <si>
    <t>栀茉超市</t>
  </si>
  <si>
    <t>QA00579</t>
  </si>
  <si>
    <t>缇谷食品</t>
  </si>
  <si>
    <t>QA00580</t>
  </si>
  <si>
    <t>锦岚食品</t>
  </si>
  <si>
    <t>2025-04-29</t>
  </si>
  <si>
    <t>QA00581</t>
  </si>
  <si>
    <t>黎宝家居</t>
  </si>
  <si>
    <t>2024-10-19</t>
  </si>
  <si>
    <t>QA00582</t>
  </si>
  <si>
    <t>海汀宝贝</t>
  </si>
  <si>
    <t>2025-05-07</t>
  </si>
  <si>
    <t>QA00583</t>
  </si>
  <si>
    <t>禾田零食</t>
  </si>
  <si>
    <t>2025-08-08</t>
  </si>
  <si>
    <t>QA00584</t>
  </si>
  <si>
    <t>星岚便利</t>
  </si>
  <si>
    <t>QA00585</t>
  </si>
  <si>
    <t>乐朵日化</t>
  </si>
  <si>
    <t>QA00586</t>
  </si>
  <si>
    <t>锦芽母婴</t>
  </si>
  <si>
    <t>QA00587</t>
  </si>
  <si>
    <t>乔野便利</t>
  </si>
  <si>
    <t>2024-07-16</t>
  </si>
  <si>
    <t>QA00588</t>
  </si>
  <si>
    <t>缇刻时装</t>
  </si>
  <si>
    <t>QA00589</t>
  </si>
  <si>
    <t>黎栖美妆</t>
  </si>
  <si>
    <t>QA00590</t>
  </si>
  <si>
    <t>屿珂香氛</t>
  </si>
  <si>
    <t>QA00591</t>
  </si>
  <si>
    <t>乐茉饮品</t>
  </si>
  <si>
    <t>QA00592</t>
  </si>
  <si>
    <t>雨棠护肤</t>
  </si>
  <si>
    <t>QA00593</t>
  </si>
  <si>
    <t>鹿言乳业</t>
  </si>
  <si>
    <t>2025-01-31</t>
  </si>
  <si>
    <t>QA00594</t>
  </si>
  <si>
    <t>北橙衣品</t>
  </si>
  <si>
    <t>2024-07-13</t>
  </si>
  <si>
    <t>QA00595</t>
  </si>
  <si>
    <t>缇田婴童</t>
  </si>
  <si>
    <t>QA00596</t>
  </si>
  <si>
    <t>黎朵香氛</t>
  </si>
  <si>
    <t>2024-12-20</t>
  </si>
  <si>
    <t>QA00597</t>
  </si>
  <si>
    <t>雨栖康养</t>
  </si>
  <si>
    <t>2026-01-07</t>
  </si>
  <si>
    <t>QA00598</t>
  </si>
  <si>
    <t>缇珂家纺</t>
  </si>
  <si>
    <t>2024-06-25</t>
  </si>
  <si>
    <t>QA00599</t>
  </si>
  <si>
    <t>山禾婴童</t>
  </si>
  <si>
    <t>QA00600</t>
  </si>
  <si>
    <t>星栖零食</t>
  </si>
  <si>
    <t>2025-08-28</t>
  </si>
  <si>
    <t>QA00601</t>
  </si>
  <si>
    <t>乔诺优选</t>
  </si>
  <si>
    <t>2026-02-18</t>
  </si>
  <si>
    <t>QA00602</t>
  </si>
  <si>
    <t>星芽智能</t>
  </si>
  <si>
    <t>QA00603</t>
  </si>
  <si>
    <t>鹿之家纺</t>
  </si>
  <si>
    <t>QA00604</t>
  </si>
  <si>
    <t>柚诺日化</t>
  </si>
  <si>
    <t>QA00605</t>
  </si>
  <si>
    <t>熙汀智能</t>
  </si>
  <si>
    <t>QA00606</t>
  </si>
  <si>
    <t>栀野饮品</t>
  </si>
  <si>
    <t>2024-11-21</t>
  </si>
  <si>
    <t>QA00607</t>
  </si>
  <si>
    <t>安谷宝贝</t>
  </si>
  <si>
    <t>2026-04-22</t>
  </si>
  <si>
    <t>QA00608</t>
  </si>
  <si>
    <t>乔朵医药</t>
  </si>
  <si>
    <t>2025-06-13</t>
  </si>
  <si>
    <t>QA00609</t>
  </si>
  <si>
    <t>栀言服饰</t>
  </si>
  <si>
    <t>2024-08-08</t>
  </si>
  <si>
    <t>QA00610</t>
  </si>
  <si>
    <t>川野乳业</t>
  </si>
  <si>
    <t>2024-08-22</t>
  </si>
  <si>
    <t>QA00611</t>
  </si>
  <si>
    <t>鹿溪护肤</t>
  </si>
  <si>
    <t>2024-12-19</t>
  </si>
  <si>
    <t>QA00612</t>
  </si>
  <si>
    <t>雪诺食品</t>
  </si>
  <si>
    <t>2024-08-18</t>
  </si>
  <si>
    <t>QA00613</t>
  </si>
  <si>
    <t>臻茉护肤</t>
  </si>
  <si>
    <t>QA00614</t>
  </si>
  <si>
    <t>夕橙智能</t>
  </si>
  <si>
    <t>2026-01-22</t>
  </si>
  <si>
    <t>QA00615</t>
  </si>
  <si>
    <t>素野婴童</t>
  </si>
  <si>
    <t>QA00616</t>
  </si>
  <si>
    <t>屿诺母婴</t>
  </si>
  <si>
    <t>QA00617</t>
  </si>
  <si>
    <t>岚禾衣品</t>
  </si>
  <si>
    <t>QA00618</t>
  </si>
  <si>
    <t>臻朵便利</t>
  </si>
  <si>
    <t>2024-06-14</t>
  </si>
  <si>
    <t>QA00619</t>
  </si>
  <si>
    <t>禾之乳业</t>
  </si>
  <si>
    <t>2025-11-23</t>
  </si>
  <si>
    <t>QA00620</t>
  </si>
  <si>
    <t>安棠时装</t>
  </si>
  <si>
    <t>QA00621</t>
  </si>
  <si>
    <t>锦棠香氛</t>
  </si>
  <si>
    <t>QA00622</t>
  </si>
  <si>
    <t>柒岚香氛</t>
  </si>
  <si>
    <t>QA00623</t>
  </si>
  <si>
    <t>海棠饮品</t>
  </si>
  <si>
    <t>2025-08-23</t>
  </si>
  <si>
    <t>QA00624</t>
  </si>
  <si>
    <t>岚芽电子</t>
  </si>
  <si>
    <t>QA00625</t>
  </si>
  <si>
    <t>初栖零食</t>
  </si>
  <si>
    <t>2024-12-04</t>
  </si>
  <si>
    <t>QA00626</t>
  </si>
  <si>
    <t>熙宝婴童</t>
  </si>
  <si>
    <t>QA00627</t>
  </si>
  <si>
    <t>屿田科技</t>
  </si>
  <si>
    <t>2025-07-10</t>
  </si>
  <si>
    <t>QA00628</t>
  </si>
  <si>
    <t>乔溪香氛</t>
  </si>
  <si>
    <t>QA00629</t>
  </si>
  <si>
    <t>锦言护肤</t>
  </si>
  <si>
    <t>2026-02-09</t>
  </si>
  <si>
    <t>QA00630</t>
  </si>
  <si>
    <t>星刻饮品</t>
  </si>
  <si>
    <t>2025-11-18</t>
  </si>
  <si>
    <t>QA00631</t>
  </si>
  <si>
    <t>乔溪科技</t>
  </si>
  <si>
    <t>QA00632</t>
  </si>
  <si>
    <t>森初服饰</t>
  </si>
  <si>
    <t>QA00633</t>
  </si>
  <si>
    <t>月栖日化</t>
  </si>
  <si>
    <t>QA00634</t>
  </si>
  <si>
    <t>晨栖优选</t>
  </si>
  <si>
    <t>QA00635</t>
  </si>
  <si>
    <t>初珂婴童</t>
  </si>
  <si>
    <t>2025-05-08</t>
  </si>
  <si>
    <t>QA00636</t>
  </si>
  <si>
    <t>澜橙宝贝</t>
  </si>
  <si>
    <t>QA00637</t>
  </si>
  <si>
    <t>林岚香氛</t>
  </si>
  <si>
    <t>2025-05-27</t>
  </si>
  <si>
    <t>QA00638</t>
  </si>
  <si>
    <t>乐田烘焙</t>
  </si>
  <si>
    <t>QA00639</t>
  </si>
  <si>
    <t>乔言优选</t>
  </si>
  <si>
    <t>QA00640</t>
  </si>
  <si>
    <t>澄野便利</t>
  </si>
  <si>
    <t>QA00641</t>
  </si>
  <si>
    <t>屿禾家纺</t>
  </si>
  <si>
    <t>2024-09-17</t>
  </si>
  <si>
    <t>QA00642</t>
  </si>
  <si>
    <t>森朵时装</t>
  </si>
  <si>
    <t>2025-09-29</t>
  </si>
  <si>
    <t>QA00643</t>
  </si>
  <si>
    <t>屿岚日化</t>
  </si>
  <si>
    <t>QA00644</t>
  </si>
  <si>
    <t>臻汀零食</t>
  </si>
  <si>
    <t>QA00645</t>
  </si>
  <si>
    <t>黎之生活</t>
  </si>
  <si>
    <t>QA00646</t>
  </si>
  <si>
    <t>芮芽康养</t>
  </si>
  <si>
    <t>2025-01-16</t>
  </si>
  <si>
    <t>QA00647</t>
  </si>
  <si>
    <t>夕栖烘焙</t>
  </si>
  <si>
    <t>QA00648</t>
  </si>
  <si>
    <t>月朵母婴</t>
  </si>
  <si>
    <t>2025-06-14</t>
  </si>
  <si>
    <t>QA00649</t>
  </si>
  <si>
    <t>蔓朵烘焙</t>
  </si>
  <si>
    <t>QA00650</t>
  </si>
  <si>
    <t>鹿溪饮品</t>
  </si>
  <si>
    <t>QA00651</t>
  </si>
  <si>
    <t>星茉日化</t>
  </si>
  <si>
    <t>QA00652</t>
  </si>
  <si>
    <t>雪茉婴童</t>
  </si>
  <si>
    <t>QA00653</t>
  </si>
  <si>
    <t>禾田美妆</t>
  </si>
  <si>
    <t>QA00654</t>
  </si>
  <si>
    <t>微岚烘焙</t>
  </si>
  <si>
    <t>2025-03-06</t>
  </si>
  <si>
    <t>QA00655</t>
  </si>
  <si>
    <t>乔岚衣品</t>
  </si>
  <si>
    <t>QA00656</t>
  </si>
  <si>
    <t>夕野护肤</t>
  </si>
  <si>
    <t>2025-07-17</t>
  </si>
  <si>
    <t>QA00657</t>
  </si>
  <si>
    <t>蔓宝零食</t>
  </si>
  <si>
    <t>QA00658</t>
  </si>
  <si>
    <t>洛诺护肤</t>
  </si>
  <si>
    <t>2025-02-06</t>
  </si>
  <si>
    <t>QA00659</t>
  </si>
  <si>
    <t>屿宝日化</t>
  </si>
  <si>
    <t>2024-09-13</t>
  </si>
  <si>
    <t>QA00660</t>
  </si>
  <si>
    <t>安之电子</t>
  </si>
  <si>
    <t>QA00661</t>
  </si>
  <si>
    <t>蔓汀数码</t>
  </si>
  <si>
    <t>QA00662</t>
  </si>
  <si>
    <t>沐刻零食</t>
  </si>
  <si>
    <t>QA00663</t>
  </si>
  <si>
    <t>雪芽母婴</t>
  </si>
  <si>
    <t>QA00664</t>
  </si>
  <si>
    <t>熙谷科技</t>
  </si>
  <si>
    <t>QA00665</t>
  </si>
  <si>
    <t>星栖美妆</t>
  </si>
  <si>
    <t>QA00666</t>
  </si>
  <si>
    <t>微刻母婴</t>
  </si>
  <si>
    <t>QA00667</t>
  </si>
  <si>
    <t>林之科技</t>
  </si>
  <si>
    <t>2024-09-19</t>
  </si>
  <si>
    <t>QA00668</t>
  </si>
  <si>
    <t>芮珂香氛</t>
  </si>
  <si>
    <t>2024-10-04</t>
  </si>
  <si>
    <t>QA00669</t>
  </si>
  <si>
    <t>黎棠饮品</t>
  </si>
  <si>
    <t>QA00670</t>
  </si>
  <si>
    <t>栀栖乳业</t>
  </si>
  <si>
    <t>2024-06-18</t>
  </si>
  <si>
    <t>QA00671</t>
  </si>
  <si>
    <t>月溪乳业</t>
  </si>
  <si>
    <t>QA00672</t>
  </si>
  <si>
    <t>熙刻医药</t>
  </si>
  <si>
    <t>2026-03-14</t>
  </si>
  <si>
    <t>QA00673</t>
  </si>
  <si>
    <t>沐野家居</t>
  </si>
  <si>
    <t>2025-10-16</t>
  </si>
  <si>
    <t>QA00674</t>
  </si>
  <si>
    <t>云宝服饰</t>
  </si>
  <si>
    <t>2025-11-05</t>
  </si>
  <si>
    <t>QA00675</t>
  </si>
  <si>
    <t>曜茉智能</t>
  </si>
  <si>
    <t>QA00676</t>
  </si>
  <si>
    <t>蔓野衣品</t>
  </si>
  <si>
    <t>QA00677</t>
  </si>
  <si>
    <t>初宝衣品</t>
  </si>
  <si>
    <t>2025-10-10</t>
  </si>
  <si>
    <t>QA00678</t>
  </si>
  <si>
    <t>屿禾母婴</t>
  </si>
  <si>
    <t>QA00679</t>
  </si>
  <si>
    <t>禾珂零食</t>
  </si>
  <si>
    <t>2024-12-23</t>
  </si>
  <si>
    <t>QA00680</t>
  </si>
  <si>
    <t>芮谷婴童</t>
  </si>
  <si>
    <t>QA00681</t>
  </si>
  <si>
    <t>岚之日化</t>
  </si>
  <si>
    <t>QA00682</t>
  </si>
  <si>
    <t>雨溪饮品</t>
  </si>
  <si>
    <t>2025-07-12</t>
  </si>
  <si>
    <t>QA00683</t>
  </si>
  <si>
    <t>云谷护肤</t>
  </si>
  <si>
    <t>QA00684</t>
  </si>
  <si>
    <t>素诺烘焙</t>
  </si>
  <si>
    <t>2025-07-07</t>
  </si>
  <si>
    <t>QA00685</t>
  </si>
  <si>
    <t>月谷家居</t>
  </si>
  <si>
    <t>QA00686</t>
  </si>
  <si>
    <t>芮宝服饰</t>
  </si>
  <si>
    <t>QA00687</t>
  </si>
  <si>
    <t>南朵日化</t>
  </si>
  <si>
    <t>QA00688</t>
  </si>
  <si>
    <t>云橙零食</t>
  </si>
  <si>
    <t>QA00689</t>
  </si>
  <si>
    <t>缇谷衣品</t>
  </si>
  <si>
    <t>QA00690</t>
  </si>
  <si>
    <t>月禾饮品</t>
  </si>
  <si>
    <t>2025-11-12</t>
  </si>
  <si>
    <t>QA00691</t>
  </si>
  <si>
    <t>熙宝食品</t>
  </si>
  <si>
    <t>2024-09-25</t>
  </si>
  <si>
    <t>QA00692</t>
  </si>
  <si>
    <t>岚宝家居</t>
  </si>
  <si>
    <t>QA00693</t>
  </si>
  <si>
    <t>岚禾便利</t>
  </si>
  <si>
    <t>QA00694</t>
  </si>
  <si>
    <t>澜初母婴</t>
  </si>
  <si>
    <t>QA00695</t>
  </si>
  <si>
    <t>云刻智能</t>
  </si>
  <si>
    <t>QA00696</t>
  </si>
  <si>
    <t>缇茉科技</t>
  </si>
  <si>
    <t>2025-07-13</t>
  </si>
  <si>
    <t>QA00697</t>
  </si>
  <si>
    <t>云棠便利</t>
  </si>
  <si>
    <t>QA00698</t>
  </si>
  <si>
    <t>蔓茉时装</t>
  </si>
  <si>
    <t>QA00699</t>
  </si>
  <si>
    <t>鹿禾家纺</t>
  </si>
  <si>
    <t>QA00700</t>
  </si>
  <si>
    <t>山朵服饰</t>
  </si>
  <si>
    <t>2025-02-22</t>
  </si>
  <si>
    <t>QA00701</t>
  </si>
  <si>
    <t>芮棠健康</t>
  </si>
  <si>
    <t>QA00702</t>
  </si>
  <si>
    <t>林刻乳业</t>
  </si>
  <si>
    <t>QA00703</t>
  </si>
  <si>
    <t>雨茉数码</t>
  </si>
  <si>
    <t>2026-01-10</t>
  </si>
  <si>
    <t>QA00704</t>
  </si>
  <si>
    <t>川朵母婴</t>
  </si>
  <si>
    <t>2025-07-29</t>
  </si>
  <si>
    <t>QA00705</t>
  </si>
  <si>
    <t>夕田家纺</t>
  </si>
  <si>
    <t>2026-05-28</t>
  </si>
  <si>
    <t>QA00706</t>
  </si>
  <si>
    <t>蔓言数码</t>
  </si>
  <si>
    <t>QA00707</t>
  </si>
  <si>
    <t>北诺家纺</t>
  </si>
  <si>
    <t>2025-06-09</t>
  </si>
  <si>
    <t>QA00708</t>
  </si>
  <si>
    <t>沐岚零食</t>
  </si>
  <si>
    <t>QA00709</t>
  </si>
  <si>
    <t>北朵优选</t>
  </si>
  <si>
    <t>QA00710</t>
  </si>
  <si>
    <t>熙茉饮品</t>
  </si>
  <si>
    <t>QA00711</t>
  </si>
  <si>
    <t>柚禾便利</t>
  </si>
  <si>
    <t>QA00712</t>
  </si>
  <si>
    <t>星之香氛</t>
  </si>
  <si>
    <t>QA00713</t>
  </si>
  <si>
    <t>山橙食品</t>
  </si>
  <si>
    <t>2024-10-28</t>
  </si>
  <si>
    <t>QA00714</t>
  </si>
  <si>
    <t>栀汀香氛</t>
  </si>
  <si>
    <t>QA00715</t>
  </si>
  <si>
    <t>鹿栖智能</t>
  </si>
  <si>
    <t>QA00716</t>
  </si>
  <si>
    <t>柚初服饰</t>
  </si>
  <si>
    <t>2025-06-26</t>
  </si>
  <si>
    <t>QA00717</t>
  </si>
  <si>
    <t>北野医药</t>
  </si>
  <si>
    <t>QA00718</t>
  </si>
  <si>
    <t>蔓田婴童</t>
  </si>
  <si>
    <t>QA00719</t>
  </si>
  <si>
    <t>乔栖家居</t>
  </si>
  <si>
    <t>2025-01-09</t>
  </si>
  <si>
    <t>QA00720</t>
  </si>
  <si>
    <t>柚刻宝贝</t>
  </si>
  <si>
    <t>QA00721</t>
  </si>
  <si>
    <t>缇言生活</t>
  </si>
  <si>
    <t>2025-11-04</t>
  </si>
  <si>
    <t>QA00722</t>
  </si>
  <si>
    <t>森禾数码</t>
  </si>
  <si>
    <t>QA00723</t>
  </si>
  <si>
    <t>南橙电子</t>
  </si>
  <si>
    <t>QA00724</t>
  </si>
  <si>
    <t>海棠衣品</t>
  </si>
  <si>
    <t>QA00725</t>
  </si>
  <si>
    <t>安之日化</t>
  </si>
  <si>
    <t>2025-09-23</t>
  </si>
  <si>
    <t>QA00726</t>
  </si>
  <si>
    <t>雨朵科技</t>
  </si>
  <si>
    <t>QA00727</t>
  </si>
  <si>
    <t>柚岚乳业</t>
  </si>
  <si>
    <t>QA00728</t>
  </si>
  <si>
    <t>芮溪家纺</t>
  </si>
  <si>
    <t>2024-12-31</t>
  </si>
  <si>
    <t>QA00729</t>
  </si>
  <si>
    <t>芮珂优选</t>
  </si>
  <si>
    <t>2025-03-08</t>
  </si>
  <si>
    <t>QA00730</t>
  </si>
  <si>
    <t>晨茉日化</t>
  </si>
  <si>
    <t>2026-01-14</t>
  </si>
  <si>
    <t>QA00731</t>
  </si>
  <si>
    <t>初岚电子</t>
  </si>
  <si>
    <t>QA00732</t>
  </si>
  <si>
    <t>微初智能</t>
  </si>
  <si>
    <t>2026-01-27</t>
  </si>
  <si>
    <t>QA00733</t>
  </si>
  <si>
    <t>微岚饮品</t>
  </si>
  <si>
    <t>QA00734</t>
  </si>
  <si>
    <t>鹿初饮品</t>
  </si>
  <si>
    <t>QA00735</t>
  </si>
  <si>
    <t>缇溪衣品</t>
  </si>
  <si>
    <t>QA00736</t>
  </si>
  <si>
    <t>岚茉电子</t>
  </si>
  <si>
    <t>QA00737</t>
  </si>
  <si>
    <t>川诺服饰</t>
  </si>
  <si>
    <t>QA00738</t>
  </si>
  <si>
    <t>星之智能</t>
  </si>
  <si>
    <t>QA00739</t>
  </si>
  <si>
    <t>云谷优选</t>
  </si>
  <si>
    <t>QA00740</t>
  </si>
  <si>
    <t>月橙宝贝</t>
  </si>
  <si>
    <t>QA00741</t>
  </si>
  <si>
    <t>初宝护肤</t>
  </si>
  <si>
    <t>QA00742</t>
  </si>
  <si>
    <t>臻刻护肤</t>
  </si>
  <si>
    <t>QA00743</t>
  </si>
  <si>
    <t>栀朵零食</t>
  </si>
  <si>
    <t>2025-06-06</t>
  </si>
  <si>
    <t>QA00744</t>
  </si>
  <si>
    <t>黎之便利</t>
  </si>
  <si>
    <t>QA00745</t>
  </si>
  <si>
    <t>云初时装</t>
  </si>
  <si>
    <t>2025-07-11</t>
  </si>
  <si>
    <t>QA00746</t>
  </si>
  <si>
    <t>洛田优选</t>
  </si>
  <si>
    <t>2025-05-14</t>
  </si>
  <si>
    <t>QA00747</t>
  </si>
  <si>
    <t>沐田烘焙</t>
  </si>
  <si>
    <t>QA00748</t>
  </si>
  <si>
    <t>缇珂零食</t>
  </si>
  <si>
    <t>QA00749</t>
  </si>
  <si>
    <t>北野衣品</t>
  </si>
  <si>
    <t>2025-12-29</t>
  </si>
  <si>
    <t>QA00750</t>
  </si>
  <si>
    <t>乐栖家纺</t>
  </si>
  <si>
    <t>QA00751</t>
  </si>
  <si>
    <t>曜之生活</t>
  </si>
  <si>
    <t>2025-07-08</t>
  </si>
  <si>
    <t>QA00752</t>
  </si>
  <si>
    <t>乐朵电子</t>
  </si>
  <si>
    <t>QA00753</t>
  </si>
  <si>
    <t>雪田衣品</t>
  </si>
  <si>
    <t>QA00754</t>
  </si>
  <si>
    <t>夕芽家纺</t>
  </si>
  <si>
    <t>2025-05-23</t>
  </si>
  <si>
    <t>QA00755</t>
  </si>
  <si>
    <t>森谷时装</t>
  </si>
  <si>
    <t>QA00756</t>
  </si>
  <si>
    <t>柚橙优选</t>
  </si>
  <si>
    <t>QA00757</t>
  </si>
  <si>
    <t>缇野服饰</t>
  </si>
  <si>
    <t>2025-09-17</t>
  </si>
  <si>
    <t>QA00758</t>
  </si>
  <si>
    <t>安茉电子</t>
  </si>
  <si>
    <t>2024-11-26</t>
  </si>
  <si>
    <t>QA00759</t>
  </si>
  <si>
    <t>岚谷美妆</t>
  </si>
  <si>
    <t>QA00760</t>
  </si>
  <si>
    <t>雪岚生活</t>
  </si>
  <si>
    <t>QA00761</t>
  </si>
  <si>
    <t>南棠健康</t>
  </si>
  <si>
    <t>2025-02-17</t>
  </si>
  <si>
    <t>QA00762</t>
  </si>
  <si>
    <t>林刻零食</t>
  </si>
  <si>
    <t>2024-12-26</t>
  </si>
  <si>
    <t>QA00763</t>
  </si>
  <si>
    <t>柒栖科技</t>
  </si>
  <si>
    <t>QA00764</t>
  </si>
  <si>
    <t>芮栖宝贝</t>
  </si>
  <si>
    <t>QA00765</t>
  </si>
  <si>
    <t>林芽便利</t>
  </si>
  <si>
    <t>QA00766</t>
  </si>
  <si>
    <t>曜谷婴童</t>
  </si>
  <si>
    <t>2024-11-25</t>
  </si>
  <si>
    <t>QA00767</t>
  </si>
  <si>
    <t>沐初时装</t>
  </si>
  <si>
    <t>QA00768</t>
  </si>
  <si>
    <t>云岚护肤</t>
  </si>
  <si>
    <t>QA00769</t>
  </si>
  <si>
    <t>微禾护肤</t>
  </si>
  <si>
    <t>QA00770</t>
  </si>
  <si>
    <t>沁朵服饰</t>
  </si>
  <si>
    <t>2024-11-23</t>
  </si>
  <si>
    <t>QA00771</t>
  </si>
  <si>
    <t>蔓岚美妆</t>
  </si>
  <si>
    <t>2025-11-15</t>
  </si>
  <si>
    <t>QA00772</t>
  </si>
  <si>
    <t>熙橙食品</t>
  </si>
  <si>
    <t>2025-02-14</t>
  </si>
  <si>
    <t>QA00773</t>
  </si>
  <si>
    <t>黎野日化</t>
  </si>
  <si>
    <t>2025-09-09</t>
  </si>
  <si>
    <t>QA00774</t>
  </si>
  <si>
    <t>缇芽香氛</t>
  </si>
  <si>
    <t>QA00775</t>
  </si>
  <si>
    <t>蔓田零食</t>
  </si>
  <si>
    <t>QA00776</t>
  </si>
  <si>
    <t>禾诺香氛</t>
  </si>
  <si>
    <t>QA00777</t>
  </si>
  <si>
    <t>海橙香氛</t>
  </si>
  <si>
    <t>QA00778</t>
  </si>
  <si>
    <t>初栖宝贝</t>
  </si>
  <si>
    <t>QA00779</t>
  </si>
  <si>
    <t>禾芽婴童</t>
  </si>
  <si>
    <t>QA00780</t>
  </si>
  <si>
    <t>栀谷食品</t>
  </si>
  <si>
    <t>QA00781</t>
  </si>
  <si>
    <t>川刻香氛</t>
  </si>
  <si>
    <t>QA00782</t>
  </si>
  <si>
    <t>林诺康养</t>
  </si>
  <si>
    <t>QA00783</t>
  </si>
  <si>
    <t>山溪日化</t>
  </si>
  <si>
    <t>QA00784</t>
  </si>
  <si>
    <t>安岚宝贝</t>
  </si>
  <si>
    <t>2025-02-03</t>
  </si>
  <si>
    <t>QA00785</t>
  </si>
  <si>
    <t>北橙零食</t>
  </si>
  <si>
    <t>2025-10-21</t>
  </si>
  <si>
    <t>QA00786</t>
  </si>
  <si>
    <t>锦诺超市</t>
  </si>
  <si>
    <t>2025-04-20</t>
  </si>
  <si>
    <t>QA00787</t>
  </si>
  <si>
    <t>云芽康养</t>
  </si>
  <si>
    <t>2025-03-31</t>
  </si>
  <si>
    <t>QA00788</t>
  </si>
  <si>
    <t>熙禾衣品</t>
  </si>
  <si>
    <t>QA00789</t>
  </si>
  <si>
    <t>晨棠科技</t>
  </si>
  <si>
    <t>2025-06-29</t>
  </si>
  <si>
    <t>QA00790</t>
  </si>
  <si>
    <t>北野护肤</t>
  </si>
  <si>
    <t>QA00791</t>
  </si>
  <si>
    <t>岚禾婴童</t>
  </si>
  <si>
    <t>QA00792</t>
  </si>
  <si>
    <t>沐汀时装</t>
  </si>
  <si>
    <t>2024-08-11</t>
  </si>
  <si>
    <t>QA00793</t>
  </si>
  <si>
    <t>乔田家居</t>
  </si>
  <si>
    <t>QA00794</t>
  </si>
  <si>
    <t>森宝科技</t>
  </si>
  <si>
    <t>QA00795</t>
  </si>
  <si>
    <t>夕言母婴</t>
  </si>
  <si>
    <t>2025-11-17</t>
  </si>
  <si>
    <t>QA00796</t>
  </si>
  <si>
    <t>洛初零食</t>
  </si>
  <si>
    <t>QA00797</t>
  </si>
  <si>
    <t>鹿言宝贝</t>
  </si>
  <si>
    <t>2024-08-09</t>
  </si>
  <si>
    <t>QA00798</t>
  </si>
  <si>
    <t>晨朵香氛</t>
  </si>
  <si>
    <t>QA00799</t>
  </si>
  <si>
    <t>晨橙食品</t>
  </si>
  <si>
    <t>2026-02-13</t>
  </si>
  <si>
    <t>QA00800</t>
  </si>
  <si>
    <t>森刻乳业</t>
  </si>
  <si>
    <t>QA00801</t>
  </si>
  <si>
    <t>乔汀零食</t>
  </si>
  <si>
    <t>QA00802</t>
  </si>
  <si>
    <t>熙栖零食</t>
  </si>
  <si>
    <t>QA00803</t>
  </si>
  <si>
    <t>曜溪香氛</t>
  </si>
  <si>
    <t>QA00804</t>
  </si>
  <si>
    <t>禾田生活</t>
  </si>
  <si>
    <t>QA00805</t>
  </si>
  <si>
    <t>林芽母婴</t>
  </si>
  <si>
    <t>2026-02-22</t>
  </si>
  <si>
    <t>QA00806</t>
  </si>
  <si>
    <t>初初电子</t>
  </si>
  <si>
    <t>QA00807</t>
  </si>
  <si>
    <t>屿橙护肤</t>
  </si>
  <si>
    <t>2025-10-07</t>
  </si>
  <si>
    <t>QA00808</t>
  </si>
  <si>
    <t>鹿朵智能</t>
  </si>
  <si>
    <t>QA00809</t>
  </si>
  <si>
    <t>蔓珂零食</t>
  </si>
  <si>
    <t>QA00810</t>
  </si>
  <si>
    <t>芮言饮品</t>
  </si>
  <si>
    <t>QA00811</t>
  </si>
  <si>
    <t>星朵香氛</t>
  </si>
  <si>
    <t>2026-04-17</t>
  </si>
  <si>
    <t>QA00812</t>
  </si>
  <si>
    <t>初野电子</t>
  </si>
  <si>
    <t>QA00813</t>
  </si>
  <si>
    <t>沐芽烘焙</t>
  </si>
  <si>
    <t>QA00814</t>
  </si>
  <si>
    <t>芮诺饮品</t>
  </si>
  <si>
    <t>QA00815</t>
  </si>
  <si>
    <t>缇棠香氛</t>
  </si>
  <si>
    <t>QA00816</t>
  </si>
  <si>
    <t>黎禾科技</t>
  </si>
  <si>
    <t>QA00817</t>
  </si>
  <si>
    <t>山岚零食</t>
  </si>
  <si>
    <t>2025-07-09</t>
  </si>
  <si>
    <t>QA00818</t>
  </si>
  <si>
    <t>黎溪宝贝</t>
  </si>
  <si>
    <t>2025-12-13</t>
  </si>
  <si>
    <t>QA00819</t>
  </si>
  <si>
    <t>栀岚衣品</t>
  </si>
  <si>
    <t>QA00820</t>
  </si>
  <si>
    <t>熙之电子</t>
  </si>
  <si>
    <t>QA00821</t>
  </si>
  <si>
    <t>鹿珂乳业</t>
  </si>
  <si>
    <t>QA00822</t>
  </si>
  <si>
    <t>云田超市</t>
  </si>
  <si>
    <t>2024-11-09</t>
  </si>
  <si>
    <t>QA00823</t>
  </si>
  <si>
    <t>曜禾饮品</t>
  </si>
  <si>
    <t>QA00824</t>
  </si>
  <si>
    <t>柚汀饮品</t>
  </si>
  <si>
    <t>QA00825</t>
  </si>
  <si>
    <t>乐溪母婴</t>
  </si>
  <si>
    <t>QA00826</t>
  </si>
  <si>
    <t>沐之烘焙</t>
  </si>
  <si>
    <t>QA00827</t>
  </si>
  <si>
    <t>柚禾烘焙</t>
  </si>
  <si>
    <t>QA00828</t>
  </si>
  <si>
    <t>川岚医药</t>
  </si>
  <si>
    <t>2024-06-05</t>
  </si>
  <si>
    <t>QA00829</t>
  </si>
  <si>
    <t>森珂宝贝</t>
  </si>
  <si>
    <t>QA00830</t>
  </si>
  <si>
    <t>熙栖乳业</t>
  </si>
  <si>
    <t>QA00831</t>
  </si>
  <si>
    <t>微之母婴</t>
  </si>
  <si>
    <t>2025-10-22</t>
  </si>
  <si>
    <t>QA00832</t>
  </si>
  <si>
    <t>林茉医药</t>
  </si>
  <si>
    <t>QA00833</t>
  </si>
  <si>
    <t>微宝母婴</t>
  </si>
  <si>
    <t>QA00834</t>
  </si>
  <si>
    <t>海言服饰</t>
  </si>
  <si>
    <t>QA00835</t>
  </si>
  <si>
    <t>曜宝烘焙</t>
  </si>
  <si>
    <t>2026-02-03</t>
  </si>
  <si>
    <t>QA00836</t>
  </si>
  <si>
    <t>岚茉家纺</t>
  </si>
  <si>
    <t>2024-06-19</t>
  </si>
  <si>
    <t>QA00837</t>
  </si>
  <si>
    <t>芮岚生活</t>
  </si>
  <si>
    <t>2025-08-01</t>
  </si>
  <si>
    <t>QA00838</t>
  </si>
  <si>
    <t>海野护肤</t>
  </si>
  <si>
    <t>QA00839</t>
  </si>
  <si>
    <t>乐田美妆</t>
  </si>
  <si>
    <t>QA00840</t>
  </si>
  <si>
    <t>川禾家纺</t>
  </si>
  <si>
    <t>QA00841</t>
  </si>
  <si>
    <t>岚野家居</t>
  </si>
  <si>
    <t>2024-10-16</t>
  </si>
  <si>
    <t>QA00842</t>
  </si>
  <si>
    <t>洛橙美妆</t>
  </si>
  <si>
    <t>2025-05-19</t>
  </si>
  <si>
    <t>QA00843</t>
  </si>
  <si>
    <t>禾珂宝贝</t>
  </si>
  <si>
    <t>2025-03-13</t>
  </si>
  <si>
    <t>QA00844</t>
  </si>
  <si>
    <t>星栖宝贝</t>
  </si>
  <si>
    <t>QA00845</t>
  </si>
  <si>
    <t>锦初乳业</t>
  </si>
  <si>
    <t>QA00846</t>
  </si>
  <si>
    <t>澜诺香氛</t>
  </si>
  <si>
    <t>QA00847</t>
  </si>
  <si>
    <t>澄橙优选</t>
  </si>
  <si>
    <t>QA00848</t>
  </si>
  <si>
    <t>澄岚乳业</t>
  </si>
  <si>
    <t>QA00849</t>
  </si>
  <si>
    <t>柒朵美妆</t>
  </si>
  <si>
    <t>QA00850</t>
  </si>
  <si>
    <t>云之护肤</t>
  </si>
  <si>
    <t>2025-04-21</t>
  </si>
  <si>
    <t>QA00851</t>
  </si>
  <si>
    <t>屿田母婴</t>
  </si>
  <si>
    <t>2024-09-20</t>
  </si>
  <si>
    <t>QA00852</t>
  </si>
  <si>
    <t>素溪护肤</t>
  </si>
  <si>
    <t>2025-12-08</t>
  </si>
  <si>
    <t>QA00853</t>
  </si>
  <si>
    <t>安栖护肤</t>
  </si>
  <si>
    <t>QA00854</t>
  </si>
  <si>
    <t>锦溪日化</t>
  </si>
  <si>
    <t>QA00855</t>
  </si>
  <si>
    <t>夕刻食品</t>
  </si>
  <si>
    <t>2025-04-16</t>
  </si>
  <si>
    <t>QA00856</t>
  </si>
  <si>
    <t>沁岚乳业</t>
  </si>
  <si>
    <t>2025-06-21</t>
  </si>
  <si>
    <t>QA00857</t>
  </si>
  <si>
    <t>云栖服饰</t>
  </si>
  <si>
    <t>QA00858</t>
  </si>
  <si>
    <t>屿诺香氛</t>
  </si>
  <si>
    <t>QA00859</t>
  </si>
  <si>
    <t>沐朵健康</t>
  </si>
  <si>
    <t>QA00860</t>
  </si>
  <si>
    <t>沐朵母婴</t>
  </si>
  <si>
    <t>2025-05-15</t>
  </si>
  <si>
    <t>QA00861</t>
  </si>
  <si>
    <t>沐谷科技</t>
  </si>
  <si>
    <t>QA00862</t>
  </si>
  <si>
    <t>岚芽食品</t>
  </si>
  <si>
    <t>2024-06-13</t>
  </si>
  <si>
    <t>QA00863</t>
  </si>
  <si>
    <t>安谷健康</t>
  </si>
  <si>
    <t>QA00864</t>
  </si>
  <si>
    <t>月之超市</t>
  </si>
  <si>
    <t>QA00865</t>
  </si>
  <si>
    <t>川栖家居</t>
  </si>
  <si>
    <t>QA00866</t>
  </si>
  <si>
    <t>云岚母婴</t>
  </si>
  <si>
    <t>QA00867</t>
  </si>
  <si>
    <t>澜初数码</t>
  </si>
  <si>
    <t>QA00868</t>
  </si>
  <si>
    <t>海芽日化</t>
  </si>
  <si>
    <t>QA00869</t>
  </si>
  <si>
    <t>熙禾香氛</t>
  </si>
  <si>
    <t>QA00870</t>
  </si>
  <si>
    <t>岚珂超市</t>
  </si>
  <si>
    <t>QA00871</t>
  </si>
  <si>
    <t>沁刻食品</t>
  </si>
  <si>
    <t>QA00872</t>
  </si>
  <si>
    <t>岚初家居</t>
  </si>
  <si>
    <t>QA00873</t>
  </si>
  <si>
    <t>夕芽电子</t>
  </si>
  <si>
    <t>2025-08-19</t>
  </si>
  <si>
    <t>QA00874</t>
  </si>
  <si>
    <t>安珂智能</t>
  </si>
  <si>
    <t>QA00875</t>
  </si>
  <si>
    <t>曜珂宝贝</t>
  </si>
  <si>
    <t>QA00876</t>
  </si>
  <si>
    <t>安溪零食</t>
  </si>
  <si>
    <t>QA00877</t>
  </si>
  <si>
    <t>洛谷服饰</t>
  </si>
  <si>
    <t>2024-11-24</t>
  </si>
  <si>
    <t>QA00878</t>
  </si>
  <si>
    <t>山刻美妆</t>
  </si>
  <si>
    <t>QA00879</t>
  </si>
  <si>
    <t>乐汀日化</t>
  </si>
  <si>
    <t>QA00880</t>
  </si>
  <si>
    <t>雪言饮品</t>
  </si>
  <si>
    <t>2026-04-14</t>
  </si>
  <si>
    <t>QA00881</t>
  </si>
  <si>
    <t>沁言科技</t>
  </si>
  <si>
    <t>QA00882</t>
  </si>
  <si>
    <t>海棠婴童</t>
  </si>
  <si>
    <t>QA00883</t>
  </si>
  <si>
    <t>栀朵香氛</t>
  </si>
  <si>
    <t>QA00884</t>
  </si>
  <si>
    <t>夕朵香氛</t>
  </si>
  <si>
    <t>QA00885</t>
  </si>
  <si>
    <t>洛谷衣品</t>
  </si>
  <si>
    <t>QA00886</t>
  </si>
  <si>
    <t>锦茉食品</t>
  </si>
  <si>
    <t>QA00887</t>
  </si>
  <si>
    <t>雪田婴童</t>
  </si>
  <si>
    <t>QA00888</t>
  </si>
  <si>
    <t>栀诺饮品</t>
  </si>
  <si>
    <t>QA00889</t>
  </si>
  <si>
    <t>乔汀数码</t>
  </si>
  <si>
    <t>2026-03-16</t>
  </si>
  <si>
    <t>QA00890</t>
  </si>
  <si>
    <t>安谷生活</t>
  </si>
  <si>
    <t>2026-01-04</t>
  </si>
  <si>
    <t>QA00891</t>
  </si>
  <si>
    <t>山野智能</t>
  </si>
  <si>
    <t>QA00892</t>
  </si>
  <si>
    <t>乔汀时装</t>
  </si>
  <si>
    <t>2024-10-24</t>
  </si>
  <si>
    <t>QA00893</t>
  </si>
  <si>
    <t>月田饮品</t>
  </si>
  <si>
    <t>2025-01-25</t>
  </si>
  <si>
    <t>QA00894</t>
  </si>
  <si>
    <t>熙之衣品</t>
  </si>
  <si>
    <t>QA00895</t>
  </si>
  <si>
    <t>柚朵香氛</t>
  </si>
  <si>
    <t>QA00896</t>
  </si>
  <si>
    <t>晨谷衣品</t>
  </si>
  <si>
    <t>QA00897</t>
  </si>
  <si>
    <t>山之食品</t>
  </si>
  <si>
    <t>QA00898</t>
  </si>
  <si>
    <t>雪汀香氛</t>
  </si>
  <si>
    <t>QA00899</t>
  </si>
  <si>
    <t>夕茉电子</t>
  </si>
  <si>
    <t>QA00900</t>
  </si>
  <si>
    <t>锦茉智能</t>
  </si>
  <si>
    <t>QA00901</t>
  </si>
  <si>
    <t>柒诺乳业</t>
  </si>
  <si>
    <t>QA00902</t>
  </si>
  <si>
    <t>云刻饮品</t>
  </si>
  <si>
    <t>2024-11-28</t>
  </si>
  <si>
    <t>QA00903</t>
  </si>
  <si>
    <t>栀芽香氛</t>
  </si>
  <si>
    <t>QA00904</t>
  </si>
  <si>
    <t>洛初服饰</t>
  </si>
  <si>
    <t>2025-11-09</t>
  </si>
  <si>
    <t>QA00905</t>
  </si>
  <si>
    <t>夕芽日化</t>
  </si>
  <si>
    <t>QA00906</t>
  </si>
  <si>
    <t>蔓橙数码</t>
  </si>
  <si>
    <t>QA00907</t>
  </si>
  <si>
    <t>缇诺零食</t>
  </si>
  <si>
    <t>QA00908</t>
  </si>
  <si>
    <t>初芽科技</t>
  </si>
  <si>
    <t>2025-04-24</t>
  </si>
  <si>
    <t>QA00909</t>
  </si>
  <si>
    <t>澄茉日化</t>
  </si>
  <si>
    <t>QA00910</t>
  </si>
  <si>
    <t>林栖日化</t>
  </si>
  <si>
    <t>QA00911</t>
  </si>
  <si>
    <t>澄言护肤</t>
  </si>
  <si>
    <t>QA00912</t>
  </si>
  <si>
    <t>安珂宝贝</t>
  </si>
  <si>
    <t>QA00913</t>
  </si>
  <si>
    <t>初橙电子</t>
  </si>
  <si>
    <t>2025-09-06</t>
  </si>
  <si>
    <t>QA00914</t>
  </si>
  <si>
    <t>山珂香氛</t>
  </si>
  <si>
    <t>QA00915</t>
  </si>
  <si>
    <t>山之电子</t>
  </si>
  <si>
    <t>2025-12-05</t>
  </si>
  <si>
    <t>QA00916</t>
  </si>
  <si>
    <t>沐茉烘焙</t>
  </si>
  <si>
    <t>QA00917</t>
  </si>
  <si>
    <t>沁田衣品</t>
  </si>
  <si>
    <t>QA00918</t>
  </si>
  <si>
    <t>夕芽时装</t>
  </si>
  <si>
    <t>QA00919</t>
  </si>
  <si>
    <t>柒茉智能</t>
  </si>
  <si>
    <t>QA00920</t>
  </si>
  <si>
    <t>澜禾食品</t>
  </si>
  <si>
    <t>QA00921</t>
  </si>
  <si>
    <t>熙珂母婴</t>
  </si>
  <si>
    <t>QA00922</t>
  </si>
  <si>
    <t>芮栖护肤</t>
  </si>
  <si>
    <t>QA00923</t>
  </si>
  <si>
    <t>山朵医药</t>
  </si>
  <si>
    <t>QA00924</t>
  </si>
  <si>
    <t>森野家纺</t>
  </si>
  <si>
    <t>QA00925</t>
  </si>
  <si>
    <t>素棠美妆</t>
  </si>
  <si>
    <t>2024-12-24</t>
  </si>
  <si>
    <t>QA00926</t>
  </si>
  <si>
    <t>乔溪优选</t>
  </si>
  <si>
    <t>2026-01-19</t>
  </si>
  <si>
    <t>QA00927</t>
  </si>
  <si>
    <t>缇溪智能</t>
  </si>
  <si>
    <t>QA00928</t>
  </si>
  <si>
    <t>臻刻优选</t>
  </si>
  <si>
    <t>QA00929</t>
  </si>
  <si>
    <t>乐谷智能</t>
  </si>
  <si>
    <t>QA00930</t>
  </si>
  <si>
    <t>鹿朵零食</t>
  </si>
  <si>
    <t>QA00931</t>
  </si>
  <si>
    <t>月棠乳业</t>
  </si>
  <si>
    <t>QA00932</t>
  </si>
  <si>
    <t>禾诺乳业</t>
  </si>
  <si>
    <t>2024-11-07</t>
  </si>
  <si>
    <t>QA00933</t>
  </si>
  <si>
    <t>月刻护肤</t>
  </si>
  <si>
    <t>QA00934</t>
  </si>
  <si>
    <t>乔茉健康</t>
  </si>
  <si>
    <t>QA00935</t>
  </si>
  <si>
    <t>初岚智能</t>
  </si>
  <si>
    <t>QA00936</t>
  </si>
  <si>
    <t>澄谷母婴</t>
  </si>
  <si>
    <t>QA00937</t>
  </si>
  <si>
    <t>洛野科技</t>
  </si>
  <si>
    <t>2024-07-07</t>
  </si>
  <si>
    <t>QA00938</t>
  </si>
  <si>
    <t>熙初美妆</t>
  </si>
  <si>
    <t>QA00939</t>
  </si>
  <si>
    <t>星茉科技</t>
  </si>
  <si>
    <t>QA00940</t>
  </si>
  <si>
    <t>月珂母婴</t>
  </si>
  <si>
    <t>QA00941</t>
  </si>
  <si>
    <t>素珂宝贝</t>
  </si>
  <si>
    <t>QA00942</t>
  </si>
  <si>
    <t>南田乳业</t>
  </si>
  <si>
    <t>QA00943</t>
  </si>
  <si>
    <t>乐宝衣品</t>
  </si>
  <si>
    <t>QA00944</t>
  </si>
  <si>
    <t>晨初烘焙</t>
  </si>
  <si>
    <t>QA00945</t>
  </si>
  <si>
    <t>臻宝衣品</t>
  </si>
  <si>
    <t>QA00946</t>
  </si>
  <si>
    <t>晨橙智能</t>
  </si>
  <si>
    <t>QA00947</t>
  </si>
  <si>
    <t>栀芽母婴</t>
  </si>
  <si>
    <t>QA00948</t>
  </si>
  <si>
    <t>夕宝母婴</t>
  </si>
  <si>
    <t>2024-11-30</t>
  </si>
  <si>
    <t>QA00949</t>
  </si>
  <si>
    <t>栀珂零食</t>
  </si>
  <si>
    <t>QA00950</t>
  </si>
  <si>
    <t>洛初母婴</t>
  </si>
  <si>
    <t>QA00951</t>
  </si>
  <si>
    <t>岚珂护肤</t>
  </si>
  <si>
    <t>QA00952</t>
  </si>
  <si>
    <t>黎之日化</t>
  </si>
  <si>
    <t>QA00953</t>
  </si>
  <si>
    <t>岚诺美妆</t>
  </si>
  <si>
    <t>QA00954</t>
  </si>
  <si>
    <t>雪棠护肤</t>
  </si>
  <si>
    <t>QA00955</t>
  </si>
  <si>
    <t>森初宝贝</t>
  </si>
  <si>
    <t>QA00956</t>
  </si>
  <si>
    <t>澄茉饮品</t>
  </si>
  <si>
    <t>QA00957</t>
  </si>
  <si>
    <t>洛朵衣品</t>
  </si>
  <si>
    <t>2024-06-12</t>
  </si>
  <si>
    <t>QA00958</t>
  </si>
  <si>
    <t>鹿初智能</t>
  </si>
  <si>
    <t>QA00959</t>
  </si>
  <si>
    <t>海禾美妆</t>
  </si>
  <si>
    <t>QA00960</t>
  </si>
  <si>
    <t>澄茉美妆</t>
  </si>
  <si>
    <t>QA00961</t>
  </si>
  <si>
    <t>星宝电子</t>
  </si>
  <si>
    <t>QA00962</t>
  </si>
  <si>
    <t>雨诺服饰</t>
  </si>
  <si>
    <t>QA00963</t>
  </si>
  <si>
    <t>森芽宝贝</t>
  </si>
  <si>
    <t>QA00964</t>
  </si>
  <si>
    <t>森言食品</t>
  </si>
  <si>
    <t>QA00965</t>
  </si>
  <si>
    <t>北溪饮品</t>
  </si>
  <si>
    <t>QA00966</t>
  </si>
  <si>
    <t>川岚优选</t>
  </si>
  <si>
    <t>QA00967</t>
  </si>
  <si>
    <t>锦宝宝贝</t>
  </si>
  <si>
    <t>QA00968</t>
  </si>
  <si>
    <t>晨棠家居</t>
  </si>
  <si>
    <t>2026-03-17</t>
  </si>
  <si>
    <t>QA00969</t>
  </si>
  <si>
    <t>初橙优选</t>
  </si>
  <si>
    <t>QA00970</t>
  </si>
  <si>
    <t>曜橙医药</t>
  </si>
  <si>
    <t>2025-05-02</t>
  </si>
  <si>
    <t>QA00971</t>
  </si>
  <si>
    <t>南芽香氛</t>
  </si>
  <si>
    <t>2026-01-30</t>
  </si>
  <si>
    <t>QA00972</t>
  </si>
  <si>
    <t>锦芽宝贝</t>
  </si>
  <si>
    <t>QA00973</t>
  </si>
  <si>
    <t>乔岚智能</t>
  </si>
  <si>
    <t>QA00974</t>
  </si>
  <si>
    <t>芮橙时装</t>
  </si>
  <si>
    <t>QA00975</t>
  </si>
  <si>
    <t>南之美妆</t>
  </si>
  <si>
    <t>QA00976</t>
  </si>
  <si>
    <t>云言生活</t>
  </si>
  <si>
    <t>2024-08-20</t>
  </si>
  <si>
    <t>QA00977</t>
  </si>
  <si>
    <t>沁橙食品</t>
  </si>
  <si>
    <t>QA00978</t>
  </si>
  <si>
    <t>南诺母婴</t>
  </si>
  <si>
    <t>QA00979</t>
  </si>
  <si>
    <t>夕野便利</t>
  </si>
  <si>
    <t>QA00980</t>
  </si>
  <si>
    <t>林初香氛</t>
  </si>
  <si>
    <t>QA00981</t>
  </si>
  <si>
    <t>柒刻宝贝</t>
  </si>
  <si>
    <t>2026-03-21</t>
  </si>
  <si>
    <t>QA00982</t>
  </si>
  <si>
    <t>雪珂服饰</t>
  </si>
  <si>
    <t>QA00983</t>
  </si>
  <si>
    <t>南禾烘焙</t>
  </si>
  <si>
    <t>2026-06-01</t>
  </si>
  <si>
    <t>QA00984</t>
  </si>
  <si>
    <t>臻野家居</t>
  </si>
  <si>
    <t>2026-04-12</t>
  </si>
  <si>
    <t>QA00985</t>
  </si>
  <si>
    <t>屿言美妆</t>
  </si>
  <si>
    <t>QA00986</t>
  </si>
  <si>
    <t>晨之零食</t>
  </si>
  <si>
    <t>QA00987</t>
  </si>
  <si>
    <t>锦珂数码</t>
  </si>
  <si>
    <t>2026-04-09</t>
  </si>
  <si>
    <t>QA00988</t>
  </si>
  <si>
    <t>微野智能</t>
  </si>
  <si>
    <t>QA00989</t>
  </si>
  <si>
    <t>雨汀日化</t>
  </si>
  <si>
    <t>QA00990</t>
  </si>
  <si>
    <t>川棠健康</t>
  </si>
  <si>
    <t>2026-04-19</t>
  </si>
  <si>
    <t>QA00991</t>
  </si>
  <si>
    <t>森朵零食</t>
  </si>
  <si>
    <t>QA00992</t>
  </si>
  <si>
    <t>林之饮品</t>
  </si>
  <si>
    <t>QA00993</t>
  </si>
  <si>
    <t>沐棠超市</t>
  </si>
  <si>
    <t>QA00994</t>
  </si>
  <si>
    <t>缇言食品</t>
  </si>
  <si>
    <t>2026-05-31</t>
  </si>
  <si>
    <t>QA00995</t>
  </si>
  <si>
    <t>山宝科技</t>
  </si>
  <si>
    <t>QA00996</t>
  </si>
  <si>
    <t>安珂生活</t>
  </si>
  <si>
    <t>2026-04-25</t>
  </si>
  <si>
    <t>QA00997</t>
  </si>
  <si>
    <t>森朵智能</t>
  </si>
  <si>
    <t>QA00998</t>
  </si>
  <si>
    <t>黎宝烘焙</t>
  </si>
  <si>
    <t>2026-04-08</t>
  </si>
  <si>
    <t>QA00999</t>
  </si>
  <si>
    <t>芮刻时装</t>
  </si>
  <si>
    <t>QA01000</t>
  </si>
  <si>
    <t>熙初服饰</t>
  </si>
  <si>
    <t>2026-04-06</t>
  </si>
  <si>
    <t>QA01001</t>
  </si>
  <si>
    <t>澄朵婴童</t>
  </si>
  <si>
    <t>2026-03-22</t>
  </si>
  <si>
    <t>QA01002</t>
  </si>
  <si>
    <t>川芽智能</t>
  </si>
  <si>
    <t>2026-05-26</t>
  </si>
  <si>
    <t>QA01003</t>
  </si>
  <si>
    <t>林橙乳业</t>
  </si>
  <si>
    <t>QA01004</t>
  </si>
  <si>
    <t>屿朵日化</t>
  </si>
  <si>
    <t>2026-04-28</t>
  </si>
  <si>
    <t>QA01005</t>
  </si>
  <si>
    <t>栀珂家居</t>
  </si>
  <si>
    <t>QA01006</t>
  </si>
  <si>
    <t>澜棠零食</t>
  </si>
  <si>
    <t>QA01007</t>
  </si>
  <si>
    <t>柒橙生活</t>
  </si>
  <si>
    <t>2026-05-11</t>
  </si>
  <si>
    <t>QA01008</t>
  </si>
  <si>
    <t>沐珂零食</t>
  </si>
  <si>
    <t>2026-04-11</t>
  </si>
  <si>
    <t>QA01009</t>
  </si>
  <si>
    <t>南初母婴</t>
  </si>
  <si>
    <t>QA01010</t>
  </si>
  <si>
    <t>禾芽数码</t>
  </si>
  <si>
    <t>2026-05-30</t>
  </si>
  <si>
    <t>QA01011</t>
  </si>
  <si>
    <t>林岚衣品</t>
  </si>
  <si>
    <t>QA01012</t>
  </si>
  <si>
    <t>锦言婴童</t>
  </si>
  <si>
    <t>QA01013</t>
  </si>
  <si>
    <t>云棠电子</t>
  </si>
  <si>
    <t>2026-05-06</t>
  </si>
  <si>
    <t>QA01014</t>
  </si>
  <si>
    <t>屿谷饮品</t>
  </si>
  <si>
    <t>2026-05-02</t>
  </si>
  <si>
    <t>QA01015</t>
  </si>
  <si>
    <t>乐棠护肤</t>
  </si>
  <si>
    <t>2026-04-24</t>
  </si>
  <si>
    <t>QA01016</t>
  </si>
  <si>
    <t>晨朵婴童</t>
  </si>
  <si>
    <t>QA01017</t>
  </si>
  <si>
    <t>安溪电子</t>
  </si>
  <si>
    <t>QA01018</t>
  </si>
  <si>
    <t>云茉生活</t>
  </si>
  <si>
    <t>QA01019</t>
  </si>
  <si>
    <t>林珂乳业</t>
  </si>
  <si>
    <t>QA01020</t>
  </si>
  <si>
    <t>柚棠便利</t>
  </si>
  <si>
    <t>QA01021</t>
  </si>
  <si>
    <t>川岚零食</t>
  </si>
  <si>
    <t>QA01022</t>
  </si>
  <si>
    <t>黎禾服饰</t>
  </si>
  <si>
    <t>2026-03-27</t>
  </si>
  <si>
    <t>QA01023</t>
  </si>
  <si>
    <t>沐溪服饰</t>
  </si>
  <si>
    <t>QA01024</t>
  </si>
  <si>
    <t>栀溪乳业</t>
  </si>
  <si>
    <t>QA01025</t>
  </si>
  <si>
    <t>初橙乳业</t>
  </si>
  <si>
    <t>QA01026</t>
  </si>
  <si>
    <t>雨禾智能</t>
  </si>
  <si>
    <t>2026-05-24</t>
  </si>
  <si>
    <t>QA01027</t>
  </si>
  <si>
    <t>南之婴童</t>
  </si>
  <si>
    <t>2026-05-29</t>
  </si>
  <si>
    <t>QA01028</t>
  </si>
  <si>
    <t>雨橙饮品</t>
  </si>
  <si>
    <t>QA01029</t>
  </si>
  <si>
    <t>沐宝护肤</t>
  </si>
  <si>
    <t>QA01030</t>
  </si>
  <si>
    <t>缇野生活</t>
  </si>
  <si>
    <t>QA01031</t>
  </si>
  <si>
    <t>林朵家纺</t>
  </si>
  <si>
    <t>QA01032</t>
  </si>
  <si>
    <t>海朵数码</t>
  </si>
  <si>
    <t>QA01033</t>
  </si>
  <si>
    <t>初宝食品</t>
  </si>
  <si>
    <t>2026-03-07</t>
  </si>
  <si>
    <t>QA01034</t>
  </si>
  <si>
    <t>微朵零食</t>
  </si>
  <si>
    <t>2026-05-19</t>
  </si>
  <si>
    <t>QA01035</t>
  </si>
  <si>
    <t>屿溪护肤</t>
  </si>
  <si>
    <t>QA01036</t>
  </si>
  <si>
    <t>微田美妆</t>
  </si>
  <si>
    <t>QA01037</t>
  </si>
  <si>
    <t>蔓朵家居</t>
  </si>
  <si>
    <t>2026-05-21</t>
  </si>
  <si>
    <t>QA01038</t>
  </si>
  <si>
    <t>星朵康养</t>
  </si>
  <si>
    <t>QA01039</t>
  </si>
  <si>
    <t>安棠优选</t>
  </si>
  <si>
    <t>QA01040</t>
  </si>
  <si>
    <t>锦初饮品</t>
  </si>
  <si>
    <t>QA01041</t>
  </si>
  <si>
    <t>山朵香氛</t>
  </si>
  <si>
    <t>QA01042</t>
  </si>
  <si>
    <t>海栖食品</t>
  </si>
  <si>
    <t>2026-03-24</t>
  </si>
  <si>
    <t>QA01043</t>
  </si>
  <si>
    <t>黎朵护肤</t>
  </si>
  <si>
    <t>QA01044</t>
  </si>
  <si>
    <t>微橙电子</t>
  </si>
  <si>
    <t>QA01045</t>
  </si>
  <si>
    <t>曜溪食品</t>
  </si>
  <si>
    <t>QA01046</t>
  </si>
  <si>
    <t>缇野宝贝</t>
  </si>
  <si>
    <t>2026-04-30</t>
  </si>
  <si>
    <t>QA01047</t>
  </si>
  <si>
    <t>臻谷生活</t>
  </si>
  <si>
    <t>QA01048</t>
  </si>
  <si>
    <t>森谷母婴</t>
  </si>
  <si>
    <t>QA01049</t>
  </si>
  <si>
    <t>锦言日化</t>
  </si>
  <si>
    <t>QA01050</t>
  </si>
  <si>
    <t>雪禾食品</t>
  </si>
  <si>
    <t>QA01051</t>
  </si>
  <si>
    <t>沐谷日化</t>
  </si>
  <si>
    <t>2026-05-25</t>
  </si>
  <si>
    <t>QA01052</t>
  </si>
  <si>
    <t>岚田时装</t>
  </si>
  <si>
    <t>QA01053</t>
  </si>
  <si>
    <t>臻野数码</t>
  </si>
  <si>
    <t>QA01054</t>
  </si>
  <si>
    <t>素宝家纺</t>
  </si>
  <si>
    <t>QA01055</t>
  </si>
  <si>
    <t>星初零食</t>
  </si>
  <si>
    <t>QA01056</t>
  </si>
  <si>
    <t>洛禾科技</t>
  </si>
  <si>
    <t>2026-04-20</t>
  </si>
  <si>
    <t>QA01057</t>
  </si>
  <si>
    <t>缇禾医药</t>
  </si>
  <si>
    <t>QA01058</t>
  </si>
  <si>
    <t>曜棠日化</t>
  </si>
  <si>
    <t>2026-05-13</t>
  </si>
  <si>
    <t>QA01059</t>
  </si>
  <si>
    <t>曜初婴童</t>
  </si>
  <si>
    <t>QA01060</t>
  </si>
  <si>
    <t>蔓谷电子</t>
  </si>
  <si>
    <t>QA01061</t>
  </si>
  <si>
    <t>蔓汀衣品</t>
  </si>
  <si>
    <t>2026-05-20</t>
  </si>
  <si>
    <t>QA01062</t>
  </si>
  <si>
    <t>锦初香氛</t>
  </si>
  <si>
    <t>2026-04-23</t>
  </si>
  <si>
    <t>QA01063</t>
  </si>
  <si>
    <t>晨谷健康</t>
  </si>
  <si>
    <t>2026-04-16</t>
  </si>
  <si>
    <t>QA01064</t>
  </si>
  <si>
    <t>林谷香氛</t>
  </si>
  <si>
    <t>QA01065</t>
  </si>
  <si>
    <t>锦野家居</t>
  </si>
  <si>
    <t>2026-05-07</t>
  </si>
  <si>
    <t>QA01066</t>
  </si>
  <si>
    <t>澄朵时装</t>
  </si>
  <si>
    <t>QA01067</t>
  </si>
  <si>
    <t>山棠美妆</t>
  </si>
  <si>
    <t>QA01068</t>
  </si>
  <si>
    <t>熙岚护肤</t>
  </si>
  <si>
    <t>2026-04-27</t>
  </si>
  <si>
    <t>QA01069</t>
  </si>
  <si>
    <t>森初烘焙</t>
  </si>
  <si>
    <t>QA01070</t>
  </si>
  <si>
    <t>雪汀零食</t>
  </si>
  <si>
    <t>2026-04-10</t>
  </si>
  <si>
    <t>QA01071</t>
  </si>
  <si>
    <t>海珂服饰</t>
  </si>
  <si>
    <t>QA01072</t>
  </si>
  <si>
    <t>栀朵服饰</t>
  </si>
  <si>
    <t>QA01073</t>
  </si>
  <si>
    <t>月棠数码</t>
  </si>
  <si>
    <t>2026-04-05</t>
  </si>
  <si>
    <t>QA01074</t>
  </si>
  <si>
    <t>北谷婴童</t>
  </si>
  <si>
    <t>QA01075</t>
  </si>
  <si>
    <t>熙田烘焙</t>
  </si>
  <si>
    <t>QA01076</t>
  </si>
  <si>
    <t>微岚超市</t>
  </si>
  <si>
    <t>QA01077</t>
  </si>
  <si>
    <t>森棠零食</t>
  </si>
  <si>
    <t>QA01078</t>
  </si>
  <si>
    <t>澜谷健康</t>
  </si>
  <si>
    <t>QA01079</t>
  </si>
  <si>
    <t>林初时装</t>
  </si>
  <si>
    <t>QA01080</t>
  </si>
  <si>
    <t>星言烘焙</t>
  </si>
  <si>
    <t>QA01081</t>
  </si>
  <si>
    <t>澜言智能</t>
  </si>
  <si>
    <t>QA01082</t>
  </si>
  <si>
    <t>屿禾乳业</t>
  </si>
  <si>
    <t>QA01083</t>
  </si>
  <si>
    <t>柒田食品</t>
  </si>
  <si>
    <t>QA01084</t>
  </si>
  <si>
    <t>微珂衣品</t>
  </si>
  <si>
    <t>QA01085</t>
  </si>
  <si>
    <t>云刻母婴</t>
  </si>
  <si>
    <t>QA01086</t>
  </si>
  <si>
    <t>芮禾香氛</t>
  </si>
  <si>
    <t>QA01087</t>
  </si>
  <si>
    <t>澜汀便利</t>
  </si>
  <si>
    <t>QA01088</t>
  </si>
  <si>
    <t>海谷数码</t>
  </si>
  <si>
    <t>QA01089</t>
  </si>
  <si>
    <t>曜芽美妆</t>
  </si>
  <si>
    <t>QA01090</t>
  </si>
  <si>
    <t>禾初饮品</t>
  </si>
  <si>
    <t>QA01091</t>
  </si>
  <si>
    <t>安言烘焙</t>
  </si>
  <si>
    <t>QA01092</t>
  </si>
  <si>
    <t>熙刻护肤</t>
  </si>
  <si>
    <t>2026-05-22</t>
  </si>
  <si>
    <t>QA01093</t>
  </si>
  <si>
    <t>川橙电子</t>
  </si>
  <si>
    <t>2026-05-12</t>
  </si>
  <si>
    <t>QA01094</t>
  </si>
  <si>
    <t>乔刻智能</t>
  </si>
  <si>
    <t>QA01095</t>
  </si>
  <si>
    <t>海野优选</t>
  </si>
  <si>
    <t>2026-04-21</t>
  </si>
  <si>
    <t>QA01096</t>
  </si>
  <si>
    <t>乐田乳业</t>
  </si>
  <si>
    <t>QA01097</t>
  </si>
  <si>
    <t>沁禾饮品</t>
  </si>
  <si>
    <t>QA01098</t>
  </si>
  <si>
    <t>柚野服饰</t>
  </si>
  <si>
    <t>QA01099</t>
  </si>
  <si>
    <t>澜汀护肤</t>
  </si>
  <si>
    <t>QA01100</t>
  </si>
  <si>
    <t>夕溪乳业</t>
  </si>
  <si>
    <t>QA01101</t>
  </si>
  <si>
    <t>山朵婴童</t>
  </si>
  <si>
    <t>2026-05-16</t>
  </si>
  <si>
    <t>QA01102</t>
  </si>
  <si>
    <t>鹿野电子</t>
  </si>
  <si>
    <t>QA01103</t>
  </si>
  <si>
    <t>山田香氛</t>
  </si>
  <si>
    <t>QA01104</t>
  </si>
  <si>
    <t>云之智能</t>
  </si>
  <si>
    <t>QA01105</t>
  </si>
  <si>
    <t>晨禾饮品</t>
  </si>
  <si>
    <t>QA01106</t>
  </si>
  <si>
    <t>夕栖食品</t>
  </si>
  <si>
    <t>QA01107</t>
  </si>
  <si>
    <t>月宝美妆</t>
  </si>
  <si>
    <t>2026-04-29</t>
  </si>
  <si>
    <t>QA01108</t>
  </si>
  <si>
    <t>沁初饮品</t>
  </si>
  <si>
    <t>QA01109</t>
  </si>
  <si>
    <t>海朵科技</t>
  </si>
  <si>
    <t>QA01110</t>
  </si>
  <si>
    <t>柒言宝贝</t>
  </si>
  <si>
    <t>QA01111</t>
  </si>
  <si>
    <t>黎溪乳业</t>
  </si>
  <si>
    <t>QA01112</t>
  </si>
  <si>
    <t>乔之宝贝</t>
  </si>
  <si>
    <t>QA01113</t>
  </si>
  <si>
    <t>南野医药</t>
  </si>
  <si>
    <t>QA01114</t>
  </si>
  <si>
    <t>星橙护肤</t>
  </si>
  <si>
    <t>QA01115</t>
  </si>
  <si>
    <t>素初日化</t>
  </si>
  <si>
    <t>QA01116</t>
  </si>
  <si>
    <t>沐田超市</t>
  </si>
  <si>
    <t>QA01117</t>
  </si>
  <si>
    <t>海诺香氛</t>
  </si>
  <si>
    <t>QA01118</t>
  </si>
  <si>
    <t>初之零食</t>
  </si>
  <si>
    <t>QA01119</t>
  </si>
  <si>
    <t>鹿宝烘焙</t>
  </si>
  <si>
    <t>QA01120</t>
  </si>
  <si>
    <t>微橙日化</t>
  </si>
  <si>
    <t>2026-05-08</t>
  </si>
  <si>
    <t>QA01121</t>
  </si>
  <si>
    <t>夕初零食</t>
  </si>
  <si>
    <t>QA01122</t>
  </si>
  <si>
    <t>蔓言零食</t>
  </si>
  <si>
    <t>QA01123</t>
  </si>
  <si>
    <t>缇言烘焙</t>
  </si>
  <si>
    <t>QA01124</t>
  </si>
  <si>
    <t>初刻护肤</t>
  </si>
  <si>
    <t>QA01125</t>
  </si>
  <si>
    <t>蔓刻护肤</t>
  </si>
  <si>
    <t>QA01126</t>
  </si>
  <si>
    <t>川禾食品</t>
  </si>
  <si>
    <t>QA01127</t>
  </si>
  <si>
    <t>晨溪食品</t>
  </si>
  <si>
    <t>QA01128</t>
  </si>
  <si>
    <t>夕芽香氛</t>
  </si>
  <si>
    <t>QA01129</t>
  </si>
  <si>
    <t>夕之衣品</t>
  </si>
  <si>
    <t>QA01130</t>
  </si>
  <si>
    <t>澜谷美妆</t>
  </si>
  <si>
    <t>QA01131</t>
  </si>
  <si>
    <t>森初优选</t>
  </si>
  <si>
    <t>QA01132</t>
  </si>
  <si>
    <t>山禾香氛</t>
  </si>
  <si>
    <t>QA01133</t>
  </si>
  <si>
    <t>月橙日化</t>
  </si>
  <si>
    <t>QA01134</t>
  </si>
  <si>
    <t>星棠家居</t>
  </si>
  <si>
    <t>QA01135</t>
  </si>
  <si>
    <t>乐谷护肤</t>
  </si>
  <si>
    <t>QA01136</t>
  </si>
  <si>
    <t>臻栖家居</t>
  </si>
  <si>
    <t>QA01137</t>
  </si>
  <si>
    <t>微禾科技</t>
  </si>
  <si>
    <t>QA01138</t>
  </si>
  <si>
    <t>蔓野健康</t>
  </si>
  <si>
    <t>QA01139</t>
  </si>
  <si>
    <t>洛田服饰</t>
  </si>
  <si>
    <t>2026-04-13</t>
  </si>
  <si>
    <t>QA01140</t>
  </si>
  <si>
    <t>栀宝智能</t>
  </si>
  <si>
    <t>QA01141</t>
  </si>
  <si>
    <t>黎芽智能</t>
  </si>
  <si>
    <t>QA01142</t>
  </si>
  <si>
    <t>沁珂康养</t>
  </si>
  <si>
    <t>QA01143</t>
  </si>
  <si>
    <t>锦野宝贝</t>
  </si>
  <si>
    <t>QA01144</t>
  </si>
  <si>
    <t>曜宝婴童</t>
  </si>
  <si>
    <t>QA01145</t>
  </si>
  <si>
    <t>臻栖美妆</t>
  </si>
  <si>
    <t>QA01146</t>
  </si>
  <si>
    <t>蔓禾母婴</t>
  </si>
  <si>
    <t>QA01147</t>
  </si>
  <si>
    <t>乔溪烘焙</t>
  </si>
  <si>
    <t>QA01148</t>
  </si>
  <si>
    <t>曜橙康养</t>
  </si>
  <si>
    <t>QA01149</t>
  </si>
  <si>
    <t>星诺康养</t>
  </si>
  <si>
    <t>QA01150</t>
  </si>
  <si>
    <t>熙宝时装</t>
  </si>
  <si>
    <t>QA01151</t>
  </si>
  <si>
    <t>雪珂烘焙</t>
  </si>
  <si>
    <t>QA01152</t>
  </si>
  <si>
    <t>夕田食品</t>
  </si>
  <si>
    <t>QA01153</t>
  </si>
  <si>
    <t>川初零食</t>
  </si>
  <si>
    <t>QA01154</t>
  </si>
  <si>
    <t>芮朵食品</t>
  </si>
  <si>
    <t>QA01155</t>
  </si>
  <si>
    <t>素禾母婴</t>
  </si>
  <si>
    <t>QA01156</t>
  </si>
  <si>
    <t>晨宝饮品</t>
  </si>
  <si>
    <t>QA01157</t>
  </si>
  <si>
    <t>蔓珂护肤</t>
  </si>
  <si>
    <t>QA01158</t>
  </si>
  <si>
    <t>川野烘焙</t>
  </si>
  <si>
    <t>QA01159</t>
  </si>
  <si>
    <t>林棠电子</t>
  </si>
  <si>
    <t>QA01160</t>
  </si>
  <si>
    <t>芮之衣品</t>
  </si>
  <si>
    <t>QA01161</t>
  </si>
  <si>
    <t>岚岚便利</t>
  </si>
  <si>
    <t>QA01162</t>
  </si>
  <si>
    <t>微珂电子</t>
  </si>
  <si>
    <t>QA01163</t>
  </si>
  <si>
    <t>森芽烘焙</t>
  </si>
  <si>
    <t>QA01164</t>
  </si>
  <si>
    <t>森橙美妆</t>
  </si>
  <si>
    <t>QA01165</t>
  </si>
  <si>
    <t>柚初零食</t>
  </si>
  <si>
    <t>QA01166</t>
  </si>
  <si>
    <t>山言家纺</t>
  </si>
  <si>
    <t>QA01167</t>
  </si>
  <si>
    <t>曜溪零食</t>
  </si>
  <si>
    <t>QA01168</t>
  </si>
  <si>
    <t>臻溪便利</t>
  </si>
  <si>
    <t>QA01169</t>
  </si>
  <si>
    <t>柒谷香氛</t>
  </si>
  <si>
    <t>2026-05-17</t>
  </si>
  <si>
    <t>QA01170</t>
  </si>
  <si>
    <t>云禾科技</t>
  </si>
  <si>
    <t>QA01171</t>
  </si>
  <si>
    <t>岚宝电子</t>
  </si>
  <si>
    <t>QA01172</t>
  </si>
  <si>
    <t>月岚香氛</t>
  </si>
  <si>
    <t>QA01173</t>
  </si>
  <si>
    <t>芮初零食</t>
  </si>
  <si>
    <t>QA01174</t>
  </si>
  <si>
    <t>臻岚智能</t>
  </si>
  <si>
    <t>QA01175</t>
  </si>
  <si>
    <t>缇栖优选</t>
  </si>
  <si>
    <t>QA01176</t>
  </si>
  <si>
    <t>北宝美妆</t>
  </si>
  <si>
    <t>QA01177</t>
  </si>
  <si>
    <t>蔓田日化</t>
  </si>
  <si>
    <t>QA01178</t>
  </si>
  <si>
    <t>沁田家纺</t>
  </si>
  <si>
    <t>QA01179</t>
  </si>
  <si>
    <t>乐之数码</t>
  </si>
  <si>
    <t>QA01180</t>
  </si>
  <si>
    <t>臻禾生活</t>
  </si>
  <si>
    <t>QA01181</t>
  </si>
  <si>
    <t>森诺零食</t>
  </si>
  <si>
    <t>QA01182</t>
  </si>
  <si>
    <t>黎禾零食</t>
  </si>
  <si>
    <t>QA01183</t>
  </si>
  <si>
    <t>鹿栖生活</t>
  </si>
  <si>
    <t>QA01184</t>
  </si>
  <si>
    <t>屿珂服饰</t>
  </si>
  <si>
    <t>QA01185</t>
  </si>
  <si>
    <t>锦之时装</t>
  </si>
  <si>
    <t>QA01186</t>
  </si>
  <si>
    <t>南禾香氛</t>
  </si>
  <si>
    <t>QA01187</t>
  </si>
  <si>
    <t>栀野乳业</t>
  </si>
  <si>
    <t>QA01188</t>
  </si>
  <si>
    <t>锦溪生活</t>
  </si>
  <si>
    <t>QA01189</t>
  </si>
  <si>
    <t>沐谷家居</t>
  </si>
  <si>
    <t>2026-04-15</t>
  </si>
  <si>
    <t>QA01190</t>
  </si>
  <si>
    <t>星汀电子</t>
  </si>
  <si>
    <t>QA01191</t>
  </si>
  <si>
    <t>臻初烘焙</t>
  </si>
  <si>
    <t>QA01192</t>
  </si>
  <si>
    <t>林茉数码</t>
  </si>
  <si>
    <t>QA01193</t>
  </si>
  <si>
    <t>夕棠优选</t>
  </si>
  <si>
    <t>QA01194</t>
  </si>
  <si>
    <t>安栖美妆</t>
  </si>
  <si>
    <t>QA01195</t>
  </si>
  <si>
    <t>乔谷家居</t>
  </si>
  <si>
    <t>QA01196</t>
  </si>
  <si>
    <t>云栖超市</t>
  </si>
  <si>
    <t>QA01197</t>
  </si>
  <si>
    <t>曜野衣品</t>
  </si>
  <si>
    <t>QA01198</t>
  </si>
  <si>
    <t>岚岚智能</t>
  </si>
  <si>
    <t>QA01199</t>
  </si>
  <si>
    <t>夕田乳业</t>
  </si>
  <si>
    <t>QA01200</t>
  </si>
  <si>
    <t>北诺零食</t>
  </si>
  <si>
    <t>QA01201</t>
  </si>
  <si>
    <t>安宝科技</t>
  </si>
  <si>
    <t>2026-05-27</t>
  </si>
  <si>
    <t>QA01202</t>
  </si>
  <si>
    <t>熙谷零食</t>
  </si>
  <si>
    <t>QA01203</t>
  </si>
  <si>
    <t>熙谷美妆</t>
  </si>
  <si>
    <t>QA01204</t>
  </si>
  <si>
    <t>臻栖康养</t>
  </si>
  <si>
    <t>QA01205</t>
  </si>
  <si>
    <t>夕野家居</t>
  </si>
  <si>
    <t>QA01206</t>
  </si>
  <si>
    <t>熙初零食</t>
  </si>
  <si>
    <t>QA01207</t>
  </si>
  <si>
    <t>森诺食品</t>
  </si>
  <si>
    <t>QA01208</t>
  </si>
  <si>
    <t>雨珂美妆</t>
  </si>
  <si>
    <t>QA01209</t>
  </si>
  <si>
    <t>澄之烘焙</t>
  </si>
  <si>
    <t>QA01210</t>
  </si>
  <si>
    <t>夕棠食品</t>
  </si>
  <si>
    <t>QA01211</t>
  </si>
  <si>
    <t>川芽衣品</t>
  </si>
  <si>
    <t>QA01212</t>
  </si>
  <si>
    <t>月初电子</t>
  </si>
  <si>
    <t>QA01213</t>
  </si>
  <si>
    <t>北溪婴童</t>
  </si>
  <si>
    <t>QA01214</t>
  </si>
  <si>
    <t>柒初零食</t>
  </si>
  <si>
    <t>2026-04-07</t>
  </si>
  <si>
    <t>QA01215</t>
  </si>
  <si>
    <t>云橙科技</t>
  </si>
  <si>
    <t>QA01216</t>
  </si>
  <si>
    <t>素溪家纺</t>
  </si>
  <si>
    <t>QA01217</t>
  </si>
  <si>
    <t>沁之智能</t>
  </si>
  <si>
    <t>QA01218</t>
  </si>
  <si>
    <t>云岚烘焙</t>
  </si>
  <si>
    <t>QA01219</t>
  </si>
  <si>
    <t>星诺护肤</t>
  </si>
  <si>
    <t>QA01220</t>
  </si>
  <si>
    <t>柚田日化</t>
  </si>
  <si>
    <t>QA01221</t>
  </si>
  <si>
    <t>熙橙日化</t>
  </si>
  <si>
    <t>QA01222</t>
  </si>
  <si>
    <t>柚野香氛</t>
  </si>
  <si>
    <t>QA01223</t>
  </si>
  <si>
    <t>熙刻烘焙</t>
  </si>
  <si>
    <t>QA01224</t>
  </si>
  <si>
    <t>微栖智能</t>
  </si>
  <si>
    <t>QA01225</t>
  </si>
  <si>
    <t>黎言乳业</t>
  </si>
  <si>
    <t>QA01226</t>
  </si>
  <si>
    <t>臻言护肤</t>
  </si>
  <si>
    <t>QA01227</t>
  </si>
  <si>
    <t>月初宝贝</t>
  </si>
  <si>
    <t>2026-05-18</t>
  </si>
  <si>
    <t>QA01228</t>
  </si>
  <si>
    <t>缇田时装</t>
  </si>
  <si>
    <t>QA01229</t>
  </si>
  <si>
    <t>初谷时装</t>
  </si>
  <si>
    <t>QA01230</t>
  </si>
  <si>
    <t>北芽婴童</t>
  </si>
  <si>
    <t>QA01231</t>
  </si>
  <si>
    <t>芮岚衣品</t>
  </si>
  <si>
    <t>QA01232</t>
  </si>
  <si>
    <t>川初数码</t>
  </si>
  <si>
    <t>QA01233</t>
  </si>
  <si>
    <t>安棠便利</t>
  </si>
  <si>
    <t>QA01234</t>
  </si>
  <si>
    <t>岚橙乳业</t>
  </si>
  <si>
    <t>QA01235</t>
  </si>
  <si>
    <t>川芽医药</t>
  </si>
  <si>
    <t>2026-05-05</t>
  </si>
  <si>
    <t>QA01236</t>
  </si>
  <si>
    <t>雨芽康养</t>
  </si>
  <si>
    <t>QA01237</t>
  </si>
  <si>
    <t>洛刻香氛</t>
  </si>
  <si>
    <t>QA01238</t>
  </si>
  <si>
    <t>曜朵智能</t>
  </si>
  <si>
    <t>QA01239</t>
  </si>
  <si>
    <t>沐禾家居</t>
  </si>
  <si>
    <t>QA01240</t>
  </si>
  <si>
    <t>曜田乳业</t>
  </si>
  <si>
    <t>QA01241</t>
  </si>
  <si>
    <t>安栖母婴</t>
  </si>
  <si>
    <t>QA01242</t>
  </si>
  <si>
    <t>栀茉饮品</t>
  </si>
  <si>
    <t>QA01243</t>
  </si>
  <si>
    <t>芮之超市</t>
  </si>
  <si>
    <t>QA01244</t>
  </si>
  <si>
    <t>熙之服饰</t>
  </si>
  <si>
    <t>QA01245</t>
  </si>
  <si>
    <t>南棠食品</t>
  </si>
  <si>
    <t>QA01246</t>
  </si>
  <si>
    <t>缇诺服饰</t>
  </si>
  <si>
    <t>QA01247</t>
  </si>
  <si>
    <t>安诺电子</t>
  </si>
  <si>
    <t>QA01248</t>
  </si>
  <si>
    <t>柒田便利</t>
  </si>
  <si>
    <t>QA01249</t>
  </si>
  <si>
    <t>鹿言时装</t>
  </si>
  <si>
    <t>QA01250</t>
  </si>
  <si>
    <t>芮溪零食</t>
  </si>
  <si>
    <t>QA01251</t>
  </si>
  <si>
    <t>柒橙科技</t>
  </si>
  <si>
    <t>QA01252</t>
  </si>
  <si>
    <t>岚岚美妆</t>
  </si>
  <si>
    <t>QA01253</t>
  </si>
  <si>
    <t>川岚生活</t>
  </si>
  <si>
    <t>QA01254</t>
  </si>
  <si>
    <t>柒谷母婴</t>
  </si>
  <si>
    <t>QA01255</t>
  </si>
  <si>
    <t>乔珂母婴</t>
  </si>
  <si>
    <t>QA01256</t>
  </si>
  <si>
    <t>南之超市</t>
  </si>
  <si>
    <t>QA01257</t>
  </si>
  <si>
    <t>南宝美妆</t>
  </si>
  <si>
    <t>QA01258</t>
  </si>
  <si>
    <t>安诺衣品</t>
  </si>
  <si>
    <t>QA01259</t>
  </si>
  <si>
    <t>屿橙食品</t>
  </si>
  <si>
    <t>QA01260</t>
  </si>
  <si>
    <t>南刻优选</t>
  </si>
  <si>
    <t>QA01261</t>
  </si>
  <si>
    <t>晨汀衣品</t>
  </si>
  <si>
    <t>QA01262</t>
  </si>
  <si>
    <t>微棠宝贝</t>
  </si>
  <si>
    <t>QA01263</t>
  </si>
  <si>
    <t>臻珂生活</t>
  </si>
  <si>
    <t>QA01264</t>
  </si>
  <si>
    <t>月棠科技</t>
  </si>
  <si>
    <t>QA01265</t>
  </si>
  <si>
    <t>森岚饮品</t>
  </si>
  <si>
    <t>QA01266</t>
  </si>
  <si>
    <t>锦橙乳业</t>
  </si>
  <si>
    <t>QA01267</t>
  </si>
  <si>
    <t>微野烘焙</t>
  </si>
  <si>
    <t>QA01268</t>
  </si>
  <si>
    <t>乔橙家纺</t>
  </si>
  <si>
    <t>QA01269</t>
  </si>
  <si>
    <t>洛汀乳业</t>
  </si>
  <si>
    <t>QA01270</t>
  </si>
  <si>
    <t>乐刻服饰</t>
  </si>
  <si>
    <t>QA01271</t>
  </si>
  <si>
    <t>柚橙美妆</t>
  </si>
  <si>
    <t>QA01272</t>
  </si>
  <si>
    <t>熙之烘焙</t>
  </si>
  <si>
    <t>QA01273</t>
  </si>
  <si>
    <t>山刻家居</t>
  </si>
  <si>
    <t>QA01274</t>
  </si>
  <si>
    <t>蔓禾日化</t>
  </si>
  <si>
    <t>QA01275</t>
  </si>
  <si>
    <t>熙芽电子</t>
  </si>
  <si>
    <t>QA01276</t>
  </si>
  <si>
    <t>海棠优选</t>
  </si>
  <si>
    <t>QA01277</t>
  </si>
  <si>
    <t>岚朵烘焙</t>
  </si>
  <si>
    <t>QA01278</t>
  </si>
  <si>
    <t>海谷饮品</t>
  </si>
  <si>
    <t>QA01279</t>
  </si>
  <si>
    <t>晨芽烘焙</t>
  </si>
  <si>
    <t>QA01280</t>
  </si>
  <si>
    <t>芮之家纺</t>
  </si>
  <si>
    <t>QA01281</t>
  </si>
  <si>
    <t>安溪烘焙</t>
  </si>
  <si>
    <t>QA01282</t>
  </si>
  <si>
    <t>臻橙衣品</t>
  </si>
  <si>
    <t>QA01283</t>
  </si>
  <si>
    <t>黎刻日化</t>
  </si>
  <si>
    <t>QA01284</t>
  </si>
  <si>
    <t>熙岚数码</t>
  </si>
  <si>
    <t>QA01285</t>
  </si>
  <si>
    <t>雪初乳业</t>
  </si>
  <si>
    <t>QA01286</t>
  </si>
  <si>
    <t>雨溪超市</t>
  </si>
  <si>
    <t>QA01287</t>
  </si>
  <si>
    <t>禾谷数码</t>
  </si>
  <si>
    <t>QA01288</t>
  </si>
  <si>
    <t>微汀食品</t>
  </si>
  <si>
    <t>QA01289</t>
  </si>
  <si>
    <t>黎珂家纺</t>
  </si>
  <si>
    <t>QA01290</t>
  </si>
  <si>
    <t>缇禾康养</t>
  </si>
  <si>
    <t>QA01291</t>
  </si>
  <si>
    <t>黎橙服饰</t>
  </si>
  <si>
    <t>QA01292</t>
  </si>
  <si>
    <t>沐岚衣品</t>
  </si>
  <si>
    <t>QA01293</t>
  </si>
  <si>
    <t>乐之护肤</t>
  </si>
  <si>
    <t>QA01294</t>
  </si>
  <si>
    <t>曜野超市</t>
  </si>
  <si>
    <t>QA01295</t>
  </si>
  <si>
    <t>栀栖便利</t>
  </si>
  <si>
    <t>QA01296</t>
  </si>
  <si>
    <t>洛珂护肤</t>
  </si>
  <si>
    <t>QA01297</t>
  </si>
  <si>
    <t>岚橙食品</t>
  </si>
  <si>
    <t>QA01298</t>
  </si>
  <si>
    <t>晨初乳业</t>
  </si>
  <si>
    <t>QA01299</t>
  </si>
  <si>
    <t>夕溪数码</t>
  </si>
  <si>
    <t>QA01300</t>
  </si>
  <si>
    <t>黎汀婴童</t>
  </si>
  <si>
    <t>QA01301</t>
  </si>
  <si>
    <t>熙言宝贝</t>
  </si>
  <si>
    <t>QA01302</t>
  </si>
  <si>
    <t>柒言康养</t>
  </si>
  <si>
    <t>QA01303</t>
  </si>
  <si>
    <t>夕汀家居</t>
  </si>
  <si>
    <t>QA01304</t>
  </si>
  <si>
    <t>南珂护肤</t>
  </si>
  <si>
    <t>QA01305</t>
  </si>
  <si>
    <t>乔溪生活</t>
  </si>
  <si>
    <t>QA01306</t>
  </si>
  <si>
    <t>臻初超市</t>
  </si>
  <si>
    <t>QA01307</t>
  </si>
  <si>
    <t>曜宝家居</t>
  </si>
  <si>
    <t>QA01308</t>
  </si>
  <si>
    <t>晨芽电子</t>
  </si>
  <si>
    <t>QA01309</t>
  </si>
  <si>
    <t>夕宝零食</t>
  </si>
  <si>
    <t>QA01310</t>
  </si>
  <si>
    <t>栀溪美妆</t>
  </si>
  <si>
    <t>QA01311</t>
  </si>
  <si>
    <t>曜禾美妆</t>
  </si>
  <si>
    <t>QA01312</t>
  </si>
  <si>
    <t>山野衣品</t>
  </si>
  <si>
    <t>QA01313</t>
  </si>
  <si>
    <t>夕宝烘焙</t>
  </si>
  <si>
    <t>QA01314</t>
  </si>
  <si>
    <t>熙茉康养</t>
  </si>
  <si>
    <t>QA01315</t>
  </si>
  <si>
    <t>南溪家居</t>
  </si>
  <si>
    <t>QA01316</t>
  </si>
  <si>
    <t>鹿棠烘焙</t>
  </si>
  <si>
    <t>QA01317</t>
  </si>
  <si>
    <t>柒宝饮品</t>
  </si>
  <si>
    <t>QA01318</t>
  </si>
  <si>
    <t>柚刻零食</t>
  </si>
  <si>
    <t>QA01319</t>
  </si>
  <si>
    <t>澜橙食品</t>
  </si>
  <si>
    <t>QA01320</t>
  </si>
  <si>
    <t>夕诺零食</t>
  </si>
  <si>
    <t>QA01321</t>
  </si>
  <si>
    <t>晨谷电子</t>
  </si>
  <si>
    <t>QA01322</t>
  </si>
  <si>
    <t>芮朵日化</t>
  </si>
  <si>
    <t>QA01323</t>
  </si>
  <si>
    <t>微诺香氛</t>
  </si>
  <si>
    <t>QA01324</t>
  </si>
  <si>
    <t>雪栖日化</t>
  </si>
  <si>
    <t>QA01325</t>
  </si>
  <si>
    <t>海之日化</t>
  </si>
  <si>
    <t>QA01326</t>
  </si>
  <si>
    <t>蔓岚康养</t>
  </si>
  <si>
    <t>QA01327</t>
  </si>
  <si>
    <t>南岚日化</t>
  </si>
  <si>
    <t>QA01328</t>
  </si>
  <si>
    <t>夕刻家居</t>
  </si>
  <si>
    <t>QA01329</t>
  </si>
  <si>
    <t>乐芽健康</t>
  </si>
  <si>
    <t>QA01330</t>
  </si>
  <si>
    <t>禾茉香氛</t>
  </si>
  <si>
    <t>QA01331</t>
  </si>
  <si>
    <t>锦栖生活</t>
  </si>
  <si>
    <t>QA01332</t>
  </si>
  <si>
    <t>芮谷宝贝</t>
  </si>
  <si>
    <t>QA01333</t>
  </si>
  <si>
    <t>澄岚家纺</t>
  </si>
  <si>
    <t>QA01334</t>
  </si>
  <si>
    <t>星棠宝贝</t>
  </si>
  <si>
    <t>QA01335</t>
  </si>
  <si>
    <t>雨初生活</t>
  </si>
  <si>
    <t>QA01336</t>
  </si>
  <si>
    <t>月野烘焙</t>
  </si>
  <si>
    <t>QA01337</t>
  </si>
  <si>
    <t>鹿橙数码</t>
  </si>
  <si>
    <t>QA01338</t>
  </si>
  <si>
    <t>栀芽数码</t>
  </si>
  <si>
    <t>QA01339</t>
  </si>
  <si>
    <t>岚朵食品</t>
  </si>
  <si>
    <t>QA01340</t>
  </si>
  <si>
    <t>山汀食品</t>
  </si>
  <si>
    <t>QA01341</t>
  </si>
  <si>
    <t>屿野美妆</t>
  </si>
  <si>
    <t>QA01342</t>
  </si>
  <si>
    <t>森诺护肤</t>
  </si>
  <si>
    <t>QA01343</t>
  </si>
  <si>
    <t>洛朵乳业</t>
  </si>
  <si>
    <t>QA01344</t>
  </si>
  <si>
    <t>缇岚护肤</t>
  </si>
  <si>
    <t>QA01345</t>
  </si>
  <si>
    <t>云诺美妆</t>
  </si>
  <si>
    <t>QA01346</t>
  </si>
  <si>
    <t>禾棠零食</t>
  </si>
  <si>
    <t>QA01347</t>
  </si>
  <si>
    <t>北橙烘焙</t>
  </si>
  <si>
    <t>QA01348</t>
  </si>
  <si>
    <t>熙汀日化</t>
  </si>
  <si>
    <t>QA01349</t>
  </si>
  <si>
    <t>林刻日化</t>
  </si>
  <si>
    <t>QA01350</t>
  </si>
  <si>
    <t>山禾护肤</t>
  </si>
  <si>
    <t>QA01351</t>
  </si>
  <si>
    <t>熙珂衣品</t>
  </si>
  <si>
    <t>QA01352</t>
  </si>
  <si>
    <t>林宝时装</t>
  </si>
  <si>
    <t>QA01353</t>
  </si>
  <si>
    <t>澄谷乳业</t>
  </si>
  <si>
    <t>QA01354</t>
  </si>
  <si>
    <t>澜橙美妆</t>
  </si>
  <si>
    <t>QA01355</t>
  </si>
  <si>
    <t>澄汀数码</t>
  </si>
  <si>
    <t>QA01356</t>
  </si>
  <si>
    <t>澄橙饮品</t>
  </si>
  <si>
    <t>QA01357</t>
  </si>
  <si>
    <t>夕汀饮品</t>
  </si>
  <si>
    <t>QA01358</t>
  </si>
  <si>
    <t>南棠日化</t>
  </si>
  <si>
    <t>QA01359</t>
  </si>
  <si>
    <t>澜禾香氛</t>
  </si>
  <si>
    <t>QA01360</t>
  </si>
  <si>
    <t>微栖科技</t>
  </si>
  <si>
    <t>QA01361</t>
  </si>
  <si>
    <t>曜之优选</t>
  </si>
  <si>
    <t>QA01362</t>
  </si>
  <si>
    <t>雨珂健康</t>
  </si>
  <si>
    <t>QA01363</t>
  </si>
  <si>
    <t>初橙家居</t>
  </si>
  <si>
    <t>QA01364</t>
  </si>
  <si>
    <t>森刻衣品</t>
  </si>
  <si>
    <t>QA01365</t>
  </si>
  <si>
    <t>黎岚衣品</t>
  </si>
  <si>
    <t>QA01366</t>
  </si>
  <si>
    <t>锦田饮品</t>
  </si>
  <si>
    <t>QA01367</t>
  </si>
  <si>
    <t>芮珂衣品</t>
  </si>
  <si>
    <t>QA01368</t>
  </si>
  <si>
    <t>安芽电子</t>
  </si>
  <si>
    <t>QA01369</t>
  </si>
  <si>
    <t>锦谷香氛</t>
  </si>
  <si>
    <t>QA01370</t>
  </si>
  <si>
    <t>岚谷衣品</t>
  </si>
  <si>
    <t>QA01371</t>
  </si>
  <si>
    <t>蔓田衣品</t>
  </si>
  <si>
    <t>已流失</t>
  </si>
  <si>
    <t>QA01372</t>
  </si>
  <si>
    <t>沁之食品</t>
  </si>
  <si>
    <t>2023-06-20</t>
  </si>
  <si>
    <t>QA01373</t>
  </si>
  <si>
    <t>雪初优选</t>
  </si>
  <si>
    <t>2023-06-25</t>
  </si>
  <si>
    <t>QA01374</t>
  </si>
  <si>
    <t>雨橙零食</t>
  </si>
  <si>
    <t>2024-01-31</t>
  </si>
  <si>
    <t>QA01375</t>
  </si>
  <si>
    <t>云刻时装</t>
  </si>
  <si>
    <t>QA01376</t>
  </si>
  <si>
    <t>柚棠母婴</t>
  </si>
  <si>
    <t>QA01377</t>
  </si>
  <si>
    <t>夕谷电子</t>
  </si>
  <si>
    <t>2023-11-12</t>
  </si>
  <si>
    <t>QA01378</t>
  </si>
  <si>
    <t>澄言衣品</t>
  </si>
  <si>
    <t>QA01379</t>
  </si>
  <si>
    <t>禾刻食品</t>
  </si>
  <si>
    <t>2024-09-14</t>
  </si>
  <si>
    <t>QA01380</t>
  </si>
  <si>
    <t>初初食品</t>
  </si>
  <si>
    <t>QA01381</t>
  </si>
  <si>
    <t>缇茉烘焙</t>
  </si>
  <si>
    <t>QA01382</t>
  </si>
  <si>
    <t>安宝香氛</t>
  </si>
  <si>
    <t>QA01383</t>
  </si>
  <si>
    <t>雨汀科技</t>
  </si>
  <si>
    <t>2024-05-29</t>
  </si>
  <si>
    <t>QA01384</t>
  </si>
  <si>
    <t>林言食品</t>
  </si>
  <si>
    <t>2024-03-25</t>
  </si>
  <si>
    <t>QA01385</t>
  </si>
  <si>
    <t>微棠智能</t>
  </si>
  <si>
    <t>QA01386</t>
  </si>
  <si>
    <t>鹿芽宝贝</t>
  </si>
  <si>
    <t>2023-12-10</t>
  </si>
  <si>
    <t>QA01387</t>
  </si>
  <si>
    <t>柒汀数码</t>
  </si>
  <si>
    <t>QA01388</t>
  </si>
  <si>
    <t>乐诺家纺</t>
  </si>
  <si>
    <t>2024-02-17</t>
  </si>
  <si>
    <t>QA01389</t>
  </si>
  <si>
    <t>栀橙优选</t>
  </si>
  <si>
    <t>QA01390</t>
  </si>
  <si>
    <t>柒棠服饰</t>
  </si>
  <si>
    <t>2024-07-06</t>
  </si>
  <si>
    <t>QA01391</t>
  </si>
  <si>
    <t>栀棠美妆</t>
  </si>
  <si>
    <t>QA01392</t>
  </si>
  <si>
    <t>安岚衣品</t>
  </si>
  <si>
    <t>2024-08-15</t>
  </si>
  <si>
    <t>QA01393</t>
  </si>
  <si>
    <t>澜朵护肤</t>
  </si>
  <si>
    <t>QA01394</t>
  </si>
  <si>
    <t>屿汀饮品</t>
  </si>
  <si>
    <t>QA01395</t>
  </si>
  <si>
    <t>森野超市</t>
  </si>
  <si>
    <t>2023-07-10</t>
  </si>
  <si>
    <t>QA01396</t>
  </si>
  <si>
    <t>黎宝智能</t>
  </si>
  <si>
    <t>QA01397</t>
  </si>
  <si>
    <t>芮野护肤</t>
  </si>
  <si>
    <t>2024-03-21</t>
  </si>
  <si>
    <t>QA01398</t>
  </si>
  <si>
    <t>南初智能</t>
  </si>
  <si>
    <t>2023-09-07</t>
  </si>
  <si>
    <t>QA01399</t>
  </si>
  <si>
    <t>雪棠宝贝</t>
  </si>
  <si>
    <t>2025-05-12</t>
  </si>
  <si>
    <t>QA01400</t>
  </si>
  <si>
    <t>屿溪衣品</t>
  </si>
  <si>
    <t>2023-06-12</t>
  </si>
  <si>
    <t>QA01401</t>
  </si>
  <si>
    <t>蔓诺香氛</t>
  </si>
  <si>
    <t>2025-03-27</t>
  </si>
  <si>
    <t>QA01402</t>
  </si>
  <si>
    <t>洛芽衣品</t>
  </si>
  <si>
    <t>2024-04-07</t>
  </si>
  <si>
    <t>QA01403</t>
  </si>
  <si>
    <t>森朵护肤</t>
  </si>
  <si>
    <t>2024-08-16</t>
  </si>
  <si>
    <t>QA01404</t>
  </si>
  <si>
    <t>林栖宝贝</t>
  </si>
  <si>
    <t>QA01405</t>
  </si>
  <si>
    <t>澜溪食品</t>
  </si>
  <si>
    <t>2024-05-01</t>
  </si>
  <si>
    <t>QA01406</t>
  </si>
  <si>
    <t>南田日化</t>
  </si>
  <si>
    <t>2023-10-22</t>
  </si>
  <si>
    <t>QA01407</t>
  </si>
  <si>
    <t>栀谷护肤</t>
  </si>
  <si>
    <t>QA01408</t>
  </si>
  <si>
    <t>曜茉家居</t>
  </si>
  <si>
    <t>QA01409</t>
  </si>
  <si>
    <t>缇朵家纺</t>
  </si>
  <si>
    <t>2025-05-17</t>
  </si>
  <si>
    <t>QA01410</t>
  </si>
  <si>
    <t>林芽婴童</t>
  </si>
  <si>
    <t>2023-07-08</t>
  </si>
  <si>
    <t>QA01411</t>
  </si>
  <si>
    <t>北宝医药</t>
  </si>
  <si>
    <t>QA01412</t>
  </si>
  <si>
    <t>夕初烘焙</t>
  </si>
  <si>
    <t>QA01413</t>
  </si>
  <si>
    <t>屿言数码</t>
  </si>
  <si>
    <t>2025-06-05</t>
  </si>
  <si>
    <t>QA01414</t>
  </si>
  <si>
    <t>森谷食品</t>
  </si>
  <si>
    <t>2024-02-12</t>
  </si>
  <si>
    <t>QA01415</t>
  </si>
  <si>
    <t>森野烘焙</t>
  </si>
  <si>
    <t>2023-08-29</t>
  </si>
  <si>
    <t>QA01416</t>
  </si>
  <si>
    <t>乔橙护肤</t>
  </si>
  <si>
    <t>2025-06-30</t>
  </si>
  <si>
    <t>QA01417</t>
  </si>
  <si>
    <t>柒茉日化</t>
  </si>
  <si>
    <t>QA01418</t>
  </si>
  <si>
    <t>川初健康</t>
  </si>
  <si>
    <t>2023-10-11</t>
  </si>
  <si>
    <t>QA01419</t>
  </si>
  <si>
    <t>云谷科技</t>
  </si>
  <si>
    <t>2024-04-11</t>
  </si>
  <si>
    <t>QA01420</t>
  </si>
  <si>
    <t>鹿汀家纺</t>
  </si>
  <si>
    <t>2023-12-20</t>
  </si>
  <si>
    <t>QA01421</t>
  </si>
  <si>
    <t>黎野乳业</t>
  </si>
  <si>
    <t>QA01422</t>
  </si>
  <si>
    <t>岚之母婴</t>
  </si>
  <si>
    <t>QA01423</t>
  </si>
  <si>
    <t>沁初家纺</t>
  </si>
  <si>
    <t>QA01424</t>
  </si>
  <si>
    <t>柚汀食品</t>
  </si>
  <si>
    <t>QA01425</t>
  </si>
  <si>
    <t>曜岚烘焙</t>
  </si>
  <si>
    <t>QA01426</t>
  </si>
  <si>
    <t>芮珂智能</t>
  </si>
  <si>
    <t>2024-04-21</t>
  </si>
  <si>
    <t>QA01427</t>
  </si>
  <si>
    <t>锦橙时装</t>
  </si>
  <si>
    <t>QA01428</t>
  </si>
  <si>
    <t>微橙科技</t>
  </si>
  <si>
    <t>2024-02-11</t>
  </si>
  <si>
    <t>QA01429</t>
  </si>
  <si>
    <t>禾橙乳业</t>
  </si>
  <si>
    <t>QA01430</t>
  </si>
  <si>
    <t>雪初生活</t>
  </si>
  <si>
    <t>2023-09-06</t>
  </si>
  <si>
    <t>QA01431</t>
  </si>
  <si>
    <t>云珂超市</t>
  </si>
  <si>
    <t>2023-06-26</t>
  </si>
  <si>
    <t>QA01432</t>
  </si>
  <si>
    <t>雪朵母婴</t>
  </si>
  <si>
    <t>2023-10-20</t>
  </si>
  <si>
    <t>QA01433</t>
  </si>
  <si>
    <t>沁橙香氛</t>
  </si>
  <si>
    <t>QA01434</t>
  </si>
  <si>
    <t>栀田电子</t>
  </si>
  <si>
    <t>QA01435</t>
  </si>
  <si>
    <t>栀芽科技</t>
  </si>
  <si>
    <t>2023-12-22</t>
  </si>
  <si>
    <t>QA01436</t>
  </si>
  <si>
    <t>安诺日化</t>
  </si>
  <si>
    <t>QA01437</t>
  </si>
  <si>
    <t>熙岚饮品</t>
  </si>
  <si>
    <t>2023-11-13</t>
  </si>
  <si>
    <t>QA01438</t>
  </si>
  <si>
    <t>澜岚衣品</t>
  </si>
  <si>
    <t>QA01439</t>
  </si>
  <si>
    <t>澜言电子</t>
  </si>
  <si>
    <t>2023-11-10</t>
  </si>
  <si>
    <t>QA01440</t>
  </si>
  <si>
    <t>海诺护肤</t>
  </si>
  <si>
    <t>QA01441</t>
  </si>
  <si>
    <t>林岚零食</t>
  </si>
  <si>
    <t>2024-04-27</t>
  </si>
  <si>
    <t>QA01442</t>
  </si>
  <si>
    <t>禾诺日化</t>
  </si>
  <si>
    <t>QA01443</t>
  </si>
  <si>
    <t>曜言日化</t>
  </si>
  <si>
    <t>QA01444</t>
  </si>
  <si>
    <t>柒栖烘焙</t>
  </si>
  <si>
    <t>2023-12-21</t>
  </si>
  <si>
    <t>QA01445</t>
  </si>
  <si>
    <t>蔓朵健康</t>
  </si>
  <si>
    <t>2024-11-11</t>
  </si>
  <si>
    <t>QA01446</t>
  </si>
  <si>
    <t>屿茉日化</t>
  </si>
  <si>
    <t>QA01447</t>
  </si>
  <si>
    <t>禾茉科技</t>
  </si>
  <si>
    <t>QA01448</t>
  </si>
  <si>
    <t>岚诺衣品</t>
  </si>
  <si>
    <t>QA01449</t>
  </si>
  <si>
    <t>沐野时装</t>
  </si>
  <si>
    <t>2023-12-30</t>
  </si>
  <si>
    <t>QA01450</t>
  </si>
  <si>
    <t>缇栖日化</t>
  </si>
  <si>
    <t>QA01451</t>
  </si>
  <si>
    <t>沁谷母婴</t>
  </si>
  <si>
    <t>QA01452</t>
  </si>
  <si>
    <t>雪田时装</t>
  </si>
  <si>
    <t>QA01453</t>
  </si>
  <si>
    <t>川初香氛</t>
  </si>
  <si>
    <t>2025-05-22</t>
  </si>
  <si>
    <t>QA01454</t>
  </si>
  <si>
    <t>屿宝零食</t>
  </si>
  <si>
    <t>QA01455</t>
  </si>
  <si>
    <t>蔓谷日化</t>
  </si>
  <si>
    <t>2023-06-23</t>
  </si>
  <si>
    <t>QA01456</t>
  </si>
  <si>
    <t>锦禾母婴</t>
  </si>
  <si>
    <t>2023-09-14</t>
  </si>
  <si>
    <t>QA01457</t>
  </si>
  <si>
    <t>晨诺美妆</t>
  </si>
  <si>
    <t>QA01458</t>
  </si>
  <si>
    <t>南棠超市</t>
  </si>
  <si>
    <t>QA01459</t>
  </si>
  <si>
    <t>锦橙科技</t>
  </si>
  <si>
    <t>QA01460</t>
  </si>
  <si>
    <t>雪珂饮品</t>
  </si>
  <si>
    <t>2024-05-24</t>
  </si>
  <si>
    <t>QA01461</t>
  </si>
  <si>
    <t>熙禾婴童</t>
  </si>
  <si>
    <t>2023-09-18</t>
  </si>
  <si>
    <t>QA01462</t>
  </si>
  <si>
    <t>蔓珂香氛</t>
  </si>
  <si>
    <t>2024-09-27</t>
  </si>
  <si>
    <t>QA01463</t>
  </si>
  <si>
    <t>乔初母婴</t>
  </si>
  <si>
    <t>QA01464</t>
  </si>
  <si>
    <t>乔珂服饰</t>
  </si>
  <si>
    <t>QA01465</t>
  </si>
  <si>
    <t>黎言健康</t>
  </si>
  <si>
    <t>2023-09-24</t>
  </si>
  <si>
    <t>QA01466</t>
  </si>
  <si>
    <t>南溪婴童</t>
  </si>
  <si>
    <t>2023-08-16</t>
  </si>
  <si>
    <t>QA01467</t>
  </si>
  <si>
    <t>缇芽科技</t>
  </si>
  <si>
    <t>QA01468</t>
  </si>
  <si>
    <t>月谷生活</t>
  </si>
  <si>
    <t>QA01469</t>
  </si>
  <si>
    <t>云芽乳业</t>
  </si>
  <si>
    <t>2023-09-12</t>
  </si>
  <si>
    <t>QA01470</t>
  </si>
  <si>
    <t>柒茉宝贝</t>
  </si>
  <si>
    <t>2024-12-21</t>
  </si>
  <si>
    <t>QA01471</t>
  </si>
  <si>
    <t>洛橙日化</t>
  </si>
  <si>
    <t>2024-11-12</t>
  </si>
  <si>
    <t>QA01472</t>
  </si>
  <si>
    <t>蔓野优选</t>
  </si>
  <si>
    <t>2024-09-15</t>
  </si>
  <si>
    <t>QA01473</t>
  </si>
  <si>
    <t>南谷超市</t>
  </si>
  <si>
    <t>QA01474</t>
  </si>
  <si>
    <t>栀禾家纺</t>
  </si>
  <si>
    <t>QA01475</t>
  </si>
  <si>
    <t>雪栖饮品</t>
  </si>
  <si>
    <t>2023-07-09</t>
  </si>
  <si>
    <t>QA01476</t>
  </si>
  <si>
    <t>川朵科技</t>
  </si>
  <si>
    <t>QA01477</t>
  </si>
  <si>
    <t>芮栖超市</t>
  </si>
  <si>
    <t>2023-11-18</t>
  </si>
  <si>
    <t>QA01478</t>
  </si>
  <si>
    <t>初朵时装</t>
  </si>
  <si>
    <t>QA01479</t>
  </si>
  <si>
    <t>曜初日化</t>
  </si>
  <si>
    <t>QA01480</t>
  </si>
  <si>
    <t>柒岚衣品</t>
  </si>
  <si>
    <t>QA01481</t>
  </si>
  <si>
    <t>云言烘焙</t>
  </si>
  <si>
    <t>QA01482</t>
  </si>
  <si>
    <t>缇宝健康</t>
  </si>
  <si>
    <t>QA01483</t>
  </si>
  <si>
    <t>沐初母婴</t>
  </si>
  <si>
    <t>2023-07-16</t>
  </si>
  <si>
    <t>QA01484</t>
  </si>
  <si>
    <t>蔓言家纺</t>
  </si>
  <si>
    <t>2023-12-12</t>
  </si>
  <si>
    <t>QA01485</t>
  </si>
  <si>
    <t>澜珂婴童</t>
  </si>
  <si>
    <t>2023-07-12</t>
  </si>
  <si>
    <t>QA01486</t>
  </si>
  <si>
    <t>雪宝美妆</t>
  </si>
  <si>
    <t>2023-08-02</t>
  </si>
  <si>
    <t>QA01487</t>
  </si>
  <si>
    <t>雨初衣品</t>
  </si>
  <si>
    <t>QA01488</t>
  </si>
  <si>
    <t>乔朵数码</t>
  </si>
  <si>
    <t>2024-05-17</t>
  </si>
  <si>
    <t>QA01489</t>
  </si>
  <si>
    <t>蔓朵护肤</t>
  </si>
  <si>
    <t>2024-04-16</t>
  </si>
  <si>
    <t>QA01490</t>
  </si>
  <si>
    <t>晨朵时装</t>
  </si>
  <si>
    <t>QA01491</t>
  </si>
  <si>
    <t>曜野零食</t>
  </si>
  <si>
    <t>QA01492</t>
  </si>
  <si>
    <t>川珂乳业</t>
  </si>
  <si>
    <t>2024-05-09</t>
  </si>
  <si>
    <t>QA01493</t>
  </si>
  <si>
    <t>洛禾宝贝</t>
  </si>
  <si>
    <t>QA01494</t>
  </si>
  <si>
    <t>澜言日化</t>
  </si>
  <si>
    <t>QA01495</t>
  </si>
  <si>
    <t>初棠饮品</t>
  </si>
  <si>
    <t>2024-04-22</t>
  </si>
  <si>
    <t>QA01496</t>
  </si>
  <si>
    <t>熙茉家居</t>
  </si>
  <si>
    <t>2024-02-28</t>
  </si>
  <si>
    <t>QA01497</t>
  </si>
  <si>
    <t>沁之日化</t>
  </si>
  <si>
    <t>QA01498</t>
  </si>
  <si>
    <t>山田服饰</t>
  </si>
  <si>
    <t>QA01499</t>
  </si>
  <si>
    <t>蔓岚饮品</t>
  </si>
  <si>
    <t>2024-11-17</t>
  </si>
  <si>
    <t>QA01500</t>
  </si>
  <si>
    <t>蔓棠家纺</t>
  </si>
  <si>
    <t>2023-10-19</t>
  </si>
  <si>
    <t>QA01501</t>
  </si>
  <si>
    <t>雨谷零食</t>
  </si>
  <si>
    <t>2023-12-08</t>
  </si>
  <si>
    <t>QA01502</t>
  </si>
  <si>
    <t>微宝医药</t>
  </si>
  <si>
    <t>QA01503</t>
  </si>
  <si>
    <t>山诺婴童</t>
  </si>
  <si>
    <t>2023-08-25</t>
  </si>
  <si>
    <t>QA01504</t>
  </si>
  <si>
    <t>芮禾零食</t>
  </si>
  <si>
    <t>QA01505</t>
  </si>
  <si>
    <t>栀橙衣品</t>
  </si>
  <si>
    <t>QA01506</t>
  </si>
  <si>
    <t>禾刻生活</t>
  </si>
  <si>
    <t>QA01507</t>
  </si>
  <si>
    <t>乔朵食品</t>
  </si>
  <si>
    <t>QA01508</t>
  </si>
  <si>
    <t>星栖生活</t>
  </si>
  <si>
    <t>QA01509</t>
  </si>
  <si>
    <t>澜初智能</t>
  </si>
  <si>
    <t>2023-08-12</t>
  </si>
  <si>
    <t>QA01510</t>
  </si>
  <si>
    <t>鹿栖便利</t>
  </si>
  <si>
    <t>QA01511</t>
  </si>
  <si>
    <t>山言宝贝</t>
  </si>
  <si>
    <t>2024-06-10</t>
  </si>
  <si>
    <t>QA01512</t>
  </si>
  <si>
    <t>星棠服饰</t>
  </si>
  <si>
    <t>QA01513</t>
  </si>
  <si>
    <t>林言智能</t>
  </si>
  <si>
    <t>2023-06-18</t>
  </si>
  <si>
    <t>QA01514</t>
  </si>
  <si>
    <t>南栖护肤</t>
  </si>
  <si>
    <t>2024-01-15</t>
  </si>
  <si>
    <t>QA01515</t>
  </si>
  <si>
    <t>素芽生活</t>
  </si>
  <si>
    <t>2024-01-16</t>
  </si>
  <si>
    <t>QA01516</t>
  </si>
  <si>
    <t>沐橙时装</t>
  </si>
  <si>
    <t>QA01517</t>
  </si>
  <si>
    <t>鹿岚数码</t>
  </si>
  <si>
    <t>2024-10-09</t>
  </si>
  <si>
    <t>QA01518</t>
  </si>
  <si>
    <t>岚田食品</t>
  </si>
  <si>
    <t>2023-10-10</t>
  </si>
  <si>
    <t>QA01519</t>
  </si>
  <si>
    <t>乐之食品</t>
  </si>
  <si>
    <t>QA01520</t>
  </si>
  <si>
    <t>海岚婴童</t>
  </si>
  <si>
    <t>2024-07-15</t>
  </si>
  <si>
    <t>QA01521</t>
  </si>
  <si>
    <t>南田服饰</t>
  </si>
  <si>
    <t>2023-11-23</t>
  </si>
  <si>
    <t>QA01522</t>
  </si>
  <si>
    <t>星橙生活</t>
  </si>
  <si>
    <t>2025-06-16</t>
  </si>
  <si>
    <t>QA01523</t>
  </si>
  <si>
    <t>乔栖饮品</t>
  </si>
  <si>
    <t>2023-11-24</t>
  </si>
  <si>
    <t>QA01524</t>
  </si>
  <si>
    <t>岚言母婴</t>
  </si>
  <si>
    <t>2023-09-13</t>
  </si>
  <si>
    <t>QA01525</t>
  </si>
  <si>
    <t>雪棠优选</t>
  </si>
  <si>
    <t>QA01526</t>
  </si>
  <si>
    <t>素谷时装</t>
  </si>
  <si>
    <t>2023-06-29</t>
  </si>
  <si>
    <t>QA01527</t>
  </si>
  <si>
    <t>沁谷生活</t>
  </si>
  <si>
    <t>QA01528</t>
  </si>
  <si>
    <t>海汀乳业</t>
  </si>
  <si>
    <t>QA01529</t>
  </si>
  <si>
    <t>黎刻康养</t>
  </si>
  <si>
    <t>QA01530</t>
  </si>
  <si>
    <t>鹿棠日化</t>
  </si>
  <si>
    <t>2023-11-25</t>
  </si>
  <si>
    <t>QA01531</t>
  </si>
  <si>
    <t>岚溪科技</t>
  </si>
  <si>
    <t>2023-08-17</t>
  </si>
  <si>
    <t>QA01532</t>
  </si>
  <si>
    <t>素芽时装</t>
  </si>
  <si>
    <t>2025-05-09</t>
  </si>
  <si>
    <t>QA01533</t>
  </si>
  <si>
    <t>素诺服饰</t>
  </si>
  <si>
    <t>QA01534</t>
  </si>
  <si>
    <t>雪溪智能</t>
  </si>
  <si>
    <t>2024-03-02</t>
  </si>
  <si>
    <t>QA01535</t>
  </si>
  <si>
    <t>安橙零食</t>
  </si>
  <si>
    <t>QA01536</t>
  </si>
  <si>
    <t>素言优选</t>
  </si>
  <si>
    <t>2023-09-01</t>
  </si>
  <si>
    <t>QA01537</t>
  </si>
  <si>
    <t>北茉零食</t>
  </si>
  <si>
    <t>QA01538</t>
  </si>
  <si>
    <t>云棠生活</t>
  </si>
  <si>
    <t>QA01539</t>
  </si>
  <si>
    <t>沁田服饰</t>
  </si>
  <si>
    <t>QA01540</t>
  </si>
  <si>
    <t>夕珂生活</t>
  </si>
  <si>
    <t>QA01541</t>
  </si>
  <si>
    <t>北汀数码</t>
  </si>
  <si>
    <t>QA01542</t>
  </si>
  <si>
    <t>臻朵饮品</t>
  </si>
  <si>
    <t>2023-10-18</t>
  </si>
  <si>
    <t>QA01543</t>
  </si>
  <si>
    <t>熙溪乳业</t>
  </si>
  <si>
    <t>2024-02-10</t>
  </si>
  <si>
    <t>QA01544</t>
  </si>
  <si>
    <t>澜野电子</t>
  </si>
  <si>
    <t>2023-11-29</t>
  </si>
  <si>
    <t>QA01545</t>
  </si>
  <si>
    <t>初朵科技</t>
  </si>
  <si>
    <t>QA01546</t>
  </si>
  <si>
    <t>川谷宝贝</t>
  </si>
  <si>
    <t>2023-08-19</t>
  </si>
  <si>
    <t>QA01547</t>
  </si>
  <si>
    <t>雪谷衣品</t>
  </si>
  <si>
    <t>QA01548</t>
  </si>
  <si>
    <t>林茉食品</t>
  </si>
  <si>
    <t>2024-03-28</t>
  </si>
  <si>
    <t>QA01549</t>
  </si>
  <si>
    <t>微珂服饰</t>
  </si>
  <si>
    <t>2023-10-31</t>
  </si>
  <si>
    <t>QA01550</t>
  </si>
  <si>
    <t>沁芽健康</t>
  </si>
  <si>
    <t>2023-09-28</t>
  </si>
  <si>
    <t>QA01551</t>
  </si>
  <si>
    <t>安汀医药</t>
  </si>
  <si>
    <t>QA01552</t>
  </si>
  <si>
    <t>微珂食品</t>
  </si>
  <si>
    <t>QA01553</t>
  </si>
  <si>
    <t>晨刻零食</t>
  </si>
  <si>
    <t>QA01554</t>
  </si>
  <si>
    <t>川汀日化</t>
  </si>
  <si>
    <t>QA01555</t>
  </si>
  <si>
    <t>雪野时装</t>
  </si>
  <si>
    <t>QA01556</t>
  </si>
  <si>
    <t>海岚生活</t>
  </si>
  <si>
    <t>QA01557</t>
  </si>
  <si>
    <t>沁野时装</t>
  </si>
  <si>
    <t>QA01558</t>
  </si>
  <si>
    <t>岚禾数码</t>
  </si>
  <si>
    <t>QA01559</t>
  </si>
  <si>
    <t>柚田食品</t>
  </si>
  <si>
    <t>QA01560</t>
  </si>
  <si>
    <t>澜岚数码</t>
  </si>
  <si>
    <t>2023-12-27</t>
  </si>
  <si>
    <t>QA01561</t>
  </si>
  <si>
    <t>禾珂服饰</t>
  </si>
  <si>
    <t>QA01562</t>
  </si>
  <si>
    <t>云禾美妆</t>
  </si>
  <si>
    <t>QA01563</t>
  </si>
  <si>
    <t>北初数码</t>
  </si>
  <si>
    <t>2023-10-08</t>
  </si>
  <si>
    <t>QA01564</t>
  </si>
  <si>
    <t>沐刻香氛</t>
  </si>
  <si>
    <t>2024-06-11</t>
  </si>
  <si>
    <t>QA01565</t>
  </si>
  <si>
    <t>夕野健康</t>
  </si>
  <si>
    <t>QA01566</t>
  </si>
  <si>
    <t>森之美妆</t>
  </si>
  <si>
    <t>2023-11-28</t>
  </si>
  <si>
    <t>QA01567</t>
  </si>
  <si>
    <t>素田饮品</t>
  </si>
  <si>
    <t>QA01568</t>
  </si>
  <si>
    <t>安野烘焙</t>
  </si>
  <si>
    <t>QA01569</t>
  </si>
  <si>
    <t>安谷婴童</t>
  </si>
  <si>
    <t>QA01570</t>
  </si>
  <si>
    <t>雪田优选</t>
  </si>
  <si>
    <t>2024-03-30</t>
  </si>
  <si>
    <t>QA01571</t>
  </si>
  <si>
    <t>南芽科技</t>
  </si>
  <si>
    <t>QA01572</t>
  </si>
  <si>
    <t>雨朵家居</t>
  </si>
  <si>
    <t>2024-09-16</t>
  </si>
  <si>
    <t>QA01573</t>
  </si>
  <si>
    <t>柚茉香氛</t>
  </si>
  <si>
    <t>QA01574</t>
  </si>
  <si>
    <t>月岚零食</t>
  </si>
  <si>
    <t>QA01575</t>
  </si>
  <si>
    <t>微珂母婴</t>
  </si>
  <si>
    <t>QA01576</t>
  </si>
  <si>
    <t>雪诺家纺</t>
  </si>
  <si>
    <t>2025-03-20</t>
  </si>
  <si>
    <t>QA01577</t>
  </si>
  <si>
    <t>森棠日化</t>
  </si>
  <si>
    <t>QA01578</t>
  </si>
  <si>
    <t>柒朵饮品</t>
  </si>
  <si>
    <t>QA01579</t>
  </si>
  <si>
    <t>曜禾香氛</t>
  </si>
  <si>
    <t>QA01580</t>
  </si>
  <si>
    <t>蔓茉宝贝</t>
  </si>
  <si>
    <t>QA01581</t>
  </si>
  <si>
    <t>素橙母婴</t>
  </si>
  <si>
    <t>QA01582</t>
  </si>
  <si>
    <t>缇岚饮品</t>
  </si>
  <si>
    <t>QA01583</t>
  </si>
  <si>
    <t>微诺乳业</t>
  </si>
  <si>
    <t>QA01584</t>
  </si>
  <si>
    <t>柚汀美妆</t>
  </si>
  <si>
    <t>2023-08-10</t>
  </si>
  <si>
    <t>QA01585</t>
  </si>
  <si>
    <t>澜初香氛</t>
  </si>
  <si>
    <t>QA01586</t>
  </si>
  <si>
    <t>曜田超市</t>
  </si>
  <si>
    <t>2024-02-07</t>
  </si>
  <si>
    <t>QA01587</t>
  </si>
  <si>
    <t>芮刻母婴</t>
  </si>
  <si>
    <t>QA01588</t>
  </si>
  <si>
    <t>熙言烘焙</t>
  </si>
  <si>
    <t>QA01589</t>
  </si>
  <si>
    <t>夕溪科技</t>
  </si>
  <si>
    <t>QA01590</t>
  </si>
  <si>
    <t>云茉家纺</t>
  </si>
  <si>
    <t>2023-07-30</t>
  </si>
  <si>
    <t>QA01591</t>
  </si>
  <si>
    <t>洛朵零食</t>
  </si>
  <si>
    <t>2025-01-27</t>
  </si>
  <si>
    <t>QA01592</t>
  </si>
  <si>
    <t>森棠食品</t>
  </si>
  <si>
    <t>2024-02-08</t>
  </si>
  <si>
    <t>QA01593</t>
  </si>
  <si>
    <t>初岚食品</t>
  </si>
  <si>
    <t>2023-10-23</t>
  </si>
  <si>
    <t>QA01594</t>
  </si>
  <si>
    <t>素谷科技</t>
  </si>
  <si>
    <t>QA01595</t>
  </si>
  <si>
    <t>素岚时装</t>
  </si>
  <si>
    <t>QA01596</t>
  </si>
  <si>
    <t>素谷乳业</t>
  </si>
  <si>
    <t>QA01597</t>
  </si>
  <si>
    <t>屿田服饰</t>
  </si>
  <si>
    <t>QA01598</t>
  </si>
  <si>
    <t>乔溪数码</t>
  </si>
  <si>
    <t>QA01599</t>
  </si>
  <si>
    <t>海棠电子</t>
  </si>
  <si>
    <t>2023-11-09</t>
  </si>
  <si>
    <t>QA01600</t>
  </si>
  <si>
    <t>雨谷日化</t>
  </si>
  <si>
    <t>2023-09-25</t>
  </si>
  <si>
    <t>QA01601</t>
  </si>
  <si>
    <t>安朵康养</t>
  </si>
  <si>
    <t>QA01602</t>
  </si>
  <si>
    <t>曜朵数码</t>
  </si>
  <si>
    <t>QA01603</t>
  </si>
  <si>
    <t>森田智能</t>
  </si>
  <si>
    <t>2024-06-16</t>
  </si>
  <si>
    <t>QA01604</t>
  </si>
  <si>
    <t>芮茉零食</t>
  </si>
  <si>
    <t>2023-12-13</t>
  </si>
  <si>
    <t>QA01605</t>
  </si>
  <si>
    <t>黎刻美妆</t>
  </si>
  <si>
    <t>2023-06-27</t>
  </si>
  <si>
    <t>QA01606</t>
  </si>
  <si>
    <t>初谷科技</t>
  </si>
  <si>
    <t>2023-06-19</t>
  </si>
  <si>
    <t>QA01607</t>
  </si>
  <si>
    <t>禾岚科技</t>
  </si>
  <si>
    <t>QA01608</t>
  </si>
  <si>
    <t>微禾电子</t>
  </si>
  <si>
    <t>QA01609</t>
  </si>
  <si>
    <t>鹿朵饮品</t>
  </si>
  <si>
    <t>QA01610</t>
  </si>
  <si>
    <t>澄禾电子</t>
  </si>
  <si>
    <t>QA01611</t>
  </si>
  <si>
    <t>熙谷宝贝</t>
  </si>
  <si>
    <t>2024-03-23</t>
  </si>
  <si>
    <t>QA01612</t>
  </si>
  <si>
    <t>锦汀香氛</t>
  </si>
  <si>
    <t>2023-08-07</t>
  </si>
  <si>
    <t>QA01613</t>
  </si>
  <si>
    <t>澜茉美妆</t>
  </si>
  <si>
    <t>QA01614</t>
  </si>
  <si>
    <t>蔓溪乳业</t>
  </si>
  <si>
    <t>QA01615</t>
  </si>
  <si>
    <t>乔之香氛</t>
  </si>
  <si>
    <t>QA01616</t>
  </si>
  <si>
    <t>乐茉零食</t>
  </si>
  <si>
    <t>QA01617</t>
  </si>
  <si>
    <t>栀珂食品</t>
  </si>
  <si>
    <t>QA01618</t>
  </si>
  <si>
    <t>屿茉护肤</t>
  </si>
  <si>
    <t>2023-08-15</t>
  </si>
  <si>
    <t>QA01619</t>
  </si>
  <si>
    <t>北朵便利</t>
  </si>
  <si>
    <t>2023-11-26</t>
  </si>
  <si>
    <t>QA01620</t>
  </si>
  <si>
    <t>雨宝科技</t>
  </si>
  <si>
    <t>2025-06-24</t>
  </si>
  <si>
    <t>QA01621</t>
  </si>
  <si>
    <t>禾初优选</t>
  </si>
  <si>
    <t>2024-02-05</t>
  </si>
  <si>
    <t>QA01622</t>
  </si>
  <si>
    <t>臻朵母婴</t>
  </si>
  <si>
    <t>2024-04-05</t>
  </si>
  <si>
    <t>QA01623</t>
  </si>
  <si>
    <t>初刻时装</t>
  </si>
  <si>
    <t>QA01624</t>
  </si>
  <si>
    <t>微溪零食</t>
  </si>
  <si>
    <t>2024-07-30</t>
  </si>
  <si>
    <t>QA01625</t>
  </si>
  <si>
    <t>柚刻食品</t>
  </si>
  <si>
    <t>2024-01-09</t>
  </si>
  <si>
    <t>QA01626</t>
  </si>
  <si>
    <t>缇栖美妆</t>
  </si>
  <si>
    <t>QA01627</t>
  </si>
  <si>
    <t>微栖时装</t>
  </si>
  <si>
    <t>QA01628</t>
  </si>
  <si>
    <t>林珂美妆</t>
  </si>
  <si>
    <t>QA01629</t>
  </si>
  <si>
    <t>雨谷护肤</t>
  </si>
  <si>
    <t>2024-02-19</t>
  </si>
  <si>
    <t>QA01630</t>
  </si>
  <si>
    <t>晨岚电子</t>
  </si>
  <si>
    <t>QA01631</t>
  </si>
  <si>
    <t>黎谷乳业</t>
  </si>
  <si>
    <t>QA01632</t>
  </si>
  <si>
    <t>鹿谷护肤</t>
  </si>
  <si>
    <t>QA01633</t>
  </si>
  <si>
    <t>乔言烘焙</t>
  </si>
  <si>
    <t>QA01634</t>
  </si>
  <si>
    <t>屿禾婴童</t>
  </si>
  <si>
    <t>QA01635</t>
  </si>
  <si>
    <t>芮言婴童</t>
  </si>
  <si>
    <t>2023-08-18</t>
  </si>
  <si>
    <t>QA01636</t>
  </si>
  <si>
    <t>曜宝便利</t>
  </si>
  <si>
    <t>2024-02-29</t>
  </si>
  <si>
    <t>QA01637</t>
  </si>
  <si>
    <t>臻栖医药</t>
  </si>
  <si>
    <t>2024-03-24</t>
  </si>
  <si>
    <t>QA01638</t>
  </si>
  <si>
    <t>黎岚美妆</t>
  </si>
  <si>
    <t>QA01639</t>
  </si>
  <si>
    <t>安刻家居</t>
  </si>
  <si>
    <t>2023-07-28</t>
  </si>
  <si>
    <t>QA01640</t>
  </si>
  <si>
    <t>川汀智能</t>
  </si>
  <si>
    <t>QA01641</t>
  </si>
  <si>
    <t>雨溪烘焙</t>
  </si>
  <si>
    <t>QA01642</t>
  </si>
  <si>
    <t>鹿之婴童</t>
  </si>
  <si>
    <t>QA01643</t>
  </si>
  <si>
    <t>安汀健康</t>
  </si>
  <si>
    <t>QA01644</t>
  </si>
  <si>
    <t>曜初家居</t>
  </si>
  <si>
    <t>QA01645</t>
  </si>
  <si>
    <t>微茉服饰</t>
  </si>
  <si>
    <t>2023-06-10</t>
  </si>
  <si>
    <t>QA01646</t>
  </si>
  <si>
    <t>洛刻科技</t>
  </si>
  <si>
    <t>2024-01-24</t>
  </si>
  <si>
    <t>QA01647</t>
  </si>
  <si>
    <t>洛珂母婴</t>
  </si>
  <si>
    <t>QA01648</t>
  </si>
  <si>
    <t>乐橙零食</t>
  </si>
  <si>
    <t>QA01649</t>
  </si>
  <si>
    <t>沁言数码</t>
  </si>
  <si>
    <t>2024-04-23</t>
  </si>
  <si>
    <t>QA01650</t>
  </si>
  <si>
    <t>洛朵香氛</t>
  </si>
  <si>
    <t>QA01651</t>
  </si>
  <si>
    <t>晨宝衣品</t>
  </si>
  <si>
    <t>QA01652</t>
  </si>
  <si>
    <t>云汀康养</t>
  </si>
  <si>
    <t>QA01653</t>
  </si>
  <si>
    <t>素岚美妆</t>
  </si>
  <si>
    <t>QA01654</t>
  </si>
  <si>
    <t>禾溪护肤</t>
  </si>
  <si>
    <t>2023-12-05</t>
  </si>
  <si>
    <t>QA01655</t>
  </si>
  <si>
    <t>海之健康</t>
  </si>
  <si>
    <t>QA01656</t>
  </si>
  <si>
    <t>澄刻电子</t>
  </si>
  <si>
    <t>2023-06-14</t>
  </si>
  <si>
    <t>QA01657</t>
  </si>
  <si>
    <t>微之数码</t>
  </si>
  <si>
    <t>QA01658</t>
  </si>
  <si>
    <t>林茉婴童</t>
  </si>
  <si>
    <t>QA01659</t>
  </si>
  <si>
    <t>晨栖婴童</t>
  </si>
  <si>
    <t>2025-03-09</t>
  </si>
  <si>
    <t>QA01660</t>
  </si>
  <si>
    <t>森栖宝贝</t>
  </si>
  <si>
    <t>QA01661</t>
  </si>
  <si>
    <t>云野健康</t>
  </si>
  <si>
    <t>QA01662</t>
  </si>
  <si>
    <t>禾橙食品</t>
  </si>
  <si>
    <t>QA01663</t>
  </si>
  <si>
    <t>鹿溪优选</t>
  </si>
  <si>
    <t>QA01664</t>
  </si>
  <si>
    <t>芮芽乳业</t>
  </si>
  <si>
    <t>QA01665</t>
  </si>
  <si>
    <t>森野香氛</t>
  </si>
  <si>
    <t>QA01666</t>
  </si>
  <si>
    <t>乐栖超市</t>
  </si>
  <si>
    <t>2024-08-05</t>
  </si>
  <si>
    <t>QA01667</t>
  </si>
  <si>
    <t>屿栖科技</t>
  </si>
  <si>
    <t>QA01668</t>
  </si>
  <si>
    <t>澄言生活</t>
  </si>
  <si>
    <t>QA01669</t>
  </si>
  <si>
    <t>栀芽零食</t>
  </si>
  <si>
    <t>QA01670</t>
  </si>
  <si>
    <t>星岚母婴</t>
  </si>
  <si>
    <t>QA01671</t>
  </si>
  <si>
    <t>星岚护肤</t>
  </si>
  <si>
    <t>2024-12-08</t>
  </si>
  <si>
    <t>QA01672</t>
  </si>
  <si>
    <t>北橙护肤</t>
  </si>
  <si>
    <t>QA01673</t>
  </si>
  <si>
    <t>熙田食品</t>
  </si>
  <si>
    <t>QA01674</t>
  </si>
  <si>
    <t>初茉家纺</t>
  </si>
  <si>
    <t>QA01675</t>
  </si>
  <si>
    <t>柚田便利</t>
  </si>
  <si>
    <t>QA01676</t>
  </si>
  <si>
    <t>鹿棠康养</t>
  </si>
  <si>
    <t>QA01677</t>
  </si>
  <si>
    <t>雪栖香氛</t>
  </si>
  <si>
    <t>2024-03-01</t>
  </si>
  <si>
    <t>QA01678</t>
  </si>
  <si>
    <t>澜栖数码</t>
  </si>
  <si>
    <t>QA01679</t>
  </si>
  <si>
    <t>禾溪家居</t>
  </si>
  <si>
    <t>QA01680</t>
  </si>
  <si>
    <t>晨诺健康</t>
  </si>
  <si>
    <t>QA01681</t>
  </si>
  <si>
    <t>沁茉日化</t>
  </si>
  <si>
    <t>QA01682</t>
  </si>
  <si>
    <t>安诺母婴</t>
  </si>
  <si>
    <t>2023-12-07</t>
  </si>
  <si>
    <t>QA01683</t>
  </si>
  <si>
    <t>云芽时装</t>
  </si>
  <si>
    <t>QA01684</t>
  </si>
  <si>
    <t>岚禾食品</t>
  </si>
  <si>
    <t>QA01685</t>
  </si>
  <si>
    <t>柒芽零食</t>
  </si>
  <si>
    <t>QA01686</t>
  </si>
  <si>
    <t>柚芽服饰</t>
  </si>
  <si>
    <t>2023-08-21</t>
  </si>
  <si>
    <t>QA01687</t>
  </si>
  <si>
    <t>云溪家纺</t>
  </si>
  <si>
    <t>QA01688</t>
  </si>
  <si>
    <t>雨珂婴童</t>
  </si>
  <si>
    <t>2023-07-25</t>
  </si>
  <si>
    <t>QA01689</t>
  </si>
  <si>
    <t>岚溪母婴</t>
  </si>
  <si>
    <t>QA01690</t>
  </si>
  <si>
    <t>禾橙电子</t>
  </si>
  <si>
    <t>QA01691</t>
  </si>
  <si>
    <t>鹿之护肤</t>
  </si>
  <si>
    <t>QA01692</t>
  </si>
  <si>
    <t>臻茉衣品</t>
  </si>
  <si>
    <t>2023-10-12</t>
  </si>
  <si>
    <t>QA01693</t>
  </si>
  <si>
    <t>熙芽时装</t>
  </si>
  <si>
    <t>QA01694</t>
  </si>
  <si>
    <t>鹿初家居</t>
  </si>
  <si>
    <t>2024-01-08</t>
  </si>
  <si>
    <t>QA01695</t>
  </si>
  <si>
    <t>澄之数码</t>
  </si>
  <si>
    <t>QA01696</t>
  </si>
  <si>
    <t>初芽婴童</t>
  </si>
  <si>
    <t>2024-10-22</t>
  </si>
  <si>
    <t>QA01697</t>
  </si>
  <si>
    <t>云野香氛</t>
  </si>
  <si>
    <t>QA01698</t>
  </si>
  <si>
    <t>晨珂智能</t>
  </si>
  <si>
    <t>QA01699</t>
  </si>
  <si>
    <t>安茉美妆</t>
  </si>
  <si>
    <t>2024-02-14</t>
  </si>
  <si>
    <t>QA01700</t>
  </si>
  <si>
    <t>初宝家居</t>
  </si>
  <si>
    <t>QA01701</t>
  </si>
  <si>
    <t>雨宝时装</t>
  </si>
  <si>
    <t>QA01702</t>
  </si>
  <si>
    <t>澜溪便利</t>
  </si>
  <si>
    <t>QA01703</t>
  </si>
  <si>
    <t>沐汀智能</t>
  </si>
  <si>
    <t>QA01704</t>
  </si>
  <si>
    <t>柒珂优选</t>
  </si>
  <si>
    <t>QA01705</t>
  </si>
  <si>
    <t>山汀烘焙</t>
  </si>
  <si>
    <t>QA01706</t>
  </si>
  <si>
    <t>芮棠优选</t>
  </si>
  <si>
    <t>QA01707</t>
  </si>
  <si>
    <t>锦珂护肤</t>
  </si>
  <si>
    <t>2023-10-17</t>
  </si>
  <si>
    <t>QA01708</t>
  </si>
  <si>
    <t>晨朵日化</t>
  </si>
  <si>
    <t>2024-03-07</t>
  </si>
  <si>
    <t>QA01709</t>
  </si>
  <si>
    <t>柒橙香氛</t>
  </si>
  <si>
    <t>2024-03-26</t>
  </si>
  <si>
    <t>QA01710</t>
  </si>
  <si>
    <t>沐橙美妆</t>
  </si>
  <si>
    <t>2024-11-13</t>
  </si>
  <si>
    <t>QA01711</t>
  </si>
  <si>
    <t>缇岚便利</t>
  </si>
  <si>
    <t>QA01712</t>
  </si>
  <si>
    <t>川初智能</t>
  </si>
  <si>
    <t>QA01713</t>
  </si>
  <si>
    <t>沁宝电子</t>
  </si>
  <si>
    <t>QA01714</t>
  </si>
  <si>
    <t>缇溪零食</t>
  </si>
  <si>
    <t>QA01715</t>
  </si>
  <si>
    <t>素谷优选</t>
  </si>
  <si>
    <t>QA01716</t>
  </si>
  <si>
    <t>柒汀家居</t>
  </si>
  <si>
    <t>2024-01-19</t>
  </si>
  <si>
    <t>QA01717</t>
  </si>
  <si>
    <t>星溪婴童</t>
  </si>
  <si>
    <t>QA01718</t>
  </si>
  <si>
    <t>缇田乳业</t>
  </si>
  <si>
    <t>QA01719</t>
  </si>
  <si>
    <t>澜诺护肤</t>
  </si>
  <si>
    <t>QA01720</t>
  </si>
  <si>
    <t>黎言香氛</t>
  </si>
  <si>
    <t>2023-10-27</t>
  </si>
  <si>
    <t>QA01721</t>
  </si>
  <si>
    <t>沐朵护肤</t>
  </si>
  <si>
    <t>2023-06-08</t>
  </si>
  <si>
    <t>QA01722</t>
  </si>
  <si>
    <t>晨言美妆</t>
  </si>
  <si>
    <t>QA01723</t>
  </si>
  <si>
    <t>乐初智能</t>
  </si>
  <si>
    <t>QA01724</t>
  </si>
  <si>
    <t>初栖日化</t>
  </si>
  <si>
    <t>2024-10-15</t>
  </si>
  <si>
    <t>QA01725</t>
  </si>
  <si>
    <t>云刻烘焙</t>
  </si>
  <si>
    <t>2023-11-02</t>
  </si>
  <si>
    <t>QA01726</t>
  </si>
  <si>
    <t>雪棠智能</t>
  </si>
  <si>
    <t>QA01727</t>
  </si>
  <si>
    <t>澄刻乳业</t>
  </si>
  <si>
    <t>2024-04-09</t>
  </si>
  <si>
    <t>QA01728</t>
  </si>
  <si>
    <t>缇言电子</t>
  </si>
  <si>
    <t>QA01729</t>
  </si>
  <si>
    <t>熙刻美妆</t>
  </si>
  <si>
    <t>QA01730</t>
  </si>
  <si>
    <t>海朵食品</t>
  </si>
  <si>
    <t>QA01731</t>
  </si>
  <si>
    <t>星宝健康</t>
  </si>
  <si>
    <t>QA01732</t>
  </si>
  <si>
    <t>澜初医药</t>
  </si>
  <si>
    <t>QA01733</t>
  </si>
  <si>
    <t>曜诺烘焙</t>
  </si>
  <si>
    <t>QA01734</t>
  </si>
  <si>
    <t>锦橙护肤</t>
  </si>
  <si>
    <t>QA01735</t>
  </si>
  <si>
    <t>微汀宝贝</t>
  </si>
  <si>
    <t>2023-12-29</t>
  </si>
  <si>
    <t>QA01736</t>
  </si>
  <si>
    <t>晨宝电子</t>
  </si>
  <si>
    <t>2025-03-12</t>
  </si>
  <si>
    <t>QA01737</t>
  </si>
  <si>
    <t>澄野婴童</t>
  </si>
  <si>
    <t>2023-09-02</t>
  </si>
  <si>
    <t>QA01738</t>
  </si>
  <si>
    <t>雪珂零食</t>
  </si>
  <si>
    <t>2023-10-21</t>
  </si>
  <si>
    <t>QA01739</t>
  </si>
  <si>
    <t>安朵饮品</t>
  </si>
  <si>
    <t>2024-03-19</t>
  </si>
  <si>
    <t>QA01740</t>
  </si>
  <si>
    <t>雪朵香氛</t>
  </si>
  <si>
    <t>QA01741</t>
  </si>
  <si>
    <t>安栖食品</t>
  </si>
  <si>
    <t>QA01742</t>
  </si>
  <si>
    <t>森橙婴童</t>
  </si>
  <si>
    <t>QA01743</t>
  </si>
  <si>
    <t>微宝时装</t>
  </si>
  <si>
    <t>2023-07-26</t>
  </si>
  <si>
    <t>QA01744</t>
  </si>
  <si>
    <t>北溪乳业</t>
  </si>
  <si>
    <t>2023-08-06</t>
  </si>
  <si>
    <t>QA01745</t>
  </si>
  <si>
    <t>缇谷美妆</t>
  </si>
  <si>
    <t>2023-12-15</t>
  </si>
  <si>
    <t>QA01746</t>
  </si>
  <si>
    <t>山诺零食</t>
  </si>
  <si>
    <t>2025-02-13</t>
  </si>
  <si>
    <t>QA01747</t>
  </si>
  <si>
    <t>禾之零食</t>
  </si>
  <si>
    <t>2024-04-24</t>
  </si>
  <si>
    <t>QA01748</t>
  </si>
  <si>
    <t>月诺零食</t>
  </si>
  <si>
    <t>QA01749</t>
  </si>
  <si>
    <t>屿茉宝贝</t>
  </si>
  <si>
    <t>QA01750</t>
  </si>
  <si>
    <t>岚之零食</t>
  </si>
  <si>
    <t>2025-01-22</t>
  </si>
  <si>
    <t>QA01751</t>
  </si>
  <si>
    <t>洛宝日化</t>
  </si>
  <si>
    <t>QA01752</t>
  </si>
  <si>
    <t>夕之护肤</t>
  </si>
  <si>
    <t>QA01753</t>
  </si>
  <si>
    <t>锦珂电子</t>
  </si>
  <si>
    <t>QA01754</t>
  </si>
  <si>
    <t>柒谷美妆</t>
  </si>
  <si>
    <t>QA01755</t>
  </si>
  <si>
    <t>曜诺婴童</t>
  </si>
  <si>
    <t>QA01756</t>
  </si>
  <si>
    <t>乔诺科技</t>
  </si>
  <si>
    <t>QA01757</t>
  </si>
  <si>
    <t>山茉护肤</t>
  </si>
  <si>
    <t>QA01758</t>
  </si>
  <si>
    <t>澄溪生活</t>
  </si>
  <si>
    <t>QA01759</t>
  </si>
  <si>
    <t>栀岚香氛</t>
  </si>
  <si>
    <t>QA01760</t>
  </si>
  <si>
    <t>晨岚食品</t>
  </si>
  <si>
    <t>QA01761</t>
  </si>
  <si>
    <t>曜田科技</t>
  </si>
  <si>
    <t>QA01762</t>
  </si>
  <si>
    <t>栀茉电子</t>
  </si>
  <si>
    <t>2023-07-15</t>
  </si>
  <si>
    <t>QA01763</t>
  </si>
  <si>
    <t>柒珂美妆</t>
  </si>
  <si>
    <t>QA01764</t>
  </si>
  <si>
    <t>乐珂家纺</t>
  </si>
  <si>
    <t>QA01765</t>
  </si>
  <si>
    <t>芮田母婴</t>
  </si>
  <si>
    <t>QA01766</t>
  </si>
  <si>
    <t>柒诺日化</t>
  </si>
  <si>
    <t>QA01767</t>
  </si>
  <si>
    <t>星棠烘焙</t>
  </si>
  <si>
    <t>2023-07-02</t>
  </si>
  <si>
    <t>QA01768</t>
  </si>
  <si>
    <t>初野母婴</t>
  </si>
  <si>
    <t>QA01769</t>
  </si>
  <si>
    <t>微汀衣品</t>
  </si>
  <si>
    <t>2025-02-09</t>
  </si>
  <si>
    <t>QA01770</t>
  </si>
  <si>
    <t>岚初服饰</t>
  </si>
  <si>
    <t>QA01771</t>
  </si>
  <si>
    <t>山初零食</t>
  </si>
  <si>
    <t>QA01772</t>
  </si>
  <si>
    <t>黎汀超市</t>
  </si>
  <si>
    <t>2023-11-17</t>
  </si>
  <si>
    <t>QA01773</t>
  </si>
  <si>
    <t>素诺数码</t>
  </si>
  <si>
    <t>QA01774</t>
  </si>
  <si>
    <t>栀茉日化</t>
  </si>
  <si>
    <t>QA01775</t>
  </si>
  <si>
    <t>黎言美妆</t>
  </si>
  <si>
    <t>QA01776</t>
  </si>
  <si>
    <t>云棠衣品</t>
  </si>
  <si>
    <t>QA01777</t>
  </si>
  <si>
    <t>夕宝服饰</t>
  </si>
  <si>
    <t>QA01778</t>
  </si>
  <si>
    <t>熙栖日化</t>
  </si>
  <si>
    <t>QA01779</t>
  </si>
  <si>
    <t>山初服饰</t>
  </si>
  <si>
    <t>QA01780</t>
  </si>
  <si>
    <t>安田香氛</t>
  </si>
  <si>
    <t>2024-05-16</t>
  </si>
  <si>
    <t>QA01781</t>
  </si>
  <si>
    <t>熙栖食品</t>
  </si>
  <si>
    <t>QA01782</t>
  </si>
  <si>
    <t>蔓言乳业</t>
  </si>
  <si>
    <t>QA01783</t>
  </si>
  <si>
    <t>缇汀食品</t>
  </si>
  <si>
    <t>QA01784</t>
  </si>
  <si>
    <t>黎棠智能</t>
  </si>
  <si>
    <t>QA01785</t>
  </si>
  <si>
    <t>南汀香氛</t>
  </si>
  <si>
    <t>2024-02-18</t>
  </si>
  <si>
    <t>QA01786</t>
  </si>
  <si>
    <t>海野饮品</t>
  </si>
  <si>
    <t>QA01787</t>
  </si>
  <si>
    <t>微宝数码</t>
  </si>
  <si>
    <t>QA01788</t>
  </si>
  <si>
    <t>禾初香氛</t>
  </si>
  <si>
    <t>QA01789</t>
  </si>
  <si>
    <t>雪诺康养</t>
  </si>
  <si>
    <t>2023-09-15</t>
  </si>
  <si>
    <t>QA01790</t>
  </si>
  <si>
    <t>北橙家居</t>
  </si>
  <si>
    <t>QA01791</t>
  </si>
  <si>
    <t>澜朵美妆</t>
  </si>
  <si>
    <t>QA01792</t>
  </si>
  <si>
    <t>禾朵便利</t>
  </si>
  <si>
    <t>2023-11-07</t>
  </si>
  <si>
    <t>QA01793</t>
  </si>
  <si>
    <t>森田乳业</t>
  </si>
  <si>
    <t>QA01794</t>
  </si>
  <si>
    <t>南珂便利</t>
  </si>
  <si>
    <t>2025-04-25</t>
  </si>
  <si>
    <t>QA01795</t>
  </si>
  <si>
    <t>澄田日化</t>
  </si>
  <si>
    <t>2023-06-09</t>
  </si>
  <si>
    <t>QA01796</t>
  </si>
  <si>
    <t>微汀服饰</t>
  </si>
  <si>
    <t>2023-07-23</t>
  </si>
  <si>
    <t>QA01797</t>
  </si>
  <si>
    <t>川初护肤</t>
  </si>
  <si>
    <t>2025-04-10</t>
  </si>
  <si>
    <t>QA01798</t>
  </si>
  <si>
    <t>云岚医药</t>
  </si>
  <si>
    <t>QA01799</t>
  </si>
  <si>
    <t>微溪烘焙</t>
  </si>
  <si>
    <t>QA01800</t>
  </si>
  <si>
    <t>澄珂家纺</t>
  </si>
  <si>
    <t>2024-01-10</t>
  </si>
  <si>
    <t>QA01801</t>
  </si>
  <si>
    <t>星棠乳业</t>
  </si>
  <si>
    <t>2023-06-13</t>
  </si>
  <si>
    <t>QA01802</t>
  </si>
  <si>
    <t>柚栖烘焙</t>
  </si>
  <si>
    <t>QA01803</t>
  </si>
  <si>
    <t>北诺康养</t>
  </si>
  <si>
    <t>QA01804</t>
  </si>
  <si>
    <t>锦野香氛</t>
  </si>
  <si>
    <t>2025-06-01</t>
  </si>
  <si>
    <t>QA01805</t>
  </si>
  <si>
    <t>沁汀香氛</t>
  </si>
  <si>
    <t>QA01806</t>
  </si>
  <si>
    <t>沁之科技</t>
  </si>
  <si>
    <t>QA01807</t>
  </si>
  <si>
    <t>林谷时装</t>
  </si>
  <si>
    <t>QA01808</t>
  </si>
  <si>
    <t>乔珂时装</t>
  </si>
  <si>
    <t>QA01809</t>
  </si>
  <si>
    <t>晨诺护肤</t>
  </si>
  <si>
    <t>QA01810</t>
  </si>
  <si>
    <t>澜言母婴</t>
  </si>
  <si>
    <t>QA01811</t>
  </si>
  <si>
    <t>安溪乳业</t>
  </si>
  <si>
    <t>2024-09-21</t>
  </si>
  <si>
    <t>QA01812</t>
  </si>
  <si>
    <t>栀宝零食</t>
  </si>
  <si>
    <t>QA01813</t>
  </si>
  <si>
    <t>森岚香氛</t>
  </si>
  <si>
    <t>2023-10-13</t>
  </si>
  <si>
    <t>QA01814</t>
  </si>
  <si>
    <t>蔓田香氛</t>
  </si>
  <si>
    <t>QA01815</t>
  </si>
  <si>
    <t>鹿溪食品</t>
  </si>
  <si>
    <t>QA01816</t>
  </si>
  <si>
    <t>熙之零食</t>
  </si>
  <si>
    <t>2024-04-20</t>
  </si>
  <si>
    <t>QA01817</t>
  </si>
  <si>
    <t>北初饮品</t>
  </si>
  <si>
    <t>QA01818</t>
  </si>
  <si>
    <t>岚溪时装</t>
  </si>
  <si>
    <t>QA01819</t>
  </si>
  <si>
    <t>乐禾科技</t>
  </si>
  <si>
    <t>QA01820</t>
  </si>
  <si>
    <t>川溪护肤</t>
  </si>
  <si>
    <t>QA01821</t>
  </si>
  <si>
    <t>雨溪母婴</t>
  </si>
  <si>
    <t>QA01822</t>
  </si>
  <si>
    <t>安橙优选</t>
  </si>
  <si>
    <t>QA01823</t>
  </si>
  <si>
    <t>林之衣品</t>
  </si>
  <si>
    <t>QA01824</t>
  </si>
  <si>
    <t>月芽宝贝</t>
  </si>
  <si>
    <t>QA01825</t>
  </si>
  <si>
    <t>蔓之香氛</t>
  </si>
  <si>
    <t>QA01826</t>
  </si>
  <si>
    <t>海岚衣品</t>
  </si>
  <si>
    <t>QA01827</t>
  </si>
  <si>
    <t>川初日化</t>
  </si>
  <si>
    <t>QA01828</t>
  </si>
  <si>
    <t>禾诺食品</t>
  </si>
  <si>
    <t>QA01829</t>
  </si>
  <si>
    <t>屿橙数码</t>
  </si>
  <si>
    <t>2024-01-26</t>
  </si>
  <si>
    <t>QA01830</t>
  </si>
  <si>
    <t>林珂食品</t>
  </si>
  <si>
    <t>2024-02-15</t>
  </si>
  <si>
    <t>QA01831</t>
  </si>
  <si>
    <t>黎溪食品</t>
  </si>
  <si>
    <t>QA01832</t>
  </si>
  <si>
    <t>洛田婴童</t>
  </si>
  <si>
    <t>2024-09-29</t>
  </si>
  <si>
    <t>QA01833</t>
  </si>
  <si>
    <t>初珂饮品</t>
  </si>
  <si>
    <t>2024-12-29</t>
  </si>
  <si>
    <t>QA01834</t>
  </si>
  <si>
    <t>海刻婴童</t>
  </si>
  <si>
    <t>QA01835</t>
  </si>
  <si>
    <t>安棠零食</t>
  </si>
  <si>
    <t>QA01836</t>
  </si>
  <si>
    <t>森之电子</t>
  </si>
  <si>
    <t>QA01837</t>
  </si>
  <si>
    <t>雨栖科技</t>
  </si>
  <si>
    <t>QA01838</t>
  </si>
  <si>
    <t>海朵烘焙</t>
  </si>
  <si>
    <t>2023-12-19</t>
  </si>
  <si>
    <t>QA01839</t>
  </si>
  <si>
    <t>乐禾食品</t>
  </si>
  <si>
    <t>QA01840</t>
  </si>
  <si>
    <t>山朵美妆</t>
  </si>
  <si>
    <t>QA01841</t>
  </si>
  <si>
    <t>云禾宝贝</t>
  </si>
  <si>
    <t>QA01842</t>
  </si>
  <si>
    <t>洛之食品</t>
  </si>
  <si>
    <t>2023-06-11</t>
  </si>
  <si>
    <t>QA01843</t>
  </si>
  <si>
    <t>微言香氛</t>
  </si>
  <si>
    <t>QA01844</t>
  </si>
  <si>
    <t>禾谷美妆</t>
  </si>
  <si>
    <t>QA01845</t>
  </si>
  <si>
    <t>熙诺数码</t>
  </si>
  <si>
    <t>2024-12-15</t>
  </si>
  <si>
    <t>QA01846</t>
  </si>
  <si>
    <t>素棠衣品</t>
  </si>
  <si>
    <t>QA01847</t>
  </si>
  <si>
    <t>蔓之日化</t>
  </si>
  <si>
    <t>QA01848</t>
  </si>
  <si>
    <t>栀汀护肤</t>
  </si>
  <si>
    <t>QA01849</t>
  </si>
  <si>
    <t>蔓芽宝贝</t>
  </si>
  <si>
    <t>QA01850</t>
  </si>
  <si>
    <t>锦野电子</t>
  </si>
  <si>
    <t>2024-01-23</t>
  </si>
  <si>
    <t>QA01851</t>
  </si>
  <si>
    <t>云初乳业</t>
  </si>
  <si>
    <t>QA01852</t>
  </si>
  <si>
    <t>洛朵烘焙</t>
  </si>
  <si>
    <t>QA01853</t>
  </si>
  <si>
    <t>臻溪母婴</t>
  </si>
  <si>
    <t>QA01854</t>
  </si>
  <si>
    <t>芮芽零食</t>
  </si>
  <si>
    <t>QA01855</t>
  </si>
  <si>
    <t>洛岚零食</t>
  </si>
  <si>
    <t>QA01856</t>
  </si>
  <si>
    <t>澄初时装</t>
  </si>
  <si>
    <t>QA01857</t>
  </si>
  <si>
    <t>禾栖日化</t>
  </si>
  <si>
    <t>2024-09-05</t>
  </si>
  <si>
    <t>QA01858</t>
  </si>
  <si>
    <t>柒宝婴童</t>
  </si>
  <si>
    <t>QA01859</t>
  </si>
  <si>
    <t>初珂乳业</t>
  </si>
  <si>
    <t>QA01860</t>
  </si>
  <si>
    <t>山珂优选</t>
  </si>
  <si>
    <t>QA01861</t>
  </si>
  <si>
    <t>锦岚日化</t>
  </si>
  <si>
    <t>2023-11-01</t>
  </si>
  <si>
    <t>QA01862</t>
  </si>
  <si>
    <t>林汀婴童</t>
  </si>
  <si>
    <t>2023-06-28</t>
  </si>
  <si>
    <t>QA01863</t>
  </si>
  <si>
    <t>星芽饮品</t>
  </si>
  <si>
    <t>QA01864</t>
  </si>
  <si>
    <t>北之烘焙</t>
  </si>
  <si>
    <t>2025-01-18</t>
  </si>
  <si>
    <t>QA01865</t>
  </si>
  <si>
    <t>雨溪美妆</t>
  </si>
  <si>
    <t>2023-12-14</t>
  </si>
  <si>
    <t>QA01866</t>
  </si>
  <si>
    <t>林田零食</t>
  </si>
  <si>
    <t>QA01867</t>
  </si>
  <si>
    <t>安朵护肤</t>
  </si>
  <si>
    <t>2024-01-12</t>
  </si>
  <si>
    <t>QA01868</t>
  </si>
  <si>
    <t>云田饮品</t>
  </si>
  <si>
    <t>2023-12-06</t>
  </si>
  <si>
    <t>QA01869</t>
  </si>
  <si>
    <t>雨芽时装</t>
  </si>
  <si>
    <t>QA01870</t>
  </si>
  <si>
    <t>禾棠护肤</t>
  </si>
  <si>
    <t>QA01871</t>
  </si>
  <si>
    <t>缇诺智能</t>
  </si>
  <si>
    <t>QA01872</t>
  </si>
  <si>
    <t>素朵烘焙</t>
  </si>
  <si>
    <t>2024-05-10</t>
  </si>
  <si>
    <t>QA01873</t>
  </si>
  <si>
    <t>微芽优选</t>
  </si>
  <si>
    <t>2024-05-27</t>
  </si>
  <si>
    <t>QA01874</t>
  </si>
  <si>
    <t>安野宝贝</t>
  </si>
  <si>
    <t>QA01875</t>
  </si>
  <si>
    <t>云橙母婴</t>
  </si>
  <si>
    <t>QA01876</t>
  </si>
  <si>
    <t>屿朵宝贝</t>
  </si>
  <si>
    <t>QA01877</t>
  </si>
  <si>
    <t>北汀母婴</t>
  </si>
  <si>
    <t>QA01878</t>
  </si>
  <si>
    <t>川栖时装</t>
  </si>
  <si>
    <t>QA01879</t>
  </si>
  <si>
    <t>沐野康养</t>
  </si>
  <si>
    <t>2025-05-31</t>
  </si>
  <si>
    <t>QA01880</t>
  </si>
  <si>
    <t>森禾宝贝</t>
  </si>
  <si>
    <t>2023-07-11</t>
  </si>
  <si>
    <t>QA01881</t>
  </si>
  <si>
    <t>海茉时装</t>
  </si>
  <si>
    <t>QA01882</t>
  </si>
  <si>
    <t>星朵家纺</t>
  </si>
  <si>
    <t>QA01883</t>
  </si>
  <si>
    <t>雨刻宝贝</t>
  </si>
  <si>
    <t>2023-10-07</t>
  </si>
  <si>
    <t>QA01884</t>
  </si>
  <si>
    <t>雪田日化</t>
  </si>
  <si>
    <t>QA01885</t>
  </si>
  <si>
    <t>雨岚美妆</t>
  </si>
  <si>
    <t>QA01886</t>
  </si>
  <si>
    <t>乔谷科技</t>
  </si>
  <si>
    <t>QA01887</t>
  </si>
  <si>
    <t>雪禾饮品</t>
  </si>
  <si>
    <t>QA01888</t>
  </si>
  <si>
    <t>月刻香氛</t>
  </si>
  <si>
    <t>2023-10-25</t>
  </si>
  <si>
    <t>QA01889</t>
  </si>
  <si>
    <t>雨溪家纺</t>
  </si>
  <si>
    <t>QA01890</t>
  </si>
  <si>
    <t>蔓栖婴童</t>
  </si>
  <si>
    <t>QA01891</t>
  </si>
  <si>
    <t>臻溪家居</t>
  </si>
  <si>
    <t>QA01892</t>
  </si>
  <si>
    <t>蔓橙母婴</t>
  </si>
  <si>
    <t>QA01893</t>
  </si>
  <si>
    <t>澄橙烘焙</t>
  </si>
  <si>
    <t>QA01894</t>
  </si>
  <si>
    <t>雨刻数码</t>
  </si>
  <si>
    <t>QA01895</t>
  </si>
  <si>
    <t>栀田家纺</t>
  </si>
  <si>
    <t>QA01896</t>
  </si>
  <si>
    <t>黎棠护肤</t>
  </si>
  <si>
    <t>QA01897</t>
  </si>
  <si>
    <t>微田时装</t>
  </si>
  <si>
    <t>2025-04-30</t>
  </si>
  <si>
    <t>QA01898</t>
  </si>
  <si>
    <t>安栖健康</t>
  </si>
  <si>
    <t>QA01899</t>
  </si>
  <si>
    <t>森之智能</t>
  </si>
  <si>
    <t>QA01900</t>
  </si>
  <si>
    <t>初宝烘焙</t>
  </si>
  <si>
    <t>2023-11-19</t>
  </si>
  <si>
    <t>QA01901</t>
  </si>
  <si>
    <t>沁珂饮品</t>
  </si>
  <si>
    <t>QA01902</t>
  </si>
  <si>
    <t>微之食品</t>
  </si>
  <si>
    <t>QA01903</t>
  </si>
  <si>
    <t>洛茉乳业</t>
  </si>
  <si>
    <t>QA01904</t>
  </si>
  <si>
    <t>南诺乳业</t>
  </si>
  <si>
    <t>QA01905</t>
  </si>
  <si>
    <t>初棠康养</t>
  </si>
  <si>
    <t>QA01906</t>
  </si>
  <si>
    <t>澜禾衣品</t>
  </si>
  <si>
    <t>QA01907</t>
  </si>
  <si>
    <t>雨之日化</t>
  </si>
  <si>
    <t>QA01908</t>
  </si>
  <si>
    <t>柒谷数码</t>
  </si>
  <si>
    <t>2023-08-27</t>
  </si>
  <si>
    <t>QA01909</t>
  </si>
  <si>
    <t>晨朵衣品</t>
  </si>
  <si>
    <t>QA01910</t>
  </si>
  <si>
    <t>黎芽服饰</t>
  </si>
  <si>
    <t>QA01911</t>
  </si>
  <si>
    <t>鹿茉护肤</t>
  </si>
  <si>
    <t>2024-08-10</t>
  </si>
  <si>
    <t>QA01912</t>
  </si>
  <si>
    <t>黎之电子</t>
  </si>
  <si>
    <t>QA01913</t>
  </si>
  <si>
    <t>芮汀香氛</t>
  </si>
  <si>
    <t>QA01914</t>
  </si>
  <si>
    <t>雨棠香氛</t>
  </si>
  <si>
    <t>QA01915</t>
  </si>
  <si>
    <t>沐诺科技</t>
  </si>
  <si>
    <t>QA01916</t>
  </si>
  <si>
    <t>锦谷衣品</t>
  </si>
  <si>
    <t>2024-05-26</t>
  </si>
  <si>
    <t>QA01917</t>
  </si>
  <si>
    <t>北田烘焙</t>
  </si>
  <si>
    <t>QA01918</t>
  </si>
  <si>
    <t>林汀家居</t>
  </si>
  <si>
    <t>QA01919</t>
  </si>
  <si>
    <t>林言宝贝</t>
  </si>
  <si>
    <t>2023-12-23</t>
  </si>
  <si>
    <t>QA01920</t>
  </si>
  <si>
    <t>北禾烘焙</t>
  </si>
  <si>
    <t>QA01921</t>
  </si>
  <si>
    <t>蔓宝美妆</t>
  </si>
  <si>
    <t>2025-05-21</t>
  </si>
  <si>
    <t>QA01922</t>
  </si>
  <si>
    <t>熙野智能</t>
  </si>
  <si>
    <t>QA01923</t>
  </si>
  <si>
    <t>澄栖香氛</t>
  </si>
  <si>
    <t>QA01924</t>
  </si>
  <si>
    <t>屿禾数码</t>
  </si>
  <si>
    <t>QA01925</t>
  </si>
  <si>
    <t>乐诺时装</t>
  </si>
  <si>
    <t>QA01926</t>
  </si>
  <si>
    <t>森之日化</t>
  </si>
  <si>
    <t>QA01927</t>
  </si>
  <si>
    <t>熙初母婴</t>
  </si>
  <si>
    <t>2024-07-29</t>
  </si>
  <si>
    <t>QA01928</t>
  </si>
  <si>
    <t>熙朵乳业</t>
  </si>
  <si>
    <t>2025-01-24</t>
  </si>
  <si>
    <t>QA01929</t>
  </si>
  <si>
    <t>月栖科技</t>
  </si>
  <si>
    <t>QA01930</t>
  </si>
  <si>
    <t>月橙烘焙</t>
  </si>
  <si>
    <t>2025-03-18</t>
  </si>
  <si>
    <t>QA01931</t>
  </si>
  <si>
    <t>海汀健康</t>
  </si>
  <si>
    <t>QA01932</t>
  </si>
  <si>
    <t>乐谷食品</t>
  </si>
  <si>
    <t>QA01933</t>
  </si>
  <si>
    <t>北宝饮品</t>
  </si>
  <si>
    <t>QA01934</t>
  </si>
  <si>
    <t>夕之康养</t>
  </si>
  <si>
    <t>QA01935</t>
  </si>
  <si>
    <t>夕禾衣品</t>
  </si>
  <si>
    <t>2024-01-30</t>
  </si>
  <si>
    <t>QA01936</t>
  </si>
  <si>
    <t>晨棠母婴</t>
  </si>
  <si>
    <t>QA01937</t>
  </si>
  <si>
    <t>缇禾饮品</t>
  </si>
  <si>
    <t>QA01938</t>
  </si>
  <si>
    <t>屿岚时装</t>
  </si>
  <si>
    <t>QA01939</t>
  </si>
  <si>
    <t>乐初宝贝</t>
  </si>
  <si>
    <t>2024-02-24</t>
  </si>
  <si>
    <t>QA01940</t>
  </si>
  <si>
    <t>沁芽饮品</t>
  </si>
  <si>
    <t>QA01941</t>
  </si>
  <si>
    <t>安初乳业</t>
  </si>
  <si>
    <t>QA01942</t>
  </si>
  <si>
    <t>星谷零食</t>
  </si>
  <si>
    <t>2023-07-24</t>
  </si>
  <si>
    <t>QA01943</t>
  </si>
  <si>
    <t>黎诺电子</t>
  </si>
  <si>
    <t>QA01944</t>
  </si>
  <si>
    <t>澜棠数码</t>
  </si>
  <si>
    <t>QA01945</t>
  </si>
  <si>
    <t>柒刻乳业</t>
  </si>
  <si>
    <t>2023-11-11</t>
  </si>
  <si>
    <t>QA01946</t>
  </si>
  <si>
    <t>柒栖乳业</t>
  </si>
  <si>
    <t>2024-01-21</t>
  </si>
  <si>
    <t>QA01947</t>
  </si>
  <si>
    <t>禾棠超市</t>
  </si>
  <si>
    <t>QA01948</t>
  </si>
  <si>
    <t>素汀健康</t>
  </si>
  <si>
    <t>QA01949</t>
  </si>
  <si>
    <t>夕禾零食</t>
  </si>
  <si>
    <t>2024-04-14</t>
  </si>
  <si>
    <t>QA01950</t>
  </si>
  <si>
    <t>星岚日化</t>
  </si>
  <si>
    <t>QA01951</t>
  </si>
  <si>
    <t>澄诺美妆</t>
  </si>
  <si>
    <t>QA01952</t>
  </si>
  <si>
    <t>澜棠烘焙</t>
  </si>
  <si>
    <t>QA01953</t>
  </si>
  <si>
    <t>晨溪电子</t>
  </si>
  <si>
    <t>QA01954</t>
  </si>
  <si>
    <t>安刻优选</t>
  </si>
  <si>
    <t>QA01955</t>
  </si>
  <si>
    <t>岚禾护肤</t>
  </si>
  <si>
    <t>QA01956</t>
  </si>
  <si>
    <t>芮言香氛</t>
  </si>
  <si>
    <t>2023-07-29</t>
  </si>
  <si>
    <t>QA01957</t>
  </si>
  <si>
    <t>鹿野家居</t>
  </si>
  <si>
    <t>2024-03-16</t>
  </si>
  <si>
    <t>QA01958</t>
  </si>
  <si>
    <t>山言乳业</t>
  </si>
  <si>
    <t>QA01959</t>
  </si>
  <si>
    <t>林珂生活</t>
  </si>
  <si>
    <t>QA01960</t>
  </si>
  <si>
    <t>澜珂饮品</t>
  </si>
  <si>
    <t>QA01961</t>
  </si>
  <si>
    <t>素茉医药</t>
  </si>
  <si>
    <t>QA01962</t>
  </si>
  <si>
    <t>南谷宝贝</t>
  </si>
  <si>
    <t>QA01963</t>
  </si>
  <si>
    <t>缇朵家居</t>
  </si>
  <si>
    <t>2024-08-07</t>
  </si>
  <si>
    <t>QA01964</t>
  </si>
  <si>
    <t>黎朵烘焙</t>
  </si>
  <si>
    <t>QA01965</t>
  </si>
  <si>
    <t>熙棠母婴</t>
  </si>
  <si>
    <t>QA01966</t>
  </si>
  <si>
    <t>沁宝乳业</t>
  </si>
  <si>
    <t>QA01967</t>
  </si>
  <si>
    <t>乔芽电子</t>
  </si>
  <si>
    <t>QA01968</t>
  </si>
  <si>
    <t>月言生活</t>
  </si>
  <si>
    <t>QA01969</t>
  </si>
  <si>
    <t>澄珂便利</t>
  </si>
  <si>
    <t>QA01970</t>
  </si>
  <si>
    <t>海野日化</t>
  </si>
  <si>
    <t>QA01971</t>
  </si>
  <si>
    <t>黎棠科技</t>
  </si>
  <si>
    <t>QA01972</t>
  </si>
  <si>
    <t>星溪时装</t>
  </si>
  <si>
    <t>QA01973</t>
  </si>
  <si>
    <t>雨初零食</t>
  </si>
  <si>
    <t>QA01974</t>
  </si>
  <si>
    <t>夕溪烘焙</t>
  </si>
  <si>
    <t>QA01975</t>
  </si>
  <si>
    <t>黎禾优选</t>
  </si>
  <si>
    <t>QA01976</t>
  </si>
  <si>
    <t>雨之数码</t>
  </si>
  <si>
    <t>QA01977</t>
  </si>
  <si>
    <t>栀棠衣品</t>
  </si>
  <si>
    <t>QA01978</t>
  </si>
  <si>
    <t>熙宝电子</t>
  </si>
  <si>
    <t>QA01979</t>
  </si>
  <si>
    <t>海橙护肤</t>
  </si>
  <si>
    <t>QA01980</t>
  </si>
  <si>
    <t>柒岚烘焙</t>
  </si>
  <si>
    <t>QA01981</t>
  </si>
  <si>
    <t>乔栖服饰</t>
  </si>
  <si>
    <t>2024-05-20</t>
  </si>
  <si>
    <t>QA01982</t>
  </si>
  <si>
    <t>星茉饮品</t>
  </si>
  <si>
    <t>QA01983</t>
  </si>
  <si>
    <t>林栖香氛</t>
  </si>
  <si>
    <t>QA01984</t>
  </si>
  <si>
    <t>沐禾科技</t>
  </si>
  <si>
    <t>QA01985</t>
  </si>
  <si>
    <t>臻野零食</t>
  </si>
  <si>
    <t>2024-01-07</t>
  </si>
  <si>
    <t>QA01986</t>
  </si>
  <si>
    <t>芮棠烘焙</t>
  </si>
  <si>
    <t>2023-11-27</t>
  </si>
  <si>
    <t>QA01987</t>
  </si>
  <si>
    <t>初诺时装</t>
  </si>
  <si>
    <t>2023-06-24</t>
  </si>
  <si>
    <t>QA01988</t>
  </si>
  <si>
    <t>缇禾衣品</t>
  </si>
  <si>
    <t>2023-10-06</t>
  </si>
  <si>
    <t>QA01989</t>
  </si>
  <si>
    <t>川野美妆</t>
  </si>
  <si>
    <t>2023-11-20</t>
  </si>
  <si>
    <t>QA01990</t>
  </si>
  <si>
    <t>森言时装</t>
  </si>
  <si>
    <t>QA01991</t>
  </si>
  <si>
    <t>屿之零食</t>
  </si>
  <si>
    <t>2024-07-01</t>
  </si>
  <si>
    <t>QA01992</t>
  </si>
  <si>
    <t>臻言家纺</t>
  </si>
  <si>
    <t>2023-10-02</t>
  </si>
  <si>
    <t>QA01993</t>
  </si>
  <si>
    <t>缇禾便利</t>
  </si>
  <si>
    <t>QA01994</t>
  </si>
  <si>
    <t>禾谷护肤</t>
  </si>
  <si>
    <t>2024-05-21</t>
  </si>
  <si>
    <t>QA01995</t>
  </si>
  <si>
    <t>北言宝贝</t>
  </si>
  <si>
    <t>QA01996</t>
  </si>
  <si>
    <t>岚朵衣品</t>
  </si>
  <si>
    <t>QA01997</t>
  </si>
  <si>
    <t>禾野香氛</t>
  </si>
  <si>
    <t>QA01998</t>
  </si>
  <si>
    <t>乐棠零食</t>
  </si>
  <si>
    <t>QA01999</t>
  </si>
  <si>
    <t>晨之康养</t>
  </si>
  <si>
    <t>QA02000</t>
  </si>
  <si>
    <t>星溪乳业</t>
  </si>
  <si>
    <t>分层结果汇总 与 通道业务动作</t>
  </si>
  <si>
    <t>统计口径：基于「商家明细」AP列分层结果，全部为活公式，数据更新后自动重算。</t>
  </si>
  <si>
    <t>层级</t>
  </si>
  <si>
    <t>家数</t>
  </si>
  <si>
    <t>家数占比</t>
  </si>
  <si>
    <t>消耗合计(元)</t>
  </si>
  <si>
    <t>消耗占比</t>
  </si>
  <si>
    <t>平均综合分</t>
  </si>
  <si>
    <t>平均场景数</t>
  </si>
  <si>
    <t>策略定性</t>
  </si>
  <si>
    <t>守·共创</t>
  </si>
  <si>
    <t>扩·深化</t>
  </si>
  <si>
    <t>拉·主攻</t>
  </si>
  <si>
    <t>低成本激活</t>
  </si>
  <si>
    <t>培育转化</t>
  </si>
  <si>
    <t>唤醒/回签</t>
  </si>
  <si>
    <t>合计</t>
  </si>
  <si>
    <t>结构验证（金字塔健康度）</t>
  </si>
  <si>
    <r>
      <rPr>
        <sz val="10"/>
        <rFont val="Cambria"/>
        <charset val="1"/>
      </rPr>
      <t>SKA</t>
    </r>
    <r>
      <rPr>
        <sz val="10"/>
        <rFont val="Noto Sans CJK SC"/>
        <charset val="134"/>
      </rPr>
      <t>家数占比（应</t>
    </r>
    <r>
      <rPr>
        <sz val="10"/>
        <rFont val="Cambria"/>
        <charset val="1"/>
      </rPr>
      <t>&lt;1.5%</t>
    </r>
    <r>
      <rPr>
        <sz val="10"/>
        <rFont val="Noto Sans CJK SC"/>
        <charset val="134"/>
      </rPr>
      <t>）</t>
    </r>
  </si>
  <si>
    <r>
      <rPr>
        <sz val="10"/>
        <rFont val="Cambria"/>
        <charset val="1"/>
      </rPr>
      <t>SKA+KA</t>
    </r>
    <r>
      <rPr>
        <sz val="10"/>
        <rFont val="Noto Sans CJK SC"/>
        <charset val="134"/>
      </rPr>
      <t>消耗占比（应</t>
    </r>
    <r>
      <rPr>
        <sz val="10"/>
        <rFont val="Cambria"/>
        <charset val="1"/>
      </rPr>
      <t>&gt;60%</t>
    </r>
    <r>
      <rPr>
        <sz val="10"/>
        <rFont val="Noto Sans CJK SC"/>
        <charset val="134"/>
      </rPr>
      <t>）</t>
    </r>
  </si>
  <si>
    <t>预警商家数（连续下降）</t>
  </si>
  <si>
    <t>分层 × 通道拉升动作（业务联动）</t>
  </si>
  <si>
    <t>数据洞察：各层通道结构几乎一致（短信≈55%/外呼≈28%/Push企微≈16%），但场景数差异巨大（基础1.5个→SKA 5.0个）——层间差距不在「用哪个通道」，而在「用了几个场景」，通道渗透就是拉升空间。</t>
  </si>
  <si>
    <t>通道动作</t>
  </si>
  <si>
    <t>全场景已铺开，上卡片短信、AI外呼新场景POC（会员生日唤醒等），消耗异常日监控防流失</t>
  </si>
  <si>
    <t>主打AI外呼深化：大促催付、复购召回两个高客单场景跑透；Push+企微补即时触达，目标场景数→5+</t>
  </si>
  <si>
    <t>消耗拉升主战场：短信基本盘已有，优先推AI外呼（客单价高、拉升快）；配「大促作战包」：短信预热+外呼收口+企微返场</t>
  </si>
  <si>
    <t>先用企微+Push（成本最低）跑通触达闭环，验证转化后再上短信；配模板库与自助教程，不配专属小二</t>
  </si>
  <si>
    <t>入门包（短信模板+首充补贴）+1v1场景教育，目标3个月内完成首次有效消耗</t>
  </si>
  <si>
    <t>潜客试用给入门包；已流失做断约归因→回签政策，不投运营人力</t>
  </si>
  <si>
    <t>迭代机制：月度监测趋势（红灯预警）→ 季度重算综合分 → 连续2个周期跨档才升降级 → 看板盯各层占比、层间迁徙率、各层场景数渗透率。</t>
  </si>
</sst>
</file>

<file path=xl/styles.xml><?xml version="1.0" encoding="utf-8"?>
<styleSheet xmlns="http://schemas.openxmlformats.org/spreadsheetml/2006/main" xmlns:xr9="http://schemas.microsoft.com/office/spreadsheetml/2016/revision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\¥#,##0"/>
    <numFmt numFmtId="178" formatCode="0.0"/>
  </numFmts>
  <fonts count="54">
    <font>
      <sz val="11"/>
      <color rgb="FF000000"/>
      <name val="Calibri"/>
      <charset val="1"/>
    </font>
    <font>
      <b/>
      <sz val="16"/>
      <name val="Noto Sans CJK SC"/>
      <charset val="1"/>
    </font>
    <font>
      <sz val="10"/>
      <color rgb="FF808080"/>
      <name val="Noto Sans CJK SC"/>
      <charset val="1"/>
    </font>
    <font>
      <b/>
      <sz val="10"/>
      <color rgb="FFFFFFFF"/>
      <name val="Noto Sans CJK SC"/>
      <charset val="1"/>
    </font>
    <font>
      <b/>
      <sz val="10"/>
      <name val="Cambria"/>
      <charset val="1"/>
    </font>
    <font>
      <sz val="10"/>
      <color rgb="FF2E7D32"/>
      <name val="Cambria"/>
      <charset val="1"/>
    </font>
    <font>
      <sz val="10"/>
      <name val="Cambria"/>
      <charset val="1"/>
    </font>
    <font>
      <b/>
      <sz val="10"/>
      <name val="Noto Sans CJK SC"/>
      <charset val="1"/>
    </font>
    <font>
      <b/>
      <sz val="13"/>
      <name val="Noto Sans CJK SC"/>
      <charset val="1"/>
    </font>
    <font>
      <b/>
      <sz val="10"/>
      <color rgb="FF2E7D32"/>
      <name val="Cambria"/>
      <charset val="1"/>
    </font>
    <font>
      <sz val="10"/>
      <name val="Noto Sans CJK SC"/>
      <charset val="1"/>
    </font>
    <font>
      <sz val="10"/>
      <color rgb="FF595959"/>
      <name val="Noto Sans CJK SC"/>
      <charset val="1"/>
    </font>
    <font>
      <sz val="10"/>
      <color rgb="FF0066CC"/>
      <name val="Noto Sans CJK SC"/>
      <charset val="1"/>
    </font>
    <font>
      <sz val="10"/>
      <name val="Arial"/>
      <charset val="134"/>
    </font>
    <font>
      <sz val="10"/>
      <color rgb="FF000000"/>
      <name val="Cambria"/>
      <charset val="1"/>
    </font>
    <font>
      <b/>
      <sz val="10"/>
      <color rgb="FF0066CC"/>
      <name val="Noto Sans CJK SC"/>
      <charset val="1"/>
    </font>
    <font>
      <sz val="9"/>
      <color rgb="FF808080"/>
      <name val="Noto Sans CJK SC"/>
      <charset val="1"/>
    </font>
    <font>
      <b/>
      <sz val="14"/>
      <name val="Noto Sans CJK SC"/>
      <charset val="1"/>
    </font>
    <font>
      <b/>
      <sz val="10"/>
      <color rgb="FFFFFFFF"/>
      <name val="Cambria"/>
      <charset val="1"/>
    </font>
    <font>
      <b/>
      <sz val="11"/>
      <color rgb="FFFFFFFF"/>
      <name val="Noto Sans CJK SC"/>
      <charset val="1"/>
    </font>
    <font>
      <b/>
      <sz val="8"/>
      <color rgb="FF8C3D22"/>
      <name val="微软雅黑"/>
      <charset val="134"/>
    </font>
    <font>
      <b/>
      <sz val="20"/>
      <name val="Cambria"/>
      <charset val="1"/>
    </font>
    <font>
      <sz val="11"/>
      <color rgb="FF808080"/>
      <name val="Noto Sans CJK SC"/>
      <charset val="1"/>
    </font>
    <font>
      <sz val="11"/>
      <name val="Noto Sans CJK SC"/>
      <charset val="1"/>
    </font>
    <font>
      <b/>
      <sz val="11"/>
      <color rgb="FF2E7D32"/>
      <name val="Cambria"/>
      <charset val="1"/>
    </font>
    <font>
      <b/>
      <sz val="13"/>
      <name val="Cambria"/>
      <charset val="1"/>
    </font>
    <font>
      <b/>
      <sz val="11"/>
      <color rgb="FF0066CC"/>
      <name val="Noto Sans CJK SC"/>
      <charset val="1"/>
    </font>
    <font>
      <sz val="11"/>
      <color rgb="FF595959"/>
      <name val="Cambria"/>
      <charset val="1"/>
    </font>
    <font>
      <sz val="11"/>
      <color rgb="FF595959"/>
      <name val="Noto Sans CJK SC"/>
      <charset val="1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name val="Noto Sans CJK SC"/>
      <charset val="134"/>
    </font>
    <font>
      <b/>
      <sz val="10"/>
      <color rgb="FFFFFFFF"/>
      <name val="Noto Sans CJK SC"/>
      <charset val="134"/>
    </font>
    <font>
      <b/>
      <sz val="20"/>
      <name val="Noto Sans CJK SC"/>
      <charset val="134"/>
    </font>
    <font>
      <b/>
      <sz val="13"/>
      <name val="Noto Sans CJK SC"/>
      <charset val="134"/>
    </font>
    <font>
      <sz val="11"/>
      <color rgb="FF595959"/>
      <name val="Noto Sans CJK SC"/>
      <charset val="134"/>
    </font>
  </fonts>
  <fills count="37">
    <fill>
      <patternFill patternType="none"/>
    </fill>
    <fill>
      <patternFill patternType="gray125"/>
    </fill>
    <fill>
      <patternFill patternType="solid">
        <fgColor rgb="FF333333"/>
        <bgColor rgb="FF333300"/>
      </patternFill>
    </fill>
    <fill>
      <patternFill patternType="solid">
        <fgColor rgb="FFF9F9F9"/>
        <bgColor rgb="FFFFFFFF"/>
      </patternFill>
    </fill>
    <fill>
      <patternFill patternType="solid">
        <fgColor rgb="FF0066CC"/>
        <bgColor rgb="FF008080"/>
      </patternFill>
    </fill>
    <fill>
      <patternFill patternType="solid">
        <fgColor rgb="FFE6F0FA"/>
        <bgColor rgb="FFF9F9F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0D0D0"/>
      </bottom>
      <diagonal/>
    </border>
    <border>
      <left/>
      <right/>
      <top style="thin">
        <color rgb="FFD0D0D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13" fillId="0" borderId="0" applyBorder="0" applyAlignment="0" applyProtection="0"/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29" fillId="6" borderId="3" applyNumberFormat="0" applyFon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4" applyNumberFormat="0" applyFill="0" applyAlignment="0" applyProtection="0">
      <alignment vertical="center"/>
    </xf>
    <xf numFmtId="0" fontId="36" fillId="0" borderId="4" applyNumberFormat="0" applyFill="0" applyAlignment="0" applyProtection="0">
      <alignment vertical="center"/>
    </xf>
    <xf numFmtId="0" fontId="37" fillId="0" borderId="5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7" borderId="6" applyNumberFormat="0" applyAlignment="0" applyProtection="0">
      <alignment vertical="center"/>
    </xf>
    <xf numFmtId="0" fontId="39" fillId="8" borderId="7" applyNumberFormat="0" applyAlignment="0" applyProtection="0">
      <alignment vertical="center"/>
    </xf>
    <xf numFmtId="0" fontId="40" fillId="8" borderId="6" applyNumberFormat="0" applyAlignment="0" applyProtection="0">
      <alignment vertical="center"/>
    </xf>
    <xf numFmtId="0" fontId="41" fillId="9" borderId="8" applyNumberFormat="0" applyAlignment="0" applyProtection="0">
      <alignment vertical="center"/>
    </xf>
    <xf numFmtId="0" fontId="42" fillId="0" borderId="9" applyNumberFormat="0" applyFill="0" applyAlignment="0" applyProtection="0">
      <alignment vertical="center"/>
    </xf>
    <xf numFmtId="0" fontId="43" fillId="0" borderId="10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7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  <xf numFmtId="0" fontId="48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</cellStyleXfs>
  <cellXfs count="8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4" fillId="3" borderId="1" xfId="0" applyFont="1" applyFill="1" applyBorder="1"/>
    <xf numFmtId="0" fontId="5" fillId="3" borderId="1" xfId="0" applyFont="1" applyFill="1" applyBorder="1"/>
    <xf numFmtId="176" fontId="6" fillId="3" borderId="1" xfId="0" applyNumberFormat="1" applyFont="1" applyFill="1" applyBorder="1"/>
    <xf numFmtId="177" fontId="5" fillId="3" borderId="1" xfId="0" applyNumberFormat="1" applyFont="1" applyFill="1" applyBorder="1"/>
    <xf numFmtId="178" fontId="5" fillId="3" borderId="1" xfId="0" applyNumberFormat="1" applyFont="1" applyFill="1" applyBorder="1"/>
    <xf numFmtId="0" fontId="4" fillId="0" borderId="1" xfId="0" applyFont="1" applyBorder="1"/>
    <xf numFmtId="0" fontId="5" fillId="0" borderId="1" xfId="0" applyFont="1" applyBorder="1"/>
    <xf numFmtId="176" fontId="6" fillId="0" borderId="1" xfId="0" applyNumberFormat="1" applyFont="1" applyBorder="1"/>
    <xf numFmtId="177" fontId="5" fillId="0" borderId="1" xfId="0" applyNumberFormat="1" applyFont="1" applyBorder="1"/>
    <xf numFmtId="178" fontId="5" fillId="0" borderId="1" xfId="0" applyNumberFormat="1" applyFont="1" applyBorder="1"/>
    <xf numFmtId="0" fontId="7" fillId="3" borderId="1" xfId="0" applyFont="1" applyFill="1" applyBorder="1"/>
    <xf numFmtId="0" fontId="7" fillId="0" borderId="1" xfId="0" applyFont="1" applyBorder="1"/>
    <xf numFmtId="0" fontId="7" fillId="0" borderId="0" xfId="0" applyFont="1"/>
    <xf numFmtId="0" fontId="4" fillId="0" borderId="0" xfId="0" applyFont="1"/>
    <xf numFmtId="177" fontId="4" fillId="0" borderId="0" xfId="0" applyNumberFormat="1" applyFont="1"/>
    <xf numFmtId="0" fontId="8" fillId="0" borderId="0" xfId="0" applyFont="1"/>
    <xf numFmtId="0" fontId="6" fillId="0" borderId="0" xfId="0" applyFont="1"/>
    <xf numFmtId="176" fontId="9" fillId="0" borderId="0" xfId="0" applyNumberFormat="1" applyFont="1"/>
    <xf numFmtId="0" fontId="10" fillId="0" borderId="0" xfId="0" applyFont="1"/>
    <xf numFmtId="1" fontId="9" fillId="0" borderId="0" xfId="0" applyNumberFormat="1" applyFont="1"/>
    <xf numFmtId="0" fontId="11" fillId="0" borderId="0" xfId="0" applyFont="1" applyAlignment="1">
      <alignment vertical="top" wrapText="1"/>
    </xf>
    <xf numFmtId="0" fontId="3" fillId="2" borderId="0" xfId="0" applyFont="1" applyFill="1"/>
    <xf numFmtId="0" fontId="12" fillId="0" borderId="1" xfId="0" applyFont="1" applyBorder="1"/>
    <xf numFmtId="0" fontId="10" fillId="0" borderId="1" xfId="0" applyFont="1" applyBorder="1" applyAlignment="1">
      <alignment vertical="top" wrapText="1"/>
    </xf>
    <xf numFmtId="0" fontId="11" fillId="0" borderId="0" xfId="0" applyFont="1"/>
    <xf numFmtId="0" fontId="12" fillId="3" borderId="1" xfId="0" applyFont="1" applyFill="1" applyBorder="1"/>
    <xf numFmtId="0" fontId="6" fillId="3" borderId="0" xfId="0" applyFont="1" applyFill="1"/>
    <xf numFmtId="0" fontId="10" fillId="3" borderId="0" xfId="0" applyFont="1" applyFill="1"/>
    <xf numFmtId="0" fontId="3" fillId="4" borderId="0" xfId="0" applyFont="1" applyFill="1" applyAlignment="1">
      <alignment horizontal="center" vertical="center"/>
    </xf>
    <xf numFmtId="177" fontId="6" fillId="3" borderId="0" xfId="0" applyNumberFormat="1" applyFont="1" applyFill="1"/>
    <xf numFmtId="9" fontId="13" fillId="0" borderId="0" xfId="3"/>
    <xf numFmtId="1" fontId="13" fillId="0" borderId="0" xfId="3" applyNumberFormat="1"/>
    <xf numFmtId="177" fontId="6" fillId="0" borderId="0" xfId="0" applyNumberFormat="1" applyFont="1"/>
    <xf numFmtId="178" fontId="6" fillId="3" borderId="0" xfId="0" applyNumberFormat="1" applyFont="1" applyFill="1"/>
    <xf numFmtId="3" fontId="6" fillId="3" borderId="0" xfId="0" applyNumberFormat="1" applyFont="1" applyFill="1"/>
    <xf numFmtId="178" fontId="6" fillId="0" borderId="0" xfId="0" applyNumberFormat="1" applyFont="1"/>
    <xf numFmtId="3" fontId="6" fillId="0" borderId="0" xfId="0" applyNumberFormat="1" applyFont="1"/>
    <xf numFmtId="0" fontId="5" fillId="3" borderId="0" xfId="0" applyFont="1" applyFill="1"/>
    <xf numFmtId="0" fontId="5" fillId="0" borderId="0" xfId="0" applyFont="1"/>
    <xf numFmtId="0" fontId="14" fillId="3" borderId="0" xfId="0" applyFont="1" applyFill="1"/>
    <xf numFmtId="178" fontId="5" fillId="3" borderId="0" xfId="0" applyNumberFormat="1" applyFont="1" applyFill="1"/>
    <xf numFmtId="0" fontId="14" fillId="0" borderId="0" xfId="0" applyFont="1"/>
    <xf numFmtId="178" fontId="5" fillId="0" borderId="0" xfId="0" applyNumberFormat="1" applyFont="1"/>
    <xf numFmtId="178" fontId="14" fillId="3" borderId="0" xfId="0" applyNumberFormat="1" applyFont="1" applyFill="1"/>
    <xf numFmtId="178" fontId="14" fillId="0" borderId="0" xfId="0" applyNumberFormat="1" applyFont="1"/>
    <xf numFmtId="177" fontId="0" fillId="0" borderId="0" xfId="0" applyNumberFormat="1"/>
    <xf numFmtId="0" fontId="15" fillId="3" borderId="1" xfId="0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5" fillId="0" borderId="1" xfId="0" applyFont="1" applyBorder="1" applyAlignment="1">
      <alignment vertical="center"/>
    </xf>
    <xf numFmtId="0" fontId="10" fillId="0" borderId="1" xfId="0" applyFont="1" applyBorder="1" applyAlignment="1">
      <alignment vertical="center"/>
    </xf>
    <xf numFmtId="0" fontId="4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1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17" fillId="0" borderId="0" xfId="0" applyFont="1"/>
    <xf numFmtId="0" fontId="18" fillId="2" borderId="0" xfId="0" applyFont="1" applyFill="1" applyAlignment="1">
      <alignment horizontal="center" vertical="center"/>
    </xf>
    <xf numFmtId="0" fontId="0" fillId="3" borderId="1" xfId="0" applyFill="1" applyBorder="1" applyAlignment="1">
      <alignment vertical="center"/>
    </xf>
    <xf numFmtId="0" fontId="19" fillId="2" borderId="0" xfId="0" applyFont="1" applyFill="1" applyAlignment="1">
      <alignment vertical="center"/>
    </xf>
    <xf numFmtId="0" fontId="10" fillId="0" borderId="1" xfId="0" applyFont="1" applyFill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0" fillId="0" borderId="2" xfId="0" applyBorder="1"/>
    <xf numFmtId="0" fontId="20" fillId="0" borderId="0" xfId="0" applyFont="1" applyAlignment="1">
      <alignment horizontal="left" vertical="center" readingOrder="1"/>
    </xf>
    <xf numFmtId="0" fontId="1" fillId="0" borderId="0" xfId="0" applyFont="1"/>
    <xf numFmtId="0" fontId="19" fillId="2" borderId="0" xfId="0" applyFont="1" applyFill="1"/>
    <xf numFmtId="0" fontId="6" fillId="3" borderId="1" xfId="0" applyFont="1" applyFill="1" applyBorder="1" applyAlignment="1">
      <alignment vertical="top" wrapText="1"/>
    </xf>
    <xf numFmtId="0" fontId="10" fillId="3" borderId="1" xfId="0" applyFont="1" applyFill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2" fillId="0" borderId="0" xfId="0" applyFont="1"/>
    <xf numFmtId="0" fontId="21" fillId="0" borderId="0" xfId="0" applyFont="1" applyAlignment="1">
      <alignment vertical="center"/>
    </xf>
    <xf numFmtId="0" fontId="22" fillId="0" borderId="0" xfId="0" applyFont="1"/>
    <xf numFmtId="0" fontId="23" fillId="0" borderId="0" xfId="0" applyFont="1"/>
    <xf numFmtId="1" fontId="24" fillId="0" borderId="0" xfId="0" applyNumberFormat="1" applyFont="1" applyAlignment="1">
      <alignment horizontal="right"/>
    </xf>
    <xf numFmtId="0" fontId="0" fillId="5" borderId="0" xfId="0" applyFill="1"/>
    <xf numFmtId="177" fontId="24" fillId="0" borderId="0" xfId="0" applyNumberFormat="1" applyFont="1" applyAlignment="1">
      <alignment horizontal="right"/>
    </xf>
    <xf numFmtId="176" fontId="24" fillId="0" borderId="0" xfId="0" applyNumberFormat="1" applyFont="1" applyAlignment="1">
      <alignment horizontal="right"/>
    </xf>
    <xf numFmtId="0" fontId="25" fillId="0" borderId="0" xfId="0" applyFont="1"/>
    <xf numFmtId="0" fontId="26" fillId="0" borderId="0" xfId="0" applyFont="1"/>
    <xf numFmtId="0" fontId="27" fillId="0" borderId="0" xfId="0" applyFont="1"/>
    <xf numFmtId="0" fontId="28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9F9F9"/>
      <rgbColor rgb="00E6F0FA"/>
      <rgbColor rgb="00660066"/>
      <rgbColor rgb="00FF8080"/>
      <rgbColor rgb="000066CC"/>
      <rgbColor rgb="00D0D0D0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595959"/>
      <rgbColor rgb="00969696"/>
      <rgbColor rgb="00003366"/>
      <rgbColor rgb="002E7D32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zh-CN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商家明细!$P$1</c:f>
              <c:strCache>
                <c:ptCount val="1"/>
                <c:pt idx="0">
                  <c:v>累计消耗金额%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商家明细!$P$2:$P$2002</c:f>
              <c:numCache>
                <c:formatCode>0%</c:formatCode>
                <c:ptCount val="2001"/>
                <c:pt idx="0">
                  <c:v>0.0412517117219136</c:v>
                </c:pt>
                <c:pt idx="1">
                  <c:v>0.0769263031629895</c:v>
                </c:pt>
                <c:pt idx="2">
                  <c:v>0.108157757324492</c:v>
                </c:pt>
                <c:pt idx="3">
                  <c:v>0.137303165086535</c:v>
                </c:pt>
                <c:pt idx="4">
                  <c:v>0.161678819105857</c:v>
                </c:pt>
                <c:pt idx="5">
                  <c:v>0.180854298650125</c:v>
                </c:pt>
                <c:pt idx="6">
                  <c:v>0.199944323164709</c:v>
                </c:pt>
                <c:pt idx="7">
                  <c:v>0.217529710040075</c:v>
                </c:pt>
                <c:pt idx="8">
                  <c:v>0.233550168917856</c:v>
                </c:pt>
                <c:pt idx="9">
                  <c:v>0.248698776787268</c:v>
                </c:pt>
                <c:pt idx="10">
                  <c:v>0.262796759629157</c:v>
                </c:pt>
                <c:pt idx="11">
                  <c:v>0.276423429147819</c:v>
                </c:pt>
                <c:pt idx="12">
                  <c:v>0.28995573114904</c:v>
                </c:pt>
                <c:pt idx="13">
                  <c:v>0.303210173237791</c:v>
                </c:pt>
                <c:pt idx="14">
                  <c:v>0.315075840028184</c:v>
                </c:pt>
                <c:pt idx="15">
                  <c:v>0.326875973820354</c:v>
                </c:pt>
                <c:pt idx="16">
                  <c:v>0.337739772133901</c:v>
                </c:pt>
                <c:pt idx="17">
                  <c:v>0.348278002512273</c:v>
                </c:pt>
                <c:pt idx="18">
                  <c:v>0.358780058675625</c:v>
                </c:pt>
                <c:pt idx="19">
                  <c:v>0.368544999674956</c:v>
                </c:pt>
                <c:pt idx="20">
                  <c:v>0.378194078333428</c:v>
                </c:pt>
                <c:pt idx="21">
                  <c:v>0.387625587437796</c:v>
                </c:pt>
                <c:pt idx="22">
                  <c:v>0.396888807802726</c:v>
                </c:pt>
                <c:pt idx="23">
                  <c:v>0.40613158187221</c:v>
                </c:pt>
                <c:pt idx="24">
                  <c:v>0.414803956725154</c:v>
                </c:pt>
                <c:pt idx="25">
                  <c:v>0.423154957754808</c:v>
                </c:pt>
                <c:pt idx="26">
                  <c:v>0.431008432261947</c:v>
                </c:pt>
                <c:pt idx="27">
                  <c:v>0.438798470826806</c:v>
                </c:pt>
                <c:pt idx="28">
                  <c:v>0.446462686035075</c:v>
                </c:pt>
                <c:pt idx="29">
                  <c:v>0.454019427126257</c:v>
                </c:pt>
                <c:pt idx="30">
                  <c:v>0.461230153986818</c:v>
                </c:pt>
                <c:pt idx="31">
                  <c:v>0.468343892010007</c:v>
                </c:pt>
                <c:pt idx="32">
                  <c:v>0.473309720483413</c:v>
                </c:pt>
                <c:pt idx="33">
                  <c:v>0.478241996061729</c:v>
                </c:pt>
                <c:pt idx="34">
                  <c:v>0.483121845241466</c:v>
                </c:pt>
                <c:pt idx="35">
                  <c:v>0.487999597365259</c:v>
                </c:pt>
                <c:pt idx="36">
                  <c:v>0.492814962074743</c:v>
                </c:pt>
                <c:pt idx="37">
                  <c:v>0.497541726170629</c:v>
                </c:pt>
                <c:pt idx="38">
                  <c:v>0.502197190364447</c:v>
                </c:pt>
                <c:pt idx="39">
                  <c:v>0.50668279302687</c:v>
                </c:pt>
                <c:pt idx="40">
                  <c:v>0.511075076699821</c:v>
                </c:pt>
                <c:pt idx="41">
                  <c:v>0.515457923621028</c:v>
                </c:pt>
                <c:pt idx="42">
                  <c:v>0.519813508814975</c:v>
                </c:pt>
                <c:pt idx="43">
                  <c:v>0.5241255800981</c:v>
                </c:pt>
                <c:pt idx="44">
                  <c:v>0.528304488328835</c:v>
                </c:pt>
                <c:pt idx="45">
                  <c:v>0.53236386437081</c:v>
                </c:pt>
                <c:pt idx="46">
                  <c:v>0.536247087713559</c:v>
                </c:pt>
                <c:pt idx="47">
                  <c:v>0.540129786792322</c:v>
                </c:pt>
                <c:pt idx="48">
                  <c:v>0.543966350640336</c:v>
                </c:pt>
                <c:pt idx="49">
                  <c:v>0.547699634483149</c:v>
                </c:pt>
                <c:pt idx="50">
                  <c:v>0.551396744110943</c:v>
                </c:pt>
                <c:pt idx="51">
                  <c:v>0.555036708964285</c:v>
                </c:pt>
                <c:pt idx="52">
                  <c:v>0.558646266506452</c:v>
                </c:pt>
                <c:pt idx="53">
                  <c:v>0.562161980795162</c:v>
                </c:pt>
                <c:pt idx="54">
                  <c:v>0.565656200260454</c:v>
                </c:pt>
                <c:pt idx="55">
                  <c:v>0.569070731599907</c:v>
                </c:pt>
                <c:pt idx="56">
                  <c:v>0.572468486491814</c:v>
                </c:pt>
                <c:pt idx="57">
                  <c:v>0.575848416408204</c:v>
                </c:pt>
                <c:pt idx="58">
                  <c:v>0.579179065509931</c:v>
                </c:pt>
                <c:pt idx="59">
                  <c:v>0.582484549940339</c:v>
                </c:pt>
                <c:pt idx="60">
                  <c:v>0.585775354979145</c:v>
                </c:pt>
                <c:pt idx="61">
                  <c:v>0.589025267427059</c:v>
                </c:pt>
                <c:pt idx="62">
                  <c:v>0.59224319977184</c:v>
                </c:pt>
                <c:pt idx="63">
                  <c:v>0.59544016155719</c:v>
                </c:pt>
                <c:pt idx="64">
                  <c:v>0.598484562522674</c:v>
                </c:pt>
                <c:pt idx="65">
                  <c:v>0.601501701760898</c:v>
                </c:pt>
                <c:pt idx="66">
                  <c:v>0.604465890336557</c:v>
                </c:pt>
                <c:pt idx="67">
                  <c:v>0.607430078912215</c:v>
                </c:pt>
                <c:pt idx="68">
                  <c:v>0.610199765549146</c:v>
                </c:pt>
                <c:pt idx="69">
                  <c:v>0.612968403658104</c:v>
                </c:pt>
                <c:pt idx="70">
                  <c:v>0.615624325010118</c:v>
                </c:pt>
                <c:pt idx="71">
                  <c:v>0.618271333874374</c:v>
                </c:pt>
                <c:pt idx="72">
                  <c:v>0.620901042027098</c:v>
                </c:pt>
                <c:pt idx="73">
                  <c:v>0.623509779620391</c:v>
                </c:pt>
                <c:pt idx="74">
                  <c:v>0.626011043096597</c:v>
                </c:pt>
                <c:pt idx="75">
                  <c:v>0.628425803015147</c:v>
                </c:pt>
                <c:pt idx="76">
                  <c:v>0.63082902912601</c:v>
                </c:pt>
                <c:pt idx="77">
                  <c:v>0.633229633916944</c:v>
                </c:pt>
                <c:pt idx="78">
                  <c:v>0.635578336573285</c:v>
                </c:pt>
                <c:pt idx="79">
                  <c:v>0.637792827649263</c:v>
                </c:pt>
                <c:pt idx="80">
                  <c:v>0.639973765830151</c:v>
                </c:pt>
                <c:pt idx="81">
                  <c:v>0.64215208269111</c:v>
                </c:pt>
                <c:pt idx="82">
                  <c:v>0.644313623104524</c:v>
                </c:pt>
                <c:pt idx="83">
                  <c:v>0.646456814278434</c:v>
                </c:pt>
                <c:pt idx="84">
                  <c:v>0.64856959814117</c:v>
                </c:pt>
                <c:pt idx="85">
                  <c:v>0.650669799668246</c:v>
                </c:pt>
                <c:pt idx="86">
                  <c:v>0.652713904948842</c:v>
                </c:pt>
                <c:pt idx="87">
                  <c:v>0.654754340381538</c:v>
                </c:pt>
                <c:pt idx="88">
                  <c:v>0.656781144950604</c:v>
                </c:pt>
                <c:pt idx="89">
                  <c:v>0.658761290024934</c:v>
                </c:pt>
                <c:pt idx="90">
                  <c:v>0.660737765251364</c:v>
                </c:pt>
                <c:pt idx="91">
                  <c:v>0.662676493470816</c:v>
                </c:pt>
                <c:pt idx="92">
                  <c:v>0.664596348186781</c:v>
                </c:pt>
                <c:pt idx="93">
                  <c:v>0.666504669095057</c:v>
                </c:pt>
                <c:pt idx="94">
                  <c:v>0.668400931931661</c:v>
                </c:pt>
                <c:pt idx="95">
                  <c:v>0.670285136696592</c:v>
                </c:pt>
                <c:pt idx="96">
                  <c:v>0.672164098821664</c:v>
                </c:pt>
                <c:pt idx="97">
                  <c:v>0.674012129371575</c:v>
                </c:pt>
                <c:pt idx="98">
                  <c:v>0.6758559658096</c:v>
                </c:pt>
                <c:pt idx="99">
                  <c:v>0.677645803057088</c:v>
                </c:pt>
                <c:pt idx="100">
                  <c:v>0.679428824872761</c:v>
                </c:pt>
                <c:pt idx="101">
                  <c:v>0.681203458464661</c:v>
                </c:pt>
                <c:pt idx="102">
                  <c:v>0.682944014897485</c:v>
                </c:pt>
                <c:pt idx="103">
                  <c:v>0.684619038332086</c:v>
                </c:pt>
                <c:pt idx="104">
                  <c:v>0.686289343390814</c:v>
                </c:pt>
                <c:pt idx="105">
                  <c:v>0.687957027129613</c:v>
                </c:pt>
                <c:pt idx="106">
                  <c:v>0.689606885892895</c:v>
                </c:pt>
                <c:pt idx="107">
                  <c:v>0.691252550544291</c:v>
                </c:pt>
                <c:pt idx="108">
                  <c:v>0.692885632860028</c:v>
                </c:pt>
                <c:pt idx="109">
                  <c:v>0.694506132840106</c:v>
                </c:pt>
                <c:pt idx="110">
                  <c:v>0.696111429164596</c:v>
                </c:pt>
                <c:pt idx="111">
                  <c:v>0.6977162012251</c:v>
                </c:pt>
                <c:pt idx="112">
                  <c:v>0.699308390949945</c:v>
                </c:pt>
                <c:pt idx="113">
                  <c:v>0.700895862298919</c:v>
                </c:pt>
                <c:pt idx="114">
                  <c:v>0.702437722681128</c:v>
                </c:pt>
                <c:pt idx="115">
                  <c:v>0.703959661031877</c:v>
                </c:pt>
                <c:pt idx="116">
                  <c:v>0.705480550854655</c:v>
                </c:pt>
                <c:pt idx="117">
                  <c:v>0.706996722301561</c:v>
                </c:pt>
                <c:pt idx="118">
                  <c:v>0.70849873862085</c:v>
                </c:pt>
                <c:pt idx="119">
                  <c:v>0.709993939508324</c:v>
                </c:pt>
                <c:pt idx="120">
                  <c:v>0.711488616131813</c:v>
                </c:pt>
                <c:pt idx="121">
                  <c:v>0.712964419251812</c:v>
                </c:pt>
                <c:pt idx="122">
                  <c:v>0.714402999628821</c:v>
                </c:pt>
                <c:pt idx="123">
                  <c:v>0.715832667518071</c:v>
                </c:pt>
                <c:pt idx="124">
                  <c:v>0.717250277335649</c:v>
                </c:pt>
                <c:pt idx="125">
                  <c:v>0.718665265833297</c:v>
                </c:pt>
                <c:pt idx="126">
                  <c:v>0.7200634778834</c:v>
                </c:pt>
                <c:pt idx="127">
                  <c:v>0.721456447293644</c:v>
                </c:pt>
                <c:pt idx="128">
                  <c:v>0.722828970408444</c:v>
                </c:pt>
                <c:pt idx="129">
                  <c:v>0.724171610476053</c:v>
                </c:pt>
                <c:pt idx="130">
                  <c:v>0.725496425568145</c:v>
                </c:pt>
                <c:pt idx="131">
                  <c:v>0.72681337670045</c:v>
                </c:pt>
                <c:pt idx="132">
                  <c:v>0.728128230776812</c:v>
                </c:pt>
                <c:pt idx="133">
                  <c:v>0.72940376505424</c:v>
                </c:pt>
                <c:pt idx="134">
                  <c:v>0.730661474356151</c:v>
                </c:pt>
                <c:pt idx="135">
                  <c:v>0.731863087411583</c:v>
                </c:pt>
                <c:pt idx="136">
                  <c:v>0.733060506355128</c:v>
                </c:pt>
                <c:pt idx="137">
                  <c:v>0.734216508443796</c:v>
                </c:pt>
                <c:pt idx="138">
                  <c:v>0.735232007784272</c:v>
                </c:pt>
                <c:pt idx="139">
                  <c:v>0.736246458596776</c:v>
                </c:pt>
                <c:pt idx="140">
                  <c:v>0.737241511641806</c:v>
                </c:pt>
                <c:pt idx="141">
                  <c:v>0.738228700727049</c:v>
                </c:pt>
                <c:pt idx="142">
                  <c:v>0.739215365548307</c:v>
                </c:pt>
                <c:pt idx="143">
                  <c:v>0.740201506105578</c:v>
                </c:pt>
                <c:pt idx="144">
                  <c:v>0.741175588591177</c:v>
                </c:pt>
                <c:pt idx="145">
                  <c:v>0.74214914681279</c:v>
                </c:pt>
                <c:pt idx="146">
                  <c:v>0.743120083714473</c:v>
                </c:pt>
                <c:pt idx="147">
                  <c:v>0.744091020616157</c:v>
                </c:pt>
                <c:pt idx="148">
                  <c:v>0.745046229598267</c:v>
                </c:pt>
                <c:pt idx="149">
                  <c:v>0.745998817260448</c:v>
                </c:pt>
                <c:pt idx="150">
                  <c:v>0.746950880658643</c:v>
                </c:pt>
                <c:pt idx="151">
                  <c:v>0.747900847000895</c:v>
                </c:pt>
                <c:pt idx="152">
                  <c:v>0.74884557070329</c:v>
                </c:pt>
                <c:pt idx="153">
                  <c:v>0.749789770141698</c:v>
                </c:pt>
                <c:pt idx="154">
                  <c:v>0.750724532828362</c:v>
                </c:pt>
                <c:pt idx="155">
                  <c:v>0.751659295515026</c:v>
                </c:pt>
                <c:pt idx="156">
                  <c:v>0.752587767033861</c:v>
                </c:pt>
                <c:pt idx="157">
                  <c:v>0.753509947384866</c:v>
                </c:pt>
                <c:pt idx="158">
                  <c:v>0.754431603471886</c:v>
                </c:pt>
                <c:pt idx="159">
                  <c:v>0.755350113974991</c:v>
                </c:pt>
                <c:pt idx="160">
                  <c:v>0.756262857574251</c:v>
                </c:pt>
                <c:pt idx="161">
                  <c:v>0.757165115893797</c:v>
                </c:pt>
                <c:pt idx="162">
                  <c:v>0.758066849949356</c:v>
                </c:pt>
                <c:pt idx="163">
                  <c:v>0.758964389893029</c:v>
                </c:pt>
                <c:pt idx="164">
                  <c:v>0.759861405572716</c:v>
                </c:pt>
                <c:pt idx="165">
                  <c:v>0.760755799932475</c:v>
                </c:pt>
                <c:pt idx="166">
                  <c:v>0.761636563428603</c:v>
                </c:pt>
                <c:pt idx="167">
                  <c:v>0.762517851188716</c:v>
                </c:pt>
                <c:pt idx="168">
                  <c:v>0.763398614684844</c:v>
                </c:pt>
                <c:pt idx="169">
                  <c:v>0.764277805389014</c:v>
                </c:pt>
                <c:pt idx="170">
                  <c:v>0.765153326245284</c:v>
                </c:pt>
                <c:pt idx="171">
                  <c:v>0.766024128725682</c:v>
                </c:pt>
                <c:pt idx="172">
                  <c:v>0.766893882678108</c:v>
                </c:pt>
                <c:pt idx="173">
                  <c:v>0.76776049104662</c:v>
                </c:pt>
                <c:pt idx="174">
                  <c:v>0.768627099415131</c:v>
                </c:pt>
                <c:pt idx="175">
                  <c:v>0.769491610727699</c:v>
                </c:pt>
                <c:pt idx="176">
                  <c:v>0.770355597776282</c:v>
                </c:pt>
                <c:pt idx="177">
                  <c:v>0.771216963504935</c:v>
                </c:pt>
                <c:pt idx="178">
                  <c:v>0.77207570791366</c:v>
                </c:pt>
                <c:pt idx="179">
                  <c:v>0.772929733946513</c:v>
                </c:pt>
                <c:pt idx="180">
                  <c:v>0.773781662923422</c:v>
                </c:pt>
                <c:pt idx="181">
                  <c:v>0.774629922052431</c:v>
                </c:pt>
                <c:pt idx="182">
                  <c:v>0.775476608389482</c:v>
                </c:pt>
                <c:pt idx="183">
                  <c:v>0.776319624878633</c:v>
                </c:pt>
                <c:pt idx="184">
                  <c:v>0.777160020047855</c:v>
                </c:pt>
                <c:pt idx="185">
                  <c:v>0.777996745369176</c:v>
                </c:pt>
                <c:pt idx="186">
                  <c:v>0.77881826703491</c:v>
                </c:pt>
                <c:pt idx="187">
                  <c:v>0.779632973268828</c:v>
                </c:pt>
                <c:pt idx="188">
                  <c:v>0.780446106710789</c:v>
                </c:pt>
                <c:pt idx="189">
                  <c:v>0.781258715888764</c:v>
                </c:pt>
                <c:pt idx="190">
                  <c:v>0.782071849330725</c:v>
                </c:pt>
                <c:pt idx="191">
                  <c:v>0.782883934244714</c:v>
                </c:pt>
                <c:pt idx="192">
                  <c:v>0.783696019158703</c:v>
                </c:pt>
                <c:pt idx="193">
                  <c:v>0.784502337168849</c:v>
                </c:pt>
                <c:pt idx="194">
                  <c:v>0.785307606651023</c:v>
                </c:pt>
                <c:pt idx="195">
                  <c:v>0.786110254813268</c:v>
                </c:pt>
                <c:pt idx="196">
                  <c:v>0.786911330183555</c:v>
                </c:pt>
                <c:pt idx="197">
                  <c:v>0.787707687177971</c:v>
                </c:pt>
                <c:pt idx="198">
                  <c:v>0.788503519908401</c:v>
                </c:pt>
                <c:pt idx="199">
                  <c:v>0.789297255582887</c:v>
                </c:pt>
                <c:pt idx="200">
                  <c:v>0.790083651561573</c:v>
                </c:pt>
                <c:pt idx="201">
                  <c:v>0.790867426220329</c:v>
                </c:pt>
                <c:pt idx="202">
                  <c:v>0.791650152351114</c:v>
                </c:pt>
                <c:pt idx="203">
                  <c:v>0.792417674826311</c:v>
                </c:pt>
                <c:pt idx="204">
                  <c:v>0.793178906133679</c:v>
                </c:pt>
                <c:pt idx="205">
                  <c:v>0.793939088913075</c:v>
                </c:pt>
                <c:pt idx="206">
                  <c:v>0.794698747428485</c:v>
                </c:pt>
                <c:pt idx="207">
                  <c:v>0.795457357415924</c:v>
                </c:pt>
                <c:pt idx="208">
                  <c:v>0.796209676235533</c:v>
                </c:pt>
                <c:pt idx="209">
                  <c:v>0.796958849471227</c:v>
                </c:pt>
                <c:pt idx="210">
                  <c:v>0.797708022706922</c:v>
                </c:pt>
                <c:pt idx="211">
                  <c:v>0.798455623150659</c:v>
                </c:pt>
                <c:pt idx="212">
                  <c:v>0.79920269933041</c:v>
                </c:pt>
                <c:pt idx="213">
                  <c:v>0.799949251246175</c:v>
                </c:pt>
                <c:pt idx="214">
                  <c:v>0.800695803161941</c:v>
                </c:pt>
                <c:pt idx="215">
                  <c:v>0.801439209493792</c:v>
                </c:pt>
                <c:pt idx="216">
                  <c:v>0.802179470241728</c:v>
                </c:pt>
                <c:pt idx="217">
                  <c:v>0.802919206725678</c:v>
                </c:pt>
                <c:pt idx="218">
                  <c:v>0.803655797625713</c:v>
                </c:pt>
                <c:pt idx="219">
                  <c:v>0.804391339997777</c:v>
                </c:pt>
                <c:pt idx="220">
                  <c:v>0.805124785313898</c:v>
                </c:pt>
                <c:pt idx="221">
                  <c:v>0.805857182102047</c:v>
                </c:pt>
                <c:pt idx="222">
                  <c:v>0.806586433306281</c:v>
                </c:pt>
                <c:pt idx="223">
                  <c:v>0.80731516024653</c:v>
                </c:pt>
                <c:pt idx="224">
                  <c:v>0.808041790130835</c:v>
                </c:pt>
                <c:pt idx="225">
                  <c:v>0.808767371487169</c:v>
                </c:pt>
                <c:pt idx="226">
                  <c:v>0.809491380051546</c:v>
                </c:pt>
                <c:pt idx="227">
                  <c:v>0.810211718768022</c:v>
                </c:pt>
                <c:pt idx="228">
                  <c:v>0.810931533220512</c:v>
                </c:pt>
                <c:pt idx="229">
                  <c:v>0.81164662929713</c:v>
                </c:pt>
                <c:pt idx="230">
                  <c:v>0.812361725373748</c:v>
                </c:pt>
                <c:pt idx="231">
                  <c:v>0.813074200130437</c:v>
                </c:pt>
                <c:pt idx="232">
                  <c:v>0.813784053567197</c:v>
                </c:pt>
                <c:pt idx="233">
                  <c:v>0.814484994516199</c:v>
                </c:pt>
                <c:pt idx="234">
                  <c:v>0.815185411201215</c:v>
                </c:pt>
                <c:pt idx="235">
                  <c:v>0.815883730830287</c:v>
                </c:pt>
                <c:pt idx="236">
                  <c:v>0.816581001931388</c:v>
                </c:pt>
                <c:pt idx="237">
                  <c:v>0.817276700240532</c:v>
                </c:pt>
                <c:pt idx="238">
                  <c:v>0.817970301493733</c:v>
                </c:pt>
                <c:pt idx="239">
                  <c:v>0.818662329954976</c:v>
                </c:pt>
                <c:pt idx="240">
                  <c:v>0.819353309888248</c:v>
                </c:pt>
                <c:pt idx="241">
                  <c:v>0.820039571445647</c:v>
                </c:pt>
                <c:pt idx="242">
                  <c:v>0.820721114627175</c:v>
                </c:pt>
                <c:pt idx="243">
                  <c:v>0.821401609280731</c:v>
                </c:pt>
                <c:pt idx="244">
                  <c:v>0.8220779098224</c:v>
                </c:pt>
                <c:pt idx="245">
                  <c:v>0.822753686100084</c:v>
                </c:pt>
                <c:pt idx="246">
                  <c:v>0.823425268265882</c:v>
                </c:pt>
                <c:pt idx="247">
                  <c:v>0.824096326167693</c:v>
                </c:pt>
                <c:pt idx="248">
                  <c:v>0.824766335541533</c:v>
                </c:pt>
                <c:pt idx="249">
                  <c:v>0.825435296387402</c:v>
                </c:pt>
                <c:pt idx="250">
                  <c:v>0.826102160177327</c:v>
                </c:pt>
                <c:pt idx="251">
                  <c:v>0.826766926911309</c:v>
                </c:pt>
                <c:pt idx="252">
                  <c:v>0.827430120853334</c:v>
                </c:pt>
                <c:pt idx="253">
                  <c:v>0.828092790531373</c:v>
                </c:pt>
                <c:pt idx="254">
                  <c:v>0.828751790361511</c:v>
                </c:pt>
                <c:pt idx="255">
                  <c:v>0.829408693135707</c:v>
                </c:pt>
                <c:pt idx="256">
                  <c:v>0.830062450325987</c:v>
                </c:pt>
                <c:pt idx="257">
                  <c:v>0.830716207516268</c:v>
                </c:pt>
                <c:pt idx="258">
                  <c:v>0.831368916178577</c:v>
                </c:pt>
                <c:pt idx="259">
                  <c:v>0.832017954992985</c:v>
                </c:pt>
                <c:pt idx="260">
                  <c:v>0.832666469543408</c:v>
                </c:pt>
                <c:pt idx="261">
                  <c:v>0.833309217189987</c:v>
                </c:pt>
                <c:pt idx="262">
                  <c:v>0.83395144057258</c:v>
                </c:pt>
                <c:pt idx="263">
                  <c:v>0.83458789705133</c:v>
                </c:pt>
                <c:pt idx="264">
                  <c:v>0.835223305002108</c:v>
                </c:pt>
                <c:pt idx="265">
                  <c:v>0.835856615896942</c:v>
                </c:pt>
                <c:pt idx="266">
                  <c:v>0.836489402527791</c:v>
                </c:pt>
                <c:pt idx="267">
                  <c:v>0.837121140630669</c:v>
                </c:pt>
                <c:pt idx="268">
                  <c:v>0.83775235446956</c:v>
                </c:pt>
                <c:pt idx="269">
                  <c:v>0.838381471252509</c:v>
                </c:pt>
                <c:pt idx="270">
                  <c:v>0.839008490979514</c:v>
                </c:pt>
                <c:pt idx="271">
                  <c:v>0.839634986442533</c:v>
                </c:pt>
                <c:pt idx="272">
                  <c:v>0.840259909113595</c:v>
                </c:pt>
                <c:pt idx="273">
                  <c:v>0.840884831784658</c:v>
                </c:pt>
                <c:pt idx="274">
                  <c:v>0.841507657399776</c:v>
                </c:pt>
                <c:pt idx="275">
                  <c:v>0.842128385958952</c:v>
                </c:pt>
                <c:pt idx="276">
                  <c:v>0.842748065990156</c:v>
                </c:pt>
                <c:pt idx="277">
                  <c:v>0.843363551909474</c:v>
                </c:pt>
                <c:pt idx="278">
                  <c:v>0.843977989300821</c:v>
                </c:pt>
                <c:pt idx="279">
                  <c:v>0.844590853900209</c:v>
                </c:pt>
                <c:pt idx="280">
                  <c:v>0.845202669971627</c:v>
                </c:pt>
                <c:pt idx="281">
                  <c:v>0.845813437515073</c:v>
                </c:pt>
                <c:pt idx="282">
                  <c:v>0.846422632266561</c:v>
                </c:pt>
                <c:pt idx="283">
                  <c:v>0.847030778490078</c:v>
                </c:pt>
                <c:pt idx="284">
                  <c:v>0.847634206337722</c:v>
                </c:pt>
                <c:pt idx="285">
                  <c:v>0.848236585657396</c:v>
                </c:pt>
                <c:pt idx="286">
                  <c:v>0.848835819393154</c:v>
                </c:pt>
                <c:pt idx="287">
                  <c:v>0.849434004600941</c:v>
                </c:pt>
                <c:pt idx="288">
                  <c:v>0.85002694716887</c:v>
                </c:pt>
                <c:pt idx="289">
                  <c:v>0.850614122832955</c:v>
                </c:pt>
                <c:pt idx="290">
                  <c:v>0.851199201441097</c:v>
                </c:pt>
                <c:pt idx="291">
                  <c:v>0.851780610201338</c:v>
                </c:pt>
                <c:pt idx="292">
                  <c:v>0.852361494697594</c:v>
                </c:pt>
                <c:pt idx="293">
                  <c:v>0.852938185081963</c:v>
                </c:pt>
                <c:pt idx="294">
                  <c:v>0.853514875466333</c:v>
                </c:pt>
                <c:pt idx="295">
                  <c:v>0.854088420266787</c:v>
                </c:pt>
                <c:pt idx="296">
                  <c:v>0.854660392275285</c:v>
                </c:pt>
                <c:pt idx="297">
                  <c:v>0.85523131575581</c:v>
                </c:pt>
                <c:pt idx="298">
                  <c:v>0.855800666444379</c:v>
                </c:pt>
                <c:pt idx="299">
                  <c:v>0.856369492868961</c:v>
                </c:pt>
                <c:pt idx="300">
                  <c:v>0.856938319293544</c:v>
                </c:pt>
                <c:pt idx="301">
                  <c:v>0.857504524398197</c:v>
                </c:pt>
                <c:pt idx="302">
                  <c:v>0.858070729502851</c:v>
                </c:pt>
                <c:pt idx="303">
                  <c:v>0.858630119175689</c:v>
                </c:pt>
                <c:pt idx="304">
                  <c:v>0.859188984584542</c:v>
                </c:pt>
                <c:pt idx="305">
                  <c:v>0.859746277201437</c:v>
                </c:pt>
                <c:pt idx="306">
                  <c:v>0.860301997026375</c:v>
                </c:pt>
                <c:pt idx="307">
                  <c:v>0.860856144059355</c:v>
                </c:pt>
                <c:pt idx="308">
                  <c:v>0.861410291092335</c:v>
                </c:pt>
                <c:pt idx="309">
                  <c:v>0.861963389597344</c:v>
                </c:pt>
                <c:pt idx="310">
                  <c:v>0.862512293990467</c:v>
                </c:pt>
                <c:pt idx="311">
                  <c:v>0.863057004271703</c:v>
                </c:pt>
                <c:pt idx="312">
                  <c:v>0.863600141760982</c:v>
                </c:pt>
                <c:pt idx="313">
                  <c:v>0.864141182194317</c:v>
                </c:pt>
                <c:pt idx="314">
                  <c:v>0.864677504251781</c:v>
                </c:pt>
                <c:pt idx="315">
                  <c:v>0.865213302045259</c:v>
                </c:pt>
                <c:pt idx="316">
                  <c:v>0.865746478518807</c:v>
                </c:pt>
                <c:pt idx="317">
                  <c:v>0.866278082200399</c:v>
                </c:pt>
                <c:pt idx="318">
                  <c:v>0.866807588826047</c:v>
                </c:pt>
                <c:pt idx="319">
                  <c:v>0.867337095451695</c:v>
                </c:pt>
                <c:pt idx="320">
                  <c:v>0.867866077813358</c:v>
                </c:pt>
                <c:pt idx="321">
                  <c:v>0.868391914591106</c:v>
                </c:pt>
                <c:pt idx="322">
                  <c:v>0.868917751368853</c:v>
                </c:pt>
                <c:pt idx="323">
                  <c:v>0.869443588146601</c:v>
                </c:pt>
                <c:pt idx="324">
                  <c:v>0.869966279340434</c:v>
                </c:pt>
                <c:pt idx="325">
                  <c:v>0.870488446270281</c:v>
                </c:pt>
                <c:pt idx="326">
                  <c:v>0.871006943352228</c:v>
                </c:pt>
                <c:pt idx="327">
                  <c:v>0.87152229485026</c:v>
                </c:pt>
                <c:pt idx="328">
                  <c:v>0.872033976500391</c:v>
                </c:pt>
                <c:pt idx="329">
                  <c:v>0.872545133886537</c:v>
                </c:pt>
                <c:pt idx="330">
                  <c:v>0.873054194216739</c:v>
                </c:pt>
                <c:pt idx="331">
                  <c:v>0.873562730282956</c:v>
                </c:pt>
                <c:pt idx="332">
                  <c:v>0.874069693557215</c:v>
                </c:pt>
                <c:pt idx="333">
                  <c:v>0.874574559775531</c:v>
                </c:pt>
                <c:pt idx="334">
                  <c:v>0.875078377465876</c:v>
                </c:pt>
                <c:pt idx="335">
                  <c:v>0.875581670892234</c:v>
                </c:pt>
                <c:pt idx="336">
                  <c:v>0.87608286726265</c:v>
                </c:pt>
                <c:pt idx="337">
                  <c:v>0.876582490841108</c:v>
                </c:pt>
                <c:pt idx="338">
                  <c:v>0.877082114419566</c:v>
                </c:pt>
                <c:pt idx="339">
                  <c:v>0.877579116678096</c:v>
                </c:pt>
                <c:pt idx="340">
                  <c:v>0.878075594672639</c:v>
                </c:pt>
                <c:pt idx="341">
                  <c:v>0.878570499875225</c:v>
                </c:pt>
                <c:pt idx="342">
                  <c:v>0.879064880813825</c:v>
                </c:pt>
                <c:pt idx="343">
                  <c:v>0.879557688960468</c:v>
                </c:pt>
                <c:pt idx="344">
                  <c:v>0.880048400051168</c:v>
                </c:pt>
                <c:pt idx="345">
                  <c:v>0.880537538349911</c:v>
                </c:pt>
                <c:pt idx="346">
                  <c:v>0.881019336952852</c:v>
                </c:pt>
                <c:pt idx="347">
                  <c:v>0.881500087027822</c:v>
                </c:pt>
                <c:pt idx="348">
                  <c:v>0.881979264310834</c:v>
                </c:pt>
                <c:pt idx="349">
                  <c:v>0.882457917329861</c:v>
                </c:pt>
                <c:pt idx="350">
                  <c:v>0.882933424764972</c:v>
                </c:pt>
                <c:pt idx="351">
                  <c:v>0.883408932200084</c:v>
                </c:pt>
                <c:pt idx="352">
                  <c:v>0.883882866843239</c:v>
                </c:pt>
                <c:pt idx="353">
                  <c:v>0.884353655902478</c:v>
                </c:pt>
                <c:pt idx="354">
                  <c:v>0.884823396433747</c:v>
                </c:pt>
                <c:pt idx="355">
                  <c:v>0.885290515645086</c:v>
                </c:pt>
                <c:pt idx="356">
                  <c:v>0.885757110592439</c:v>
                </c:pt>
                <c:pt idx="357">
                  <c:v>0.886218987163921</c:v>
                </c:pt>
                <c:pt idx="358">
                  <c:v>0.886678766679459</c:v>
                </c:pt>
                <c:pt idx="359">
                  <c:v>0.887137497667025</c:v>
                </c:pt>
                <c:pt idx="360">
                  <c:v>0.887594655862634</c:v>
                </c:pt>
                <c:pt idx="361">
                  <c:v>0.888050765530272</c:v>
                </c:pt>
                <c:pt idx="362">
                  <c:v>0.88850687519791</c:v>
                </c:pt>
                <c:pt idx="363">
                  <c:v>0.888961936337576</c:v>
                </c:pt>
                <c:pt idx="364">
                  <c:v>0.88941594894927</c:v>
                </c:pt>
                <c:pt idx="365">
                  <c:v>0.889868388769007</c:v>
                </c:pt>
                <c:pt idx="366">
                  <c:v>0.890319780060773</c:v>
                </c:pt>
                <c:pt idx="367">
                  <c:v>0.890769074296595</c:v>
                </c:pt>
                <c:pt idx="368">
                  <c:v>0.891216271476474</c:v>
                </c:pt>
                <c:pt idx="369">
                  <c:v>0.891662944392368</c:v>
                </c:pt>
                <c:pt idx="370">
                  <c:v>0.892108568780289</c:v>
                </c:pt>
                <c:pt idx="371">
                  <c:v>0.892551047584296</c:v>
                </c:pt>
                <c:pt idx="372">
                  <c:v>0.892992477860332</c:v>
                </c:pt>
                <c:pt idx="373">
                  <c:v>0.893433383872382</c:v>
                </c:pt>
                <c:pt idx="374">
                  <c:v>0.89387324135646</c:v>
                </c:pt>
                <c:pt idx="375">
                  <c:v>0.894312574576552</c:v>
                </c:pt>
                <c:pt idx="376">
                  <c:v>0.894750335004687</c:v>
                </c:pt>
                <c:pt idx="377">
                  <c:v>0.895186522640865</c:v>
                </c:pt>
                <c:pt idx="378">
                  <c:v>0.895622186013056</c:v>
                </c:pt>
                <c:pt idx="379">
                  <c:v>0.896055228065319</c:v>
                </c:pt>
                <c:pt idx="380">
                  <c:v>0.896481978949752</c:v>
                </c:pt>
                <c:pt idx="381">
                  <c:v>0.8969082055702</c:v>
                </c:pt>
                <c:pt idx="382">
                  <c:v>0.897333907926662</c:v>
                </c:pt>
                <c:pt idx="383">
                  <c:v>0.897756464699209</c:v>
                </c:pt>
                <c:pt idx="384">
                  <c:v>0.89817849720777</c:v>
                </c:pt>
                <c:pt idx="385">
                  <c:v>0.898600005452345</c:v>
                </c:pt>
                <c:pt idx="386">
                  <c:v>0.899017319585035</c:v>
                </c:pt>
                <c:pt idx="387">
                  <c:v>0.899429915341852</c:v>
                </c:pt>
                <c:pt idx="388">
                  <c:v>0.899839365514754</c:v>
                </c:pt>
                <c:pt idx="389">
                  <c:v>0.90024829142367</c:v>
                </c:pt>
                <c:pt idx="390">
                  <c:v>0.900656693068601</c:v>
                </c:pt>
                <c:pt idx="391">
                  <c:v>0.901063521921574</c:v>
                </c:pt>
                <c:pt idx="392">
                  <c:v>0.901470350774548</c:v>
                </c:pt>
                <c:pt idx="393">
                  <c:v>0.901876131099549</c:v>
                </c:pt>
                <c:pt idx="394">
                  <c:v>0.902280862896579</c:v>
                </c:pt>
                <c:pt idx="395">
                  <c:v>0.90268559469361</c:v>
                </c:pt>
                <c:pt idx="396">
                  <c:v>0.903089277962668</c:v>
                </c:pt>
                <c:pt idx="397">
                  <c:v>0.903492436967741</c:v>
                </c:pt>
                <c:pt idx="398">
                  <c:v>0.90388982906897</c:v>
                </c:pt>
                <c:pt idx="399">
                  <c:v>0.904287745434185</c:v>
                </c:pt>
                <c:pt idx="400">
                  <c:v>0.904682516215485</c:v>
                </c:pt>
                <c:pt idx="401">
                  <c:v>0.905076238468814</c:v>
                </c:pt>
                <c:pt idx="402">
                  <c:v>0.905469960722142</c:v>
                </c:pt>
                <c:pt idx="403">
                  <c:v>0.905863158711485</c:v>
                </c:pt>
                <c:pt idx="404">
                  <c:v>0.906256356700828</c:v>
                </c:pt>
                <c:pt idx="405">
                  <c:v>0.906646409106256</c:v>
                </c:pt>
                <c:pt idx="406">
                  <c:v>0.907036985775669</c:v>
                </c:pt>
                <c:pt idx="407">
                  <c:v>0.907426513917112</c:v>
                </c:pt>
                <c:pt idx="408">
                  <c:v>0.907816042058554</c:v>
                </c:pt>
                <c:pt idx="409">
                  <c:v>0.908204521672025</c:v>
                </c:pt>
                <c:pt idx="410">
                  <c:v>0.908591428493538</c:v>
                </c:pt>
                <c:pt idx="411">
                  <c:v>0.908973616939179</c:v>
                </c:pt>
                <c:pt idx="412">
                  <c:v>0.909351611272934</c:v>
                </c:pt>
                <c:pt idx="413">
                  <c:v>0.909729081342703</c:v>
                </c:pt>
                <c:pt idx="414">
                  <c:v>0.910106027148486</c:v>
                </c:pt>
                <c:pt idx="415">
                  <c:v>0.910481924426298</c:v>
                </c:pt>
                <c:pt idx="416">
                  <c:v>0.910853627592223</c:v>
                </c:pt>
                <c:pt idx="417">
                  <c:v>0.911224806494163</c:v>
                </c:pt>
                <c:pt idx="418">
                  <c:v>0.911596509660088</c:v>
                </c:pt>
                <c:pt idx="419">
                  <c:v>0.911967688562028</c:v>
                </c:pt>
                <c:pt idx="420">
                  <c:v>0.912336246144038</c:v>
                </c:pt>
                <c:pt idx="421">
                  <c:v>0.912704803726049</c:v>
                </c:pt>
                <c:pt idx="422">
                  <c:v>0.91307336130806</c:v>
                </c:pt>
                <c:pt idx="423">
                  <c:v>0.913439297570141</c:v>
                </c:pt>
                <c:pt idx="424">
                  <c:v>0.913804709568237</c:v>
                </c:pt>
                <c:pt idx="425">
                  <c:v>0.914169597302347</c:v>
                </c:pt>
                <c:pt idx="426">
                  <c:v>0.9145329122445</c:v>
                </c:pt>
                <c:pt idx="427">
                  <c:v>0.914892033074766</c:v>
                </c:pt>
                <c:pt idx="428">
                  <c:v>0.915251153905033</c:v>
                </c:pt>
                <c:pt idx="429">
                  <c:v>0.915609226207328</c:v>
                </c:pt>
                <c:pt idx="430">
                  <c:v>0.915966774245637</c:v>
                </c:pt>
                <c:pt idx="431">
                  <c:v>0.916323273755974</c:v>
                </c:pt>
                <c:pt idx="432">
                  <c:v>0.916677151946382</c:v>
                </c:pt>
                <c:pt idx="433">
                  <c:v>0.917027884552876</c:v>
                </c:pt>
                <c:pt idx="434">
                  <c:v>0.917377044367413</c:v>
                </c:pt>
                <c:pt idx="435">
                  <c:v>0.917726204181949</c:v>
                </c:pt>
                <c:pt idx="436">
                  <c:v>0.9180748397325</c:v>
                </c:pt>
                <c:pt idx="437">
                  <c:v>0.918422426755079</c:v>
                </c:pt>
                <c:pt idx="438">
                  <c:v>0.918766343929757</c:v>
                </c:pt>
                <c:pt idx="439">
                  <c:v>0.919107639784506</c:v>
                </c:pt>
                <c:pt idx="440">
                  <c:v>0.919448935639256</c:v>
                </c:pt>
                <c:pt idx="441">
                  <c:v>0.91978970723002</c:v>
                </c:pt>
                <c:pt idx="442">
                  <c:v>0.920129954556798</c:v>
                </c:pt>
                <c:pt idx="443">
                  <c:v>0.920468629091618</c:v>
                </c:pt>
                <c:pt idx="444">
                  <c:v>0.920805206570496</c:v>
                </c:pt>
                <c:pt idx="445">
                  <c:v>0.921141784049373</c:v>
                </c:pt>
                <c:pt idx="446">
                  <c:v>0.921477313000279</c:v>
                </c:pt>
                <c:pt idx="447">
                  <c:v>0.921810744895242</c:v>
                </c:pt>
                <c:pt idx="448">
                  <c:v>0.922143128262233</c:v>
                </c:pt>
                <c:pt idx="449">
                  <c:v>0.922470793253352</c:v>
                </c:pt>
                <c:pt idx="450">
                  <c:v>0.922797409716499</c:v>
                </c:pt>
                <c:pt idx="451">
                  <c:v>0.923123501915661</c:v>
                </c:pt>
                <c:pt idx="452">
                  <c:v>0.923449594114822</c:v>
                </c:pt>
                <c:pt idx="453">
                  <c:v>0.923774113522026</c:v>
                </c:pt>
                <c:pt idx="454">
                  <c:v>0.924098632929231</c:v>
                </c:pt>
                <c:pt idx="455">
                  <c:v>0.924420531016506</c:v>
                </c:pt>
                <c:pt idx="456">
                  <c:v>0.924741904839795</c:v>
                </c:pt>
                <c:pt idx="457">
                  <c:v>0.925057511759241</c:v>
                </c:pt>
                <c:pt idx="458">
                  <c:v>0.925372594414701</c:v>
                </c:pt>
                <c:pt idx="459">
                  <c:v>0.925687152806175</c:v>
                </c:pt>
                <c:pt idx="460">
                  <c:v>0.92600171119765</c:v>
                </c:pt>
                <c:pt idx="461">
                  <c:v>0.926315745325138</c:v>
                </c:pt>
                <c:pt idx="462">
                  <c:v>0.926629255188641</c:v>
                </c:pt>
                <c:pt idx="463">
                  <c:v>0.926942240788157</c:v>
                </c:pt>
                <c:pt idx="464">
                  <c:v>0.92725208080376</c:v>
                </c:pt>
                <c:pt idx="465">
                  <c:v>0.927561396555376</c:v>
                </c:pt>
                <c:pt idx="466">
                  <c:v>0.927868615251049</c:v>
                </c:pt>
                <c:pt idx="467">
                  <c:v>0.928176358210708</c:v>
                </c:pt>
                <c:pt idx="468">
                  <c:v>0.928483576906381</c:v>
                </c:pt>
                <c:pt idx="469">
                  <c:v>0.928790795602054</c:v>
                </c:pt>
                <c:pt idx="470">
                  <c:v>0.92909644150577</c:v>
                </c:pt>
                <c:pt idx="471">
                  <c:v>0.9294015631455</c:v>
                </c:pt>
                <c:pt idx="472">
                  <c:v>0.92970668478523</c:v>
                </c:pt>
                <c:pt idx="473">
                  <c:v>0.930010757896988</c:v>
                </c:pt>
                <c:pt idx="474">
                  <c:v>0.930314306744761</c:v>
                </c:pt>
                <c:pt idx="475">
                  <c:v>0.930617331328548</c:v>
                </c:pt>
                <c:pt idx="476">
                  <c:v>0.930918783120377</c:v>
                </c:pt>
                <c:pt idx="477">
                  <c:v>0.931220234912207</c:v>
                </c:pt>
                <c:pt idx="478">
                  <c:v>0.931520638176065</c:v>
                </c:pt>
                <c:pt idx="479">
                  <c:v>0.931821041439923</c:v>
                </c:pt>
                <c:pt idx="480">
                  <c:v>0.932120396175809</c:v>
                </c:pt>
                <c:pt idx="481">
                  <c:v>0.932418702383723</c:v>
                </c:pt>
                <c:pt idx="482">
                  <c:v>0.932715960063667</c:v>
                </c:pt>
                <c:pt idx="483">
                  <c:v>0.933012169215638</c:v>
                </c:pt>
                <c:pt idx="484">
                  <c:v>0.933307854103624</c:v>
                </c:pt>
                <c:pt idx="485">
                  <c:v>0.933601966199652</c:v>
                </c:pt>
                <c:pt idx="486">
                  <c:v>0.933895554031695</c:v>
                </c:pt>
                <c:pt idx="487">
                  <c:v>0.934188617599752</c:v>
                </c:pt>
                <c:pt idx="488">
                  <c:v>0.934480632639837</c:v>
                </c:pt>
                <c:pt idx="489">
                  <c:v>0.934770550623979</c:v>
                </c:pt>
                <c:pt idx="490">
                  <c:v>0.935059944344135</c:v>
                </c:pt>
                <c:pt idx="491">
                  <c:v>0.93534828953632</c:v>
                </c:pt>
                <c:pt idx="492">
                  <c:v>0.935636110464519</c:v>
                </c:pt>
                <c:pt idx="493">
                  <c:v>0.935923407128732</c:v>
                </c:pt>
                <c:pt idx="494">
                  <c:v>0.936210703792945</c:v>
                </c:pt>
                <c:pt idx="495">
                  <c:v>0.936495379137229</c:v>
                </c:pt>
                <c:pt idx="496">
                  <c:v>0.93677795742557</c:v>
                </c:pt>
                <c:pt idx="497">
                  <c:v>0.937058962921954</c:v>
                </c:pt>
                <c:pt idx="498">
                  <c:v>0.937337871362394</c:v>
                </c:pt>
                <c:pt idx="499">
                  <c:v>0.937615731274863</c:v>
                </c:pt>
                <c:pt idx="500">
                  <c:v>0.937892018395375</c:v>
                </c:pt>
                <c:pt idx="501">
                  <c:v>0.9381677812519</c:v>
                </c:pt>
                <c:pt idx="502">
                  <c:v>0.938440922788497</c:v>
                </c:pt>
                <c:pt idx="503">
                  <c:v>0.938713540061108</c:v>
                </c:pt>
                <c:pt idx="504">
                  <c:v>0.938986157333719</c:v>
                </c:pt>
                <c:pt idx="505">
                  <c:v>0.939257726078359</c:v>
                </c:pt>
                <c:pt idx="506">
                  <c:v>0.939528770559012</c:v>
                </c:pt>
                <c:pt idx="507">
                  <c:v>0.939797193719737</c:v>
                </c:pt>
                <c:pt idx="508">
                  <c:v>0.940065092616476</c:v>
                </c:pt>
                <c:pt idx="509">
                  <c:v>0.940332991513215</c:v>
                </c:pt>
                <c:pt idx="510">
                  <c:v>0.940600890409953</c:v>
                </c:pt>
                <c:pt idx="511">
                  <c:v>0.940868265042707</c:v>
                </c:pt>
                <c:pt idx="512">
                  <c:v>0.941131445563573</c:v>
                </c:pt>
                <c:pt idx="513">
                  <c:v>0.941394101820454</c:v>
                </c:pt>
                <c:pt idx="514">
                  <c:v>0.941657282341321</c:v>
                </c:pt>
                <c:pt idx="515">
                  <c:v>0.941919414334216</c:v>
                </c:pt>
                <c:pt idx="516">
                  <c:v>0.942178925007182</c:v>
                </c:pt>
                <c:pt idx="517">
                  <c:v>0.942437387152177</c:v>
                </c:pt>
                <c:pt idx="518">
                  <c:v>0.942695325033186</c:v>
                </c:pt>
                <c:pt idx="519">
                  <c:v>0.942952214386223</c:v>
                </c:pt>
                <c:pt idx="520">
                  <c:v>0.943209628003246</c:v>
                </c:pt>
                <c:pt idx="521">
                  <c:v>0.943466517356284</c:v>
                </c:pt>
                <c:pt idx="522">
                  <c:v>0.943723406709321</c:v>
                </c:pt>
                <c:pt idx="523">
                  <c:v>0.943978199006415</c:v>
                </c:pt>
                <c:pt idx="524">
                  <c:v>0.944231942775537</c:v>
                </c:pt>
                <c:pt idx="525">
                  <c:v>0.944485162280674</c:v>
                </c:pt>
                <c:pt idx="526">
                  <c:v>0.944737857521825</c:v>
                </c:pt>
                <c:pt idx="527">
                  <c:v>0.944988455707033</c:v>
                </c:pt>
                <c:pt idx="528">
                  <c:v>0.945235908308326</c:v>
                </c:pt>
                <c:pt idx="529">
                  <c:v>0.94548073958969</c:v>
                </c:pt>
                <c:pt idx="530">
                  <c:v>0.945723473815111</c:v>
                </c:pt>
                <c:pt idx="531">
                  <c:v>0.945965683776546</c:v>
                </c:pt>
                <c:pt idx="532">
                  <c:v>0.946207369473995</c:v>
                </c:pt>
                <c:pt idx="533">
                  <c:v>0.946449579435431</c:v>
                </c:pt>
                <c:pt idx="534">
                  <c:v>0.946690740868894</c:v>
                </c:pt>
                <c:pt idx="535">
                  <c:v>0.946929280982429</c:v>
                </c:pt>
                <c:pt idx="536">
                  <c:v>0.94716572404002</c:v>
                </c:pt>
                <c:pt idx="537">
                  <c:v>0.947402167097612</c:v>
                </c:pt>
                <c:pt idx="538">
                  <c:v>0.947637561627232</c:v>
                </c:pt>
                <c:pt idx="539">
                  <c:v>0.947872431892866</c:v>
                </c:pt>
                <c:pt idx="540">
                  <c:v>0.948105729366542</c:v>
                </c:pt>
                <c:pt idx="541">
                  <c:v>0.948338502576233</c:v>
                </c:pt>
                <c:pt idx="542">
                  <c:v>0.948570227257953</c:v>
                </c:pt>
                <c:pt idx="543">
                  <c:v>0.948801951939672</c:v>
                </c:pt>
                <c:pt idx="544">
                  <c:v>0.94903262809342</c:v>
                </c:pt>
                <c:pt idx="545">
                  <c:v>0.94926173145521</c:v>
                </c:pt>
                <c:pt idx="546">
                  <c:v>0.949490310553015</c:v>
                </c:pt>
                <c:pt idx="547">
                  <c:v>0.949718889650819</c:v>
                </c:pt>
                <c:pt idx="548">
                  <c:v>0.949947468748624</c:v>
                </c:pt>
                <c:pt idx="549">
                  <c:v>0.950174999318457</c:v>
                </c:pt>
                <c:pt idx="550">
                  <c:v>0.95040252988829</c:v>
                </c:pt>
                <c:pt idx="551">
                  <c:v>0.950629536194137</c:v>
                </c:pt>
                <c:pt idx="552">
                  <c:v>0.950856018235999</c:v>
                </c:pt>
                <c:pt idx="553">
                  <c:v>0.951078830429959</c:v>
                </c:pt>
                <c:pt idx="554">
                  <c:v>0.951301118359934</c:v>
                </c:pt>
                <c:pt idx="555">
                  <c:v>0.951521833497952</c:v>
                </c:pt>
                <c:pt idx="556">
                  <c:v>0.951739927316041</c:v>
                </c:pt>
                <c:pt idx="557">
                  <c:v>0.951957496870144</c:v>
                </c:pt>
                <c:pt idx="558">
                  <c:v>0.952174542160261</c:v>
                </c:pt>
                <c:pt idx="559">
                  <c:v>0.952391587450378</c:v>
                </c:pt>
                <c:pt idx="560">
                  <c:v>0.952607584212524</c:v>
                </c:pt>
                <c:pt idx="561">
                  <c:v>0.952820959654741</c:v>
                </c:pt>
                <c:pt idx="562">
                  <c:v>0.953033810832972</c:v>
                </c:pt>
                <c:pt idx="563">
                  <c:v>0.953245089219245</c:v>
                </c:pt>
                <c:pt idx="564">
                  <c:v>0.953455319077547</c:v>
                </c:pt>
                <c:pt idx="565">
                  <c:v>0.953662403351934</c:v>
                </c:pt>
                <c:pt idx="566">
                  <c:v>0.95386843909835</c:v>
                </c:pt>
                <c:pt idx="567">
                  <c:v>0.954074474844765</c:v>
                </c:pt>
                <c:pt idx="568">
                  <c:v>0.954279462063209</c:v>
                </c:pt>
                <c:pt idx="569">
                  <c:v>0.954483400753682</c:v>
                </c:pt>
                <c:pt idx="570">
                  <c:v>0.954687339444154</c:v>
                </c:pt>
                <c:pt idx="571">
                  <c:v>0.954890753870641</c:v>
                </c:pt>
                <c:pt idx="572">
                  <c:v>0.955094168297128</c:v>
                </c:pt>
                <c:pt idx="573">
                  <c:v>0.955296534195643</c:v>
                </c:pt>
                <c:pt idx="574">
                  <c:v>0.955497851566186</c:v>
                </c:pt>
                <c:pt idx="575">
                  <c:v>0.955698644672744</c:v>
                </c:pt>
                <c:pt idx="576">
                  <c:v>0.955899437779302</c:v>
                </c:pt>
                <c:pt idx="577">
                  <c:v>0.956099182357888</c:v>
                </c:pt>
                <c:pt idx="578">
                  <c:v>0.956297878408502</c:v>
                </c:pt>
                <c:pt idx="579">
                  <c:v>0.956496574459117</c:v>
                </c:pt>
                <c:pt idx="580">
                  <c:v>0.956692124925817</c:v>
                </c:pt>
                <c:pt idx="581">
                  <c:v>0.956887151128531</c:v>
                </c:pt>
                <c:pt idx="582">
                  <c:v>0.957081653067259</c:v>
                </c:pt>
                <c:pt idx="583">
                  <c:v>0.957275106478016</c:v>
                </c:pt>
                <c:pt idx="584">
                  <c:v>0.957464890040872</c:v>
                </c:pt>
                <c:pt idx="585">
                  <c:v>0.957653625075756</c:v>
                </c:pt>
                <c:pt idx="586">
                  <c:v>0.957842360110641</c:v>
                </c:pt>
                <c:pt idx="587">
                  <c:v>0.958030570881539</c:v>
                </c:pt>
                <c:pt idx="588">
                  <c:v>0.958218257388452</c:v>
                </c:pt>
                <c:pt idx="589">
                  <c:v>0.958405943895365</c:v>
                </c:pt>
                <c:pt idx="590">
                  <c:v>0.958590484818364</c:v>
                </c:pt>
                <c:pt idx="591">
                  <c:v>0.958774501477376</c:v>
                </c:pt>
                <c:pt idx="592">
                  <c:v>0.958959042400374</c:v>
                </c:pt>
                <c:pt idx="593">
                  <c:v>0.959142010531415</c:v>
                </c:pt>
                <c:pt idx="594">
                  <c:v>0.95932445439847</c:v>
                </c:pt>
                <c:pt idx="595">
                  <c:v>0.959505325473568</c:v>
                </c:pt>
                <c:pt idx="596">
                  <c:v>0.959685148020694</c:v>
                </c:pt>
                <c:pt idx="597">
                  <c:v>0.959863922039848</c:v>
                </c:pt>
                <c:pt idx="598">
                  <c:v>0.960042696059003</c:v>
                </c:pt>
                <c:pt idx="599">
                  <c:v>0.960220945814172</c:v>
                </c:pt>
                <c:pt idx="600">
                  <c:v>0.960399719833326</c:v>
                </c:pt>
                <c:pt idx="601">
                  <c:v>0.960577445324509</c:v>
                </c:pt>
                <c:pt idx="602">
                  <c:v>0.960754646551706</c:v>
                </c:pt>
                <c:pt idx="603">
                  <c:v>0.960931323514917</c:v>
                </c:pt>
                <c:pt idx="604">
                  <c:v>0.961106951950157</c:v>
                </c:pt>
                <c:pt idx="605">
                  <c:v>0.961282056121411</c:v>
                </c:pt>
                <c:pt idx="606">
                  <c:v>0.961455587500708</c:v>
                </c:pt>
                <c:pt idx="607">
                  <c:v>0.961627546088047</c:v>
                </c:pt>
                <c:pt idx="608">
                  <c:v>0.961799504675386</c:v>
                </c:pt>
                <c:pt idx="609">
                  <c:v>0.96197093899874</c:v>
                </c:pt>
                <c:pt idx="610">
                  <c:v>0.962141849058107</c:v>
                </c:pt>
                <c:pt idx="611">
                  <c:v>0.962310662061532</c:v>
                </c:pt>
                <c:pt idx="612">
                  <c:v>0.962478426536985</c:v>
                </c:pt>
                <c:pt idx="613">
                  <c:v>0.962646191012438</c:v>
                </c:pt>
                <c:pt idx="614">
                  <c:v>0.962813431223905</c:v>
                </c:pt>
                <c:pt idx="615">
                  <c:v>0.962980671435372</c:v>
                </c:pt>
                <c:pt idx="616">
                  <c:v>0.963147911646839</c:v>
                </c:pt>
                <c:pt idx="617">
                  <c:v>0.963314103330335</c:v>
                </c:pt>
                <c:pt idx="618">
                  <c:v>0.963480819277816</c:v>
                </c:pt>
                <c:pt idx="619">
                  <c:v>0.963645438169354</c:v>
                </c:pt>
                <c:pt idx="620">
                  <c:v>0.963810057060892</c:v>
                </c:pt>
                <c:pt idx="621">
                  <c:v>0.963975200216416</c:v>
                </c:pt>
                <c:pt idx="622">
                  <c:v>0.964138246315997</c:v>
                </c:pt>
                <c:pt idx="623">
                  <c:v>0.964300768151592</c:v>
                </c:pt>
                <c:pt idx="624">
                  <c:v>0.964463814251173</c:v>
                </c:pt>
                <c:pt idx="625">
                  <c:v>0.964624239030825</c:v>
                </c:pt>
                <c:pt idx="626">
                  <c:v>0.964784139546491</c:v>
                </c:pt>
                <c:pt idx="627">
                  <c:v>0.964942991534185</c:v>
                </c:pt>
                <c:pt idx="628">
                  <c:v>0.96510184352188</c:v>
                </c:pt>
                <c:pt idx="629">
                  <c:v>0.965258598453631</c:v>
                </c:pt>
                <c:pt idx="630">
                  <c:v>0.965414829121396</c:v>
                </c:pt>
                <c:pt idx="631">
                  <c:v>0.965571059789162</c:v>
                </c:pt>
                <c:pt idx="632">
                  <c:v>0.965726766192942</c:v>
                </c:pt>
                <c:pt idx="633">
                  <c:v>0.965882996860707</c:v>
                </c:pt>
                <c:pt idx="634">
                  <c:v>0.966038703264487</c:v>
                </c:pt>
                <c:pt idx="635">
                  <c:v>0.966193885404281</c:v>
                </c:pt>
                <c:pt idx="636">
                  <c:v>0.966348543280089</c:v>
                </c:pt>
                <c:pt idx="637">
                  <c:v>0.966502152627926</c:v>
                </c:pt>
                <c:pt idx="638">
                  <c:v>0.966654713447791</c:v>
                </c:pt>
                <c:pt idx="639">
                  <c:v>0.966806225739684</c:v>
                </c:pt>
                <c:pt idx="640">
                  <c:v>0.966957738031577</c:v>
                </c:pt>
                <c:pt idx="641">
                  <c:v>0.967108201795499</c:v>
                </c:pt>
                <c:pt idx="642">
                  <c:v>0.967256044239492</c:v>
                </c:pt>
                <c:pt idx="643">
                  <c:v>0.967403886683485</c:v>
                </c:pt>
                <c:pt idx="644">
                  <c:v>0.967551729127478</c:v>
                </c:pt>
                <c:pt idx="645">
                  <c:v>0.967699047307485</c:v>
                </c:pt>
                <c:pt idx="646">
                  <c:v>0.967845841223506</c:v>
                </c:pt>
                <c:pt idx="647">
                  <c:v>0.967992110875542</c:v>
                </c:pt>
                <c:pt idx="648">
                  <c:v>0.968137331999606</c:v>
                </c:pt>
                <c:pt idx="649">
                  <c:v>0.968280980331712</c:v>
                </c:pt>
                <c:pt idx="650">
                  <c:v>0.968425152927805</c:v>
                </c:pt>
                <c:pt idx="651">
                  <c:v>0.96856775273194</c:v>
                </c:pt>
                <c:pt idx="652">
                  <c:v>0.968709304008103</c:v>
                </c:pt>
                <c:pt idx="653">
                  <c:v>0.968851379548252</c:v>
                </c:pt>
                <c:pt idx="654">
                  <c:v>0.968992930824416</c:v>
                </c:pt>
                <c:pt idx="655">
                  <c:v>0.969133957836593</c:v>
                </c:pt>
                <c:pt idx="656">
                  <c:v>0.969274984848771</c:v>
                </c:pt>
                <c:pt idx="657">
                  <c:v>0.969416011860948</c:v>
                </c:pt>
                <c:pt idx="658">
                  <c:v>0.96955651460914</c:v>
                </c:pt>
                <c:pt idx="659">
                  <c:v>0.96969596882936</c:v>
                </c:pt>
                <c:pt idx="660">
                  <c:v>0.969835423049581</c:v>
                </c:pt>
                <c:pt idx="661">
                  <c:v>0.969973304477844</c:v>
                </c:pt>
                <c:pt idx="662">
                  <c:v>0.970110661642121</c:v>
                </c:pt>
                <c:pt idx="663">
                  <c:v>0.970248018806398</c:v>
                </c:pt>
                <c:pt idx="664">
                  <c:v>0.970385375970675</c:v>
                </c:pt>
                <c:pt idx="665">
                  <c:v>0.970522208870966</c:v>
                </c:pt>
                <c:pt idx="666">
                  <c:v>0.970658517507272</c:v>
                </c:pt>
                <c:pt idx="667">
                  <c:v>0.97079325335162</c:v>
                </c:pt>
                <c:pt idx="668">
                  <c:v>0.970927464931982</c:v>
                </c:pt>
                <c:pt idx="669">
                  <c:v>0.971061152248359</c:v>
                </c:pt>
                <c:pt idx="670">
                  <c:v>0.971194315300749</c:v>
                </c:pt>
                <c:pt idx="671">
                  <c:v>0.971328002617126</c:v>
                </c:pt>
                <c:pt idx="672">
                  <c:v>0.971460641405531</c:v>
                </c:pt>
                <c:pt idx="673">
                  <c:v>0.971593280193936</c:v>
                </c:pt>
                <c:pt idx="674">
                  <c:v>0.971725918982341</c:v>
                </c:pt>
                <c:pt idx="675">
                  <c:v>0.971857509242774</c:v>
                </c:pt>
                <c:pt idx="676">
                  <c:v>0.971988575239222</c:v>
                </c:pt>
                <c:pt idx="677">
                  <c:v>0.972120165499655</c:v>
                </c:pt>
                <c:pt idx="678">
                  <c:v>0.972250707232117</c:v>
                </c:pt>
                <c:pt idx="679">
                  <c:v>0.972381248964579</c:v>
                </c:pt>
                <c:pt idx="680">
                  <c:v>0.972509169377112</c:v>
                </c:pt>
                <c:pt idx="681">
                  <c:v>0.972637089789644</c:v>
                </c:pt>
                <c:pt idx="682">
                  <c:v>0.972765010202177</c:v>
                </c:pt>
                <c:pt idx="683">
                  <c:v>0.972892406350724</c:v>
                </c:pt>
                <c:pt idx="684">
                  <c:v>0.9730187539713</c:v>
                </c:pt>
                <c:pt idx="685">
                  <c:v>0.973144053063904</c:v>
                </c:pt>
                <c:pt idx="686">
                  <c:v>0.973268303628536</c:v>
                </c:pt>
                <c:pt idx="687">
                  <c:v>0.973391505665197</c:v>
                </c:pt>
                <c:pt idx="688">
                  <c:v>0.973514707701857</c:v>
                </c:pt>
                <c:pt idx="689">
                  <c:v>0.973637385474532</c:v>
                </c:pt>
                <c:pt idx="690">
                  <c:v>0.973760063247207</c:v>
                </c:pt>
                <c:pt idx="691">
                  <c:v>0.973882741019882</c:v>
                </c:pt>
                <c:pt idx="692">
                  <c:v>0.974005418792557</c:v>
                </c:pt>
                <c:pt idx="693">
                  <c:v>0.974127572301246</c:v>
                </c:pt>
                <c:pt idx="694">
                  <c:v>0.974250250073921</c:v>
                </c:pt>
                <c:pt idx="695">
                  <c:v>0.974372927846596</c:v>
                </c:pt>
                <c:pt idx="696">
                  <c:v>0.974494032827314</c:v>
                </c:pt>
                <c:pt idx="697">
                  <c:v>0.974615137808031</c:v>
                </c:pt>
                <c:pt idx="698">
                  <c:v>0.974735718524763</c:v>
                </c:pt>
                <c:pt idx="699">
                  <c:v>0.974854726449538</c:v>
                </c:pt>
                <c:pt idx="700">
                  <c:v>0.974973734374312</c:v>
                </c:pt>
                <c:pt idx="701">
                  <c:v>0.975092742299086</c:v>
                </c:pt>
                <c:pt idx="702">
                  <c:v>0.975210701695889</c:v>
                </c:pt>
                <c:pt idx="703">
                  <c:v>0.975328661092692</c:v>
                </c:pt>
                <c:pt idx="704">
                  <c:v>0.975446620489495</c:v>
                </c:pt>
                <c:pt idx="705">
                  <c:v>0.975563531358326</c:v>
                </c:pt>
                <c:pt idx="706">
                  <c:v>0.975680966491143</c:v>
                </c:pt>
                <c:pt idx="707">
                  <c:v>0.97579840162396</c:v>
                </c:pt>
                <c:pt idx="708">
                  <c:v>0.975915836756777</c:v>
                </c:pt>
                <c:pt idx="709">
                  <c:v>0.976032747625608</c:v>
                </c:pt>
                <c:pt idx="710">
                  <c:v>0.976148609966468</c:v>
                </c:pt>
                <c:pt idx="711">
                  <c:v>0.976264472307328</c:v>
                </c:pt>
                <c:pt idx="712">
                  <c:v>0.976379810384202</c:v>
                </c:pt>
                <c:pt idx="713">
                  <c:v>0.97649462419709</c:v>
                </c:pt>
                <c:pt idx="714">
                  <c:v>0.97660786521802</c:v>
                </c:pt>
                <c:pt idx="715">
                  <c:v>0.976721106238951</c:v>
                </c:pt>
                <c:pt idx="716">
                  <c:v>0.976833822995896</c:v>
                </c:pt>
                <c:pt idx="717">
                  <c:v>0.976946539752841</c:v>
                </c:pt>
                <c:pt idx="718">
                  <c:v>0.9770587322458</c:v>
                </c:pt>
                <c:pt idx="719">
                  <c:v>0.977170924738759</c:v>
                </c:pt>
                <c:pt idx="720">
                  <c:v>0.977282592967733</c:v>
                </c:pt>
                <c:pt idx="721">
                  <c:v>0.977391639876777</c:v>
                </c:pt>
                <c:pt idx="722">
                  <c:v>0.977500686785821</c:v>
                </c:pt>
                <c:pt idx="723">
                  <c:v>0.977609733694866</c:v>
                </c:pt>
                <c:pt idx="724">
                  <c:v>0.977718256339924</c:v>
                </c:pt>
                <c:pt idx="725">
                  <c:v>0.977826254720997</c:v>
                </c:pt>
                <c:pt idx="726">
                  <c:v>0.977933728838084</c:v>
                </c:pt>
                <c:pt idx="727">
                  <c:v>0.978041202955171</c:v>
                </c:pt>
                <c:pt idx="728">
                  <c:v>0.978148152808272</c:v>
                </c:pt>
                <c:pt idx="729">
                  <c:v>0.978254578397388</c:v>
                </c:pt>
                <c:pt idx="730">
                  <c:v>0.978361003986503</c:v>
                </c:pt>
                <c:pt idx="731">
                  <c:v>0.978466905311633</c:v>
                </c:pt>
                <c:pt idx="732">
                  <c:v>0.978571233844805</c:v>
                </c:pt>
                <c:pt idx="733">
                  <c:v>0.978676086641963</c:v>
                </c:pt>
                <c:pt idx="734">
                  <c:v>0.978780415175136</c:v>
                </c:pt>
                <c:pt idx="735">
                  <c:v>0.978884219444322</c:v>
                </c:pt>
                <c:pt idx="736">
                  <c:v>0.978986450921551</c:v>
                </c:pt>
                <c:pt idx="737">
                  <c:v>0.97908868239878</c:v>
                </c:pt>
                <c:pt idx="738">
                  <c:v>0.979190913876009</c:v>
                </c:pt>
                <c:pt idx="739">
                  <c:v>0.979292096825267</c:v>
                </c:pt>
                <c:pt idx="740">
                  <c:v>0.97939380403851</c:v>
                </c:pt>
                <c:pt idx="741">
                  <c:v>0.979494986987768</c:v>
                </c:pt>
                <c:pt idx="742">
                  <c:v>0.97959564567304</c:v>
                </c:pt>
                <c:pt idx="743">
                  <c:v>0.979696304358311</c:v>
                </c:pt>
                <c:pt idx="744">
                  <c:v>0.979796438779597</c:v>
                </c:pt>
                <c:pt idx="745">
                  <c:v>0.979897097464869</c:v>
                </c:pt>
                <c:pt idx="746">
                  <c:v>0.979996707622169</c:v>
                </c:pt>
                <c:pt idx="747">
                  <c:v>0.980096317779469</c:v>
                </c:pt>
                <c:pt idx="748">
                  <c:v>0.980195403672784</c:v>
                </c:pt>
                <c:pt idx="749">
                  <c:v>0.980294489566098</c:v>
                </c:pt>
                <c:pt idx="750">
                  <c:v>0.980393051195427</c:v>
                </c:pt>
                <c:pt idx="751">
                  <c:v>0.980491612824755</c:v>
                </c:pt>
                <c:pt idx="752">
                  <c:v>0.980589650190098</c:v>
                </c:pt>
                <c:pt idx="753">
                  <c:v>0.980686639027469</c:v>
                </c:pt>
                <c:pt idx="754">
                  <c:v>0.980783627864841</c:v>
                </c:pt>
                <c:pt idx="755">
                  <c:v>0.980880616702212</c:v>
                </c:pt>
                <c:pt idx="756">
                  <c:v>0.980976557011611</c:v>
                </c:pt>
                <c:pt idx="757">
                  <c:v>0.981072497321011</c:v>
                </c:pt>
                <c:pt idx="758">
                  <c:v>0.981167389102439</c:v>
                </c:pt>
                <c:pt idx="759">
                  <c:v>0.981262280883867</c:v>
                </c:pt>
                <c:pt idx="760">
                  <c:v>0.981356648401309</c:v>
                </c:pt>
                <c:pt idx="761">
                  <c:v>0.981450491654766</c:v>
                </c:pt>
                <c:pt idx="762">
                  <c:v>0.981543286380251</c:v>
                </c:pt>
                <c:pt idx="763">
                  <c:v>0.981636081105736</c:v>
                </c:pt>
                <c:pt idx="764">
                  <c:v>0.981728351567235</c:v>
                </c:pt>
                <c:pt idx="765">
                  <c:v>0.981820097764748</c:v>
                </c:pt>
                <c:pt idx="766">
                  <c:v>0.981912368226247</c:v>
                </c:pt>
                <c:pt idx="767">
                  <c:v>0.982003590159775</c:v>
                </c:pt>
                <c:pt idx="768">
                  <c:v>0.982094812093302</c:v>
                </c:pt>
                <c:pt idx="769">
                  <c:v>0.98218603402683</c:v>
                </c:pt>
                <c:pt idx="770">
                  <c:v>0.982276731696371</c:v>
                </c:pt>
                <c:pt idx="771">
                  <c:v>0.982367429365913</c:v>
                </c:pt>
                <c:pt idx="772">
                  <c:v>0.982458127035455</c:v>
                </c:pt>
                <c:pt idx="773">
                  <c:v>0.982548300441011</c:v>
                </c:pt>
                <c:pt idx="774">
                  <c:v>0.982637949582581</c:v>
                </c:pt>
                <c:pt idx="775">
                  <c:v>0.982728122988137</c:v>
                </c:pt>
                <c:pt idx="776">
                  <c:v>0.982817772129707</c:v>
                </c:pt>
                <c:pt idx="777">
                  <c:v>0.982906897007292</c:v>
                </c:pt>
                <c:pt idx="778">
                  <c:v>0.982996546148862</c:v>
                </c:pt>
                <c:pt idx="779">
                  <c:v>0.983084622498474</c:v>
                </c:pt>
                <c:pt idx="780">
                  <c:v>0.983173223112073</c:v>
                </c:pt>
                <c:pt idx="781">
                  <c:v>0.9832607751977</c:v>
                </c:pt>
                <c:pt idx="782">
                  <c:v>0.983348327283327</c:v>
                </c:pt>
                <c:pt idx="783">
                  <c:v>0.983435879368954</c:v>
                </c:pt>
                <c:pt idx="784">
                  <c:v>0.983522907190595</c:v>
                </c:pt>
                <c:pt idx="785">
                  <c:v>0.983609935012236</c:v>
                </c:pt>
                <c:pt idx="786">
                  <c:v>0.983696438569892</c:v>
                </c:pt>
                <c:pt idx="787">
                  <c:v>0.983782942127547</c:v>
                </c:pt>
                <c:pt idx="788">
                  <c:v>0.983869445685203</c:v>
                </c:pt>
                <c:pt idx="789">
                  <c:v>0.983955949242858</c:v>
                </c:pt>
                <c:pt idx="790">
                  <c:v>0.984042452800513</c:v>
                </c:pt>
                <c:pt idx="791">
                  <c:v>0.984128432094183</c:v>
                </c:pt>
                <c:pt idx="792">
                  <c:v>0.984213887123867</c:v>
                </c:pt>
                <c:pt idx="793">
                  <c:v>0.984298817889565</c:v>
                </c:pt>
                <c:pt idx="794">
                  <c:v>0.984384272919249</c:v>
                </c:pt>
                <c:pt idx="795">
                  <c:v>0.984469203684947</c:v>
                </c:pt>
                <c:pt idx="796">
                  <c:v>0.984554134450645</c:v>
                </c:pt>
                <c:pt idx="797">
                  <c:v>0.984638016688371</c:v>
                </c:pt>
                <c:pt idx="798">
                  <c:v>0.984722423190083</c:v>
                </c:pt>
                <c:pt idx="799">
                  <c:v>0.98480630542781</c:v>
                </c:pt>
                <c:pt idx="800">
                  <c:v>0.984889663401551</c:v>
                </c:pt>
                <c:pt idx="801">
                  <c:v>0.984973545639277</c:v>
                </c:pt>
                <c:pt idx="802">
                  <c:v>0.985056903613018</c:v>
                </c:pt>
                <c:pt idx="803">
                  <c:v>0.985139737322773</c:v>
                </c:pt>
                <c:pt idx="804">
                  <c:v>0.985222571032527</c:v>
                </c:pt>
                <c:pt idx="805">
                  <c:v>0.985305929006268</c:v>
                </c:pt>
                <c:pt idx="806">
                  <c:v>0.985388762716023</c:v>
                </c:pt>
                <c:pt idx="807">
                  <c:v>0.985471072161792</c:v>
                </c:pt>
                <c:pt idx="808">
                  <c:v>0.985553381607561</c:v>
                </c:pt>
                <c:pt idx="809">
                  <c:v>0.985635166789344</c:v>
                </c:pt>
                <c:pt idx="810">
                  <c:v>0.985716427707142</c:v>
                </c:pt>
                <c:pt idx="811">
                  <c:v>0.985797164360954</c:v>
                </c:pt>
                <c:pt idx="812">
                  <c:v>0.985877901014765</c:v>
                </c:pt>
                <c:pt idx="813">
                  <c:v>0.985958113404591</c:v>
                </c:pt>
                <c:pt idx="814">
                  <c:v>0.986037801530431</c:v>
                </c:pt>
                <c:pt idx="815">
                  <c:v>0.986116965392286</c:v>
                </c:pt>
                <c:pt idx="816">
                  <c:v>0.986195080726169</c:v>
                </c:pt>
                <c:pt idx="817">
                  <c:v>0.986273196060051</c:v>
                </c:pt>
                <c:pt idx="818">
                  <c:v>0.986351311393934</c:v>
                </c:pt>
                <c:pt idx="819">
                  <c:v>0.986428378199845</c:v>
                </c:pt>
                <c:pt idx="820">
                  <c:v>0.986505445005756</c:v>
                </c:pt>
                <c:pt idx="821">
                  <c:v>0.986581463283696</c:v>
                </c:pt>
                <c:pt idx="822">
                  <c:v>0.986658005825621</c:v>
                </c:pt>
                <c:pt idx="823">
                  <c:v>0.986734024103561</c:v>
                </c:pt>
                <c:pt idx="824">
                  <c:v>0.986810042381501</c:v>
                </c:pt>
                <c:pt idx="825">
                  <c:v>0.98688606065944</c:v>
                </c:pt>
                <c:pt idx="826">
                  <c:v>0.98696207893738</c:v>
                </c:pt>
                <c:pt idx="827">
                  <c:v>0.987037572951334</c:v>
                </c:pt>
                <c:pt idx="828">
                  <c:v>0.987112018437316</c:v>
                </c:pt>
                <c:pt idx="829">
                  <c:v>0.987185939659312</c:v>
                </c:pt>
                <c:pt idx="830">
                  <c:v>0.987259336617323</c:v>
                </c:pt>
                <c:pt idx="831">
                  <c:v>0.987332209311348</c:v>
                </c:pt>
                <c:pt idx="832">
                  <c:v>0.987404557741387</c:v>
                </c:pt>
                <c:pt idx="833">
                  <c:v>0.987476906171426</c:v>
                </c:pt>
                <c:pt idx="834">
                  <c:v>0.987549254601465</c:v>
                </c:pt>
                <c:pt idx="835">
                  <c:v>0.98762212729549</c:v>
                </c:pt>
                <c:pt idx="836">
                  <c:v>0.987694475725529</c:v>
                </c:pt>
                <c:pt idx="837">
                  <c:v>0.987766824155568</c:v>
                </c:pt>
                <c:pt idx="838">
                  <c:v>0.987839172585607</c:v>
                </c:pt>
                <c:pt idx="839">
                  <c:v>0.987911521015646</c:v>
                </c:pt>
                <c:pt idx="840">
                  <c:v>0.987982820917714</c:v>
                </c:pt>
                <c:pt idx="841">
                  <c:v>0.988054120819781</c:v>
                </c:pt>
                <c:pt idx="842">
                  <c:v>0.988125420721849</c:v>
                </c:pt>
                <c:pt idx="843">
                  <c:v>0.988195672095944</c:v>
                </c:pt>
                <c:pt idx="844">
                  <c:v>0.988265399206055</c:v>
                </c:pt>
                <c:pt idx="845">
                  <c:v>0.98833565058015</c:v>
                </c:pt>
                <c:pt idx="846">
                  <c:v>0.988405377690261</c:v>
                </c:pt>
                <c:pt idx="847">
                  <c:v>0.988474580536385</c:v>
                </c:pt>
                <c:pt idx="848">
                  <c:v>0.988544307646495</c:v>
                </c:pt>
                <c:pt idx="849">
                  <c:v>0.988614034756605</c:v>
                </c:pt>
                <c:pt idx="850">
                  <c:v>0.988682713338744</c:v>
                </c:pt>
                <c:pt idx="851">
                  <c:v>0.988751391920882</c:v>
                </c:pt>
                <c:pt idx="852">
                  <c:v>0.988820070503021</c:v>
                </c:pt>
                <c:pt idx="853">
                  <c:v>0.988887700557188</c:v>
                </c:pt>
                <c:pt idx="854">
                  <c:v>0.988955854875341</c:v>
                </c:pt>
                <c:pt idx="855">
                  <c:v>0.989023484929507</c:v>
                </c:pt>
                <c:pt idx="856">
                  <c:v>0.989091114983674</c:v>
                </c:pt>
                <c:pt idx="857">
                  <c:v>0.989159269301827</c:v>
                </c:pt>
                <c:pt idx="858">
                  <c:v>0.989226899355994</c:v>
                </c:pt>
                <c:pt idx="859">
                  <c:v>0.989294529410161</c:v>
                </c:pt>
                <c:pt idx="860">
                  <c:v>0.989361635200342</c:v>
                </c:pt>
                <c:pt idx="861">
                  <c:v>0.989428740990523</c:v>
                </c:pt>
                <c:pt idx="862">
                  <c:v>0.989495846780705</c:v>
                </c:pt>
                <c:pt idx="863">
                  <c:v>0.9895624283069</c:v>
                </c:pt>
                <c:pt idx="864">
                  <c:v>0.989629009833095</c:v>
                </c:pt>
                <c:pt idx="865">
                  <c:v>0.989696115623277</c:v>
                </c:pt>
                <c:pt idx="866">
                  <c:v>0.989763221413458</c:v>
                </c:pt>
                <c:pt idx="867">
                  <c:v>0.989829802939653</c:v>
                </c:pt>
                <c:pt idx="868">
                  <c:v>0.989895860201863</c:v>
                </c:pt>
                <c:pt idx="869">
                  <c:v>0.989961917464072</c:v>
                </c:pt>
                <c:pt idx="870">
                  <c:v>0.99002692619831</c:v>
                </c:pt>
                <c:pt idx="871">
                  <c:v>0.990091934932548</c:v>
                </c:pt>
                <c:pt idx="872">
                  <c:v>0.990156943666786</c:v>
                </c:pt>
                <c:pt idx="873">
                  <c:v>0.990221952401024</c:v>
                </c:pt>
                <c:pt idx="874">
                  <c:v>0.990286961135262</c:v>
                </c:pt>
                <c:pt idx="875">
                  <c:v>0.990351445605514</c:v>
                </c:pt>
                <c:pt idx="876">
                  <c:v>0.990415405811781</c:v>
                </c:pt>
                <c:pt idx="877">
                  <c:v>0.990478841754061</c:v>
                </c:pt>
                <c:pt idx="878">
                  <c:v>0.990542277696342</c:v>
                </c:pt>
                <c:pt idx="879">
                  <c:v>0.990605189374637</c:v>
                </c:pt>
                <c:pt idx="880">
                  <c:v>0.990668101052932</c:v>
                </c:pt>
                <c:pt idx="881">
                  <c:v>0.990731536995212</c:v>
                </c:pt>
                <c:pt idx="882">
                  <c:v>0.990794448673507</c:v>
                </c:pt>
                <c:pt idx="883">
                  <c:v>0.990857360351802</c:v>
                </c:pt>
                <c:pt idx="884">
                  <c:v>0.990919223502125</c:v>
                </c:pt>
                <c:pt idx="885">
                  <c:v>0.990980562388463</c:v>
                </c:pt>
                <c:pt idx="886">
                  <c:v>0.991041377010815</c:v>
                </c:pt>
                <c:pt idx="887">
                  <c:v>0.991102715897152</c:v>
                </c:pt>
                <c:pt idx="888">
                  <c:v>0.991163530519504</c:v>
                </c:pt>
                <c:pt idx="889">
                  <c:v>0.991224345141855</c:v>
                </c:pt>
                <c:pt idx="890">
                  <c:v>0.991285159764207</c:v>
                </c:pt>
                <c:pt idx="891">
                  <c:v>0.991345974386559</c:v>
                </c:pt>
                <c:pt idx="892">
                  <c:v>0.991406264744925</c:v>
                </c:pt>
                <c:pt idx="893">
                  <c:v>0.991466555103291</c:v>
                </c:pt>
                <c:pt idx="894">
                  <c:v>0.991526845461656</c:v>
                </c:pt>
                <c:pt idx="895">
                  <c:v>0.991586611556036</c:v>
                </c:pt>
                <c:pt idx="896">
                  <c:v>0.991646377650417</c:v>
                </c:pt>
                <c:pt idx="897">
                  <c:v>0.991705619480811</c:v>
                </c:pt>
                <c:pt idx="898">
                  <c:v>0.991764861311205</c:v>
                </c:pt>
                <c:pt idx="899">
                  <c:v>0.991823578877614</c:v>
                </c:pt>
                <c:pt idx="900">
                  <c:v>0.991881772180036</c:v>
                </c:pt>
                <c:pt idx="901">
                  <c:v>0.991939441218473</c:v>
                </c:pt>
                <c:pt idx="902">
                  <c:v>0.991998158784882</c:v>
                </c:pt>
                <c:pt idx="903">
                  <c:v>0.992056352087305</c:v>
                </c:pt>
                <c:pt idx="904">
                  <c:v>0.992114021125742</c:v>
                </c:pt>
                <c:pt idx="905">
                  <c:v>0.992171690164178</c:v>
                </c:pt>
                <c:pt idx="906">
                  <c:v>0.992229883466601</c:v>
                </c:pt>
                <c:pt idx="907">
                  <c:v>0.992287552505038</c:v>
                </c:pt>
                <c:pt idx="908">
                  <c:v>0.992344697279489</c:v>
                </c:pt>
                <c:pt idx="909">
                  <c:v>0.992401317789955</c:v>
                </c:pt>
                <c:pt idx="910">
                  <c:v>0.992458462564406</c:v>
                </c:pt>
                <c:pt idx="911">
                  <c:v>0.992515083074871</c:v>
                </c:pt>
                <c:pt idx="912">
                  <c:v>0.992571179321351</c:v>
                </c:pt>
                <c:pt idx="913">
                  <c:v>0.992626751303844</c:v>
                </c:pt>
                <c:pt idx="914">
                  <c:v>0.992682323286338</c:v>
                </c:pt>
                <c:pt idx="915">
                  <c:v>0.992737895268832</c:v>
                </c:pt>
                <c:pt idx="916">
                  <c:v>0.992791894459368</c:v>
                </c:pt>
                <c:pt idx="917">
                  <c:v>0.992845893649905</c:v>
                </c:pt>
                <c:pt idx="918">
                  <c:v>0.992899892840441</c:v>
                </c:pt>
                <c:pt idx="919">
                  <c:v>0.992953367766992</c:v>
                </c:pt>
                <c:pt idx="920">
                  <c:v>0.993006842693543</c:v>
                </c:pt>
                <c:pt idx="921">
                  <c:v>0.993060317620093</c:v>
                </c:pt>
                <c:pt idx="922">
                  <c:v>0.993112744018672</c:v>
                </c:pt>
                <c:pt idx="923">
                  <c:v>0.993165170417251</c:v>
                </c:pt>
                <c:pt idx="924">
                  <c:v>0.993218121079816</c:v>
                </c:pt>
                <c:pt idx="925">
                  <c:v>0.993270547478395</c:v>
                </c:pt>
                <c:pt idx="926">
                  <c:v>0.993322973876974</c:v>
                </c:pt>
                <c:pt idx="927">
                  <c:v>0.993374876011567</c:v>
                </c:pt>
                <c:pt idx="928">
                  <c:v>0.993427302410146</c:v>
                </c:pt>
                <c:pt idx="929">
                  <c:v>0.993478680280754</c:v>
                </c:pt>
                <c:pt idx="930">
                  <c:v>0.993530058151361</c:v>
                </c:pt>
                <c:pt idx="931">
                  <c:v>0.993581436021969</c:v>
                </c:pt>
                <c:pt idx="932">
                  <c:v>0.99363228962859</c:v>
                </c:pt>
                <c:pt idx="933">
                  <c:v>0.993683143235212</c:v>
                </c:pt>
                <c:pt idx="934">
                  <c:v>0.993733472577848</c:v>
                </c:pt>
                <c:pt idx="935">
                  <c:v>0.993783801920484</c:v>
                </c:pt>
                <c:pt idx="936">
                  <c:v>0.993834655527105</c:v>
                </c:pt>
                <c:pt idx="937">
                  <c:v>0.993884460605756</c:v>
                </c:pt>
                <c:pt idx="938">
                  <c:v>0.993934265684406</c:v>
                </c:pt>
                <c:pt idx="939">
                  <c:v>0.993984595027042</c:v>
                </c:pt>
                <c:pt idx="940">
                  <c:v>0.994034400105692</c:v>
                </c:pt>
                <c:pt idx="941">
                  <c:v>0.994084729448327</c:v>
                </c:pt>
                <c:pt idx="942">
                  <c:v>0.994134010262992</c:v>
                </c:pt>
                <c:pt idx="943">
                  <c:v>0.994183815341642</c:v>
                </c:pt>
                <c:pt idx="944">
                  <c:v>0.994233096156306</c:v>
                </c:pt>
                <c:pt idx="945">
                  <c:v>0.99428237697097</c:v>
                </c:pt>
                <c:pt idx="946">
                  <c:v>0.994331657785635</c:v>
                </c:pt>
                <c:pt idx="947">
                  <c:v>0.994380414336313</c:v>
                </c:pt>
                <c:pt idx="948">
                  <c:v>0.994429170886992</c:v>
                </c:pt>
                <c:pt idx="949">
                  <c:v>0.99447792743767</c:v>
                </c:pt>
                <c:pt idx="950">
                  <c:v>0.994526159724363</c:v>
                </c:pt>
                <c:pt idx="951">
                  <c:v>0.994574392011056</c:v>
                </c:pt>
                <c:pt idx="952">
                  <c:v>0.994622100033763</c:v>
                </c:pt>
                <c:pt idx="953">
                  <c:v>0.99466980805647</c:v>
                </c:pt>
                <c:pt idx="954">
                  <c:v>0.994717516079176</c:v>
                </c:pt>
                <c:pt idx="955">
                  <c:v>0.994764699837898</c:v>
                </c:pt>
                <c:pt idx="956">
                  <c:v>0.994812407860605</c:v>
                </c:pt>
                <c:pt idx="957">
                  <c:v>0.99485906735534</c:v>
                </c:pt>
                <c:pt idx="958">
                  <c:v>0.994906251114061</c:v>
                </c:pt>
                <c:pt idx="959">
                  <c:v>0.994953434872782</c:v>
                </c:pt>
                <c:pt idx="960">
                  <c:v>0.995000094367517</c:v>
                </c:pt>
                <c:pt idx="961">
                  <c:v>0.995046229598267</c:v>
                </c:pt>
                <c:pt idx="962">
                  <c:v>0.995092364829017</c:v>
                </c:pt>
                <c:pt idx="963">
                  <c:v>0.995138500059766</c:v>
                </c:pt>
                <c:pt idx="964">
                  <c:v>0.99518411102653</c:v>
                </c:pt>
                <c:pt idx="965">
                  <c:v>0.995229197729308</c:v>
                </c:pt>
                <c:pt idx="966">
                  <c:v>0.9952737601681</c:v>
                </c:pt>
                <c:pt idx="967">
                  <c:v>0.995318322606892</c:v>
                </c:pt>
                <c:pt idx="968">
                  <c:v>0.995362360781699</c:v>
                </c:pt>
                <c:pt idx="969">
                  <c:v>0.995406398956505</c:v>
                </c:pt>
                <c:pt idx="970">
                  <c:v>0.995450437131311</c:v>
                </c:pt>
                <c:pt idx="971">
                  <c:v>0.995494475306118</c:v>
                </c:pt>
                <c:pt idx="972">
                  <c:v>0.99553903774491</c:v>
                </c:pt>
                <c:pt idx="973">
                  <c:v>0.995583075919716</c:v>
                </c:pt>
                <c:pt idx="974">
                  <c:v>0.995627114094523</c:v>
                </c:pt>
                <c:pt idx="975">
                  <c:v>0.995670103741358</c:v>
                </c:pt>
                <c:pt idx="976">
                  <c:v>0.995713093388192</c:v>
                </c:pt>
                <c:pt idx="977">
                  <c:v>0.995756083035027</c:v>
                </c:pt>
                <c:pt idx="978">
                  <c:v>0.995799072681862</c:v>
                </c:pt>
                <c:pt idx="979">
                  <c:v>0.995841538064711</c:v>
                </c:pt>
                <c:pt idx="980">
                  <c:v>0.995867751264001</c:v>
                </c:pt>
                <c:pt idx="981">
                  <c:v>0.995893440199304</c:v>
                </c:pt>
                <c:pt idx="982">
                  <c:v>0.995919653398594</c:v>
                </c:pt>
                <c:pt idx="983">
                  <c:v>0.995945342333897</c:v>
                </c:pt>
                <c:pt idx="984">
                  <c:v>0.995970507005215</c:v>
                </c:pt>
                <c:pt idx="985">
                  <c:v>0.995995671676533</c:v>
                </c:pt>
                <c:pt idx="986">
                  <c:v>0.996020836347851</c:v>
                </c:pt>
                <c:pt idx="987">
                  <c:v>0.996046525283155</c:v>
                </c:pt>
                <c:pt idx="988">
                  <c:v>0.996071689954473</c:v>
                </c:pt>
                <c:pt idx="989">
                  <c:v>0.996096330361805</c:v>
                </c:pt>
                <c:pt idx="990">
                  <c:v>0.996120446505151</c:v>
                </c:pt>
                <c:pt idx="991">
                  <c:v>0.996145086912484</c:v>
                </c:pt>
                <c:pt idx="992">
                  <c:v>0.99616920305583</c:v>
                </c:pt>
                <c:pt idx="993">
                  <c:v>0.996193319199176</c:v>
                </c:pt>
                <c:pt idx="994">
                  <c:v>0.996216911078537</c:v>
                </c:pt>
                <c:pt idx="995">
                  <c:v>0.996241027221883</c:v>
                </c:pt>
                <c:pt idx="996">
                  <c:v>0.996264094837258</c:v>
                </c:pt>
                <c:pt idx="997">
                  <c:v>0.996287686716618</c:v>
                </c:pt>
                <c:pt idx="998">
                  <c:v>0.996310754331993</c:v>
                </c:pt>
                <c:pt idx="999">
                  <c:v>0.996333821947368</c:v>
                </c:pt>
                <c:pt idx="1000">
                  <c:v>0.996356365298757</c:v>
                </c:pt>
                <c:pt idx="1001">
                  <c:v>0.996379432914132</c:v>
                </c:pt>
                <c:pt idx="1002">
                  <c:v>0.996401976265521</c:v>
                </c:pt>
                <c:pt idx="1003">
                  <c:v>0.996423995352924</c:v>
                </c:pt>
                <c:pt idx="1004">
                  <c:v>0.996446014440327</c:v>
                </c:pt>
                <c:pt idx="1005">
                  <c:v>0.996468557791716</c:v>
                </c:pt>
                <c:pt idx="1006">
                  <c:v>0.996491101143105</c:v>
                </c:pt>
                <c:pt idx="1007">
                  <c:v>0.996513120230508</c:v>
                </c:pt>
                <c:pt idx="1008">
                  <c:v>0.996535139317912</c:v>
                </c:pt>
                <c:pt idx="1009">
                  <c:v>0.996556634141329</c:v>
                </c:pt>
                <c:pt idx="1010">
                  <c:v>0.996578653228732</c:v>
                </c:pt>
                <c:pt idx="1011">
                  <c:v>0.996600672316135</c:v>
                </c:pt>
                <c:pt idx="1012">
                  <c:v>0.996622691403539</c:v>
                </c:pt>
                <c:pt idx="1013">
                  <c:v>0.996644186226956</c:v>
                </c:pt>
                <c:pt idx="1014">
                  <c:v>0.996666205314359</c:v>
                </c:pt>
                <c:pt idx="1015">
                  <c:v>0.996687175873791</c:v>
                </c:pt>
                <c:pt idx="1016">
                  <c:v>0.996708146433222</c:v>
                </c:pt>
                <c:pt idx="1017">
                  <c:v>0.99672964125664</c:v>
                </c:pt>
                <c:pt idx="1018">
                  <c:v>0.996750611816071</c:v>
                </c:pt>
                <c:pt idx="1019">
                  <c:v>0.996771582375503</c:v>
                </c:pt>
                <c:pt idx="1020">
                  <c:v>0.99679307719892</c:v>
                </c:pt>
                <c:pt idx="1021">
                  <c:v>0.996814047758352</c:v>
                </c:pt>
                <c:pt idx="1022">
                  <c:v>0.996833969789812</c:v>
                </c:pt>
                <c:pt idx="1023">
                  <c:v>0.996854416085258</c:v>
                </c:pt>
                <c:pt idx="1024">
                  <c:v>0.996874862380704</c:v>
                </c:pt>
                <c:pt idx="1025">
                  <c:v>0.99689530867615</c:v>
                </c:pt>
                <c:pt idx="1026">
                  <c:v>0.996915754971595</c:v>
                </c:pt>
                <c:pt idx="1027">
                  <c:v>0.996935677003055</c:v>
                </c:pt>
                <c:pt idx="1028">
                  <c:v>0.996955599034515</c:v>
                </c:pt>
                <c:pt idx="1029">
                  <c:v>0.996975521065975</c:v>
                </c:pt>
                <c:pt idx="1030">
                  <c:v>0.99699491883345</c:v>
                </c:pt>
                <c:pt idx="1031">
                  <c:v>0.997014316600924</c:v>
                </c:pt>
                <c:pt idx="1032">
                  <c:v>0.997033714368398</c:v>
                </c:pt>
                <c:pt idx="1033">
                  <c:v>0.997053112135872</c:v>
                </c:pt>
                <c:pt idx="1034">
                  <c:v>0.997073034167333</c:v>
                </c:pt>
                <c:pt idx="1035">
                  <c:v>0.997092431934807</c:v>
                </c:pt>
                <c:pt idx="1036">
                  <c:v>0.997112353966267</c:v>
                </c:pt>
                <c:pt idx="1037">
                  <c:v>0.997131751733741</c:v>
                </c:pt>
                <c:pt idx="1038">
                  <c:v>0.997150625237229</c:v>
                </c:pt>
                <c:pt idx="1039">
                  <c:v>0.997170023004704</c:v>
                </c:pt>
                <c:pt idx="1040">
                  <c:v>0.997189420772178</c:v>
                </c:pt>
                <c:pt idx="1041">
                  <c:v>0.997208294275666</c:v>
                </c:pt>
                <c:pt idx="1042">
                  <c:v>0.997227692043141</c:v>
                </c:pt>
                <c:pt idx="1043">
                  <c:v>0.997246565546629</c:v>
                </c:pt>
                <c:pt idx="1044">
                  <c:v>0.997265439050118</c:v>
                </c:pt>
                <c:pt idx="1045">
                  <c:v>0.997284312553606</c:v>
                </c:pt>
                <c:pt idx="1046">
                  <c:v>0.997302661793109</c:v>
                </c:pt>
                <c:pt idx="1047">
                  <c:v>0.997321535296597</c:v>
                </c:pt>
                <c:pt idx="1048">
                  <c:v>0.9973398845361</c:v>
                </c:pt>
                <c:pt idx="1049">
                  <c:v>0.997358758039588</c:v>
                </c:pt>
                <c:pt idx="1050">
                  <c:v>0.997377631543077</c:v>
                </c:pt>
                <c:pt idx="1051">
                  <c:v>0.997395980782579</c:v>
                </c:pt>
                <c:pt idx="1052">
                  <c:v>0.997414330022082</c:v>
                </c:pt>
                <c:pt idx="1053">
                  <c:v>0.997432679261585</c:v>
                </c:pt>
                <c:pt idx="1054">
                  <c:v>0.997451552765073</c:v>
                </c:pt>
                <c:pt idx="1055">
                  <c:v>0.997469902004576</c:v>
                </c:pt>
                <c:pt idx="1056">
                  <c:v>0.997487726980093</c:v>
                </c:pt>
                <c:pt idx="1057">
                  <c:v>0.99750555195561</c:v>
                </c:pt>
                <c:pt idx="1058">
                  <c:v>0.997523376931126</c:v>
                </c:pt>
                <c:pt idx="1059">
                  <c:v>0.997541201906643</c:v>
                </c:pt>
                <c:pt idx="1060">
                  <c:v>0.997558502618174</c:v>
                </c:pt>
                <c:pt idx="1061">
                  <c:v>0.997575803329705</c:v>
                </c:pt>
                <c:pt idx="1062">
                  <c:v>0.997593104041236</c:v>
                </c:pt>
                <c:pt idx="1063">
                  <c:v>0.997610404752768</c:v>
                </c:pt>
                <c:pt idx="1064">
                  <c:v>0.997627181200313</c:v>
                </c:pt>
                <c:pt idx="1065">
                  <c:v>0.997643957647858</c:v>
                </c:pt>
                <c:pt idx="1066">
                  <c:v>0.997660734095403</c:v>
                </c:pt>
                <c:pt idx="1067">
                  <c:v>0.997677510542949</c:v>
                </c:pt>
                <c:pt idx="1068">
                  <c:v>0.99769481125448</c:v>
                </c:pt>
                <c:pt idx="1069">
                  <c:v>0.997711587702025</c:v>
                </c:pt>
                <c:pt idx="1070">
                  <c:v>0.99772836414957</c:v>
                </c:pt>
                <c:pt idx="1071">
                  <c:v>0.99774461633313</c:v>
                </c:pt>
                <c:pt idx="1072">
                  <c:v>0.997761392780675</c:v>
                </c:pt>
                <c:pt idx="1073">
                  <c:v>0.99777816922822</c:v>
                </c:pt>
                <c:pt idx="1074">
                  <c:v>0.997794945675766</c:v>
                </c:pt>
                <c:pt idx="1075">
                  <c:v>0.997811722123311</c:v>
                </c:pt>
                <c:pt idx="1076">
                  <c:v>0.997827974306871</c:v>
                </c:pt>
                <c:pt idx="1077">
                  <c:v>0.99784422649043</c:v>
                </c:pt>
                <c:pt idx="1078">
                  <c:v>0.99786047867399</c:v>
                </c:pt>
                <c:pt idx="1079">
                  <c:v>0.997877255121535</c:v>
                </c:pt>
                <c:pt idx="1080">
                  <c:v>0.997893507305094</c:v>
                </c:pt>
                <c:pt idx="1081">
                  <c:v>0.997909235224668</c:v>
                </c:pt>
                <c:pt idx="1082">
                  <c:v>0.997924963144242</c:v>
                </c:pt>
                <c:pt idx="1083">
                  <c:v>0.99794016679983</c:v>
                </c:pt>
                <c:pt idx="1084">
                  <c:v>0.997955894719403</c:v>
                </c:pt>
                <c:pt idx="1085">
                  <c:v>0.997971622638977</c:v>
                </c:pt>
                <c:pt idx="1086">
                  <c:v>0.997986826294565</c:v>
                </c:pt>
                <c:pt idx="1087">
                  <c:v>0.998002029950153</c:v>
                </c:pt>
                <c:pt idx="1088">
                  <c:v>0.998016709341755</c:v>
                </c:pt>
                <c:pt idx="1089">
                  <c:v>0.998031912997343</c:v>
                </c:pt>
                <c:pt idx="1090">
                  <c:v>0.998046592388945</c:v>
                </c:pt>
                <c:pt idx="1091">
                  <c:v>0.998061271780547</c:v>
                </c:pt>
                <c:pt idx="1092">
                  <c:v>0.998075951172149</c:v>
                </c:pt>
                <c:pt idx="1093">
                  <c:v>0.998090630563752</c:v>
                </c:pt>
                <c:pt idx="1094">
                  <c:v>0.99810583421934</c:v>
                </c:pt>
                <c:pt idx="1095">
                  <c:v>0.998120513610942</c:v>
                </c:pt>
                <c:pt idx="1096">
                  <c:v>0.998135193002544</c:v>
                </c:pt>
                <c:pt idx="1097">
                  <c:v>0.998150396658132</c:v>
                </c:pt>
                <c:pt idx="1098">
                  <c:v>0.998164551785748</c:v>
                </c:pt>
                <c:pt idx="1099">
                  <c:v>0.99817923117735</c:v>
                </c:pt>
                <c:pt idx="1100">
                  <c:v>0.998193386304966</c:v>
                </c:pt>
                <c:pt idx="1101">
                  <c:v>0.998207541432583</c:v>
                </c:pt>
                <c:pt idx="1102">
                  <c:v>0.998221696560199</c:v>
                </c:pt>
                <c:pt idx="1103">
                  <c:v>0.998235851687815</c:v>
                </c:pt>
                <c:pt idx="1104">
                  <c:v>0.998250006815432</c:v>
                </c:pt>
                <c:pt idx="1105">
                  <c:v>0.998263637679062</c:v>
                </c:pt>
                <c:pt idx="1106">
                  <c:v>0.998277268542693</c:v>
                </c:pt>
                <c:pt idx="1107">
                  <c:v>0.998291423670309</c:v>
                </c:pt>
                <c:pt idx="1108">
                  <c:v>0.99830505453394</c:v>
                </c:pt>
                <c:pt idx="1109">
                  <c:v>0.99831868539757</c:v>
                </c:pt>
                <c:pt idx="1110">
                  <c:v>0.998332840525187</c:v>
                </c:pt>
                <c:pt idx="1111">
                  <c:v>0.998345947124831</c:v>
                </c:pt>
                <c:pt idx="1112">
                  <c:v>0.998359577988462</c:v>
                </c:pt>
                <c:pt idx="1113">
                  <c:v>0.998373208852093</c:v>
                </c:pt>
                <c:pt idx="1114">
                  <c:v>0.998385791187752</c:v>
                </c:pt>
                <c:pt idx="1115">
                  <c:v>0.99839837352341</c:v>
                </c:pt>
                <c:pt idx="1116">
                  <c:v>0.998412004387041</c:v>
                </c:pt>
                <c:pt idx="1117">
                  <c:v>0.9984245867227</c:v>
                </c:pt>
                <c:pt idx="1118">
                  <c:v>0.998437169058359</c:v>
                </c:pt>
                <c:pt idx="1119">
                  <c:v>0.998449751394018</c:v>
                </c:pt>
                <c:pt idx="1120">
                  <c:v>0.998462333729677</c:v>
                </c:pt>
                <c:pt idx="1121">
                  <c:v>0.99847439180135</c:v>
                </c:pt>
                <c:pt idx="1122">
                  <c:v>0.998486974137009</c:v>
                </c:pt>
                <c:pt idx="1123">
                  <c:v>0.998499032208682</c:v>
                </c:pt>
                <c:pt idx="1124">
                  <c:v>0.998511090280355</c:v>
                </c:pt>
                <c:pt idx="1125">
                  <c:v>0.998523148352029</c:v>
                </c:pt>
                <c:pt idx="1126">
                  <c:v>0.998535206423702</c:v>
                </c:pt>
                <c:pt idx="1127">
                  <c:v>0.998546740231389</c:v>
                </c:pt>
                <c:pt idx="1128">
                  <c:v>0.998557749775091</c:v>
                </c:pt>
                <c:pt idx="1129">
                  <c:v>0.998569283582778</c:v>
                </c:pt>
                <c:pt idx="1130">
                  <c:v>0.998580817390466</c:v>
                </c:pt>
                <c:pt idx="1131">
                  <c:v>0.998591826934167</c:v>
                </c:pt>
                <c:pt idx="1132">
                  <c:v>0.998602836477869</c:v>
                </c:pt>
                <c:pt idx="1133">
                  <c:v>0.99861384602157</c:v>
                </c:pt>
                <c:pt idx="1134">
                  <c:v>0.998624855565272</c:v>
                </c:pt>
                <c:pt idx="1135">
                  <c:v>0.998635865108974</c:v>
                </c:pt>
                <c:pt idx="1136">
                  <c:v>0.998646874652675</c:v>
                </c:pt>
                <c:pt idx="1137">
                  <c:v>0.998657884196377</c:v>
                </c:pt>
                <c:pt idx="1138">
                  <c:v>0.998669418004064</c:v>
                </c:pt>
                <c:pt idx="1139">
                  <c:v>0.99867990328378</c:v>
                </c:pt>
                <c:pt idx="1140">
                  <c:v>0.998690388563496</c:v>
                </c:pt>
                <c:pt idx="1141">
                  <c:v>0.998701398107197</c:v>
                </c:pt>
                <c:pt idx="1142">
                  <c:v>0.998711883386913</c:v>
                </c:pt>
                <c:pt idx="1143">
                  <c:v>0.998722368666629</c:v>
                </c:pt>
                <c:pt idx="1144">
                  <c:v>0.998732853946345</c:v>
                </c:pt>
                <c:pt idx="1145">
                  <c:v>0.998743863490046</c:v>
                </c:pt>
                <c:pt idx="1146">
                  <c:v>0.998754348769762</c:v>
                </c:pt>
                <c:pt idx="1147">
                  <c:v>0.998764834049478</c:v>
                </c:pt>
                <c:pt idx="1148">
                  <c:v>0.998774795065208</c:v>
                </c:pt>
                <c:pt idx="1149">
                  <c:v>0.998785280344924</c:v>
                </c:pt>
                <c:pt idx="1150">
                  <c:v>0.998795241360654</c:v>
                </c:pt>
                <c:pt idx="1151">
                  <c:v>0.998805202376384</c:v>
                </c:pt>
                <c:pt idx="1152">
                  <c:v>0.998815163392114</c:v>
                </c:pt>
                <c:pt idx="1153">
                  <c:v>0.998824600143858</c:v>
                </c:pt>
                <c:pt idx="1154">
                  <c:v>0.998834561159588</c:v>
                </c:pt>
                <c:pt idx="1155">
                  <c:v>0.998843997911332</c:v>
                </c:pt>
                <c:pt idx="1156">
                  <c:v>0.998853434663077</c:v>
                </c:pt>
                <c:pt idx="1157">
                  <c:v>0.998863395678807</c:v>
                </c:pt>
                <c:pt idx="1158">
                  <c:v>0.998873356694537</c:v>
                </c:pt>
                <c:pt idx="1159">
                  <c:v>0.998882269182295</c:v>
                </c:pt>
                <c:pt idx="1160">
                  <c:v>0.998891705934039</c:v>
                </c:pt>
                <c:pt idx="1161">
                  <c:v>0.998901142685783</c:v>
                </c:pt>
                <c:pt idx="1162">
                  <c:v>0.998910579437528</c:v>
                </c:pt>
                <c:pt idx="1163">
                  <c:v>0.998920016189272</c:v>
                </c:pt>
                <c:pt idx="1164">
                  <c:v>0.998929452941016</c:v>
                </c:pt>
                <c:pt idx="1165">
                  <c:v>0.99893888969276</c:v>
                </c:pt>
                <c:pt idx="1166">
                  <c:v>0.998948326444505</c:v>
                </c:pt>
                <c:pt idx="1167">
                  <c:v>0.998957238932263</c:v>
                </c:pt>
                <c:pt idx="1168">
                  <c:v>0.998966151420021</c:v>
                </c:pt>
                <c:pt idx="1169">
                  <c:v>0.99897506390778</c:v>
                </c:pt>
                <c:pt idx="1170">
                  <c:v>0.998983976395538</c:v>
                </c:pt>
                <c:pt idx="1171">
                  <c:v>0.998992888883297</c:v>
                </c:pt>
                <c:pt idx="1172">
                  <c:v>0.999001801371055</c:v>
                </c:pt>
                <c:pt idx="1173">
                  <c:v>0.999010189594828</c:v>
                </c:pt>
                <c:pt idx="1174">
                  <c:v>0.9990185778186</c:v>
                </c:pt>
                <c:pt idx="1175">
                  <c:v>0.999027490306359</c:v>
                </c:pt>
                <c:pt idx="1176">
                  <c:v>0.999036402794117</c:v>
                </c:pt>
                <c:pt idx="1177">
                  <c:v>0.999045315281876</c:v>
                </c:pt>
                <c:pt idx="1178">
                  <c:v>0.999054227769634</c:v>
                </c:pt>
                <c:pt idx="1179">
                  <c:v>0.999062615993407</c:v>
                </c:pt>
                <c:pt idx="1180">
                  <c:v>0.99907100421718</c:v>
                </c:pt>
                <c:pt idx="1181">
                  <c:v>0.999079392440952</c:v>
                </c:pt>
                <c:pt idx="1182">
                  <c:v>0.999087780664725</c:v>
                </c:pt>
                <c:pt idx="1183">
                  <c:v>0.999096168888497</c:v>
                </c:pt>
                <c:pt idx="1184">
                  <c:v>0.99910455711227</c:v>
                </c:pt>
                <c:pt idx="1185">
                  <c:v>0.999112945336043</c:v>
                </c:pt>
                <c:pt idx="1186">
                  <c:v>0.999121333559815</c:v>
                </c:pt>
                <c:pt idx="1187">
                  <c:v>0.999129721783588</c:v>
                </c:pt>
                <c:pt idx="1188">
                  <c:v>0.999137585743375</c:v>
                </c:pt>
                <c:pt idx="1189">
                  <c:v>0.999145449703162</c:v>
                </c:pt>
                <c:pt idx="1190">
                  <c:v>0.999153837926934</c:v>
                </c:pt>
                <c:pt idx="1191">
                  <c:v>0.999161701886721</c:v>
                </c:pt>
                <c:pt idx="1192">
                  <c:v>0.999169565846508</c:v>
                </c:pt>
                <c:pt idx="1193">
                  <c:v>0.999177429806295</c:v>
                </c:pt>
                <c:pt idx="1194">
                  <c:v>0.999185293766082</c:v>
                </c:pt>
                <c:pt idx="1195">
                  <c:v>0.999193157725869</c:v>
                </c:pt>
                <c:pt idx="1196">
                  <c:v>0.999201021685655</c:v>
                </c:pt>
                <c:pt idx="1197">
                  <c:v>0.999208885645442</c:v>
                </c:pt>
                <c:pt idx="1198">
                  <c:v>0.999216225341243</c:v>
                </c:pt>
                <c:pt idx="1199">
                  <c:v>0.99922408930103</c:v>
                </c:pt>
                <c:pt idx="1200">
                  <c:v>0.999231953260817</c:v>
                </c:pt>
                <c:pt idx="1201">
                  <c:v>0.999239817220604</c:v>
                </c:pt>
                <c:pt idx="1202">
                  <c:v>0.999247156916405</c:v>
                </c:pt>
                <c:pt idx="1203">
                  <c:v>0.999254496612206</c:v>
                </c:pt>
                <c:pt idx="1204">
                  <c:v>0.999261836308007</c:v>
                </c:pt>
                <c:pt idx="1205">
                  <c:v>0.999268651739822</c:v>
                </c:pt>
                <c:pt idx="1206">
                  <c:v>0.999275991435624</c:v>
                </c:pt>
                <c:pt idx="1207">
                  <c:v>0.999282806867439</c:v>
                </c:pt>
                <c:pt idx="1208">
                  <c:v>0.99929014656324</c:v>
                </c:pt>
                <c:pt idx="1209">
                  <c:v>0.999297486259041</c:v>
                </c:pt>
                <c:pt idx="1210">
                  <c:v>0.999304301690856</c:v>
                </c:pt>
                <c:pt idx="1211">
                  <c:v>0.999311641386657</c:v>
                </c:pt>
                <c:pt idx="1212">
                  <c:v>0.999318981082458</c:v>
                </c:pt>
                <c:pt idx="1213">
                  <c:v>0.999325796514274</c:v>
                </c:pt>
                <c:pt idx="1214">
                  <c:v>0.999332611946089</c:v>
                </c:pt>
                <c:pt idx="1215">
                  <c:v>0.999338903113918</c:v>
                </c:pt>
                <c:pt idx="1216">
                  <c:v>0.999345718545734</c:v>
                </c:pt>
                <c:pt idx="1217">
                  <c:v>0.999352533977549</c:v>
                </c:pt>
                <c:pt idx="1218">
                  <c:v>0.999359349409364</c:v>
                </c:pt>
                <c:pt idx="1219">
                  <c:v>0.999366164841179</c:v>
                </c:pt>
                <c:pt idx="1220">
                  <c:v>0.999372980272995</c:v>
                </c:pt>
                <c:pt idx="1221">
                  <c:v>0.99937979570481</c:v>
                </c:pt>
                <c:pt idx="1222">
                  <c:v>0.999386611136625</c:v>
                </c:pt>
                <c:pt idx="1223">
                  <c:v>0.999393426568441</c:v>
                </c:pt>
                <c:pt idx="1224">
                  <c:v>0.999400242000256</c:v>
                </c:pt>
                <c:pt idx="1225">
                  <c:v>0.999406533168085</c:v>
                </c:pt>
                <c:pt idx="1226">
                  <c:v>0.999412824335915</c:v>
                </c:pt>
                <c:pt idx="1227">
                  <c:v>0.999419115503744</c:v>
                </c:pt>
                <c:pt idx="1228">
                  <c:v>0.999425406671574</c:v>
                </c:pt>
                <c:pt idx="1229">
                  <c:v>0.999431697839403</c:v>
                </c:pt>
                <c:pt idx="1230">
                  <c:v>0.999437989007233</c:v>
                </c:pt>
                <c:pt idx="1231">
                  <c:v>0.999444280175062</c:v>
                </c:pt>
                <c:pt idx="1232">
                  <c:v>0.999450571342892</c:v>
                </c:pt>
                <c:pt idx="1233">
                  <c:v>0.999456338246735</c:v>
                </c:pt>
                <c:pt idx="1234">
                  <c:v>0.999462629414565</c:v>
                </c:pt>
                <c:pt idx="1235">
                  <c:v>0.999468396318409</c:v>
                </c:pt>
                <c:pt idx="1236">
                  <c:v>0.999474163222252</c:v>
                </c:pt>
                <c:pt idx="1237">
                  <c:v>0.999479930126096</c:v>
                </c:pt>
                <c:pt idx="1238">
                  <c:v>0.999486221293926</c:v>
                </c:pt>
                <c:pt idx="1239">
                  <c:v>0.999491988197769</c:v>
                </c:pt>
                <c:pt idx="1240">
                  <c:v>0.999497230837627</c:v>
                </c:pt>
                <c:pt idx="1241">
                  <c:v>0.999502473477485</c:v>
                </c:pt>
                <c:pt idx="1242">
                  <c:v>0.999508764645314</c:v>
                </c:pt>
                <c:pt idx="1243">
                  <c:v>0.999514531549158</c:v>
                </c:pt>
                <c:pt idx="1244">
                  <c:v>0.999519774189016</c:v>
                </c:pt>
                <c:pt idx="1245">
                  <c:v>0.999525016828874</c:v>
                </c:pt>
                <c:pt idx="1246">
                  <c:v>0.999530259468732</c:v>
                </c:pt>
                <c:pt idx="1247">
                  <c:v>0.99953550210859</c:v>
                </c:pt>
                <c:pt idx="1248">
                  <c:v>0.999541269012433</c:v>
                </c:pt>
                <c:pt idx="1249">
                  <c:v>0.999547035916277</c:v>
                </c:pt>
                <c:pt idx="1250">
                  <c:v>0.999552802820121</c:v>
                </c:pt>
                <c:pt idx="1251">
                  <c:v>0.999558045459979</c:v>
                </c:pt>
                <c:pt idx="1252">
                  <c:v>0.999563288099837</c:v>
                </c:pt>
                <c:pt idx="1253">
                  <c:v>0.999568006475709</c:v>
                </c:pt>
                <c:pt idx="1254">
                  <c:v>0.999573773379552</c:v>
                </c:pt>
                <c:pt idx="1255">
                  <c:v>0.99957901601941</c:v>
                </c:pt>
                <c:pt idx="1256">
                  <c:v>0.999584258659268</c:v>
                </c:pt>
                <c:pt idx="1257">
                  <c:v>0.999589501299126</c:v>
                </c:pt>
                <c:pt idx="1258">
                  <c:v>0.999594219674998</c:v>
                </c:pt>
                <c:pt idx="1259">
                  <c:v>0.999599462314856</c:v>
                </c:pt>
                <c:pt idx="1260">
                  <c:v>0.999604180690728</c:v>
                </c:pt>
                <c:pt idx="1261">
                  <c:v>0.999609423330586</c:v>
                </c:pt>
                <c:pt idx="1262">
                  <c:v>0.999614141706458</c:v>
                </c:pt>
                <c:pt idx="1263">
                  <c:v>0.99961886008233</c:v>
                </c:pt>
                <c:pt idx="1264">
                  <c:v>0.999623578458202</c:v>
                </c:pt>
                <c:pt idx="1265">
                  <c:v>0.999628296834075</c:v>
                </c:pt>
                <c:pt idx="1266">
                  <c:v>0.999633015209947</c:v>
                </c:pt>
                <c:pt idx="1267">
                  <c:v>0.999637733585819</c:v>
                </c:pt>
                <c:pt idx="1268">
                  <c:v>0.999642451961691</c:v>
                </c:pt>
                <c:pt idx="1269">
                  <c:v>0.999647694601549</c:v>
                </c:pt>
                <c:pt idx="1270">
                  <c:v>0.999652412977421</c:v>
                </c:pt>
                <c:pt idx="1271">
                  <c:v>0.999657131353293</c:v>
                </c:pt>
                <c:pt idx="1272">
                  <c:v>0.999661325465179</c:v>
                </c:pt>
                <c:pt idx="1273">
                  <c:v>0.999666043841052</c:v>
                </c:pt>
                <c:pt idx="1274">
                  <c:v>0.999670762216924</c:v>
                </c:pt>
                <c:pt idx="1275">
                  <c:v>0.999675480592796</c:v>
                </c:pt>
                <c:pt idx="1276">
                  <c:v>0.999680198968668</c:v>
                </c:pt>
                <c:pt idx="1277">
                  <c:v>0.99968491734454</c:v>
                </c:pt>
                <c:pt idx="1278">
                  <c:v>0.999689635720412</c:v>
                </c:pt>
                <c:pt idx="1279">
                  <c:v>0.999693829832298</c:v>
                </c:pt>
                <c:pt idx="1280">
                  <c:v>0.999698548208171</c:v>
                </c:pt>
                <c:pt idx="1281">
                  <c:v>0.999703266584043</c:v>
                </c:pt>
                <c:pt idx="1282">
                  <c:v>0.999707460695929</c:v>
                </c:pt>
                <c:pt idx="1283">
                  <c:v>0.999711654807815</c:v>
                </c:pt>
                <c:pt idx="1284">
                  <c:v>0.999715848919702</c:v>
                </c:pt>
                <c:pt idx="1285">
                  <c:v>0.999720043031588</c:v>
                </c:pt>
                <c:pt idx="1286">
                  <c:v>0.999724237143474</c:v>
                </c:pt>
                <c:pt idx="1287">
                  <c:v>0.999728955519346</c:v>
                </c:pt>
                <c:pt idx="1288">
                  <c:v>0.999733149631233</c:v>
                </c:pt>
                <c:pt idx="1289">
                  <c:v>0.999737343743119</c:v>
                </c:pt>
                <c:pt idx="1290">
                  <c:v>0.999741537855005</c:v>
                </c:pt>
                <c:pt idx="1291">
                  <c:v>0.999745207702906</c:v>
                </c:pt>
                <c:pt idx="1292">
                  <c:v>0.999749401814792</c:v>
                </c:pt>
                <c:pt idx="1293">
                  <c:v>0.999753071662693</c:v>
                </c:pt>
                <c:pt idx="1294">
                  <c:v>0.999757265774579</c:v>
                </c:pt>
                <c:pt idx="1295">
                  <c:v>0.999761459886465</c:v>
                </c:pt>
                <c:pt idx="1296">
                  <c:v>0.999765653998352</c:v>
                </c:pt>
                <c:pt idx="1297">
                  <c:v>0.999769848110238</c:v>
                </c:pt>
                <c:pt idx="1298">
                  <c:v>0.999774042222124</c:v>
                </c:pt>
                <c:pt idx="1299">
                  <c:v>0.999778236334011</c:v>
                </c:pt>
                <c:pt idx="1300">
                  <c:v>0.999782430445897</c:v>
                </c:pt>
                <c:pt idx="1301">
                  <c:v>0.999786624557783</c:v>
                </c:pt>
                <c:pt idx="1302">
                  <c:v>0.99979081866967</c:v>
                </c:pt>
                <c:pt idx="1303">
                  <c:v>0.999795012781556</c:v>
                </c:pt>
                <c:pt idx="1304">
                  <c:v>0.999799206893442</c:v>
                </c:pt>
                <c:pt idx="1305">
                  <c:v>0.999803401005329</c:v>
                </c:pt>
                <c:pt idx="1306">
                  <c:v>0.999807595117215</c:v>
                </c:pt>
                <c:pt idx="1307">
                  <c:v>0.999811264965116</c:v>
                </c:pt>
                <c:pt idx="1308">
                  <c:v>0.999815459077002</c:v>
                </c:pt>
                <c:pt idx="1309">
                  <c:v>0.999819128924902</c:v>
                </c:pt>
                <c:pt idx="1310">
                  <c:v>0.999822798772803</c:v>
                </c:pt>
                <c:pt idx="1311">
                  <c:v>0.999826468620703</c:v>
                </c:pt>
                <c:pt idx="1312">
                  <c:v>0.999830138468604</c:v>
                </c:pt>
                <c:pt idx="1313">
                  <c:v>0.999833284052519</c:v>
                </c:pt>
                <c:pt idx="1314">
                  <c:v>0.999836953900419</c:v>
                </c:pt>
                <c:pt idx="1315">
                  <c:v>0.999840099484334</c:v>
                </c:pt>
                <c:pt idx="1316">
                  <c:v>0.999843245068249</c:v>
                </c:pt>
                <c:pt idx="1317">
                  <c:v>0.999846914916149</c:v>
                </c:pt>
                <c:pt idx="1318">
                  <c:v>0.99985058476405</c:v>
                </c:pt>
                <c:pt idx="1319">
                  <c:v>0.99985425461195</c:v>
                </c:pt>
                <c:pt idx="1320">
                  <c:v>0.999857924459851</c:v>
                </c:pt>
                <c:pt idx="1321">
                  <c:v>0.999861070043766</c:v>
                </c:pt>
                <c:pt idx="1322">
                  <c:v>0.99986421562768</c:v>
                </c:pt>
                <c:pt idx="1323">
                  <c:v>0.999867885475581</c:v>
                </c:pt>
                <c:pt idx="1324">
                  <c:v>0.999871031059496</c:v>
                </c:pt>
                <c:pt idx="1325">
                  <c:v>0.99987417664341</c:v>
                </c:pt>
                <c:pt idx="1326">
                  <c:v>0.999877846491311</c:v>
                </c:pt>
                <c:pt idx="1327">
                  <c:v>0.999880992075226</c:v>
                </c:pt>
                <c:pt idx="1328">
                  <c:v>0.99988413765914</c:v>
                </c:pt>
                <c:pt idx="1329">
                  <c:v>0.999886758979069</c:v>
                </c:pt>
                <c:pt idx="1330">
                  <c:v>0.999889904562984</c:v>
                </c:pt>
                <c:pt idx="1331">
                  <c:v>0.999892525882913</c:v>
                </c:pt>
                <c:pt idx="1332">
                  <c:v>0.999895671466828</c:v>
                </c:pt>
                <c:pt idx="1333">
                  <c:v>0.999898817050742</c:v>
                </c:pt>
                <c:pt idx="1334">
                  <c:v>0.999901962634657</c:v>
                </c:pt>
                <c:pt idx="1335">
                  <c:v>0.999904583954586</c:v>
                </c:pt>
                <c:pt idx="1336">
                  <c:v>0.999908253802487</c:v>
                </c:pt>
                <c:pt idx="1337">
                  <c:v>0.999911399386401</c:v>
                </c:pt>
                <c:pt idx="1338">
                  <c:v>0.99991402070633</c:v>
                </c:pt>
                <c:pt idx="1339">
                  <c:v>0.999917166290245</c:v>
                </c:pt>
                <c:pt idx="1340">
                  <c:v>0.99992031187416</c:v>
                </c:pt>
                <c:pt idx="1341">
                  <c:v>0.999923457458075</c:v>
                </c:pt>
                <c:pt idx="1342">
                  <c:v>0.999926603041989</c:v>
                </c:pt>
                <c:pt idx="1343">
                  <c:v>0.999929748625904</c:v>
                </c:pt>
                <c:pt idx="1344">
                  <c:v>0.999932369945833</c:v>
                </c:pt>
                <c:pt idx="1345">
                  <c:v>0.999934991265762</c:v>
                </c:pt>
                <c:pt idx="1346">
                  <c:v>0.999938661113662</c:v>
                </c:pt>
                <c:pt idx="1347">
                  <c:v>0.999941282433591</c:v>
                </c:pt>
                <c:pt idx="1348">
                  <c:v>0.999944428017506</c:v>
                </c:pt>
                <c:pt idx="1349">
                  <c:v>0.999947049337435</c:v>
                </c:pt>
                <c:pt idx="1350">
                  <c:v>0.999949670657364</c:v>
                </c:pt>
                <c:pt idx="1351">
                  <c:v>0.999952291977293</c:v>
                </c:pt>
                <c:pt idx="1352">
                  <c:v>0.999954913297222</c:v>
                </c:pt>
                <c:pt idx="1353">
                  <c:v>0.999958058881137</c:v>
                </c:pt>
                <c:pt idx="1354">
                  <c:v>0.999960680201066</c:v>
                </c:pt>
                <c:pt idx="1355">
                  <c:v>0.999963301520995</c:v>
                </c:pt>
                <c:pt idx="1356">
                  <c:v>0.999966447104909</c:v>
                </c:pt>
                <c:pt idx="1357">
                  <c:v>0.999969068424838</c:v>
                </c:pt>
                <c:pt idx="1358">
                  <c:v>0.999971689744767</c:v>
                </c:pt>
                <c:pt idx="1359">
                  <c:v>0.999974311064696</c:v>
                </c:pt>
                <c:pt idx="1360">
                  <c:v>0.999976932384625</c:v>
                </c:pt>
                <c:pt idx="1361">
                  <c:v>0.999979553704554</c:v>
                </c:pt>
                <c:pt idx="1362">
                  <c:v>0.999982175024483</c:v>
                </c:pt>
                <c:pt idx="1363">
                  <c:v>0.999984796344412</c:v>
                </c:pt>
                <c:pt idx="1364">
                  <c:v>0.999987417664341</c:v>
                </c:pt>
                <c:pt idx="1365">
                  <c:v>0.99999003898427</c:v>
                </c:pt>
                <c:pt idx="1366">
                  <c:v>0.999992136040213</c:v>
                </c:pt>
                <c:pt idx="1367">
                  <c:v>0.999994757360142</c:v>
                </c:pt>
                <c:pt idx="1368">
                  <c:v>0.999997378680071</c:v>
                </c:pt>
                <c:pt idx="1369">
                  <c:v>1</c:v>
                </c:pt>
                <c:pt idx="1370">
                  <c:v>1</c:v>
                </c:pt>
                <c:pt idx="1371">
                  <c:v>1</c:v>
                </c:pt>
                <c:pt idx="1372">
                  <c:v>1</c:v>
                </c:pt>
                <c:pt idx="1373">
                  <c:v>1</c:v>
                </c:pt>
                <c:pt idx="1374">
                  <c:v>1</c:v>
                </c:pt>
                <c:pt idx="1375">
                  <c:v>1</c:v>
                </c:pt>
                <c:pt idx="1376">
                  <c:v>1</c:v>
                </c:pt>
                <c:pt idx="1377">
                  <c:v>1</c:v>
                </c:pt>
                <c:pt idx="1378">
                  <c:v>1</c:v>
                </c:pt>
                <c:pt idx="1379">
                  <c:v>1</c:v>
                </c:pt>
                <c:pt idx="1380">
                  <c:v>1</c:v>
                </c:pt>
                <c:pt idx="1381">
                  <c:v>1</c:v>
                </c:pt>
                <c:pt idx="1382">
                  <c:v>1</c:v>
                </c:pt>
                <c:pt idx="1383">
                  <c:v>1</c:v>
                </c:pt>
                <c:pt idx="1384">
                  <c:v>1</c:v>
                </c:pt>
                <c:pt idx="1385">
                  <c:v>1</c:v>
                </c:pt>
                <c:pt idx="1386">
                  <c:v>1</c:v>
                </c:pt>
                <c:pt idx="1387">
                  <c:v>1</c:v>
                </c:pt>
                <c:pt idx="1388">
                  <c:v>1</c:v>
                </c:pt>
                <c:pt idx="1389">
                  <c:v>1</c:v>
                </c:pt>
                <c:pt idx="1390">
                  <c:v>1</c:v>
                </c:pt>
                <c:pt idx="1391">
                  <c:v>1</c:v>
                </c:pt>
                <c:pt idx="1392">
                  <c:v>1</c:v>
                </c:pt>
                <c:pt idx="1393">
                  <c:v>1</c:v>
                </c:pt>
                <c:pt idx="1394">
                  <c:v>1</c:v>
                </c:pt>
                <c:pt idx="1395">
                  <c:v>1</c:v>
                </c:pt>
                <c:pt idx="1396">
                  <c:v>1</c:v>
                </c:pt>
                <c:pt idx="1397">
                  <c:v>1</c:v>
                </c:pt>
                <c:pt idx="1398">
                  <c:v>1</c:v>
                </c:pt>
                <c:pt idx="1399">
                  <c:v>1</c:v>
                </c:pt>
                <c:pt idx="1400">
                  <c:v>1</c:v>
                </c:pt>
                <c:pt idx="1401">
                  <c:v>1</c:v>
                </c:pt>
                <c:pt idx="1402">
                  <c:v>1</c:v>
                </c:pt>
                <c:pt idx="1403">
                  <c:v>1</c:v>
                </c:pt>
                <c:pt idx="1404">
                  <c:v>1</c:v>
                </c:pt>
                <c:pt idx="1405">
                  <c:v>1</c:v>
                </c:pt>
                <c:pt idx="1406">
                  <c:v>1</c:v>
                </c:pt>
                <c:pt idx="1407">
                  <c:v>1</c:v>
                </c:pt>
                <c:pt idx="1408">
                  <c:v>1</c:v>
                </c:pt>
                <c:pt idx="1409">
                  <c:v>1</c:v>
                </c:pt>
                <c:pt idx="1410">
                  <c:v>1</c:v>
                </c:pt>
                <c:pt idx="1411">
                  <c:v>1</c:v>
                </c:pt>
                <c:pt idx="1412">
                  <c:v>1</c:v>
                </c:pt>
                <c:pt idx="1413">
                  <c:v>1</c:v>
                </c:pt>
                <c:pt idx="1414">
                  <c:v>1</c:v>
                </c:pt>
                <c:pt idx="1415">
                  <c:v>1</c:v>
                </c:pt>
                <c:pt idx="1416">
                  <c:v>1</c:v>
                </c:pt>
                <c:pt idx="1417">
                  <c:v>1</c:v>
                </c:pt>
                <c:pt idx="1418">
                  <c:v>1</c:v>
                </c:pt>
                <c:pt idx="1419">
                  <c:v>1</c:v>
                </c:pt>
                <c:pt idx="1420">
                  <c:v>1</c:v>
                </c:pt>
                <c:pt idx="1421">
                  <c:v>1</c:v>
                </c:pt>
                <c:pt idx="1422">
                  <c:v>1</c:v>
                </c:pt>
                <c:pt idx="1423">
                  <c:v>1</c:v>
                </c:pt>
                <c:pt idx="1424">
                  <c:v>1</c:v>
                </c:pt>
                <c:pt idx="1425">
                  <c:v>1</c:v>
                </c:pt>
                <c:pt idx="1426">
                  <c:v>1</c:v>
                </c:pt>
                <c:pt idx="1427">
                  <c:v>1</c:v>
                </c:pt>
                <c:pt idx="1428">
                  <c:v>1</c:v>
                </c:pt>
                <c:pt idx="1429">
                  <c:v>1</c:v>
                </c:pt>
                <c:pt idx="1430">
                  <c:v>1</c:v>
                </c:pt>
                <c:pt idx="1431">
                  <c:v>1</c:v>
                </c:pt>
                <c:pt idx="1432">
                  <c:v>1</c:v>
                </c:pt>
                <c:pt idx="1433">
                  <c:v>1</c:v>
                </c:pt>
                <c:pt idx="1434">
                  <c:v>1</c:v>
                </c:pt>
                <c:pt idx="1435">
                  <c:v>1</c:v>
                </c:pt>
                <c:pt idx="1436">
                  <c:v>1</c:v>
                </c:pt>
                <c:pt idx="1437">
                  <c:v>1</c:v>
                </c:pt>
                <c:pt idx="1438">
                  <c:v>1</c:v>
                </c:pt>
                <c:pt idx="1439">
                  <c:v>1</c:v>
                </c:pt>
                <c:pt idx="1440">
                  <c:v>1</c:v>
                </c:pt>
                <c:pt idx="1441">
                  <c:v>1</c:v>
                </c:pt>
                <c:pt idx="1442">
                  <c:v>1</c:v>
                </c:pt>
                <c:pt idx="1443">
                  <c:v>1</c:v>
                </c:pt>
                <c:pt idx="1444">
                  <c:v>1</c:v>
                </c:pt>
                <c:pt idx="1445">
                  <c:v>1</c:v>
                </c:pt>
                <c:pt idx="1446">
                  <c:v>1</c:v>
                </c:pt>
                <c:pt idx="1447">
                  <c:v>1</c:v>
                </c:pt>
                <c:pt idx="1448">
                  <c:v>1</c:v>
                </c:pt>
                <c:pt idx="1449">
                  <c:v>1</c:v>
                </c:pt>
                <c:pt idx="1450">
                  <c:v>1</c:v>
                </c:pt>
                <c:pt idx="1451">
                  <c:v>1</c:v>
                </c:pt>
                <c:pt idx="1452">
                  <c:v>1</c:v>
                </c:pt>
                <c:pt idx="1453">
                  <c:v>1</c:v>
                </c:pt>
                <c:pt idx="1454">
                  <c:v>1</c:v>
                </c:pt>
                <c:pt idx="1455">
                  <c:v>1</c:v>
                </c:pt>
                <c:pt idx="1456">
                  <c:v>1</c:v>
                </c:pt>
                <c:pt idx="1457">
                  <c:v>1</c:v>
                </c:pt>
                <c:pt idx="1458">
                  <c:v>1</c:v>
                </c:pt>
                <c:pt idx="1459">
                  <c:v>1</c:v>
                </c:pt>
                <c:pt idx="1460">
                  <c:v>1</c:v>
                </c:pt>
                <c:pt idx="1461">
                  <c:v>1</c:v>
                </c:pt>
                <c:pt idx="1462">
                  <c:v>1</c:v>
                </c:pt>
                <c:pt idx="1463">
                  <c:v>1</c:v>
                </c:pt>
                <c:pt idx="1464">
                  <c:v>1</c:v>
                </c:pt>
                <c:pt idx="1465">
                  <c:v>1</c:v>
                </c:pt>
                <c:pt idx="1466">
                  <c:v>1</c:v>
                </c:pt>
                <c:pt idx="1467">
                  <c:v>1</c:v>
                </c:pt>
                <c:pt idx="1468">
                  <c:v>1</c:v>
                </c:pt>
                <c:pt idx="1469">
                  <c:v>1</c:v>
                </c:pt>
                <c:pt idx="1470">
                  <c:v>1</c:v>
                </c:pt>
                <c:pt idx="1471">
                  <c:v>1</c:v>
                </c:pt>
                <c:pt idx="1472">
                  <c:v>1</c:v>
                </c:pt>
                <c:pt idx="1473">
                  <c:v>1</c:v>
                </c:pt>
                <c:pt idx="1474">
                  <c:v>1</c:v>
                </c:pt>
                <c:pt idx="1475">
                  <c:v>1</c:v>
                </c:pt>
                <c:pt idx="1476">
                  <c:v>1</c:v>
                </c:pt>
                <c:pt idx="1477">
                  <c:v>1</c:v>
                </c:pt>
                <c:pt idx="1478">
                  <c:v>1</c:v>
                </c:pt>
                <c:pt idx="1479">
                  <c:v>1</c:v>
                </c:pt>
                <c:pt idx="1480">
                  <c:v>1</c:v>
                </c:pt>
                <c:pt idx="1481">
                  <c:v>1</c:v>
                </c:pt>
                <c:pt idx="1482">
                  <c:v>1</c:v>
                </c:pt>
                <c:pt idx="1483">
                  <c:v>1</c:v>
                </c:pt>
                <c:pt idx="1484">
                  <c:v>1</c:v>
                </c:pt>
                <c:pt idx="1485">
                  <c:v>1</c:v>
                </c:pt>
                <c:pt idx="1486">
                  <c:v>1</c:v>
                </c:pt>
                <c:pt idx="1487">
                  <c:v>1</c:v>
                </c:pt>
                <c:pt idx="1488">
                  <c:v>1</c:v>
                </c:pt>
                <c:pt idx="1489">
                  <c:v>1</c:v>
                </c:pt>
                <c:pt idx="1490">
                  <c:v>1</c:v>
                </c:pt>
                <c:pt idx="1491">
                  <c:v>1</c:v>
                </c:pt>
                <c:pt idx="1492">
                  <c:v>1</c:v>
                </c:pt>
                <c:pt idx="1493">
                  <c:v>1</c:v>
                </c:pt>
                <c:pt idx="1494">
                  <c:v>1</c:v>
                </c:pt>
                <c:pt idx="1495">
                  <c:v>1</c:v>
                </c:pt>
                <c:pt idx="1496">
                  <c:v>1</c:v>
                </c:pt>
                <c:pt idx="1497">
                  <c:v>1</c:v>
                </c:pt>
                <c:pt idx="1498">
                  <c:v>1</c:v>
                </c:pt>
                <c:pt idx="1499">
                  <c:v>1</c:v>
                </c:pt>
                <c:pt idx="1500">
                  <c:v>1</c:v>
                </c:pt>
                <c:pt idx="1501">
                  <c:v>1</c:v>
                </c:pt>
                <c:pt idx="1502">
                  <c:v>1</c:v>
                </c:pt>
                <c:pt idx="1503">
                  <c:v>1</c:v>
                </c:pt>
                <c:pt idx="1504">
                  <c:v>1</c:v>
                </c:pt>
                <c:pt idx="1505">
                  <c:v>1</c:v>
                </c:pt>
                <c:pt idx="1506">
                  <c:v>1</c:v>
                </c:pt>
                <c:pt idx="1507">
                  <c:v>1</c:v>
                </c:pt>
                <c:pt idx="1508">
                  <c:v>1</c:v>
                </c:pt>
                <c:pt idx="1509">
                  <c:v>1</c:v>
                </c:pt>
                <c:pt idx="1510">
                  <c:v>1</c:v>
                </c:pt>
                <c:pt idx="1511">
                  <c:v>1</c:v>
                </c:pt>
                <c:pt idx="1512">
                  <c:v>1</c:v>
                </c:pt>
                <c:pt idx="1513">
                  <c:v>1</c:v>
                </c:pt>
                <c:pt idx="1514">
                  <c:v>1</c:v>
                </c:pt>
                <c:pt idx="1515">
                  <c:v>1</c:v>
                </c:pt>
                <c:pt idx="1516">
                  <c:v>1</c:v>
                </c:pt>
                <c:pt idx="1517">
                  <c:v>1</c:v>
                </c:pt>
                <c:pt idx="1518">
                  <c:v>1</c:v>
                </c:pt>
                <c:pt idx="1519">
                  <c:v>1</c:v>
                </c:pt>
                <c:pt idx="1520">
                  <c:v>1</c:v>
                </c:pt>
                <c:pt idx="1521">
                  <c:v>1</c:v>
                </c:pt>
                <c:pt idx="1522">
                  <c:v>1</c:v>
                </c:pt>
                <c:pt idx="1523">
                  <c:v>1</c:v>
                </c:pt>
                <c:pt idx="1524">
                  <c:v>1</c:v>
                </c:pt>
                <c:pt idx="1525">
                  <c:v>1</c:v>
                </c:pt>
                <c:pt idx="1526">
                  <c:v>1</c:v>
                </c:pt>
                <c:pt idx="1527">
                  <c:v>1</c:v>
                </c:pt>
                <c:pt idx="1528">
                  <c:v>1</c:v>
                </c:pt>
                <c:pt idx="1529">
                  <c:v>1</c:v>
                </c:pt>
                <c:pt idx="1530">
                  <c:v>1</c:v>
                </c:pt>
                <c:pt idx="1531">
                  <c:v>1</c:v>
                </c:pt>
                <c:pt idx="1532">
                  <c:v>1</c:v>
                </c:pt>
                <c:pt idx="1533">
                  <c:v>1</c:v>
                </c:pt>
                <c:pt idx="1534">
                  <c:v>1</c:v>
                </c:pt>
                <c:pt idx="1535">
                  <c:v>1</c:v>
                </c:pt>
                <c:pt idx="1536">
                  <c:v>1</c:v>
                </c:pt>
                <c:pt idx="1537">
                  <c:v>1</c:v>
                </c:pt>
                <c:pt idx="1538">
                  <c:v>1</c:v>
                </c:pt>
                <c:pt idx="1539">
                  <c:v>1</c:v>
                </c:pt>
                <c:pt idx="1540">
                  <c:v>1</c:v>
                </c:pt>
                <c:pt idx="1541">
                  <c:v>1</c:v>
                </c:pt>
                <c:pt idx="1542">
                  <c:v>1</c:v>
                </c:pt>
                <c:pt idx="1543">
                  <c:v>1</c:v>
                </c:pt>
                <c:pt idx="1544">
                  <c:v>1</c:v>
                </c:pt>
                <c:pt idx="1545">
                  <c:v>1</c:v>
                </c:pt>
                <c:pt idx="1546">
                  <c:v>1</c:v>
                </c:pt>
                <c:pt idx="1547">
                  <c:v>1</c:v>
                </c:pt>
                <c:pt idx="1548">
                  <c:v>1</c:v>
                </c:pt>
                <c:pt idx="1549">
                  <c:v>1</c:v>
                </c:pt>
                <c:pt idx="1550">
                  <c:v>1</c:v>
                </c:pt>
                <c:pt idx="1551">
                  <c:v>1</c:v>
                </c:pt>
                <c:pt idx="1552">
                  <c:v>1</c:v>
                </c:pt>
                <c:pt idx="1553">
                  <c:v>1</c:v>
                </c:pt>
                <c:pt idx="1554">
                  <c:v>1</c:v>
                </c:pt>
                <c:pt idx="1555">
                  <c:v>1</c:v>
                </c:pt>
                <c:pt idx="1556">
                  <c:v>1</c:v>
                </c:pt>
                <c:pt idx="1557">
                  <c:v>1</c:v>
                </c:pt>
                <c:pt idx="1558">
                  <c:v>1</c:v>
                </c:pt>
                <c:pt idx="1559">
                  <c:v>1</c:v>
                </c:pt>
                <c:pt idx="1560">
                  <c:v>1</c:v>
                </c:pt>
                <c:pt idx="1561">
                  <c:v>1</c:v>
                </c:pt>
                <c:pt idx="1562">
                  <c:v>1</c:v>
                </c:pt>
                <c:pt idx="1563">
                  <c:v>1</c:v>
                </c:pt>
                <c:pt idx="1564">
                  <c:v>1</c:v>
                </c:pt>
                <c:pt idx="1565">
                  <c:v>1</c:v>
                </c:pt>
                <c:pt idx="1566">
                  <c:v>1</c:v>
                </c:pt>
                <c:pt idx="1567">
                  <c:v>1</c:v>
                </c:pt>
                <c:pt idx="1568">
                  <c:v>1</c:v>
                </c:pt>
                <c:pt idx="1569">
                  <c:v>1</c:v>
                </c:pt>
                <c:pt idx="1570">
                  <c:v>1</c:v>
                </c:pt>
                <c:pt idx="1571">
                  <c:v>1</c:v>
                </c:pt>
                <c:pt idx="1572">
                  <c:v>1</c:v>
                </c:pt>
                <c:pt idx="1573">
                  <c:v>1</c:v>
                </c:pt>
                <c:pt idx="1574">
                  <c:v>1</c:v>
                </c:pt>
                <c:pt idx="1575">
                  <c:v>1</c:v>
                </c:pt>
                <c:pt idx="1576">
                  <c:v>1</c:v>
                </c:pt>
                <c:pt idx="1577">
                  <c:v>1</c:v>
                </c:pt>
                <c:pt idx="1578">
                  <c:v>1</c:v>
                </c:pt>
                <c:pt idx="1579">
                  <c:v>1</c:v>
                </c:pt>
                <c:pt idx="1580">
                  <c:v>1</c:v>
                </c:pt>
                <c:pt idx="1581">
                  <c:v>1</c:v>
                </c:pt>
                <c:pt idx="1582">
                  <c:v>1</c:v>
                </c:pt>
                <c:pt idx="1583">
                  <c:v>1</c:v>
                </c:pt>
                <c:pt idx="1584">
                  <c:v>1</c:v>
                </c:pt>
                <c:pt idx="1585">
                  <c:v>1</c:v>
                </c:pt>
                <c:pt idx="1586">
                  <c:v>1</c:v>
                </c:pt>
                <c:pt idx="1587">
                  <c:v>1</c:v>
                </c:pt>
                <c:pt idx="1588">
                  <c:v>1</c:v>
                </c:pt>
                <c:pt idx="1589">
                  <c:v>1</c:v>
                </c:pt>
                <c:pt idx="1590">
                  <c:v>1</c:v>
                </c:pt>
                <c:pt idx="1591">
                  <c:v>1</c:v>
                </c:pt>
                <c:pt idx="1592">
                  <c:v>1</c:v>
                </c:pt>
                <c:pt idx="1593">
                  <c:v>1</c:v>
                </c:pt>
                <c:pt idx="1594">
                  <c:v>1</c:v>
                </c:pt>
                <c:pt idx="1595">
                  <c:v>1</c:v>
                </c:pt>
                <c:pt idx="1596">
                  <c:v>1</c:v>
                </c:pt>
                <c:pt idx="1597">
                  <c:v>1</c:v>
                </c:pt>
                <c:pt idx="1598">
                  <c:v>1</c:v>
                </c:pt>
                <c:pt idx="1599">
                  <c:v>1</c:v>
                </c:pt>
                <c:pt idx="1600">
                  <c:v>1</c:v>
                </c:pt>
                <c:pt idx="1601">
                  <c:v>1</c:v>
                </c:pt>
                <c:pt idx="1602">
                  <c:v>1</c:v>
                </c:pt>
                <c:pt idx="1603">
                  <c:v>1</c:v>
                </c:pt>
                <c:pt idx="1604">
                  <c:v>1</c:v>
                </c:pt>
                <c:pt idx="1605">
                  <c:v>1</c:v>
                </c:pt>
                <c:pt idx="1606">
                  <c:v>1</c:v>
                </c:pt>
                <c:pt idx="1607">
                  <c:v>1</c:v>
                </c:pt>
                <c:pt idx="1608">
                  <c:v>1</c:v>
                </c:pt>
                <c:pt idx="1609">
                  <c:v>1</c:v>
                </c:pt>
                <c:pt idx="1610">
                  <c:v>1</c:v>
                </c:pt>
                <c:pt idx="1611">
                  <c:v>1</c:v>
                </c:pt>
                <c:pt idx="1612">
                  <c:v>1</c:v>
                </c:pt>
                <c:pt idx="1613">
                  <c:v>1</c:v>
                </c:pt>
                <c:pt idx="1614">
                  <c:v>1</c:v>
                </c:pt>
                <c:pt idx="1615">
                  <c:v>1</c:v>
                </c:pt>
                <c:pt idx="1616">
                  <c:v>1</c:v>
                </c:pt>
                <c:pt idx="1617">
                  <c:v>1</c:v>
                </c:pt>
                <c:pt idx="1618">
                  <c:v>1</c:v>
                </c:pt>
                <c:pt idx="1619">
                  <c:v>1</c:v>
                </c:pt>
                <c:pt idx="1620">
                  <c:v>1</c:v>
                </c:pt>
                <c:pt idx="1621">
                  <c:v>1</c:v>
                </c:pt>
                <c:pt idx="1622">
                  <c:v>1</c:v>
                </c:pt>
                <c:pt idx="1623">
                  <c:v>1</c:v>
                </c:pt>
                <c:pt idx="1624">
                  <c:v>1</c:v>
                </c:pt>
                <c:pt idx="1625">
                  <c:v>1</c:v>
                </c:pt>
                <c:pt idx="1626">
                  <c:v>1</c:v>
                </c:pt>
                <c:pt idx="1627">
                  <c:v>1</c:v>
                </c:pt>
                <c:pt idx="1628">
                  <c:v>1</c:v>
                </c:pt>
                <c:pt idx="1629">
                  <c:v>1</c:v>
                </c:pt>
                <c:pt idx="1630">
                  <c:v>1</c:v>
                </c:pt>
                <c:pt idx="1631">
                  <c:v>1</c:v>
                </c:pt>
                <c:pt idx="1632">
                  <c:v>1</c:v>
                </c:pt>
                <c:pt idx="1633">
                  <c:v>1</c:v>
                </c:pt>
                <c:pt idx="1634">
                  <c:v>1</c:v>
                </c:pt>
                <c:pt idx="1635">
                  <c:v>1</c:v>
                </c:pt>
                <c:pt idx="1636">
                  <c:v>1</c:v>
                </c:pt>
                <c:pt idx="1637">
                  <c:v>1</c:v>
                </c:pt>
                <c:pt idx="1638">
                  <c:v>1</c:v>
                </c:pt>
                <c:pt idx="1639">
                  <c:v>1</c:v>
                </c:pt>
                <c:pt idx="1640">
                  <c:v>1</c:v>
                </c:pt>
                <c:pt idx="1641">
                  <c:v>1</c:v>
                </c:pt>
                <c:pt idx="1642">
                  <c:v>1</c:v>
                </c:pt>
                <c:pt idx="1643">
                  <c:v>1</c:v>
                </c:pt>
                <c:pt idx="1644">
                  <c:v>1</c:v>
                </c:pt>
                <c:pt idx="1645">
                  <c:v>1</c:v>
                </c:pt>
                <c:pt idx="1646">
                  <c:v>1</c:v>
                </c:pt>
                <c:pt idx="1647">
                  <c:v>1</c:v>
                </c:pt>
                <c:pt idx="1648">
                  <c:v>1</c:v>
                </c:pt>
                <c:pt idx="1649">
                  <c:v>1</c:v>
                </c:pt>
                <c:pt idx="1650">
                  <c:v>1</c:v>
                </c:pt>
                <c:pt idx="1651">
                  <c:v>1</c:v>
                </c:pt>
                <c:pt idx="1652">
                  <c:v>1</c:v>
                </c:pt>
                <c:pt idx="1653">
                  <c:v>1</c:v>
                </c:pt>
                <c:pt idx="1654">
                  <c:v>1</c:v>
                </c:pt>
                <c:pt idx="1655">
                  <c:v>1</c:v>
                </c:pt>
                <c:pt idx="1656">
                  <c:v>1</c:v>
                </c:pt>
                <c:pt idx="1657">
                  <c:v>1</c:v>
                </c:pt>
                <c:pt idx="1658">
                  <c:v>1</c:v>
                </c:pt>
                <c:pt idx="1659">
                  <c:v>1</c:v>
                </c:pt>
                <c:pt idx="1660">
                  <c:v>1</c:v>
                </c:pt>
                <c:pt idx="1661">
                  <c:v>1</c:v>
                </c:pt>
                <c:pt idx="1662">
                  <c:v>1</c:v>
                </c:pt>
                <c:pt idx="1663">
                  <c:v>1</c:v>
                </c:pt>
                <c:pt idx="1664">
                  <c:v>1</c:v>
                </c:pt>
                <c:pt idx="1665">
                  <c:v>1</c:v>
                </c:pt>
                <c:pt idx="1666">
                  <c:v>1</c:v>
                </c:pt>
                <c:pt idx="1667">
                  <c:v>1</c:v>
                </c:pt>
                <c:pt idx="1668">
                  <c:v>1</c:v>
                </c:pt>
                <c:pt idx="1669">
                  <c:v>1</c:v>
                </c:pt>
                <c:pt idx="1670">
                  <c:v>1</c:v>
                </c:pt>
                <c:pt idx="1671">
                  <c:v>1</c:v>
                </c:pt>
                <c:pt idx="1672">
                  <c:v>1</c:v>
                </c:pt>
                <c:pt idx="1673">
                  <c:v>1</c:v>
                </c:pt>
                <c:pt idx="1674">
                  <c:v>1</c:v>
                </c:pt>
                <c:pt idx="1675">
                  <c:v>1</c:v>
                </c:pt>
                <c:pt idx="1676">
                  <c:v>1</c:v>
                </c:pt>
                <c:pt idx="1677">
                  <c:v>1</c:v>
                </c:pt>
                <c:pt idx="1678">
                  <c:v>1</c:v>
                </c:pt>
                <c:pt idx="1679">
                  <c:v>1</c:v>
                </c:pt>
                <c:pt idx="1680">
                  <c:v>1</c:v>
                </c:pt>
                <c:pt idx="1681">
                  <c:v>1</c:v>
                </c:pt>
                <c:pt idx="1682">
                  <c:v>1</c:v>
                </c:pt>
                <c:pt idx="1683">
                  <c:v>1</c:v>
                </c:pt>
                <c:pt idx="1684">
                  <c:v>1</c:v>
                </c:pt>
                <c:pt idx="1685">
                  <c:v>1</c:v>
                </c:pt>
                <c:pt idx="1686">
                  <c:v>1</c:v>
                </c:pt>
                <c:pt idx="1687">
                  <c:v>1</c:v>
                </c:pt>
                <c:pt idx="1688">
                  <c:v>1</c:v>
                </c:pt>
                <c:pt idx="1689">
                  <c:v>1</c:v>
                </c:pt>
                <c:pt idx="1690">
                  <c:v>1</c:v>
                </c:pt>
                <c:pt idx="1691">
                  <c:v>1</c:v>
                </c:pt>
                <c:pt idx="1692">
                  <c:v>1</c:v>
                </c:pt>
                <c:pt idx="1693">
                  <c:v>1</c:v>
                </c:pt>
                <c:pt idx="1694">
                  <c:v>1</c:v>
                </c:pt>
                <c:pt idx="1695">
                  <c:v>1</c:v>
                </c:pt>
                <c:pt idx="1696">
                  <c:v>1</c:v>
                </c:pt>
                <c:pt idx="1697">
                  <c:v>1</c:v>
                </c:pt>
                <c:pt idx="1698">
                  <c:v>1</c:v>
                </c:pt>
                <c:pt idx="1699">
                  <c:v>1</c:v>
                </c:pt>
                <c:pt idx="1700">
                  <c:v>1</c:v>
                </c:pt>
                <c:pt idx="1701">
                  <c:v>1</c:v>
                </c:pt>
                <c:pt idx="1702">
                  <c:v>1</c:v>
                </c:pt>
                <c:pt idx="1703">
                  <c:v>1</c:v>
                </c:pt>
                <c:pt idx="1704">
                  <c:v>1</c:v>
                </c:pt>
                <c:pt idx="1705">
                  <c:v>1</c:v>
                </c:pt>
                <c:pt idx="1706">
                  <c:v>1</c:v>
                </c:pt>
                <c:pt idx="1707">
                  <c:v>1</c:v>
                </c:pt>
                <c:pt idx="1708">
                  <c:v>1</c:v>
                </c:pt>
                <c:pt idx="1709">
                  <c:v>1</c:v>
                </c:pt>
                <c:pt idx="1710">
                  <c:v>1</c:v>
                </c:pt>
                <c:pt idx="1711">
                  <c:v>1</c:v>
                </c:pt>
                <c:pt idx="1712">
                  <c:v>1</c:v>
                </c:pt>
                <c:pt idx="1713">
                  <c:v>1</c:v>
                </c:pt>
                <c:pt idx="1714">
                  <c:v>1</c:v>
                </c:pt>
                <c:pt idx="1715">
                  <c:v>1</c:v>
                </c:pt>
                <c:pt idx="1716">
                  <c:v>1</c:v>
                </c:pt>
                <c:pt idx="1717">
                  <c:v>1</c:v>
                </c:pt>
                <c:pt idx="1718">
                  <c:v>1</c:v>
                </c:pt>
                <c:pt idx="1719">
                  <c:v>1</c:v>
                </c:pt>
                <c:pt idx="1720">
                  <c:v>1</c:v>
                </c:pt>
                <c:pt idx="1721">
                  <c:v>1</c:v>
                </c:pt>
                <c:pt idx="1722">
                  <c:v>1</c:v>
                </c:pt>
                <c:pt idx="1723">
                  <c:v>1</c:v>
                </c:pt>
                <c:pt idx="1724">
                  <c:v>1</c:v>
                </c:pt>
                <c:pt idx="1725">
                  <c:v>1</c:v>
                </c:pt>
                <c:pt idx="1726">
                  <c:v>1</c:v>
                </c:pt>
                <c:pt idx="1727">
                  <c:v>1</c:v>
                </c:pt>
                <c:pt idx="1728">
                  <c:v>1</c:v>
                </c:pt>
                <c:pt idx="1729">
                  <c:v>1</c:v>
                </c:pt>
                <c:pt idx="1730">
                  <c:v>1</c:v>
                </c:pt>
                <c:pt idx="1731">
                  <c:v>1</c:v>
                </c:pt>
                <c:pt idx="1732">
                  <c:v>1</c:v>
                </c:pt>
                <c:pt idx="1733">
                  <c:v>1</c:v>
                </c:pt>
                <c:pt idx="1734">
                  <c:v>1</c:v>
                </c:pt>
                <c:pt idx="1735">
                  <c:v>1</c:v>
                </c:pt>
                <c:pt idx="1736">
                  <c:v>1</c:v>
                </c:pt>
                <c:pt idx="1737">
                  <c:v>1</c:v>
                </c:pt>
                <c:pt idx="1738">
                  <c:v>1</c:v>
                </c:pt>
                <c:pt idx="1739">
                  <c:v>1</c:v>
                </c:pt>
                <c:pt idx="1740">
                  <c:v>1</c:v>
                </c:pt>
                <c:pt idx="1741">
                  <c:v>1</c:v>
                </c:pt>
                <c:pt idx="1742">
                  <c:v>1</c:v>
                </c:pt>
                <c:pt idx="1743">
                  <c:v>1</c:v>
                </c:pt>
                <c:pt idx="1744">
                  <c:v>1</c:v>
                </c:pt>
                <c:pt idx="1745">
                  <c:v>1</c:v>
                </c:pt>
                <c:pt idx="1746">
                  <c:v>1</c:v>
                </c:pt>
                <c:pt idx="1747">
                  <c:v>1</c:v>
                </c:pt>
                <c:pt idx="1748">
                  <c:v>1</c:v>
                </c:pt>
                <c:pt idx="1749">
                  <c:v>1</c:v>
                </c:pt>
                <c:pt idx="1750">
                  <c:v>1</c:v>
                </c:pt>
                <c:pt idx="1751">
                  <c:v>1</c:v>
                </c:pt>
                <c:pt idx="1752">
                  <c:v>1</c:v>
                </c:pt>
                <c:pt idx="1753">
                  <c:v>1</c:v>
                </c:pt>
                <c:pt idx="1754">
                  <c:v>1</c:v>
                </c:pt>
                <c:pt idx="1755">
                  <c:v>1</c:v>
                </c:pt>
                <c:pt idx="1756">
                  <c:v>1</c:v>
                </c:pt>
                <c:pt idx="1757">
                  <c:v>1</c:v>
                </c:pt>
                <c:pt idx="1758">
                  <c:v>1</c:v>
                </c:pt>
                <c:pt idx="1759">
                  <c:v>1</c:v>
                </c:pt>
                <c:pt idx="1760">
                  <c:v>1</c:v>
                </c:pt>
                <c:pt idx="1761">
                  <c:v>1</c:v>
                </c:pt>
                <c:pt idx="1762">
                  <c:v>1</c:v>
                </c:pt>
                <c:pt idx="1763">
                  <c:v>1</c:v>
                </c:pt>
                <c:pt idx="1764">
                  <c:v>1</c:v>
                </c:pt>
                <c:pt idx="1765">
                  <c:v>1</c:v>
                </c:pt>
                <c:pt idx="1766">
                  <c:v>1</c:v>
                </c:pt>
                <c:pt idx="1767">
                  <c:v>1</c:v>
                </c:pt>
                <c:pt idx="1768">
                  <c:v>1</c:v>
                </c:pt>
                <c:pt idx="1769">
                  <c:v>1</c:v>
                </c:pt>
                <c:pt idx="1770">
                  <c:v>1</c:v>
                </c:pt>
                <c:pt idx="1771">
                  <c:v>1</c:v>
                </c:pt>
                <c:pt idx="1772">
                  <c:v>1</c:v>
                </c:pt>
                <c:pt idx="1773">
                  <c:v>1</c:v>
                </c:pt>
                <c:pt idx="1774">
                  <c:v>1</c:v>
                </c:pt>
                <c:pt idx="1775">
                  <c:v>1</c:v>
                </c:pt>
                <c:pt idx="1776">
                  <c:v>1</c:v>
                </c:pt>
                <c:pt idx="1777">
                  <c:v>1</c:v>
                </c:pt>
                <c:pt idx="1778">
                  <c:v>1</c:v>
                </c:pt>
                <c:pt idx="1779">
                  <c:v>1</c:v>
                </c:pt>
                <c:pt idx="1780">
                  <c:v>1</c:v>
                </c:pt>
                <c:pt idx="1781">
                  <c:v>1</c:v>
                </c:pt>
                <c:pt idx="1782">
                  <c:v>1</c:v>
                </c:pt>
                <c:pt idx="1783">
                  <c:v>1</c:v>
                </c:pt>
                <c:pt idx="1784">
                  <c:v>1</c:v>
                </c:pt>
                <c:pt idx="1785">
                  <c:v>1</c:v>
                </c:pt>
                <c:pt idx="1786">
                  <c:v>1</c:v>
                </c:pt>
                <c:pt idx="1787">
                  <c:v>1</c:v>
                </c:pt>
                <c:pt idx="1788">
                  <c:v>1</c:v>
                </c:pt>
                <c:pt idx="1789">
                  <c:v>1</c:v>
                </c:pt>
                <c:pt idx="1790">
                  <c:v>1</c:v>
                </c:pt>
                <c:pt idx="1791">
                  <c:v>1</c:v>
                </c:pt>
                <c:pt idx="1792">
                  <c:v>1</c:v>
                </c:pt>
                <c:pt idx="1793">
                  <c:v>1</c:v>
                </c:pt>
                <c:pt idx="1794">
                  <c:v>1</c:v>
                </c:pt>
                <c:pt idx="1795">
                  <c:v>1</c:v>
                </c:pt>
                <c:pt idx="1796">
                  <c:v>1</c:v>
                </c:pt>
                <c:pt idx="1797">
                  <c:v>1</c:v>
                </c:pt>
                <c:pt idx="1798">
                  <c:v>1</c:v>
                </c:pt>
                <c:pt idx="1799">
                  <c:v>1</c:v>
                </c:pt>
                <c:pt idx="1800">
                  <c:v>1</c:v>
                </c:pt>
                <c:pt idx="1801">
                  <c:v>1</c:v>
                </c:pt>
                <c:pt idx="1802">
                  <c:v>1</c:v>
                </c:pt>
                <c:pt idx="1803">
                  <c:v>1</c:v>
                </c:pt>
                <c:pt idx="1804">
                  <c:v>1</c:v>
                </c:pt>
                <c:pt idx="1805">
                  <c:v>1</c:v>
                </c:pt>
                <c:pt idx="1806">
                  <c:v>1</c:v>
                </c:pt>
                <c:pt idx="1807">
                  <c:v>1</c:v>
                </c:pt>
                <c:pt idx="1808">
                  <c:v>1</c:v>
                </c:pt>
                <c:pt idx="1809">
                  <c:v>1</c:v>
                </c:pt>
                <c:pt idx="1810">
                  <c:v>1</c:v>
                </c:pt>
                <c:pt idx="1811">
                  <c:v>1</c:v>
                </c:pt>
                <c:pt idx="1812">
                  <c:v>1</c:v>
                </c:pt>
                <c:pt idx="1813">
                  <c:v>1</c:v>
                </c:pt>
                <c:pt idx="1814">
                  <c:v>1</c:v>
                </c:pt>
                <c:pt idx="1815">
                  <c:v>1</c:v>
                </c:pt>
                <c:pt idx="1816">
                  <c:v>1</c:v>
                </c:pt>
                <c:pt idx="1817">
                  <c:v>1</c:v>
                </c:pt>
                <c:pt idx="1818">
                  <c:v>1</c:v>
                </c:pt>
                <c:pt idx="1819">
                  <c:v>1</c:v>
                </c:pt>
                <c:pt idx="1820">
                  <c:v>1</c:v>
                </c:pt>
                <c:pt idx="1821">
                  <c:v>1</c:v>
                </c:pt>
                <c:pt idx="1822">
                  <c:v>1</c:v>
                </c:pt>
                <c:pt idx="1823">
                  <c:v>1</c:v>
                </c:pt>
                <c:pt idx="1824">
                  <c:v>1</c:v>
                </c:pt>
                <c:pt idx="1825">
                  <c:v>1</c:v>
                </c:pt>
                <c:pt idx="1826">
                  <c:v>1</c:v>
                </c:pt>
                <c:pt idx="1827">
                  <c:v>1</c:v>
                </c:pt>
                <c:pt idx="1828">
                  <c:v>1</c:v>
                </c:pt>
                <c:pt idx="1829">
                  <c:v>1</c:v>
                </c:pt>
                <c:pt idx="1830">
                  <c:v>1</c:v>
                </c:pt>
                <c:pt idx="1831">
                  <c:v>1</c:v>
                </c:pt>
                <c:pt idx="1832">
                  <c:v>1</c:v>
                </c:pt>
                <c:pt idx="1833">
                  <c:v>1</c:v>
                </c:pt>
                <c:pt idx="1834">
                  <c:v>1</c:v>
                </c:pt>
                <c:pt idx="1835">
                  <c:v>1</c:v>
                </c:pt>
                <c:pt idx="1836">
                  <c:v>1</c:v>
                </c:pt>
                <c:pt idx="1837">
                  <c:v>1</c:v>
                </c:pt>
                <c:pt idx="1838">
                  <c:v>1</c:v>
                </c:pt>
                <c:pt idx="1839">
                  <c:v>1</c:v>
                </c:pt>
                <c:pt idx="1840">
                  <c:v>1</c:v>
                </c:pt>
                <c:pt idx="1841">
                  <c:v>1</c:v>
                </c:pt>
                <c:pt idx="1842">
                  <c:v>1</c:v>
                </c:pt>
                <c:pt idx="1843">
                  <c:v>1</c:v>
                </c:pt>
                <c:pt idx="1844">
                  <c:v>1</c:v>
                </c:pt>
                <c:pt idx="1845">
                  <c:v>1</c:v>
                </c:pt>
                <c:pt idx="1846">
                  <c:v>1</c:v>
                </c:pt>
                <c:pt idx="1847">
                  <c:v>1</c:v>
                </c:pt>
                <c:pt idx="1848">
                  <c:v>1</c:v>
                </c:pt>
                <c:pt idx="1849">
                  <c:v>1</c:v>
                </c:pt>
                <c:pt idx="1850">
                  <c:v>1</c:v>
                </c:pt>
                <c:pt idx="1851">
                  <c:v>1</c:v>
                </c:pt>
                <c:pt idx="1852">
                  <c:v>1</c:v>
                </c:pt>
                <c:pt idx="1853">
                  <c:v>1</c:v>
                </c:pt>
                <c:pt idx="1854">
                  <c:v>1</c:v>
                </c:pt>
                <c:pt idx="1855">
                  <c:v>1</c:v>
                </c:pt>
                <c:pt idx="1856">
                  <c:v>1</c:v>
                </c:pt>
                <c:pt idx="1857">
                  <c:v>1</c:v>
                </c:pt>
                <c:pt idx="1858">
                  <c:v>1</c:v>
                </c:pt>
                <c:pt idx="1859">
                  <c:v>1</c:v>
                </c:pt>
                <c:pt idx="1860">
                  <c:v>1</c:v>
                </c:pt>
                <c:pt idx="1861">
                  <c:v>1</c:v>
                </c:pt>
                <c:pt idx="1862">
                  <c:v>1</c:v>
                </c:pt>
                <c:pt idx="1863">
                  <c:v>1</c:v>
                </c:pt>
                <c:pt idx="1864">
                  <c:v>1</c:v>
                </c:pt>
                <c:pt idx="1865">
                  <c:v>1</c:v>
                </c:pt>
                <c:pt idx="1866">
                  <c:v>1</c:v>
                </c:pt>
                <c:pt idx="1867">
                  <c:v>1</c:v>
                </c:pt>
                <c:pt idx="1868">
                  <c:v>1</c:v>
                </c:pt>
                <c:pt idx="1869">
                  <c:v>1</c:v>
                </c:pt>
                <c:pt idx="1870">
                  <c:v>1</c:v>
                </c:pt>
                <c:pt idx="1871">
                  <c:v>1</c:v>
                </c:pt>
                <c:pt idx="1872">
                  <c:v>1</c:v>
                </c:pt>
                <c:pt idx="1873">
                  <c:v>1</c:v>
                </c:pt>
                <c:pt idx="1874">
                  <c:v>1</c:v>
                </c:pt>
                <c:pt idx="1875">
                  <c:v>1</c:v>
                </c:pt>
                <c:pt idx="1876">
                  <c:v>1</c:v>
                </c:pt>
                <c:pt idx="1877">
                  <c:v>1</c:v>
                </c:pt>
                <c:pt idx="1878">
                  <c:v>1</c:v>
                </c:pt>
                <c:pt idx="1879">
                  <c:v>1</c:v>
                </c:pt>
                <c:pt idx="1880">
                  <c:v>1</c:v>
                </c:pt>
                <c:pt idx="1881">
                  <c:v>1</c:v>
                </c:pt>
                <c:pt idx="1882">
                  <c:v>1</c:v>
                </c:pt>
                <c:pt idx="1883">
                  <c:v>1</c:v>
                </c:pt>
                <c:pt idx="1884">
                  <c:v>1</c:v>
                </c:pt>
                <c:pt idx="1885">
                  <c:v>1</c:v>
                </c:pt>
                <c:pt idx="1886">
                  <c:v>1</c:v>
                </c:pt>
                <c:pt idx="1887">
                  <c:v>1</c:v>
                </c:pt>
                <c:pt idx="1888">
                  <c:v>1</c:v>
                </c:pt>
                <c:pt idx="1889">
                  <c:v>1</c:v>
                </c:pt>
                <c:pt idx="1890">
                  <c:v>1</c:v>
                </c:pt>
                <c:pt idx="1891">
                  <c:v>1</c:v>
                </c:pt>
                <c:pt idx="1892">
                  <c:v>1</c:v>
                </c:pt>
                <c:pt idx="1893">
                  <c:v>1</c:v>
                </c:pt>
                <c:pt idx="1894">
                  <c:v>1</c:v>
                </c:pt>
                <c:pt idx="1895">
                  <c:v>1</c:v>
                </c:pt>
                <c:pt idx="1896">
                  <c:v>1</c:v>
                </c:pt>
                <c:pt idx="1897">
                  <c:v>1</c:v>
                </c:pt>
                <c:pt idx="1898">
                  <c:v>1</c:v>
                </c:pt>
                <c:pt idx="1899">
                  <c:v>1</c:v>
                </c:pt>
                <c:pt idx="1900">
                  <c:v>1</c:v>
                </c:pt>
                <c:pt idx="1901">
                  <c:v>1</c:v>
                </c:pt>
                <c:pt idx="1902">
                  <c:v>1</c:v>
                </c:pt>
                <c:pt idx="1903">
                  <c:v>1</c:v>
                </c:pt>
                <c:pt idx="1904">
                  <c:v>1</c:v>
                </c:pt>
                <c:pt idx="1905">
                  <c:v>1</c:v>
                </c:pt>
                <c:pt idx="1906">
                  <c:v>1</c:v>
                </c:pt>
                <c:pt idx="1907">
                  <c:v>1</c:v>
                </c:pt>
                <c:pt idx="1908">
                  <c:v>1</c:v>
                </c:pt>
                <c:pt idx="1909">
                  <c:v>1</c:v>
                </c:pt>
                <c:pt idx="1910">
                  <c:v>1</c:v>
                </c:pt>
                <c:pt idx="1911">
                  <c:v>1</c:v>
                </c:pt>
                <c:pt idx="1912">
                  <c:v>1</c:v>
                </c:pt>
                <c:pt idx="1913">
                  <c:v>1</c:v>
                </c:pt>
                <c:pt idx="1914">
                  <c:v>1</c:v>
                </c:pt>
                <c:pt idx="1915">
                  <c:v>1</c:v>
                </c:pt>
                <c:pt idx="1916">
                  <c:v>1</c:v>
                </c:pt>
                <c:pt idx="1917">
                  <c:v>1</c:v>
                </c:pt>
                <c:pt idx="1918">
                  <c:v>1</c:v>
                </c:pt>
                <c:pt idx="1919">
                  <c:v>1</c:v>
                </c:pt>
                <c:pt idx="1920">
                  <c:v>1</c:v>
                </c:pt>
                <c:pt idx="1921">
                  <c:v>1</c:v>
                </c:pt>
                <c:pt idx="1922">
                  <c:v>1</c:v>
                </c:pt>
                <c:pt idx="1923">
                  <c:v>1</c:v>
                </c:pt>
                <c:pt idx="1924">
                  <c:v>1</c:v>
                </c:pt>
                <c:pt idx="1925">
                  <c:v>1</c:v>
                </c:pt>
                <c:pt idx="1926">
                  <c:v>1</c:v>
                </c:pt>
                <c:pt idx="1927">
                  <c:v>1</c:v>
                </c:pt>
                <c:pt idx="1928">
                  <c:v>1</c:v>
                </c:pt>
                <c:pt idx="1929">
                  <c:v>1</c:v>
                </c:pt>
                <c:pt idx="1930">
                  <c:v>1</c:v>
                </c:pt>
                <c:pt idx="1931">
                  <c:v>1</c:v>
                </c:pt>
                <c:pt idx="1932">
                  <c:v>1</c:v>
                </c:pt>
                <c:pt idx="1933">
                  <c:v>1</c:v>
                </c:pt>
                <c:pt idx="1934">
                  <c:v>1</c:v>
                </c:pt>
                <c:pt idx="1935">
                  <c:v>1</c:v>
                </c:pt>
                <c:pt idx="1936">
                  <c:v>1</c:v>
                </c:pt>
                <c:pt idx="1937">
                  <c:v>1</c:v>
                </c:pt>
                <c:pt idx="1938">
                  <c:v>1</c:v>
                </c:pt>
                <c:pt idx="1939">
                  <c:v>1</c:v>
                </c:pt>
                <c:pt idx="1940">
                  <c:v>1</c:v>
                </c:pt>
                <c:pt idx="1941">
                  <c:v>1</c:v>
                </c:pt>
                <c:pt idx="1942">
                  <c:v>1</c:v>
                </c:pt>
                <c:pt idx="1943">
                  <c:v>1</c:v>
                </c:pt>
                <c:pt idx="1944">
                  <c:v>1</c:v>
                </c:pt>
                <c:pt idx="1945">
                  <c:v>1</c:v>
                </c:pt>
                <c:pt idx="1946">
                  <c:v>1</c:v>
                </c:pt>
                <c:pt idx="1947">
                  <c:v>1</c:v>
                </c:pt>
                <c:pt idx="1948">
                  <c:v>1</c:v>
                </c:pt>
                <c:pt idx="1949">
                  <c:v>1</c:v>
                </c:pt>
                <c:pt idx="1950">
                  <c:v>1</c:v>
                </c:pt>
                <c:pt idx="1951">
                  <c:v>1</c:v>
                </c:pt>
                <c:pt idx="1952">
                  <c:v>1</c:v>
                </c:pt>
                <c:pt idx="1953">
                  <c:v>1</c:v>
                </c:pt>
                <c:pt idx="1954">
                  <c:v>1</c:v>
                </c:pt>
                <c:pt idx="1955">
                  <c:v>1</c:v>
                </c:pt>
                <c:pt idx="1956">
                  <c:v>1</c:v>
                </c:pt>
                <c:pt idx="1957">
                  <c:v>1</c:v>
                </c:pt>
                <c:pt idx="1958">
                  <c:v>1</c:v>
                </c:pt>
                <c:pt idx="1959">
                  <c:v>1</c:v>
                </c:pt>
                <c:pt idx="1960">
                  <c:v>1</c:v>
                </c:pt>
                <c:pt idx="1961">
                  <c:v>1</c:v>
                </c:pt>
                <c:pt idx="1962">
                  <c:v>1</c:v>
                </c:pt>
                <c:pt idx="1963">
                  <c:v>1</c:v>
                </c:pt>
                <c:pt idx="1964">
                  <c:v>1</c:v>
                </c:pt>
                <c:pt idx="1965">
                  <c:v>1</c:v>
                </c:pt>
                <c:pt idx="1966">
                  <c:v>1</c:v>
                </c:pt>
                <c:pt idx="1967">
                  <c:v>1</c:v>
                </c:pt>
                <c:pt idx="1968">
                  <c:v>1</c:v>
                </c:pt>
                <c:pt idx="1969">
                  <c:v>1</c:v>
                </c:pt>
                <c:pt idx="1970">
                  <c:v>1</c:v>
                </c:pt>
                <c:pt idx="1971">
                  <c:v>1</c:v>
                </c:pt>
                <c:pt idx="1972">
                  <c:v>1</c:v>
                </c:pt>
                <c:pt idx="1973">
                  <c:v>1</c:v>
                </c:pt>
                <c:pt idx="1974">
                  <c:v>1</c:v>
                </c:pt>
                <c:pt idx="1975">
                  <c:v>1</c:v>
                </c:pt>
                <c:pt idx="1976">
                  <c:v>1</c:v>
                </c:pt>
                <c:pt idx="1977">
                  <c:v>1</c:v>
                </c:pt>
                <c:pt idx="1978">
                  <c:v>1</c:v>
                </c:pt>
                <c:pt idx="1979">
                  <c:v>1</c:v>
                </c:pt>
                <c:pt idx="1980">
                  <c:v>1</c:v>
                </c:pt>
                <c:pt idx="1981">
                  <c:v>1</c:v>
                </c:pt>
                <c:pt idx="1982">
                  <c:v>1</c:v>
                </c:pt>
                <c:pt idx="1983">
                  <c:v>1</c:v>
                </c:pt>
                <c:pt idx="1984">
                  <c:v>1</c:v>
                </c:pt>
                <c:pt idx="1985">
                  <c:v>1</c:v>
                </c:pt>
                <c:pt idx="1986">
                  <c:v>1</c:v>
                </c:pt>
                <c:pt idx="1987">
                  <c:v>1</c:v>
                </c:pt>
                <c:pt idx="1988">
                  <c:v>1</c:v>
                </c:pt>
                <c:pt idx="1989">
                  <c:v>1</c:v>
                </c:pt>
                <c:pt idx="1990">
                  <c:v>1</c:v>
                </c:pt>
                <c:pt idx="1991">
                  <c:v>1</c:v>
                </c:pt>
                <c:pt idx="1992">
                  <c:v>1</c:v>
                </c:pt>
                <c:pt idx="1993">
                  <c:v>1</c:v>
                </c:pt>
                <c:pt idx="1994">
                  <c:v>1</c:v>
                </c:pt>
                <c:pt idx="1995">
                  <c:v>1</c:v>
                </c:pt>
                <c:pt idx="1996">
                  <c:v>1</c:v>
                </c:pt>
                <c:pt idx="1997">
                  <c:v>1</c:v>
                </c:pt>
                <c:pt idx="1998">
                  <c:v>1</c:v>
                </c:pt>
                <c:pt idx="1999">
                  <c:v>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733154959"/>
        <c:axId val="1733147759"/>
      </c:lineChart>
      <c:catAx>
        <c:axId val="1733154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3147759"/>
        <c:crosses val="autoZero"/>
        <c:auto val="1"/>
        <c:lblAlgn val="ctr"/>
        <c:lblOffset val="100"/>
        <c:noMultiLvlLbl val="0"/>
      </c:catAx>
      <c:valAx>
        <c:axId val="173314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331549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10</xdr:col>
      <xdr:colOff>487362</xdr:colOff>
      <xdr:row>17</xdr:row>
      <xdr:rowOff>179387</xdr:rowOff>
    </xdr:from>
    <xdr:to>
      <xdr:col>20</xdr:col>
      <xdr:colOff>434975</xdr:colOff>
      <xdr:row>32</xdr:row>
      <xdr:rowOff>65087</xdr:rowOff>
    </xdr:to>
    <xdr:graphicFrame>
      <xdr:nvGraphicFramePr>
        <xdr:cNvPr id="3" name="Chart 2"/>
        <xdr:cNvGraphicFramePr/>
      </xdr:nvGraphicFramePr>
      <xdr:xfrm>
        <a:off x="8099425" y="3627120"/>
        <a:ext cx="1016635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1"/>
  <sheetViews>
    <sheetView showGridLines="0" workbookViewId="0">
      <selection activeCell="B20" sqref="B20"/>
    </sheetView>
  </sheetViews>
  <sheetFormatPr defaultColWidth="8.62962962962963" defaultRowHeight="14.4" outlineLevelCol="5"/>
  <cols>
    <col min="1" max="1" width="3" customWidth="1"/>
    <col min="2" max="2" width="22" customWidth="1"/>
    <col min="3" max="6" width="20" customWidth="1"/>
  </cols>
  <sheetData>
    <row r="2" ht="37.5" customHeight="1" spans="2:6">
      <c r="B2" s="76" t="s">
        <v>0</v>
      </c>
      <c r="C2" s="76"/>
      <c r="D2" s="76"/>
      <c r="E2" s="76"/>
      <c r="F2" s="76"/>
    </row>
    <row r="3" ht="15" customHeight="1" spans="2:6">
      <c r="B3" s="77" t="s">
        <v>1</v>
      </c>
      <c r="C3" s="77"/>
      <c r="D3" s="77"/>
      <c r="E3" s="77"/>
      <c r="F3" s="77"/>
    </row>
    <row r="5" ht="15" customHeight="1" spans="2:2">
      <c r="B5" s="19" t="s">
        <v>2</v>
      </c>
    </row>
    <row r="6" ht="15" customHeight="1" spans="2:6">
      <c r="B6" s="78" t="s">
        <v>3</v>
      </c>
      <c r="C6" s="78"/>
      <c r="D6" s="78"/>
      <c r="E6" s="79">
        <f>COUNTA(商家明细!A2:A2001)</f>
        <v>2000</v>
      </c>
      <c r="F6" s="80"/>
    </row>
    <row r="7" ht="15" customHeight="1" spans="2:6">
      <c r="B7" s="78" t="s">
        <v>4</v>
      </c>
      <c r="C7" s="78"/>
      <c r="D7" s="78"/>
      <c r="E7" s="79">
        <f>COUNTIF(商家明细!M2:M2001,"&gt;0")</f>
        <v>1370</v>
      </c>
      <c r="F7" s="80"/>
    </row>
    <row r="8" ht="15" customHeight="1" spans="2:6">
      <c r="B8" s="78" t="s">
        <v>5</v>
      </c>
      <c r="C8" s="78"/>
      <c r="D8" s="78"/>
      <c r="E8" s="79">
        <f>COUNTIF(商家明细!M2:M2001,0)</f>
        <v>630</v>
      </c>
      <c r="F8" s="80"/>
    </row>
    <row r="9" ht="15" customHeight="1" spans="2:6">
      <c r="B9" s="78" t="s">
        <v>6</v>
      </c>
      <c r="C9" s="78"/>
      <c r="D9" s="78"/>
      <c r="E9" s="81">
        <f>SUM(商家明细!M2:M2001)</f>
        <v>190743600</v>
      </c>
      <c r="F9" s="80"/>
    </row>
    <row r="10" ht="15" customHeight="1" spans="2:6">
      <c r="B10" s="78" t="s">
        <v>7</v>
      </c>
      <c r="C10" s="78"/>
      <c r="D10" s="78"/>
      <c r="E10" s="79">
        <f>COUNTIF(商家明细!M2:M2001,"&gt;5000000")</f>
        <v>4</v>
      </c>
      <c r="F10" s="80"/>
    </row>
    <row r="11" ht="15" customHeight="1" spans="2:6">
      <c r="B11" s="78" t="s">
        <v>8</v>
      </c>
      <c r="C11" s="78"/>
      <c r="D11" s="78"/>
      <c r="E11" s="82">
        <f>SUMIF(商家明细!M2:M2001,"&gt;1000000")/SUM(商家明细!M2:M2001)</f>
        <v>0.468343892010007</v>
      </c>
      <c r="F11" s="80"/>
    </row>
    <row r="13" ht="15" customHeight="1" spans="2:2">
      <c r="B13" s="83" t="s">
        <v>9</v>
      </c>
    </row>
    <row r="14" ht="15" customHeight="1" spans="2:6">
      <c r="B14" s="84" t="s">
        <v>10</v>
      </c>
      <c r="C14" s="85" t="s">
        <v>11</v>
      </c>
      <c r="D14" s="85"/>
      <c r="E14" s="85"/>
      <c r="F14" s="85"/>
    </row>
    <row r="15" ht="15" customHeight="1" spans="2:6">
      <c r="B15" s="84" t="s">
        <v>12</v>
      </c>
      <c r="C15" s="86" t="s">
        <v>13</v>
      </c>
      <c r="D15" s="86"/>
      <c r="E15" s="86"/>
      <c r="F15" s="86"/>
    </row>
    <row r="16" ht="15" customHeight="1" spans="2:6">
      <c r="B16" s="84" t="s">
        <v>14</v>
      </c>
      <c r="C16" s="85" t="s">
        <v>15</v>
      </c>
      <c r="D16" s="85"/>
      <c r="E16" s="85"/>
      <c r="F16" s="85"/>
    </row>
    <row r="17" ht="15" customHeight="1" spans="2:6">
      <c r="B17" s="84" t="s">
        <v>16</v>
      </c>
      <c r="C17" s="86" t="s">
        <v>17</v>
      </c>
      <c r="D17" s="86"/>
      <c r="E17" s="86"/>
      <c r="F17" s="86"/>
    </row>
    <row r="18" ht="15" customHeight="1" spans="2:2">
      <c r="B18" s="2"/>
    </row>
    <row r="19" ht="15" customHeight="1" spans="2:2">
      <c r="B19" s="2"/>
    </row>
    <row r="20" ht="15" customHeight="1" spans="2:2">
      <c r="B20" s="2" t="s">
        <v>18</v>
      </c>
    </row>
    <row r="21" ht="15" customHeight="1" spans="2:2">
      <c r="B21" s="2" t="s">
        <v>19</v>
      </c>
    </row>
  </sheetData>
  <mergeCells count="12">
    <mergeCell ref="B2:F2"/>
    <mergeCell ref="B3:F3"/>
    <mergeCell ref="B6:D6"/>
    <mergeCell ref="B7:D7"/>
    <mergeCell ref="B8:D8"/>
    <mergeCell ref="B9:D9"/>
    <mergeCell ref="B10:D10"/>
    <mergeCell ref="B11:D11"/>
    <mergeCell ref="C14:F14"/>
    <mergeCell ref="C15:F15"/>
    <mergeCell ref="C16:F16"/>
    <mergeCell ref="C17:F17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E31"/>
  <sheetViews>
    <sheetView showGridLines="0" workbookViewId="0">
      <selection activeCell="E22" sqref="E22"/>
    </sheetView>
  </sheetViews>
  <sheetFormatPr defaultColWidth="8.62962962962963" defaultRowHeight="14.4" outlineLevelCol="4"/>
  <cols>
    <col min="1" max="1" width="3" customWidth="1"/>
    <col min="2" max="2" width="26" customWidth="1"/>
    <col min="3" max="3" width="59.7222222222222" customWidth="1"/>
    <col min="4" max="4" width="34" customWidth="1"/>
    <col min="5" max="5" width="10" customWidth="1"/>
  </cols>
  <sheetData>
    <row r="2" ht="30" customHeight="1" spans="2:4">
      <c r="B2" s="1" t="s">
        <v>20</v>
      </c>
      <c r="C2" s="1"/>
      <c r="D2" s="1"/>
    </row>
    <row r="4" ht="15" customHeight="1" spans="2:4">
      <c r="B4" s="65" t="s">
        <v>21</v>
      </c>
      <c r="C4" s="65" t="s">
        <v>22</v>
      </c>
      <c r="D4" s="65"/>
    </row>
    <row r="5" ht="24" customHeight="1" spans="2:4">
      <c r="B5" s="51" t="s">
        <v>23</v>
      </c>
      <c r="C5" s="51" t="s">
        <v>24</v>
      </c>
      <c r="D5" s="51"/>
    </row>
    <row r="6" ht="24" customHeight="1" spans="2:4">
      <c r="B6" s="56" t="s">
        <v>25</v>
      </c>
      <c r="C6" s="56" t="s">
        <v>26</v>
      </c>
      <c r="D6" s="51"/>
    </row>
    <row r="7" ht="24" customHeight="1" spans="2:4">
      <c r="B7" s="51" t="s">
        <v>27</v>
      </c>
      <c r="C7" s="51" t="s">
        <v>28</v>
      </c>
      <c r="D7" s="51"/>
    </row>
    <row r="8" ht="24" customHeight="1" spans="2:4">
      <c r="B8" s="56" t="s">
        <v>29</v>
      </c>
      <c r="C8" s="56" t="s">
        <v>30</v>
      </c>
      <c r="D8" s="56"/>
    </row>
    <row r="9" ht="24" customHeight="1" spans="2:4">
      <c r="B9" s="51" t="s">
        <v>31</v>
      </c>
      <c r="C9" s="51" t="s">
        <v>32</v>
      </c>
      <c r="D9" s="51"/>
    </row>
    <row r="10" ht="24" customHeight="1" spans="2:4">
      <c r="B10" s="56" t="s">
        <v>33</v>
      </c>
      <c r="C10" s="56" t="s">
        <v>34</v>
      </c>
      <c r="D10" s="56"/>
    </row>
    <row r="11" ht="24" customHeight="1" spans="2:4">
      <c r="B11" s="51" t="s">
        <v>35</v>
      </c>
      <c r="C11" s="51" t="s">
        <v>36</v>
      </c>
      <c r="D11" s="51"/>
    </row>
    <row r="12" ht="24" customHeight="1" spans="2:4">
      <c r="B12" s="56" t="s">
        <v>37</v>
      </c>
      <c r="C12" s="56" t="s">
        <v>38</v>
      </c>
      <c r="D12" s="56" t="s">
        <v>39</v>
      </c>
    </row>
    <row r="13" ht="24" customHeight="1" spans="2:4">
      <c r="B13" s="51" t="s">
        <v>40</v>
      </c>
      <c r="C13" s="51" t="s">
        <v>41</v>
      </c>
      <c r="D13" s="51" t="s">
        <v>42</v>
      </c>
    </row>
    <row r="14" ht="24" customHeight="1" spans="2:4">
      <c r="B14" s="56" t="s">
        <v>43</v>
      </c>
      <c r="C14" s="56" t="s">
        <v>44</v>
      </c>
      <c r="D14" s="66"/>
    </row>
    <row r="15" ht="24" customHeight="1" spans="2:4">
      <c r="B15" s="51" t="s">
        <v>45</v>
      </c>
      <c r="C15" s="54" t="s">
        <v>46</v>
      </c>
      <c r="D15" s="51"/>
    </row>
    <row r="16" ht="24" customHeight="1" spans="2:4">
      <c r="B16" s="56" t="s">
        <v>47</v>
      </c>
      <c r="C16" s="56" t="s">
        <v>48</v>
      </c>
      <c r="D16" s="66" t="s">
        <v>49</v>
      </c>
    </row>
    <row r="17" ht="24" customHeight="1" spans="2:4">
      <c r="B17" s="51" t="s">
        <v>50</v>
      </c>
      <c r="C17" s="51" t="s">
        <v>51</v>
      </c>
      <c r="D17" s="51" t="s">
        <v>49</v>
      </c>
    </row>
    <row r="18" ht="24" customHeight="1" spans="2:4">
      <c r="B18" s="56" t="s">
        <v>52</v>
      </c>
      <c r="C18" s="59" t="s">
        <v>53</v>
      </c>
      <c r="D18" s="51" t="s">
        <v>49</v>
      </c>
    </row>
    <row r="19" ht="24" customHeight="1" spans="2:4">
      <c r="B19" s="51" t="s">
        <v>54</v>
      </c>
      <c r="C19" s="51" t="s">
        <v>55</v>
      </c>
      <c r="D19" s="66" t="s">
        <v>56</v>
      </c>
    </row>
    <row r="20" ht="24" customHeight="1" spans="2:4">
      <c r="B20" s="56" t="s">
        <v>57</v>
      </c>
      <c r="C20" s="56" t="s">
        <v>58</v>
      </c>
      <c r="D20" s="66" t="s">
        <v>56</v>
      </c>
    </row>
    <row r="21" ht="24" customHeight="1" spans="2:4">
      <c r="B21" s="51" t="s">
        <v>59</v>
      </c>
      <c r="C21" s="51" t="s">
        <v>60</v>
      </c>
      <c r="D21" s="51"/>
    </row>
    <row r="22" spans="2:5">
      <c r="B22" s="67" t="s">
        <v>61</v>
      </c>
      <c r="C22" s="68"/>
      <c r="D22" s="66" t="s">
        <v>49</v>
      </c>
      <c r="E22" s="69" t="s">
        <v>62</v>
      </c>
    </row>
    <row r="24" ht="30" customHeight="1" spans="2:2">
      <c r="B24" s="70" t="s">
        <v>63</v>
      </c>
    </row>
    <row r="25" ht="15" customHeight="1" spans="2:4">
      <c r="B25" s="71" t="s">
        <v>64</v>
      </c>
      <c r="C25" s="71" t="s">
        <v>65</v>
      </c>
      <c r="D25" s="71" t="s">
        <v>66</v>
      </c>
    </row>
    <row r="26" ht="51.75" customHeight="1" spans="2:4">
      <c r="B26" s="72" t="s">
        <v>67</v>
      </c>
      <c r="C26" s="73" t="s">
        <v>68</v>
      </c>
      <c r="D26" s="73" t="s">
        <v>69</v>
      </c>
    </row>
    <row r="27" ht="51.75" customHeight="1" spans="2:4">
      <c r="B27" s="74" t="s">
        <v>70</v>
      </c>
      <c r="C27" s="27" t="s">
        <v>71</v>
      </c>
      <c r="D27" s="27" t="s">
        <v>72</v>
      </c>
    </row>
    <row r="28" ht="51.75" customHeight="1" spans="2:4">
      <c r="B28" s="72" t="s">
        <v>73</v>
      </c>
      <c r="C28" s="73" t="s">
        <v>74</v>
      </c>
      <c r="D28" s="73" t="s">
        <v>75</v>
      </c>
    </row>
    <row r="29" ht="51.75" customHeight="1" spans="2:4">
      <c r="B29" s="74" t="s">
        <v>76</v>
      </c>
      <c r="C29" s="27" t="s">
        <v>77</v>
      </c>
      <c r="D29" s="27" t="s">
        <v>78</v>
      </c>
    </row>
    <row r="31" ht="15" customHeight="1" spans="2:2">
      <c r="B31" s="75" t="s">
        <v>79</v>
      </c>
    </row>
  </sheetData>
  <mergeCells count="1">
    <mergeCell ref="B2:D2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O34"/>
  <sheetViews>
    <sheetView showGridLines="0" workbookViewId="0">
      <selection activeCell="F20" sqref="F20"/>
    </sheetView>
  </sheetViews>
  <sheetFormatPr defaultColWidth="8.62962962962963" defaultRowHeight="14.4"/>
  <cols>
    <col min="1" max="1" width="3" customWidth="1"/>
    <col min="2" max="2" width="12" customWidth="1"/>
    <col min="3" max="3" width="26" customWidth="1"/>
    <col min="4" max="4" width="9" customWidth="1"/>
    <col min="5" max="5" width="8" customWidth="1"/>
    <col min="6" max="10" width="11" customWidth="1"/>
    <col min="11" max="15" width="6" customWidth="1"/>
  </cols>
  <sheetData>
    <row r="2" ht="30" customHeight="1" spans="2:15">
      <c r="B2" s="1" t="s">
        <v>80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15" customHeight="1" spans="2:2">
      <c r="B3" s="2" t="s">
        <v>81</v>
      </c>
    </row>
    <row r="6" ht="24" customHeight="1" spans="2:15">
      <c r="B6" s="3" t="s">
        <v>82</v>
      </c>
      <c r="C6" s="3" t="s">
        <v>83</v>
      </c>
      <c r="D6" s="3" t="s">
        <v>84</v>
      </c>
      <c r="E6" s="3" t="s">
        <v>85</v>
      </c>
      <c r="F6" s="3" t="s">
        <v>86</v>
      </c>
      <c r="G6" s="3" t="s">
        <v>87</v>
      </c>
      <c r="H6" s="3" t="s">
        <v>88</v>
      </c>
      <c r="I6" s="3" t="s">
        <v>89</v>
      </c>
      <c r="J6" s="3" t="s">
        <v>90</v>
      </c>
      <c r="K6" s="63" t="s">
        <v>91</v>
      </c>
      <c r="L6" s="63" t="s">
        <v>92</v>
      </c>
      <c r="M6" s="63" t="s">
        <v>93</v>
      </c>
      <c r="N6" s="63" t="s">
        <v>94</v>
      </c>
      <c r="O6" s="63" t="s">
        <v>95</v>
      </c>
    </row>
    <row r="7" ht="15" customHeight="1" spans="2:15">
      <c r="B7" s="50" t="s">
        <v>96</v>
      </c>
      <c r="C7" s="51" t="s">
        <v>97</v>
      </c>
      <c r="D7" s="52">
        <v>25</v>
      </c>
      <c r="E7" s="53" t="s">
        <v>98</v>
      </c>
      <c r="F7" s="54">
        <v>0</v>
      </c>
      <c r="G7" s="54">
        <v>24000</v>
      </c>
      <c r="H7" s="54">
        <v>94000</v>
      </c>
      <c r="I7" s="54">
        <v>220000</v>
      </c>
      <c r="J7" s="54">
        <v>530000</v>
      </c>
      <c r="K7" s="54">
        <v>1</v>
      </c>
      <c r="L7" s="54">
        <v>2</v>
      </c>
      <c r="M7" s="54">
        <v>3</v>
      </c>
      <c r="N7" s="54">
        <v>4</v>
      </c>
      <c r="O7" s="54">
        <v>5</v>
      </c>
    </row>
    <row r="8" ht="15" customHeight="1" spans="2:15">
      <c r="B8" s="55" t="s">
        <v>96</v>
      </c>
      <c r="C8" s="56" t="s">
        <v>99</v>
      </c>
      <c r="D8" s="57">
        <v>8</v>
      </c>
      <c r="E8" s="58" t="s">
        <v>100</v>
      </c>
      <c r="F8" s="59">
        <v>1</v>
      </c>
      <c r="G8" s="59">
        <v>2</v>
      </c>
      <c r="H8" s="59">
        <v>3</v>
      </c>
      <c r="I8" s="59">
        <v>4</v>
      </c>
      <c r="J8" s="59">
        <v>5</v>
      </c>
      <c r="K8" s="59">
        <v>1</v>
      </c>
      <c r="L8" s="59">
        <v>2</v>
      </c>
      <c r="M8" s="59">
        <v>3</v>
      </c>
      <c r="N8" s="59">
        <v>4</v>
      </c>
      <c r="O8" s="59">
        <v>5</v>
      </c>
    </row>
    <row r="9" ht="15" customHeight="1" spans="2:15">
      <c r="B9" s="50" t="s">
        <v>96</v>
      </c>
      <c r="C9" s="51" t="s">
        <v>101</v>
      </c>
      <c r="D9" s="52">
        <v>7</v>
      </c>
      <c r="E9" s="53" t="s">
        <v>102</v>
      </c>
      <c r="F9" s="54">
        <v>0</v>
      </c>
      <c r="G9" s="54">
        <v>1</v>
      </c>
      <c r="H9" s="54">
        <v>2</v>
      </c>
      <c r="I9" s="54">
        <v>3</v>
      </c>
      <c r="J9" s="64"/>
      <c r="K9" s="54">
        <v>1</v>
      </c>
      <c r="L9" s="54">
        <v>2</v>
      </c>
      <c r="M9" s="54">
        <v>3</v>
      </c>
      <c r="N9" s="54">
        <v>5</v>
      </c>
      <c r="O9" s="64"/>
    </row>
    <row r="10" ht="15" customHeight="1" spans="2:15">
      <c r="B10" s="55" t="s">
        <v>103</v>
      </c>
      <c r="C10" s="56" t="s">
        <v>104</v>
      </c>
      <c r="D10" s="57">
        <v>10</v>
      </c>
      <c r="E10" s="58" t="s">
        <v>105</v>
      </c>
      <c r="F10" s="59">
        <v>0</v>
      </c>
      <c r="G10" s="59">
        <v>2.5</v>
      </c>
      <c r="H10" s="59">
        <v>9.8</v>
      </c>
      <c r="I10" s="59">
        <v>24</v>
      </c>
      <c r="J10" s="59">
        <v>56</v>
      </c>
      <c r="K10" s="59">
        <v>1</v>
      </c>
      <c r="L10" s="59">
        <v>2</v>
      </c>
      <c r="M10" s="59">
        <v>3</v>
      </c>
      <c r="N10" s="59">
        <v>4</v>
      </c>
      <c r="O10" s="59">
        <v>5</v>
      </c>
    </row>
    <row r="11" ht="15" customHeight="1" spans="2:15">
      <c r="B11" s="50" t="s">
        <v>103</v>
      </c>
      <c r="C11" s="51" t="s">
        <v>106</v>
      </c>
      <c r="D11" s="52">
        <v>10</v>
      </c>
      <c r="E11" s="53" t="s">
        <v>107</v>
      </c>
      <c r="F11" s="54">
        <v>0</v>
      </c>
      <c r="G11" s="54">
        <v>3</v>
      </c>
      <c r="H11" s="54">
        <v>5</v>
      </c>
      <c r="I11" s="54">
        <v>9</v>
      </c>
      <c r="J11" s="54">
        <v>15</v>
      </c>
      <c r="K11" s="54">
        <v>1</v>
      </c>
      <c r="L11" s="54">
        <v>2</v>
      </c>
      <c r="M11" s="54">
        <v>3</v>
      </c>
      <c r="N11" s="54">
        <v>4</v>
      </c>
      <c r="O11" s="54">
        <v>5</v>
      </c>
    </row>
    <row r="12" ht="15" customHeight="1" spans="2:15">
      <c r="B12" s="55" t="s">
        <v>108</v>
      </c>
      <c r="C12" s="56" t="s">
        <v>109</v>
      </c>
      <c r="D12" s="57">
        <v>12</v>
      </c>
      <c r="E12" s="58" t="s">
        <v>110</v>
      </c>
      <c r="F12" s="59">
        <v>0</v>
      </c>
      <c r="G12" s="59">
        <v>2.8</v>
      </c>
      <c r="H12" s="59">
        <v>10.5</v>
      </c>
      <c r="I12" s="59">
        <v>33</v>
      </c>
      <c r="J12" s="59">
        <v>69</v>
      </c>
      <c r="K12" s="59">
        <v>1</v>
      </c>
      <c r="L12" s="59">
        <v>2</v>
      </c>
      <c r="M12" s="59">
        <v>3</v>
      </c>
      <c r="N12" s="59">
        <v>4</v>
      </c>
      <c r="O12" s="59">
        <v>5</v>
      </c>
    </row>
    <row r="13" ht="15" customHeight="1" spans="2:15">
      <c r="B13" s="50" t="s">
        <v>108</v>
      </c>
      <c r="C13" s="51" t="s">
        <v>111</v>
      </c>
      <c r="D13" s="52">
        <v>8</v>
      </c>
      <c r="E13" s="53" t="s">
        <v>112</v>
      </c>
      <c r="F13" s="54">
        <v>0</v>
      </c>
      <c r="G13" s="54">
        <v>18</v>
      </c>
      <c r="H13" s="54">
        <v>39</v>
      </c>
      <c r="I13" s="54">
        <v>82</v>
      </c>
      <c r="J13" s="54">
        <v>192</v>
      </c>
      <c r="K13" s="54">
        <v>1</v>
      </c>
      <c r="L13" s="54">
        <v>2</v>
      </c>
      <c r="M13" s="54">
        <v>3</v>
      </c>
      <c r="N13" s="54">
        <v>4</v>
      </c>
      <c r="O13" s="54">
        <v>5</v>
      </c>
    </row>
    <row r="14" ht="15" customHeight="1" spans="2:15">
      <c r="B14" s="55" t="s">
        <v>108</v>
      </c>
      <c r="C14" s="56" t="s">
        <v>113</v>
      </c>
      <c r="D14" s="57">
        <v>6</v>
      </c>
      <c r="E14" s="58" t="s">
        <v>114</v>
      </c>
      <c r="F14" s="59">
        <v>0</v>
      </c>
      <c r="G14" s="59">
        <v>1</v>
      </c>
      <c r="H14" s="59">
        <v>2</v>
      </c>
      <c r="I14" s="59">
        <v>3</v>
      </c>
      <c r="J14" s="59">
        <v>5</v>
      </c>
      <c r="K14" s="59">
        <v>1</v>
      </c>
      <c r="L14" s="59">
        <v>2</v>
      </c>
      <c r="M14" s="59">
        <v>3</v>
      </c>
      <c r="N14" s="59">
        <v>4</v>
      </c>
      <c r="O14" s="59">
        <v>5</v>
      </c>
    </row>
    <row r="15" ht="15" customHeight="1" spans="2:15">
      <c r="B15" s="50" t="s">
        <v>108</v>
      </c>
      <c r="C15" s="51" t="s">
        <v>115</v>
      </c>
      <c r="D15" s="52">
        <v>4</v>
      </c>
      <c r="E15" s="53" t="s">
        <v>116</v>
      </c>
      <c r="F15" s="54">
        <v>0</v>
      </c>
      <c r="G15" s="54">
        <v>1</v>
      </c>
      <c r="H15" s="54">
        <v>3</v>
      </c>
      <c r="I15" s="54">
        <v>6</v>
      </c>
      <c r="J15" s="54">
        <v>11</v>
      </c>
      <c r="K15" s="54">
        <v>1</v>
      </c>
      <c r="L15" s="54">
        <v>2</v>
      </c>
      <c r="M15" s="54">
        <v>3</v>
      </c>
      <c r="N15" s="54">
        <v>4</v>
      </c>
      <c r="O15" s="54">
        <v>5</v>
      </c>
    </row>
    <row r="16" ht="15" customHeight="1" spans="2:15">
      <c r="B16" s="55" t="s">
        <v>117</v>
      </c>
      <c r="C16" s="56" t="s">
        <v>57</v>
      </c>
      <c r="D16" s="57">
        <v>6</v>
      </c>
      <c r="E16" s="58" t="s">
        <v>118</v>
      </c>
      <c r="F16" s="60" t="s">
        <v>119</v>
      </c>
      <c r="G16" s="61"/>
      <c r="H16" s="61"/>
      <c r="I16" s="61"/>
      <c r="J16" s="61"/>
      <c r="K16" s="59">
        <v>1</v>
      </c>
      <c r="L16" s="59">
        <v>2</v>
      </c>
      <c r="M16" s="59">
        <v>3</v>
      </c>
      <c r="N16" s="61"/>
      <c r="O16" s="59">
        <v>5</v>
      </c>
    </row>
    <row r="17" ht="15" customHeight="1" spans="2:15">
      <c r="B17" s="50" t="s">
        <v>117</v>
      </c>
      <c r="C17" s="51" t="s">
        <v>120</v>
      </c>
      <c r="D17" s="52">
        <v>4</v>
      </c>
      <c r="E17" s="53" t="s">
        <v>114</v>
      </c>
      <c r="F17" s="54">
        <v>0</v>
      </c>
      <c r="G17" s="54">
        <v>1</v>
      </c>
      <c r="H17" s="54">
        <v>2</v>
      </c>
      <c r="I17" s="64"/>
      <c r="J17" s="64"/>
      <c r="K17" s="54">
        <v>1</v>
      </c>
      <c r="L17" s="54">
        <v>3</v>
      </c>
      <c r="M17" s="54">
        <v>5</v>
      </c>
      <c r="N17" s="64"/>
      <c r="O17" s="64"/>
    </row>
    <row r="20" ht="15" customHeight="1" spans="2:2">
      <c r="B20" s="62" t="s">
        <v>121</v>
      </c>
    </row>
    <row r="21" ht="15" customHeight="1" spans="2:8">
      <c r="B21" s="17" t="s">
        <v>122</v>
      </c>
      <c r="C21" s="22" t="s">
        <v>123</v>
      </c>
      <c r="D21" s="22"/>
      <c r="E21" s="22"/>
      <c r="F21" s="22"/>
      <c r="G21" s="22"/>
      <c r="H21" s="22"/>
    </row>
    <row r="22" ht="15" customHeight="1" spans="2:8">
      <c r="B22" s="17" t="s">
        <v>124</v>
      </c>
      <c r="C22" s="20" t="s">
        <v>125</v>
      </c>
      <c r="D22" s="20"/>
      <c r="E22" s="20"/>
      <c r="F22" s="20"/>
      <c r="G22" s="20"/>
      <c r="H22" s="20"/>
    </row>
    <row r="23" ht="15" customHeight="1" spans="2:8">
      <c r="B23" s="16" t="s">
        <v>126</v>
      </c>
      <c r="C23" s="20" t="s">
        <v>127</v>
      </c>
      <c r="D23" s="20"/>
      <c r="E23" s="20"/>
      <c r="F23" s="20"/>
      <c r="G23" s="20"/>
      <c r="H23" s="20"/>
    </row>
    <row r="24" ht="15" customHeight="1" spans="2:8">
      <c r="B24" s="16" t="s">
        <v>128</v>
      </c>
      <c r="C24" s="22" t="s">
        <v>129</v>
      </c>
      <c r="D24" s="22"/>
      <c r="E24" s="22"/>
      <c r="F24" s="22"/>
      <c r="G24" s="22"/>
      <c r="H24" s="22"/>
    </row>
    <row r="25" ht="15" customHeight="1" spans="2:8">
      <c r="B25" s="16" t="s">
        <v>130</v>
      </c>
      <c r="C25" s="22" t="s">
        <v>131</v>
      </c>
      <c r="D25" s="22"/>
      <c r="E25" s="22"/>
      <c r="F25" s="22"/>
      <c r="G25" s="22"/>
      <c r="H25" s="22"/>
    </row>
    <row r="26" ht="15" customHeight="1" spans="2:8">
      <c r="B26" s="16" t="s">
        <v>132</v>
      </c>
      <c r="C26" s="22" t="s">
        <v>133</v>
      </c>
      <c r="D26" s="22"/>
      <c r="E26" s="22"/>
      <c r="F26" s="22"/>
      <c r="G26" s="22"/>
      <c r="H26" s="22"/>
    </row>
    <row r="28" ht="15" customHeight="1" spans="2:2">
      <c r="B28" s="62" t="s">
        <v>134</v>
      </c>
    </row>
    <row r="29" ht="15" customHeight="1" spans="2:15">
      <c r="B29" s="28" t="s">
        <v>135</v>
      </c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  <c r="O29" s="28"/>
    </row>
    <row r="30" ht="15" customHeight="1" spans="2:15">
      <c r="B30" s="28" t="s">
        <v>136</v>
      </c>
      <c r="C30" s="28"/>
      <c r="D30" s="28"/>
      <c r="E30" s="28"/>
      <c r="F30" s="28"/>
      <c r="G30" s="28"/>
      <c r="H30" s="28"/>
      <c r="I30" s="28"/>
      <c r="J30" s="28"/>
      <c r="K30" s="28"/>
      <c r="L30" s="28"/>
      <c r="M30" s="28"/>
      <c r="N30" s="28"/>
      <c r="O30" s="28"/>
    </row>
    <row r="31" ht="15" customHeight="1" spans="2:15">
      <c r="B31" s="28" t="s">
        <v>137</v>
      </c>
      <c r="C31" s="28"/>
      <c r="D31" s="28"/>
      <c r="E31" s="28"/>
      <c r="F31" s="28"/>
      <c r="G31" s="28"/>
      <c r="H31" s="28"/>
      <c r="I31" s="28"/>
      <c r="J31" s="28"/>
      <c r="K31" s="28"/>
      <c r="L31" s="28"/>
      <c r="M31" s="28"/>
      <c r="N31" s="28"/>
      <c r="O31" s="28"/>
    </row>
    <row r="32" ht="15" customHeight="1" spans="2:15">
      <c r="B32" s="28" t="s">
        <v>138</v>
      </c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</row>
    <row r="33" ht="15" customHeight="1" spans="2:15">
      <c r="B33" s="28" t="s">
        <v>139</v>
      </c>
      <c r="C33" s="28"/>
      <c r="D33" s="28"/>
      <c r="E33" s="28"/>
      <c r="F33" s="28"/>
      <c r="G33" s="28"/>
      <c r="H33" s="28"/>
      <c r="I33" s="28"/>
      <c r="J33" s="28"/>
      <c r="K33" s="28"/>
      <c r="L33" s="28"/>
      <c r="M33" s="28"/>
      <c r="N33" s="28"/>
      <c r="O33" s="28"/>
    </row>
    <row r="34" ht="15" customHeight="1" spans="2:15">
      <c r="B34" s="28" t="s">
        <v>140</v>
      </c>
      <c r="C34" s="28"/>
      <c r="D34" s="28"/>
      <c r="E34" s="28"/>
      <c r="F34" s="28"/>
      <c r="G34" s="28"/>
      <c r="H34" s="28"/>
      <c r="I34" s="28"/>
      <c r="J34" s="28"/>
      <c r="K34" s="28"/>
      <c r="L34" s="28"/>
      <c r="M34" s="28"/>
      <c r="N34" s="28"/>
      <c r="O34" s="28"/>
    </row>
  </sheetData>
  <mergeCells count="13">
    <mergeCell ref="B2:O2"/>
    <mergeCell ref="C21:H21"/>
    <mergeCell ref="C22:H22"/>
    <mergeCell ref="C23:H23"/>
    <mergeCell ref="C24:H24"/>
    <mergeCell ref="C25:H25"/>
    <mergeCell ref="C26:H26"/>
    <mergeCell ref="B29:O29"/>
    <mergeCell ref="B30:O30"/>
    <mergeCell ref="B31:O31"/>
    <mergeCell ref="B32:O32"/>
    <mergeCell ref="B33:O33"/>
    <mergeCell ref="B34:O3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2002"/>
  <sheetViews>
    <sheetView showGridLines="0" tabSelected="1" workbookViewId="0">
      <pane xSplit="2" ySplit="1" topLeftCell="F8" activePane="bottomRight" state="frozen"/>
      <selection/>
      <selection pane="topRight"/>
      <selection pane="bottomLeft"/>
      <selection pane="bottomRight" activeCell="M1" sqref="M1"/>
    </sheetView>
  </sheetViews>
  <sheetFormatPr defaultColWidth="8.62962962962963" defaultRowHeight="14.4"/>
  <cols>
    <col min="1" max="1" width="10" customWidth="1"/>
    <col min="2" max="2" width="12" customWidth="1"/>
    <col min="3" max="3" width="11" customWidth="1"/>
    <col min="4" max="4" width="9" customWidth="1"/>
    <col min="5" max="5" width="10" customWidth="1"/>
    <col min="6" max="6" width="12" customWidth="1"/>
    <col min="7" max="7" width="9" customWidth="1"/>
    <col min="8" max="8" width="12" customWidth="1"/>
    <col min="9" max="9" width="11" customWidth="1"/>
    <col min="10" max="11" width="15" customWidth="1"/>
    <col min="12" max="12" width="17" customWidth="1"/>
    <col min="13" max="16" width="16" customWidth="1"/>
    <col min="17" max="17" width="13" customWidth="1"/>
    <col min="18" max="18" width="15" customWidth="1"/>
    <col min="19" max="19" width="11" customWidth="1"/>
    <col min="20" max="21" width="14" customWidth="1"/>
    <col min="22" max="23" width="12" customWidth="1"/>
    <col min="24" max="24" width="14" customWidth="1"/>
    <col min="25" max="25" width="15" customWidth="1"/>
    <col min="26" max="26" width="10" customWidth="1"/>
    <col min="27" max="27" width="14" customWidth="1"/>
    <col min="28" max="28" width="10" customWidth="1"/>
    <col min="29" max="46" width="13" customWidth="1"/>
    <col min="47" max="47" width="34" customWidth="1"/>
  </cols>
  <sheetData>
    <row r="1" ht="31.5" customHeight="1" spans="1:47">
      <c r="A1" s="3" t="s">
        <v>141</v>
      </c>
      <c r="B1" s="3" t="s">
        <v>142</v>
      </c>
      <c r="C1" s="3" t="s">
        <v>25</v>
      </c>
      <c r="D1" s="3" t="s">
        <v>143</v>
      </c>
      <c r="E1" s="3" t="s">
        <v>144</v>
      </c>
      <c r="F1" s="3" t="s">
        <v>145</v>
      </c>
      <c r="G1" s="3" t="s">
        <v>146</v>
      </c>
      <c r="H1" s="3" t="s">
        <v>31</v>
      </c>
      <c r="I1" s="3" t="s">
        <v>33</v>
      </c>
      <c r="J1" s="3" t="s">
        <v>147</v>
      </c>
      <c r="K1" s="3" t="s">
        <v>148</v>
      </c>
      <c r="L1" s="3" t="s">
        <v>149</v>
      </c>
      <c r="M1" s="3" t="s">
        <v>37</v>
      </c>
      <c r="N1" s="32" t="s">
        <v>150</v>
      </c>
      <c r="O1" s="32" t="s">
        <v>151</v>
      </c>
      <c r="P1" s="32" t="s">
        <v>152</v>
      </c>
      <c r="Q1" s="3" t="s">
        <v>153</v>
      </c>
      <c r="R1" s="3" t="s">
        <v>154</v>
      </c>
      <c r="S1" s="3" t="s">
        <v>43</v>
      </c>
      <c r="T1" s="3" t="s">
        <v>45</v>
      </c>
      <c r="U1" s="3" t="s">
        <v>155</v>
      </c>
      <c r="V1" s="3" t="s">
        <v>156</v>
      </c>
      <c r="W1" s="3" t="s">
        <v>157</v>
      </c>
      <c r="X1" s="3" t="s">
        <v>61</v>
      </c>
      <c r="Y1" s="3" t="s">
        <v>52</v>
      </c>
      <c r="Z1" s="3" t="s">
        <v>54</v>
      </c>
      <c r="AA1" s="3" t="s">
        <v>57</v>
      </c>
      <c r="AB1" s="3" t="s">
        <v>59</v>
      </c>
      <c r="AC1" s="32" t="s">
        <v>158</v>
      </c>
      <c r="AD1" s="32" t="s">
        <v>159</v>
      </c>
      <c r="AE1" s="32" t="s">
        <v>160</v>
      </c>
      <c r="AF1" s="32" t="s">
        <v>161</v>
      </c>
      <c r="AG1" s="32" t="s">
        <v>162</v>
      </c>
      <c r="AH1" s="32" t="s">
        <v>163</v>
      </c>
      <c r="AI1" s="32" t="s">
        <v>164</v>
      </c>
      <c r="AJ1" s="32" t="s">
        <v>165</v>
      </c>
      <c r="AK1" s="32" t="s">
        <v>166</v>
      </c>
      <c r="AL1" s="32" t="s">
        <v>167</v>
      </c>
      <c r="AM1" s="32" t="s">
        <v>168</v>
      </c>
      <c r="AN1" s="32" t="s">
        <v>169</v>
      </c>
      <c r="AO1" s="32" t="s">
        <v>170</v>
      </c>
      <c r="AP1" s="32" t="s">
        <v>171</v>
      </c>
      <c r="AQ1" s="32" t="s">
        <v>172</v>
      </c>
      <c r="AR1" s="32" t="s">
        <v>173</v>
      </c>
      <c r="AS1" s="32" t="s">
        <v>174</v>
      </c>
      <c r="AT1" s="32" t="s">
        <v>175</v>
      </c>
      <c r="AU1" s="32" t="s">
        <v>176</v>
      </c>
    </row>
    <row r="2" ht="15" customHeight="1" spans="1:47">
      <c r="A2" s="30" t="s">
        <v>177</v>
      </c>
      <c r="B2" s="31" t="s">
        <v>178</v>
      </c>
      <c r="C2" s="31" t="s">
        <v>179</v>
      </c>
      <c r="D2" s="31" t="s">
        <v>180</v>
      </c>
      <c r="E2" s="31" t="s">
        <v>181</v>
      </c>
      <c r="F2" s="30" t="s">
        <v>182</v>
      </c>
      <c r="G2" s="31">
        <v>26</v>
      </c>
      <c r="H2" s="31" t="s">
        <v>183</v>
      </c>
      <c r="I2" s="31" t="s">
        <v>184</v>
      </c>
      <c r="J2" s="33">
        <v>4377900</v>
      </c>
      <c r="K2" s="33">
        <v>1659700</v>
      </c>
      <c r="L2" s="33">
        <v>1830900</v>
      </c>
      <c r="M2" s="33">
        <f>SUM(J2:L2)</f>
        <v>7868500</v>
      </c>
      <c r="N2" s="34">
        <f>M2/$M$2002</f>
        <v>0.0412517117219136</v>
      </c>
      <c r="O2" s="35">
        <f>SUM($M$2:M2)</f>
        <v>7868500</v>
      </c>
      <c r="P2" s="34">
        <f>O2/$M$2002</f>
        <v>0.0412517117219136</v>
      </c>
      <c r="Q2" s="37">
        <v>804.3</v>
      </c>
      <c r="R2" s="31">
        <v>25</v>
      </c>
      <c r="S2" s="31">
        <v>5</v>
      </c>
      <c r="T2" s="31">
        <v>3</v>
      </c>
      <c r="U2" s="37">
        <v>808.3</v>
      </c>
      <c r="V2" s="31">
        <v>29</v>
      </c>
      <c r="W2" s="31">
        <v>31</v>
      </c>
      <c r="X2" s="38">
        <v>4761</v>
      </c>
      <c r="Y2" s="31">
        <v>10</v>
      </c>
      <c r="Z2" s="31">
        <v>2</v>
      </c>
      <c r="AA2" s="31" t="s">
        <v>185</v>
      </c>
      <c r="AB2" s="31" t="s">
        <v>186</v>
      </c>
      <c r="AC2" s="41">
        <f>IFERROR(LOOKUP(M2,打分卡!$F$7:$J$7,打分卡!$K$7:$O$7),1)</f>
        <v>5</v>
      </c>
      <c r="AD2" s="41">
        <f>IFERROR(LOOKUP(S2,打分卡!$F$8:$J$8,打分卡!$K$8:$O$8),1)</f>
        <v>5</v>
      </c>
      <c r="AE2" s="41">
        <f>IFERROR(LOOKUP(T2,打分卡!$F$9:$I$9,打分卡!$K$9:$N$9),1)</f>
        <v>5</v>
      </c>
      <c r="AF2" s="41">
        <f>IFERROR(LOOKUP(Q2,打分卡!$F$10:$J$10,打分卡!$K$10:$O$10),1)</f>
        <v>5</v>
      </c>
      <c r="AG2" s="41">
        <f>IFERROR(LOOKUP(R2,打分卡!$F$11:$J$11,打分卡!$K$11:$O$11),1)</f>
        <v>5</v>
      </c>
      <c r="AH2" s="41">
        <f>IFERROR(LOOKUP(U2,打分卡!$F$12:$J$12,打分卡!$K$12:$O$12),1)</f>
        <v>5</v>
      </c>
      <c r="AI2" s="41">
        <f>IFERROR(LOOKUP(X2,打分卡!$F$13:$J$13,打分卡!$K$13:$O$13),1)</f>
        <v>5</v>
      </c>
      <c r="AJ2" s="41">
        <f>IFERROR(LOOKUP(Y2,打分卡!$F$14:$J$14,打分卡!$K$14:$O$14),1)</f>
        <v>5</v>
      </c>
      <c r="AK2" s="41">
        <f>IFERROR(LOOKUP(W2,打分卡!$F$15:$J$15,打分卡!$K$15:$O$15),1)</f>
        <v>5</v>
      </c>
      <c r="AL2" s="43">
        <f t="shared" ref="AL2:AL65" si="0">IF(AA2="连续下降",1,IF(AA2="下降",2,IF(AA2="上升",5,3)))</f>
        <v>3</v>
      </c>
      <c r="AM2" s="41">
        <f>IFERROR(LOOKUP(Z2,打分卡!$F$17:$H$17,打分卡!$K$17:$M$17),1)</f>
        <v>5</v>
      </c>
      <c r="AN2" s="44">
        <f>(打分卡!$D$7*AC2+打分卡!$D$8*AD2+打分卡!$D$9*AE2)/5</f>
        <v>40</v>
      </c>
      <c r="AO2" s="44">
        <f>(打分卡!$D$10*AF2+打分卡!$D$11*AG2)/5</f>
        <v>20</v>
      </c>
      <c r="AP2" s="44">
        <f>(打分卡!$D$12*AH2+打分卡!$D$13*AI2+打分卡!$D$14*AJ2+打分卡!$D$15*AK2)/5</f>
        <v>30</v>
      </c>
      <c r="AQ2" s="44">
        <f>(打分卡!$D$16*AL2+打分卡!$D$17*AM2)/5</f>
        <v>7.6</v>
      </c>
      <c r="AR2" s="47">
        <f t="shared" ref="AR2:AR65" si="1">IF(G2&lt;3,AP2/30*40+AO2+AP2+AQ2,AN2+AO2+AP2+AQ2)</f>
        <v>97.6</v>
      </c>
      <c r="AS2" s="43" t="str">
        <f t="shared" ref="AS2:AS65" si="2">IF(M2=0,IF(G2&lt;3,"新客观察期","未激活"),IF(AR2&gt;=90,"SKA",IF(AR2&gt;=75,"KA",IF(AR2&gt;=40,"腰部","基础长尾"))))</f>
        <v>SKA</v>
      </c>
      <c r="AT2" s="43" t="str">
        <f>IF(AA2="连续下降","连续下降-预警","")</f>
        <v/>
      </c>
      <c r="AU2" s="43" t="str">
        <f t="shared" ref="AU2:AU65" si="3">IF(AS2="SKA","守·共创：卡片短信/AI外呼新场景POC",IF(AS2="KA","扩·深化：AI外呼场景深化+Push/企微补全",IF(AS2="腰部","拉·主攻：主推AI外呼+大促作战包",IF(AS2="新客观察期","培育：入门包+1v1场景教育",IF(AS2="基础长尾","激活：企微+Push低成本先跑","唤醒：短信模板+首充补贴")))))</f>
        <v>守·共创：卡片短信/AI外呼新场景POC</v>
      </c>
    </row>
    <row r="3" ht="15" customHeight="1" spans="1:47">
      <c r="A3" s="20" t="s">
        <v>187</v>
      </c>
      <c r="B3" s="22" t="s">
        <v>188</v>
      </c>
      <c r="C3" s="22" t="s">
        <v>189</v>
      </c>
      <c r="D3" s="22" t="s">
        <v>190</v>
      </c>
      <c r="E3" s="22" t="s">
        <v>181</v>
      </c>
      <c r="F3" s="20" t="s">
        <v>191</v>
      </c>
      <c r="G3" s="22">
        <v>35</v>
      </c>
      <c r="H3" s="22" t="s">
        <v>192</v>
      </c>
      <c r="I3" s="22" t="s">
        <v>184</v>
      </c>
      <c r="J3" s="36">
        <v>3514300</v>
      </c>
      <c r="K3" s="36">
        <v>2415200</v>
      </c>
      <c r="L3" s="36">
        <v>875200</v>
      </c>
      <c r="M3" s="36">
        <f t="shared" ref="M3:M65" si="4">SUM(J3:L3)</f>
        <v>6804700</v>
      </c>
      <c r="N3" s="34">
        <f t="shared" ref="N3:N66" si="5">M3/$M$2002</f>
        <v>0.0356745914410759</v>
      </c>
      <c r="O3" s="35">
        <f>SUM($M$2:M3)</f>
        <v>14673200</v>
      </c>
      <c r="P3" s="34">
        <f t="shared" ref="P3:P66" si="6">O3/$M$2002</f>
        <v>0.0769263031629895</v>
      </c>
      <c r="Q3" s="39">
        <v>753.5</v>
      </c>
      <c r="R3" s="22">
        <v>20</v>
      </c>
      <c r="S3" s="22">
        <v>5</v>
      </c>
      <c r="T3" s="22">
        <v>3</v>
      </c>
      <c r="U3" s="39">
        <v>1929.9</v>
      </c>
      <c r="V3" s="22">
        <v>31</v>
      </c>
      <c r="W3" s="22">
        <v>43</v>
      </c>
      <c r="X3" s="40">
        <v>4069</v>
      </c>
      <c r="Y3" s="22">
        <v>7</v>
      </c>
      <c r="Z3" s="22">
        <v>3</v>
      </c>
      <c r="AA3" s="22" t="s">
        <v>185</v>
      </c>
      <c r="AB3" s="22" t="s">
        <v>186</v>
      </c>
      <c r="AC3" s="42">
        <f>IFERROR(LOOKUP(M3,打分卡!$F$7:$J$7,打分卡!$K$7:$O$7),1)</f>
        <v>5</v>
      </c>
      <c r="AD3" s="42">
        <f>IFERROR(LOOKUP(S3,打分卡!$F$8:$J$8,打分卡!$K$8:$O$8),1)</f>
        <v>5</v>
      </c>
      <c r="AE3" s="42">
        <f>IFERROR(LOOKUP(T3,打分卡!$F$9:$I$9,打分卡!$K$9:$N$9),1)</f>
        <v>5</v>
      </c>
      <c r="AF3" s="42">
        <f>IFERROR(LOOKUP(Q3,打分卡!$F$10:$J$10,打分卡!$K$10:$O$10),1)</f>
        <v>5</v>
      </c>
      <c r="AG3" s="42">
        <f>IFERROR(LOOKUP(R3,打分卡!$F$11:$J$11,打分卡!$K$11:$O$11),1)</f>
        <v>5</v>
      </c>
      <c r="AH3" s="42">
        <f>IFERROR(LOOKUP(U3,打分卡!$F$12:$J$12,打分卡!$K$12:$O$12),1)</f>
        <v>5</v>
      </c>
      <c r="AI3" s="42">
        <f>IFERROR(LOOKUP(X3,打分卡!$F$13:$J$13,打分卡!$K$13:$O$13),1)</f>
        <v>5</v>
      </c>
      <c r="AJ3" s="42">
        <f>IFERROR(LOOKUP(Y3,打分卡!$F$14:$J$14,打分卡!$K$14:$O$14),1)</f>
        <v>5</v>
      </c>
      <c r="AK3" s="42">
        <f>IFERROR(LOOKUP(W3,打分卡!$F$15:$J$15,打分卡!$K$15:$O$15),1)</f>
        <v>5</v>
      </c>
      <c r="AL3" s="45">
        <f t="shared" si="0"/>
        <v>3</v>
      </c>
      <c r="AM3" s="42">
        <f>IFERROR(LOOKUP(Z3,打分卡!$F$17:$H$17,打分卡!$K$17:$M$17),1)</f>
        <v>5</v>
      </c>
      <c r="AN3" s="46">
        <f>(打分卡!$D$7*AC3+打分卡!$D$8*AD3+打分卡!$D$9*AE3)/5</f>
        <v>40</v>
      </c>
      <c r="AO3" s="46">
        <f>(打分卡!$D$10*AF3+打分卡!$D$11*AG3)/5</f>
        <v>20</v>
      </c>
      <c r="AP3" s="46">
        <f>(打分卡!$D$12*AH3+打分卡!$D$13*AI3+打分卡!$D$14*AJ3+打分卡!$D$15*AK3)/5</f>
        <v>30</v>
      </c>
      <c r="AQ3" s="46">
        <f>(打分卡!$D$16*AL3+打分卡!$D$17*AM3)/5</f>
        <v>7.6</v>
      </c>
      <c r="AR3" s="48">
        <f t="shared" si="1"/>
        <v>97.6</v>
      </c>
      <c r="AS3" s="45" t="str">
        <f t="shared" si="2"/>
        <v>SKA</v>
      </c>
      <c r="AT3" s="45" t="str">
        <f t="shared" ref="AT2:AT65" si="7">IF(AA3="连续下降","连续下降-预警","")</f>
        <v/>
      </c>
      <c r="AU3" s="45" t="str">
        <f t="shared" si="3"/>
        <v>守·共创：卡片短信/AI外呼新场景POC</v>
      </c>
    </row>
    <row r="4" ht="15" customHeight="1" spans="1:47">
      <c r="A4" s="30" t="s">
        <v>193</v>
      </c>
      <c r="B4" s="31" t="s">
        <v>194</v>
      </c>
      <c r="C4" s="31" t="s">
        <v>195</v>
      </c>
      <c r="D4" s="31" t="s">
        <v>196</v>
      </c>
      <c r="E4" s="31" t="s">
        <v>197</v>
      </c>
      <c r="F4" s="30" t="s">
        <v>198</v>
      </c>
      <c r="G4" s="31">
        <v>41</v>
      </c>
      <c r="H4" s="31" t="s">
        <v>183</v>
      </c>
      <c r="I4" s="31" t="s">
        <v>184</v>
      </c>
      <c r="J4" s="33">
        <v>3838200</v>
      </c>
      <c r="K4" s="33">
        <v>1821100</v>
      </c>
      <c r="L4" s="33">
        <v>297900</v>
      </c>
      <c r="M4" s="33">
        <f t="shared" si="4"/>
        <v>5957200</v>
      </c>
      <c r="N4" s="34">
        <f t="shared" si="5"/>
        <v>0.0312314541615027</v>
      </c>
      <c r="O4" s="35">
        <f>SUM($M$2:M4)</f>
        <v>20630400</v>
      </c>
      <c r="P4" s="34">
        <f t="shared" si="6"/>
        <v>0.108157757324492</v>
      </c>
      <c r="Q4" s="37">
        <v>744.7</v>
      </c>
      <c r="R4" s="31">
        <v>22</v>
      </c>
      <c r="S4" s="31">
        <v>5</v>
      </c>
      <c r="T4" s="31">
        <v>3</v>
      </c>
      <c r="U4" s="37">
        <v>1807.9</v>
      </c>
      <c r="V4" s="31">
        <v>32</v>
      </c>
      <c r="W4" s="31">
        <v>40</v>
      </c>
      <c r="X4" s="38">
        <v>8890</v>
      </c>
      <c r="Y4" s="31">
        <v>9</v>
      </c>
      <c r="Z4" s="31">
        <v>4</v>
      </c>
      <c r="AA4" s="31" t="s">
        <v>199</v>
      </c>
      <c r="AB4" s="31" t="s">
        <v>186</v>
      </c>
      <c r="AC4" s="41">
        <f>IFERROR(LOOKUP(M4,打分卡!$F$7:$J$7,打分卡!$K$7:$O$7),1)</f>
        <v>5</v>
      </c>
      <c r="AD4" s="41">
        <f>IFERROR(LOOKUP(S4,打分卡!$F$8:$J$8,打分卡!$K$8:$O$8),1)</f>
        <v>5</v>
      </c>
      <c r="AE4" s="41">
        <f>IFERROR(LOOKUP(T4,打分卡!$F$9:$I$9,打分卡!$K$9:$N$9),1)</f>
        <v>5</v>
      </c>
      <c r="AF4" s="41">
        <f>IFERROR(LOOKUP(Q4,打分卡!$F$10:$J$10,打分卡!$K$10:$O$10),1)</f>
        <v>5</v>
      </c>
      <c r="AG4" s="41">
        <f>IFERROR(LOOKUP(R4,打分卡!$F$11:$J$11,打分卡!$K$11:$O$11),1)</f>
        <v>5</v>
      </c>
      <c r="AH4" s="41">
        <f>IFERROR(LOOKUP(U4,打分卡!$F$12:$J$12,打分卡!$K$12:$O$12),1)</f>
        <v>5</v>
      </c>
      <c r="AI4" s="41">
        <f>IFERROR(LOOKUP(X4,打分卡!$F$13:$J$13,打分卡!$K$13:$O$13),1)</f>
        <v>5</v>
      </c>
      <c r="AJ4" s="41">
        <f>IFERROR(LOOKUP(Y4,打分卡!$F$14:$J$14,打分卡!$K$14:$O$14),1)</f>
        <v>5</v>
      </c>
      <c r="AK4" s="41">
        <f>IFERROR(LOOKUP(W4,打分卡!$F$15:$J$15,打分卡!$K$15:$O$15),1)</f>
        <v>5</v>
      </c>
      <c r="AL4" s="43">
        <f t="shared" si="0"/>
        <v>5</v>
      </c>
      <c r="AM4" s="41">
        <f>IFERROR(LOOKUP(Z4,打分卡!$F$17:$H$17,打分卡!$K$17:$M$17),1)</f>
        <v>5</v>
      </c>
      <c r="AN4" s="44">
        <f>(打分卡!$D$7*AC4+打分卡!$D$8*AD4+打分卡!$D$9*AE4)/5</f>
        <v>40</v>
      </c>
      <c r="AO4" s="44">
        <f>(打分卡!$D$10*AF4+打分卡!$D$11*AG4)/5</f>
        <v>20</v>
      </c>
      <c r="AP4" s="44">
        <f>(打分卡!$D$12*AH4+打分卡!$D$13*AI4+打分卡!$D$14*AJ4+打分卡!$D$15*AK4)/5</f>
        <v>30</v>
      </c>
      <c r="AQ4" s="44">
        <f>(打分卡!$D$16*AL4+打分卡!$D$17*AM4)/5</f>
        <v>10</v>
      </c>
      <c r="AR4" s="47">
        <f t="shared" si="1"/>
        <v>100</v>
      </c>
      <c r="AS4" s="43" t="str">
        <f t="shared" si="2"/>
        <v>SKA</v>
      </c>
      <c r="AT4" s="43" t="str">
        <f t="shared" si="7"/>
        <v/>
      </c>
      <c r="AU4" s="43" t="str">
        <f t="shared" si="3"/>
        <v>守·共创：卡片短信/AI外呼新场景POC</v>
      </c>
    </row>
    <row r="5" ht="15" customHeight="1" spans="1:47">
      <c r="A5" s="20" t="s">
        <v>200</v>
      </c>
      <c r="B5" s="22" t="s">
        <v>201</v>
      </c>
      <c r="C5" s="22" t="s">
        <v>189</v>
      </c>
      <c r="D5" s="22" t="s">
        <v>202</v>
      </c>
      <c r="E5" s="22" t="s">
        <v>197</v>
      </c>
      <c r="F5" s="20" t="s">
        <v>203</v>
      </c>
      <c r="G5" s="22">
        <v>45</v>
      </c>
      <c r="H5" s="22" t="s">
        <v>192</v>
      </c>
      <c r="I5" s="22" t="s">
        <v>184</v>
      </c>
      <c r="J5" s="36">
        <v>3011800</v>
      </c>
      <c r="K5" s="36">
        <v>1336600</v>
      </c>
      <c r="L5" s="36">
        <v>1210900</v>
      </c>
      <c r="M5" s="36">
        <f t="shared" si="4"/>
        <v>5559300</v>
      </c>
      <c r="N5" s="34">
        <f t="shared" si="5"/>
        <v>0.0291454077620429</v>
      </c>
      <c r="O5" s="35">
        <f>SUM($M$2:M5)</f>
        <v>26189700</v>
      </c>
      <c r="P5" s="34">
        <f t="shared" si="6"/>
        <v>0.137303165086535</v>
      </c>
      <c r="Q5" s="39">
        <v>604.6</v>
      </c>
      <c r="R5" s="22">
        <v>22</v>
      </c>
      <c r="S5" s="22">
        <v>5</v>
      </c>
      <c r="T5" s="22">
        <v>3</v>
      </c>
      <c r="U5" s="39">
        <v>2528.8</v>
      </c>
      <c r="V5" s="22">
        <v>26</v>
      </c>
      <c r="W5" s="22">
        <v>42</v>
      </c>
      <c r="X5" s="40">
        <v>3015</v>
      </c>
      <c r="Y5" s="22">
        <v>9</v>
      </c>
      <c r="Z5" s="22">
        <v>4</v>
      </c>
      <c r="AA5" s="22" t="s">
        <v>185</v>
      </c>
      <c r="AB5" s="22" t="s">
        <v>186</v>
      </c>
      <c r="AC5" s="42">
        <f>IFERROR(LOOKUP(M5,打分卡!$F$7:$J$7,打分卡!$K$7:$O$7),1)</f>
        <v>5</v>
      </c>
      <c r="AD5" s="42">
        <f>IFERROR(LOOKUP(S5,打分卡!$F$8:$J$8,打分卡!$K$8:$O$8),1)</f>
        <v>5</v>
      </c>
      <c r="AE5" s="42">
        <f>IFERROR(LOOKUP(T5,打分卡!$F$9:$I$9,打分卡!$K$9:$N$9),1)</f>
        <v>5</v>
      </c>
      <c r="AF5" s="42">
        <f>IFERROR(LOOKUP(Q5,打分卡!$F$10:$J$10,打分卡!$K$10:$O$10),1)</f>
        <v>5</v>
      </c>
      <c r="AG5" s="42">
        <f>IFERROR(LOOKUP(R5,打分卡!$F$11:$J$11,打分卡!$K$11:$O$11),1)</f>
        <v>5</v>
      </c>
      <c r="AH5" s="42">
        <f>IFERROR(LOOKUP(U5,打分卡!$F$12:$J$12,打分卡!$K$12:$O$12),1)</f>
        <v>5</v>
      </c>
      <c r="AI5" s="42">
        <f>IFERROR(LOOKUP(X5,打分卡!$F$13:$J$13,打分卡!$K$13:$O$13),1)</f>
        <v>5</v>
      </c>
      <c r="AJ5" s="42">
        <f>IFERROR(LOOKUP(Y5,打分卡!$F$14:$J$14,打分卡!$K$14:$O$14),1)</f>
        <v>5</v>
      </c>
      <c r="AK5" s="42">
        <f>IFERROR(LOOKUP(W5,打分卡!$F$15:$J$15,打分卡!$K$15:$O$15),1)</f>
        <v>5</v>
      </c>
      <c r="AL5" s="45">
        <f t="shared" si="0"/>
        <v>3</v>
      </c>
      <c r="AM5" s="42">
        <f>IFERROR(LOOKUP(Z5,打分卡!$F$17:$H$17,打分卡!$K$17:$M$17),1)</f>
        <v>5</v>
      </c>
      <c r="AN5" s="46">
        <f>(打分卡!$D$7*AC5+打分卡!$D$8*AD5+打分卡!$D$9*AE5)/5</f>
        <v>40</v>
      </c>
      <c r="AO5" s="46">
        <f>(打分卡!$D$10*AF5+打分卡!$D$11*AG5)/5</f>
        <v>20</v>
      </c>
      <c r="AP5" s="46">
        <f>(打分卡!$D$12*AH5+打分卡!$D$13*AI5+打分卡!$D$14*AJ5+打分卡!$D$15*AK5)/5</f>
        <v>30</v>
      </c>
      <c r="AQ5" s="46">
        <f>(打分卡!$D$16*AL5+打分卡!$D$17*AM5)/5</f>
        <v>7.6</v>
      </c>
      <c r="AR5" s="48">
        <f t="shared" si="1"/>
        <v>97.6</v>
      </c>
      <c r="AS5" s="45" t="str">
        <f t="shared" si="2"/>
        <v>SKA</v>
      </c>
      <c r="AT5" s="45" t="str">
        <f t="shared" si="7"/>
        <v/>
      </c>
      <c r="AU5" s="45" t="str">
        <f t="shared" si="3"/>
        <v>守·共创：卡片短信/AI外呼新场景POC</v>
      </c>
    </row>
    <row r="6" ht="15" customHeight="1" spans="1:47">
      <c r="A6" s="30" t="s">
        <v>204</v>
      </c>
      <c r="B6" s="31" t="s">
        <v>205</v>
      </c>
      <c r="C6" s="31" t="s">
        <v>189</v>
      </c>
      <c r="D6" s="31" t="s">
        <v>202</v>
      </c>
      <c r="E6" s="31" t="s">
        <v>181</v>
      </c>
      <c r="F6" s="30" t="s">
        <v>206</v>
      </c>
      <c r="G6" s="31">
        <v>33</v>
      </c>
      <c r="H6" s="31" t="s">
        <v>192</v>
      </c>
      <c r="I6" s="31" t="s">
        <v>184</v>
      </c>
      <c r="J6" s="33">
        <v>2838900</v>
      </c>
      <c r="K6" s="33">
        <v>1444000</v>
      </c>
      <c r="L6" s="33">
        <v>366600</v>
      </c>
      <c r="M6" s="33">
        <f t="shared" si="4"/>
        <v>4649500</v>
      </c>
      <c r="N6" s="34">
        <f t="shared" si="5"/>
        <v>0.0243756540193223</v>
      </c>
      <c r="O6" s="35">
        <f>SUM($M$2:M6)</f>
        <v>30839200</v>
      </c>
      <c r="P6" s="34">
        <f t="shared" si="6"/>
        <v>0.161678819105857</v>
      </c>
      <c r="Q6" s="37">
        <v>446.1</v>
      </c>
      <c r="R6" s="31">
        <v>25</v>
      </c>
      <c r="S6" s="31">
        <v>3</v>
      </c>
      <c r="T6" s="31">
        <v>2</v>
      </c>
      <c r="U6" s="37">
        <v>1190.1</v>
      </c>
      <c r="V6" s="31">
        <v>35</v>
      </c>
      <c r="W6" s="31">
        <v>15</v>
      </c>
      <c r="X6" s="38">
        <v>1641</v>
      </c>
      <c r="Y6" s="31">
        <v>8</v>
      </c>
      <c r="Z6" s="31">
        <v>3</v>
      </c>
      <c r="AA6" s="31" t="s">
        <v>199</v>
      </c>
      <c r="AB6" s="31" t="s">
        <v>186</v>
      </c>
      <c r="AC6" s="41">
        <f>IFERROR(LOOKUP(M6,打分卡!$F$7:$J$7,打分卡!$K$7:$O$7),1)</f>
        <v>5</v>
      </c>
      <c r="AD6" s="41">
        <f>IFERROR(LOOKUP(S6,打分卡!$F$8:$J$8,打分卡!$K$8:$O$8),1)</f>
        <v>3</v>
      </c>
      <c r="AE6" s="41">
        <f>IFERROR(LOOKUP(T6,打分卡!$F$9:$I$9,打分卡!$K$9:$N$9),1)</f>
        <v>3</v>
      </c>
      <c r="AF6" s="41">
        <f>IFERROR(LOOKUP(Q6,打分卡!$F$10:$J$10,打分卡!$K$10:$O$10),1)</f>
        <v>5</v>
      </c>
      <c r="AG6" s="41">
        <f>IFERROR(LOOKUP(R6,打分卡!$F$11:$J$11,打分卡!$K$11:$O$11),1)</f>
        <v>5</v>
      </c>
      <c r="AH6" s="41">
        <f>IFERROR(LOOKUP(U6,打分卡!$F$12:$J$12,打分卡!$K$12:$O$12),1)</f>
        <v>5</v>
      </c>
      <c r="AI6" s="41">
        <f>IFERROR(LOOKUP(X6,打分卡!$F$13:$J$13,打分卡!$K$13:$O$13),1)</f>
        <v>5</v>
      </c>
      <c r="AJ6" s="41">
        <f>IFERROR(LOOKUP(Y6,打分卡!$F$14:$J$14,打分卡!$K$14:$O$14),1)</f>
        <v>5</v>
      </c>
      <c r="AK6" s="41">
        <f>IFERROR(LOOKUP(W6,打分卡!$F$15:$J$15,打分卡!$K$15:$O$15),1)</f>
        <v>5</v>
      </c>
      <c r="AL6" s="43">
        <f t="shared" si="0"/>
        <v>5</v>
      </c>
      <c r="AM6" s="41">
        <f>IFERROR(LOOKUP(Z6,打分卡!$F$17:$H$17,打分卡!$K$17:$M$17),1)</f>
        <v>5</v>
      </c>
      <c r="AN6" s="44">
        <f>(打分卡!$D$7*AC6+打分卡!$D$8*AD6+打分卡!$D$9*AE6)/5</f>
        <v>34</v>
      </c>
      <c r="AO6" s="44">
        <f>(打分卡!$D$10*AF6+打分卡!$D$11*AG6)/5</f>
        <v>20</v>
      </c>
      <c r="AP6" s="44">
        <f>(打分卡!$D$12*AH6+打分卡!$D$13*AI6+打分卡!$D$14*AJ6+打分卡!$D$15*AK6)/5</f>
        <v>30</v>
      </c>
      <c r="AQ6" s="44">
        <f>(打分卡!$D$16*AL6+打分卡!$D$17*AM6)/5</f>
        <v>10</v>
      </c>
      <c r="AR6" s="47">
        <f t="shared" si="1"/>
        <v>94</v>
      </c>
      <c r="AS6" s="43" t="str">
        <f t="shared" si="2"/>
        <v>SKA</v>
      </c>
      <c r="AT6" s="43" t="str">
        <f t="shared" si="7"/>
        <v/>
      </c>
      <c r="AU6" s="43" t="str">
        <f t="shared" si="3"/>
        <v>守·共创：卡片短信/AI外呼新场景POC</v>
      </c>
    </row>
    <row r="7" ht="15" customHeight="1" spans="1:47">
      <c r="A7" s="20" t="s">
        <v>207</v>
      </c>
      <c r="B7" s="22" t="s">
        <v>208</v>
      </c>
      <c r="C7" s="22" t="s">
        <v>209</v>
      </c>
      <c r="D7" s="22" t="s">
        <v>190</v>
      </c>
      <c r="E7" s="22" t="s">
        <v>181</v>
      </c>
      <c r="F7" s="20" t="s">
        <v>210</v>
      </c>
      <c r="G7" s="22">
        <v>33</v>
      </c>
      <c r="H7" s="22" t="s">
        <v>211</v>
      </c>
      <c r="I7" s="22" t="s">
        <v>184</v>
      </c>
      <c r="J7" s="36">
        <v>1802900</v>
      </c>
      <c r="K7" s="36">
        <v>1350400</v>
      </c>
      <c r="L7" s="36">
        <v>504300</v>
      </c>
      <c r="M7" s="36">
        <f t="shared" si="4"/>
        <v>3657600</v>
      </c>
      <c r="N7" s="34">
        <f t="shared" si="5"/>
        <v>0.0191754795442678</v>
      </c>
      <c r="O7" s="35">
        <f>SUM($M$2:M7)</f>
        <v>34496800</v>
      </c>
      <c r="P7" s="34">
        <f t="shared" si="6"/>
        <v>0.180854298650125</v>
      </c>
      <c r="Q7" s="39">
        <v>331.7</v>
      </c>
      <c r="R7" s="22">
        <v>17</v>
      </c>
      <c r="S7" s="22">
        <v>4</v>
      </c>
      <c r="T7" s="22">
        <v>3</v>
      </c>
      <c r="U7" s="39">
        <v>199.1</v>
      </c>
      <c r="V7" s="22">
        <v>39</v>
      </c>
      <c r="W7" s="22">
        <v>15</v>
      </c>
      <c r="X7" s="40">
        <v>1633</v>
      </c>
      <c r="Y7" s="22">
        <v>1</v>
      </c>
      <c r="Z7" s="22">
        <v>2</v>
      </c>
      <c r="AA7" s="22" t="s">
        <v>212</v>
      </c>
      <c r="AB7" s="22" t="s">
        <v>186</v>
      </c>
      <c r="AC7" s="42">
        <f>IFERROR(LOOKUP(M7,打分卡!$F$7:$J$7,打分卡!$K$7:$O$7),1)</f>
        <v>5</v>
      </c>
      <c r="AD7" s="42">
        <f>IFERROR(LOOKUP(S7,打分卡!$F$8:$J$8,打分卡!$K$8:$O$8),1)</f>
        <v>4</v>
      </c>
      <c r="AE7" s="42">
        <f>IFERROR(LOOKUP(T7,打分卡!$F$9:$I$9,打分卡!$K$9:$N$9),1)</f>
        <v>5</v>
      </c>
      <c r="AF7" s="42">
        <f>IFERROR(LOOKUP(Q7,打分卡!$F$10:$J$10,打分卡!$K$10:$O$10),1)</f>
        <v>5</v>
      </c>
      <c r="AG7" s="42">
        <f>IFERROR(LOOKUP(R7,打分卡!$F$11:$J$11,打分卡!$K$11:$O$11),1)</f>
        <v>5</v>
      </c>
      <c r="AH7" s="42">
        <f>IFERROR(LOOKUP(U7,打分卡!$F$12:$J$12,打分卡!$K$12:$O$12),1)</f>
        <v>5</v>
      </c>
      <c r="AI7" s="42">
        <f>IFERROR(LOOKUP(X7,打分卡!$F$13:$J$13,打分卡!$K$13:$O$13),1)</f>
        <v>5</v>
      </c>
      <c r="AJ7" s="42">
        <f>IFERROR(LOOKUP(Y7,打分卡!$F$14:$J$14,打分卡!$K$14:$O$14),1)</f>
        <v>2</v>
      </c>
      <c r="AK7" s="42">
        <f>IFERROR(LOOKUP(W7,打分卡!$F$15:$J$15,打分卡!$K$15:$O$15),1)</f>
        <v>5</v>
      </c>
      <c r="AL7" s="45">
        <f t="shared" si="0"/>
        <v>1</v>
      </c>
      <c r="AM7" s="42">
        <f>IFERROR(LOOKUP(Z7,打分卡!$F$17:$H$17,打分卡!$K$17:$M$17),1)</f>
        <v>5</v>
      </c>
      <c r="AN7" s="46">
        <f>(打分卡!$D$7*AC7+打分卡!$D$8*AD7+打分卡!$D$9*AE7)/5</f>
        <v>38.4</v>
      </c>
      <c r="AO7" s="46">
        <f>(打分卡!$D$10*AF7+打分卡!$D$11*AG7)/5</f>
        <v>20</v>
      </c>
      <c r="AP7" s="46">
        <f>(打分卡!$D$12*AH7+打分卡!$D$13*AI7+打分卡!$D$14*AJ7+打分卡!$D$15*AK7)/5</f>
        <v>26.4</v>
      </c>
      <c r="AQ7" s="46">
        <f>(打分卡!$D$16*AL7+打分卡!$D$17*AM7)/5</f>
        <v>5.2</v>
      </c>
      <c r="AR7" s="48">
        <f t="shared" si="1"/>
        <v>90</v>
      </c>
      <c r="AS7" s="45" t="str">
        <f t="shared" si="2"/>
        <v>SKA</v>
      </c>
      <c r="AT7" s="45" t="str">
        <f t="shared" si="7"/>
        <v>连续下降-预警</v>
      </c>
      <c r="AU7" s="45" t="str">
        <f t="shared" si="3"/>
        <v>守·共创：卡片短信/AI外呼新场景POC</v>
      </c>
    </row>
    <row r="8" ht="15" customHeight="1" spans="1:47">
      <c r="A8" s="30" t="s">
        <v>213</v>
      </c>
      <c r="B8" s="31" t="s">
        <v>214</v>
      </c>
      <c r="C8" s="31" t="s">
        <v>179</v>
      </c>
      <c r="D8" s="31" t="s">
        <v>202</v>
      </c>
      <c r="E8" s="31" t="s">
        <v>181</v>
      </c>
      <c r="F8" s="30" t="s">
        <v>215</v>
      </c>
      <c r="G8" s="31">
        <v>14</v>
      </c>
      <c r="H8" s="31" t="s">
        <v>192</v>
      </c>
      <c r="I8" s="31" t="s">
        <v>184</v>
      </c>
      <c r="J8" s="33">
        <v>2277200</v>
      </c>
      <c r="K8" s="33">
        <v>934600</v>
      </c>
      <c r="L8" s="33">
        <v>429500</v>
      </c>
      <c r="M8" s="33">
        <f t="shared" si="4"/>
        <v>3641300</v>
      </c>
      <c r="N8" s="34">
        <f t="shared" si="5"/>
        <v>0.019090024514584</v>
      </c>
      <c r="O8" s="35">
        <f>SUM($M$2:M8)</f>
        <v>38138100</v>
      </c>
      <c r="P8" s="34">
        <f t="shared" si="6"/>
        <v>0.199944323164709</v>
      </c>
      <c r="Q8" s="37">
        <v>361.4</v>
      </c>
      <c r="R8" s="31">
        <v>22</v>
      </c>
      <c r="S8" s="31">
        <v>4</v>
      </c>
      <c r="T8" s="31">
        <v>2</v>
      </c>
      <c r="U8" s="37">
        <v>675.7</v>
      </c>
      <c r="V8" s="31">
        <v>42</v>
      </c>
      <c r="W8" s="31">
        <v>8</v>
      </c>
      <c r="X8" s="38">
        <v>892</v>
      </c>
      <c r="Y8" s="31">
        <v>6</v>
      </c>
      <c r="Z8" s="31">
        <v>3</v>
      </c>
      <c r="AA8" s="31" t="s">
        <v>199</v>
      </c>
      <c r="AB8" s="31" t="s">
        <v>186</v>
      </c>
      <c r="AC8" s="41">
        <f>IFERROR(LOOKUP(M8,打分卡!$F$7:$J$7,打分卡!$K$7:$O$7),1)</f>
        <v>5</v>
      </c>
      <c r="AD8" s="41">
        <f>IFERROR(LOOKUP(S8,打分卡!$F$8:$J$8,打分卡!$K$8:$O$8),1)</f>
        <v>4</v>
      </c>
      <c r="AE8" s="41">
        <f>IFERROR(LOOKUP(T8,打分卡!$F$9:$I$9,打分卡!$K$9:$N$9),1)</f>
        <v>3</v>
      </c>
      <c r="AF8" s="41">
        <f>IFERROR(LOOKUP(Q8,打分卡!$F$10:$J$10,打分卡!$K$10:$O$10),1)</f>
        <v>5</v>
      </c>
      <c r="AG8" s="41">
        <f>IFERROR(LOOKUP(R8,打分卡!$F$11:$J$11,打分卡!$K$11:$O$11),1)</f>
        <v>5</v>
      </c>
      <c r="AH8" s="41">
        <f>IFERROR(LOOKUP(U8,打分卡!$F$12:$J$12,打分卡!$K$12:$O$12),1)</f>
        <v>5</v>
      </c>
      <c r="AI8" s="41">
        <f>IFERROR(LOOKUP(X8,打分卡!$F$13:$J$13,打分卡!$K$13:$O$13),1)</f>
        <v>5</v>
      </c>
      <c r="AJ8" s="41">
        <f>IFERROR(LOOKUP(Y8,打分卡!$F$14:$J$14,打分卡!$K$14:$O$14),1)</f>
        <v>5</v>
      </c>
      <c r="AK8" s="41">
        <f>IFERROR(LOOKUP(W8,打分卡!$F$15:$J$15,打分卡!$K$15:$O$15),1)</f>
        <v>4</v>
      </c>
      <c r="AL8" s="43">
        <f t="shared" si="0"/>
        <v>5</v>
      </c>
      <c r="AM8" s="41">
        <f>IFERROR(LOOKUP(Z8,打分卡!$F$17:$H$17,打分卡!$K$17:$M$17),1)</f>
        <v>5</v>
      </c>
      <c r="AN8" s="44">
        <f>(打分卡!$D$7*AC8+打分卡!$D$8*AD8+打分卡!$D$9*AE8)/5</f>
        <v>35.6</v>
      </c>
      <c r="AO8" s="44">
        <f>(打分卡!$D$10*AF8+打分卡!$D$11*AG8)/5</f>
        <v>20</v>
      </c>
      <c r="AP8" s="44">
        <f>(打分卡!$D$12*AH8+打分卡!$D$13*AI8+打分卡!$D$14*AJ8+打分卡!$D$15*AK8)/5</f>
        <v>29.2</v>
      </c>
      <c r="AQ8" s="44">
        <f>(打分卡!$D$16*AL8+打分卡!$D$17*AM8)/5</f>
        <v>10</v>
      </c>
      <c r="AR8" s="47">
        <f t="shared" si="1"/>
        <v>94.8</v>
      </c>
      <c r="AS8" s="43" t="str">
        <f t="shared" si="2"/>
        <v>SKA</v>
      </c>
      <c r="AT8" s="43" t="str">
        <f t="shared" si="7"/>
        <v/>
      </c>
      <c r="AU8" s="43" t="str">
        <f t="shared" si="3"/>
        <v>守·共创：卡片短信/AI外呼新场景POC</v>
      </c>
    </row>
    <row r="9" ht="15" customHeight="1" spans="1:47">
      <c r="A9" s="20" t="s">
        <v>216</v>
      </c>
      <c r="B9" s="22" t="s">
        <v>217</v>
      </c>
      <c r="C9" s="22" t="s">
        <v>218</v>
      </c>
      <c r="D9" s="22" t="s">
        <v>202</v>
      </c>
      <c r="E9" s="22" t="s">
        <v>181</v>
      </c>
      <c r="F9" s="20" t="s">
        <v>219</v>
      </c>
      <c r="G9" s="22">
        <v>16</v>
      </c>
      <c r="H9" s="22" t="s">
        <v>211</v>
      </c>
      <c r="I9" s="22" t="s">
        <v>184</v>
      </c>
      <c r="J9" s="36">
        <v>1686200</v>
      </c>
      <c r="K9" s="36">
        <v>992100</v>
      </c>
      <c r="L9" s="36">
        <v>676000</v>
      </c>
      <c r="M9" s="36">
        <f t="shared" si="4"/>
        <v>3354300</v>
      </c>
      <c r="N9" s="34">
        <f t="shared" si="5"/>
        <v>0.0175853868753657</v>
      </c>
      <c r="O9" s="35">
        <f>SUM($M$2:M9)</f>
        <v>41492400</v>
      </c>
      <c r="P9" s="34">
        <f t="shared" si="6"/>
        <v>0.217529710040075</v>
      </c>
      <c r="Q9" s="39">
        <v>404.4</v>
      </c>
      <c r="R9" s="22">
        <v>20</v>
      </c>
      <c r="S9" s="22">
        <v>5</v>
      </c>
      <c r="T9" s="22">
        <v>2</v>
      </c>
      <c r="U9" s="39">
        <v>163.3</v>
      </c>
      <c r="V9" s="22">
        <v>24</v>
      </c>
      <c r="W9" s="22">
        <v>25</v>
      </c>
      <c r="X9" s="40">
        <v>1181</v>
      </c>
      <c r="Y9" s="22">
        <v>3</v>
      </c>
      <c r="Z9" s="22">
        <v>3</v>
      </c>
      <c r="AA9" s="22" t="s">
        <v>212</v>
      </c>
      <c r="AB9" s="22" t="s">
        <v>220</v>
      </c>
      <c r="AC9" s="42">
        <f>IFERROR(LOOKUP(M9,打分卡!$F$7:$J$7,打分卡!$K$7:$O$7),1)</f>
        <v>5</v>
      </c>
      <c r="AD9" s="42">
        <f>IFERROR(LOOKUP(S9,打分卡!$F$8:$J$8,打分卡!$K$8:$O$8),1)</f>
        <v>5</v>
      </c>
      <c r="AE9" s="42">
        <f>IFERROR(LOOKUP(T9,打分卡!$F$9:$I$9,打分卡!$K$9:$N$9),1)</f>
        <v>3</v>
      </c>
      <c r="AF9" s="42">
        <f>IFERROR(LOOKUP(Q9,打分卡!$F$10:$J$10,打分卡!$K$10:$O$10),1)</f>
        <v>5</v>
      </c>
      <c r="AG9" s="42">
        <f>IFERROR(LOOKUP(R9,打分卡!$F$11:$J$11,打分卡!$K$11:$O$11),1)</f>
        <v>5</v>
      </c>
      <c r="AH9" s="42">
        <f>IFERROR(LOOKUP(U9,打分卡!$F$12:$J$12,打分卡!$K$12:$O$12),1)</f>
        <v>5</v>
      </c>
      <c r="AI9" s="42">
        <f>IFERROR(LOOKUP(X9,打分卡!$F$13:$J$13,打分卡!$K$13:$O$13),1)</f>
        <v>5</v>
      </c>
      <c r="AJ9" s="42">
        <f>IFERROR(LOOKUP(Y9,打分卡!$F$14:$J$14,打分卡!$K$14:$O$14),1)</f>
        <v>4</v>
      </c>
      <c r="AK9" s="42">
        <f>IFERROR(LOOKUP(W9,打分卡!$F$15:$J$15,打分卡!$K$15:$O$15),1)</f>
        <v>5</v>
      </c>
      <c r="AL9" s="45">
        <f t="shared" si="0"/>
        <v>1</v>
      </c>
      <c r="AM9" s="42">
        <f>IFERROR(LOOKUP(Z9,打分卡!$F$17:$H$17,打分卡!$K$17:$M$17),1)</f>
        <v>5</v>
      </c>
      <c r="AN9" s="46">
        <f>(打分卡!$D$7*AC9+打分卡!$D$8*AD9+打分卡!$D$9*AE9)/5</f>
        <v>37.2</v>
      </c>
      <c r="AO9" s="46">
        <f>(打分卡!$D$10*AF9+打分卡!$D$11*AG9)/5</f>
        <v>20</v>
      </c>
      <c r="AP9" s="46">
        <f>(打分卡!$D$12*AH9+打分卡!$D$13*AI9+打分卡!$D$14*AJ9+打分卡!$D$15*AK9)/5</f>
        <v>28.8</v>
      </c>
      <c r="AQ9" s="46">
        <f>(打分卡!$D$16*AL9+打分卡!$D$17*AM9)/5</f>
        <v>5.2</v>
      </c>
      <c r="AR9" s="48">
        <f t="shared" si="1"/>
        <v>91.2</v>
      </c>
      <c r="AS9" s="45" t="str">
        <f t="shared" si="2"/>
        <v>SKA</v>
      </c>
      <c r="AT9" s="45" t="str">
        <f t="shared" si="7"/>
        <v>连续下降-预警</v>
      </c>
      <c r="AU9" s="45" t="str">
        <f t="shared" si="3"/>
        <v>守·共创：卡片短信/AI外呼新场景POC</v>
      </c>
    </row>
    <row r="10" ht="15" customHeight="1" spans="1:47">
      <c r="A10" s="30" t="s">
        <v>221</v>
      </c>
      <c r="B10" s="31" t="s">
        <v>222</v>
      </c>
      <c r="C10" s="31" t="s">
        <v>223</v>
      </c>
      <c r="D10" s="31" t="s">
        <v>202</v>
      </c>
      <c r="E10" s="31" t="s">
        <v>181</v>
      </c>
      <c r="F10" s="30" t="s">
        <v>224</v>
      </c>
      <c r="G10" s="31">
        <v>19</v>
      </c>
      <c r="H10" s="31" t="s">
        <v>183</v>
      </c>
      <c r="I10" s="31" t="s">
        <v>184</v>
      </c>
      <c r="J10" s="33">
        <v>1980500</v>
      </c>
      <c r="K10" s="33">
        <v>686000</v>
      </c>
      <c r="L10" s="33">
        <v>389300</v>
      </c>
      <c r="M10" s="33">
        <f t="shared" si="4"/>
        <v>3055800</v>
      </c>
      <c r="N10" s="34">
        <f t="shared" si="5"/>
        <v>0.0160204588777815</v>
      </c>
      <c r="O10" s="35">
        <f>SUM($M$2:M10)</f>
        <v>44548200</v>
      </c>
      <c r="P10" s="34">
        <f t="shared" si="6"/>
        <v>0.233550168917856</v>
      </c>
      <c r="Q10" s="37">
        <v>415.5</v>
      </c>
      <c r="R10" s="31">
        <v>13</v>
      </c>
      <c r="S10" s="31">
        <v>3</v>
      </c>
      <c r="T10" s="31">
        <v>2</v>
      </c>
      <c r="U10" s="37">
        <v>1462.6</v>
      </c>
      <c r="V10" s="31">
        <v>49</v>
      </c>
      <c r="W10" s="31">
        <v>6</v>
      </c>
      <c r="X10" s="38">
        <v>1026</v>
      </c>
      <c r="Y10" s="31">
        <v>6</v>
      </c>
      <c r="Z10" s="31">
        <v>2</v>
      </c>
      <c r="AA10" s="31" t="s">
        <v>185</v>
      </c>
      <c r="AB10" s="31" t="s">
        <v>220</v>
      </c>
      <c r="AC10" s="41">
        <f>IFERROR(LOOKUP(M10,打分卡!$F$7:$J$7,打分卡!$K$7:$O$7),1)</f>
        <v>5</v>
      </c>
      <c r="AD10" s="41">
        <f>IFERROR(LOOKUP(S10,打分卡!$F$8:$J$8,打分卡!$K$8:$O$8),1)</f>
        <v>3</v>
      </c>
      <c r="AE10" s="41">
        <f>IFERROR(LOOKUP(T10,打分卡!$F$9:$I$9,打分卡!$K$9:$N$9),1)</f>
        <v>3</v>
      </c>
      <c r="AF10" s="41">
        <f>IFERROR(LOOKUP(Q10,打分卡!$F$10:$J$10,打分卡!$K$10:$O$10),1)</f>
        <v>5</v>
      </c>
      <c r="AG10" s="41">
        <f>IFERROR(LOOKUP(R10,打分卡!$F$11:$J$11,打分卡!$K$11:$O$11),1)</f>
        <v>4</v>
      </c>
      <c r="AH10" s="41">
        <f>IFERROR(LOOKUP(U10,打分卡!$F$12:$J$12,打分卡!$K$12:$O$12),1)</f>
        <v>5</v>
      </c>
      <c r="AI10" s="41">
        <f>IFERROR(LOOKUP(X10,打分卡!$F$13:$J$13,打分卡!$K$13:$O$13),1)</f>
        <v>5</v>
      </c>
      <c r="AJ10" s="41">
        <f>IFERROR(LOOKUP(Y10,打分卡!$F$14:$J$14,打分卡!$K$14:$O$14),1)</f>
        <v>5</v>
      </c>
      <c r="AK10" s="41">
        <f>IFERROR(LOOKUP(W10,打分卡!$F$15:$J$15,打分卡!$K$15:$O$15),1)</f>
        <v>4</v>
      </c>
      <c r="AL10" s="43">
        <f t="shared" si="0"/>
        <v>3</v>
      </c>
      <c r="AM10" s="41">
        <f>IFERROR(LOOKUP(Z10,打分卡!$F$17:$H$17,打分卡!$K$17:$M$17),1)</f>
        <v>5</v>
      </c>
      <c r="AN10" s="44">
        <f>(打分卡!$D$7*AC10+打分卡!$D$8*AD10+打分卡!$D$9*AE10)/5</f>
        <v>34</v>
      </c>
      <c r="AO10" s="44">
        <f>(打分卡!$D$10*AF10+打分卡!$D$11*AG10)/5</f>
        <v>18</v>
      </c>
      <c r="AP10" s="44">
        <f>(打分卡!$D$12*AH10+打分卡!$D$13*AI10+打分卡!$D$14*AJ10+打分卡!$D$15*AK10)/5</f>
        <v>29.2</v>
      </c>
      <c r="AQ10" s="44">
        <f>(打分卡!$D$16*AL10+打分卡!$D$17*AM10)/5</f>
        <v>7.6</v>
      </c>
      <c r="AR10" s="47">
        <f t="shared" si="1"/>
        <v>88.8</v>
      </c>
      <c r="AS10" s="43" t="str">
        <f t="shared" si="2"/>
        <v>KA</v>
      </c>
      <c r="AT10" s="43" t="str">
        <f t="shared" si="7"/>
        <v/>
      </c>
      <c r="AU10" s="43" t="str">
        <f t="shared" si="3"/>
        <v>扩·深化：AI外呼场景深化+Push/企微补全</v>
      </c>
    </row>
    <row r="11" ht="15" customHeight="1" spans="1:47">
      <c r="A11" s="20" t="s">
        <v>225</v>
      </c>
      <c r="B11" s="22" t="s">
        <v>226</v>
      </c>
      <c r="C11" s="22" t="s">
        <v>223</v>
      </c>
      <c r="D11" s="22" t="s">
        <v>227</v>
      </c>
      <c r="E11" s="22" t="s">
        <v>197</v>
      </c>
      <c r="F11" s="20" t="s">
        <v>228</v>
      </c>
      <c r="G11" s="22">
        <v>25</v>
      </c>
      <c r="H11" s="22" t="s">
        <v>192</v>
      </c>
      <c r="I11" s="22" t="s">
        <v>184</v>
      </c>
      <c r="J11" s="36">
        <v>1763700</v>
      </c>
      <c r="K11" s="36">
        <v>818600</v>
      </c>
      <c r="L11" s="36">
        <v>307200</v>
      </c>
      <c r="M11" s="36">
        <f t="shared" si="4"/>
        <v>2889500</v>
      </c>
      <c r="N11" s="34">
        <f t="shared" si="5"/>
        <v>0.0151486078694121</v>
      </c>
      <c r="O11" s="35">
        <f>SUM($M$2:M11)</f>
        <v>47437700</v>
      </c>
      <c r="P11" s="34">
        <f t="shared" si="6"/>
        <v>0.248698776787268</v>
      </c>
      <c r="Q11" s="39">
        <v>308.9</v>
      </c>
      <c r="R11" s="22">
        <v>19</v>
      </c>
      <c r="S11" s="22">
        <v>5</v>
      </c>
      <c r="T11" s="22">
        <v>2</v>
      </c>
      <c r="U11" s="39">
        <v>586.5</v>
      </c>
      <c r="V11" s="22">
        <v>45</v>
      </c>
      <c r="W11" s="22">
        <v>17</v>
      </c>
      <c r="X11" s="40">
        <v>1005</v>
      </c>
      <c r="Y11" s="22">
        <v>6</v>
      </c>
      <c r="Z11" s="22">
        <v>1</v>
      </c>
      <c r="AA11" s="22" t="s">
        <v>185</v>
      </c>
      <c r="AB11" s="22" t="s">
        <v>220</v>
      </c>
      <c r="AC11" s="42">
        <f>IFERROR(LOOKUP(M11,打分卡!$F$7:$J$7,打分卡!$K$7:$O$7),1)</f>
        <v>5</v>
      </c>
      <c r="AD11" s="42">
        <f>IFERROR(LOOKUP(S11,打分卡!$F$8:$J$8,打分卡!$K$8:$O$8),1)</f>
        <v>5</v>
      </c>
      <c r="AE11" s="42">
        <f>IFERROR(LOOKUP(T11,打分卡!$F$9:$I$9,打分卡!$K$9:$N$9),1)</f>
        <v>3</v>
      </c>
      <c r="AF11" s="42">
        <f>IFERROR(LOOKUP(Q11,打分卡!$F$10:$J$10,打分卡!$K$10:$O$10),1)</f>
        <v>5</v>
      </c>
      <c r="AG11" s="42">
        <f>IFERROR(LOOKUP(R11,打分卡!$F$11:$J$11,打分卡!$K$11:$O$11),1)</f>
        <v>5</v>
      </c>
      <c r="AH11" s="42">
        <f>IFERROR(LOOKUP(U11,打分卡!$F$12:$J$12,打分卡!$K$12:$O$12),1)</f>
        <v>5</v>
      </c>
      <c r="AI11" s="42">
        <f>IFERROR(LOOKUP(X11,打分卡!$F$13:$J$13,打分卡!$K$13:$O$13),1)</f>
        <v>5</v>
      </c>
      <c r="AJ11" s="42">
        <f>IFERROR(LOOKUP(Y11,打分卡!$F$14:$J$14,打分卡!$K$14:$O$14),1)</f>
        <v>5</v>
      </c>
      <c r="AK11" s="42">
        <f>IFERROR(LOOKUP(W11,打分卡!$F$15:$J$15,打分卡!$K$15:$O$15),1)</f>
        <v>5</v>
      </c>
      <c r="AL11" s="45">
        <f t="shared" si="0"/>
        <v>3</v>
      </c>
      <c r="AM11" s="42">
        <f>IFERROR(LOOKUP(Z11,打分卡!$F$17:$H$17,打分卡!$K$17:$M$17),1)</f>
        <v>3</v>
      </c>
      <c r="AN11" s="46">
        <f>(打分卡!$D$7*AC11+打分卡!$D$8*AD11+打分卡!$D$9*AE11)/5</f>
        <v>37.2</v>
      </c>
      <c r="AO11" s="46">
        <f>(打分卡!$D$10*AF11+打分卡!$D$11*AG11)/5</f>
        <v>20</v>
      </c>
      <c r="AP11" s="46">
        <f>(打分卡!$D$12*AH11+打分卡!$D$13*AI11+打分卡!$D$14*AJ11+打分卡!$D$15*AK11)/5</f>
        <v>30</v>
      </c>
      <c r="AQ11" s="46">
        <f>(打分卡!$D$16*AL11+打分卡!$D$17*AM11)/5</f>
        <v>6</v>
      </c>
      <c r="AR11" s="48">
        <f t="shared" si="1"/>
        <v>93.2</v>
      </c>
      <c r="AS11" s="45" t="str">
        <f t="shared" si="2"/>
        <v>SKA</v>
      </c>
      <c r="AT11" s="45" t="str">
        <f t="shared" si="7"/>
        <v/>
      </c>
      <c r="AU11" s="45" t="str">
        <f t="shared" si="3"/>
        <v>守·共创：卡片短信/AI外呼新场景POC</v>
      </c>
    </row>
    <row r="12" ht="15" customHeight="1" spans="1:47">
      <c r="A12" s="30" t="s">
        <v>229</v>
      </c>
      <c r="B12" s="31" t="s">
        <v>230</v>
      </c>
      <c r="C12" s="31" t="s">
        <v>179</v>
      </c>
      <c r="D12" s="31" t="s">
        <v>202</v>
      </c>
      <c r="E12" s="31" t="s">
        <v>181</v>
      </c>
      <c r="F12" s="30" t="s">
        <v>231</v>
      </c>
      <c r="G12" s="31">
        <v>23</v>
      </c>
      <c r="H12" s="31" t="s">
        <v>192</v>
      </c>
      <c r="I12" s="31" t="s">
        <v>184</v>
      </c>
      <c r="J12" s="33">
        <v>1629000</v>
      </c>
      <c r="K12" s="33">
        <v>576900</v>
      </c>
      <c r="L12" s="33">
        <v>483200</v>
      </c>
      <c r="M12" s="33">
        <f t="shared" si="4"/>
        <v>2689100</v>
      </c>
      <c r="N12" s="34">
        <f t="shared" si="5"/>
        <v>0.0140979828418883</v>
      </c>
      <c r="O12" s="35">
        <f>SUM($M$2:M12)</f>
        <v>50126800</v>
      </c>
      <c r="P12" s="34">
        <f t="shared" si="6"/>
        <v>0.262796759629157</v>
      </c>
      <c r="Q12" s="37">
        <v>332.1</v>
      </c>
      <c r="R12" s="31">
        <v>21</v>
      </c>
      <c r="S12" s="31">
        <v>5</v>
      </c>
      <c r="T12" s="31">
        <v>3</v>
      </c>
      <c r="U12" s="37">
        <v>107.2</v>
      </c>
      <c r="V12" s="31">
        <v>24</v>
      </c>
      <c r="W12" s="31">
        <v>16</v>
      </c>
      <c r="X12" s="38">
        <v>785</v>
      </c>
      <c r="Y12" s="31">
        <v>8</v>
      </c>
      <c r="Z12" s="31">
        <v>2</v>
      </c>
      <c r="AA12" s="31" t="s">
        <v>185</v>
      </c>
      <c r="AB12" s="31" t="s">
        <v>220</v>
      </c>
      <c r="AC12" s="41">
        <f>IFERROR(LOOKUP(M12,打分卡!$F$7:$J$7,打分卡!$K$7:$O$7),1)</f>
        <v>5</v>
      </c>
      <c r="AD12" s="41">
        <f>IFERROR(LOOKUP(S12,打分卡!$F$8:$J$8,打分卡!$K$8:$O$8),1)</f>
        <v>5</v>
      </c>
      <c r="AE12" s="41">
        <f>IFERROR(LOOKUP(T12,打分卡!$F$9:$I$9,打分卡!$K$9:$N$9),1)</f>
        <v>5</v>
      </c>
      <c r="AF12" s="41">
        <f>IFERROR(LOOKUP(Q12,打分卡!$F$10:$J$10,打分卡!$K$10:$O$10),1)</f>
        <v>5</v>
      </c>
      <c r="AG12" s="41">
        <f>IFERROR(LOOKUP(R12,打分卡!$F$11:$J$11,打分卡!$K$11:$O$11),1)</f>
        <v>5</v>
      </c>
      <c r="AH12" s="41">
        <f>IFERROR(LOOKUP(U12,打分卡!$F$12:$J$12,打分卡!$K$12:$O$12),1)</f>
        <v>5</v>
      </c>
      <c r="AI12" s="41">
        <f>IFERROR(LOOKUP(X12,打分卡!$F$13:$J$13,打分卡!$K$13:$O$13),1)</f>
        <v>5</v>
      </c>
      <c r="AJ12" s="41">
        <f>IFERROR(LOOKUP(Y12,打分卡!$F$14:$J$14,打分卡!$K$14:$O$14),1)</f>
        <v>5</v>
      </c>
      <c r="AK12" s="41">
        <f>IFERROR(LOOKUP(W12,打分卡!$F$15:$J$15,打分卡!$K$15:$O$15),1)</f>
        <v>5</v>
      </c>
      <c r="AL12" s="43">
        <f t="shared" si="0"/>
        <v>3</v>
      </c>
      <c r="AM12" s="41">
        <f>IFERROR(LOOKUP(Z12,打分卡!$F$17:$H$17,打分卡!$K$17:$M$17),1)</f>
        <v>5</v>
      </c>
      <c r="AN12" s="44">
        <f>(打分卡!$D$7*AC12+打分卡!$D$8*AD12+打分卡!$D$9*AE12)/5</f>
        <v>40</v>
      </c>
      <c r="AO12" s="44">
        <f>(打分卡!$D$10*AF12+打分卡!$D$11*AG12)/5</f>
        <v>20</v>
      </c>
      <c r="AP12" s="44">
        <f>(打分卡!$D$12*AH12+打分卡!$D$13*AI12+打分卡!$D$14*AJ12+打分卡!$D$15*AK12)/5</f>
        <v>30</v>
      </c>
      <c r="AQ12" s="44">
        <f>(打分卡!$D$16*AL12+打分卡!$D$17*AM12)/5</f>
        <v>7.6</v>
      </c>
      <c r="AR12" s="47">
        <f t="shared" si="1"/>
        <v>97.6</v>
      </c>
      <c r="AS12" s="43" t="str">
        <f t="shared" si="2"/>
        <v>SKA</v>
      </c>
      <c r="AT12" s="43" t="str">
        <f t="shared" si="7"/>
        <v/>
      </c>
      <c r="AU12" s="43" t="str">
        <f t="shared" si="3"/>
        <v>守·共创：卡片短信/AI外呼新场景POC</v>
      </c>
    </row>
    <row r="13" ht="15" customHeight="1" spans="1:47">
      <c r="A13" s="20" t="s">
        <v>232</v>
      </c>
      <c r="B13" s="22" t="s">
        <v>233</v>
      </c>
      <c r="C13" s="22" t="s">
        <v>234</v>
      </c>
      <c r="D13" s="22" t="s">
        <v>235</v>
      </c>
      <c r="E13" s="22" t="s">
        <v>181</v>
      </c>
      <c r="F13" s="20" t="s">
        <v>236</v>
      </c>
      <c r="G13" s="22">
        <v>15</v>
      </c>
      <c r="H13" s="22" t="s">
        <v>211</v>
      </c>
      <c r="I13" s="22" t="s">
        <v>184</v>
      </c>
      <c r="J13" s="36">
        <v>1179900</v>
      </c>
      <c r="K13" s="36">
        <v>550600</v>
      </c>
      <c r="L13" s="36">
        <v>868700</v>
      </c>
      <c r="M13" s="36">
        <f t="shared" si="4"/>
        <v>2599200</v>
      </c>
      <c r="N13" s="34">
        <f t="shared" si="5"/>
        <v>0.0136266695186627</v>
      </c>
      <c r="O13" s="35">
        <f>SUM($M$2:M13)</f>
        <v>52726000</v>
      </c>
      <c r="P13" s="34">
        <f t="shared" si="6"/>
        <v>0.276423429147819</v>
      </c>
      <c r="Q13" s="39">
        <v>264.5</v>
      </c>
      <c r="R13" s="22">
        <v>19</v>
      </c>
      <c r="S13" s="22">
        <v>5</v>
      </c>
      <c r="T13" s="22">
        <v>3</v>
      </c>
      <c r="U13" s="39">
        <v>117.4</v>
      </c>
      <c r="V13" s="22">
        <v>34</v>
      </c>
      <c r="W13" s="22">
        <v>19</v>
      </c>
      <c r="X13" s="40">
        <v>1805</v>
      </c>
      <c r="Y13" s="22">
        <v>1</v>
      </c>
      <c r="Z13" s="22">
        <v>3</v>
      </c>
      <c r="AA13" s="22" t="s">
        <v>212</v>
      </c>
      <c r="AB13" s="22" t="s">
        <v>220</v>
      </c>
      <c r="AC13" s="42">
        <f>IFERROR(LOOKUP(M13,打分卡!$F$7:$J$7,打分卡!$K$7:$O$7),1)</f>
        <v>5</v>
      </c>
      <c r="AD13" s="42">
        <f>IFERROR(LOOKUP(S13,打分卡!$F$8:$J$8,打分卡!$K$8:$O$8),1)</f>
        <v>5</v>
      </c>
      <c r="AE13" s="42">
        <f>IFERROR(LOOKUP(T13,打分卡!$F$9:$I$9,打分卡!$K$9:$N$9),1)</f>
        <v>5</v>
      </c>
      <c r="AF13" s="42">
        <f>IFERROR(LOOKUP(Q13,打分卡!$F$10:$J$10,打分卡!$K$10:$O$10),1)</f>
        <v>5</v>
      </c>
      <c r="AG13" s="42">
        <f>IFERROR(LOOKUP(R13,打分卡!$F$11:$J$11,打分卡!$K$11:$O$11),1)</f>
        <v>5</v>
      </c>
      <c r="AH13" s="42">
        <f>IFERROR(LOOKUP(U13,打分卡!$F$12:$J$12,打分卡!$K$12:$O$12),1)</f>
        <v>5</v>
      </c>
      <c r="AI13" s="42">
        <f>IFERROR(LOOKUP(X13,打分卡!$F$13:$J$13,打分卡!$K$13:$O$13),1)</f>
        <v>5</v>
      </c>
      <c r="AJ13" s="42">
        <f>IFERROR(LOOKUP(Y13,打分卡!$F$14:$J$14,打分卡!$K$14:$O$14),1)</f>
        <v>2</v>
      </c>
      <c r="AK13" s="42">
        <f>IFERROR(LOOKUP(W13,打分卡!$F$15:$J$15,打分卡!$K$15:$O$15),1)</f>
        <v>5</v>
      </c>
      <c r="AL13" s="45">
        <f t="shared" si="0"/>
        <v>1</v>
      </c>
      <c r="AM13" s="42">
        <f>IFERROR(LOOKUP(Z13,打分卡!$F$17:$H$17,打分卡!$K$17:$M$17),1)</f>
        <v>5</v>
      </c>
      <c r="AN13" s="46">
        <f>(打分卡!$D$7*AC13+打分卡!$D$8*AD13+打分卡!$D$9*AE13)/5</f>
        <v>40</v>
      </c>
      <c r="AO13" s="46">
        <f>(打分卡!$D$10*AF13+打分卡!$D$11*AG13)/5</f>
        <v>20</v>
      </c>
      <c r="AP13" s="46">
        <f>(打分卡!$D$12*AH13+打分卡!$D$13*AI13+打分卡!$D$14*AJ13+打分卡!$D$15*AK13)/5</f>
        <v>26.4</v>
      </c>
      <c r="AQ13" s="46">
        <f>(打分卡!$D$16*AL13+打分卡!$D$17*AM13)/5</f>
        <v>5.2</v>
      </c>
      <c r="AR13" s="48">
        <f t="shared" si="1"/>
        <v>91.6</v>
      </c>
      <c r="AS13" s="45" t="str">
        <f t="shared" si="2"/>
        <v>SKA</v>
      </c>
      <c r="AT13" s="45" t="str">
        <f t="shared" si="7"/>
        <v>连续下降-预警</v>
      </c>
      <c r="AU13" s="45" t="str">
        <f t="shared" si="3"/>
        <v>守·共创：卡片短信/AI外呼新场景POC</v>
      </c>
    </row>
    <row r="14" ht="15" customHeight="1" spans="1:47">
      <c r="A14" s="30" t="s">
        <v>237</v>
      </c>
      <c r="B14" s="31" t="s">
        <v>238</v>
      </c>
      <c r="C14" s="31" t="s">
        <v>239</v>
      </c>
      <c r="D14" s="31" t="s">
        <v>202</v>
      </c>
      <c r="E14" s="31" t="s">
        <v>181</v>
      </c>
      <c r="F14" s="30" t="s">
        <v>240</v>
      </c>
      <c r="G14" s="31">
        <v>36</v>
      </c>
      <c r="H14" s="31" t="s">
        <v>211</v>
      </c>
      <c r="I14" s="31" t="s">
        <v>184</v>
      </c>
      <c r="J14" s="33">
        <v>1408000</v>
      </c>
      <c r="K14" s="33">
        <v>861700</v>
      </c>
      <c r="L14" s="33">
        <v>311500</v>
      </c>
      <c r="M14" s="33">
        <f t="shared" si="4"/>
        <v>2581200</v>
      </c>
      <c r="N14" s="34">
        <f t="shared" si="5"/>
        <v>0.0135323020012205</v>
      </c>
      <c r="O14" s="35">
        <f>SUM($M$2:M14)</f>
        <v>55307200</v>
      </c>
      <c r="P14" s="34">
        <f t="shared" si="6"/>
        <v>0.28995573114904</v>
      </c>
      <c r="Q14" s="37">
        <v>336.7</v>
      </c>
      <c r="R14" s="31">
        <v>16</v>
      </c>
      <c r="S14" s="31">
        <v>6</v>
      </c>
      <c r="T14" s="31">
        <v>2</v>
      </c>
      <c r="U14" s="37">
        <v>129.8</v>
      </c>
      <c r="V14" s="31">
        <v>41</v>
      </c>
      <c r="W14" s="31">
        <v>21</v>
      </c>
      <c r="X14" s="38">
        <v>505</v>
      </c>
      <c r="Y14" s="31">
        <v>2</v>
      </c>
      <c r="Z14" s="31">
        <v>2</v>
      </c>
      <c r="AA14" s="31" t="s">
        <v>212</v>
      </c>
      <c r="AB14" s="31" t="s">
        <v>220</v>
      </c>
      <c r="AC14" s="41">
        <f>IFERROR(LOOKUP(M14,打分卡!$F$7:$J$7,打分卡!$K$7:$O$7),1)</f>
        <v>5</v>
      </c>
      <c r="AD14" s="41">
        <f>IFERROR(LOOKUP(S14,打分卡!$F$8:$J$8,打分卡!$K$8:$O$8),1)</f>
        <v>5</v>
      </c>
      <c r="AE14" s="41">
        <f>IFERROR(LOOKUP(T14,打分卡!$F$9:$I$9,打分卡!$K$9:$N$9),1)</f>
        <v>3</v>
      </c>
      <c r="AF14" s="41">
        <f>IFERROR(LOOKUP(Q14,打分卡!$F$10:$J$10,打分卡!$K$10:$O$10),1)</f>
        <v>5</v>
      </c>
      <c r="AG14" s="41">
        <f>IFERROR(LOOKUP(R14,打分卡!$F$11:$J$11,打分卡!$K$11:$O$11),1)</f>
        <v>5</v>
      </c>
      <c r="AH14" s="41">
        <f>IFERROR(LOOKUP(U14,打分卡!$F$12:$J$12,打分卡!$K$12:$O$12),1)</f>
        <v>5</v>
      </c>
      <c r="AI14" s="41">
        <f>IFERROR(LOOKUP(X14,打分卡!$F$13:$J$13,打分卡!$K$13:$O$13),1)</f>
        <v>5</v>
      </c>
      <c r="AJ14" s="41">
        <f>IFERROR(LOOKUP(Y14,打分卡!$F$14:$J$14,打分卡!$K$14:$O$14),1)</f>
        <v>3</v>
      </c>
      <c r="AK14" s="41">
        <f>IFERROR(LOOKUP(W14,打分卡!$F$15:$J$15,打分卡!$K$15:$O$15),1)</f>
        <v>5</v>
      </c>
      <c r="AL14" s="43">
        <f t="shared" si="0"/>
        <v>1</v>
      </c>
      <c r="AM14" s="41">
        <f>IFERROR(LOOKUP(Z14,打分卡!$F$17:$H$17,打分卡!$K$17:$M$17),1)</f>
        <v>5</v>
      </c>
      <c r="AN14" s="44">
        <f>(打分卡!$D$7*AC14+打分卡!$D$8*AD14+打分卡!$D$9*AE14)/5</f>
        <v>37.2</v>
      </c>
      <c r="AO14" s="44">
        <f>(打分卡!$D$10*AF14+打分卡!$D$11*AG14)/5</f>
        <v>20</v>
      </c>
      <c r="AP14" s="44">
        <f>(打分卡!$D$12*AH14+打分卡!$D$13*AI14+打分卡!$D$14*AJ14+打分卡!$D$15*AK14)/5</f>
        <v>27.6</v>
      </c>
      <c r="AQ14" s="44">
        <f>(打分卡!$D$16*AL14+打分卡!$D$17*AM14)/5</f>
        <v>5.2</v>
      </c>
      <c r="AR14" s="47">
        <f t="shared" si="1"/>
        <v>90</v>
      </c>
      <c r="AS14" s="43" t="str">
        <f t="shared" si="2"/>
        <v>SKA</v>
      </c>
      <c r="AT14" s="43" t="str">
        <f t="shared" si="7"/>
        <v>连续下降-预警</v>
      </c>
      <c r="AU14" s="43" t="str">
        <f t="shared" si="3"/>
        <v>守·共创：卡片短信/AI外呼新场景POC</v>
      </c>
    </row>
    <row r="15" ht="15" customHeight="1" spans="1:47">
      <c r="A15" s="20" t="s">
        <v>241</v>
      </c>
      <c r="B15" s="22" t="s">
        <v>242</v>
      </c>
      <c r="C15" s="22" t="s">
        <v>239</v>
      </c>
      <c r="D15" s="22" t="s">
        <v>196</v>
      </c>
      <c r="E15" s="22" t="s">
        <v>181</v>
      </c>
      <c r="F15" s="20" t="s">
        <v>243</v>
      </c>
      <c r="G15" s="22">
        <v>21</v>
      </c>
      <c r="H15" s="22" t="s">
        <v>211</v>
      </c>
      <c r="I15" s="22" t="s">
        <v>184</v>
      </c>
      <c r="J15" s="36">
        <v>1421400</v>
      </c>
      <c r="K15" s="36">
        <v>519400</v>
      </c>
      <c r="L15" s="36">
        <v>587400</v>
      </c>
      <c r="M15" s="36">
        <f t="shared" si="4"/>
        <v>2528200</v>
      </c>
      <c r="N15" s="34">
        <f t="shared" si="5"/>
        <v>0.0132544420887516</v>
      </c>
      <c r="O15" s="35">
        <f>SUM($M$2:M15)</f>
        <v>57835400</v>
      </c>
      <c r="P15" s="34">
        <f t="shared" si="6"/>
        <v>0.303210173237791</v>
      </c>
      <c r="Q15" s="39">
        <v>346.5</v>
      </c>
      <c r="R15" s="22">
        <v>24</v>
      </c>
      <c r="S15" s="22">
        <v>3</v>
      </c>
      <c r="T15" s="22">
        <v>3</v>
      </c>
      <c r="U15" s="39">
        <v>159.8</v>
      </c>
      <c r="V15" s="22">
        <v>33</v>
      </c>
      <c r="W15" s="22">
        <v>17</v>
      </c>
      <c r="X15" s="40">
        <v>1382</v>
      </c>
      <c r="Y15" s="22">
        <v>2</v>
      </c>
      <c r="Z15" s="22">
        <v>3</v>
      </c>
      <c r="AA15" s="22" t="s">
        <v>212</v>
      </c>
      <c r="AB15" s="22" t="s">
        <v>220</v>
      </c>
      <c r="AC15" s="42">
        <f>IFERROR(LOOKUP(M15,打分卡!$F$7:$J$7,打分卡!$K$7:$O$7),1)</f>
        <v>5</v>
      </c>
      <c r="AD15" s="42">
        <f>IFERROR(LOOKUP(S15,打分卡!$F$8:$J$8,打分卡!$K$8:$O$8),1)</f>
        <v>3</v>
      </c>
      <c r="AE15" s="42">
        <f>IFERROR(LOOKUP(T15,打分卡!$F$9:$I$9,打分卡!$K$9:$N$9),1)</f>
        <v>5</v>
      </c>
      <c r="AF15" s="42">
        <f>IFERROR(LOOKUP(Q15,打分卡!$F$10:$J$10,打分卡!$K$10:$O$10),1)</f>
        <v>5</v>
      </c>
      <c r="AG15" s="42">
        <f>IFERROR(LOOKUP(R15,打分卡!$F$11:$J$11,打分卡!$K$11:$O$11),1)</f>
        <v>5</v>
      </c>
      <c r="AH15" s="42">
        <f>IFERROR(LOOKUP(U15,打分卡!$F$12:$J$12,打分卡!$K$12:$O$12),1)</f>
        <v>5</v>
      </c>
      <c r="AI15" s="42">
        <f>IFERROR(LOOKUP(X15,打分卡!$F$13:$J$13,打分卡!$K$13:$O$13),1)</f>
        <v>5</v>
      </c>
      <c r="AJ15" s="42">
        <f>IFERROR(LOOKUP(Y15,打分卡!$F$14:$J$14,打分卡!$K$14:$O$14),1)</f>
        <v>3</v>
      </c>
      <c r="AK15" s="42">
        <f>IFERROR(LOOKUP(W15,打分卡!$F$15:$J$15,打分卡!$K$15:$O$15),1)</f>
        <v>5</v>
      </c>
      <c r="AL15" s="45">
        <f t="shared" si="0"/>
        <v>1</v>
      </c>
      <c r="AM15" s="42">
        <f>IFERROR(LOOKUP(Z15,打分卡!$F$17:$H$17,打分卡!$K$17:$M$17),1)</f>
        <v>5</v>
      </c>
      <c r="AN15" s="46">
        <f>(打分卡!$D$7*AC15+打分卡!$D$8*AD15+打分卡!$D$9*AE15)/5</f>
        <v>36.8</v>
      </c>
      <c r="AO15" s="46">
        <f>(打分卡!$D$10*AF15+打分卡!$D$11*AG15)/5</f>
        <v>20</v>
      </c>
      <c r="AP15" s="46">
        <f>(打分卡!$D$12*AH15+打分卡!$D$13*AI15+打分卡!$D$14*AJ15+打分卡!$D$15*AK15)/5</f>
        <v>27.6</v>
      </c>
      <c r="AQ15" s="46">
        <f>(打分卡!$D$16*AL15+打分卡!$D$17*AM15)/5</f>
        <v>5.2</v>
      </c>
      <c r="AR15" s="48">
        <f t="shared" si="1"/>
        <v>89.6</v>
      </c>
      <c r="AS15" s="45" t="str">
        <f t="shared" si="2"/>
        <v>KA</v>
      </c>
      <c r="AT15" s="45" t="str">
        <f t="shared" si="7"/>
        <v>连续下降-预警</v>
      </c>
      <c r="AU15" s="45" t="str">
        <f t="shared" si="3"/>
        <v>扩·深化：AI外呼场景深化+Push/企微补全</v>
      </c>
    </row>
    <row r="16" ht="15" customHeight="1" spans="1:47">
      <c r="A16" s="30" t="s">
        <v>244</v>
      </c>
      <c r="B16" s="31" t="s">
        <v>245</v>
      </c>
      <c r="C16" s="31" t="s">
        <v>189</v>
      </c>
      <c r="D16" s="31" t="s">
        <v>190</v>
      </c>
      <c r="E16" s="31" t="s">
        <v>181</v>
      </c>
      <c r="F16" s="30" t="s">
        <v>246</v>
      </c>
      <c r="G16" s="31">
        <v>20</v>
      </c>
      <c r="H16" s="31" t="s">
        <v>192</v>
      </c>
      <c r="I16" s="31" t="s">
        <v>184</v>
      </c>
      <c r="J16" s="33">
        <v>1105500</v>
      </c>
      <c r="K16" s="33">
        <v>646000</v>
      </c>
      <c r="L16" s="33">
        <v>511800</v>
      </c>
      <c r="M16" s="33">
        <f t="shared" si="4"/>
        <v>2263300</v>
      </c>
      <c r="N16" s="34">
        <f t="shared" si="5"/>
        <v>0.011865666790393</v>
      </c>
      <c r="O16" s="35">
        <f>SUM($M$2:M16)</f>
        <v>60098700</v>
      </c>
      <c r="P16" s="34">
        <f t="shared" si="6"/>
        <v>0.315075840028184</v>
      </c>
      <c r="Q16" s="37">
        <v>225.2</v>
      </c>
      <c r="R16" s="31">
        <v>21</v>
      </c>
      <c r="S16" s="31">
        <v>5</v>
      </c>
      <c r="T16" s="31">
        <v>3</v>
      </c>
      <c r="U16" s="37">
        <v>404.9</v>
      </c>
      <c r="V16" s="31">
        <v>34</v>
      </c>
      <c r="W16" s="31">
        <v>12</v>
      </c>
      <c r="X16" s="38">
        <v>828</v>
      </c>
      <c r="Y16" s="31">
        <v>6</v>
      </c>
      <c r="Z16" s="31">
        <v>2</v>
      </c>
      <c r="AA16" s="31" t="s">
        <v>199</v>
      </c>
      <c r="AB16" s="31" t="s">
        <v>220</v>
      </c>
      <c r="AC16" s="41">
        <f>IFERROR(LOOKUP(M16,打分卡!$F$7:$J$7,打分卡!$K$7:$O$7),1)</f>
        <v>5</v>
      </c>
      <c r="AD16" s="41">
        <f>IFERROR(LOOKUP(S16,打分卡!$F$8:$J$8,打分卡!$K$8:$O$8),1)</f>
        <v>5</v>
      </c>
      <c r="AE16" s="41">
        <f>IFERROR(LOOKUP(T16,打分卡!$F$9:$I$9,打分卡!$K$9:$N$9),1)</f>
        <v>5</v>
      </c>
      <c r="AF16" s="41">
        <f>IFERROR(LOOKUP(Q16,打分卡!$F$10:$J$10,打分卡!$K$10:$O$10),1)</f>
        <v>5</v>
      </c>
      <c r="AG16" s="41">
        <f>IFERROR(LOOKUP(R16,打分卡!$F$11:$J$11,打分卡!$K$11:$O$11),1)</f>
        <v>5</v>
      </c>
      <c r="AH16" s="41">
        <f>IFERROR(LOOKUP(U16,打分卡!$F$12:$J$12,打分卡!$K$12:$O$12),1)</f>
        <v>5</v>
      </c>
      <c r="AI16" s="41">
        <f>IFERROR(LOOKUP(X16,打分卡!$F$13:$J$13,打分卡!$K$13:$O$13),1)</f>
        <v>5</v>
      </c>
      <c r="AJ16" s="41">
        <f>IFERROR(LOOKUP(Y16,打分卡!$F$14:$J$14,打分卡!$K$14:$O$14),1)</f>
        <v>5</v>
      </c>
      <c r="AK16" s="41">
        <f>IFERROR(LOOKUP(W16,打分卡!$F$15:$J$15,打分卡!$K$15:$O$15),1)</f>
        <v>5</v>
      </c>
      <c r="AL16" s="43">
        <f t="shared" si="0"/>
        <v>5</v>
      </c>
      <c r="AM16" s="41">
        <f>IFERROR(LOOKUP(Z16,打分卡!$F$17:$H$17,打分卡!$K$17:$M$17),1)</f>
        <v>5</v>
      </c>
      <c r="AN16" s="44">
        <f>(打分卡!$D$7*AC16+打分卡!$D$8*AD16+打分卡!$D$9*AE16)/5</f>
        <v>40</v>
      </c>
      <c r="AO16" s="44">
        <f>(打分卡!$D$10*AF16+打分卡!$D$11*AG16)/5</f>
        <v>20</v>
      </c>
      <c r="AP16" s="44">
        <f>(打分卡!$D$12*AH16+打分卡!$D$13*AI16+打分卡!$D$14*AJ16+打分卡!$D$15*AK16)/5</f>
        <v>30</v>
      </c>
      <c r="AQ16" s="44">
        <f>(打分卡!$D$16*AL16+打分卡!$D$17*AM16)/5</f>
        <v>10</v>
      </c>
      <c r="AR16" s="47">
        <f t="shared" si="1"/>
        <v>100</v>
      </c>
      <c r="AS16" s="43" t="str">
        <f t="shared" si="2"/>
        <v>SKA</v>
      </c>
      <c r="AT16" s="43" t="str">
        <f t="shared" si="7"/>
        <v/>
      </c>
      <c r="AU16" s="43" t="str">
        <f t="shared" si="3"/>
        <v>守·共创：卡片短信/AI外呼新场景POC</v>
      </c>
    </row>
    <row r="17" ht="15" customHeight="1" spans="1:47">
      <c r="A17" s="20" t="s">
        <v>247</v>
      </c>
      <c r="B17" s="22" t="s">
        <v>248</v>
      </c>
      <c r="C17" s="22" t="s">
        <v>195</v>
      </c>
      <c r="D17" s="22" t="s">
        <v>202</v>
      </c>
      <c r="E17" s="22" t="s">
        <v>181</v>
      </c>
      <c r="F17" s="20" t="s">
        <v>249</v>
      </c>
      <c r="G17" s="22">
        <v>29</v>
      </c>
      <c r="H17" s="22" t="s">
        <v>211</v>
      </c>
      <c r="I17" s="22" t="s">
        <v>184</v>
      </c>
      <c r="J17" s="36">
        <v>1264400</v>
      </c>
      <c r="K17" s="36">
        <v>533900</v>
      </c>
      <c r="L17" s="36">
        <v>452500</v>
      </c>
      <c r="M17" s="36">
        <f t="shared" si="4"/>
        <v>2250800</v>
      </c>
      <c r="N17" s="34">
        <f t="shared" si="5"/>
        <v>0.0118001337921692</v>
      </c>
      <c r="O17" s="35">
        <f>SUM($M$2:M17)</f>
        <v>62349500</v>
      </c>
      <c r="P17" s="34">
        <f t="shared" si="6"/>
        <v>0.326875973820354</v>
      </c>
      <c r="Q17" s="39">
        <v>247.4</v>
      </c>
      <c r="R17" s="22">
        <v>25</v>
      </c>
      <c r="S17" s="22">
        <v>6</v>
      </c>
      <c r="T17" s="22">
        <v>2</v>
      </c>
      <c r="U17" s="39">
        <v>308.2</v>
      </c>
      <c r="V17" s="22">
        <v>32</v>
      </c>
      <c r="W17" s="22">
        <v>21</v>
      </c>
      <c r="X17" s="40">
        <v>653</v>
      </c>
      <c r="Y17" s="22">
        <v>2</v>
      </c>
      <c r="Z17" s="22">
        <v>2</v>
      </c>
      <c r="AA17" s="22" t="s">
        <v>212</v>
      </c>
      <c r="AB17" s="22" t="s">
        <v>220</v>
      </c>
      <c r="AC17" s="42">
        <f>IFERROR(LOOKUP(M17,打分卡!$F$7:$J$7,打分卡!$K$7:$O$7),1)</f>
        <v>5</v>
      </c>
      <c r="AD17" s="42">
        <f>IFERROR(LOOKUP(S17,打分卡!$F$8:$J$8,打分卡!$K$8:$O$8),1)</f>
        <v>5</v>
      </c>
      <c r="AE17" s="42">
        <f>IFERROR(LOOKUP(T17,打分卡!$F$9:$I$9,打分卡!$K$9:$N$9),1)</f>
        <v>3</v>
      </c>
      <c r="AF17" s="42">
        <f>IFERROR(LOOKUP(Q17,打分卡!$F$10:$J$10,打分卡!$K$10:$O$10),1)</f>
        <v>5</v>
      </c>
      <c r="AG17" s="42">
        <f>IFERROR(LOOKUP(R17,打分卡!$F$11:$J$11,打分卡!$K$11:$O$11),1)</f>
        <v>5</v>
      </c>
      <c r="AH17" s="42">
        <f>IFERROR(LOOKUP(U17,打分卡!$F$12:$J$12,打分卡!$K$12:$O$12),1)</f>
        <v>5</v>
      </c>
      <c r="AI17" s="42">
        <f>IFERROR(LOOKUP(X17,打分卡!$F$13:$J$13,打分卡!$K$13:$O$13),1)</f>
        <v>5</v>
      </c>
      <c r="AJ17" s="42">
        <f>IFERROR(LOOKUP(Y17,打分卡!$F$14:$J$14,打分卡!$K$14:$O$14),1)</f>
        <v>3</v>
      </c>
      <c r="AK17" s="42">
        <f>IFERROR(LOOKUP(W17,打分卡!$F$15:$J$15,打分卡!$K$15:$O$15),1)</f>
        <v>5</v>
      </c>
      <c r="AL17" s="45">
        <f t="shared" si="0"/>
        <v>1</v>
      </c>
      <c r="AM17" s="42">
        <f>IFERROR(LOOKUP(Z17,打分卡!$F$17:$H$17,打分卡!$K$17:$M$17),1)</f>
        <v>5</v>
      </c>
      <c r="AN17" s="46">
        <f>(打分卡!$D$7*AC17+打分卡!$D$8*AD17+打分卡!$D$9*AE17)/5</f>
        <v>37.2</v>
      </c>
      <c r="AO17" s="46">
        <f>(打分卡!$D$10*AF17+打分卡!$D$11*AG17)/5</f>
        <v>20</v>
      </c>
      <c r="AP17" s="46">
        <f>(打分卡!$D$12*AH17+打分卡!$D$13*AI17+打分卡!$D$14*AJ17+打分卡!$D$15*AK17)/5</f>
        <v>27.6</v>
      </c>
      <c r="AQ17" s="46">
        <f>(打分卡!$D$16*AL17+打分卡!$D$17*AM17)/5</f>
        <v>5.2</v>
      </c>
      <c r="AR17" s="48">
        <f t="shared" si="1"/>
        <v>90</v>
      </c>
      <c r="AS17" s="45" t="str">
        <f t="shared" si="2"/>
        <v>SKA</v>
      </c>
      <c r="AT17" s="45" t="str">
        <f t="shared" si="7"/>
        <v>连续下降-预警</v>
      </c>
      <c r="AU17" s="45" t="str">
        <f t="shared" si="3"/>
        <v>守·共创：卡片短信/AI外呼新场景POC</v>
      </c>
    </row>
    <row r="18" ht="15" customHeight="1" spans="1:47">
      <c r="A18" s="30" t="s">
        <v>250</v>
      </c>
      <c r="B18" s="31" t="s">
        <v>251</v>
      </c>
      <c r="C18" s="31" t="s">
        <v>239</v>
      </c>
      <c r="D18" s="31" t="s">
        <v>252</v>
      </c>
      <c r="E18" s="31" t="s">
        <v>181</v>
      </c>
      <c r="F18" s="30" t="s">
        <v>253</v>
      </c>
      <c r="G18" s="31">
        <v>31</v>
      </c>
      <c r="H18" s="31" t="s">
        <v>211</v>
      </c>
      <c r="I18" s="31" t="s">
        <v>184</v>
      </c>
      <c r="J18" s="33">
        <v>1308600</v>
      </c>
      <c r="K18" s="33">
        <v>660000</v>
      </c>
      <c r="L18" s="33">
        <v>103600</v>
      </c>
      <c r="M18" s="33">
        <f t="shared" si="4"/>
        <v>2072200</v>
      </c>
      <c r="N18" s="34">
        <f t="shared" si="5"/>
        <v>0.0108637983135476</v>
      </c>
      <c r="O18" s="35">
        <f>SUM($M$2:M18)</f>
        <v>64421700</v>
      </c>
      <c r="P18" s="34">
        <f t="shared" si="6"/>
        <v>0.337739772133901</v>
      </c>
      <c r="Q18" s="37">
        <v>271.8</v>
      </c>
      <c r="R18" s="31">
        <v>14</v>
      </c>
      <c r="S18" s="31">
        <v>4</v>
      </c>
      <c r="T18" s="31">
        <v>3</v>
      </c>
      <c r="U18" s="37">
        <v>135.8</v>
      </c>
      <c r="V18" s="31">
        <v>41</v>
      </c>
      <c r="W18" s="31">
        <v>20</v>
      </c>
      <c r="X18" s="38">
        <v>2294</v>
      </c>
      <c r="Y18" s="31">
        <v>3</v>
      </c>
      <c r="Z18" s="31">
        <v>1</v>
      </c>
      <c r="AA18" s="31" t="s">
        <v>212</v>
      </c>
      <c r="AB18" s="31" t="s">
        <v>186</v>
      </c>
      <c r="AC18" s="41">
        <f>IFERROR(LOOKUP(M18,打分卡!$F$7:$J$7,打分卡!$K$7:$O$7),1)</f>
        <v>5</v>
      </c>
      <c r="AD18" s="41">
        <f>IFERROR(LOOKUP(S18,打分卡!$F$8:$J$8,打分卡!$K$8:$O$8),1)</f>
        <v>4</v>
      </c>
      <c r="AE18" s="41">
        <f>IFERROR(LOOKUP(T18,打分卡!$F$9:$I$9,打分卡!$K$9:$N$9),1)</f>
        <v>5</v>
      </c>
      <c r="AF18" s="41">
        <f>IFERROR(LOOKUP(Q18,打分卡!$F$10:$J$10,打分卡!$K$10:$O$10),1)</f>
        <v>5</v>
      </c>
      <c r="AG18" s="41">
        <f>IFERROR(LOOKUP(R18,打分卡!$F$11:$J$11,打分卡!$K$11:$O$11),1)</f>
        <v>4</v>
      </c>
      <c r="AH18" s="41">
        <f>IFERROR(LOOKUP(U18,打分卡!$F$12:$J$12,打分卡!$K$12:$O$12),1)</f>
        <v>5</v>
      </c>
      <c r="AI18" s="41">
        <f>IFERROR(LOOKUP(X18,打分卡!$F$13:$J$13,打分卡!$K$13:$O$13),1)</f>
        <v>5</v>
      </c>
      <c r="AJ18" s="41">
        <f>IFERROR(LOOKUP(Y18,打分卡!$F$14:$J$14,打分卡!$K$14:$O$14),1)</f>
        <v>4</v>
      </c>
      <c r="AK18" s="41">
        <f>IFERROR(LOOKUP(W18,打分卡!$F$15:$J$15,打分卡!$K$15:$O$15),1)</f>
        <v>5</v>
      </c>
      <c r="AL18" s="43">
        <f t="shared" si="0"/>
        <v>1</v>
      </c>
      <c r="AM18" s="41">
        <f>IFERROR(LOOKUP(Z18,打分卡!$F$17:$H$17,打分卡!$K$17:$M$17),1)</f>
        <v>3</v>
      </c>
      <c r="AN18" s="44">
        <f>(打分卡!$D$7*AC18+打分卡!$D$8*AD18+打分卡!$D$9*AE18)/5</f>
        <v>38.4</v>
      </c>
      <c r="AO18" s="44">
        <f>(打分卡!$D$10*AF18+打分卡!$D$11*AG18)/5</f>
        <v>18</v>
      </c>
      <c r="AP18" s="44">
        <f>(打分卡!$D$12*AH18+打分卡!$D$13*AI18+打分卡!$D$14*AJ18+打分卡!$D$15*AK18)/5</f>
        <v>28.8</v>
      </c>
      <c r="AQ18" s="44">
        <f>(打分卡!$D$16*AL18+打分卡!$D$17*AM18)/5</f>
        <v>3.6</v>
      </c>
      <c r="AR18" s="47">
        <f t="shared" si="1"/>
        <v>88.8</v>
      </c>
      <c r="AS18" s="43" t="str">
        <f t="shared" si="2"/>
        <v>KA</v>
      </c>
      <c r="AT18" s="43" t="str">
        <f t="shared" si="7"/>
        <v>连续下降-预警</v>
      </c>
      <c r="AU18" s="43" t="str">
        <f t="shared" si="3"/>
        <v>扩·深化：AI外呼场景深化+Push/企微补全</v>
      </c>
    </row>
    <row r="19" ht="15" customHeight="1" spans="1:47">
      <c r="A19" s="20" t="s">
        <v>254</v>
      </c>
      <c r="B19" s="22" t="s">
        <v>255</v>
      </c>
      <c r="C19" s="22" t="s">
        <v>195</v>
      </c>
      <c r="D19" s="22" t="s">
        <v>202</v>
      </c>
      <c r="E19" s="22" t="s">
        <v>181</v>
      </c>
      <c r="F19" s="20" t="s">
        <v>256</v>
      </c>
      <c r="G19" s="22">
        <v>35</v>
      </c>
      <c r="H19" s="22" t="s">
        <v>192</v>
      </c>
      <c r="I19" s="22" t="s">
        <v>184</v>
      </c>
      <c r="J19" s="36">
        <v>1193700</v>
      </c>
      <c r="K19" s="36">
        <v>489600</v>
      </c>
      <c r="L19" s="36">
        <v>326800</v>
      </c>
      <c r="M19" s="36">
        <f t="shared" si="4"/>
        <v>2010100</v>
      </c>
      <c r="N19" s="34">
        <f t="shared" si="5"/>
        <v>0.0105382303783718</v>
      </c>
      <c r="O19" s="35">
        <f>SUM($M$2:M19)</f>
        <v>66431800</v>
      </c>
      <c r="P19" s="34">
        <f t="shared" si="6"/>
        <v>0.348278002512273</v>
      </c>
      <c r="Q19" s="39">
        <v>280.8</v>
      </c>
      <c r="R19" s="22">
        <v>19</v>
      </c>
      <c r="S19" s="22">
        <v>5</v>
      </c>
      <c r="T19" s="22">
        <v>2</v>
      </c>
      <c r="U19" s="39">
        <v>179.2</v>
      </c>
      <c r="V19" s="22">
        <v>46</v>
      </c>
      <c r="W19" s="22">
        <v>11</v>
      </c>
      <c r="X19" s="40">
        <v>2713</v>
      </c>
      <c r="Y19" s="22">
        <v>4</v>
      </c>
      <c r="Z19" s="22">
        <v>3</v>
      </c>
      <c r="AA19" s="22" t="s">
        <v>199</v>
      </c>
      <c r="AB19" s="22" t="s">
        <v>220</v>
      </c>
      <c r="AC19" s="42">
        <f>IFERROR(LOOKUP(M19,打分卡!$F$7:$J$7,打分卡!$K$7:$O$7),1)</f>
        <v>5</v>
      </c>
      <c r="AD19" s="42">
        <f>IFERROR(LOOKUP(S19,打分卡!$F$8:$J$8,打分卡!$K$8:$O$8),1)</f>
        <v>5</v>
      </c>
      <c r="AE19" s="42">
        <f>IFERROR(LOOKUP(T19,打分卡!$F$9:$I$9,打分卡!$K$9:$N$9),1)</f>
        <v>3</v>
      </c>
      <c r="AF19" s="42">
        <f>IFERROR(LOOKUP(Q19,打分卡!$F$10:$J$10,打分卡!$K$10:$O$10),1)</f>
        <v>5</v>
      </c>
      <c r="AG19" s="42">
        <f>IFERROR(LOOKUP(R19,打分卡!$F$11:$J$11,打分卡!$K$11:$O$11),1)</f>
        <v>5</v>
      </c>
      <c r="AH19" s="42">
        <f>IFERROR(LOOKUP(U19,打分卡!$F$12:$J$12,打分卡!$K$12:$O$12),1)</f>
        <v>5</v>
      </c>
      <c r="AI19" s="42">
        <f>IFERROR(LOOKUP(X19,打分卡!$F$13:$J$13,打分卡!$K$13:$O$13),1)</f>
        <v>5</v>
      </c>
      <c r="AJ19" s="42">
        <f>IFERROR(LOOKUP(Y19,打分卡!$F$14:$J$14,打分卡!$K$14:$O$14),1)</f>
        <v>4</v>
      </c>
      <c r="AK19" s="42">
        <f>IFERROR(LOOKUP(W19,打分卡!$F$15:$J$15,打分卡!$K$15:$O$15),1)</f>
        <v>5</v>
      </c>
      <c r="AL19" s="45">
        <f t="shared" si="0"/>
        <v>5</v>
      </c>
      <c r="AM19" s="42">
        <f>IFERROR(LOOKUP(Z19,打分卡!$F$17:$H$17,打分卡!$K$17:$M$17),1)</f>
        <v>5</v>
      </c>
      <c r="AN19" s="46">
        <f>(打分卡!$D$7*AC19+打分卡!$D$8*AD19+打分卡!$D$9*AE19)/5</f>
        <v>37.2</v>
      </c>
      <c r="AO19" s="46">
        <f>(打分卡!$D$10*AF19+打分卡!$D$11*AG19)/5</f>
        <v>20</v>
      </c>
      <c r="AP19" s="46">
        <f>(打分卡!$D$12*AH19+打分卡!$D$13*AI19+打分卡!$D$14*AJ19+打分卡!$D$15*AK19)/5</f>
        <v>28.8</v>
      </c>
      <c r="AQ19" s="46">
        <f>(打分卡!$D$16*AL19+打分卡!$D$17*AM19)/5</f>
        <v>10</v>
      </c>
      <c r="AR19" s="48">
        <f t="shared" si="1"/>
        <v>96</v>
      </c>
      <c r="AS19" s="45" t="str">
        <f t="shared" si="2"/>
        <v>SKA</v>
      </c>
      <c r="AT19" s="45" t="str">
        <f t="shared" si="7"/>
        <v/>
      </c>
      <c r="AU19" s="45" t="str">
        <f t="shared" si="3"/>
        <v>守·共创：卡片短信/AI外呼新场景POC</v>
      </c>
    </row>
    <row r="20" ht="15" customHeight="1" spans="1:47">
      <c r="A20" s="30" t="s">
        <v>257</v>
      </c>
      <c r="B20" s="31" t="s">
        <v>258</v>
      </c>
      <c r="C20" s="31" t="s">
        <v>189</v>
      </c>
      <c r="D20" s="31" t="s">
        <v>202</v>
      </c>
      <c r="E20" s="31" t="s">
        <v>197</v>
      </c>
      <c r="F20" s="30" t="s">
        <v>259</v>
      </c>
      <c r="G20" s="31">
        <v>27</v>
      </c>
      <c r="H20" s="31" t="s">
        <v>192</v>
      </c>
      <c r="I20" s="31" t="s">
        <v>184</v>
      </c>
      <c r="J20" s="33">
        <v>1156400</v>
      </c>
      <c r="K20" s="33">
        <v>610700</v>
      </c>
      <c r="L20" s="33">
        <v>236100</v>
      </c>
      <c r="M20" s="33">
        <f t="shared" si="4"/>
        <v>2003200</v>
      </c>
      <c r="N20" s="34">
        <f t="shared" si="5"/>
        <v>0.0105020561633523</v>
      </c>
      <c r="O20" s="35">
        <f>SUM($M$2:M20)</f>
        <v>68435000</v>
      </c>
      <c r="P20" s="34">
        <f t="shared" si="6"/>
        <v>0.358780058675625</v>
      </c>
      <c r="Q20" s="37">
        <v>199.3</v>
      </c>
      <c r="R20" s="31">
        <v>22</v>
      </c>
      <c r="S20" s="31">
        <v>4</v>
      </c>
      <c r="T20" s="31">
        <v>2</v>
      </c>
      <c r="U20" s="37">
        <v>744.2</v>
      </c>
      <c r="V20" s="31">
        <v>24</v>
      </c>
      <c r="W20" s="31">
        <v>6</v>
      </c>
      <c r="X20" s="38">
        <v>1337</v>
      </c>
      <c r="Y20" s="31">
        <v>7</v>
      </c>
      <c r="Z20" s="31">
        <v>2</v>
      </c>
      <c r="AA20" s="31" t="s">
        <v>185</v>
      </c>
      <c r="AB20" s="31" t="s">
        <v>220</v>
      </c>
      <c r="AC20" s="41">
        <f>IFERROR(LOOKUP(M20,打分卡!$F$7:$J$7,打分卡!$K$7:$O$7),1)</f>
        <v>5</v>
      </c>
      <c r="AD20" s="41">
        <f>IFERROR(LOOKUP(S20,打分卡!$F$8:$J$8,打分卡!$K$8:$O$8),1)</f>
        <v>4</v>
      </c>
      <c r="AE20" s="41">
        <f>IFERROR(LOOKUP(T20,打分卡!$F$9:$I$9,打分卡!$K$9:$N$9),1)</f>
        <v>3</v>
      </c>
      <c r="AF20" s="41">
        <f>IFERROR(LOOKUP(Q20,打分卡!$F$10:$J$10,打分卡!$K$10:$O$10),1)</f>
        <v>5</v>
      </c>
      <c r="AG20" s="41">
        <f>IFERROR(LOOKUP(R20,打分卡!$F$11:$J$11,打分卡!$K$11:$O$11),1)</f>
        <v>5</v>
      </c>
      <c r="AH20" s="41">
        <f>IFERROR(LOOKUP(U20,打分卡!$F$12:$J$12,打分卡!$K$12:$O$12),1)</f>
        <v>5</v>
      </c>
      <c r="AI20" s="41">
        <f>IFERROR(LOOKUP(X20,打分卡!$F$13:$J$13,打分卡!$K$13:$O$13),1)</f>
        <v>5</v>
      </c>
      <c r="AJ20" s="41">
        <f>IFERROR(LOOKUP(Y20,打分卡!$F$14:$J$14,打分卡!$K$14:$O$14),1)</f>
        <v>5</v>
      </c>
      <c r="AK20" s="41">
        <f>IFERROR(LOOKUP(W20,打分卡!$F$15:$J$15,打分卡!$K$15:$O$15),1)</f>
        <v>4</v>
      </c>
      <c r="AL20" s="43">
        <f t="shared" si="0"/>
        <v>3</v>
      </c>
      <c r="AM20" s="41">
        <f>IFERROR(LOOKUP(Z20,打分卡!$F$17:$H$17,打分卡!$K$17:$M$17),1)</f>
        <v>5</v>
      </c>
      <c r="AN20" s="44">
        <f>(打分卡!$D$7*AC20+打分卡!$D$8*AD20+打分卡!$D$9*AE20)/5</f>
        <v>35.6</v>
      </c>
      <c r="AO20" s="44">
        <f>(打分卡!$D$10*AF20+打分卡!$D$11*AG20)/5</f>
        <v>20</v>
      </c>
      <c r="AP20" s="44">
        <f>(打分卡!$D$12*AH20+打分卡!$D$13*AI20+打分卡!$D$14*AJ20+打分卡!$D$15*AK20)/5</f>
        <v>29.2</v>
      </c>
      <c r="AQ20" s="44">
        <f>(打分卡!$D$16*AL20+打分卡!$D$17*AM20)/5</f>
        <v>7.6</v>
      </c>
      <c r="AR20" s="47">
        <f t="shared" si="1"/>
        <v>92.4</v>
      </c>
      <c r="AS20" s="43" t="str">
        <f t="shared" si="2"/>
        <v>SKA</v>
      </c>
      <c r="AT20" s="43" t="str">
        <f t="shared" si="7"/>
        <v/>
      </c>
      <c r="AU20" s="43" t="str">
        <f t="shared" si="3"/>
        <v>守·共创：卡片短信/AI外呼新场景POC</v>
      </c>
    </row>
    <row r="21" ht="15" customHeight="1" spans="1:47">
      <c r="A21" s="20" t="s">
        <v>260</v>
      </c>
      <c r="B21" s="22" t="s">
        <v>261</v>
      </c>
      <c r="C21" s="22" t="s">
        <v>209</v>
      </c>
      <c r="D21" s="22" t="s">
        <v>196</v>
      </c>
      <c r="E21" s="22" t="s">
        <v>181</v>
      </c>
      <c r="F21" s="20" t="s">
        <v>262</v>
      </c>
      <c r="G21" s="22">
        <v>16</v>
      </c>
      <c r="H21" s="22" t="s">
        <v>211</v>
      </c>
      <c r="I21" s="22" t="s">
        <v>184</v>
      </c>
      <c r="J21" s="36">
        <v>1020000</v>
      </c>
      <c r="K21" s="36">
        <v>428200</v>
      </c>
      <c r="L21" s="36">
        <v>414400</v>
      </c>
      <c r="M21" s="36">
        <f t="shared" si="4"/>
        <v>1862600</v>
      </c>
      <c r="N21" s="34">
        <f t="shared" si="5"/>
        <v>0.00976494099933104</v>
      </c>
      <c r="O21" s="35">
        <f>SUM($M$2:M21)</f>
        <v>70297600</v>
      </c>
      <c r="P21" s="34">
        <f t="shared" si="6"/>
        <v>0.368544999674956</v>
      </c>
      <c r="Q21" s="39">
        <v>174</v>
      </c>
      <c r="R21" s="22">
        <v>25</v>
      </c>
      <c r="S21" s="22">
        <v>4</v>
      </c>
      <c r="T21" s="22">
        <v>2</v>
      </c>
      <c r="U21" s="39">
        <v>390.6</v>
      </c>
      <c r="V21" s="22">
        <v>28</v>
      </c>
      <c r="W21" s="22">
        <v>11</v>
      </c>
      <c r="X21" s="40">
        <v>926</v>
      </c>
      <c r="Y21" s="22">
        <v>2</v>
      </c>
      <c r="Z21" s="22">
        <v>2</v>
      </c>
      <c r="AA21" s="22" t="s">
        <v>212</v>
      </c>
      <c r="AB21" s="22" t="s">
        <v>220</v>
      </c>
      <c r="AC21" s="42">
        <f>IFERROR(LOOKUP(M21,打分卡!$F$7:$J$7,打分卡!$K$7:$O$7),1)</f>
        <v>5</v>
      </c>
      <c r="AD21" s="42">
        <f>IFERROR(LOOKUP(S21,打分卡!$F$8:$J$8,打分卡!$K$8:$O$8),1)</f>
        <v>4</v>
      </c>
      <c r="AE21" s="42">
        <f>IFERROR(LOOKUP(T21,打分卡!$F$9:$I$9,打分卡!$K$9:$N$9),1)</f>
        <v>3</v>
      </c>
      <c r="AF21" s="42">
        <f>IFERROR(LOOKUP(Q21,打分卡!$F$10:$J$10,打分卡!$K$10:$O$10),1)</f>
        <v>5</v>
      </c>
      <c r="AG21" s="42">
        <f>IFERROR(LOOKUP(R21,打分卡!$F$11:$J$11,打分卡!$K$11:$O$11),1)</f>
        <v>5</v>
      </c>
      <c r="AH21" s="42">
        <f>IFERROR(LOOKUP(U21,打分卡!$F$12:$J$12,打分卡!$K$12:$O$12),1)</f>
        <v>5</v>
      </c>
      <c r="AI21" s="42">
        <f>IFERROR(LOOKUP(X21,打分卡!$F$13:$J$13,打分卡!$K$13:$O$13),1)</f>
        <v>5</v>
      </c>
      <c r="AJ21" s="42">
        <f>IFERROR(LOOKUP(Y21,打分卡!$F$14:$J$14,打分卡!$K$14:$O$14),1)</f>
        <v>3</v>
      </c>
      <c r="AK21" s="42">
        <f>IFERROR(LOOKUP(W21,打分卡!$F$15:$J$15,打分卡!$K$15:$O$15),1)</f>
        <v>5</v>
      </c>
      <c r="AL21" s="45">
        <f t="shared" si="0"/>
        <v>1</v>
      </c>
      <c r="AM21" s="42">
        <f>IFERROR(LOOKUP(Z21,打分卡!$F$17:$H$17,打分卡!$K$17:$M$17),1)</f>
        <v>5</v>
      </c>
      <c r="AN21" s="46">
        <f>(打分卡!$D$7*AC21+打分卡!$D$8*AD21+打分卡!$D$9*AE21)/5</f>
        <v>35.6</v>
      </c>
      <c r="AO21" s="46">
        <f>(打分卡!$D$10*AF21+打分卡!$D$11*AG21)/5</f>
        <v>20</v>
      </c>
      <c r="AP21" s="46">
        <f>(打分卡!$D$12*AH21+打分卡!$D$13*AI21+打分卡!$D$14*AJ21+打分卡!$D$15*AK21)/5</f>
        <v>27.6</v>
      </c>
      <c r="AQ21" s="46">
        <f>(打分卡!$D$16*AL21+打分卡!$D$17*AM21)/5</f>
        <v>5.2</v>
      </c>
      <c r="AR21" s="48">
        <f t="shared" si="1"/>
        <v>88.4</v>
      </c>
      <c r="AS21" s="45" t="str">
        <f t="shared" si="2"/>
        <v>KA</v>
      </c>
      <c r="AT21" s="45" t="str">
        <f t="shared" si="7"/>
        <v>连续下降-预警</v>
      </c>
      <c r="AU21" s="45" t="str">
        <f t="shared" si="3"/>
        <v>扩·深化：AI外呼场景深化+Push/企微补全</v>
      </c>
    </row>
    <row r="22" ht="15" customHeight="1" spans="1:47">
      <c r="A22" s="30" t="s">
        <v>263</v>
      </c>
      <c r="B22" s="31" t="s">
        <v>264</v>
      </c>
      <c r="C22" s="31" t="s">
        <v>189</v>
      </c>
      <c r="D22" s="31" t="s">
        <v>196</v>
      </c>
      <c r="E22" s="31" t="s">
        <v>197</v>
      </c>
      <c r="F22" s="30" t="s">
        <v>265</v>
      </c>
      <c r="G22" s="31">
        <v>20</v>
      </c>
      <c r="H22" s="31" t="s">
        <v>211</v>
      </c>
      <c r="I22" s="31" t="s">
        <v>184</v>
      </c>
      <c r="J22" s="33">
        <v>930400</v>
      </c>
      <c r="K22" s="33">
        <v>369000</v>
      </c>
      <c r="L22" s="33">
        <v>541100</v>
      </c>
      <c r="M22" s="33">
        <f t="shared" si="4"/>
        <v>1840500</v>
      </c>
      <c r="N22" s="34">
        <f t="shared" si="5"/>
        <v>0.00964907865847137</v>
      </c>
      <c r="O22" s="35">
        <f>SUM($M$2:M22)</f>
        <v>72138100</v>
      </c>
      <c r="P22" s="34">
        <f t="shared" si="6"/>
        <v>0.378194078333428</v>
      </c>
      <c r="Q22" s="37">
        <v>221.6</v>
      </c>
      <c r="R22" s="31">
        <v>18</v>
      </c>
      <c r="S22" s="31">
        <v>5</v>
      </c>
      <c r="T22" s="31">
        <v>2</v>
      </c>
      <c r="U22" s="37">
        <v>747.6</v>
      </c>
      <c r="V22" s="31">
        <v>49</v>
      </c>
      <c r="W22" s="31">
        <v>24</v>
      </c>
      <c r="X22" s="38">
        <v>1138</v>
      </c>
      <c r="Y22" s="31">
        <v>2</v>
      </c>
      <c r="Z22" s="31">
        <v>1</v>
      </c>
      <c r="AA22" s="31" t="s">
        <v>212</v>
      </c>
      <c r="AB22" s="31" t="s">
        <v>220</v>
      </c>
      <c r="AC22" s="41">
        <f>IFERROR(LOOKUP(M22,打分卡!$F$7:$J$7,打分卡!$K$7:$O$7),1)</f>
        <v>5</v>
      </c>
      <c r="AD22" s="41">
        <f>IFERROR(LOOKUP(S22,打分卡!$F$8:$J$8,打分卡!$K$8:$O$8),1)</f>
        <v>5</v>
      </c>
      <c r="AE22" s="41">
        <f>IFERROR(LOOKUP(T22,打分卡!$F$9:$I$9,打分卡!$K$9:$N$9),1)</f>
        <v>3</v>
      </c>
      <c r="AF22" s="41">
        <f>IFERROR(LOOKUP(Q22,打分卡!$F$10:$J$10,打分卡!$K$10:$O$10),1)</f>
        <v>5</v>
      </c>
      <c r="AG22" s="41">
        <f>IFERROR(LOOKUP(R22,打分卡!$F$11:$J$11,打分卡!$K$11:$O$11),1)</f>
        <v>5</v>
      </c>
      <c r="AH22" s="41">
        <f>IFERROR(LOOKUP(U22,打分卡!$F$12:$J$12,打分卡!$K$12:$O$12),1)</f>
        <v>5</v>
      </c>
      <c r="AI22" s="41">
        <f>IFERROR(LOOKUP(X22,打分卡!$F$13:$J$13,打分卡!$K$13:$O$13),1)</f>
        <v>5</v>
      </c>
      <c r="AJ22" s="41">
        <f>IFERROR(LOOKUP(Y22,打分卡!$F$14:$J$14,打分卡!$K$14:$O$14),1)</f>
        <v>3</v>
      </c>
      <c r="AK22" s="41">
        <f>IFERROR(LOOKUP(W22,打分卡!$F$15:$J$15,打分卡!$K$15:$O$15),1)</f>
        <v>5</v>
      </c>
      <c r="AL22" s="43">
        <f t="shared" si="0"/>
        <v>1</v>
      </c>
      <c r="AM22" s="41">
        <f>IFERROR(LOOKUP(Z22,打分卡!$F$17:$H$17,打分卡!$K$17:$M$17),1)</f>
        <v>3</v>
      </c>
      <c r="AN22" s="44">
        <f>(打分卡!$D$7*AC22+打分卡!$D$8*AD22+打分卡!$D$9*AE22)/5</f>
        <v>37.2</v>
      </c>
      <c r="AO22" s="44">
        <f>(打分卡!$D$10*AF22+打分卡!$D$11*AG22)/5</f>
        <v>20</v>
      </c>
      <c r="AP22" s="44">
        <f>(打分卡!$D$12*AH22+打分卡!$D$13*AI22+打分卡!$D$14*AJ22+打分卡!$D$15*AK22)/5</f>
        <v>27.6</v>
      </c>
      <c r="AQ22" s="44">
        <f>(打分卡!$D$16*AL22+打分卡!$D$17*AM22)/5</f>
        <v>3.6</v>
      </c>
      <c r="AR22" s="47">
        <f t="shared" si="1"/>
        <v>88.4</v>
      </c>
      <c r="AS22" s="43" t="str">
        <f t="shared" si="2"/>
        <v>KA</v>
      </c>
      <c r="AT22" s="43" t="str">
        <f t="shared" si="7"/>
        <v>连续下降-预警</v>
      </c>
      <c r="AU22" s="43" t="str">
        <f t="shared" si="3"/>
        <v>扩·深化：AI外呼场景深化+Push/企微补全</v>
      </c>
    </row>
    <row r="23" ht="15" customHeight="1" spans="1:47">
      <c r="A23" s="20" t="s">
        <v>266</v>
      </c>
      <c r="B23" s="22" t="s">
        <v>267</v>
      </c>
      <c r="C23" s="22" t="s">
        <v>218</v>
      </c>
      <c r="D23" s="22" t="s">
        <v>196</v>
      </c>
      <c r="E23" s="22" t="s">
        <v>181</v>
      </c>
      <c r="F23" s="20" t="s">
        <v>268</v>
      </c>
      <c r="G23" s="22">
        <v>17</v>
      </c>
      <c r="H23" s="22" t="s">
        <v>211</v>
      </c>
      <c r="I23" s="22" t="s">
        <v>184</v>
      </c>
      <c r="J23" s="36">
        <v>1041200</v>
      </c>
      <c r="K23" s="36">
        <v>614100</v>
      </c>
      <c r="L23" s="36">
        <v>143700</v>
      </c>
      <c r="M23" s="36">
        <f t="shared" si="4"/>
        <v>1799000</v>
      </c>
      <c r="N23" s="34">
        <f t="shared" si="5"/>
        <v>0.00943150910436838</v>
      </c>
      <c r="O23" s="35">
        <f>SUM($M$2:M23)</f>
        <v>73937100</v>
      </c>
      <c r="P23" s="34">
        <f t="shared" si="6"/>
        <v>0.387625587437796</v>
      </c>
      <c r="Q23" s="39">
        <v>219.1</v>
      </c>
      <c r="R23" s="22">
        <v>15</v>
      </c>
      <c r="S23" s="22">
        <v>3</v>
      </c>
      <c r="T23" s="22">
        <v>2</v>
      </c>
      <c r="U23" s="39">
        <v>1182.4</v>
      </c>
      <c r="V23" s="22">
        <v>24</v>
      </c>
      <c r="W23" s="22">
        <v>8</v>
      </c>
      <c r="X23" s="40">
        <v>2867</v>
      </c>
      <c r="Y23" s="22">
        <v>2</v>
      </c>
      <c r="Z23" s="22">
        <v>3</v>
      </c>
      <c r="AA23" s="22" t="s">
        <v>212</v>
      </c>
      <c r="AB23" s="22" t="s">
        <v>220</v>
      </c>
      <c r="AC23" s="42">
        <f>IFERROR(LOOKUP(M23,打分卡!$F$7:$J$7,打分卡!$K$7:$O$7),1)</f>
        <v>5</v>
      </c>
      <c r="AD23" s="42">
        <f>IFERROR(LOOKUP(S23,打分卡!$F$8:$J$8,打分卡!$K$8:$O$8),1)</f>
        <v>3</v>
      </c>
      <c r="AE23" s="42">
        <f>IFERROR(LOOKUP(T23,打分卡!$F$9:$I$9,打分卡!$K$9:$N$9),1)</f>
        <v>3</v>
      </c>
      <c r="AF23" s="42">
        <f>IFERROR(LOOKUP(Q23,打分卡!$F$10:$J$10,打分卡!$K$10:$O$10),1)</f>
        <v>5</v>
      </c>
      <c r="AG23" s="42">
        <f>IFERROR(LOOKUP(R23,打分卡!$F$11:$J$11,打分卡!$K$11:$O$11),1)</f>
        <v>5</v>
      </c>
      <c r="AH23" s="42">
        <f>IFERROR(LOOKUP(U23,打分卡!$F$12:$J$12,打分卡!$K$12:$O$12),1)</f>
        <v>5</v>
      </c>
      <c r="AI23" s="42">
        <f>IFERROR(LOOKUP(X23,打分卡!$F$13:$J$13,打分卡!$K$13:$O$13),1)</f>
        <v>5</v>
      </c>
      <c r="AJ23" s="42">
        <f>IFERROR(LOOKUP(Y23,打分卡!$F$14:$J$14,打分卡!$K$14:$O$14),1)</f>
        <v>3</v>
      </c>
      <c r="AK23" s="42">
        <f>IFERROR(LOOKUP(W23,打分卡!$F$15:$J$15,打分卡!$K$15:$O$15),1)</f>
        <v>4</v>
      </c>
      <c r="AL23" s="45">
        <f t="shared" si="0"/>
        <v>1</v>
      </c>
      <c r="AM23" s="42">
        <f>IFERROR(LOOKUP(Z23,打分卡!$F$17:$H$17,打分卡!$K$17:$M$17),1)</f>
        <v>5</v>
      </c>
      <c r="AN23" s="46">
        <f>(打分卡!$D$7*AC23+打分卡!$D$8*AD23+打分卡!$D$9*AE23)/5</f>
        <v>34</v>
      </c>
      <c r="AO23" s="46">
        <f>(打分卡!$D$10*AF23+打分卡!$D$11*AG23)/5</f>
        <v>20</v>
      </c>
      <c r="AP23" s="46">
        <f>(打分卡!$D$12*AH23+打分卡!$D$13*AI23+打分卡!$D$14*AJ23+打分卡!$D$15*AK23)/5</f>
        <v>26.8</v>
      </c>
      <c r="AQ23" s="46">
        <f>(打分卡!$D$16*AL23+打分卡!$D$17*AM23)/5</f>
        <v>5.2</v>
      </c>
      <c r="AR23" s="48">
        <f t="shared" si="1"/>
        <v>86</v>
      </c>
      <c r="AS23" s="45" t="str">
        <f t="shared" si="2"/>
        <v>KA</v>
      </c>
      <c r="AT23" s="45" t="str">
        <f t="shared" si="7"/>
        <v>连续下降-预警</v>
      </c>
      <c r="AU23" s="45" t="str">
        <f t="shared" si="3"/>
        <v>扩·深化：AI外呼场景深化+Push/企微补全</v>
      </c>
    </row>
    <row r="24" ht="15" customHeight="1" spans="1:47">
      <c r="A24" s="30" t="s">
        <v>269</v>
      </c>
      <c r="B24" s="31" t="s">
        <v>270</v>
      </c>
      <c r="C24" s="31" t="s">
        <v>218</v>
      </c>
      <c r="D24" s="31" t="s">
        <v>180</v>
      </c>
      <c r="E24" s="31" t="s">
        <v>181</v>
      </c>
      <c r="F24" s="30" t="s">
        <v>271</v>
      </c>
      <c r="G24" s="31">
        <v>20</v>
      </c>
      <c r="H24" s="31" t="s">
        <v>211</v>
      </c>
      <c r="I24" s="31" t="s">
        <v>184</v>
      </c>
      <c r="J24" s="33">
        <v>830800</v>
      </c>
      <c r="K24" s="33">
        <v>658500</v>
      </c>
      <c r="L24" s="33">
        <v>277600</v>
      </c>
      <c r="M24" s="33">
        <f t="shared" si="4"/>
        <v>1766900</v>
      </c>
      <c r="N24" s="34">
        <f t="shared" si="5"/>
        <v>0.00926322036492968</v>
      </c>
      <c r="O24" s="35">
        <f>SUM($M$2:M24)</f>
        <v>75704000</v>
      </c>
      <c r="P24" s="34">
        <f t="shared" si="6"/>
        <v>0.396888807802726</v>
      </c>
      <c r="Q24" s="37">
        <v>236.2</v>
      </c>
      <c r="R24" s="31">
        <v>16</v>
      </c>
      <c r="S24" s="31">
        <v>5</v>
      </c>
      <c r="T24" s="31">
        <v>2</v>
      </c>
      <c r="U24" s="37">
        <v>469.7</v>
      </c>
      <c r="V24" s="31">
        <v>15</v>
      </c>
      <c r="W24" s="31">
        <v>19</v>
      </c>
      <c r="X24" s="38">
        <v>1493</v>
      </c>
      <c r="Y24" s="31">
        <v>1</v>
      </c>
      <c r="Z24" s="31">
        <v>3</v>
      </c>
      <c r="AA24" s="31" t="s">
        <v>212</v>
      </c>
      <c r="AB24" s="31" t="s">
        <v>220</v>
      </c>
      <c r="AC24" s="41">
        <f>IFERROR(LOOKUP(M24,打分卡!$F$7:$J$7,打分卡!$K$7:$O$7),1)</f>
        <v>5</v>
      </c>
      <c r="AD24" s="41">
        <f>IFERROR(LOOKUP(S24,打分卡!$F$8:$J$8,打分卡!$K$8:$O$8),1)</f>
        <v>5</v>
      </c>
      <c r="AE24" s="41">
        <f>IFERROR(LOOKUP(T24,打分卡!$F$9:$I$9,打分卡!$K$9:$N$9),1)</f>
        <v>3</v>
      </c>
      <c r="AF24" s="41">
        <f>IFERROR(LOOKUP(Q24,打分卡!$F$10:$J$10,打分卡!$K$10:$O$10),1)</f>
        <v>5</v>
      </c>
      <c r="AG24" s="41">
        <f>IFERROR(LOOKUP(R24,打分卡!$F$11:$J$11,打分卡!$K$11:$O$11),1)</f>
        <v>5</v>
      </c>
      <c r="AH24" s="41">
        <f>IFERROR(LOOKUP(U24,打分卡!$F$12:$J$12,打分卡!$K$12:$O$12),1)</f>
        <v>5</v>
      </c>
      <c r="AI24" s="41">
        <f>IFERROR(LOOKUP(X24,打分卡!$F$13:$J$13,打分卡!$K$13:$O$13),1)</f>
        <v>5</v>
      </c>
      <c r="AJ24" s="41">
        <f>IFERROR(LOOKUP(Y24,打分卡!$F$14:$J$14,打分卡!$K$14:$O$14),1)</f>
        <v>2</v>
      </c>
      <c r="AK24" s="41">
        <f>IFERROR(LOOKUP(W24,打分卡!$F$15:$J$15,打分卡!$K$15:$O$15),1)</f>
        <v>5</v>
      </c>
      <c r="AL24" s="43">
        <f t="shared" si="0"/>
        <v>1</v>
      </c>
      <c r="AM24" s="41">
        <f>IFERROR(LOOKUP(Z24,打分卡!$F$17:$H$17,打分卡!$K$17:$M$17),1)</f>
        <v>5</v>
      </c>
      <c r="AN24" s="44">
        <f>(打分卡!$D$7*AC24+打分卡!$D$8*AD24+打分卡!$D$9*AE24)/5</f>
        <v>37.2</v>
      </c>
      <c r="AO24" s="44">
        <f>(打分卡!$D$10*AF24+打分卡!$D$11*AG24)/5</f>
        <v>20</v>
      </c>
      <c r="AP24" s="44">
        <f>(打分卡!$D$12*AH24+打分卡!$D$13*AI24+打分卡!$D$14*AJ24+打分卡!$D$15*AK24)/5</f>
        <v>26.4</v>
      </c>
      <c r="AQ24" s="44">
        <f>(打分卡!$D$16*AL24+打分卡!$D$17*AM24)/5</f>
        <v>5.2</v>
      </c>
      <c r="AR24" s="47">
        <f t="shared" si="1"/>
        <v>88.8</v>
      </c>
      <c r="AS24" s="43" t="str">
        <f t="shared" si="2"/>
        <v>KA</v>
      </c>
      <c r="AT24" s="43" t="str">
        <f t="shared" si="7"/>
        <v>连续下降-预警</v>
      </c>
      <c r="AU24" s="43" t="str">
        <f t="shared" si="3"/>
        <v>扩·深化：AI外呼场景深化+Push/企微补全</v>
      </c>
    </row>
    <row r="25" ht="15" customHeight="1" spans="1:47">
      <c r="A25" s="20" t="s">
        <v>272</v>
      </c>
      <c r="B25" s="22" t="s">
        <v>273</v>
      </c>
      <c r="C25" s="22" t="s">
        <v>218</v>
      </c>
      <c r="D25" s="22" t="s">
        <v>235</v>
      </c>
      <c r="E25" s="22" t="s">
        <v>181</v>
      </c>
      <c r="F25" s="20" t="s">
        <v>274</v>
      </c>
      <c r="G25" s="22">
        <v>12</v>
      </c>
      <c r="H25" s="22" t="s">
        <v>183</v>
      </c>
      <c r="I25" s="22" t="s">
        <v>184</v>
      </c>
      <c r="J25" s="36">
        <v>885700</v>
      </c>
      <c r="K25" s="36">
        <v>573700</v>
      </c>
      <c r="L25" s="36">
        <v>303600</v>
      </c>
      <c r="M25" s="36">
        <f t="shared" si="4"/>
        <v>1763000</v>
      </c>
      <c r="N25" s="34">
        <f t="shared" si="5"/>
        <v>0.00924277406948385</v>
      </c>
      <c r="O25" s="35">
        <f>SUM($M$2:M25)</f>
        <v>77467000</v>
      </c>
      <c r="P25" s="34">
        <f t="shared" si="6"/>
        <v>0.40613158187221</v>
      </c>
      <c r="Q25" s="39">
        <v>161.9</v>
      </c>
      <c r="R25" s="22">
        <v>19</v>
      </c>
      <c r="S25" s="22">
        <v>6</v>
      </c>
      <c r="T25" s="22">
        <v>2</v>
      </c>
      <c r="U25" s="39">
        <v>428.3</v>
      </c>
      <c r="V25" s="22">
        <v>31</v>
      </c>
      <c r="W25" s="22">
        <v>11</v>
      </c>
      <c r="X25" s="40">
        <v>557</v>
      </c>
      <c r="Y25" s="22">
        <v>6</v>
      </c>
      <c r="Z25" s="22">
        <v>2</v>
      </c>
      <c r="AA25" s="22" t="s">
        <v>199</v>
      </c>
      <c r="AB25" s="22" t="s">
        <v>220</v>
      </c>
      <c r="AC25" s="42">
        <f>IFERROR(LOOKUP(M25,打分卡!$F$7:$J$7,打分卡!$K$7:$O$7),1)</f>
        <v>5</v>
      </c>
      <c r="AD25" s="42">
        <f>IFERROR(LOOKUP(S25,打分卡!$F$8:$J$8,打分卡!$K$8:$O$8),1)</f>
        <v>5</v>
      </c>
      <c r="AE25" s="42">
        <f>IFERROR(LOOKUP(T25,打分卡!$F$9:$I$9,打分卡!$K$9:$N$9),1)</f>
        <v>3</v>
      </c>
      <c r="AF25" s="42">
        <f>IFERROR(LOOKUP(Q25,打分卡!$F$10:$J$10,打分卡!$K$10:$O$10),1)</f>
        <v>5</v>
      </c>
      <c r="AG25" s="42">
        <f>IFERROR(LOOKUP(R25,打分卡!$F$11:$J$11,打分卡!$K$11:$O$11),1)</f>
        <v>5</v>
      </c>
      <c r="AH25" s="42">
        <f>IFERROR(LOOKUP(U25,打分卡!$F$12:$J$12,打分卡!$K$12:$O$12),1)</f>
        <v>5</v>
      </c>
      <c r="AI25" s="42">
        <f>IFERROR(LOOKUP(X25,打分卡!$F$13:$J$13,打分卡!$K$13:$O$13),1)</f>
        <v>5</v>
      </c>
      <c r="AJ25" s="42">
        <f>IFERROR(LOOKUP(Y25,打分卡!$F$14:$J$14,打分卡!$K$14:$O$14),1)</f>
        <v>5</v>
      </c>
      <c r="AK25" s="42">
        <f>IFERROR(LOOKUP(W25,打分卡!$F$15:$J$15,打分卡!$K$15:$O$15),1)</f>
        <v>5</v>
      </c>
      <c r="AL25" s="45">
        <f t="shared" si="0"/>
        <v>5</v>
      </c>
      <c r="AM25" s="42">
        <f>IFERROR(LOOKUP(Z25,打分卡!$F$17:$H$17,打分卡!$K$17:$M$17),1)</f>
        <v>5</v>
      </c>
      <c r="AN25" s="46">
        <f>(打分卡!$D$7*AC25+打分卡!$D$8*AD25+打分卡!$D$9*AE25)/5</f>
        <v>37.2</v>
      </c>
      <c r="AO25" s="46">
        <f>(打分卡!$D$10*AF25+打分卡!$D$11*AG25)/5</f>
        <v>20</v>
      </c>
      <c r="AP25" s="46">
        <f>(打分卡!$D$12*AH25+打分卡!$D$13*AI25+打分卡!$D$14*AJ25+打分卡!$D$15*AK25)/5</f>
        <v>30</v>
      </c>
      <c r="AQ25" s="46">
        <f>(打分卡!$D$16*AL25+打分卡!$D$17*AM25)/5</f>
        <v>10</v>
      </c>
      <c r="AR25" s="48">
        <f t="shared" si="1"/>
        <v>97.2</v>
      </c>
      <c r="AS25" s="45" t="str">
        <f t="shared" si="2"/>
        <v>SKA</v>
      </c>
      <c r="AT25" s="45" t="str">
        <f t="shared" si="7"/>
        <v/>
      </c>
      <c r="AU25" s="45" t="str">
        <f t="shared" si="3"/>
        <v>守·共创：卡片短信/AI外呼新场景POC</v>
      </c>
    </row>
    <row r="26" ht="15" customHeight="1" spans="1:47">
      <c r="A26" s="30" t="s">
        <v>275</v>
      </c>
      <c r="B26" s="31" t="s">
        <v>276</v>
      </c>
      <c r="C26" s="31" t="s">
        <v>189</v>
      </c>
      <c r="D26" s="31" t="s">
        <v>196</v>
      </c>
      <c r="E26" s="31" t="s">
        <v>181</v>
      </c>
      <c r="F26" s="30" t="s">
        <v>277</v>
      </c>
      <c r="G26" s="31">
        <v>36</v>
      </c>
      <c r="H26" s="31" t="s">
        <v>192</v>
      </c>
      <c r="I26" s="31" t="s">
        <v>184</v>
      </c>
      <c r="J26" s="33">
        <v>1059600</v>
      </c>
      <c r="K26" s="33">
        <v>344800</v>
      </c>
      <c r="L26" s="33">
        <v>249800</v>
      </c>
      <c r="M26" s="33">
        <f t="shared" si="4"/>
        <v>1654200</v>
      </c>
      <c r="N26" s="34">
        <f t="shared" si="5"/>
        <v>0.00867237485294395</v>
      </c>
      <c r="O26" s="35">
        <f>SUM($M$2:M26)</f>
        <v>79121200</v>
      </c>
      <c r="P26" s="34">
        <f t="shared" si="6"/>
        <v>0.414803956725154</v>
      </c>
      <c r="Q26" s="37">
        <v>203.8</v>
      </c>
      <c r="R26" s="31">
        <v>17</v>
      </c>
      <c r="S26" s="31">
        <v>5</v>
      </c>
      <c r="T26" s="31">
        <v>2</v>
      </c>
      <c r="U26" s="37">
        <v>984.9</v>
      </c>
      <c r="V26" s="31">
        <v>29</v>
      </c>
      <c r="W26" s="31">
        <v>18</v>
      </c>
      <c r="X26" s="38">
        <v>1506</v>
      </c>
      <c r="Y26" s="31">
        <v>6</v>
      </c>
      <c r="Z26" s="31">
        <v>2</v>
      </c>
      <c r="AA26" s="31" t="s">
        <v>199</v>
      </c>
      <c r="AB26" s="31" t="s">
        <v>220</v>
      </c>
      <c r="AC26" s="41">
        <f>IFERROR(LOOKUP(M26,打分卡!$F$7:$J$7,打分卡!$K$7:$O$7),1)</f>
        <v>5</v>
      </c>
      <c r="AD26" s="41">
        <f>IFERROR(LOOKUP(S26,打分卡!$F$8:$J$8,打分卡!$K$8:$O$8),1)</f>
        <v>5</v>
      </c>
      <c r="AE26" s="41">
        <f>IFERROR(LOOKUP(T26,打分卡!$F$9:$I$9,打分卡!$K$9:$N$9),1)</f>
        <v>3</v>
      </c>
      <c r="AF26" s="41">
        <f>IFERROR(LOOKUP(Q26,打分卡!$F$10:$J$10,打分卡!$K$10:$O$10),1)</f>
        <v>5</v>
      </c>
      <c r="AG26" s="41">
        <f>IFERROR(LOOKUP(R26,打分卡!$F$11:$J$11,打分卡!$K$11:$O$11),1)</f>
        <v>5</v>
      </c>
      <c r="AH26" s="41">
        <f>IFERROR(LOOKUP(U26,打分卡!$F$12:$J$12,打分卡!$K$12:$O$12),1)</f>
        <v>5</v>
      </c>
      <c r="AI26" s="41">
        <f>IFERROR(LOOKUP(X26,打分卡!$F$13:$J$13,打分卡!$K$13:$O$13),1)</f>
        <v>5</v>
      </c>
      <c r="AJ26" s="41">
        <f>IFERROR(LOOKUP(Y26,打分卡!$F$14:$J$14,打分卡!$K$14:$O$14),1)</f>
        <v>5</v>
      </c>
      <c r="AK26" s="41">
        <f>IFERROR(LOOKUP(W26,打分卡!$F$15:$J$15,打分卡!$K$15:$O$15),1)</f>
        <v>5</v>
      </c>
      <c r="AL26" s="43">
        <f t="shared" si="0"/>
        <v>5</v>
      </c>
      <c r="AM26" s="41">
        <f>IFERROR(LOOKUP(Z26,打分卡!$F$17:$H$17,打分卡!$K$17:$M$17),1)</f>
        <v>5</v>
      </c>
      <c r="AN26" s="44">
        <f>(打分卡!$D$7*AC26+打分卡!$D$8*AD26+打分卡!$D$9*AE26)/5</f>
        <v>37.2</v>
      </c>
      <c r="AO26" s="44">
        <f>(打分卡!$D$10*AF26+打分卡!$D$11*AG26)/5</f>
        <v>20</v>
      </c>
      <c r="AP26" s="44">
        <f>(打分卡!$D$12*AH26+打分卡!$D$13*AI26+打分卡!$D$14*AJ26+打分卡!$D$15*AK26)/5</f>
        <v>30</v>
      </c>
      <c r="AQ26" s="44">
        <f>(打分卡!$D$16*AL26+打分卡!$D$17*AM26)/5</f>
        <v>10</v>
      </c>
      <c r="AR26" s="47">
        <f t="shared" si="1"/>
        <v>97.2</v>
      </c>
      <c r="AS26" s="43" t="str">
        <f t="shared" si="2"/>
        <v>SKA</v>
      </c>
      <c r="AT26" s="43" t="str">
        <f t="shared" si="7"/>
        <v/>
      </c>
      <c r="AU26" s="43" t="str">
        <f t="shared" si="3"/>
        <v>守·共创：卡片短信/AI外呼新场景POC</v>
      </c>
    </row>
    <row r="27" ht="15" customHeight="1" spans="1:47">
      <c r="A27" s="20" t="s">
        <v>278</v>
      </c>
      <c r="B27" s="22" t="s">
        <v>279</v>
      </c>
      <c r="C27" s="22" t="s">
        <v>179</v>
      </c>
      <c r="D27" s="22" t="s">
        <v>202</v>
      </c>
      <c r="E27" s="22" t="s">
        <v>197</v>
      </c>
      <c r="F27" s="20" t="s">
        <v>262</v>
      </c>
      <c r="G27" s="22">
        <v>16</v>
      </c>
      <c r="H27" s="22" t="s">
        <v>211</v>
      </c>
      <c r="I27" s="22" t="s">
        <v>184</v>
      </c>
      <c r="J27" s="36">
        <v>768100</v>
      </c>
      <c r="K27" s="36">
        <v>472500</v>
      </c>
      <c r="L27" s="36">
        <v>352300</v>
      </c>
      <c r="M27" s="36">
        <f t="shared" si="4"/>
        <v>1592900</v>
      </c>
      <c r="N27" s="34">
        <f t="shared" si="5"/>
        <v>0.00835100102965447</v>
      </c>
      <c r="O27" s="35">
        <f>SUM($M$2:M27)</f>
        <v>80714100</v>
      </c>
      <c r="P27" s="34">
        <f t="shared" si="6"/>
        <v>0.423154957754808</v>
      </c>
      <c r="Q27" s="39">
        <v>193.8</v>
      </c>
      <c r="R27" s="22">
        <v>21</v>
      </c>
      <c r="S27" s="22">
        <v>3</v>
      </c>
      <c r="T27" s="22">
        <v>2</v>
      </c>
      <c r="U27" s="39">
        <v>282.1</v>
      </c>
      <c r="V27" s="22">
        <v>45</v>
      </c>
      <c r="W27" s="22">
        <v>9</v>
      </c>
      <c r="X27" s="40">
        <v>1921</v>
      </c>
      <c r="Y27" s="22">
        <v>2</v>
      </c>
      <c r="Z27" s="22">
        <v>2</v>
      </c>
      <c r="AA27" s="22" t="s">
        <v>212</v>
      </c>
      <c r="AB27" s="22" t="s">
        <v>220</v>
      </c>
      <c r="AC27" s="42">
        <f>IFERROR(LOOKUP(M27,打分卡!$F$7:$J$7,打分卡!$K$7:$O$7),1)</f>
        <v>5</v>
      </c>
      <c r="AD27" s="42">
        <f>IFERROR(LOOKUP(S27,打分卡!$F$8:$J$8,打分卡!$K$8:$O$8),1)</f>
        <v>3</v>
      </c>
      <c r="AE27" s="42">
        <f>IFERROR(LOOKUP(T27,打分卡!$F$9:$I$9,打分卡!$K$9:$N$9),1)</f>
        <v>3</v>
      </c>
      <c r="AF27" s="42">
        <f>IFERROR(LOOKUP(Q27,打分卡!$F$10:$J$10,打分卡!$K$10:$O$10),1)</f>
        <v>5</v>
      </c>
      <c r="AG27" s="42">
        <f>IFERROR(LOOKUP(R27,打分卡!$F$11:$J$11,打分卡!$K$11:$O$11),1)</f>
        <v>5</v>
      </c>
      <c r="AH27" s="42">
        <f>IFERROR(LOOKUP(U27,打分卡!$F$12:$J$12,打分卡!$K$12:$O$12),1)</f>
        <v>5</v>
      </c>
      <c r="AI27" s="42">
        <f>IFERROR(LOOKUP(X27,打分卡!$F$13:$J$13,打分卡!$K$13:$O$13),1)</f>
        <v>5</v>
      </c>
      <c r="AJ27" s="42">
        <f>IFERROR(LOOKUP(Y27,打分卡!$F$14:$J$14,打分卡!$K$14:$O$14),1)</f>
        <v>3</v>
      </c>
      <c r="AK27" s="42">
        <f>IFERROR(LOOKUP(W27,打分卡!$F$15:$J$15,打分卡!$K$15:$O$15),1)</f>
        <v>4</v>
      </c>
      <c r="AL27" s="45">
        <f t="shared" si="0"/>
        <v>1</v>
      </c>
      <c r="AM27" s="42">
        <f>IFERROR(LOOKUP(Z27,打分卡!$F$17:$H$17,打分卡!$K$17:$M$17),1)</f>
        <v>5</v>
      </c>
      <c r="AN27" s="46">
        <f>(打分卡!$D$7*AC27+打分卡!$D$8*AD27+打分卡!$D$9*AE27)/5</f>
        <v>34</v>
      </c>
      <c r="AO27" s="46">
        <f>(打分卡!$D$10*AF27+打分卡!$D$11*AG27)/5</f>
        <v>20</v>
      </c>
      <c r="AP27" s="46">
        <f>(打分卡!$D$12*AH27+打分卡!$D$13*AI27+打分卡!$D$14*AJ27+打分卡!$D$15*AK27)/5</f>
        <v>26.8</v>
      </c>
      <c r="AQ27" s="46">
        <f>(打分卡!$D$16*AL27+打分卡!$D$17*AM27)/5</f>
        <v>5.2</v>
      </c>
      <c r="AR27" s="48">
        <f t="shared" si="1"/>
        <v>86</v>
      </c>
      <c r="AS27" s="45" t="str">
        <f t="shared" si="2"/>
        <v>KA</v>
      </c>
      <c r="AT27" s="45" t="str">
        <f t="shared" si="7"/>
        <v>连续下降-预警</v>
      </c>
      <c r="AU27" s="45" t="str">
        <f t="shared" si="3"/>
        <v>扩·深化：AI外呼场景深化+Push/企微补全</v>
      </c>
    </row>
    <row r="28" ht="15" customHeight="1" spans="1:47">
      <c r="A28" s="30" t="s">
        <v>280</v>
      </c>
      <c r="B28" s="31" t="s">
        <v>281</v>
      </c>
      <c r="C28" s="31" t="s">
        <v>189</v>
      </c>
      <c r="D28" s="31" t="s">
        <v>227</v>
      </c>
      <c r="E28" s="31" t="s">
        <v>181</v>
      </c>
      <c r="F28" s="30" t="s">
        <v>282</v>
      </c>
      <c r="G28" s="31">
        <v>14</v>
      </c>
      <c r="H28" s="31" t="s">
        <v>211</v>
      </c>
      <c r="I28" s="31" t="s">
        <v>184</v>
      </c>
      <c r="J28" s="33">
        <v>937900</v>
      </c>
      <c r="K28" s="33">
        <v>342500</v>
      </c>
      <c r="L28" s="33">
        <v>217600</v>
      </c>
      <c r="M28" s="33">
        <f t="shared" si="4"/>
        <v>1498000</v>
      </c>
      <c r="N28" s="34">
        <f t="shared" si="5"/>
        <v>0.00785347450713943</v>
      </c>
      <c r="O28" s="35">
        <f>SUM($M$2:M28)</f>
        <v>82212100</v>
      </c>
      <c r="P28" s="34">
        <f t="shared" si="6"/>
        <v>0.431008432261947</v>
      </c>
      <c r="Q28" s="37">
        <v>201.9</v>
      </c>
      <c r="R28" s="31">
        <v>16</v>
      </c>
      <c r="S28" s="31">
        <v>4</v>
      </c>
      <c r="T28" s="31">
        <v>3</v>
      </c>
      <c r="U28" s="37">
        <v>1495.4</v>
      </c>
      <c r="V28" s="31">
        <v>35</v>
      </c>
      <c r="W28" s="31">
        <v>21</v>
      </c>
      <c r="X28" s="38">
        <v>500</v>
      </c>
      <c r="Y28" s="31">
        <v>2</v>
      </c>
      <c r="Z28" s="31">
        <v>2</v>
      </c>
      <c r="AA28" s="31" t="s">
        <v>212</v>
      </c>
      <c r="AB28" s="31" t="s">
        <v>220</v>
      </c>
      <c r="AC28" s="41">
        <f>IFERROR(LOOKUP(M28,打分卡!$F$7:$J$7,打分卡!$K$7:$O$7),1)</f>
        <v>5</v>
      </c>
      <c r="AD28" s="41">
        <f>IFERROR(LOOKUP(S28,打分卡!$F$8:$J$8,打分卡!$K$8:$O$8),1)</f>
        <v>4</v>
      </c>
      <c r="AE28" s="41">
        <f>IFERROR(LOOKUP(T28,打分卡!$F$9:$I$9,打分卡!$K$9:$N$9),1)</f>
        <v>5</v>
      </c>
      <c r="AF28" s="41">
        <f>IFERROR(LOOKUP(Q28,打分卡!$F$10:$J$10,打分卡!$K$10:$O$10),1)</f>
        <v>5</v>
      </c>
      <c r="AG28" s="41">
        <f>IFERROR(LOOKUP(R28,打分卡!$F$11:$J$11,打分卡!$K$11:$O$11),1)</f>
        <v>5</v>
      </c>
      <c r="AH28" s="41">
        <f>IFERROR(LOOKUP(U28,打分卡!$F$12:$J$12,打分卡!$K$12:$O$12),1)</f>
        <v>5</v>
      </c>
      <c r="AI28" s="41">
        <f>IFERROR(LOOKUP(X28,打分卡!$F$13:$J$13,打分卡!$K$13:$O$13),1)</f>
        <v>5</v>
      </c>
      <c r="AJ28" s="41">
        <f>IFERROR(LOOKUP(Y28,打分卡!$F$14:$J$14,打分卡!$K$14:$O$14),1)</f>
        <v>3</v>
      </c>
      <c r="AK28" s="41">
        <f>IFERROR(LOOKUP(W28,打分卡!$F$15:$J$15,打分卡!$K$15:$O$15),1)</f>
        <v>5</v>
      </c>
      <c r="AL28" s="43">
        <f t="shared" si="0"/>
        <v>1</v>
      </c>
      <c r="AM28" s="41">
        <f>IFERROR(LOOKUP(Z28,打分卡!$F$17:$H$17,打分卡!$K$17:$M$17),1)</f>
        <v>5</v>
      </c>
      <c r="AN28" s="44">
        <f>(打分卡!$D$7*AC28+打分卡!$D$8*AD28+打分卡!$D$9*AE28)/5</f>
        <v>38.4</v>
      </c>
      <c r="AO28" s="44">
        <f>(打分卡!$D$10*AF28+打分卡!$D$11*AG28)/5</f>
        <v>20</v>
      </c>
      <c r="AP28" s="44">
        <f>(打分卡!$D$12*AH28+打分卡!$D$13*AI28+打分卡!$D$14*AJ28+打分卡!$D$15*AK28)/5</f>
        <v>27.6</v>
      </c>
      <c r="AQ28" s="44">
        <f>(打分卡!$D$16*AL28+打分卡!$D$17*AM28)/5</f>
        <v>5.2</v>
      </c>
      <c r="AR28" s="47">
        <f t="shared" si="1"/>
        <v>91.2</v>
      </c>
      <c r="AS28" s="43" t="str">
        <f t="shared" si="2"/>
        <v>SKA</v>
      </c>
      <c r="AT28" s="43" t="str">
        <f t="shared" si="7"/>
        <v>连续下降-预警</v>
      </c>
      <c r="AU28" s="43" t="str">
        <f t="shared" si="3"/>
        <v>守·共创：卡片短信/AI外呼新场景POC</v>
      </c>
    </row>
    <row r="29" ht="15" customHeight="1" spans="1:47">
      <c r="A29" s="20" t="s">
        <v>283</v>
      </c>
      <c r="B29" s="22" t="s">
        <v>284</v>
      </c>
      <c r="C29" s="22" t="s">
        <v>223</v>
      </c>
      <c r="D29" s="22" t="s">
        <v>196</v>
      </c>
      <c r="E29" s="22" t="s">
        <v>181</v>
      </c>
      <c r="F29" s="20" t="s">
        <v>285</v>
      </c>
      <c r="G29" s="22">
        <v>15</v>
      </c>
      <c r="H29" s="22" t="s">
        <v>211</v>
      </c>
      <c r="I29" s="22" t="s">
        <v>184</v>
      </c>
      <c r="J29" s="36">
        <v>772600</v>
      </c>
      <c r="K29" s="36">
        <v>299000</v>
      </c>
      <c r="L29" s="36">
        <v>414300</v>
      </c>
      <c r="M29" s="36">
        <f t="shared" si="4"/>
        <v>1485900</v>
      </c>
      <c r="N29" s="34">
        <f t="shared" si="5"/>
        <v>0.0077900385648588</v>
      </c>
      <c r="O29" s="35">
        <f>SUM($M$2:M29)</f>
        <v>83698000</v>
      </c>
      <c r="P29" s="34">
        <f t="shared" si="6"/>
        <v>0.438798470826806</v>
      </c>
      <c r="Q29" s="39">
        <v>140.7</v>
      </c>
      <c r="R29" s="22">
        <v>12</v>
      </c>
      <c r="S29" s="22">
        <v>6</v>
      </c>
      <c r="T29" s="22">
        <v>3</v>
      </c>
      <c r="U29" s="39">
        <v>518.4</v>
      </c>
      <c r="V29" s="22">
        <v>30</v>
      </c>
      <c r="W29" s="22">
        <v>17</v>
      </c>
      <c r="X29" s="40">
        <v>607</v>
      </c>
      <c r="Y29" s="22">
        <v>3</v>
      </c>
      <c r="Z29" s="22">
        <v>3</v>
      </c>
      <c r="AA29" s="22" t="s">
        <v>212</v>
      </c>
      <c r="AB29" s="22" t="s">
        <v>186</v>
      </c>
      <c r="AC29" s="42">
        <f>IFERROR(LOOKUP(M29,打分卡!$F$7:$J$7,打分卡!$K$7:$O$7),1)</f>
        <v>5</v>
      </c>
      <c r="AD29" s="42">
        <f>IFERROR(LOOKUP(S29,打分卡!$F$8:$J$8,打分卡!$K$8:$O$8),1)</f>
        <v>5</v>
      </c>
      <c r="AE29" s="42">
        <f>IFERROR(LOOKUP(T29,打分卡!$F$9:$I$9,打分卡!$K$9:$N$9),1)</f>
        <v>5</v>
      </c>
      <c r="AF29" s="42">
        <f>IFERROR(LOOKUP(Q29,打分卡!$F$10:$J$10,打分卡!$K$10:$O$10),1)</f>
        <v>5</v>
      </c>
      <c r="AG29" s="42">
        <f>IFERROR(LOOKUP(R29,打分卡!$F$11:$J$11,打分卡!$K$11:$O$11),1)</f>
        <v>4</v>
      </c>
      <c r="AH29" s="42">
        <f>IFERROR(LOOKUP(U29,打分卡!$F$12:$J$12,打分卡!$K$12:$O$12),1)</f>
        <v>5</v>
      </c>
      <c r="AI29" s="42">
        <f>IFERROR(LOOKUP(X29,打分卡!$F$13:$J$13,打分卡!$K$13:$O$13),1)</f>
        <v>5</v>
      </c>
      <c r="AJ29" s="42">
        <f>IFERROR(LOOKUP(Y29,打分卡!$F$14:$J$14,打分卡!$K$14:$O$14),1)</f>
        <v>4</v>
      </c>
      <c r="AK29" s="42">
        <f>IFERROR(LOOKUP(W29,打分卡!$F$15:$J$15,打分卡!$K$15:$O$15),1)</f>
        <v>5</v>
      </c>
      <c r="AL29" s="45">
        <f t="shared" si="0"/>
        <v>1</v>
      </c>
      <c r="AM29" s="42">
        <f>IFERROR(LOOKUP(Z29,打分卡!$F$17:$H$17,打分卡!$K$17:$M$17),1)</f>
        <v>5</v>
      </c>
      <c r="AN29" s="46">
        <f>(打分卡!$D$7*AC29+打分卡!$D$8*AD29+打分卡!$D$9*AE29)/5</f>
        <v>40</v>
      </c>
      <c r="AO29" s="46">
        <f>(打分卡!$D$10*AF29+打分卡!$D$11*AG29)/5</f>
        <v>18</v>
      </c>
      <c r="AP29" s="46">
        <f>(打分卡!$D$12*AH29+打分卡!$D$13*AI29+打分卡!$D$14*AJ29+打分卡!$D$15*AK29)/5</f>
        <v>28.8</v>
      </c>
      <c r="AQ29" s="46">
        <f>(打分卡!$D$16*AL29+打分卡!$D$17*AM29)/5</f>
        <v>5.2</v>
      </c>
      <c r="AR29" s="48">
        <f t="shared" si="1"/>
        <v>92</v>
      </c>
      <c r="AS29" s="45" t="str">
        <f t="shared" si="2"/>
        <v>SKA</v>
      </c>
      <c r="AT29" s="45" t="str">
        <f t="shared" si="7"/>
        <v>连续下降-预警</v>
      </c>
      <c r="AU29" s="45" t="str">
        <f t="shared" si="3"/>
        <v>守·共创：卡片短信/AI外呼新场景POC</v>
      </c>
    </row>
    <row r="30" ht="15" customHeight="1" spans="1:47">
      <c r="A30" s="30" t="s">
        <v>286</v>
      </c>
      <c r="B30" s="31" t="s">
        <v>287</v>
      </c>
      <c r="C30" s="31" t="s">
        <v>218</v>
      </c>
      <c r="D30" s="31" t="s">
        <v>235</v>
      </c>
      <c r="E30" s="31" t="s">
        <v>197</v>
      </c>
      <c r="F30" s="30" t="s">
        <v>288</v>
      </c>
      <c r="G30" s="31">
        <v>27</v>
      </c>
      <c r="H30" s="31" t="s">
        <v>192</v>
      </c>
      <c r="I30" s="31" t="s">
        <v>184</v>
      </c>
      <c r="J30" s="33">
        <v>715400</v>
      </c>
      <c r="K30" s="33">
        <v>448700</v>
      </c>
      <c r="L30" s="33">
        <v>297800</v>
      </c>
      <c r="M30" s="33">
        <f t="shared" si="4"/>
        <v>1461900</v>
      </c>
      <c r="N30" s="34">
        <f t="shared" si="5"/>
        <v>0.00766421520826911</v>
      </c>
      <c r="O30" s="35">
        <f>SUM($M$2:M30)</f>
        <v>85159900</v>
      </c>
      <c r="P30" s="34">
        <f t="shared" si="6"/>
        <v>0.446462686035075</v>
      </c>
      <c r="Q30" s="37">
        <v>179.9</v>
      </c>
      <c r="R30" s="31">
        <v>12</v>
      </c>
      <c r="S30" s="31">
        <v>3</v>
      </c>
      <c r="T30" s="31">
        <v>2</v>
      </c>
      <c r="U30" s="37">
        <v>489.3</v>
      </c>
      <c r="V30" s="31">
        <v>27</v>
      </c>
      <c r="W30" s="31">
        <v>14</v>
      </c>
      <c r="X30" s="38">
        <v>1390</v>
      </c>
      <c r="Y30" s="31">
        <v>6</v>
      </c>
      <c r="Z30" s="31">
        <v>3</v>
      </c>
      <c r="AA30" s="31" t="s">
        <v>199</v>
      </c>
      <c r="AB30" s="31" t="s">
        <v>220</v>
      </c>
      <c r="AC30" s="41">
        <f>IFERROR(LOOKUP(M30,打分卡!$F$7:$J$7,打分卡!$K$7:$O$7),1)</f>
        <v>5</v>
      </c>
      <c r="AD30" s="41">
        <f>IFERROR(LOOKUP(S30,打分卡!$F$8:$J$8,打分卡!$K$8:$O$8),1)</f>
        <v>3</v>
      </c>
      <c r="AE30" s="41">
        <f>IFERROR(LOOKUP(T30,打分卡!$F$9:$I$9,打分卡!$K$9:$N$9),1)</f>
        <v>3</v>
      </c>
      <c r="AF30" s="41">
        <f>IFERROR(LOOKUP(Q30,打分卡!$F$10:$J$10,打分卡!$K$10:$O$10),1)</f>
        <v>5</v>
      </c>
      <c r="AG30" s="41">
        <f>IFERROR(LOOKUP(R30,打分卡!$F$11:$J$11,打分卡!$K$11:$O$11),1)</f>
        <v>4</v>
      </c>
      <c r="AH30" s="41">
        <f>IFERROR(LOOKUP(U30,打分卡!$F$12:$J$12,打分卡!$K$12:$O$12),1)</f>
        <v>5</v>
      </c>
      <c r="AI30" s="41">
        <f>IFERROR(LOOKUP(X30,打分卡!$F$13:$J$13,打分卡!$K$13:$O$13),1)</f>
        <v>5</v>
      </c>
      <c r="AJ30" s="41">
        <f>IFERROR(LOOKUP(Y30,打分卡!$F$14:$J$14,打分卡!$K$14:$O$14),1)</f>
        <v>5</v>
      </c>
      <c r="AK30" s="41">
        <f>IFERROR(LOOKUP(W30,打分卡!$F$15:$J$15,打分卡!$K$15:$O$15),1)</f>
        <v>5</v>
      </c>
      <c r="AL30" s="43">
        <f t="shared" si="0"/>
        <v>5</v>
      </c>
      <c r="AM30" s="41">
        <f>IFERROR(LOOKUP(Z30,打分卡!$F$17:$H$17,打分卡!$K$17:$M$17),1)</f>
        <v>5</v>
      </c>
      <c r="AN30" s="44">
        <f>(打分卡!$D$7*AC30+打分卡!$D$8*AD30+打分卡!$D$9*AE30)/5</f>
        <v>34</v>
      </c>
      <c r="AO30" s="44">
        <f>(打分卡!$D$10*AF30+打分卡!$D$11*AG30)/5</f>
        <v>18</v>
      </c>
      <c r="AP30" s="44">
        <f>(打分卡!$D$12*AH30+打分卡!$D$13*AI30+打分卡!$D$14*AJ30+打分卡!$D$15*AK30)/5</f>
        <v>30</v>
      </c>
      <c r="AQ30" s="44">
        <f>(打分卡!$D$16*AL30+打分卡!$D$17*AM30)/5</f>
        <v>10</v>
      </c>
      <c r="AR30" s="47">
        <f t="shared" si="1"/>
        <v>92</v>
      </c>
      <c r="AS30" s="43" t="str">
        <f t="shared" si="2"/>
        <v>SKA</v>
      </c>
      <c r="AT30" s="43" t="str">
        <f t="shared" si="7"/>
        <v/>
      </c>
      <c r="AU30" s="43" t="str">
        <f t="shared" si="3"/>
        <v>守·共创：卡片短信/AI外呼新场景POC</v>
      </c>
    </row>
    <row r="31" ht="15" customHeight="1" spans="1:47">
      <c r="A31" s="20" t="s">
        <v>289</v>
      </c>
      <c r="B31" s="22" t="s">
        <v>290</v>
      </c>
      <c r="C31" s="22" t="s">
        <v>239</v>
      </c>
      <c r="D31" s="22" t="s">
        <v>252</v>
      </c>
      <c r="E31" s="22" t="s">
        <v>181</v>
      </c>
      <c r="F31" s="20" t="s">
        <v>291</v>
      </c>
      <c r="G31" s="22">
        <v>20</v>
      </c>
      <c r="H31" s="22" t="s">
        <v>211</v>
      </c>
      <c r="I31" s="22" t="s">
        <v>184</v>
      </c>
      <c r="J31" s="36">
        <v>701400</v>
      </c>
      <c r="K31" s="36">
        <v>390500</v>
      </c>
      <c r="L31" s="36">
        <v>349500</v>
      </c>
      <c r="M31" s="36">
        <f t="shared" si="4"/>
        <v>1441400</v>
      </c>
      <c r="N31" s="34">
        <f t="shared" si="5"/>
        <v>0.00755674109118209</v>
      </c>
      <c r="O31" s="35">
        <f>SUM($M$2:M31)</f>
        <v>86601300</v>
      </c>
      <c r="P31" s="34">
        <f t="shared" si="6"/>
        <v>0.454019427126257</v>
      </c>
      <c r="Q31" s="39">
        <v>199.9</v>
      </c>
      <c r="R31" s="22">
        <v>22</v>
      </c>
      <c r="S31" s="22">
        <v>3</v>
      </c>
      <c r="T31" s="22">
        <v>3</v>
      </c>
      <c r="U31" s="39">
        <v>207.7</v>
      </c>
      <c r="V31" s="22">
        <v>38</v>
      </c>
      <c r="W31" s="22">
        <v>9</v>
      </c>
      <c r="X31" s="40">
        <v>592</v>
      </c>
      <c r="Y31" s="22">
        <v>3</v>
      </c>
      <c r="Z31" s="22">
        <v>1</v>
      </c>
      <c r="AA31" s="22" t="s">
        <v>212</v>
      </c>
      <c r="AB31" s="22" t="s">
        <v>186</v>
      </c>
      <c r="AC31" s="42">
        <f>IFERROR(LOOKUP(M31,打分卡!$F$7:$J$7,打分卡!$K$7:$O$7),1)</f>
        <v>5</v>
      </c>
      <c r="AD31" s="42">
        <f>IFERROR(LOOKUP(S31,打分卡!$F$8:$J$8,打分卡!$K$8:$O$8),1)</f>
        <v>3</v>
      </c>
      <c r="AE31" s="42">
        <f>IFERROR(LOOKUP(T31,打分卡!$F$9:$I$9,打分卡!$K$9:$N$9),1)</f>
        <v>5</v>
      </c>
      <c r="AF31" s="42">
        <f>IFERROR(LOOKUP(Q31,打分卡!$F$10:$J$10,打分卡!$K$10:$O$10),1)</f>
        <v>5</v>
      </c>
      <c r="AG31" s="42">
        <f>IFERROR(LOOKUP(R31,打分卡!$F$11:$J$11,打分卡!$K$11:$O$11),1)</f>
        <v>5</v>
      </c>
      <c r="AH31" s="42">
        <f>IFERROR(LOOKUP(U31,打分卡!$F$12:$J$12,打分卡!$K$12:$O$12),1)</f>
        <v>5</v>
      </c>
      <c r="AI31" s="42">
        <f>IFERROR(LOOKUP(X31,打分卡!$F$13:$J$13,打分卡!$K$13:$O$13),1)</f>
        <v>5</v>
      </c>
      <c r="AJ31" s="42">
        <f>IFERROR(LOOKUP(Y31,打分卡!$F$14:$J$14,打分卡!$K$14:$O$14),1)</f>
        <v>4</v>
      </c>
      <c r="AK31" s="42">
        <f>IFERROR(LOOKUP(W31,打分卡!$F$15:$J$15,打分卡!$K$15:$O$15),1)</f>
        <v>4</v>
      </c>
      <c r="AL31" s="45">
        <f t="shared" si="0"/>
        <v>1</v>
      </c>
      <c r="AM31" s="42">
        <f>IFERROR(LOOKUP(Z31,打分卡!$F$17:$H$17,打分卡!$K$17:$M$17),1)</f>
        <v>3</v>
      </c>
      <c r="AN31" s="46">
        <f>(打分卡!$D$7*AC31+打分卡!$D$8*AD31+打分卡!$D$9*AE31)/5</f>
        <v>36.8</v>
      </c>
      <c r="AO31" s="46">
        <f>(打分卡!$D$10*AF31+打分卡!$D$11*AG31)/5</f>
        <v>20</v>
      </c>
      <c r="AP31" s="46">
        <f>(打分卡!$D$12*AH31+打分卡!$D$13*AI31+打分卡!$D$14*AJ31+打分卡!$D$15*AK31)/5</f>
        <v>28</v>
      </c>
      <c r="AQ31" s="46">
        <f>(打分卡!$D$16*AL31+打分卡!$D$17*AM31)/5</f>
        <v>3.6</v>
      </c>
      <c r="AR31" s="48">
        <f t="shared" si="1"/>
        <v>88.4</v>
      </c>
      <c r="AS31" s="45" t="str">
        <f t="shared" si="2"/>
        <v>KA</v>
      </c>
      <c r="AT31" s="45" t="str">
        <f t="shared" si="7"/>
        <v>连续下降-预警</v>
      </c>
      <c r="AU31" s="45" t="str">
        <f t="shared" si="3"/>
        <v>扩·深化：AI外呼场景深化+Push/企微补全</v>
      </c>
    </row>
    <row r="32" ht="15" customHeight="1" spans="1:47">
      <c r="A32" s="30" t="s">
        <v>292</v>
      </c>
      <c r="B32" s="31" t="s">
        <v>293</v>
      </c>
      <c r="C32" s="31" t="s">
        <v>209</v>
      </c>
      <c r="D32" s="31" t="s">
        <v>235</v>
      </c>
      <c r="E32" s="31" t="s">
        <v>197</v>
      </c>
      <c r="F32" s="30" t="s">
        <v>294</v>
      </c>
      <c r="G32" s="31">
        <v>34</v>
      </c>
      <c r="H32" s="31" t="s">
        <v>192</v>
      </c>
      <c r="I32" s="31" t="s">
        <v>184</v>
      </c>
      <c r="J32" s="33">
        <v>787800</v>
      </c>
      <c r="K32" s="33">
        <v>415600</v>
      </c>
      <c r="L32" s="33">
        <v>172000</v>
      </c>
      <c r="M32" s="33">
        <f t="shared" si="4"/>
        <v>1375400</v>
      </c>
      <c r="N32" s="34">
        <f t="shared" si="5"/>
        <v>0.00721072686056046</v>
      </c>
      <c r="O32" s="35">
        <f>SUM($M$2:M32)</f>
        <v>87976700</v>
      </c>
      <c r="P32" s="34">
        <f t="shared" si="6"/>
        <v>0.461230153986818</v>
      </c>
      <c r="Q32" s="37">
        <v>166</v>
      </c>
      <c r="R32" s="31">
        <v>22</v>
      </c>
      <c r="S32" s="31">
        <v>5</v>
      </c>
      <c r="T32" s="31">
        <v>3</v>
      </c>
      <c r="U32" s="37">
        <v>251</v>
      </c>
      <c r="V32" s="31">
        <v>39</v>
      </c>
      <c r="W32" s="31">
        <v>23</v>
      </c>
      <c r="X32" s="38">
        <v>2386</v>
      </c>
      <c r="Y32" s="31">
        <v>7</v>
      </c>
      <c r="Z32" s="31">
        <v>1</v>
      </c>
      <c r="AA32" s="31" t="s">
        <v>199</v>
      </c>
      <c r="AB32" s="31" t="s">
        <v>220</v>
      </c>
      <c r="AC32" s="41">
        <f>IFERROR(LOOKUP(M32,打分卡!$F$7:$J$7,打分卡!$K$7:$O$7),1)</f>
        <v>5</v>
      </c>
      <c r="AD32" s="41">
        <f>IFERROR(LOOKUP(S32,打分卡!$F$8:$J$8,打分卡!$K$8:$O$8),1)</f>
        <v>5</v>
      </c>
      <c r="AE32" s="41">
        <f>IFERROR(LOOKUP(T32,打分卡!$F$9:$I$9,打分卡!$K$9:$N$9),1)</f>
        <v>5</v>
      </c>
      <c r="AF32" s="41">
        <f>IFERROR(LOOKUP(Q32,打分卡!$F$10:$J$10,打分卡!$K$10:$O$10),1)</f>
        <v>5</v>
      </c>
      <c r="AG32" s="41">
        <f>IFERROR(LOOKUP(R32,打分卡!$F$11:$J$11,打分卡!$K$11:$O$11),1)</f>
        <v>5</v>
      </c>
      <c r="AH32" s="41">
        <f>IFERROR(LOOKUP(U32,打分卡!$F$12:$J$12,打分卡!$K$12:$O$12),1)</f>
        <v>5</v>
      </c>
      <c r="AI32" s="41">
        <f>IFERROR(LOOKUP(X32,打分卡!$F$13:$J$13,打分卡!$K$13:$O$13),1)</f>
        <v>5</v>
      </c>
      <c r="AJ32" s="41">
        <f>IFERROR(LOOKUP(Y32,打分卡!$F$14:$J$14,打分卡!$K$14:$O$14),1)</f>
        <v>5</v>
      </c>
      <c r="AK32" s="41">
        <f>IFERROR(LOOKUP(W32,打分卡!$F$15:$J$15,打分卡!$K$15:$O$15),1)</f>
        <v>5</v>
      </c>
      <c r="AL32" s="43">
        <f t="shared" si="0"/>
        <v>5</v>
      </c>
      <c r="AM32" s="41">
        <f>IFERROR(LOOKUP(Z32,打分卡!$F$17:$H$17,打分卡!$K$17:$M$17),1)</f>
        <v>3</v>
      </c>
      <c r="AN32" s="44">
        <f>(打分卡!$D$7*AC32+打分卡!$D$8*AD32+打分卡!$D$9*AE32)/5</f>
        <v>40</v>
      </c>
      <c r="AO32" s="44">
        <f>(打分卡!$D$10*AF32+打分卡!$D$11*AG32)/5</f>
        <v>20</v>
      </c>
      <c r="AP32" s="44">
        <f>(打分卡!$D$12*AH32+打分卡!$D$13*AI32+打分卡!$D$14*AJ32+打分卡!$D$15*AK32)/5</f>
        <v>30</v>
      </c>
      <c r="AQ32" s="44">
        <f>(打分卡!$D$16*AL32+打分卡!$D$17*AM32)/5</f>
        <v>8.4</v>
      </c>
      <c r="AR32" s="47">
        <f t="shared" si="1"/>
        <v>98.4</v>
      </c>
      <c r="AS32" s="43" t="str">
        <f t="shared" si="2"/>
        <v>SKA</v>
      </c>
      <c r="AT32" s="43" t="str">
        <f t="shared" si="7"/>
        <v/>
      </c>
      <c r="AU32" s="43" t="str">
        <f t="shared" si="3"/>
        <v>守·共创：卡片短信/AI外呼新场景POC</v>
      </c>
    </row>
    <row r="33" ht="15" customHeight="1" spans="1:47">
      <c r="A33" s="20" t="s">
        <v>295</v>
      </c>
      <c r="B33" s="22" t="s">
        <v>296</v>
      </c>
      <c r="C33" s="22" t="s">
        <v>195</v>
      </c>
      <c r="D33" s="22" t="s">
        <v>252</v>
      </c>
      <c r="E33" s="22" t="s">
        <v>181</v>
      </c>
      <c r="F33" s="20" t="s">
        <v>297</v>
      </c>
      <c r="G33" s="22">
        <v>33</v>
      </c>
      <c r="H33" s="22" t="s">
        <v>192</v>
      </c>
      <c r="I33" s="22" t="s">
        <v>184</v>
      </c>
      <c r="J33" s="36">
        <v>649500</v>
      </c>
      <c r="K33" s="36">
        <v>491300</v>
      </c>
      <c r="L33" s="36">
        <v>216100</v>
      </c>
      <c r="M33" s="36">
        <f t="shared" si="4"/>
        <v>1356900</v>
      </c>
      <c r="N33" s="34">
        <f t="shared" si="5"/>
        <v>0.00711373802318924</v>
      </c>
      <c r="O33" s="35">
        <f>SUM($M$2:M33)</f>
        <v>89333600</v>
      </c>
      <c r="P33" s="34">
        <f t="shared" si="6"/>
        <v>0.468343892010007</v>
      </c>
      <c r="Q33" s="39">
        <v>124.2</v>
      </c>
      <c r="R33" s="22">
        <v>16</v>
      </c>
      <c r="S33" s="22">
        <v>5</v>
      </c>
      <c r="T33" s="22">
        <v>2</v>
      </c>
      <c r="U33" s="39">
        <v>412.4</v>
      </c>
      <c r="V33" s="22">
        <v>33</v>
      </c>
      <c r="W33" s="22">
        <v>22</v>
      </c>
      <c r="X33" s="40">
        <v>1519</v>
      </c>
      <c r="Y33" s="22">
        <v>8</v>
      </c>
      <c r="Z33" s="22">
        <v>3</v>
      </c>
      <c r="AA33" s="22" t="s">
        <v>199</v>
      </c>
      <c r="AB33" s="22" t="s">
        <v>220</v>
      </c>
      <c r="AC33" s="42">
        <f>IFERROR(LOOKUP(M33,打分卡!$F$7:$J$7,打分卡!$K$7:$O$7),1)</f>
        <v>5</v>
      </c>
      <c r="AD33" s="42">
        <f>IFERROR(LOOKUP(S33,打分卡!$F$8:$J$8,打分卡!$K$8:$O$8),1)</f>
        <v>5</v>
      </c>
      <c r="AE33" s="42">
        <f>IFERROR(LOOKUP(T33,打分卡!$F$9:$I$9,打分卡!$K$9:$N$9),1)</f>
        <v>3</v>
      </c>
      <c r="AF33" s="42">
        <f>IFERROR(LOOKUP(Q33,打分卡!$F$10:$J$10,打分卡!$K$10:$O$10),1)</f>
        <v>5</v>
      </c>
      <c r="AG33" s="42">
        <f>IFERROR(LOOKUP(R33,打分卡!$F$11:$J$11,打分卡!$K$11:$O$11),1)</f>
        <v>5</v>
      </c>
      <c r="AH33" s="42">
        <f>IFERROR(LOOKUP(U33,打分卡!$F$12:$J$12,打分卡!$K$12:$O$12),1)</f>
        <v>5</v>
      </c>
      <c r="AI33" s="42">
        <f>IFERROR(LOOKUP(X33,打分卡!$F$13:$J$13,打分卡!$K$13:$O$13),1)</f>
        <v>5</v>
      </c>
      <c r="AJ33" s="42">
        <f>IFERROR(LOOKUP(Y33,打分卡!$F$14:$J$14,打分卡!$K$14:$O$14),1)</f>
        <v>5</v>
      </c>
      <c r="AK33" s="42">
        <f>IFERROR(LOOKUP(W33,打分卡!$F$15:$J$15,打分卡!$K$15:$O$15),1)</f>
        <v>5</v>
      </c>
      <c r="AL33" s="45">
        <f t="shared" si="0"/>
        <v>5</v>
      </c>
      <c r="AM33" s="42">
        <f>IFERROR(LOOKUP(Z33,打分卡!$F$17:$H$17,打分卡!$K$17:$M$17),1)</f>
        <v>5</v>
      </c>
      <c r="AN33" s="46">
        <f>(打分卡!$D$7*AC33+打分卡!$D$8*AD33+打分卡!$D$9*AE33)/5</f>
        <v>37.2</v>
      </c>
      <c r="AO33" s="46">
        <f>(打分卡!$D$10*AF33+打分卡!$D$11*AG33)/5</f>
        <v>20</v>
      </c>
      <c r="AP33" s="46">
        <f>(打分卡!$D$12*AH33+打分卡!$D$13*AI33+打分卡!$D$14*AJ33+打分卡!$D$15*AK33)/5</f>
        <v>30</v>
      </c>
      <c r="AQ33" s="46">
        <f>(打分卡!$D$16*AL33+打分卡!$D$17*AM33)/5</f>
        <v>10</v>
      </c>
      <c r="AR33" s="48">
        <f t="shared" si="1"/>
        <v>97.2</v>
      </c>
      <c r="AS33" s="45" t="str">
        <f t="shared" si="2"/>
        <v>SKA</v>
      </c>
      <c r="AT33" s="45" t="str">
        <f t="shared" si="7"/>
        <v/>
      </c>
      <c r="AU33" s="45" t="str">
        <f t="shared" si="3"/>
        <v>守·共创：卡片短信/AI外呼新场景POC</v>
      </c>
    </row>
    <row r="34" ht="15" customHeight="1" spans="1:47">
      <c r="A34" s="30" t="s">
        <v>298</v>
      </c>
      <c r="B34" s="31" t="s">
        <v>299</v>
      </c>
      <c r="C34" s="31" t="s">
        <v>234</v>
      </c>
      <c r="D34" s="31" t="s">
        <v>196</v>
      </c>
      <c r="E34" s="31" t="s">
        <v>197</v>
      </c>
      <c r="F34" s="30" t="s">
        <v>300</v>
      </c>
      <c r="G34" s="31">
        <v>18</v>
      </c>
      <c r="H34" s="31" t="s">
        <v>301</v>
      </c>
      <c r="I34" s="31" t="s">
        <v>302</v>
      </c>
      <c r="J34" s="33">
        <v>550300</v>
      </c>
      <c r="K34" s="33">
        <v>321200</v>
      </c>
      <c r="L34" s="33">
        <v>75700</v>
      </c>
      <c r="M34" s="33">
        <f t="shared" si="4"/>
        <v>947200</v>
      </c>
      <c r="N34" s="34">
        <f t="shared" si="5"/>
        <v>0.00496582847340619</v>
      </c>
      <c r="O34" s="35">
        <f>SUM($M$2:M34)</f>
        <v>90280800</v>
      </c>
      <c r="P34" s="34">
        <f t="shared" si="6"/>
        <v>0.473309720483413</v>
      </c>
      <c r="Q34" s="37">
        <v>125.7</v>
      </c>
      <c r="R34" s="31">
        <v>18</v>
      </c>
      <c r="S34" s="31">
        <v>2</v>
      </c>
      <c r="T34" s="31">
        <v>2</v>
      </c>
      <c r="U34" s="37">
        <v>142.2</v>
      </c>
      <c r="V34" s="31">
        <v>16</v>
      </c>
      <c r="W34" s="31">
        <v>7</v>
      </c>
      <c r="X34" s="38">
        <v>164</v>
      </c>
      <c r="Y34" s="31">
        <v>6</v>
      </c>
      <c r="Z34" s="31">
        <v>0</v>
      </c>
      <c r="AA34" s="31" t="s">
        <v>185</v>
      </c>
      <c r="AB34" s="31" t="s">
        <v>220</v>
      </c>
      <c r="AC34" s="41">
        <f>IFERROR(LOOKUP(M34,打分卡!$F$7:$J$7,打分卡!$K$7:$O$7),1)</f>
        <v>5</v>
      </c>
      <c r="AD34" s="41">
        <f>IFERROR(LOOKUP(S34,打分卡!$F$8:$J$8,打分卡!$K$8:$O$8),1)</f>
        <v>2</v>
      </c>
      <c r="AE34" s="41">
        <f>IFERROR(LOOKUP(T34,打分卡!$F$9:$I$9,打分卡!$K$9:$N$9),1)</f>
        <v>3</v>
      </c>
      <c r="AF34" s="41">
        <f>IFERROR(LOOKUP(Q34,打分卡!$F$10:$J$10,打分卡!$K$10:$O$10),1)</f>
        <v>5</v>
      </c>
      <c r="AG34" s="41">
        <f>IFERROR(LOOKUP(R34,打分卡!$F$11:$J$11,打分卡!$K$11:$O$11),1)</f>
        <v>5</v>
      </c>
      <c r="AH34" s="41">
        <f>IFERROR(LOOKUP(U34,打分卡!$F$12:$J$12,打分卡!$K$12:$O$12),1)</f>
        <v>5</v>
      </c>
      <c r="AI34" s="41">
        <f>IFERROR(LOOKUP(X34,打分卡!$F$13:$J$13,打分卡!$K$13:$O$13),1)</f>
        <v>4</v>
      </c>
      <c r="AJ34" s="41">
        <f>IFERROR(LOOKUP(Y34,打分卡!$F$14:$J$14,打分卡!$K$14:$O$14),1)</f>
        <v>5</v>
      </c>
      <c r="AK34" s="41">
        <f>IFERROR(LOOKUP(W34,打分卡!$F$15:$J$15,打分卡!$K$15:$O$15),1)</f>
        <v>4</v>
      </c>
      <c r="AL34" s="43">
        <f t="shared" si="0"/>
        <v>3</v>
      </c>
      <c r="AM34" s="41">
        <f>IFERROR(LOOKUP(Z34,打分卡!$F$17:$H$17,打分卡!$K$17:$M$17),1)</f>
        <v>1</v>
      </c>
      <c r="AN34" s="44">
        <f>(打分卡!$D$7*AC34+打分卡!$D$8*AD34+打分卡!$D$9*AE34)/5</f>
        <v>32.4</v>
      </c>
      <c r="AO34" s="44">
        <f>(打分卡!$D$10*AF34+打分卡!$D$11*AG34)/5</f>
        <v>20</v>
      </c>
      <c r="AP34" s="44">
        <f>(打分卡!$D$12*AH34+打分卡!$D$13*AI34+打分卡!$D$14*AJ34+打分卡!$D$15*AK34)/5</f>
        <v>27.6</v>
      </c>
      <c r="AQ34" s="44">
        <f>(打分卡!$D$16*AL34+打分卡!$D$17*AM34)/5</f>
        <v>4.4</v>
      </c>
      <c r="AR34" s="47">
        <f t="shared" si="1"/>
        <v>84.4</v>
      </c>
      <c r="AS34" s="43" t="str">
        <f t="shared" si="2"/>
        <v>KA</v>
      </c>
      <c r="AT34" s="43" t="str">
        <f t="shared" si="7"/>
        <v/>
      </c>
      <c r="AU34" s="43" t="str">
        <f t="shared" si="3"/>
        <v>扩·深化：AI外呼场景深化+Push/企微补全</v>
      </c>
    </row>
    <row r="35" ht="15" customHeight="1" spans="1:47">
      <c r="A35" s="20" t="s">
        <v>303</v>
      </c>
      <c r="B35" s="22" t="s">
        <v>304</v>
      </c>
      <c r="C35" s="22" t="s">
        <v>209</v>
      </c>
      <c r="D35" s="22" t="s">
        <v>202</v>
      </c>
      <c r="E35" s="22" t="s">
        <v>181</v>
      </c>
      <c r="F35" s="20" t="s">
        <v>305</v>
      </c>
      <c r="G35" s="22">
        <v>15</v>
      </c>
      <c r="H35" s="22" t="s">
        <v>192</v>
      </c>
      <c r="I35" s="22" t="s">
        <v>302</v>
      </c>
      <c r="J35" s="36">
        <v>531800</v>
      </c>
      <c r="K35" s="36">
        <v>309200</v>
      </c>
      <c r="L35" s="36">
        <v>99800</v>
      </c>
      <c r="M35" s="36">
        <f t="shared" si="4"/>
        <v>940800</v>
      </c>
      <c r="N35" s="34">
        <f t="shared" si="5"/>
        <v>0.0049322755783156</v>
      </c>
      <c r="O35" s="35">
        <f>SUM($M$2:M35)</f>
        <v>91221600</v>
      </c>
      <c r="P35" s="34">
        <f t="shared" si="6"/>
        <v>0.478241996061729</v>
      </c>
      <c r="Q35" s="39">
        <v>94.7</v>
      </c>
      <c r="R35" s="22">
        <v>10</v>
      </c>
      <c r="S35" s="22">
        <v>3</v>
      </c>
      <c r="T35" s="22">
        <v>1</v>
      </c>
      <c r="U35" s="39">
        <v>24.6</v>
      </c>
      <c r="V35" s="22">
        <v>29</v>
      </c>
      <c r="W35" s="22">
        <v>7</v>
      </c>
      <c r="X35" s="40">
        <v>105</v>
      </c>
      <c r="Y35" s="22">
        <v>4</v>
      </c>
      <c r="Z35" s="22">
        <v>0</v>
      </c>
      <c r="AA35" s="22" t="s">
        <v>185</v>
      </c>
      <c r="AB35" s="22" t="s">
        <v>220</v>
      </c>
      <c r="AC35" s="42">
        <f>IFERROR(LOOKUP(M35,打分卡!$F$7:$J$7,打分卡!$K$7:$O$7),1)</f>
        <v>5</v>
      </c>
      <c r="AD35" s="42">
        <f>IFERROR(LOOKUP(S35,打分卡!$F$8:$J$8,打分卡!$K$8:$O$8),1)</f>
        <v>3</v>
      </c>
      <c r="AE35" s="42">
        <f>IFERROR(LOOKUP(T35,打分卡!$F$9:$I$9,打分卡!$K$9:$N$9),1)</f>
        <v>2</v>
      </c>
      <c r="AF35" s="42">
        <f>IFERROR(LOOKUP(Q35,打分卡!$F$10:$J$10,打分卡!$K$10:$O$10),1)</f>
        <v>5</v>
      </c>
      <c r="AG35" s="42">
        <f>IFERROR(LOOKUP(R35,打分卡!$F$11:$J$11,打分卡!$K$11:$O$11),1)</f>
        <v>4</v>
      </c>
      <c r="AH35" s="42">
        <f>IFERROR(LOOKUP(U35,打分卡!$F$12:$J$12,打分卡!$K$12:$O$12),1)</f>
        <v>3</v>
      </c>
      <c r="AI35" s="42">
        <f>IFERROR(LOOKUP(X35,打分卡!$F$13:$J$13,打分卡!$K$13:$O$13),1)</f>
        <v>4</v>
      </c>
      <c r="AJ35" s="42">
        <f>IFERROR(LOOKUP(Y35,打分卡!$F$14:$J$14,打分卡!$K$14:$O$14),1)</f>
        <v>4</v>
      </c>
      <c r="AK35" s="42">
        <f>IFERROR(LOOKUP(W35,打分卡!$F$15:$J$15,打分卡!$K$15:$O$15),1)</f>
        <v>4</v>
      </c>
      <c r="AL35" s="45">
        <f t="shared" si="0"/>
        <v>3</v>
      </c>
      <c r="AM35" s="42">
        <f>IFERROR(LOOKUP(Z35,打分卡!$F$17:$H$17,打分卡!$K$17:$M$17),1)</f>
        <v>1</v>
      </c>
      <c r="AN35" s="46">
        <f>(打分卡!$D$7*AC35+打分卡!$D$8*AD35+打分卡!$D$9*AE35)/5</f>
        <v>32.6</v>
      </c>
      <c r="AO35" s="46">
        <f>(打分卡!$D$10*AF35+打分卡!$D$11*AG35)/5</f>
        <v>18</v>
      </c>
      <c r="AP35" s="46">
        <f>(打分卡!$D$12*AH35+打分卡!$D$13*AI35+打分卡!$D$14*AJ35+打分卡!$D$15*AK35)/5</f>
        <v>21.6</v>
      </c>
      <c r="AQ35" s="46">
        <f>(打分卡!$D$16*AL35+打分卡!$D$17*AM35)/5</f>
        <v>4.4</v>
      </c>
      <c r="AR35" s="48">
        <f t="shared" si="1"/>
        <v>76.6</v>
      </c>
      <c r="AS35" s="45" t="str">
        <f t="shared" si="2"/>
        <v>KA</v>
      </c>
      <c r="AT35" s="45" t="str">
        <f t="shared" si="7"/>
        <v/>
      </c>
      <c r="AU35" s="45" t="str">
        <f t="shared" si="3"/>
        <v>扩·深化：AI外呼场景深化+Push/企微补全</v>
      </c>
    </row>
    <row r="36" ht="15" customHeight="1" spans="1:47">
      <c r="A36" s="30" t="s">
        <v>306</v>
      </c>
      <c r="B36" s="31" t="s">
        <v>307</v>
      </c>
      <c r="C36" s="31" t="s">
        <v>189</v>
      </c>
      <c r="D36" s="31" t="s">
        <v>190</v>
      </c>
      <c r="E36" s="31" t="s">
        <v>181</v>
      </c>
      <c r="F36" s="30" t="s">
        <v>308</v>
      </c>
      <c r="G36" s="31">
        <v>27</v>
      </c>
      <c r="H36" s="31" t="s">
        <v>192</v>
      </c>
      <c r="I36" s="31" t="s">
        <v>302</v>
      </c>
      <c r="J36" s="33">
        <v>590000</v>
      </c>
      <c r="K36" s="33">
        <v>207600</v>
      </c>
      <c r="L36" s="33">
        <v>133200</v>
      </c>
      <c r="M36" s="33">
        <f t="shared" si="4"/>
        <v>930800</v>
      </c>
      <c r="N36" s="34">
        <f t="shared" si="5"/>
        <v>0.00487984917973657</v>
      </c>
      <c r="O36" s="35">
        <f>SUM($M$2:M36)</f>
        <v>92152400</v>
      </c>
      <c r="P36" s="34">
        <f t="shared" si="6"/>
        <v>0.483121845241466</v>
      </c>
      <c r="Q36" s="37">
        <v>76.2</v>
      </c>
      <c r="R36" s="31">
        <v>14</v>
      </c>
      <c r="S36" s="31">
        <v>4</v>
      </c>
      <c r="T36" s="31">
        <v>1</v>
      </c>
      <c r="U36" s="37">
        <v>82.6</v>
      </c>
      <c r="V36" s="31">
        <v>22</v>
      </c>
      <c r="W36" s="31">
        <v>2</v>
      </c>
      <c r="X36" s="38">
        <v>177</v>
      </c>
      <c r="Y36" s="31">
        <v>4</v>
      </c>
      <c r="Z36" s="31">
        <v>0</v>
      </c>
      <c r="AA36" s="31" t="s">
        <v>185</v>
      </c>
      <c r="AB36" s="31" t="s">
        <v>220</v>
      </c>
      <c r="AC36" s="41">
        <f>IFERROR(LOOKUP(M36,打分卡!$F$7:$J$7,打分卡!$K$7:$O$7),1)</f>
        <v>5</v>
      </c>
      <c r="AD36" s="41">
        <f>IFERROR(LOOKUP(S36,打分卡!$F$8:$J$8,打分卡!$K$8:$O$8),1)</f>
        <v>4</v>
      </c>
      <c r="AE36" s="41">
        <f>IFERROR(LOOKUP(T36,打分卡!$F$9:$I$9,打分卡!$K$9:$N$9),1)</f>
        <v>2</v>
      </c>
      <c r="AF36" s="41">
        <f>IFERROR(LOOKUP(Q36,打分卡!$F$10:$J$10,打分卡!$K$10:$O$10),1)</f>
        <v>5</v>
      </c>
      <c r="AG36" s="41">
        <f>IFERROR(LOOKUP(R36,打分卡!$F$11:$J$11,打分卡!$K$11:$O$11),1)</f>
        <v>4</v>
      </c>
      <c r="AH36" s="41">
        <f>IFERROR(LOOKUP(U36,打分卡!$F$12:$J$12,打分卡!$K$12:$O$12),1)</f>
        <v>5</v>
      </c>
      <c r="AI36" s="41">
        <f>IFERROR(LOOKUP(X36,打分卡!$F$13:$J$13,打分卡!$K$13:$O$13),1)</f>
        <v>4</v>
      </c>
      <c r="AJ36" s="41">
        <f>IFERROR(LOOKUP(Y36,打分卡!$F$14:$J$14,打分卡!$K$14:$O$14),1)</f>
        <v>4</v>
      </c>
      <c r="AK36" s="41">
        <f>IFERROR(LOOKUP(W36,打分卡!$F$15:$J$15,打分卡!$K$15:$O$15),1)</f>
        <v>2</v>
      </c>
      <c r="AL36" s="43">
        <f t="shared" si="0"/>
        <v>3</v>
      </c>
      <c r="AM36" s="41">
        <f>IFERROR(LOOKUP(Z36,打分卡!$F$17:$H$17,打分卡!$K$17:$M$17),1)</f>
        <v>1</v>
      </c>
      <c r="AN36" s="44">
        <f>(打分卡!$D$7*AC36+打分卡!$D$8*AD36+打分卡!$D$9*AE36)/5</f>
        <v>34.2</v>
      </c>
      <c r="AO36" s="44">
        <f>(打分卡!$D$10*AF36+打分卡!$D$11*AG36)/5</f>
        <v>18</v>
      </c>
      <c r="AP36" s="44">
        <f>(打分卡!$D$12*AH36+打分卡!$D$13*AI36+打分卡!$D$14*AJ36+打分卡!$D$15*AK36)/5</f>
        <v>24.8</v>
      </c>
      <c r="AQ36" s="44">
        <f>(打分卡!$D$16*AL36+打分卡!$D$17*AM36)/5</f>
        <v>4.4</v>
      </c>
      <c r="AR36" s="47">
        <f t="shared" si="1"/>
        <v>81.4</v>
      </c>
      <c r="AS36" s="43" t="str">
        <f t="shared" si="2"/>
        <v>KA</v>
      </c>
      <c r="AT36" s="43" t="str">
        <f t="shared" si="7"/>
        <v/>
      </c>
      <c r="AU36" s="43" t="str">
        <f t="shared" si="3"/>
        <v>扩·深化：AI外呼场景深化+Push/企微补全</v>
      </c>
    </row>
    <row r="37" ht="15" customHeight="1" spans="1:47">
      <c r="A37" s="20" t="s">
        <v>309</v>
      </c>
      <c r="B37" s="22" t="s">
        <v>310</v>
      </c>
      <c r="C37" s="22" t="s">
        <v>189</v>
      </c>
      <c r="D37" s="22" t="s">
        <v>227</v>
      </c>
      <c r="E37" s="22" t="s">
        <v>181</v>
      </c>
      <c r="F37" s="20" t="s">
        <v>311</v>
      </c>
      <c r="G37" s="22">
        <v>18</v>
      </c>
      <c r="H37" s="22" t="s">
        <v>192</v>
      </c>
      <c r="I37" s="22" t="s">
        <v>302</v>
      </c>
      <c r="J37" s="36">
        <v>579000</v>
      </c>
      <c r="K37" s="36">
        <v>234900</v>
      </c>
      <c r="L37" s="36">
        <v>116500</v>
      </c>
      <c r="M37" s="36">
        <f t="shared" si="4"/>
        <v>930400</v>
      </c>
      <c r="N37" s="34">
        <f t="shared" si="5"/>
        <v>0.00487775212379341</v>
      </c>
      <c r="O37" s="35">
        <f>SUM($M$2:M37)</f>
        <v>93082800</v>
      </c>
      <c r="P37" s="34">
        <f t="shared" si="6"/>
        <v>0.487999597365259</v>
      </c>
      <c r="Q37" s="39">
        <v>97.9</v>
      </c>
      <c r="R37" s="22">
        <v>9</v>
      </c>
      <c r="S37" s="22">
        <v>4</v>
      </c>
      <c r="T37" s="22">
        <v>2</v>
      </c>
      <c r="U37" s="39">
        <v>194.2</v>
      </c>
      <c r="V37" s="22">
        <v>8</v>
      </c>
      <c r="W37" s="22">
        <v>6</v>
      </c>
      <c r="X37" s="40">
        <v>321</v>
      </c>
      <c r="Y37" s="22">
        <v>5</v>
      </c>
      <c r="Z37" s="22">
        <v>1</v>
      </c>
      <c r="AA37" s="22" t="s">
        <v>199</v>
      </c>
      <c r="AB37" s="22" t="s">
        <v>220</v>
      </c>
      <c r="AC37" s="42">
        <f>IFERROR(LOOKUP(M37,打分卡!$F$7:$J$7,打分卡!$K$7:$O$7),1)</f>
        <v>5</v>
      </c>
      <c r="AD37" s="42">
        <f>IFERROR(LOOKUP(S37,打分卡!$F$8:$J$8,打分卡!$K$8:$O$8),1)</f>
        <v>4</v>
      </c>
      <c r="AE37" s="42">
        <f>IFERROR(LOOKUP(T37,打分卡!$F$9:$I$9,打分卡!$K$9:$N$9),1)</f>
        <v>3</v>
      </c>
      <c r="AF37" s="42">
        <f>IFERROR(LOOKUP(Q37,打分卡!$F$10:$J$10,打分卡!$K$10:$O$10),1)</f>
        <v>5</v>
      </c>
      <c r="AG37" s="42">
        <f>IFERROR(LOOKUP(R37,打分卡!$F$11:$J$11,打分卡!$K$11:$O$11),1)</f>
        <v>4</v>
      </c>
      <c r="AH37" s="42">
        <f>IFERROR(LOOKUP(U37,打分卡!$F$12:$J$12,打分卡!$K$12:$O$12),1)</f>
        <v>5</v>
      </c>
      <c r="AI37" s="42">
        <f>IFERROR(LOOKUP(X37,打分卡!$F$13:$J$13,打分卡!$K$13:$O$13),1)</f>
        <v>5</v>
      </c>
      <c r="AJ37" s="42">
        <f>IFERROR(LOOKUP(Y37,打分卡!$F$14:$J$14,打分卡!$K$14:$O$14),1)</f>
        <v>5</v>
      </c>
      <c r="AK37" s="42">
        <f>IFERROR(LOOKUP(W37,打分卡!$F$15:$J$15,打分卡!$K$15:$O$15),1)</f>
        <v>4</v>
      </c>
      <c r="AL37" s="45">
        <f t="shared" si="0"/>
        <v>5</v>
      </c>
      <c r="AM37" s="42">
        <f>IFERROR(LOOKUP(Z37,打分卡!$F$17:$H$17,打分卡!$K$17:$M$17),1)</f>
        <v>3</v>
      </c>
      <c r="AN37" s="46">
        <f>(打分卡!$D$7*AC37+打分卡!$D$8*AD37+打分卡!$D$9*AE37)/5</f>
        <v>35.6</v>
      </c>
      <c r="AO37" s="46">
        <f>(打分卡!$D$10*AF37+打分卡!$D$11*AG37)/5</f>
        <v>18</v>
      </c>
      <c r="AP37" s="46">
        <f>(打分卡!$D$12*AH37+打分卡!$D$13*AI37+打分卡!$D$14*AJ37+打分卡!$D$15*AK37)/5</f>
        <v>29.2</v>
      </c>
      <c r="AQ37" s="46">
        <f>(打分卡!$D$16*AL37+打分卡!$D$17*AM37)/5</f>
        <v>8.4</v>
      </c>
      <c r="AR37" s="48">
        <f t="shared" si="1"/>
        <v>91.2</v>
      </c>
      <c r="AS37" s="45" t="str">
        <f t="shared" si="2"/>
        <v>SKA</v>
      </c>
      <c r="AT37" s="45" t="str">
        <f t="shared" si="7"/>
        <v/>
      </c>
      <c r="AU37" s="45" t="str">
        <f t="shared" si="3"/>
        <v>守·共创：卡片短信/AI外呼新场景POC</v>
      </c>
    </row>
    <row r="38" ht="15" customHeight="1" spans="1:47">
      <c r="A38" s="30" t="s">
        <v>312</v>
      </c>
      <c r="B38" s="31" t="s">
        <v>313</v>
      </c>
      <c r="C38" s="31" t="s">
        <v>223</v>
      </c>
      <c r="D38" s="31" t="s">
        <v>252</v>
      </c>
      <c r="E38" s="31" t="s">
        <v>181</v>
      </c>
      <c r="F38" s="30" t="s">
        <v>314</v>
      </c>
      <c r="G38" s="31">
        <v>6</v>
      </c>
      <c r="H38" s="31" t="s">
        <v>192</v>
      </c>
      <c r="I38" s="31" t="s">
        <v>302</v>
      </c>
      <c r="J38" s="33">
        <v>591000</v>
      </c>
      <c r="K38" s="33">
        <v>281600</v>
      </c>
      <c r="L38" s="33">
        <v>45900</v>
      </c>
      <c r="M38" s="33">
        <f t="shared" si="4"/>
        <v>918500</v>
      </c>
      <c r="N38" s="34">
        <f t="shared" si="5"/>
        <v>0.00481536470948435</v>
      </c>
      <c r="O38" s="35">
        <f>SUM($M$2:M38)</f>
        <v>94001300</v>
      </c>
      <c r="P38" s="34">
        <f t="shared" si="6"/>
        <v>0.492814962074743</v>
      </c>
      <c r="Q38" s="37">
        <v>130.7</v>
      </c>
      <c r="R38" s="31">
        <v>9</v>
      </c>
      <c r="S38" s="31">
        <v>2</v>
      </c>
      <c r="T38" s="31">
        <v>2</v>
      </c>
      <c r="U38" s="37">
        <v>46.4</v>
      </c>
      <c r="V38" s="31">
        <v>26</v>
      </c>
      <c r="W38" s="31">
        <v>2</v>
      </c>
      <c r="X38" s="38">
        <v>796</v>
      </c>
      <c r="Y38" s="31">
        <v>2</v>
      </c>
      <c r="Z38" s="31">
        <v>0</v>
      </c>
      <c r="AA38" s="31" t="s">
        <v>315</v>
      </c>
      <c r="AB38" s="31" t="s">
        <v>220</v>
      </c>
      <c r="AC38" s="41">
        <f>IFERROR(LOOKUP(M38,打分卡!$F$7:$J$7,打分卡!$K$7:$O$7),1)</f>
        <v>5</v>
      </c>
      <c r="AD38" s="41">
        <f>IFERROR(LOOKUP(S38,打分卡!$F$8:$J$8,打分卡!$K$8:$O$8),1)</f>
        <v>2</v>
      </c>
      <c r="AE38" s="41">
        <f>IFERROR(LOOKUP(T38,打分卡!$F$9:$I$9,打分卡!$K$9:$N$9),1)</f>
        <v>3</v>
      </c>
      <c r="AF38" s="41">
        <f>IFERROR(LOOKUP(Q38,打分卡!$F$10:$J$10,打分卡!$K$10:$O$10),1)</f>
        <v>5</v>
      </c>
      <c r="AG38" s="41">
        <f>IFERROR(LOOKUP(R38,打分卡!$F$11:$J$11,打分卡!$K$11:$O$11),1)</f>
        <v>4</v>
      </c>
      <c r="AH38" s="41">
        <f>IFERROR(LOOKUP(U38,打分卡!$F$12:$J$12,打分卡!$K$12:$O$12),1)</f>
        <v>4</v>
      </c>
      <c r="AI38" s="41">
        <f>IFERROR(LOOKUP(X38,打分卡!$F$13:$J$13,打分卡!$K$13:$O$13),1)</f>
        <v>5</v>
      </c>
      <c r="AJ38" s="41">
        <f>IFERROR(LOOKUP(Y38,打分卡!$F$14:$J$14,打分卡!$K$14:$O$14),1)</f>
        <v>3</v>
      </c>
      <c r="AK38" s="41">
        <f>IFERROR(LOOKUP(W38,打分卡!$F$15:$J$15,打分卡!$K$15:$O$15),1)</f>
        <v>2</v>
      </c>
      <c r="AL38" s="43">
        <f t="shared" si="0"/>
        <v>2</v>
      </c>
      <c r="AM38" s="41">
        <f>IFERROR(LOOKUP(Z38,打分卡!$F$17:$H$17,打分卡!$K$17:$M$17),1)</f>
        <v>1</v>
      </c>
      <c r="AN38" s="44">
        <f>(打分卡!$D$7*AC38+打分卡!$D$8*AD38+打分卡!$D$9*AE38)/5</f>
        <v>32.4</v>
      </c>
      <c r="AO38" s="44">
        <f>(打分卡!$D$10*AF38+打分卡!$D$11*AG38)/5</f>
        <v>18</v>
      </c>
      <c r="AP38" s="44">
        <f>(打分卡!$D$12*AH38+打分卡!$D$13*AI38+打分卡!$D$14*AJ38+打分卡!$D$15*AK38)/5</f>
        <v>22.8</v>
      </c>
      <c r="AQ38" s="44">
        <f>(打分卡!$D$16*AL38+打分卡!$D$17*AM38)/5</f>
        <v>3.2</v>
      </c>
      <c r="AR38" s="47">
        <f t="shared" si="1"/>
        <v>76.4</v>
      </c>
      <c r="AS38" s="43" t="str">
        <f t="shared" si="2"/>
        <v>KA</v>
      </c>
      <c r="AT38" s="43" t="str">
        <f t="shared" si="7"/>
        <v/>
      </c>
      <c r="AU38" s="43" t="str">
        <f t="shared" si="3"/>
        <v>扩·深化：AI外呼场景深化+Push/企微补全</v>
      </c>
    </row>
    <row r="39" ht="15" customHeight="1" spans="1:47">
      <c r="A39" s="20" t="s">
        <v>316</v>
      </c>
      <c r="B39" s="22" t="s">
        <v>317</v>
      </c>
      <c r="C39" s="22" t="s">
        <v>195</v>
      </c>
      <c r="D39" s="22" t="s">
        <v>202</v>
      </c>
      <c r="E39" s="22" t="s">
        <v>197</v>
      </c>
      <c r="F39" s="20" t="s">
        <v>318</v>
      </c>
      <c r="G39" s="22">
        <v>25</v>
      </c>
      <c r="H39" s="22" t="s">
        <v>301</v>
      </c>
      <c r="I39" s="22" t="s">
        <v>302</v>
      </c>
      <c r="J39" s="36">
        <v>560900</v>
      </c>
      <c r="K39" s="36">
        <v>292500</v>
      </c>
      <c r="L39" s="36">
        <v>48200</v>
      </c>
      <c r="M39" s="36">
        <f t="shared" si="4"/>
        <v>901600</v>
      </c>
      <c r="N39" s="34">
        <f t="shared" si="5"/>
        <v>0.00472676409588579</v>
      </c>
      <c r="O39" s="35">
        <f>SUM($M$2:M39)</f>
        <v>94902900</v>
      </c>
      <c r="P39" s="34">
        <f t="shared" si="6"/>
        <v>0.497541726170629</v>
      </c>
      <c r="Q39" s="39">
        <v>105</v>
      </c>
      <c r="R39" s="22">
        <v>16</v>
      </c>
      <c r="S39" s="22">
        <v>4</v>
      </c>
      <c r="T39" s="22">
        <v>1</v>
      </c>
      <c r="U39" s="39">
        <v>77.4</v>
      </c>
      <c r="V39" s="22">
        <v>27</v>
      </c>
      <c r="W39" s="22">
        <v>5</v>
      </c>
      <c r="X39" s="40">
        <v>170</v>
      </c>
      <c r="Y39" s="22">
        <v>5</v>
      </c>
      <c r="Z39" s="22">
        <v>2</v>
      </c>
      <c r="AA39" s="22" t="s">
        <v>199</v>
      </c>
      <c r="AB39" s="22" t="s">
        <v>220</v>
      </c>
      <c r="AC39" s="42">
        <f>IFERROR(LOOKUP(M39,打分卡!$F$7:$J$7,打分卡!$K$7:$O$7),1)</f>
        <v>5</v>
      </c>
      <c r="AD39" s="42">
        <f>IFERROR(LOOKUP(S39,打分卡!$F$8:$J$8,打分卡!$K$8:$O$8),1)</f>
        <v>4</v>
      </c>
      <c r="AE39" s="42">
        <f>IFERROR(LOOKUP(T39,打分卡!$F$9:$I$9,打分卡!$K$9:$N$9),1)</f>
        <v>2</v>
      </c>
      <c r="AF39" s="42">
        <f>IFERROR(LOOKUP(Q39,打分卡!$F$10:$J$10,打分卡!$K$10:$O$10),1)</f>
        <v>5</v>
      </c>
      <c r="AG39" s="42">
        <f>IFERROR(LOOKUP(R39,打分卡!$F$11:$J$11,打分卡!$K$11:$O$11),1)</f>
        <v>5</v>
      </c>
      <c r="AH39" s="42">
        <f>IFERROR(LOOKUP(U39,打分卡!$F$12:$J$12,打分卡!$K$12:$O$12),1)</f>
        <v>5</v>
      </c>
      <c r="AI39" s="42">
        <f>IFERROR(LOOKUP(X39,打分卡!$F$13:$J$13,打分卡!$K$13:$O$13),1)</f>
        <v>4</v>
      </c>
      <c r="AJ39" s="42">
        <f>IFERROR(LOOKUP(Y39,打分卡!$F$14:$J$14,打分卡!$K$14:$O$14),1)</f>
        <v>5</v>
      </c>
      <c r="AK39" s="42">
        <f>IFERROR(LOOKUP(W39,打分卡!$F$15:$J$15,打分卡!$K$15:$O$15),1)</f>
        <v>3</v>
      </c>
      <c r="AL39" s="45">
        <f t="shared" si="0"/>
        <v>5</v>
      </c>
      <c r="AM39" s="42">
        <f>IFERROR(LOOKUP(Z39,打分卡!$F$17:$H$17,打分卡!$K$17:$M$17),1)</f>
        <v>5</v>
      </c>
      <c r="AN39" s="46">
        <f>(打分卡!$D$7*AC39+打分卡!$D$8*AD39+打分卡!$D$9*AE39)/5</f>
        <v>34.2</v>
      </c>
      <c r="AO39" s="46">
        <f>(打分卡!$D$10*AF39+打分卡!$D$11*AG39)/5</f>
        <v>20</v>
      </c>
      <c r="AP39" s="46">
        <f>(打分卡!$D$12*AH39+打分卡!$D$13*AI39+打分卡!$D$14*AJ39+打分卡!$D$15*AK39)/5</f>
        <v>26.8</v>
      </c>
      <c r="AQ39" s="46">
        <f>(打分卡!$D$16*AL39+打分卡!$D$17*AM39)/5</f>
        <v>10</v>
      </c>
      <c r="AR39" s="48">
        <f t="shared" si="1"/>
        <v>91</v>
      </c>
      <c r="AS39" s="45" t="str">
        <f t="shared" si="2"/>
        <v>SKA</v>
      </c>
      <c r="AT39" s="45" t="str">
        <f t="shared" si="7"/>
        <v/>
      </c>
      <c r="AU39" s="45" t="str">
        <f t="shared" si="3"/>
        <v>守·共创：卡片短信/AI外呼新场景POC</v>
      </c>
    </row>
    <row r="40" ht="15" customHeight="1" spans="1:47">
      <c r="A40" s="30" t="s">
        <v>319</v>
      </c>
      <c r="B40" s="31" t="s">
        <v>320</v>
      </c>
      <c r="C40" s="31" t="s">
        <v>223</v>
      </c>
      <c r="D40" s="31" t="s">
        <v>190</v>
      </c>
      <c r="E40" s="31" t="s">
        <v>181</v>
      </c>
      <c r="F40" s="30" t="s">
        <v>321</v>
      </c>
      <c r="G40" s="31">
        <v>27</v>
      </c>
      <c r="H40" s="31" t="s">
        <v>183</v>
      </c>
      <c r="I40" s="31" t="s">
        <v>302</v>
      </c>
      <c r="J40" s="33">
        <v>487500</v>
      </c>
      <c r="K40" s="33">
        <v>297600</v>
      </c>
      <c r="L40" s="33">
        <v>102900</v>
      </c>
      <c r="M40" s="33">
        <f t="shared" si="4"/>
        <v>888000</v>
      </c>
      <c r="N40" s="34">
        <f t="shared" si="5"/>
        <v>0.0046554641938183</v>
      </c>
      <c r="O40" s="35">
        <f>SUM($M$2:M40)</f>
        <v>95790900</v>
      </c>
      <c r="P40" s="34">
        <f t="shared" si="6"/>
        <v>0.502197190364447</v>
      </c>
      <c r="Q40" s="37">
        <v>108.6</v>
      </c>
      <c r="R40" s="31">
        <v>17</v>
      </c>
      <c r="S40" s="31">
        <v>4</v>
      </c>
      <c r="T40" s="31">
        <v>1</v>
      </c>
      <c r="U40" s="37">
        <v>146.8</v>
      </c>
      <c r="V40" s="31">
        <v>9</v>
      </c>
      <c r="W40" s="31">
        <v>10</v>
      </c>
      <c r="X40" s="38">
        <v>190</v>
      </c>
      <c r="Y40" s="31">
        <v>4</v>
      </c>
      <c r="Z40" s="31">
        <v>2</v>
      </c>
      <c r="AA40" s="31" t="s">
        <v>185</v>
      </c>
      <c r="AB40" s="31" t="s">
        <v>220</v>
      </c>
      <c r="AC40" s="41">
        <f>IFERROR(LOOKUP(M40,打分卡!$F$7:$J$7,打分卡!$K$7:$O$7),1)</f>
        <v>5</v>
      </c>
      <c r="AD40" s="41">
        <f>IFERROR(LOOKUP(S40,打分卡!$F$8:$J$8,打分卡!$K$8:$O$8),1)</f>
        <v>4</v>
      </c>
      <c r="AE40" s="41">
        <f>IFERROR(LOOKUP(T40,打分卡!$F$9:$I$9,打分卡!$K$9:$N$9),1)</f>
        <v>2</v>
      </c>
      <c r="AF40" s="41">
        <f>IFERROR(LOOKUP(Q40,打分卡!$F$10:$J$10,打分卡!$K$10:$O$10),1)</f>
        <v>5</v>
      </c>
      <c r="AG40" s="41">
        <f>IFERROR(LOOKUP(R40,打分卡!$F$11:$J$11,打分卡!$K$11:$O$11),1)</f>
        <v>5</v>
      </c>
      <c r="AH40" s="41">
        <f>IFERROR(LOOKUP(U40,打分卡!$F$12:$J$12,打分卡!$K$12:$O$12),1)</f>
        <v>5</v>
      </c>
      <c r="AI40" s="41">
        <f>IFERROR(LOOKUP(X40,打分卡!$F$13:$J$13,打分卡!$K$13:$O$13),1)</f>
        <v>4</v>
      </c>
      <c r="AJ40" s="41">
        <f>IFERROR(LOOKUP(Y40,打分卡!$F$14:$J$14,打分卡!$K$14:$O$14),1)</f>
        <v>4</v>
      </c>
      <c r="AK40" s="41">
        <f>IFERROR(LOOKUP(W40,打分卡!$F$15:$J$15,打分卡!$K$15:$O$15),1)</f>
        <v>4</v>
      </c>
      <c r="AL40" s="43">
        <f t="shared" si="0"/>
        <v>3</v>
      </c>
      <c r="AM40" s="41">
        <f>IFERROR(LOOKUP(Z40,打分卡!$F$17:$H$17,打分卡!$K$17:$M$17),1)</f>
        <v>5</v>
      </c>
      <c r="AN40" s="44">
        <f>(打分卡!$D$7*AC40+打分卡!$D$8*AD40+打分卡!$D$9*AE40)/5</f>
        <v>34.2</v>
      </c>
      <c r="AO40" s="44">
        <f>(打分卡!$D$10*AF40+打分卡!$D$11*AG40)/5</f>
        <v>20</v>
      </c>
      <c r="AP40" s="44">
        <f>(打分卡!$D$12*AH40+打分卡!$D$13*AI40+打分卡!$D$14*AJ40+打分卡!$D$15*AK40)/5</f>
        <v>26.4</v>
      </c>
      <c r="AQ40" s="44">
        <f>(打分卡!$D$16*AL40+打分卡!$D$17*AM40)/5</f>
        <v>7.6</v>
      </c>
      <c r="AR40" s="47">
        <f t="shared" si="1"/>
        <v>88.2</v>
      </c>
      <c r="AS40" s="43" t="str">
        <f t="shared" si="2"/>
        <v>KA</v>
      </c>
      <c r="AT40" s="43" t="str">
        <f t="shared" si="7"/>
        <v/>
      </c>
      <c r="AU40" s="43" t="str">
        <f t="shared" si="3"/>
        <v>扩·深化：AI外呼场景深化+Push/企微补全</v>
      </c>
    </row>
    <row r="41" ht="15" customHeight="1" spans="1:47">
      <c r="A41" s="20" t="s">
        <v>322</v>
      </c>
      <c r="B41" s="22" t="s">
        <v>323</v>
      </c>
      <c r="C41" s="22" t="s">
        <v>223</v>
      </c>
      <c r="D41" s="22" t="s">
        <v>190</v>
      </c>
      <c r="E41" s="22" t="s">
        <v>181</v>
      </c>
      <c r="F41" s="20" t="s">
        <v>324</v>
      </c>
      <c r="G41" s="22">
        <v>24</v>
      </c>
      <c r="H41" s="22" t="s">
        <v>183</v>
      </c>
      <c r="I41" s="22" t="s">
        <v>302</v>
      </c>
      <c r="J41" s="36">
        <v>512700</v>
      </c>
      <c r="K41" s="36">
        <v>205400</v>
      </c>
      <c r="L41" s="36">
        <v>137500</v>
      </c>
      <c r="M41" s="36">
        <f t="shared" si="4"/>
        <v>855600</v>
      </c>
      <c r="N41" s="34">
        <f t="shared" si="5"/>
        <v>0.00448560266242223</v>
      </c>
      <c r="O41" s="35">
        <f>SUM($M$2:M41)</f>
        <v>96646500</v>
      </c>
      <c r="P41" s="34">
        <f t="shared" si="6"/>
        <v>0.50668279302687</v>
      </c>
      <c r="Q41" s="39">
        <v>122.6</v>
      </c>
      <c r="R41" s="22">
        <v>6</v>
      </c>
      <c r="S41" s="22">
        <v>3</v>
      </c>
      <c r="T41" s="22">
        <v>3</v>
      </c>
      <c r="U41" s="39">
        <v>200.8</v>
      </c>
      <c r="V41" s="22">
        <v>20</v>
      </c>
      <c r="W41" s="22">
        <v>7</v>
      </c>
      <c r="X41" s="40">
        <v>236</v>
      </c>
      <c r="Y41" s="22">
        <v>5</v>
      </c>
      <c r="Z41" s="22">
        <v>2</v>
      </c>
      <c r="AA41" s="22" t="s">
        <v>315</v>
      </c>
      <c r="AB41" s="22" t="s">
        <v>220</v>
      </c>
      <c r="AC41" s="42">
        <f>IFERROR(LOOKUP(M41,打分卡!$F$7:$J$7,打分卡!$K$7:$O$7),1)</f>
        <v>5</v>
      </c>
      <c r="AD41" s="42">
        <f>IFERROR(LOOKUP(S41,打分卡!$F$8:$J$8,打分卡!$K$8:$O$8),1)</f>
        <v>3</v>
      </c>
      <c r="AE41" s="42">
        <f>IFERROR(LOOKUP(T41,打分卡!$F$9:$I$9,打分卡!$K$9:$N$9),1)</f>
        <v>5</v>
      </c>
      <c r="AF41" s="42">
        <f>IFERROR(LOOKUP(Q41,打分卡!$F$10:$J$10,打分卡!$K$10:$O$10),1)</f>
        <v>5</v>
      </c>
      <c r="AG41" s="42">
        <f>IFERROR(LOOKUP(R41,打分卡!$F$11:$J$11,打分卡!$K$11:$O$11),1)</f>
        <v>3</v>
      </c>
      <c r="AH41" s="42">
        <f>IFERROR(LOOKUP(U41,打分卡!$F$12:$J$12,打分卡!$K$12:$O$12),1)</f>
        <v>5</v>
      </c>
      <c r="AI41" s="42">
        <f>IFERROR(LOOKUP(X41,打分卡!$F$13:$J$13,打分卡!$K$13:$O$13),1)</f>
        <v>5</v>
      </c>
      <c r="AJ41" s="42">
        <f>IFERROR(LOOKUP(Y41,打分卡!$F$14:$J$14,打分卡!$K$14:$O$14),1)</f>
        <v>5</v>
      </c>
      <c r="AK41" s="42">
        <f>IFERROR(LOOKUP(W41,打分卡!$F$15:$J$15,打分卡!$K$15:$O$15),1)</f>
        <v>4</v>
      </c>
      <c r="AL41" s="45">
        <f t="shared" si="0"/>
        <v>2</v>
      </c>
      <c r="AM41" s="42">
        <f>IFERROR(LOOKUP(Z41,打分卡!$F$17:$H$17,打分卡!$K$17:$M$17),1)</f>
        <v>5</v>
      </c>
      <c r="AN41" s="46">
        <f>(打分卡!$D$7*AC41+打分卡!$D$8*AD41+打分卡!$D$9*AE41)/5</f>
        <v>36.8</v>
      </c>
      <c r="AO41" s="46">
        <f>(打分卡!$D$10*AF41+打分卡!$D$11*AG41)/5</f>
        <v>16</v>
      </c>
      <c r="AP41" s="46">
        <f>(打分卡!$D$12*AH41+打分卡!$D$13*AI41+打分卡!$D$14*AJ41+打分卡!$D$15*AK41)/5</f>
        <v>29.2</v>
      </c>
      <c r="AQ41" s="46">
        <f>(打分卡!$D$16*AL41+打分卡!$D$17*AM41)/5</f>
        <v>6.4</v>
      </c>
      <c r="AR41" s="48">
        <f t="shared" si="1"/>
        <v>88.4</v>
      </c>
      <c r="AS41" s="45" t="str">
        <f t="shared" si="2"/>
        <v>KA</v>
      </c>
      <c r="AT41" s="45" t="str">
        <f t="shared" si="7"/>
        <v/>
      </c>
      <c r="AU41" s="45" t="str">
        <f t="shared" si="3"/>
        <v>扩·深化：AI外呼场景深化+Push/企微补全</v>
      </c>
    </row>
    <row r="42" ht="15" customHeight="1" spans="1:47">
      <c r="A42" s="30" t="s">
        <v>325</v>
      </c>
      <c r="B42" s="31" t="s">
        <v>326</v>
      </c>
      <c r="C42" s="31" t="s">
        <v>195</v>
      </c>
      <c r="D42" s="31" t="s">
        <v>227</v>
      </c>
      <c r="E42" s="31" t="s">
        <v>181</v>
      </c>
      <c r="F42" s="30" t="s">
        <v>327</v>
      </c>
      <c r="G42" s="31">
        <v>17</v>
      </c>
      <c r="H42" s="31" t="s">
        <v>192</v>
      </c>
      <c r="I42" s="31" t="s">
        <v>184</v>
      </c>
      <c r="J42" s="33">
        <v>454600</v>
      </c>
      <c r="K42" s="33">
        <v>237000</v>
      </c>
      <c r="L42" s="33">
        <v>146200</v>
      </c>
      <c r="M42" s="33">
        <f t="shared" si="4"/>
        <v>837800</v>
      </c>
      <c r="N42" s="34">
        <f t="shared" si="5"/>
        <v>0.00439228367295154</v>
      </c>
      <c r="O42" s="35">
        <f>SUM($M$2:M42)</f>
        <v>97484300</v>
      </c>
      <c r="P42" s="34">
        <f t="shared" si="6"/>
        <v>0.511075076699821</v>
      </c>
      <c r="Q42" s="37">
        <v>116.2</v>
      </c>
      <c r="R42" s="31">
        <v>8</v>
      </c>
      <c r="S42" s="31">
        <v>4</v>
      </c>
      <c r="T42" s="31">
        <v>2</v>
      </c>
      <c r="U42" s="37">
        <v>33.3</v>
      </c>
      <c r="V42" s="31">
        <v>8</v>
      </c>
      <c r="W42" s="31">
        <v>6</v>
      </c>
      <c r="X42" s="38">
        <v>407</v>
      </c>
      <c r="Y42" s="31">
        <v>6</v>
      </c>
      <c r="Z42" s="31">
        <v>1</v>
      </c>
      <c r="AA42" s="31" t="s">
        <v>185</v>
      </c>
      <c r="AB42" s="31" t="s">
        <v>220</v>
      </c>
      <c r="AC42" s="41">
        <f>IFERROR(LOOKUP(M42,打分卡!$F$7:$J$7,打分卡!$K$7:$O$7),1)</f>
        <v>5</v>
      </c>
      <c r="AD42" s="41">
        <f>IFERROR(LOOKUP(S42,打分卡!$F$8:$J$8,打分卡!$K$8:$O$8),1)</f>
        <v>4</v>
      </c>
      <c r="AE42" s="41">
        <f>IFERROR(LOOKUP(T42,打分卡!$F$9:$I$9,打分卡!$K$9:$N$9),1)</f>
        <v>3</v>
      </c>
      <c r="AF42" s="41">
        <f>IFERROR(LOOKUP(Q42,打分卡!$F$10:$J$10,打分卡!$K$10:$O$10),1)</f>
        <v>5</v>
      </c>
      <c r="AG42" s="41">
        <f>IFERROR(LOOKUP(R42,打分卡!$F$11:$J$11,打分卡!$K$11:$O$11),1)</f>
        <v>3</v>
      </c>
      <c r="AH42" s="41">
        <f>IFERROR(LOOKUP(U42,打分卡!$F$12:$J$12,打分卡!$K$12:$O$12),1)</f>
        <v>4</v>
      </c>
      <c r="AI42" s="41">
        <f>IFERROR(LOOKUP(X42,打分卡!$F$13:$J$13,打分卡!$K$13:$O$13),1)</f>
        <v>5</v>
      </c>
      <c r="AJ42" s="41">
        <f>IFERROR(LOOKUP(Y42,打分卡!$F$14:$J$14,打分卡!$K$14:$O$14),1)</f>
        <v>5</v>
      </c>
      <c r="AK42" s="41">
        <f>IFERROR(LOOKUP(W42,打分卡!$F$15:$J$15,打分卡!$K$15:$O$15),1)</f>
        <v>4</v>
      </c>
      <c r="AL42" s="43">
        <f t="shared" si="0"/>
        <v>3</v>
      </c>
      <c r="AM42" s="41">
        <f>IFERROR(LOOKUP(Z42,打分卡!$F$17:$H$17,打分卡!$K$17:$M$17),1)</f>
        <v>3</v>
      </c>
      <c r="AN42" s="44">
        <f>(打分卡!$D$7*AC42+打分卡!$D$8*AD42+打分卡!$D$9*AE42)/5</f>
        <v>35.6</v>
      </c>
      <c r="AO42" s="44">
        <f>(打分卡!$D$10*AF42+打分卡!$D$11*AG42)/5</f>
        <v>16</v>
      </c>
      <c r="AP42" s="44">
        <f>(打分卡!$D$12*AH42+打分卡!$D$13*AI42+打分卡!$D$14*AJ42+打分卡!$D$15*AK42)/5</f>
        <v>26.8</v>
      </c>
      <c r="AQ42" s="44">
        <f>(打分卡!$D$16*AL42+打分卡!$D$17*AM42)/5</f>
        <v>6</v>
      </c>
      <c r="AR42" s="47">
        <f t="shared" si="1"/>
        <v>84.4</v>
      </c>
      <c r="AS42" s="43" t="str">
        <f t="shared" si="2"/>
        <v>KA</v>
      </c>
      <c r="AT42" s="43" t="str">
        <f t="shared" si="7"/>
        <v/>
      </c>
      <c r="AU42" s="43" t="str">
        <f t="shared" si="3"/>
        <v>扩·深化：AI外呼场景深化+Push/企微补全</v>
      </c>
    </row>
    <row r="43" ht="15" customHeight="1" spans="1:47">
      <c r="A43" s="20" t="s">
        <v>328</v>
      </c>
      <c r="B43" s="22" t="s">
        <v>329</v>
      </c>
      <c r="C43" s="22" t="s">
        <v>195</v>
      </c>
      <c r="D43" s="22" t="s">
        <v>190</v>
      </c>
      <c r="E43" s="22" t="s">
        <v>181</v>
      </c>
      <c r="F43" s="20" t="s">
        <v>330</v>
      </c>
      <c r="G43" s="22">
        <v>21</v>
      </c>
      <c r="H43" s="22" t="s">
        <v>301</v>
      </c>
      <c r="I43" s="22" t="s">
        <v>184</v>
      </c>
      <c r="J43" s="36">
        <v>535100</v>
      </c>
      <c r="K43" s="36">
        <v>249800</v>
      </c>
      <c r="L43" s="36">
        <v>51100</v>
      </c>
      <c r="M43" s="36">
        <f t="shared" si="4"/>
        <v>836000</v>
      </c>
      <c r="N43" s="34">
        <f t="shared" si="5"/>
        <v>0.00438284692120732</v>
      </c>
      <c r="O43" s="35">
        <f>SUM($M$2:M43)</f>
        <v>98320300</v>
      </c>
      <c r="P43" s="34">
        <f t="shared" si="6"/>
        <v>0.515457923621028</v>
      </c>
      <c r="Q43" s="39">
        <v>69.2</v>
      </c>
      <c r="R43" s="22">
        <v>8</v>
      </c>
      <c r="S43" s="22">
        <v>4</v>
      </c>
      <c r="T43" s="22">
        <v>1</v>
      </c>
      <c r="U43" s="39">
        <v>171.5</v>
      </c>
      <c r="V43" s="22">
        <v>19</v>
      </c>
      <c r="W43" s="22">
        <v>8</v>
      </c>
      <c r="X43" s="40">
        <v>107</v>
      </c>
      <c r="Y43" s="22">
        <v>3</v>
      </c>
      <c r="Z43" s="22">
        <v>2</v>
      </c>
      <c r="AA43" s="22" t="s">
        <v>185</v>
      </c>
      <c r="AB43" s="22" t="s">
        <v>220</v>
      </c>
      <c r="AC43" s="42">
        <f>IFERROR(LOOKUP(M43,打分卡!$F$7:$J$7,打分卡!$K$7:$O$7),1)</f>
        <v>5</v>
      </c>
      <c r="AD43" s="42">
        <f>IFERROR(LOOKUP(S43,打分卡!$F$8:$J$8,打分卡!$K$8:$O$8),1)</f>
        <v>4</v>
      </c>
      <c r="AE43" s="42">
        <f>IFERROR(LOOKUP(T43,打分卡!$F$9:$I$9,打分卡!$K$9:$N$9),1)</f>
        <v>2</v>
      </c>
      <c r="AF43" s="42">
        <f>IFERROR(LOOKUP(Q43,打分卡!$F$10:$J$10,打分卡!$K$10:$O$10),1)</f>
        <v>5</v>
      </c>
      <c r="AG43" s="42">
        <f>IFERROR(LOOKUP(R43,打分卡!$F$11:$J$11,打分卡!$K$11:$O$11),1)</f>
        <v>3</v>
      </c>
      <c r="AH43" s="42">
        <f>IFERROR(LOOKUP(U43,打分卡!$F$12:$J$12,打分卡!$K$12:$O$12),1)</f>
        <v>5</v>
      </c>
      <c r="AI43" s="42">
        <f>IFERROR(LOOKUP(X43,打分卡!$F$13:$J$13,打分卡!$K$13:$O$13),1)</f>
        <v>4</v>
      </c>
      <c r="AJ43" s="42">
        <f>IFERROR(LOOKUP(Y43,打分卡!$F$14:$J$14,打分卡!$K$14:$O$14),1)</f>
        <v>4</v>
      </c>
      <c r="AK43" s="42">
        <f>IFERROR(LOOKUP(W43,打分卡!$F$15:$J$15,打分卡!$K$15:$O$15),1)</f>
        <v>4</v>
      </c>
      <c r="AL43" s="45">
        <f t="shared" si="0"/>
        <v>3</v>
      </c>
      <c r="AM43" s="42">
        <f>IFERROR(LOOKUP(Z43,打分卡!$F$17:$H$17,打分卡!$K$17:$M$17),1)</f>
        <v>5</v>
      </c>
      <c r="AN43" s="46">
        <f>(打分卡!$D$7*AC43+打分卡!$D$8*AD43+打分卡!$D$9*AE43)/5</f>
        <v>34.2</v>
      </c>
      <c r="AO43" s="46">
        <f>(打分卡!$D$10*AF43+打分卡!$D$11*AG43)/5</f>
        <v>16</v>
      </c>
      <c r="AP43" s="46">
        <f>(打分卡!$D$12*AH43+打分卡!$D$13*AI43+打分卡!$D$14*AJ43+打分卡!$D$15*AK43)/5</f>
        <v>26.4</v>
      </c>
      <c r="AQ43" s="46">
        <f>(打分卡!$D$16*AL43+打分卡!$D$17*AM43)/5</f>
        <v>7.6</v>
      </c>
      <c r="AR43" s="48">
        <f t="shared" si="1"/>
        <v>84.2</v>
      </c>
      <c r="AS43" s="45" t="str">
        <f t="shared" si="2"/>
        <v>KA</v>
      </c>
      <c r="AT43" s="45" t="str">
        <f t="shared" si="7"/>
        <v/>
      </c>
      <c r="AU43" s="45" t="str">
        <f t="shared" si="3"/>
        <v>扩·深化：AI外呼场景深化+Push/企微补全</v>
      </c>
    </row>
    <row r="44" ht="15" customHeight="1" spans="1:47">
      <c r="A44" s="30" t="s">
        <v>331</v>
      </c>
      <c r="B44" s="31" t="s">
        <v>332</v>
      </c>
      <c r="C44" s="31" t="s">
        <v>239</v>
      </c>
      <c r="D44" s="31" t="s">
        <v>202</v>
      </c>
      <c r="E44" s="31" t="s">
        <v>181</v>
      </c>
      <c r="F44" s="30" t="s">
        <v>333</v>
      </c>
      <c r="G44" s="31">
        <v>19</v>
      </c>
      <c r="H44" s="31" t="s">
        <v>301</v>
      </c>
      <c r="I44" s="31" t="s">
        <v>184</v>
      </c>
      <c r="J44" s="33">
        <v>377500</v>
      </c>
      <c r="K44" s="33">
        <v>323500</v>
      </c>
      <c r="L44" s="33">
        <v>129800</v>
      </c>
      <c r="M44" s="33">
        <f t="shared" si="4"/>
        <v>830800</v>
      </c>
      <c r="N44" s="34">
        <f t="shared" si="5"/>
        <v>0.00435558519394622</v>
      </c>
      <c r="O44" s="35">
        <f>SUM($M$2:M44)</f>
        <v>99151100</v>
      </c>
      <c r="P44" s="34">
        <f t="shared" si="6"/>
        <v>0.519813508814975</v>
      </c>
      <c r="Q44" s="37">
        <v>68.8</v>
      </c>
      <c r="R44" s="31">
        <v>16</v>
      </c>
      <c r="S44" s="31">
        <v>3</v>
      </c>
      <c r="T44" s="31">
        <v>1</v>
      </c>
      <c r="U44" s="37">
        <v>88.7</v>
      </c>
      <c r="V44" s="31">
        <v>38</v>
      </c>
      <c r="W44" s="31">
        <v>3</v>
      </c>
      <c r="X44" s="38">
        <v>184</v>
      </c>
      <c r="Y44" s="31">
        <v>5</v>
      </c>
      <c r="Z44" s="31">
        <v>0</v>
      </c>
      <c r="AA44" s="31" t="s">
        <v>199</v>
      </c>
      <c r="AB44" s="31" t="s">
        <v>220</v>
      </c>
      <c r="AC44" s="41">
        <f>IFERROR(LOOKUP(M44,打分卡!$F$7:$J$7,打分卡!$K$7:$O$7),1)</f>
        <v>5</v>
      </c>
      <c r="AD44" s="41">
        <f>IFERROR(LOOKUP(S44,打分卡!$F$8:$J$8,打分卡!$K$8:$O$8),1)</f>
        <v>3</v>
      </c>
      <c r="AE44" s="41">
        <f>IFERROR(LOOKUP(T44,打分卡!$F$9:$I$9,打分卡!$K$9:$N$9),1)</f>
        <v>2</v>
      </c>
      <c r="AF44" s="41">
        <f>IFERROR(LOOKUP(Q44,打分卡!$F$10:$J$10,打分卡!$K$10:$O$10),1)</f>
        <v>5</v>
      </c>
      <c r="AG44" s="41">
        <f>IFERROR(LOOKUP(R44,打分卡!$F$11:$J$11,打分卡!$K$11:$O$11),1)</f>
        <v>5</v>
      </c>
      <c r="AH44" s="41">
        <f>IFERROR(LOOKUP(U44,打分卡!$F$12:$J$12,打分卡!$K$12:$O$12),1)</f>
        <v>5</v>
      </c>
      <c r="AI44" s="41">
        <f>IFERROR(LOOKUP(X44,打分卡!$F$13:$J$13,打分卡!$K$13:$O$13),1)</f>
        <v>4</v>
      </c>
      <c r="AJ44" s="41">
        <f>IFERROR(LOOKUP(Y44,打分卡!$F$14:$J$14,打分卡!$K$14:$O$14),1)</f>
        <v>5</v>
      </c>
      <c r="AK44" s="41">
        <f>IFERROR(LOOKUP(W44,打分卡!$F$15:$J$15,打分卡!$K$15:$O$15),1)</f>
        <v>3</v>
      </c>
      <c r="AL44" s="43">
        <f t="shared" si="0"/>
        <v>5</v>
      </c>
      <c r="AM44" s="41">
        <f>IFERROR(LOOKUP(Z44,打分卡!$F$17:$H$17,打分卡!$K$17:$M$17),1)</f>
        <v>1</v>
      </c>
      <c r="AN44" s="44">
        <f>(打分卡!$D$7*AC44+打分卡!$D$8*AD44+打分卡!$D$9*AE44)/5</f>
        <v>32.6</v>
      </c>
      <c r="AO44" s="44">
        <f>(打分卡!$D$10*AF44+打分卡!$D$11*AG44)/5</f>
        <v>20</v>
      </c>
      <c r="AP44" s="44">
        <f>(打分卡!$D$12*AH44+打分卡!$D$13*AI44+打分卡!$D$14*AJ44+打分卡!$D$15*AK44)/5</f>
        <v>26.8</v>
      </c>
      <c r="AQ44" s="44">
        <f>(打分卡!$D$16*AL44+打分卡!$D$17*AM44)/5</f>
        <v>6.8</v>
      </c>
      <c r="AR44" s="47">
        <f t="shared" si="1"/>
        <v>86.2</v>
      </c>
      <c r="AS44" s="43" t="str">
        <f t="shared" si="2"/>
        <v>KA</v>
      </c>
      <c r="AT44" s="43" t="str">
        <f t="shared" si="7"/>
        <v/>
      </c>
      <c r="AU44" s="43" t="str">
        <f t="shared" si="3"/>
        <v>扩·深化：AI外呼场景深化+Push/企微补全</v>
      </c>
    </row>
    <row r="45" ht="15" customHeight="1" spans="1:47">
      <c r="A45" s="20" t="s">
        <v>334</v>
      </c>
      <c r="B45" s="22" t="s">
        <v>335</v>
      </c>
      <c r="C45" s="22" t="s">
        <v>234</v>
      </c>
      <c r="D45" s="22" t="s">
        <v>202</v>
      </c>
      <c r="E45" s="22" t="s">
        <v>181</v>
      </c>
      <c r="F45" s="20" t="s">
        <v>336</v>
      </c>
      <c r="G45" s="22">
        <v>18</v>
      </c>
      <c r="H45" s="22" t="s">
        <v>301</v>
      </c>
      <c r="I45" s="22" t="s">
        <v>184</v>
      </c>
      <c r="J45" s="36">
        <v>471900</v>
      </c>
      <c r="K45" s="36">
        <v>263300</v>
      </c>
      <c r="L45" s="36">
        <v>87300</v>
      </c>
      <c r="M45" s="36">
        <f t="shared" si="4"/>
        <v>822500</v>
      </c>
      <c r="N45" s="34">
        <f t="shared" si="5"/>
        <v>0.00431207128312562</v>
      </c>
      <c r="O45" s="35">
        <f>SUM($M$2:M45)</f>
        <v>99973600</v>
      </c>
      <c r="P45" s="34">
        <f t="shared" si="6"/>
        <v>0.5241255800981</v>
      </c>
      <c r="Q45" s="39">
        <v>105.7</v>
      </c>
      <c r="R45" s="22">
        <v>8</v>
      </c>
      <c r="S45" s="22">
        <v>3</v>
      </c>
      <c r="T45" s="22">
        <v>1</v>
      </c>
      <c r="U45" s="39">
        <v>67.9</v>
      </c>
      <c r="V45" s="22">
        <v>8</v>
      </c>
      <c r="W45" s="22">
        <v>5</v>
      </c>
      <c r="X45" s="40">
        <v>623</v>
      </c>
      <c r="Y45" s="22">
        <v>3</v>
      </c>
      <c r="Z45" s="22">
        <v>1</v>
      </c>
      <c r="AA45" s="22" t="s">
        <v>185</v>
      </c>
      <c r="AB45" s="22" t="s">
        <v>220</v>
      </c>
      <c r="AC45" s="42">
        <f>IFERROR(LOOKUP(M45,打分卡!$F$7:$J$7,打分卡!$K$7:$O$7),1)</f>
        <v>5</v>
      </c>
      <c r="AD45" s="42">
        <f>IFERROR(LOOKUP(S45,打分卡!$F$8:$J$8,打分卡!$K$8:$O$8),1)</f>
        <v>3</v>
      </c>
      <c r="AE45" s="42">
        <f>IFERROR(LOOKUP(T45,打分卡!$F$9:$I$9,打分卡!$K$9:$N$9),1)</f>
        <v>2</v>
      </c>
      <c r="AF45" s="42">
        <f>IFERROR(LOOKUP(Q45,打分卡!$F$10:$J$10,打分卡!$K$10:$O$10),1)</f>
        <v>5</v>
      </c>
      <c r="AG45" s="42">
        <f>IFERROR(LOOKUP(R45,打分卡!$F$11:$J$11,打分卡!$K$11:$O$11),1)</f>
        <v>3</v>
      </c>
      <c r="AH45" s="42">
        <f>IFERROR(LOOKUP(U45,打分卡!$F$12:$J$12,打分卡!$K$12:$O$12),1)</f>
        <v>4</v>
      </c>
      <c r="AI45" s="42">
        <f>IFERROR(LOOKUP(X45,打分卡!$F$13:$J$13,打分卡!$K$13:$O$13),1)</f>
        <v>5</v>
      </c>
      <c r="AJ45" s="42">
        <f>IFERROR(LOOKUP(Y45,打分卡!$F$14:$J$14,打分卡!$K$14:$O$14),1)</f>
        <v>4</v>
      </c>
      <c r="AK45" s="42">
        <f>IFERROR(LOOKUP(W45,打分卡!$F$15:$J$15,打分卡!$K$15:$O$15),1)</f>
        <v>3</v>
      </c>
      <c r="AL45" s="45">
        <f t="shared" si="0"/>
        <v>3</v>
      </c>
      <c r="AM45" s="42">
        <f>IFERROR(LOOKUP(Z45,打分卡!$F$17:$H$17,打分卡!$K$17:$M$17),1)</f>
        <v>3</v>
      </c>
      <c r="AN45" s="46">
        <f>(打分卡!$D$7*AC45+打分卡!$D$8*AD45+打分卡!$D$9*AE45)/5</f>
        <v>32.6</v>
      </c>
      <c r="AO45" s="46">
        <f>(打分卡!$D$10*AF45+打分卡!$D$11*AG45)/5</f>
        <v>16</v>
      </c>
      <c r="AP45" s="46">
        <f>(打分卡!$D$12*AH45+打分卡!$D$13*AI45+打分卡!$D$14*AJ45+打分卡!$D$15*AK45)/5</f>
        <v>24.8</v>
      </c>
      <c r="AQ45" s="46">
        <f>(打分卡!$D$16*AL45+打分卡!$D$17*AM45)/5</f>
        <v>6</v>
      </c>
      <c r="AR45" s="48">
        <f t="shared" si="1"/>
        <v>79.4</v>
      </c>
      <c r="AS45" s="45" t="str">
        <f t="shared" si="2"/>
        <v>KA</v>
      </c>
      <c r="AT45" s="45" t="str">
        <f t="shared" si="7"/>
        <v/>
      </c>
      <c r="AU45" s="45" t="str">
        <f t="shared" si="3"/>
        <v>扩·深化：AI外呼场景深化+Push/企微补全</v>
      </c>
    </row>
    <row r="46" ht="15" customHeight="1" spans="1:47">
      <c r="A46" s="30" t="s">
        <v>337</v>
      </c>
      <c r="B46" s="31" t="s">
        <v>338</v>
      </c>
      <c r="C46" s="31" t="s">
        <v>218</v>
      </c>
      <c r="D46" s="31" t="s">
        <v>180</v>
      </c>
      <c r="E46" s="31" t="s">
        <v>181</v>
      </c>
      <c r="F46" s="30" t="s">
        <v>339</v>
      </c>
      <c r="G46" s="31">
        <v>9</v>
      </c>
      <c r="H46" s="31" t="s">
        <v>301</v>
      </c>
      <c r="I46" s="31" t="s">
        <v>302</v>
      </c>
      <c r="J46" s="33">
        <v>488200</v>
      </c>
      <c r="K46" s="33">
        <v>257300</v>
      </c>
      <c r="L46" s="33">
        <v>51600</v>
      </c>
      <c r="M46" s="33">
        <f t="shared" si="4"/>
        <v>797100</v>
      </c>
      <c r="N46" s="34">
        <f t="shared" si="5"/>
        <v>0.00417890823073487</v>
      </c>
      <c r="O46" s="35">
        <f>SUM($M$2:M46)</f>
        <v>100770700</v>
      </c>
      <c r="P46" s="34">
        <f t="shared" si="6"/>
        <v>0.528304488328835</v>
      </c>
      <c r="Q46" s="37">
        <v>82.8</v>
      </c>
      <c r="R46" s="31">
        <v>6</v>
      </c>
      <c r="S46" s="31">
        <v>2</v>
      </c>
      <c r="T46" s="31">
        <v>3</v>
      </c>
      <c r="U46" s="37">
        <v>78</v>
      </c>
      <c r="V46" s="31">
        <v>26</v>
      </c>
      <c r="W46" s="31">
        <v>6</v>
      </c>
      <c r="X46" s="38">
        <v>120</v>
      </c>
      <c r="Y46" s="31">
        <v>2</v>
      </c>
      <c r="Z46" s="31">
        <v>1</v>
      </c>
      <c r="AA46" s="31" t="s">
        <v>199</v>
      </c>
      <c r="AB46" s="31" t="s">
        <v>220</v>
      </c>
      <c r="AC46" s="41">
        <f>IFERROR(LOOKUP(M46,打分卡!$F$7:$J$7,打分卡!$K$7:$O$7),1)</f>
        <v>5</v>
      </c>
      <c r="AD46" s="41">
        <f>IFERROR(LOOKUP(S46,打分卡!$F$8:$J$8,打分卡!$K$8:$O$8),1)</f>
        <v>2</v>
      </c>
      <c r="AE46" s="41">
        <f>IFERROR(LOOKUP(T46,打分卡!$F$9:$I$9,打分卡!$K$9:$N$9),1)</f>
        <v>5</v>
      </c>
      <c r="AF46" s="41">
        <f>IFERROR(LOOKUP(Q46,打分卡!$F$10:$J$10,打分卡!$K$10:$O$10),1)</f>
        <v>5</v>
      </c>
      <c r="AG46" s="41">
        <f>IFERROR(LOOKUP(R46,打分卡!$F$11:$J$11,打分卡!$K$11:$O$11),1)</f>
        <v>3</v>
      </c>
      <c r="AH46" s="41">
        <f>IFERROR(LOOKUP(U46,打分卡!$F$12:$J$12,打分卡!$K$12:$O$12),1)</f>
        <v>5</v>
      </c>
      <c r="AI46" s="41">
        <f>IFERROR(LOOKUP(X46,打分卡!$F$13:$J$13,打分卡!$K$13:$O$13),1)</f>
        <v>4</v>
      </c>
      <c r="AJ46" s="41">
        <f>IFERROR(LOOKUP(Y46,打分卡!$F$14:$J$14,打分卡!$K$14:$O$14),1)</f>
        <v>3</v>
      </c>
      <c r="AK46" s="41">
        <f>IFERROR(LOOKUP(W46,打分卡!$F$15:$J$15,打分卡!$K$15:$O$15),1)</f>
        <v>4</v>
      </c>
      <c r="AL46" s="43">
        <f t="shared" si="0"/>
        <v>5</v>
      </c>
      <c r="AM46" s="41">
        <f>IFERROR(LOOKUP(Z46,打分卡!$F$17:$H$17,打分卡!$K$17:$M$17),1)</f>
        <v>3</v>
      </c>
      <c r="AN46" s="44">
        <f>(打分卡!$D$7*AC46+打分卡!$D$8*AD46+打分卡!$D$9*AE46)/5</f>
        <v>35.2</v>
      </c>
      <c r="AO46" s="44">
        <f>(打分卡!$D$10*AF46+打分卡!$D$11*AG46)/5</f>
        <v>16</v>
      </c>
      <c r="AP46" s="44">
        <f>(打分卡!$D$12*AH46+打分卡!$D$13*AI46+打分卡!$D$14*AJ46+打分卡!$D$15*AK46)/5</f>
        <v>25.2</v>
      </c>
      <c r="AQ46" s="44">
        <f>(打分卡!$D$16*AL46+打分卡!$D$17*AM46)/5</f>
        <v>8.4</v>
      </c>
      <c r="AR46" s="47">
        <f t="shared" si="1"/>
        <v>84.8</v>
      </c>
      <c r="AS46" s="43" t="str">
        <f t="shared" si="2"/>
        <v>KA</v>
      </c>
      <c r="AT46" s="43" t="str">
        <f t="shared" si="7"/>
        <v/>
      </c>
      <c r="AU46" s="43" t="str">
        <f t="shared" si="3"/>
        <v>扩·深化：AI外呼场景深化+Push/企微补全</v>
      </c>
    </row>
    <row r="47" ht="15" customHeight="1" spans="1:47">
      <c r="A47" s="20" t="s">
        <v>340</v>
      </c>
      <c r="B47" s="22" t="s">
        <v>341</v>
      </c>
      <c r="C47" s="22" t="s">
        <v>234</v>
      </c>
      <c r="D47" s="22" t="s">
        <v>202</v>
      </c>
      <c r="E47" s="22" t="s">
        <v>181</v>
      </c>
      <c r="F47" s="20" t="s">
        <v>342</v>
      </c>
      <c r="G47" s="22">
        <v>13</v>
      </c>
      <c r="H47" s="22" t="s">
        <v>192</v>
      </c>
      <c r="I47" s="22" t="s">
        <v>184</v>
      </c>
      <c r="J47" s="36">
        <v>358600</v>
      </c>
      <c r="K47" s="36">
        <v>276500</v>
      </c>
      <c r="L47" s="36">
        <v>139200</v>
      </c>
      <c r="M47" s="36">
        <f t="shared" si="4"/>
        <v>774300</v>
      </c>
      <c r="N47" s="34">
        <f t="shared" si="5"/>
        <v>0.00405937604197467</v>
      </c>
      <c r="O47" s="35">
        <f>SUM($M$2:M47)</f>
        <v>101545000</v>
      </c>
      <c r="P47" s="34">
        <f t="shared" si="6"/>
        <v>0.53236386437081</v>
      </c>
      <c r="Q47" s="39">
        <v>99.6</v>
      </c>
      <c r="R47" s="22">
        <v>17</v>
      </c>
      <c r="S47" s="22">
        <v>4</v>
      </c>
      <c r="T47" s="22">
        <v>3</v>
      </c>
      <c r="U47" s="39">
        <v>24.2</v>
      </c>
      <c r="V47" s="22">
        <v>32</v>
      </c>
      <c r="W47" s="22">
        <v>6</v>
      </c>
      <c r="X47" s="40">
        <v>615</v>
      </c>
      <c r="Y47" s="22">
        <v>4</v>
      </c>
      <c r="Z47" s="22">
        <v>0</v>
      </c>
      <c r="AA47" s="22" t="s">
        <v>185</v>
      </c>
      <c r="AB47" s="22" t="s">
        <v>220</v>
      </c>
      <c r="AC47" s="42">
        <f>IFERROR(LOOKUP(M47,打分卡!$F$7:$J$7,打分卡!$K$7:$O$7),1)</f>
        <v>5</v>
      </c>
      <c r="AD47" s="42">
        <f>IFERROR(LOOKUP(S47,打分卡!$F$8:$J$8,打分卡!$K$8:$O$8),1)</f>
        <v>4</v>
      </c>
      <c r="AE47" s="42">
        <f>IFERROR(LOOKUP(T47,打分卡!$F$9:$I$9,打分卡!$K$9:$N$9),1)</f>
        <v>5</v>
      </c>
      <c r="AF47" s="42">
        <f>IFERROR(LOOKUP(Q47,打分卡!$F$10:$J$10,打分卡!$K$10:$O$10),1)</f>
        <v>5</v>
      </c>
      <c r="AG47" s="42">
        <f>IFERROR(LOOKUP(R47,打分卡!$F$11:$J$11,打分卡!$K$11:$O$11),1)</f>
        <v>5</v>
      </c>
      <c r="AH47" s="42">
        <f>IFERROR(LOOKUP(U47,打分卡!$F$12:$J$12,打分卡!$K$12:$O$12),1)</f>
        <v>3</v>
      </c>
      <c r="AI47" s="42">
        <f>IFERROR(LOOKUP(X47,打分卡!$F$13:$J$13,打分卡!$K$13:$O$13),1)</f>
        <v>5</v>
      </c>
      <c r="AJ47" s="42">
        <f>IFERROR(LOOKUP(Y47,打分卡!$F$14:$J$14,打分卡!$K$14:$O$14),1)</f>
        <v>4</v>
      </c>
      <c r="AK47" s="42">
        <f>IFERROR(LOOKUP(W47,打分卡!$F$15:$J$15,打分卡!$K$15:$O$15),1)</f>
        <v>4</v>
      </c>
      <c r="AL47" s="45">
        <f t="shared" si="0"/>
        <v>3</v>
      </c>
      <c r="AM47" s="42">
        <f>IFERROR(LOOKUP(Z47,打分卡!$F$17:$H$17,打分卡!$K$17:$M$17),1)</f>
        <v>1</v>
      </c>
      <c r="AN47" s="46">
        <f>(打分卡!$D$7*AC47+打分卡!$D$8*AD47+打分卡!$D$9*AE47)/5</f>
        <v>38.4</v>
      </c>
      <c r="AO47" s="46">
        <f>(打分卡!$D$10*AF47+打分卡!$D$11*AG47)/5</f>
        <v>20</v>
      </c>
      <c r="AP47" s="46">
        <f>(打分卡!$D$12*AH47+打分卡!$D$13*AI47+打分卡!$D$14*AJ47+打分卡!$D$15*AK47)/5</f>
        <v>23.2</v>
      </c>
      <c r="AQ47" s="46">
        <f>(打分卡!$D$16*AL47+打分卡!$D$17*AM47)/5</f>
        <v>4.4</v>
      </c>
      <c r="AR47" s="48">
        <f t="shared" si="1"/>
        <v>86</v>
      </c>
      <c r="AS47" s="45" t="str">
        <f t="shared" si="2"/>
        <v>KA</v>
      </c>
      <c r="AT47" s="45" t="str">
        <f t="shared" si="7"/>
        <v/>
      </c>
      <c r="AU47" s="45" t="str">
        <f t="shared" si="3"/>
        <v>扩·深化：AI外呼场景深化+Push/企微补全</v>
      </c>
    </row>
    <row r="48" ht="15" customHeight="1" spans="1:47">
      <c r="A48" s="30" t="s">
        <v>343</v>
      </c>
      <c r="B48" s="31" t="s">
        <v>344</v>
      </c>
      <c r="C48" s="31" t="s">
        <v>179</v>
      </c>
      <c r="D48" s="31" t="s">
        <v>190</v>
      </c>
      <c r="E48" s="31" t="s">
        <v>181</v>
      </c>
      <c r="F48" s="30" t="s">
        <v>345</v>
      </c>
      <c r="G48" s="31">
        <v>17</v>
      </c>
      <c r="H48" s="31" t="s">
        <v>183</v>
      </c>
      <c r="I48" s="31" t="s">
        <v>302</v>
      </c>
      <c r="J48" s="33">
        <v>455800</v>
      </c>
      <c r="K48" s="33">
        <v>200300</v>
      </c>
      <c r="L48" s="33">
        <v>84600</v>
      </c>
      <c r="M48" s="33">
        <f t="shared" si="4"/>
        <v>740700</v>
      </c>
      <c r="N48" s="34">
        <f t="shared" si="5"/>
        <v>0.00388322334274911</v>
      </c>
      <c r="O48" s="35">
        <f>SUM($M$2:M48)</f>
        <v>102285700</v>
      </c>
      <c r="P48" s="34">
        <f t="shared" si="6"/>
        <v>0.536247087713559</v>
      </c>
      <c r="Q48" s="37">
        <v>67.9</v>
      </c>
      <c r="R48" s="31">
        <v>16</v>
      </c>
      <c r="S48" s="31">
        <v>2</v>
      </c>
      <c r="T48" s="31">
        <v>1</v>
      </c>
      <c r="U48" s="37">
        <v>30.5</v>
      </c>
      <c r="V48" s="31">
        <v>39</v>
      </c>
      <c r="W48" s="31">
        <v>2</v>
      </c>
      <c r="X48" s="38">
        <v>541</v>
      </c>
      <c r="Y48" s="31">
        <v>2</v>
      </c>
      <c r="Z48" s="31">
        <v>0</v>
      </c>
      <c r="AA48" s="31" t="s">
        <v>185</v>
      </c>
      <c r="AB48" s="31" t="s">
        <v>220</v>
      </c>
      <c r="AC48" s="41">
        <f>IFERROR(LOOKUP(M48,打分卡!$F$7:$J$7,打分卡!$K$7:$O$7),1)</f>
        <v>5</v>
      </c>
      <c r="AD48" s="41">
        <f>IFERROR(LOOKUP(S48,打分卡!$F$8:$J$8,打分卡!$K$8:$O$8),1)</f>
        <v>2</v>
      </c>
      <c r="AE48" s="41">
        <f>IFERROR(LOOKUP(T48,打分卡!$F$9:$I$9,打分卡!$K$9:$N$9),1)</f>
        <v>2</v>
      </c>
      <c r="AF48" s="41">
        <f>IFERROR(LOOKUP(Q48,打分卡!$F$10:$J$10,打分卡!$K$10:$O$10),1)</f>
        <v>5</v>
      </c>
      <c r="AG48" s="41">
        <f>IFERROR(LOOKUP(R48,打分卡!$F$11:$J$11,打分卡!$K$11:$O$11),1)</f>
        <v>5</v>
      </c>
      <c r="AH48" s="41">
        <f>IFERROR(LOOKUP(U48,打分卡!$F$12:$J$12,打分卡!$K$12:$O$12),1)</f>
        <v>3</v>
      </c>
      <c r="AI48" s="41">
        <f>IFERROR(LOOKUP(X48,打分卡!$F$13:$J$13,打分卡!$K$13:$O$13),1)</f>
        <v>5</v>
      </c>
      <c r="AJ48" s="41">
        <f>IFERROR(LOOKUP(Y48,打分卡!$F$14:$J$14,打分卡!$K$14:$O$14),1)</f>
        <v>3</v>
      </c>
      <c r="AK48" s="41">
        <f>IFERROR(LOOKUP(W48,打分卡!$F$15:$J$15,打分卡!$K$15:$O$15),1)</f>
        <v>2</v>
      </c>
      <c r="AL48" s="43">
        <f t="shared" si="0"/>
        <v>3</v>
      </c>
      <c r="AM48" s="41">
        <f>IFERROR(LOOKUP(Z48,打分卡!$F$17:$H$17,打分卡!$K$17:$M$17),1)</f>
        <v>1</v>
      </c>
      <c r="AN48" s="44">
        <f>(打分卡!$D$7*AC48+打分卡!$D$8*AD48+打分卡!$D$9*AE48)/5</f>
        <v>31</v>
      </c>
      <c r="AO48" s="44">
        <f>(打分卡!$D$10*AF48+打分卡!$D$11*AG48)/5</f>
        <v>20</v>
      </c>
      <c r="AP48" s="44">
        <f>(打分卡!$D$12*AH48+打分卡!$D$13*AI48+打分卡!$D$14*AJ48+打分卡!$D$15*AK48)/5</f>
        <v>20.4</v>
      </c>
      <c r="AQ48" s="44">
        <f>(打分卡!$D$16*AL48+打分卡!$D$17*AM48)/5</f>
        <v>4.4</v>
      </c>
      <c r="AR48" s="47">
        <f t="shared" si="1"/>
        <v>75.8</v>
      </c>
      <c r="AS48" s="43" t="str">
        <f t="shared" si="2"/>
        <v>KA</v>
      </c>
      <c r="AT48" s="43" t="str">
        <f t="shared" si="7"/>
        <v/>
      </c>
      <c r="AU48" s="43" t="str">
        <f t="shared" si="3"/>
        <v>扩·深化：AI外呼场景深化+Push/企微补全</v>
      </c>
    </row>
    <row r="49" ht="15" customHeight="1" spans="1:47">
      <c r="A49" s="20" t="s">
        <v>346</v>
      </c>
      <c r="B49" s="22" t="s">
        <v>347</v>
      </c>
      <c r="C49" s="22" t="s">
        <v>179</v>
      </c>
      <c r="D49" s="22" t="s">
        <v>190</v>
      </c>
      <c r="E49" s="22" t="s">
        <v>181</v>
      </c>
      <c r="F49" s="20" t="s">
        <v>348</v>
      </c>
      <c r="G49" s="22">
        <v>23</v>
      </c>
      <c r="H49" s="22" t="s">
        <v>192</v>
      </c>
      <c r="I49" s="22" t="s">
        <v>184</v>
      </c>
      <c r="J49" s="36">
        <v>442500</v>
      </c>
      <c r="K49" s="36">
        <v>158800</v>
      </c>
      <c r="L49" s="36">
        <v>139300</v>
      </c>
      <c r="M49" s="36">
        <f t="shared" si="4"/>
        <v>740600</v>
      </c>
      <c r="N49" s="34">
        <f t="shared" si="5"/>
        <v>0.00388269907876332</v>
      </c>
      <c r="O49" s="35">
        <f>SUM($M$2:M49)</f>
        <v>103026300</v>
      </c>
      <c r="P49" s="34">
        <f t="shared" si="6"/>
        <v>0.540129786792322</v>
      </c>
      <c r="Q49" s="39">
        <v>87.5</v>
      </c>
      <c r="R49" s="22">
        <v>15</v>
      </c>
      <c r="S49" s="22">
        <v>3</v>
      </c>
      <c r="T49" s="22">
        <v>2</v>
      </c>
      <c r="U49" s="39">
        <v>156.8</v>
      </c>
      <c r="V49" s="22">
        <v>39</v>
      </c>
      <c r="W49" s="22">
        <v>6</v>
      </c>
      <c r="X49" s="40">
        <v>282</v>
      </c>
      <c r="Y49" s="22">
        <v>2</v>
      </c>
      <c r="Z49" s="22">
        <v>1</v>
      </c>
      <c r="AA49" s="22" t="s">
        <v>185</v>
      </c>
      <c r="AB49" s="22" t="s">
        <v>220</v>
      </c>
      <c r="AC49" s="42">
        <f>IFERROR(LOOKUP(M49,打分卡!$F$7:$J$7,打分卡!$K$7:$O$7),1)</f>
        <v>5</v>
      </c>
      <c r="AD49" s="42">
        <f>IFERROR(LOOKUP(S49,打分卡!$F$8:$J$8,打分卡!$K$8:$O$8),1)</f>
        <v>3</v>
      </c>
      <c r="AE49" s="42">
        <f>IFERROR(LOOKUP(T49,打分卡!$F$9:$I$9,打分卡!$K$9:$N$9),1)</f>
        <v>3</v>
      </c>
      <c r="AF49" s="42">
        <f>IFERROR(LOOKUP(Q49,打分卡!$F$10:$J$10,打分卡!$K$10:$O$10),1)</f>
        <v>5</v>
      </c>
      <c r="AG49" s="42">
        <f>IFERROR(LOOKUP(R49,打分卡!$F$11:$J$11,打分卡!$K$11:$O$11),1)</f>
        <v>5</v>
      </c>
      <c r="AH49" s="42">
        <f>IFERROR(LOOKUP(U49,打分卡!$F$12:$J$12,打分卡!$K$12:$O$12),1)</f>
        <v>5</v>
      </c>
      <c r="AI49" s="42">
        <f>IFERROR(LOOKUP(X49,打分卡!$F$13:$J$13,打分卡!$K$13:$O$13),1)</f>
        <v>5</v>
      </c>
      <c r="AJ49" s="42">
        <f>IFERROR(LOOKUP(Y49,打分卡!$F$14:$J$14,打分卡!$K$14:$O$14),1)</f>
        <v>3</v>
      </c>
      <c r="AK49" s="42">
        <f>IFERROR(LOOKUP(W49,打分卡!$F$15:$J$15,打分卡!$K$15:$O$15),1)</f>
        <v>4</v>
      </c>
      <c r="AL49" s="45">
        <f t="shared" si="0"/>
        <v>3</v>
      </c>
      <c r="AM49" s="42">
        <f>IFERROR(LOOKUP(Z49,打分卡!$F$17:$H$17,打分卡!$K$17:$M$17),1)</f>
        <v>3</v>
      </c>
      <c r="AN49" s="46">
        <f>(打分卡!$D$7*AC49+打分卡!$D$8*AD49+打分卡!$D$9*AE49)/5</f>
        <v>34</v>
      </c>
      <c r="AO49" s="46">
        <f>(打分卡!$D$10*AF49+打分卡!$D$11*AG49)/5</f>
        <v>20</v>
      </c>
      <c r="AP49" s="46">
        <f>(打分卡!$D$12*AH49+打分卡!$D$13*AI49+打分卡!$D$14*AJ49+打分卡!$D$15*AK49)/5</f>
        <v>26.8</v>
      </c>
      <c r="AQ49" s="46">
        <f>(打分卡!$D$16*AL49+打分卡!$D$17*AM49)/5</f>
        <v>6</v>
      </c>
      <c r="AR49" s="48">
        <f t="shared" si="1"/>
        <v>86.8</v>
      </c>
      <c r="AS49" s="45" t="str">
        <f t="shared" si="2"/>
        <v>KA</v>
      </c>
      <c r="AT49" s="45" t="str">
        <f t="shared" si="7"/>
        <v/>
      </c>
      <c r="AU49" s="45" t="str">
        <f t="shared" si="3"/>
        <v>扩·深化：AI外呼场景深化+Push/企微补全</v>
      </c>
    </row>
    <row r="50" ht="15" customHeight="1" spans="1:47">
      <c r="A50" s="30" t="s">
        <v>349</v>
      </c>
      <c r="B50" s="31" t="s">
        <v>350</v>
      </c>
      <c r="C50" s="31" t="s">
        <v>223</v>
      </c>
      <c r="D50" s="31" t="s">
        <v>190</v>
      </c>
      <c r="E50" s="31" t="s">
        <v>181</v>
      </c>
      <c r="F50" s="30" t="s">
        <v>351</v>
      </c>
      <c r="G50" s="31">
        <v>6</v>
      </c>
      <c r="H50" s="31" t="s">
        <v>183</v>
      </c>
      <c r="I50" s="31" t="s">
        <v>184</v>
      </c>
      <c r="J50" s="33">
        <v>445200</v>
      </c>
      <c r="K50" s="33">
        <v>212400</v>
      </c>
      <c r="L50" s="33">
        <v>74200</v>
      </c>
      <c r="M50" s="33">
        <f t="shared" si="4"/>
        <v>731800</v>
      </c>
      <c r="N50" s="34">
        <f t="shared" si="5"/>
        <v>0.00383656384801377</v>
      </c>
      <c r="O50" s="35">
        <f>SUM($M$2:M50)</f>
        <v>103758100</v>
      </c>
      <c r="P50" s="34">
        <f t="shared" si="6"/>
        <v>0.543966350640336</v>
      </c>
      <c r="Q50" s="37">
        <v>52.4</v>
      </c>
      <c r="R50" s="31">
        <v>16</v>
      </c>
      <c r="S50" s="31">
        <v>4</v>
      </c>
      <c r="T50" s="31">
        <v>3</v>
      </c>
      <c r="U50" s="37">
        <v>20.1</v>
      </c>
      <c r="V50" s="31">
        <v>26</v>
      </c>
      <c r="W50" s="31">
        <v>2</v>
      </c>
      <c r="X50" s="38">
        <v>785</v>
      </c>
      <c r="Y50" s="31">
        <v>2</v>
      </c>
      <c r="Z50" s="31">
        <v>1</v>
      </c>
      <c r="AA50" s="31" t="s">
        <v>315</v>
      </c>
      <c r="AB50" s="31" t="s">
        <v>220</v>
      </c>
      <c r="AC50" s="41">
        <f>IFERROR(LOOKUP(M50,打分卡!$F$7:$J$7,打分卡!$K$7:$O$7),1)</f>
        <v>5</v>
      </c>
      <c r="AD50" s="41">
        <f>IFERROR(LOOKUP(S50,打分卡!$F$8:$J$8,打分卡!$K$8:$O$8),1)</f>
        <v>4</v>
      </c>
      <c r="AE50" s="41">
        <f>IFERROR(LOOKUP(T50,打分卡!$F$9:$I$9,打分卡!$K$9:$N$9),1)</f>
        <v>5</v>
      </c>
      <c r="AF50" s="41">
        <f>IFERROR(LOOKUP(Q50,打分卡!$F$10:$J$10,打分卡!$K$10:$O$10),1)</f>
        <v>4</v>
      </c>
      <c r="AG50" s="41">
        <f>IFERROR(LOOKUP(R50,打分卡!$F$11:$J$11,打分卡!$K$11:$O$11),1)</f>
        <v>5</v>
      </c>
      <c r="AH50" s="41">
        <f>IFERROR(LOOKUP(U50,打分卡!$F$12:$J$12,打分卡!$K$12:$O$12),1)</f>
        <v>3</v>
      </c>
      <c r="AI50" s="41">
        <f>IFERROR(LOOKUP(X50,打分卡!$F$13:$J$13,打分卡!$K$13:$O$13),1)</f>
        <v>5</v>
      </c>
      <c r="AJ50" s="41">
        <f>IFERROR(LOOKUP(Y50,打分卡!$F$14:$J$14,打分卡!$K$14:$O$14),1)</f>
        <v>3</v>
      </c>
      <c r="AK50" s="41">
        <f>IFERROR(LOOKUP(W50,打分卡!$F$15:$J$15,打分卡!$K$15:$O$15),1)</f>
        <v>2</v>
      </c>
      <c r="AL50" s="43">
        <f t="shared" si="0"/>
        <v>2</v>
      </c>
      <c r="AM50" s="41">
        <f>IFERROR(LOOKUP(Z50,打分卡!$F$17:$H$17,打分卡!$K$17:$M$17),1)</f>
        <v>3</v>
      </c>
      <c r="AN50" s="44">
        <f>(打分卡!$D$7*AC50+打分卡!$D$8*AD50+打分卡!$D$9*AE50)/5</f>
        <v>38.4</v>
      </c>
      <c r="AO50" s="44">
        <f>(打分卡!$D$10*AF50+打分卡!$D$11*AG50)/5</f>
        <v>18</v>
      </c>
      <c r="AP50" s="44">
        <f>(打分卡!$D$12*AH50+打分卡!$D$13*AI50+打分卡!$D$14*AJ50+打分卡!$D$15*AK50)/5</f>
        <v>20.4</v>
      </c>
      <c r="AQ50" s="44">
        <f>(打分卡!$D$16*AL50+打分卡!$D$17*AM50)/5</f>
        <v>4.8</v>
      </c>
      <c r="AR50" s="47">
        <f t="shared" si="1"/>
        <v>81.6</v>
      </c>
      <c r="AS50" s="43" t="str">
        <f t="shared" si="2"/>
        <v>KA</v>
      </c>
      <c r="AT50" s="43" t="str">
        <f t="shared" si="7"/>
        <v/>
      </c>
      <c r="AU50" s="43" t="str">
        <f t="shared" si="3"/>
        <v>扩·深化：AI外呼场景深化+Push/企微补全</v>
      </c>
    </row>
    <row r="51" ht="15" customHeight="1" spans="1:47">
      <c r="A51" s="20" t="s">
        <v>352</v>
      </c>
      <c r="B51" s="22" t="s">
        <v>353</v>
      </c>
      <c r="C51" s="22" t="s">
        <v>209</v>
      </c>
      <c r="D51" s="22" t="s">
        <v>196</v>
      </c>
      <c r="E51" s="22" t="s">
        <v>197</v>
      </c>
      <c r="F51" s="20" t="s">
        <v>354</v>
      </c>
      <c r="G51" s="22">
        <v>16</v>
      </c>
      <c r="H51" s="22" t="s">
        <v>301</v>
      </c>
      <c r="I51" s="22" t="s">
        <v>184</v>
      </c>
      <c r="J51" s="36">
        <v>324500</v>
      </c>
      <c r="K51" s="36">
        <v>224900</v>
      </c>
      <c r="L51" s="36">
        <v>162700</v>
      </c>
      <c r="M51" s="36">
        <f t="shared" si="4"/>
        <v>712100</v>
      </c>
      <c r="N51" s="34">
        <f t="shared" si="5"/>
        <v>0.00373328384281307</v>
      </c>
      <c r="O51" s="35">
        <f>SUM($M$2:M51)</f>
        <v>104470200</v>
      </c>
      <c r="P51" s="34">
        <f t="shared" si="6"/>
        <v>0.547699634483149</v>
      </c>
      <c r="Q51" s="39">
        <v>82</v>
      </c>
      <c r="R51" s="22">
        <v>15</v>
      </c>
      <c r="S51" s="22">
        <v>4</v>
      </c>
      <c r="T51" s="22">
        <v>1</v>
      </c>
      <c r="U51" s="39">
        <v>22.7</v>
      </c>
      <c r="V51" s="22">
        <v>12</v>
      </c>
      <c r="W51" s="22">
        <v>8</v>
      </c>
      <c r="X51" s="40">
        <v>416</v>
      </c>
      <c r="Y51" s="22">
        <v>2</v>
      </c>
      <c r="Z51" s="22">
        <v>1</v>
      </c>
      <c r="AA51" s="22" t="s">
        <v>185</v>
      </c>
      <c r="AB51" s="22" t="s">
        <v>220</v>
      </c>
      <c r="AC51" s="42">
        <f>IFERROR(LOOKUP(M51,打分卡!$F$7:$J$7,打分卡!$K$7:$O$7),1)</f>
        <v>5</v>
      </c>
      <c r="AD51" s="42">
        <f>IFERROR(LOOKUP(S51,打分卡!$F$8:$J$8,打分卡!$K$8:$O$8),1)</f>
        <v>4</v>
      </c>
      <c r="AE51" s="42">
        <f>IFERROR(LOOKUP(T51,打分卡!$F$9:$I$9,打分卡!$K$9:$N$9),1)</f>
        <v>2</v>
      </c>
      <c r="AF51" s="42">
        <f>IFERROR(LOOKUP(Q51,打分卡!$F$10:$J$10,打分卡!$K$10:$O$10),1)</f>
        <v>5</v>
      </c>
      <c r="AG51" s="42">
        <f>IFERROR(LOOKUP(R51,打分卡!$F$11:$J$11,打分卡!$K$11:$O$11),1)</f>
        <v>5</v>
      </c>
      <c r="AH51" s="42">
        <f>IFERROR(LOOKUP(U51,打分卡!$F$12:$J$12,打分卡!$K$12:$O$12),1)</f>
        <v>3</v>
      </c>
      <c r="AI51" s="42">
        <f>IFERROR(LOOKUP(X51,打分卡!$F$13:$J$13,打分卡!$K$13:$O$13),1)</f>
        <v>5</v>
      </c>
      <c r="AJ51" s="42">
        <f>IFERROR(LOOKUP(Y51,打分卡!$F$14:$J$14,打分卡!$K$14:$O$14),1)</f>
        <v>3</v>
      </c>
      <c r="AK51" s="42">
        <f>IFERROR(LOOKUP(W51,打分卡!$F$15:$J$15,打分卡!$K$15:$O$15),1)</f>
        <v>4</v>
      </c>
      <c r="AL51" s="45">
        <f t="shared" si="0"/>
        <v>3</v>
      </c>
      <c r="AM51" s="42">
        <f>IFERROR(LOOKUP(Z51,打分卡!$F$17:$H$17,打分卡!$K$17:$M$17),1)</f>
        <v>3</v>
      </c>
      <c r="AN51" s="46">
        <f>(打分卡!$D$7*AC51+打分卡!$D$8*AD51+打分卡!$D$9*AE51)/5</f>
        <v>34.2</v>
      </c>
      <c r="AO51" s="46">
        <f>(打分卡!$D$10*AF51+打分卡!$D$11*AG51)/5</f>
        <v>20</v>
      </c>
      <c r="AP51" s="46">
        <f>(打分卡!$D$12*AH51+打分卡!$D$13*AI51+打分卡!$D$14*AJ51+打分卡!$D$15*AK51)/5</f>
        <v>22</v>
      </c>
      <c r="AQ51" s="46">
        <f>(打分卡!$D$16*AL51+打分卡!$D$17*AM51)/5</f>
        <v>6</v>
      </c>
      <c r="AR51" s="48">
        <f t="shared" si="1"/>
        <v>82.2</v>
      </c>
      <c r="AS51" s="45" t="str">
        <f t="shared" si="2"/>
        <v>KA</v>
      </c>
      <c r="AT51" s="45" t="str">
        <f t="shared" si="7"/>
        <v/>
      </c>
      <c r="AU51" s="45" t="str">
        <f t="shared" si="3"/>
        <v>扩·深化：AI外呼场景深化+Push/企微补全</v>
      </c>
    </row>
    <row r="52" ht="15" customHeight="1" spans="1:47">
      <c r="A52" s="30" t="s">
        <v>355</v>
      </c>
      <c r="B52" s="31" t="s">
        <v>356</v>
      </c>
      <c r="C52" s="31" t="s">
        <v>218</v>
      </c>
      <c r="D52" s="31" t="s">
        <v>190</v>
      </c>
      <c r="E52" s="31" t="s">
        <v>181</v>
      </c>
      <c r="F52" s="30" t="s">
        <v>357</v>
      </c>
      <c r="G52" s="31">
        <v>24</v>
      </c>
      <c r="H52" s="31" t="s">
        <v>192</v>
      </c>
      <c r="I52" s="31" t="s">
        <v>184</v>
      </c>
      <c r="J52" s="33">
        <v>361200</v>
      </c>
      <c r="K52" s="33">
        <v>182300</v>
      </c>
      <c r="L52" s="33">
        <v>161700</v>
      </c>
      <c r="M52" s="33">
        <f t="shared" si="4"/>
        <v>705200</v>
      </c>
      <c r="N52" s="34">
        <f t="shared" si="5"/>
        <v>0.00369710962779354</v>
      </c>
      <c r="O52" s="35">
        <f>SUM($M$2:M52)</f>
        <v>105175400</v>
      </c>
      <c r="P52" s="34">
        <f t="shared" si="6"/>
        <v>0.551396744110943</v>
      </c>
      <c r="Q52" s="37">
        <v>88.2</v>
      </c>
      <c r="R52" s="31">
        <v>16</v>
      </c>
      <c r="S52" s="31">
        <v>4</v>
      </c>
      <c r="T52" s="31">
        <v>3</v>
      </c>
      <c r="U52" s="37">
        <v>112</v>
      </c>
      <c r="V52" s="31">
        <v>9</v>
      </c>
      <c r="W52" s="31">
        <v>6</v>
      </c>
      <c r="X52" s="38">
        <v>590</v>
      </c>
      <c r="Y52" s="31">
        <v>2</v>
      </c>
      <c r="Z52" s="31">
        <v>2</v>
      </c>
      <c r="AA52" s="31" t="s">
        <v>185</v>
      </c>
      <c r="AB52" s="31" t="s">
        <v>220</v>
      </c>
      <c r="AC52" s="41">
        <f>IFERROR(LOOKUP(M52,打分卡!$F$7:$J$7,打分卡!$K$7:$O$7),1)</f>
        <v>5</v>
      </c>
      <c r="AD52" s="41">
        <f>IFERROR(LOOKUP(S52,打分卡!$F$8:$J$8,打分卡!$K$8:$O$8),1)</f>
        <v>4</v>
      </c>
      <c r="AE52" s="41">
        <f>IFERROR(LOOKUP(T52,打分卡!$F$9:$I$9,打分卡!$K$9:$N$9),1)</f>
        <v>5</v>
      </c>
      <c r="AF52" s="41">
        <f>IFERROR(LOOKUP(Q52,打分卡!$F$10:$J$10,打分卡!$K$10:$O$10),1)</f>
        <v>5</v>
      </c>
      <c r="AG52" s="41">
        <f>IFERROR(LOOKUP(R52,打分卡!$F$11:$J$11,打分卡!$K$11:$O$11),1)</f>
        <v>5</v>
      </c>
      <c r="AH52" s="41">
        <f>IFERROR(LOOKUP(U52,打分卡!$F$12:$J$12,打分卡!$K$12:$O$12),1)</f>
        <v>5</v>
      </c>
      <c r="AI52" s="41">
        <f>IFERROR(LOOKUP(X52,打分卡!$F$13:$J$13,打分卡!$K$13:$O$13),1)</f>
        <v>5</v>
      </c>
      <c r="AJ52" s="41">
        <f>IFERROR(LOOKUP(Y52,打分卡!$F$14:$J$14,打分卡!$K$14:$O$14),1)</f>
        <v>3</v>
      </c>
      <c r="AK52" s="41">
        <f>IFERROR(LOOKUP(W52,打分卡!$F$15:$J$15,打分卡!$K$15:$O$15),1)</f>
        <v>4</v>
      </c>
      <c r="AL52" s="43">
        <f t="shared" si="0"/>
        <v>3</v>
      </c>
      <c r="AM52" s="41">
        <f>IFERROR(LOOKUP(Z52,打分卡!$F$17:$H$17,打分卡!$K$17:$M$17),1)</f>
        <v>5</v>
      </c>
      <c r="AN52" s="44">
        <f>(打分卡!$D$7*AC52+打分卡!$D$8*AD52+打分卡!$D$9*AE52)/5</f>
        <v>38.4</v>
      </c>
      <c r="AO52" s="44">
        <f>(打分卡!$D$10*AF52+打分卡!$D$11*AG52)/5</f>
        <v>20</v>
      </c>
      <c r="AP52" s="44">
        <f>(打分卡!$D$12*AH52+打分卡!$D$13*AI52+打分卡!$D$14*AJ52+打分卡!$D$15*AK52)/5</f>
        <v>26.8</v>
      </c>
      <c r="AQ52" s="44">
        <f>(打分卡!$D$16*AL52+打分卡!$D$17*AM52)/5</f>
        <v>7.6</v>
      </c>
      <c r="AR52" s="47">
        <f t="shared" si="1"/>
        <v>92.8</v>
      </c>
      <c r="AS52" s="43" t="str">
        <f t="shared" si="2"/>
        <v>SKA</v>
      </c>
      <c r="AT52" s="43" t="str">
        <f t="shared" si="7"/>
        <v/>
      </c>
      <c r="AU52" s="43" t="str">
        <f t="shared" si="3"/>
        <v>守·共创：卡片短信/AI外呼新场景POC</v>
      </c>
    </row>
    <row r="53" ht="15" customHeight="1" spans="1:47">
      <c r="A53" s="20" t="s">
        <v>358</v>
      </c>
      <c r="B53" s="22" t="s">
        <v>359</v>
      </c>
      <c r="C53" s="22" t="s">
        <v>189</v>
      </c>
      <c r="D53" s="22" t="s">
        <v>202</v>
      </c>
      <c r="E53" s="22" t="s">
        <v>181</v>
      </c>
      <c r="F53" s="20" t="s">
        <v>360</v>
      </c>
      <c r="G53" s="22">
        <v>26</v>
      </c>
      <c r="H53" s="22" t="s">
        <v>301</v>
      </c>
      <c r="I53" s="22" t="s">
        <v>184</v>
      </c>
      <c r="J53" s="36">
        <v>355000</v>
      </c>
      <c r="K53" s="36">
        <v>262200</v>
      </c>
      <c r="L53" s="36">
        <v>77100</v>
      </c>
      <c r="M53" s="36">
        <f t="shared" si="4"/>
        <v>694300</v>
      </c>
      <c r="N53" s="34">
        <f t="shared" si="5"/>
        <v>0.00363996485334239</v>
      </c>
      <c r="O53" s="35">
        <f>SUM($M$2:M53)</f>
        <v>105869700</v>
      </c>
      <c r="P53" s="34">
        <f t="shared" si="6"/>
        <v>0.555036708964285</v>
      </c>
      <c r="Q53" s="39">
        <v>87</v>
      </c>
      <c r="R53" s="22">
        <v>7</v>
      </c>
      <c r="S53" s="22">
        <v>4</v>
      </c>
      <c r="T53" s="22">
        <v>1</v>
      </c>
      <c r="U53" s="39">
        <v>57.3</v>
      </c>
      <c r="V53" s="22">
        <v>34</v>
      </c>
      <c r="W53" s="22">
        <v>2</v>
      </c>
      <c r="X53" s="40">
        <v>693</v>
      </c>
      <c r="Y53" s="22">
        <v>2</v>
      </c>
      <c r="Z53" s="22">
        <v>2</v>
      </c>
      <c r="AA53" s="22" t="s">
        <v>315</v>
      </c>
      <c r="AB53" s="22" t="s">
        <v>220</v>
      </c>
      <c r="AC53" s="42">
        <f>IFERROR(LOOKUP(M53,打分卡!$F$7:$J$7,打分卡!$K$7:$O$7),1)</f>
        <v>5</v>
      </c>
      <c r="AD53" s="42">
        <f>IFERROR(LOOKUP(S53,打分卡!$F$8:$J$8,打分卡!$K$8:$O$8),1)</f>
        <v>4</v>
      </c>
      <c r="AE53" s="42">
        <f>IFERROR(LOOKUP(T53,打分卡!$F$9:$I$9,打分卡!$K$9:$N$9),1)</f>
        <v>2</v>
      </c>
      <c r="AF53" s="42">
        <f>IFERROR(LOOKUP(Q53,打分卡!$F$10:$J$10,打分卡!$K$10:$O$10),1)</f>
        <v>5</v>
      </c>
      <c r="AG53" s="42">
        <f>IFERROR(LOOKUP(R53,打分卡!$F$11:$J$11,打分卡!$K$11:$O$11),1)</f>
        <v>3</v>
      </c>
      <c r="AH53" s="42">
        <f>IFERROR(LOOKUP(U53,打分卡!$F$12:$J$12,打分卡!$K$12:$O$12),1)</f>
        <v>4</v>
      </c>
      <c r="AI53" s="42">
        <f>IFERROR(LOOKUP(X53,打分卡!$F$13:$J$13,打分卡!$K$13:$O$13),1)</f>
        <v>5</v>
      </c>
      <c r="AJ53" s="42">
        <f>IFERROR(LOOKUP(Y53,打分卡!$F$14:$J$14,打分卡!$K$14:$O$14),1)</f>
        <v>3</v>
      </c>
      <c r="AK53" s="42">
        <f>IFERROR(LOOKUP(W53,打分卡!$F$15:$J$15,打分卡!$K$15:$O$15),1)</f>
        <v>2</v>
      </c>
      <c r="AL53" s="45">
        <f t="shared" si="0"/>
        <v>2</v>
      </c>
      <c r="AM53" s="42">
        <f>IFERROR(LOOKUP(Z53,打分卡!$F$17:$H$17,打分卡!$K$17:$M$17),1)</f>
        <v>5</v>
      </c>
      <c r="AN53" s="46">
        <f>(打分卡!$D$7*AC53+打分卡!$D$8*AD53+打分卡!$D$9*AE53)/5</f>
        <v>34.2</v>
      </c>
      <c r="AO53" s="46">
        <f>(打分卡!$D$10*AF53+打分卡!$D$11*AG53)/5</f>
        <v>16</v>
      </c>
      <c r="AP53" s="46">
        <f>(打分卡!$D$12*AH53+打分卡!$D$13*AI53+打分卡!$D$14*AJ53+打分卡!$D$15*AK53)/5</f>
        <v>22.8</v>
      </c>
      <c r="AQ53" s="46">
        <f>(打分卡!$D$16*AL53+打分卡!$D$17*AM53)/5</f>
        <v>6.4</v>
      </c>
      <c r="AR53" s="48">
        <f t="shared" si="1"/>
        <v>79.4</v>
      </c>
      <c r="AS53" s="45" t="str">
        <f t="shared" si="2"/>
        <v>KA</v>
      </c>
      <c r="AT53" s="45" t="str">
        <f t="shared" si="7"/>
        <v/>
      </c>
      <c r="AU53" s="45" t="str">
        <f t="shared" si="3"/>
        <v>扩·深化：AI外呼场景深化+Push/企微补全</v>
      </c>
    </row>
    <row r="54" ht="15" customHeight="1" spans="1:47">
      <c r="A54" s="30" t="s">
        <v>361</v>
      </c>
      <c r="B54" s="31" t="s">
        <v>362</v>
      </c>
      <c r="C54" s="31" t="s">
        <v>179</v>
      </c>
      <c r="D54" s="31" t="s">
        <v>202</v>
      </c>
      <c r="E54" s="31" t="s">
        <v>181</v>
      </c>
      <c r="F54" s="30" t="s">
        <v>363</v>
      </c>
      <c r="G54" s="31">
        <v>28</v>
      </c>
      <c r="H54" s="31" t="s">
        <v>183</v>
      </c>
      <c r="I54" s="31" t="s">
        <v>302</v>
      </c>
      <c r="J54" s="33">
        <v>356400</v>
      </c>
      <c r="K54" s="33">
        <v>245400</v>
      </c>
      <c r="L54" s="33">
        <v>86700</v>
      </c>
      <c r="M54" s="33">
        <f t="shared" si="4"/>
        <v>688500</v>
      </c>
      <c r="N54" s="34">
        <f t="shared" si="5"/>
        <v>0.00360955754216655</v>
      </c>
      <c r="O54" s="35">
        <f>SUM($M$2:M54)</f>
        <v>106558200</v>
      </c>
      <c r="P54" s="34">
        <f t="shared" si="6"/>
        <v>0.558646266506452</v>
      </c>
      <c r="Q54" s="37">
        <v>52.6</v>
      </c>
      <c r="R54" s="31">
        <v>16</v>
      </c>
      <c r="S54" s="31">
        <v>4</v>
      </c>
      <c r="T54" s="31">
        <v>1</v>
      </c>
      <c r="U54" s="37">
        <v>227.6</v>
      </c>
      <c r="V54" s="31">
        <v>11</v>
      </c>
      <c r="W54" s="31">
        <v>6</v>
      </c>
      <c r="X54" s="38">
        <v>522</v>
      </c>
      <c r="Y54" s="31">
        <v>6</v>
      </c>
      <c r="Z54" s="31">
        <v>0</v>
      </c>
      <c r="AA54" s="31" t="s">
        <v>199</v>
      </c>
      <c r="AB54" s="31" t="s">
        <v>220</v>
      </c>
      <c r="AC54" s="41">
        <f>IFERROR(LOOKUP(M54,打分卡!$F$7:$J$7,打分卡!$K$7:$O$7),1)</f>
        <v>5</v>
      </c>
      <c r="AD54" s="41">
        <f>IFERROR(LOOKUP(S54,打分卡!$F$8:$J$8,打分卡!$K$8:$O$8),1)</f>
        <v>4</v>
      </c>
      <c r="AE54" s="41">
        <f>IFERROR(LOOKUP(T54,打分卡!$F$9:$I$9,打分卡!$K$9:$N$9),1)</f>
        <v>2</v>
      </c>
      <c r="AF54" s="41">
        <f>IFERROR(LOOKUP(Q54,打分卡!$F$10:$J$10,打分卡!$K$10:$O$10),1)</f>
        <v>4</v>
      </c>
      <c r="AG54" s="41">
        <f>IFERROR(LOOKUP(R54,打分卡!$F$11:$J$11,打分卡!$K$11:$O$11),1)</f>
        <v>5</v>
      </c>
      <c r="AH54" s="41">
        <f>IFERROR(LOOKUP(U54,打分卡!$F$12:$J$12,打分卡!$K$12:$O$12),1)</f>
        <v>5</v>
      </c>
      <c r="AI54" s="41">
        <f>IFERROR(LOOKUP(X54,打分卡!$F$13:$J$13,打分卡!$K$13:$O$13),1)</f>
        <v>5</v>
      </c>
      <c r="AJ54" s="41">
        <f>IFERROR(LOOKUP(Y54,打分卡!$F$14:$J$14,打分卡!$K$14:$O$14),1)</f>
        <v>5</v>
      </c>
      <c r="AK54" s="41">
        <f>IFERROR(LOOKUP(W54,打分卡!$F$15:$J$15,打分卡!$K$15:$O$15),1)</f>
        <v>4</v>
      </c>
      <c r="AL54" s="43">
        <f t="shared" si="0"/>
        <v>5</v>
      </c>
      <c r="AM54" s="41">
        <f>IFERROR(LOOKUP(Z54,打分卡!$F$17:$H$17,打分卡!$K$17:$M$17),1)</f>
        <v>1</v>
      </c>
      <c r="AN54" s="44">
        <f>(打分卡!$D$7*AC54+打分卡!$D$8*AD54+打分卡!$D$9*AE54)/5</f>
        <v>34.2</v>
      </c>
      <c r="AO54" s="44">
        <f>(打分卡!$D$10*AF54+打分卡!$D$11*AG54)/5</f>
        <v>18</v>
      </c>
      <c r="AP54" s="44">
        <f>(打分卡!$D$12*AH54+打分卡!$D$13*AI54+打分卡!$D$14*AJ54+打分卡!$D$15*AK54)/5</f>
        <v>29.2</v>
      </c>
      <c r="AQ54" s="44">
        <f>(打分卡!$D$16*AL54+打分卡!$D$17*AM54)/5</f>
        <v>6.8</v>
      </c>
      <c r="AR54" s="47">
        <f t="shared" si="1"/>
        <v>88.2</v>
      </c>
      <c r="AS54" s="43" t="str">
        <f t="shared" si="2"/>
        <v>KA</v>
      </c>
      <c r="AT54" s="43" t="str">
        <f t="shared" si="7"/>
        <v/>
      </c>
      <c r="AU54" s="43" t="str">
        <f t="shared" si="3"/>
        <v>扩·深化：AI外呼场景深化+Push/企微补全</v>
      </c>
    </row>
    <row r="55" ht="15" customHeight="1" spans="1:47">
      <c r="A55" s="20" t="s">
        <v>364</v>
      </c>
      <c r="B55" s="22" t="s">
        <v>365</v>
      </c>
      <c r="C55" s="22" t="s">
        <v>239</v>
      </c>
      <c r="D55" s="22" t="s">
        <v>235</v>
      </c>
      <c r="E55" s="22" t="s">
        <v>181</v>
      </c>
      <c r="F55" s="20" t="s">
        <v>366</v>
      </c>
      <c r="G55" s="22">
        <v>30</v>
      </c>
      <c r="H55" s="22" t="s">
        <v>183</v>
      </c>
      <c r="I55" s="22" t="s">
        <v>184</v>
      </c>
      <c r="J55" s="36">
        <v>404500</v>
      </c>
      <c r="K55" s="36">
        <v>232600</v>
      </c>
      <c r="L55" s="36">
        <v>33500</v>
      </c>
      <c r="M55" s="36">
        <f t="shared" si="4"/>
        <v>670600</v>
      </c>
      <c r="N55" s="34">
        <f t="shared" si="5"/>
        <v>0.00351571428871008</v>
      </c>
      <c r="O55" s="35">
        <f>SUM($M$2:M55)</f>
        <v>107228800</v>
      </c>
      <c r="P55" s="34">
        <f t="shared" si="6"/>
        <v>0.562161980795162</v>
      </c>
      <c r="Q55" s="39">
        <v>50.9</v>
      </c>
      <c r="R55" s="22">
        <v>16</v>
      </c>
      <c r="S55" s="22">
        <v>2</v>
      </c>
      <c r="T55" s="22">
        <v>1</v>
      </c>
      <c r="U55" s="39">
        <v>66.9</v>
      </c>
      <c r="V55" s="22">
        <v>18</v>
      </c>
      <c r="W55" s="22">
        <v>4</v>
      </c>
      <c r="X55" s="40">
        <v>224</v>
      </c>
      <c r="Y55" s="22">
        <v>3</v>
      </c>
      <c r="Z55" s="22">
        <v>0</v>
      </c>
      <c r="AA55" s="22" t="s">
        <v>199</v>
      </c>
      <c r="AB55" s="22" t="s">
        <v>220</v>
      </c>
      <c r="AC55" s="42">
        <f>IFERROR(LOOKUP(M55,打分卡!$F$7:$J$7,打分卡!$K$7:$O$7),1)</f>
        <v>5</v>
      </c>
      <c r="AD55" s="42">
        <f>IFERROR(LOOKUP(S55,打分卡!$F$8:$J$8,打分卡!$K$8:$O$8),1)</f>
        <v>2</v>
      </c>
      <c r="AE55" s="42">
        <f>IFERROR(LOOKUP(T55,打分卡!$F$9:$I$9,打分卡!$K$9:$N$9),1)</f>
        <v>2</v>
      </c>
      <c r="AF55" s="42">
        <f>IFERROR(LOOKUP(Q55,打分卡!$F$10:$J$10,打分卡!$K$10:$O$10),1)</f>
        <v>4</v>
      </c>
      <c r="AG55" s="42">
        <f>IFERROR(LOOKUP(R55,打分卡!$F$11:$J$11,打分卡!$K$11:$O$11),1)</f>
        <v>5</v>
      </c>
      <c r="AH55" s="42">
        <f>IFERROR(LOOKUP(U55,打分卡!$F$12:$J$12,打分卡!$K$12:$O$12),1)</f>
        <v>4</v>
      </c>
      <c r="AI55" s="42">
        <f>IFERROR(LOOKUP(X55,打分卡!$F$13:$J$13,打分卡!$K$13:$O$13),1)</f>
        <v>5</v>
      </c>
      <c r="AJ55" s="42">
        <f>IFERROR(LOOKUP(Y55,打分卡!$F$14:$J$14,打分卡!$K$14:$O$14),1)</f>
        <v>4</v>
      </c>
      <c r="AK55" s="42">
        <f>IFERROR(LOOKUP(W55,打分卡!$F$15:$J$15,打分卡!$K$15:$O$15),1)</f>
        <v>3</v>
      </c>
      <c r="AL55" s="45">
        <f t="shared" si="0"/>
        <v>5</v>
      </c>
      <c r="AM55" s="42">
        <f>IFERROR(LOOKUP(Z55,打分卡!$F$17:$H$17,打分卡!$K$17:$M$17),1)</f>
        <v>1</v>
      </c>
      <c r="AN55" s="46">
        <f>(打分卡!$D$7*AC55+打分卡!$D$8*AD55+打分卡!$D$9*AE55)/5</f>
        <v>31</v>
      </c>
      <c r="AO55" s="46">
        <f>(打分卡!$D$10*AF55+打分卡!$D$11*AG55)/5</f>
        <v>18</v>
      </c>
      <c r="AP55" s="46">
        <f>(打分卡!$D$12*AH55+打分卡!$D$13*AI55+打分卡!$D$14*AJ55+打分卡!$D$15*AK55)/5</f>
        <v>24.8</v>
      </c>
      <c r="AQ55" s="46">
        <f>(打分卡!$D$16*AL55+打分卡!$D$17*AM55)/5</f>
        <v>6.8</v>
      </c>
      <c r="AR55" s="48">
        <f t="shared" si="1"/>
        <v>80.6</v>
      </c>
      <c r="AS55" s="45" t="str">
        <f t="shared" si="2"/>
        <v>KA</v>
      </c>
      <c r="AT55" s="45" t="str">
        <f t="shared" si="7"/>
        <v/>
      </c>
      <c r="AU55" s="45" t="str">
        <f t="shared" si="3"/>
        <v>扩·深化：AI外呼场景深化+Push/企微补全</v>
      </c>
    </row>
    <row r="56" ht="15" customHeight="1" spans="1:47">
      <c r="A56" s="30" t="s">
        <v>367</v>
      </c>
      <c r="B56" s="31" t="s">
        <v>368</v>
      </c>
      <c r="C56" s="31" t="s">
        <v>223</v>
      </c>
      <c r="D56" s="31" t="s">
        <v>227</v>
      </c>
      <c r="E56" s="31" t="s">
        <v>197</v>
      </c>
      <c r="F56" s="30" t="s">
        <v>369</v>
      </c>
      <c r="G56" s="31">
        <v>14</v>
      </c>
      <c r="H56" s="31" t="s">
        <v>183</v>
      </c>
      <c r="I56" s="31" t="s">
        <v>302</v>
      </c>
      <c r="J56" s="33">
        <v>399600</v>
      </c>
      <c r="K56" s="33">
        <v>160100</v>
      </c>
      <c r="L56" s="33">
        <v>106800</v>
      </c>
      <c r="M56" s="33">
        <f t="shared" si="4"/>
        <v>666500</v>
      </c>
      <c r="N56" s="34">
        <f t="shared" si="5"/>
        <v>0.00349421946529268</v>
      </c>
      <c r="O56" s="35">
        <f>SUM($M$2:M56)</f>
        <v>107895300</v>
      </c>
      <c r="P56" s="34">
        <f t="shared" si="6"/>
        <v>0.565656200260454</v>
      </c>
      <c r="Q56" s="37">
        <v>96.2</v>
      </c>
      <c r="R56" s="31">
        <v>9</v>
      </c>
      <c r="S56" s="31">
        <v>2</v>
      </c>
      <c r="T56" s="31">
        <v>1</v>
      </c>
      <c r="U56" s="37">
        <v>52.4</v>
      </c>
      <c r="V56" s="31">
        <v>31</v>
      </c>
      <c r="W56" s="31">
        <v>8</v>
      </c>
      <c r="X56" s="38">
        <v>140</v>
      </c>
      <c r="Y56" s="31">
        <v>3</v>
      </c>
      <c r="Z56" s="31">
        <v>1</v>
      </c>
      <c r="AA56" s="31" t="s">
        <v>199</v>
      </c>
      <c r="AB56" s="31" t="s">
        <v>220</v>
      </c>
      <c r="AC56" s="41">
        <f>IFERROR(LOOKUP(M56,打分卡!$F$7:$J$7,打分卡!$K$7:$O$7),1)</f>
        <v>5</v>
      </c>
      <c r="AD56" s="41">
        <f>IFERROR(LOOKUP(S56,打分卡!$F$8:$J$8,打分卡!$K$8:$O$8),1)</f>
        <v>2</v>
      </c>
      <c r="AE56" s="41">
        <f>IFERROR(LOOKUP(T56,打分卡!$F$9:$I$9,打分卡!$K$9:$N$9),1)</f>
        <v>2</v>
      </c>
      <c r="AF56" s="41">
        <f>IFERROR(LOOKUP(Q56,打分卡!$F$10:$J$10,打分卡!$K$10:$O$10),1)</f>
        <v>5</v>
      </c>
      <c r="AG56" s="41">
        <f>IFERROR(LOOKUP(R56,打分卡!$F$11:$J$11,打分卡!$K$11:$O$11),1)</f>
        <v>4</v>
      </c>
      <c r="AH56" s="41">
        <f>IFERROR(LOOKUP(U56,打分卡!$F$12:$J$12,打分卡!$K$12:$O$12),1)</f>
        <v>4</v>
      </c>
      <c r="AI56" s="41">
        <f>IFERROR(LOOKUP(X56,打分卡!$F$13:$J$13,打分卡!$K$13:$O$13),1)</f>
        <v>4</v>
      </c>
      <c r="AJ56" s="41">
        <f>IFERROR(LOOKUP(Y56,打分卡!$F$14:$J$14,打分卡!$K$14:$O$14),1)</f>
        <v>4</v>
      </c>
      <c r="AK56" s="41">
        <f>IFERROR(LOOKUP(W56,打分卡!$F$15:$J$15,打分卡!$K$15:$O$15),1)</f>
        <v>4</v>
      </c>
      <c r="AL56" s="43">
        <f t="shared" si="0"/>
        <v>5</v>
      </c>
      <c r="AM56" s="41">
        <f>IFERROR(LOOKUP(Z56,打分卡!$F$17:$H$17,打分卡!$K$17:$M$17),1)</f>
        <v>3</v>
      </c>
      <c r="AN56" s="44">
        <f>(打分卡!$D$7*AC56+打分卡!$D$8*AD56+打分卡!$D$9*AE56)/5</f>
        <v>31</v>
      </c>
      <c r="AO56" s="44">
        <f>(打分卡!$D$10*AF56+打分卡!$D$11*AG56)/5</f>
        <v>18</v>
      </c>
      <c r="AP56" s="44">
        <f>(打分卡!$D$12*AH56+打分卡!$D$13*AI56+打分卡!$D$14*AJ56+打分卡!$D$15*AK56)/5</f>
        <v>24</v>
      </c>
      <c r="AQ56" s="44">
        <f>(打分卡!$D$16*AL56+打分卡!$D$17*AM56)/5</f>
        <v>8.4</v>
      </c>
      <c r="AR56" s="47">
        <f t="shared" si="1"/>
        <v>81.4</v>
      </c>
      <c r="AS56" s="43" t="str">
        <f t="shared" si="2"/>
        <v>KA</v>
      </c>
      <c r="AT56" s="43" t="str">
        <f t="shared" si="7"/>
        <v/>
      </c>
      <c r="AU56" s="43" t="str">
        <f t="shared" si="3"/>
        <v>扩·深化：AI外呼场景深化+Push/企微补全</v>
      </c>
    </row>
    <row r="57" ht="15" customHeight="1" spans="1:47">
      <c r="A57" s="20" t="s">
        <v>370</v>
      </c>
      <c r="B57" s="22" t="s">
        <v>371</v>
      </c>
      <c r="C57" s="22" t="s">
        <v>218</v>
      </c>
      <c r="D57" s="22" t="s">
        <v>235</v>
      </c>
      <c r="E57" s="22" t="s">
        <v>181</v>
      </c>
      <c r="F57" s="20" t="s">
        <v>372</v>
      </c>
      <c r="G57" s="22">
        <v>26</v>
      </c>
      <c r="H57" s="22" t="s">
        <v>183</v>
      </c>
      <c r="I57" s="22" t="s">
        <v>302</v>
      </c>
      <c r="J57" s="36">
        <v>384500</v>
      </c>
      <c r="K57" s="36">
        <v>234200</v>
      </c>
      <c r="L57" s="36">
        <v>32600</v>
      </c>
      <c r="M57" s="36">
        <f t="shared" si="4"/>
        <v>651300</v>
      </c>
      <c r="N57" s="34">
        <f t="shared" si="5"/>
        <v>0.00341453133945254</v>
      </c>
      <c r="O57" s="35">
        <f>SUM($M$2:M57)</f>
        <v>108546600</v>
      </c>
      <c r="P57" s="34">
        <f t="shared" si="6"/>
        <v>0.569070731599907</v>
      </c>
      <c r="Q57" s="39">
        <v>72.1</v>
      </c>
      <c r="R57" s="22">
        <v>12</v>
      </c>
      <c r="S57" s="22">
        <v>3</v>
      </c>
      <c r="T57" s="22">
        <v>1</v>
      </c>
      <c r="U57" s="39">
        <v>29.1</v>
      </c>
      <c r="V57" s="22">
        <v>40</v>
      </c>
      <c r="W57" s="22">
        <v>5</v>
      </c>
      <c r="X57" s="40">
        <v>112</v>
      </c>
      <c r="Y57" s="22">
        <v>2</v>
      </c>
      <c r="Z57" s="22">
        <v>2</v>
      </c>
      <c r="AA57" s="22" t="s">
        <v>199</v>
      </c>
      <c r="AB57" s="22" t="s">
        <v>220</v>
      </c>
      <c r="AC57" s="42">
        <f>IFERROR(LOOKUP(M57,打分卡!$F$7:$J$7,打分卡!$K$7:$O$7),1)</f>
        <v>5</v>
      </c>
      <c r="AD57" s="42">
        <f>IFERROR(LOOKUP(S57,打分卡!$F$8:$J$8,打分卡!$K$8:$O$8),1)</f>
        <v>3</v>
      </c>
      <c r="AE57" s="42">
        <f>IFERROR(LOOKUP(T57,打分卡!$F$9:$I$9,打分卡!$K$9:$N$9),1)</f>
        <v>2</v>
      </c>
      <c r="AF57" s="42">
        <f>IFERROR(LOOKUP(Q57,打分卡!$F$10:$J$10,打分卡!$K$10:$O$10),1)</f>
        <v>5</v>
      </c>
      <c r="AG57" s="42">
        <f>IFERROR(LOOKUP(R57,打分卡!$F$11:$J$11,打分卡!$K$11:$O$11),1)</f>
        <v>4</v>
      </c>
      <c r="AH57" s="42">
        <f>IFERROR(LOOKUP(U57,打分卡!$F$12:$J$12,打分卡!$K$12:$O$12),1)</f>
        <v>3</v>
      </c>
      <c r="AI57" s="42">
        <f>IFERROR(LOOKUP(X57,打分卡!$F$13:$J$13,打分卡!$K$13:$O$13),1)</f>
        <v>4</v>
      </c>
      <c r="AJ57" s="42">
        <f>IFERROR(LOOKUP(Y57,打分卡!$F$14:$J$14,打分卡!$K$14:$O$14),1)</f>
        <v>3</v>
      </c>
      <c r="AK57" s="42">
        <f>IFERROR(LOOKUP(W57,打分卡!$F$15:$J$15,打分卡!$K$15:$O$15),1)</f>
        <v>3</v>
      </c>
      <c r="AL57" s="45">
        <f t="shared" si="0"/>
        <v>5</v>
      </c>
      <c r="AM57" s="42">
        <f>IFERROR(LOOKUP(Z57,打分卡!$F$17:$H$17,打分卡!$K$17:$M$17),1)</f>
        <v>5</v>
      </c>
      <c r="AN57" s="46">
        <f>(打分卡!$D$7*AC57+打分卡!$D$8*AD57+打分卡!$D$9*AE57)/5</f>
        <v>32.6</v>
      </c>
      <c r="AO57" s="46">
        <f>(打分卡!$D$10*AF57+打分卡!$D$11*AG57)/5</f>
        <v>18</v>
      </c>
      <c r="AP57" s="46">
        <f>(打分卡!$D$12*AH57+打分卡!$D$13*AI57+打分卡!$D$14*AJ57+打分卡!$D$15*AK57)/5</f>
        <v>19.6</v>
      </c>
      <c r="AQ57" s="46">
        <f>(打分卡!$D$16*AL57+打分卡!$D$17*AM57)/5</f>
        <v>10</v>
      </c>
      <c r="AR57" s="48">
        <f t="shared" si="1"/>
        <v>80.2</v>
      </c>
      <c r="AS57" s="45" t="str">
        <f t="shared" si="2"/>
        <v>KA</v>
      </c>
      <c r="AT57" s="45" t="str">
        <f t="shared" si="7"/>
        <v/>
      </c>
      <c r="AU57" s="45" t="str">
        <f t="shared" si="3"/>
        <v>扩·深化：AI外呼场景深化+Push/企微补全</v>
      </c>
    </row>
    <row r="58" ht="15" customHeight="1" spans="1:47">
      <c r="A58" s="30" t="s">
        <v>373</v>
      </c>
      <c r="B58" s="31" t="s">
        <v>374</v>
      </c>
      <c r="C58" s="31" t="s">
        <v>195</v>
      </c>
      <c r="D58" s="31" t="s">
        <v>180</v>
      </c>
      <c r="E58" s="31" t="s">
        <v>181</v>
      </c>
      <c r="F58" s="30" t="s">
        <v>311</v>
      </c>
      <c r="G58" s="31">
        <v>18</v>
      </c>
      <c r="H58" s="31" t="s">
        <v>301</v>
      </c>
      <c r="I58" s="31" t="s">
        <v>302</v>
      </c>
      <c r="J58" s="33">
        <v>404700</v>
      </c>
      <c r="K58" s="33">
        <v>183900</v>
      </c>
      <c r="L58" s="33">
        <v>59500</v>
      </c>
      <c r="M58" s="33">
        <f t="shared" si="4"/>
        <v>648100</v>
      </c>
      <c r="N58" s="34">
        <f t="shared" si="5"/>
        <v>0.00339775489190725</v>
      </c>
      <c r="O58" s="35">
        <f>SUM($M$2:M58)</f>
        <v>109194700</v>
      </c>
      <c r="P58" s="34">
        <f t="shared" si="6"/>
        <v>0.572468486491814</v>
      </c>
      <c r="Q58" s="37">
        <v>64.3</v>
      </c>
      <c r="R58" s="31">
        <v>7</v>
      </c>
      <c r="S58" s="31">
        <v>2</v>
      </c>
      <c r="T58" s="31">
        <v>1</v>
      </c>
      <c r="U58" s="37">
        <v>104.6</v>
      </c>
      <c r="V58" s="31">
        <v>26</v>
      </c>
      <c r="W58" s="31">
        <v>9</v>
      </c>
      <c r="X58" s="38">
        <v>632</v>
      </c>
      <c r="Y58" s="31">
        <v>5</v>
      </c>
      <c r="Z58" s="31">
        <v>1</v>
      </c>
      <c r="AA58" s="31" t="s">
        <v>199</v>
      </c>
      <c r="AB58" s="31" t="s">
        <v>220</v>
      </c>
      <c r="AC58" s="41">
        <f>IFERROR(LOOKUP(M58,打分卡!$F$7:$J$7,打分卡!$K$7:$O$7),1)</f>
        <v>5</v>
      </c>
      <c r="AD58" s="41">
        <f>IFERROR(LOOKUP(S58,打分卡!$F$8:$J$8,打分卡!$K$8:$O$8),1)</f>
        <v>2</v>
      </c>
      <c r="AE58" s="41">
        <f>IFERROR(LOOKUP(T58,打分卡!$F$9:$I$9,打分卡!$K$9:$N$9),1)</f>
        <v>2</v>
      </c>
      <c r="AF58" s="41">
        <f>IFERROR(LOOKUP(Q58,打分卡!$F$10:$J$10,打分卡!$K$10:$O$10),1)</f>
        <v>5</v>
      </c>
      <c r="AG58" s="41">
        <f>IFERROR(LOOKUP(R58,打分卡!$F$11:$J$11,打分卡!$K$11:$O$11),1)</f>
        <v>3</v>
      </c>
      <c r="AH58" s="41">
        <f>IFERROR(LOOKUP(U58,打分卡!$F$12:$J$12,打分卡!$K$12:$O$12),1)</f>
        <v>5</v>
      </c>
      <c r="AI58" s="41">
        <f>IFERROR(LOOKUP(X58,打分卡!$F$13:$J$13,打分卡!$K$13:$O$13),1)</f>
        <v>5</v>
      </c>
      <c r="AJ58" s="41">
        <f>IFERROR(LOOKUP(Y58,打分卡!$F$14:$J$14,打分卡!$K$14:$O$14),1)</f>
        <v>5</v>
      </c>
      <c r="AK58" s="41">
        <f>IFERROR(LOOKUP(W58,打分卡!$F$15:$J$15,打分卡!$K$15:$O$15),1)</f>
        <v>4</v>
      </c>
      <c r="AL58" s="43">
        <f t="shared" si="0"/>
        <v>5</v>
      </c>
      <c r="AM58" s="41">
        <f>IFERROR(LOOKUP(Z58,打分卡!$F$17:$H$17,打分卡!$K$17:$M$17),1)</f>
        <v>3</v>
      </c>
      <c r="AN58" s="44">
        <f>(打分卡!$D$7*AC58+打分卡!$D$8*AD58+打分卡!$D$9*AE58)/5</f>
        <v>31</v>
      </c>
      <c r="AO58" s="44">
        <f>(打分卡!$D$10*AF58+打分卡!$D$11*AG58)/5</f>
        <v>16</v>
      </c>
      <c r="AP58" s="44">
        <f>(打分卡!$D$12*AH58+打分卡!$D$13*AI58+打分卡!$D$14*AJ58+打分卡!$D$15*AK58)/5</f>
        <v>29.2</v>
      </c>
      <c r="AQ58" s="44">
        <f>(打分卡!$D$16*AL58+打分卡!$D$17*AM58)/5</f>
        <v>8.4</v>
      </c>
      <c r="AR58" s="47">
        <f t="shared" si="1"/>
        <v>84.6</v>
      </c>
      <c r="AS58" s="43" t="str">
        <f t="shared" si="2"/>
        <v>KA</v>
      </c>
      <c r="AT58" s="43" t="str">
        <f t="shared" si="7"/>
        <v/>
      </c>
      <c r="AU58" s="43" t="str">
        <f t="shared" si="3"/>
        <v>扩·深化：AI外呼场景深化+Push/企微补全</v>
      </c>
    </row>
    <row r="59" ht="15" customHeight="1" spans="1:47">
      <c r="A59" s="20" t="s">
        <v>375</v>
      </c>
      <c r="B59" s="22" t="s">
        <v>376</v>
      </c>
      <c r="C59" s="22" t="s">
        <v>189</v>
      </c>
      <c r="D59" s="22" t="s">
        <v>235</v>
      </c>
      <c r="E59" s="22" t="s">
        <v>181</v>
      </c>
      <c r="F59" s="20" t="s">
        <v>377</v>
      </c>
      <c r="G59" s="22">
        <v>26</v>
      </c>
      <c r="H59" s="22" t="s">
        <v>183</v>
      </c>
      <c r="I59" s="22" t="s">
        <v>302</v>
      </c>
      <c r="J59" s="36">
        <v>318900</v>
      </c>
      <c r="K59" s="36">
        <v>172800</v>
      </c>
      <c r="L59" s="36">
        <v>153000</v>
      </c>
      <c r="M59" s="36">
        <f t="shared" si="4"/>
        <v>644700</v>
      </c>
      <c r="N59" s="34">
        <f t="shared" si="5"/>
        <v>0.00337992991639038</v>
      </c>
      <c r="O59" s="35">
        <f>SUM($M$2:M59)</f>
        <v>109839400</v>
      </c>
      <c r="P59" s="34">
        <f t="shared" si="6"/>
        <v>0.575848416408204</v>
      </c>
      <c r="Q59" s="39">
        <v>56.1</v>
      </c>
      <c r="R59" s="22">
        <v>8</v>
      </c>
      <c r="S59" s="22">
        <v>3</v>
      </c>
      <c r="T59" s="22">
        <v>2</v>
      </c>
      <c r="U59" s="39">
        <v>41.3</v>
      </c>
      <c r="V59" s="22">
        <v>20</v>
      </c>
      <c r="W59" s="22">
        <v>3</v>
      </c>
      <c r="X59" s="40">
        <v>209</v>
      </c>
      <c r="Y59" s="22">
        <v>2</v>
      </c>
      <c r="Z59" s="22">
        <v>1</v>
      </c>
      <c r="AA59" s="22" t="s">
        <v>199</v>
      </c>
      <c r="AB59" s="22" t="s">
        <v>220</v>
      </c>
      <c r="AC59" s="42">
        <f>IFERROR(LOOKUP(M59,打分卡!$F$7:$J$7,打分卡!$K$7:$O$7),1)</f>
        <v>5</v>
      </c>
      <c r="AD59" s="42">
        <f>IFERROR(LOOKUP(S59,打分卡!$F$8:$J$8,打分卡!$K$8:$O$8),1)</f>
        <v>3</v>
      </c>
      <c r="AE59" s="42">
        <f>IFERROR(LOOKUP(T59,打分卡!$F$9:$I$9,打分卡!$K$9:$N$9),1)</f>
        <v>3</v>
      </c>
      <c r="AF59" s="42">
        <f>IFERROR(LOOKUP(Q59,打分卡!$F$10:$J$10,打分卡!$K$10:$O$10),1)</f>
        <v>5</v>
      </c>
      <c r="AG59" s="42">
        <f>IFERROR(LOOKUP(R59,打分卡!$F$11:$J$11,打分卡!$K$11:$O$11),1)</f>
        <v>3</v>
      </c>
      <c r="AH59" s="42">
        <f>IFERROR(LOOKUP(U59,打分卡!$F$12:$J$12,打分卡!$K$12:$O$12),1)</f>
        <v>4</v>
      </c>
      <c r="AI59" s="42">
        <f>IFERROR(LOOKUP(X59,打分卡!$F$13:$J$13,打分卡!$K$13:$O$13),1)</f>
        <v>5</v>
      </c>
      <c r="AJ59" s="42">
        <f>IFERROR(LOOKUP(Y59,打分卡!$F$14:$J$14,打分卡!$K$14:$O$14),1)</f>
        <v>3</v>
      </c>
      <c r="AK59" s="42">
        <f>IFERROR(LOOKUP(W59,打分卡!$F$15:$J$15,打分卡!$K$15:$O$15),1)</f>
        <v>3</v>
      </c>
      <c r="AL59" s="45">
        <f t="shared" si="0"/>
        <v>5</v>
      </c>
      <c r="AM59" s="42">
        <f>IFERROR(LOOKUP(Z59,打分卡!$F$17:$H$17,打分卡!$K$17:$M$17),1)</f>
        <v>3</v>
      </c>
      <c r="AN59" s="46">
        <f>(打分卡!$D$7*AC59+打分卡!$D$8*AD59+打分卡!$D$9*AE59)/5</f>
        <v>34</v>
      </c>
      <c r="AO59" s="46">
        <f>(打分卡!$D$10*AF59+打分卡!$D$11*AG59)/5</f>
        <v>16</v>
      </c>
      <c r="AP59" s="46">
        <f>(打分卡!$D$12*AH59+打分卡!$D$13*AI59+打分卡!$D$14*AJ59+打分卡!$D$15*AK59)/5</f>
        <v>23.6</v>
      </c>
      <c r="AQ59" s="46">
        <f>(打分卡!$D$16*AL59+打分卡!$D$17*AM59)/5</f>
        <v>8.4</v>
      </c>
      <c r="AR59" s="48">
        <f t="shared" si="1"/>
        <v>82</v>
      </c>
      <c r="AS59" s="45" t="str">
        <f t="shared" si="2"/>
        <v>KA</v>
      </c>
      <c r="AT59" s="45" t="str">
        <f t="shared" si="7"/>
        <v/>
      </c>
      <c r="AU59" s="45" t="str">
        <f t="shared" si="3"/>
        <v>扩·深化：AI外呼场景深化+Push/企微补全</v>
      </c>
    </row>
    <row r="60" ht="15" customHeight="1" spans="1:47">
      <c r="A60" s="30" t="s">
        <v>378</v>
      </c>
      <c r="B60" s="31" t="s">
        <v>379</v>
      </c>
      <c r="C60" s="31" t="s">
        <v>218</v>
      </c>
      <c r="D60" s="31" t="s">
        <v>196</v>
      </c>
      <c r="E60" s="31" t="s">
        <v>181</v>
      </c>
      <c r="F60" s="30" t="s">
        <v>380</v>
      </c>
      <c r="G60" s="31">
        <v>18</v>
      </c>
      <c r="H60" s="31" t="s">
        <v>301</v>
      </c>
      <c r="I60" s="31" t="s">
        <v>302</v>
      </c>
      <c r="J60" s="33">
        <v>322200</v>
      </c>
      <c r="K60" s="33">
        <v>163900</v>
      </c>
      <c r="L60" s="33">
        <v>149200</v>
      </c>
      <c r="M60" s="33">
        <f t="shared" si="4"/>
        <v>635300</v>
      </c>
      <c r="N60" s="34">
        <f t="shared" si="5"/>
        <v>0.00333064910172609</v>
      </c>
      <c r="O60" s="35">
        <f>SUM($M$2:M60)</f>
        <v>110474700</v>
      </c>
      <c r="P60" s="34">
        <f t="shared" si="6"/>
        <v>0.579179065509931</v>
      </c>
      <c r="Q60" s="37">
        <v>70.3</v>
      </c>
      <c r="R60" s="31">
        <v>15</v>
      </c>
      <c r="S60" s="31">
        <v>4</v>
      </c>
      <c r="T60" s="31">
        <v>2</v>
      </c>
      <c r="U60" s="37">
        <v>29.8</v>
      </c>
      <c r="V60" s="31">
        <v>39</v>
      </c>
      <c r="W60" s="31">
        <v>3</v>
      </c>
      <c r="X60" s="38">
        <v>491</v>
      </c>
      <c r="Y60" s="31">
        <v>6</v>
      </c>
      <c r="Z60" s="31">
        <v>1</v>
      </c>
      <c r="AA60" s="31" t="s">
        <v>199</v>
      </c>
      <c r="AB60" s="31" t="s">
        <v>220</v>
      </c>
      <c r="AC60" s="41">
        <f>IFERROR(LOOKUP(M60,打分卡!$F$7:$J$7,打分卡!$K$7:$O$7),1)</f>
        <v>5</v>
      </c>
      <c r="AD60" s="41">
        <f>IFERROR(LOOKUP(S60,打分卡!$F$8:$J$8,打分卡!$K$8:$O$8),1)</f>
        <v>4</v>
      </c>
      <c r="AE60" s="41">
        <f>IFERROR(LOOKUP(T60,打分卡!$F$9:$I$9,打分卡!$K$9:$N$9),1)</f>
        <v>3</v>
      </c>
      <c r="AF60" s="41">
        <f>IFERROR(LOOKUP(Q60,打分卡!$F$10:$J$10,打分卡!$K$10:$O$10),1)</f>
        <v>5</v>
      </c>
      <c r="AG60" s="41">
        <f>IFERROR(LOOKUP(R60,打分卡!$F$11:$J$11,打分卡!$K$11:$O$11),1)</f>
        <v>5</v>
      </c>
      <c r="AH60" s="41">
        <f>IFERROR(LOOKUP(U60,打分卡!$F$12:$J$12,打分卡!$K$12:$O$12),1)</f>
        <v>3</v>
      </c>
      <c r="AI60" s="41">
        <f>IFERROR(LOOKUP(X60,打分卡!$F$13:$J$13,打分卡!$K$13:$O$13),1)</f>
        <v>5</v>
      </c>
      <c r="AJ60" s="41">
        <f>IFERROR(LOOKUP(Y60,打分卡!$F$14:$J$14,打分卡!$K$14:$O$14),1)</f>
        <v>5</v>
      </c>
      <c r="AK60" s="41">
        <f>IFERROR(LOOKUP(W60,打分卡!$F$15:$J$15,打分卡!$K$15:$O$15),1)</f>
        <v>3</v>
      </c>
      <c r="AL60" s="43">
        <f t="shared" si="0"/>
        <v>5</v>
      </c>
      <c r="AM60" s="41">
        <f>IFERROR(LOOKUP(Z60,打分卡!$F$17:$H$17,打分卡!$K$17:$M$17),1)</f>
        <v>3</v>
      </c>
      <c r="AN60" s="44">
        <f>(打分卡!$D$7*AC60+打分卡!$D$8*AD60+打分卡!$D$9*AE60)/5</f>
        <v>35.6</v>
      </c>
      <c r="AO60" s="44">
        <f>(打分卡!$D$10*AF60+打分卡!$D$11*AG60)/5</f>
        <v>20</v>
      </c>
      <c r="AP60" s="44">
        <f>(打分卡!$D$12*AH60+打分卡!$D$13*AI60+打分卡!$D$14*AJ60+打分卡!$D$15*AK60)/5</f>
        <v>23.6</v>
      </c>
      <c r="AQ60" s="44">
        <f>(打分卡!$D$16*AL60+打分卡!$D$17*AM60)/5</f>
        <v>8.4</v>
      </c>
      <c r="AR60" s="47">
        <f t="shared" si="1"/>
        <v>87.6</v>
      </c>
      <c r="AS60" s="43" t="str">
        <f t="shared" si="2"/>
        <v>KA</v>
      </c>
      <c r="AT60" s="43" t="str">
        <f t="shared" si="7"/>
        <v/>
      </c>
      <c r="AU60" s="43" t="str">
        <f t="shared" si="3"/>
        <v>扩·深化：AI外呼场景深化+Push/企微补全</v>
      </c>
    </row>
    <row r="61" ht="15" customHeight="1" spans="1:47">
      <c r="A61" s="20" t="s">
        <v>381</v>
      </c>
      <c r="B61" s="22" t="s">
        <v>382</v>
      </c>
      <c r="C61" s="22" t="s">
        <v>218</v>
      </c>
      <c r="D61" s="22" t="s">
        <v>227</v>
      </c>
      <c r="E61" s="22" t="s">
        <v>181</v>
      </c>
      <c r="F61" s="20" t="s">
        <v>383</v>
      </c>
      <c r="G61" s="22">
        <v>12</v>
      </c>
      <c r="H61" s="22" t="s">
        <v>192</v>
      </c>
      <c r="I61" s="22" t="s">
        <v>302</v>
      </c>
      <c r="J61" s="36">
        <v>360700</v>
      </c>
      <c r="K61" s="36">
        <v>213000</v>
      </c>
      <c r="L61" s="36">
        <v>56800</v>
      </c>
      <c r="M61" s="36">
        <f t="shared" si="4"/>
        <v>630500</v>
      </c>
      <c r="N61" s="34">
        <f t="shared" si="5"/>
        <v>0.00330548443040815</v>
      </c>
      <c r="O61" s="35">
        <f>SUM($M$2:M61)</f>
        <v>111105200</v>
      </c>
      <c r="P61" s="34">
        <f t="shared" si="6"/>
        <v>0.582484549940339</v>
      </c>
      <c r="Q61" s="39">
        <v>52.2</v>
      </c>
      <c r="R61" s="22">
        <v>8</v>
      </c>
      <c r="S61" s="22">
        <v>2</v>
      </c>
      <c r="T61" s="22">
        <v>2</v>
      </c>
      <c r="U61" s="39">
        <v>43.5</v>
      </c>
      <c r="V61" s="22">
        <v>15</v>
      </c>
      <c r="W61" s="22">
        <v>9</v>
      </c>
      <c r="X61" s="40">
        <v>332</v>
      </c>
      <c r="Y61" s="22">
        <v>2</v>
      </c>
      <c r="Z61" s="22">
        <v>0</v>
      </c>
      <c r="AA61" s="22" t="s">
        <v>185</v>
      </c>
      <c r="AB61" s="22" t="s">
        <v>220</v>
      </c>
      <c r="AC61" s="42">
        <f>IFERROR(LOOKUP(M61,打分卡!$F$7:$J$7,打分卡!$K$7:$O$7),1)</f>
        <v>5</v>
      </c>
      <c r="AD61" s="42">
        <f>IFERROR(LOOKUP(S61,打分卡!$F$8:$J$8,打分卡!$K$8:$O$8),1)</f>
        <v>2</v>
      </c>
      <c r="AE61" s="42">
        <f>IFERROR(LOOKUP(T61,打分卡!$F$9:$I$9,打分卡!$K$9:$N$9),1)</f>
        <v>3</v>
      </c>
      <c r="AF61" s="42">
        <f>IFERROR(LOOKUP(Q61,打分卡!$F$10:$J$10,打分卡!$K$10:$O$10),1)</f>
        <v>4</v>
      </c>
      <c r="AG61" s="42">
        <f>IFERROR(LOOKUP(R61,打分卡!$F$11:$J$11,打分卡!$K$11:$O$11),1)</f>
        <v>3</v>
      </c>
      <c r="AH61" s="42">
        <f>IFERROR(LOOKUP(U61,打分卡!$F$12:$J$12,打分卡!$K$12:$O$12),1)</f>
        <v>4</v>
      </c>
      <c r="AI61" s="42">
        <f>IFERROR(LOOKUP(X61,打分卡!$F$13:$J$13,打分卡!$K$13:$O$13),1)</f>
        <v>5</v>
      </c>
      <c r="AJ61" s="42">
        <f>IFERROR(LOOKUP(Y61,打分卡!$F$14:$J$14,打分卡!$K$14:$O$14),1)</f>
        <v>3</v>
      </c>
      <c r="AK61" s="42">
        <f>IFERROR(LOOKUP(W61,打分卡!$F$15:$J$15,打分卡!$K$15:$O$15),1)</f>
        <v>4</v>
      </c>
      <c r="AL61" s="45">
        <f t="shared" si="0"/>
        <v>3</v>
      </c>
      <c r="AM61" s="42">
        <f>IFERROR(LOOKUP(Z61,打分卡!$F$17:$H$17,打分卡!$K$17:$M$17),1)</f>
        <v>1</v>
      </c>
      <c r="AN61" s="46">
        <f>(打分卡!$D$7*AC61+打分卡!$D$8*AD61+打分卡!$D$9*AE61)/5</f>
        <v>32.4</v>
      </c>
      <c r="AO61" s="46">
        <f>(打分卡!$D$10*AF61+打分卡!$D$11*AG61)/5</f>
        <v>14</v>
      </c>
      <c r="AP61" s="46">
        <f>(打分卡!$D$12*AH61+打分卡!$D$13*AI61+打分卡!$D$14*AJ61+打分卡!$D$15*AK61)/5</f>
        <v>24.4</v>
      </c>
      <c r="AQ61" s="46">
        <f>(打分卡!$D$16*AL61+打分卡!$D$17*AM61)/5</f>
        <v>4.4</v>
      </c>
      <c r="AR61" s="48">
        <f t="shared" si="1"/>
        <v>75.2</v>
      </c>
      <c r="AS61" s="45" t="str">
        <f t="shared" si="2"/>
        <v>KA</v>
      </c>
      <c r="AT61" s="45" t="str">
        <f t="shared" si="7"/>
        <v/>
      </c>
      <c r="AU61" s="45" t="str">
        <f t="shared" si="3"/>
        <v>扩·深化：AI外呼场景深化+Push/企微补全</v>
      </c>
    </row>
    <row r="62" ht="15" customHeight="1" spans="1:47">
      <c r="A62" s="30" t="s">
        <v>384</v>
      </c>
      <c r="B62" s="31" t="s">
        <v>385</v>
      </c>
      <c r="C62" s="31" t="s">
        <v>209</v>
      </c>
      <c r="D62" s="31" t="s">
        <v>235</v>
      </c>
      <c r="E62" s="31" t="s">
        <v>181</v>
      </c>
      <c r="F62" s="30" t="s">
        <v>386</v>
      </c>
      <c r="G62" s="31">
        <v>29</v>
      </c>
      <c r="H62" s="31" t="s">
        <v>301</v>
      </c>
      <c r="I62" s="31" t="s">
        <v>184</v>
      </c>
      <c r="J62" s="33">
        <v>367300</v>
      </c>
      <c r="K62" s="33">
        <v>188400</v>
      </c>
      <c r="L62" s="33">
        <v>72000</v>
      </c>
      <c r="M62" s="33">
        <f t="shared" si="4"/>
        <v>627700</v>
      </c>
      <c r="N62" s="34">
        <f t="shared" si="5"/>
        <v>0.00329080503880602</v>
      </c>
      <c r="O62" s="35">
        <f>SUM($M$2:M62)</f>
        <v>111732900</v>
      </c>
      <c r="P62" s="34">
        <f t="shared" si="6"/>
        <v>0.585775354979145</v>
      </c>
      <c r="Q62" s="37">
        <v>44.4</v>
      </c>
      <c r="R62" s="31">
        <v>16</v>
      </c>
      <c r="S62" s="31">
        <v>2</v>
      </c>
      <c r="T62" s="31">
        <v>2</v>
      </c>
      <c r="U62" s="37">
        <v>163.6</v>
      </c>
      <c r="V62" s="31">
        <v>13</v>
      </c>
      <c r="W62" s="31">
        <v>3</v>
      </c>
      <c r="X62" s="38">
        <v>110</v>
      </c>
      <c r="Y62" s="31">
        <v>6</v>
      </c>
      <c r="Z62" s="31">
        <v>1</v>
      </c>
      <c r="AA62" s="31" t="s">
        <v>185</v>
      </c>
      <c r="AB62" s="31" t="s">
        <v>220</v>
      </c>
      <c r="AC62" s="41">
        <f>IFERROR(LOOKUP(M62,打分卡!$F$7:$J$7,打分卡!$K$7:$O$7),1)</f>
        <v>5</v>
      </c>
      <c r="AD62" s="41">
        <f>IFERROR(LOOKUP(S62,打分卡!$F$8:$J$8,打分卡!$K$8:$O$8),1)</f>
        <v>2</v>
      </c>
      <c r="AE62" s="41">
        <f>IFERROR(LOOKUP(T62,打分卡!$F$9:$I$9,打分卡!$K$9:$N$9),1)</f>
        <v>3</v>
      </c>
      <c r="AF62" s="41">
        <f>IFERROR(LOOKUP(Q62,打分卡!$F$10:$J$10,打分卡!$K$10:$O$10),1)</f>
        <v>4</v>
      </c>
      <c r="AG62" s="41">
        <f>IFERROR(LOOKUP(R62,打分卡!$F$11:$J$11,打分卡!$K$11:$O$11),1)</f>
        <v>5</v>
      </c>
      <c r="AH62" s="41">
        <f>IFERROR(LOOKUP(U62,打分卡!$F$12:$J$12,打分卡!$K$12:$O$12),1)</f>
        <v>5</v>
      </c>
      <c r="AI62" s="41">
        <f>IFERROR(LOOKUP(X62,打分卡!$F$13:$J$13,打分卡!$K$13:$O$13),1)</f>
        <v>4</v>
      </c>
      <c r="AJ62" s="41">
        <f>IFERROR(LOOKUP(Y62,打分卡!$F$14:$J$14,打分卡!$K$14:$O$14),1)</f>
        <v>5</v>
      </c>
      <c r="AK62" s="41">
        <f>IFERROR(LOOKUP(W62,打分卡!$F$15:$J$15,打分卡!$K$15:$O$15),1)</f>
        <v>3</v>
      </c>
      <c r="AL62" s="43">
        <f t="shared" si="0"/>
        <v>3</v>
      </c>
      <c r="AM62" s="41">
        <f>IFERROR(LOOKUP(Z62,打分卡!$F$17:$H$17,打分卡!$K$17:$M$17),1)</f>
        <v>3</v>
      </c>
      <c r="AN62" s="44">
        <f>(打分卡!$D$7*AC62+打分卡!$D$8*AD62+打分卡!$D$9*AE62)/5</f>
        <v>32.4</v>
      </c>
      <c r="AO62" s="44">
        <f>(打分卡!$D$10*AF62+打分卡!$D$11*AG62)/5</f>
        <v>18</v>
      </c>
      <c r="AP62" s="44">
        <f>(打分卡!$D$12*AH62+打分卡!$D$13*AI62+打分卡!$D$14*AJ62+打分卡!$D$15*AK62)/5</f>
        <v>26.8</v>
      </c>
      <c r="AQ62" s="44">
        <f>(打分卡!$D$16*AL62+打分卡!$D$17*AM62)/5</f>
        <v>6</v>
      </c>
      <c r="AR62" s="47">
        <f t="shared" si="1"/>
        <v>83.2</v>
      </c>
      <c r="AS62" s="43" t="str">
        <f t="shared" si="2"/>
        <v>KA</v>
      </c>
      <c r="AT62" s="43" t="str">
        <f t="shared" si="7"/>
        <v/>
      </c>
      <c r="AU62" s="43" t="str">
        <f t="shared" si="3"/>
        <v>扩·深化：AI外呼场景深化+Push/企微补全</v>
      </c>
    </row>
    <row r="63" ht="15" customHeight="1" spans="1:47">
      <c r="A63" s="20" t="s">
        <v>387</v>
      </c>
      <c r="B63" s="22" t="s">
        <v>388</v>
      </c>
      <c r="C63" s="22" t="s">
        <v>189</v>
      </c>
      <c r="D63" s="22" t="s">
        <v>180</v>
      </c>
      <c r="E63" s="22" t="s">
        <v>181</v>
      </c>
      <c r="F63" s="20" t="s">
        <v>389</v>
      </c>
      <c r="G63" s="22">
        <v>14</v>
      </c>
      <c r="H63" s="22" t="s">
        <v>301</v>
      </c>
      <c r="I63" s="22" t="s">
        <v>184</v>
      </c>
      <c r="J63" s="36">
        <v>335600</v>
      </c>
      <c r="K63" s="36">
        <v>144400</v>
      </c>
      <c r="L63" s="36">
        <v>139900</v>
      </c>
      <c r="M63" s="36">
        <f t="shared" si="4"/>
        <v>619900</v>
      </c>
      <c r="N63" s="34">
        <f t="shared" si="5"/>
        <v>0.00324991244791437</v>
      </c>
      <c r="O63" s="35">
        <f>SUM($M$2:M63)</f>
        <v>112352800</v>
      </c>
      <c r="P63" s="34">
        <f t="shared" si="6"/>
        <v>0.589025267427059</v>
      </c>
      <c r="Q63" s="39">
        <v>87.7</v>
      </c>
      <c r="R63" s="22">
        <v>13</v>
      </c>
      <c r="S63" s="22">
        <v>3</v>
      </c>
      <c r="T63" s="22">
        <v>2</v>
      </c>
      <c r="U63" s="39">
        <v>168</v>
      </c>
      <c r="V63" s="22">
        <v>26</v>
      </c>
      <c r="W63" s="22">
        <v>4</v>
      </c>
      <c r="X63" s="40">
        <v>110</v>
      </c>
      <c r="Y63" s="22">
        <v>6</v>
      </c>
      <c r="Z63" s="22">
        <v>0</v>
      </c>
      <c r="AA63" s="22" t="s">
        <v>185</v>
      </c>
      <c r="AB63" s="22" t="s">
        <v>220</v>
      </c>
      <c r="AC63" s="42">
        <f>IFERROR(LOOKUP(M63,打分卡!$F$7:$J$7,打分卡!$K$7:$O$7),1)</f>
        <v>5</v>
      </c>
      <c r="AD63" s="42">
        <f>IFERROR(LOOKUP(S63,打分卡!$F$8:$J$8,打分卡!$K$8:$O$8),1)</f>
        <v>3</v>
      </c>
      <c r="AE63" s="42">
        <f>IFERROR(LOOKUP(T63,打分卡!$F$9:$I$9,打分卡!$K$9:$N$9),1)</f>
        <v>3</v>
      </c>
      <c r="AF63" s="42">
        <f>IFERROR(LOOKUP(Q63,打分卡!$F$10:$J$10,打分卡!$K$10:$O$10),1)</f>
        <v>5</v>
      </c>
      <c r="AG63" s="42">
        <f>IFERROR(LOOKUP(R63,打分卡!$F$11:$J$11,打分卡!$K$11:$O$11),1)</f>
        <v>4</v>
      </c>
      <c r="AH63" s="42">
        <f>IFERROR(LOOKUP(U63,打分卡!$F$12:$J$12,打分卡!$K$12:$O$12),1)</f>
        <v>5</v>
      </c>
      <c r="AI63" s="42">
        <f>IFERROR(LOOKUP(X63,打分卡!$F$13:$J$13,打分卡!$K$13:$O$13),1)</f>
        <v>4</v>
      </c>
      <c r="AJ63" s="42">
        <f>IFERROR(LOOKUP(Y63,打分卡!$F$14:$J$14,打分卡!$K$14:$O$14),1)</f>
        <v>5</v>
      </c>
      <c r="AK63" s="42">
        <f>IFERROR(LOOKUP(W63,打分卡!$F$15:$J$15,打分卡!$K$15:$O$15),1)</f>
        <v>3</v>
      </c>
      <c r="AL63" s="45">
        <f t="shared" si="0"/>
        <v>3</v>
      </c>
      <c r="AM63" s="42">
        <f>IFERROR(LOOKUP(Z63,打分卡!$F$17:$H$17,打分卡!$K$17:$M$17),1)</f>
        <v>1</v>
      </c>
      <c r="AN63" s="46">
        <f>(打分卡!$D$7*AC63+打分卡!$D$8*AD63+打分卡!$D$9*AE63)/5</f>
        <v>34</v>
      </c>
      <c r="AO63" s="46">
        <f>(打分卡!$D$10*AF63+打分卡!$D$11*AG63)/5</f>
        <v>18</v>
      </c>
      <c r="AP63" s="46">
        <f>(打分卡!$D$12*AH63+打分卡!$D$13*AI63+打分卡!$D$14*AJ63+打分卡!$D$15*AK63)/5</f>
        <v>26.8</v>
      </c>
      <c r="AQ63" s="46">
        <f>(打分卡!$D$16*AL63+打分卡!$D$17*AM63)/5</f>
        <v>4.4</v>
      </c>
      <c r="AR63" s="48">
        <f t="shared" si="1"/>
        <v>83.2</v>
      </c>
      <c r="AS63" s="45" t="str">
        <f t="shared" si="2"/>
        <v>KA</v>
      </c>
      <c r="AT63" s="45" t="str">
        <f t="shared" si="7"/>
        <v/>
      </c>
      <c r="AU63" s="45" t="str">
        <f t="shared" si="3"/>
        <v>扩·深化：AI外呼场景深化+Push/企微补全</v>
      </c>
    </row>
    <row r="64" ht="15" customHeight="1" spans="1:47">
      <c r="A64" s="30" t="s">
        <v>390</v>
      </c>
      <c r="B64" s="31" t="s">
        <v>391</v>
      </c>
      <c r="C64" s="31" t="s">
        <v>189</v>
      </c>
      <c r="D64" s="31" t="s">
        <v>202</v>
      </c>
      <c r="E64" s="31" t="s">
        <v>181</v>
      </c>
      <c r="F64" s="30" t="s">
        <v>392</v>
      </c>
      <c r="G64" s="31">
        <v>25</v>
      </c>
      <c r="H64" s="31" t="s">
        <v>192</v>
      </c>
      <c r="I64" s="31" t="s">
        <v>302</v>
      </c>
      <c r="J64" s="33">
        <v>315200</v>
      </c>
      <c r="K64" s="33">
        <v>153800</v>
      </c>
      <c r="L64" s="33">
        <v>144800</v>
      </c>
      <c r="M64" s="33">
        <f t="shared" si="4"/>
        <v>613800</v>
      </c>
      <c r="N64" s="34">
        <f t="shared" si="5"/>
        <v>0.00321793234478116</v>
      </c>
      <c r="O64" s="35">
        <f>SUM($M$2:M64)</f>
        <v>112966600</v>
      </c>
      <c r="P64" s="34">
        <f t="shared" si="6"/>
        <v>0.59224319977184</v>
      </c>
      <c r="Q64" s="37">
        <v>71.4</v>
      </c>
      <c r="R64" s="31">
        <v>10</v>
      </c>
      <c r="S64" s="31">
        <v>3</v>
      </c>
      <c r="T64" s="31">
        <v>1</v>
      </c>
      <c r="U64" s="37">
        <v>89.7</v>
      </c>
      <c r="V64" s="31">
        <v>25</v>
      </c>
      <c r="W64" s="31">
        <v>4</v>
      </c>
      <c r="X64" s="38">
        <v>317</v>
      </c>
      <c r="Y64" s="31">
        <v>3</v>
      </c>
      <c r="Z64" s="31">
        <v>1</v>
      </c>
      <c r="AA64" s="31" t="s">
        <v>185</v>
      </c>
      <c r="AB64" s="31" t="s">
        <v>220</v>
      </c>
      <c r="AC64" s="41">
        <f>IFERROR(LOOKUP(M64,打分卡!$F$7:$J$7,打分卡!$K$7:$O$7),1)</f>
        <v>5</v>
      </c>
      <c r="AD64" s="41">
        <f>IFERROR(LOOKUP(S64,打分卡!$F$8:$J$8,打分卡!$K$8:$O$8),1)</f>
        <v>3</v>
      </c>
      <c r="AE64" s="41">
        <f>IFERROR(LOOKUP(T64,打分卡!$F$9:$I$9,打分卡!$K$9:$N$9),1)</f>
        <v>2</v>
      </c>
      <c r="AF64" s="41">
        <f>IFERROR(LOOKUP(Q64,打分卡!$F$10:$J$10,打分卡!$K$10:$O$10),1)</f>
        <v>5</v>
      </c>
      <c r="AG64" s="41">
        <f>IFERROR(LOOKUP(R64,打分卡!$F$11:$J$11,打分卡!$K$11:$O$11),1)</f>
        <v>4</v>
      </c>
      <c r="AH64" s="41">
        <f>IFERROR(LOOKUP(U64,打分卡!$F$12:$J$12,打分卡!$K$12:$O$12),1)</f>
        <v>5</v>
      </c>
      <c r="AI64" s="41">
        <f>IFERROR(LOOKUP(X64,打分卡!$F$13:$J$13,打分卡!$K$13:$O$13),1)</f>
        <v>5</v>
      </c>
      <c r="AJ64" s="41">
        <f>IFERROR(LOOKUP(Y64,打分卡!$F$14:$J$14,打分卡!$K$14:$O$14),1)</f>
        <v>4</v>
      </c>
      <c r="AK64" s="41">
        <f>IFERROR(LOOKUP(W64,打分卡!$F$15:$J$15,打分卡!$K$15:$O$15),1)</f>
        <v>3</v>
      </c>
      <c r="AL64" s="43">
        <f t="shared" si="0"/>
        <v>3</v>
      </c>
      <c r="AM64" s="41">
        <f>IFERROR(LOOKUP(Z64,打分卡!$F$17:$H$17,打分卡!$K$17:$M$17),1)</f>
        <v>3</v>
      </c>
      <c r="AN64" s="44">
        <f>(打分卡!$D$7*AC64+打分卡!$D$8*AD64+打分卡!$D$9*AE64)/5</f>
        <v>32.6</v>
      </c>
      <c r="AO64" s="44">
        <f>(打分卡!$D$10*AF64+打分卡!$D$11*AG64)/5</f>
        <v>18</v>
      </c>
      <c r="AP64" s="44">
        <f>(打分卡!$D$12*AH64+打分卡!$D$13*AI64+打分卡!$D$14*AJ64+打分卡!$D$15*AK64)/5</f>
        <v>27.2</v>
      </c>
      <c r="AQ64" s="44">
        <f>(打分卡!$D$16*AL64+打分卡!$D$17*AM64)/5</f>
        <v>6</v>
      </c>
      <c r="AR64" s="47">
        <f t="shared" si="1"/>
        <v>83.8</v>
      </c>
      <c r="AS64" s="43" t="str">
        <f t="shared" si="2"/>
        <v>KA</v>
      </c>
      <c r="AT64" s="43" t="str">
        <f t="shared" si="7"/>
        <v/>
      </c>
      <c r="AU64" s="43" t="str">
        <f t="shared" si="3"/>
        <v>扩·深化：AI外呼场景深化+Push/企微补全</v>
      </c>
    </row>
    <row r="65" ht="15" customHeight="1" spans="1:47">
      <c r="A65" s="20" t="s">
        <v>393</v>
      </c>
      <c r="B65" s="22" t="s">
        <v>394</v>
      </c>
      <c r="C65" s="22" t="s">
        <v>234</v>
      </c>
      <c r="D65" s="22" t="s">
        <v>227</v>
      </c>
      <c r="E65" s="22" t="s">
        <v>197</v>
      </c>
      <c r="F65" s="20" t="s">
        <v>395</v>
      </c>
      <c r="G65" s="22">
        <v>10</v>
      </c>
      <c r="H65" s="22" t="s">
        <v>183</v>
      </c>
      <c r="I65" s="22" t="s">
        <v>302</v>
      </c>
      <c r="J65" s="36">
        <v>278800</v>
      </c>
      <c r="K65" s="36">
        <v>240300</v>
      </c>
      <c r="L65" s="36">
        <v>90700</v>
      </c>
      <c r="M65" s="36">
        <f t="shared" si="4"/>
        <v>609800</v>
      </c>
      <c r="N65" s="34">
        <f t="shared" si="5"/>
        <v>0.00319696178534955</v>
      </c>
      <c r="O65" s="35">
        <f>SUM($M$2:M65)</f>
        <v>113576400</v>
      </c>
      <c r="P65" s="34">
        <f t="shared" si="6"/>
        <v>0.59544016155719</v>
      </c>
      <c r="Q65" s="39">
        <v>74.9</v>
      </c>
      <c r="R65" s="22">
        <v>8</v>
      </c>
      <c r="S65" s="22">
        <v>4</v>
      </c>
      <c r="T65" s="22">
        <v>3</v>
      </c>
      <c r="U65" s="39">
        <v>31.1</v>
      </c>
      <c r="V65" s="22">
        <v>13</v>
      </c>
      <c r="W65" s="22">
        <v>6</v>
      </c>
      <c r="X65" s="40">
        <v>400</v>
      </c>
      <c r="Y65" s="22">
        <v>5</v>
      </c>
      <c r="Z65" s="22">
        <v>0</v>
      </c>
      <c r="AA65" s="22" t="s">
        <v>185</v>
      </c>
      <c r="AB65" s="22" t="s">
        <v>220</v>
      </c>
      <c r="AC65" s="42">
        <f>IFERROR(LOOKUP(M65,打分卡!$F$7:$J$7,打分卡!$K$7:$O$7),1)</f>
        <v>5</v>
      </c>
      <c r="AD65" s="42">
        <f>IFERROR(LOOKUP(S65,打分卡!$F$8:$J$8,打分卡!$K$8:$O$8),1)</f>
        <v>4</v>
      </c>
      <c r="AE65" s="42">
        <f>IFERROR(LOOKUP(T65,打分卡!$F$9:$I$9,打分卡!$K$9:$N$9),1)</f>
        <v>5</v>
      </c>
      <c r="AF65" s="42">
        <f>IFERROR(LOOKUP(Q65,打分卡!$F$10:$J$10,打分卡!$K$10:$O$10),1)</f>
        <v>5</v>
      </c>
      <c r="AG65" s="42">
        <f>IFERROR(LOOKUP(R65,打分卡!$F$11:$J$11,打分卡!$K$11:$O$11),1)</f>
        <v>3</v>
      </c>
      <c r="AH65" s="42">
        <f>IFERROR(LOOKUP(U65,打分卡!$F$12:$J$12,打分卡!$K$12:$O$12),1)</f>
        <v>3</v>
      </c>
      <c r="AI65" s="42">
        <f>IFERROR(LOOKUP(X65,打分卡!$F$13:$J$13,打分卡!$K$13:$O$13),1)</f>
        <v>5</v>
      </c>
      <c r="AJ65" s="42">
        <f>IFERROR(LOOKUP(Y65,打分卡!$F$14:$J$14,打分卡!$K$14:$O$14),1)</f>
        <v>5</v>
      </c>
      <c r="AK65" s="42">
        <f>IFERROR(LOOKUP(W65,打分卡!$F$15:$J$15,打分卡!$K$15:$O$15),1)</f>
        <v>4</v>
      </c>
      <c r="AL65" s="45">
        <f t="shared" si="0"/>
        <v>3</v>
      </c>
      <c r="AM65" s="42">
        <f>IFERROR(LOOKUP(Z65,打分卡!$F$17:$H$17,打分卡!$K$17:$M$17),1)</f>
        <v>1</v>
      </c>
      <c r="AN65" s="46">
        <f>(打分卡!$D$7*AC65+打分卡!$D$8*AD65+打分卡!$D$9*AE65)/5</f>
        <v>38.4</v>
      </c>
      <c r="AO65" s="46">
        <f>(打分卡!$D$10*AF65+打分卡!$D$11*AG65)/5</f>
        <v>16</v>
      </c>
      <c r="AP65" s="46">
        <f>(打分卡!$D$12*AH65+打分卡!$D$13*AI65+打分卡!$D$14*AJ65+打分卡!$D$15*AK65)/5</f>
        <v>24.4</v>
      </c>
      <c r="AQ65" s="46">
        <f>(打分卡!$D$16*AL65+打分卡!$D$17*AM65)/5</f>
        <v>4.4</v>
      </c>
      <c r="AR65" s="48">
        <f t="shared" si="1"/>
        <v>83.2</v>
      </c>
      <c r="AS65" s="45" t="str">
        <f t="shared" si="2"/>
        <v>KA</v>
      </c>
      <c r="AT65" s="45" t="str">
        <f t="shared" si="7"/>
        <v/>
      </c>
      <c r="AU65" s="45" t="str">
        <f t="shared" si="3"/>
        <v>扩·深化：AI外呼场景深化+Push/企微补全</v>
      </c>
    </row>
    <row r="66" ht="15" customHeight="1" spans="1:47">
      <c r="A66" s="30" t="s">
        <v>396</v>
      </c>
      <c r="B66" s="31" t="s">
        <v>397</v>
      </c>
      <c r="C66" s="31" t="s">
        <v>223</v>
      </c>
      <c r="D66" s="31" t="s">
        <v>196</v>
      </c>
      <c r="E66" s="31" t="s">
        <v>181</v>
      </c>
      <c r="F66" s="30" t="s">
        <v>398</v>
      </c>
      <c r="G66" s="31">
        <v>14</v>
      </c>
      <c r="H66" s="31" t="s">
        <v>301</v>
      </c>
      <c r="I66" s="31" t="s">
        <v>184</v>
      </c>
      <c r="J66" s="33">
        <v>276700</v>
      </c>
      <c r="K66" s="33">
        <v>181100</v>
      </c>
      <c r="L66" s="33">
        <v>122900</v>
      </c>
      <c r="M66" s="33">
        <f t="shared" ref="M66:M129" si="8">SUM(J66:L66)</f>
        <v>580700</v>
      </c>
      <c r="N66" s="34">
        <f t="shared" si="5"/>
        <v>0.00304440096548456</v>
      </c>
      <c r="O66" s="35">
        <f>SUM($M$2:M66)</f>
        <v>114157100</v>
      </c>
      <c r="P66" s="34">
        <f t="shared" si="6"/>
        <v>0.598484562522674</v>
      </c>
      <c r="Q66" s="37">
        <v>41.6</v>
      </c>
      <c r="R66" s="31">
        <v>10</v>
      </c>
      <c r="S66" s="31">
        <v>3</v>
      </c>
      <c r="T66" s="31">
        <v>1</v>
      </c>
      <c r="U66" s="37">
        <v>132.6</v>
      </c>
      <c r="V66" s="31">
        <v>29</v>
      </c>
      <c r="W66" s="31">
        <v>4</v>
      </c>
      <c r="X66" s="38">
        <v>309</v>
      </c>
      <c r="Y66" s="31">
        <v>3</v>
      </c>
      <c r="Z66" s="31">
        <v>0</v>
      </c>
      <c r="AA66" s="31" t="s">
        <v>199</v>
      </c>
      <c r="AB66" s="31" t="s">
        <v>220</v>
      </c>
      <c r="AC66" s="41">
        <f>IFERROR(LOOKUP(M66,打分卡!$F$7:$J$7,打分卡!$K$7:$O$7),1)</f>
        <v>5</v>
      </c>
      <c r="AD66" s="41">
        <f>IFERROR(LOOKUP(S66,打分卡!$F$8:$J$8,打分卡!$K$8:$O$8),1)</f>
        <v>3</v>
      </c>
      <c r="AE66" s="41">
        <f>IFERROR(LOOKUP(T66,打分卡!$F$9:$I$9,打分卡!$K$9:$N$9),1)</f>
        <v>2</v>
      </c>
      <c r="AF66" s="41">
        <f>IFERROR(LOOKUP(Q66,打分卡!$F$10:$J$10,打分卡!$K$10:$O$10),1)</f>
        <v>4</v>
      </c>
      <c r="AG66" s="41">
        <f>IFERROR(LOOKUP(R66,打分卡!$F$11:$J$11,打分卡!$K$11:$O$11),1)</f>
        <v>4</v>
      </c>
      <c r="AH66" s="41">
        <f>IFERROR(LOOKUP(U66,打分卡!$F$12:$J$12,打分卡!$K$12:$O$12),1)</f>
        <v>5</v>
      </c>
      <c r="AI66" s="41">
        <f>IFERROR(LOOKUP(X66,打分卡!$F$13:$J$13,打分卡!$K$13:$O$13),1)</f>
        <v>5</v>
      </c>
      <c r="AJ66" s="41">
        <f>IFERROR(LOOKUP(Y66,打分卡!$F$14:$J$14,打分卡!$K$14:$O$14),1)</f>
        <v>4</v>
      </c>
      <c r="AK66" s="41">
        <f>IFERROR(LOOKUP(W66,打分卡!$F$15:$J$15,打分卡!$K$15:$O$15),1)</f>
        <v>3</v>
      </c>
      <c r="AL66" s="43">
        <f t="shared" ref="AL66:AL129" si="9">IF(AA66="连续下降",1,IF(AA66="下降",2,IF(AA66="上升",5,3)))</f>
        <v>5</v>
      </c>
      <c r="AM66" s="41">
        <f>IFERROR(LOOKUP(Z66,打分卡!$F$17:$H$17,打分卡!$K$17:$M$17),1)</f>
        <v>1</v>
      </c>
      <c r="AN66" s="44">
        <f>(打分卡!$D$7*AC66+打分卡!$D$8*AD66+打分卡!$D$9*AE66)/5</f>
        <v>32.6</v>
      </c>
      <c r="AO66" s="44">
        <f>(打分卡!$D$10*AF66+打分卡!$D$11*AG66)/5</f>
        <v>16</v>
      </c>
      <c r="AP66" s="44">
        <f>(打分卡!$D$12*AH66+打分卡!$D$13*AI66+打分卡!$D$14*AJ66+打分卡!$D$15*AK66)/5</f>
        <v>27.2</v>
      </c>
      <c r="AQ66" s="44">
        <f>(打分卡!$D$16*AL66+打分卡!$D$17*AM66)/5</f>
        <v>6.8</v>
      </c>
      <c r="AR66" s="47">
        <f t="shared" ref="AR66:AR129" si="10">IF(G66&lt;3,AP66/30*40+AO66+AP66+AQ66,AN66+AO66+AP66+AQ66)</f>
        <v>82.6</v>
      </c>
      <c r="AS66" s="43" t="str">
        <f t="shared" ref="AS66:AS129" si="11">IF(M66=0,IF(G66&lt;3,"新客观察期","未激活"),IF(AR66&gt;=90,"SKA",IF(AR66&gt;=75,"KA",IF(AR66&gt;=40,"腰部","基础长尾"))))</f>
        <v>KA</v>
      </c>
      <c r="AT66" s="43" t="str">
        <f t="shared" ref="AT66:AT129" si="12">IF(AA66="连续下降","连续下降-预警","")</f>
        <v/>
      </c>
      <c r="AU66" s="43" t="str">
        <f t="shared" ref="AU66:AU129" si="13">IF(AS66="SKA","守·共创：卡片短信/AI外呼新场景POC",IF(AS66="KA","扩·深化：AI外呼场景深化+Push/企微补全",IF(AS66="腰部","拉·主攻：主推AI外呼+大促作战包",IF(AS66="新客观察期","培育：入门包+1v1场景教育",IF(AS66="基础长尾","激活：企微+Push低成本先跑","唤醒：短信模板+首充补贴")))))</f>
        <v>扩·深化：AI外呼场景深化+Push/企微补全</v>
      </c>
    </row>
    <row r="67" ht="15" customHeight="1" spans="1:47">
      <c r="A67" s="20" t="s">
        <v>399</v>
      </c>
      <c r="B67" s="22" t="s">
        <v>400</v>
      </c>
      <c r="C67" s="22" t="s">
        <v>239</v>
      </c>
      <c r="D67" s="22" t="s">
        <v>202</v>
      </c>
      <c r="E67" s="22" t="s">
        <v>197</v>
      </c>
      <c r="F67" s="20" t="s">
        <v>401</v>
      </c>
      <c r="G67" s="22">
        <v>29</v>
      </c>
      <c r="H67" s="22" t="s">
        <v>183</v>
      </c>
      <c r="I67" s="22" t="s">
        <v>302</v>
      </c>
      <c r="J67" s="36">
        <v>322600</v>
      </c>
      <c r="K67" s="36">
        <v>142400</v>
      </c>
      <c r="L67" s="36">
        <v>110500</v>
      </c>
      <c r="M67" s="36">
        <f t="shared" si="8"/>
        <v>575500</v>
      </c>
      <c r="N67" s="34">
        <f t="shared" ref="N67:N130" si="14">M67/$M$2002</f>
        <v>0.00301713923822346</v>
      </c>
      <c r="O67" s="35">
        <f>SUM($M$2:M67)</f>
        <v>114732600</v>
      </c>
      <c r="P67" s="34">
        <f t="shared" ref="P67:P130" si="15">O67/$M$2002</f>
        <v>0.601501701760898</v>
      </c>
      <c r="Q67" s="39">
        <v>67.4</v>
      </c>
      <c r="R67" s="22">
        <v>8</v>
      </c>
      <c r="S67" s="22">
        <v>4</v>
      </c>
      <c r="T67" s="22">
        <v>3</v>
      </c>
      <c r="U67" s="39">
        <v>33.8</v>
      </c>
      <c r="V67" s="22">
        <v>29</v>
      </c>
      <c r="W67" s="22">
        <v>8</v>
      </c>
      <c r="X67" s="40">
        <v>191</v>
      </c>
      <c r="Y67" s="22">
        <v>6</v>
      </c>
      <c r="Z67" s="22">
        <v>2</v>
      </c>
      <c r="AA67" s="22" t="s">
        <v>185</v>
      </c>
      <c r="AB67" s="22" t="s">
        <v>220</v>
      </c>
      <c r="AC67" s="42">
        <f>IFERROR(LOOKUP(M67,打分卡!$F$7:$J$7,打分卡!$K$7:$O$7),1)</f>
        <v>5</v>
      </c>
      <c r="AD67" s="42">
        <f>IFERROR(LOOKUP(S67,打分卡!$F$8:$J$8,打分卡!$K$8:$O$8),1)</f>
        <v>4</v>
      </c>
      <c r="AE67" s="42">
        <f>IFERROR(LOOKUP(T67,打分卡!$F$9:$I$9,打分卡!$K$9:$N$9),1)</f>
        <v>5</v>
      </c>
      <c r="AF67" s="42">
        <f>IFERROR(LOOKUP(Q67,打分卡!$F$10:$J$10,打分卡!$K$10:$O$10),1)</f>
        <v>5</v>
      </c>
      <c r="AG67" s="42">
        <f>IFERROR(LOOKUP(R67,打分卡!$F$11:$J$11,打分卡!$K$11:$O$11),1)</f>
        <v>3</v>
      </c>
      <c r="AH67" s="42">
        <f>IFERROR(LOOKUP(U67,打分卡!$F$12:$J$12,打分卡!$K$12:$O$12),1)</f>
        <v>4</v>
      </c>
      <c r="AI67" s="42">
        <f>IFERROR(LOOKUP(X67,打分卡!$F$13:$J$13,打分卡!$K$13:$O$13),1)</f>
        <v>4</v>
      </c>
      <c r="AJ67" s="42">
        <f>IFERROR(LOOKUP(Y67,打分卡!$F$14:$J$14,打分卡!$K$14:$O$14),1)</f>
        <v>5</v>
      </c>
      <c r="AK67" s="42">
        <f>IFERROR(LOOKUP(W67,打分卡!$F$15:$J$15,打分卡!$K$15:$O$15),1)</f>
        <v>4</v>
      </c>
      <c r="AL67" s="45">
        <f t="shared" si="9"/>
        <v>3</v>
      </c>
      <c r="AM67" s="42">
        <f>IFERROR(LOOKUP(Z67,打分卡!$F$17:$H$17,打分卡!$K$17:$M$17),1)</f>
        <v>5</v>
      </c>
      <c r="AN67" s="46">
        <f>(打分卡!$D$7*AC67+打分卡!$D$8*AD67+打分卡!$D$9*AE67)/5</f>
        <v>38.4</v>
      </c>
      <c r="AO67" s="46">
        <f>(打分卡!$D$10*AF67+打分卡!$D$11*AG67)/5</f>
        <v>16</v>
      </c>
      <c r="AP67" s="46">
        <f>(打分卡!$D$12*AH67+打分卡!$D$13*AI67+打分卡!$D$14*AJ67+打分卡!$D$15*AK67)/5</f>
        <v>25.2</v>
      </c>
      <c r="AQ67" s="46">
        <f>(打分卡!$D$16*AL67+打分卡!$D$17*AM67)/5</f>
        <v>7.6</v>
      </c>
      <c r="AR67" s="48">
        <f t="shared" si="10"/>
        <v>87.2</v>
      </c>
      <c r="AS67" s="45" t="str">
        <f t="shared" si="11"/>
        <v>KA</v>
      </c>
      <c r="AT67" s="45" t="str">
        <f t="shared" si="12"/>
        <v/>
      </c>
      <c r="AU67" s="45" t="str">
        <f t="shared" si="13"/>
        <v>扩·深化：AI外呼场景深化+Push/企微补全</v>
      </c>
    </row>
    <row r="68" ht="15" customHeight="1" spans="1:47">
      <c r="A68" s="30" t="s">
        <v>402</v>
      </c>
      <c r="B68" s="31" t="s">
        <v>403</v>
      </c>
      <c r="C68" s="31" t="s">
        <v>189</v>
      </c>
      <c r="D68" s="31" t="s">
        <v>202</v>
      </c>
      <c r="E68" s="31" t="s">
        <v>197</v>
      </c>
      <c r="F68" s="30" t="s">
        <v>404</v>
      </c>
      <c r="G68" s="31">
        <v>27</v>
      </c>
      <c r="H68" s="31" t="s">
        <v>301</v>
      </c>
      <c r="I68" s="31" t="s">
        <v>184</v>
      </c>
      <c r="J68" s="33">
        <v>301100</v>
      </c>
      <c r="K68" s="33">
        <v>210800</v>
      </c>
      <c r="L68" s="33">
        <v>53500</v>
      </c>
      <c r="M68" s="33">
        <f t="shared" si="8"/>
        <v>565400</v>
      </c>
      <c r="N68" s="34">
        <f t="shared" si="14"/>
        <v>0.00296418857565863</v>
      </c>
      <c r="O68" s="35">
        <f>SUM($M$2:M68)</f>
        <v>115298000</v>
      </c>
      <c r="P68" s="34">
        <f t="shared" si="15"/>
        <v>0.604465890336557</v>
      </c>
      <c r="Q68" s="37">
        <v>54.1</v>
      </c>
      <c r="R68" s="31">
        <v>8</v>
      </c>
      <c r="S68" s="31">
        <v>4</v>
      </c>
      <c r="T68" s="31">
        <v>2</v>
      </c>
      <c r="U68" s="37">
        <v>62.4</v>
      </c>
      <c r="V68" s="31">
        <v>33</v>
      </c>
      <c r="W68" s="31">
        <v>5</v>
      </c>
      <c r="X68" s="38">
        <v>703</v>
      </c>
      <c r="Y68" s="31">
        <v>5</v>
      </c>
      <c r="Z68" s="31">
        <v>0</v>
      </c>
      <c r="AA68" s="31" t="s">
        <v>185</v>
      </c>
      <c r="AB68" s="31" t="s">
        <v>220</v>
      </c>
      <c r="AC68" s="41">
        <f>IFERROR(LOOKUP(M68,打分卡!$F$7:$J$7,打分卡!$K$7:$O$7),1)</f>
        <v>5</v>
      </c>
      <c r="AD68" s="41">
        <f>IFERROR(LOOKUP(S68,打分卡!$F$8:$J$8,打分卡!$K$8:$O$8),1)</f>
        <v>4</v>
      </c>
      <c r="AE68" s="41">
        <f>IFERROR(LOOKUP(T68,打分卡!$F$9:$I$9,打分卡!$K$9:$N$9),1)</f>
        <v>3</v>
      </c>
      <c r="AF68" s="41">
        <f>IFERROR(LOOKUP(Q68,打分卡!$F$10:$J$10,打分卡!$K$10:$O$10),1)</f>
        <v>4</v>
      </c>
      <c r="AG68" s="41">
        <f>IFERROR(LOOKUP(R68,打分卡!$F$11:$J$11,打分卡!$K$11:$O$11),1)</f>
        <v>3</v>
      </c>
      <c r="AH68" s="41">
        <f>IFERROR(LOOKUP(U68,打分卡!$F$12:$J$12,打分卡!$K$12:$O$12),1)</f>
        <v>4</v>
      </c>
      <c r="AI68" s="41">
        <f>IFERROR(LOOKUP(X68,打分卡!$F$13:$J$13,打分卡!$K$13:$O$13),1)</f>
        <v>5</v>
      </c>
      <c r="AJ68" s="41">
        <f>IFERROR(LOOKUP(Y68,打分卡!$F$14:$J$14,打分卡!$K$14:$O$14),1)</f>
        <v>5</v>
      </c>
      <c r="AK68" s="41">
        <f>IFERROR(LOOKUP(W68,打分卡!$F$15:$J$15,打分卡!$K$15:$O$15),1)</f>
        <v>3</v>
      </c>
      <c r="AL68" s="43">
        <f t="shared" si="9"/>
        <v>3</v>
      </c>
      <c r="AM68" s="41">
        <f>IFERROR(LOOKUP(Z68,打分卡!$F$17:$H$17,打分卡!$K$17:$M$17),1)</f>
        <v>1</v>
      </c>
      <c r="AN68" s="44">
        <f>(打分卡!$D$7*AC68+打分卡!$D$8*AD68+打分卡!$D$9*AE68)/5</f>
        <v>35.6</v>
      </c>
      <c r="AO68" s="44">
        <f>(打分卡!$D$10*AF68+打分卡!$D$11*AG68)/5</f>
        <v>14</v>
      </c>
      <c r="AP68" s="44">
        <f>(打分卡!$D$12*AH68+打分卡!$D$13*AI68+打分卡!$D$14*AJ68+打分卡!$D$15*AK68)/5</f>
        <v>26</v>
      </c>
      <c r="AQ68" s="44">
        <f>(打分卡!$D$16*AL68+打分卡!$D$17*AM68)/5</f>
        <v>4.4</v>
      </c>
      <c r="AR68" s="47">
        <f t="shared" si="10"/>
        <v>80</v>
      </c>
      <c r="AS68" s="43" t="str">
        <f t="shared" si="11"/>
        <v>KA</v>
      </c>
      <c r="AT68" s="43" t="str">
        <f t="shared" si="12"/>
        <v/>
      </c>
      <c r="AU68" s="43" t="str">
        <f t="shared" si="13"/>
        <v>扩·深化：AI外呼场景深化+Push/企微补全</v>
      </c>
    </row>
    <row r="69" ht="15" customHeight="1" spans="1:47">
      <c r="A69" s="20" t="s">
        <v>405</v>
      </c>
      <c r="B69" s="22" t="s">
        <v>406</v>
      </c>
      <c r="C69" s="22" t="s">
        <v>179</v>
      </c>
      <c r="D69" s="22" t="s">
        <v>227</v>
      </c>
      <c r="E69" s="22" t="s">
        <v>181</v>
      </c>
      <c r="F69" s="20" t="s">
        <v>407</v>
      </c>
      <c r="G69" s="22">
        <v>21</v>
      </c>
      <c r="H69" s="22" t="s">
        <v>301</v>
      </c>
      <c r="I69" s="22" t="s">
        <v>302</v>
      </c>
      <c r="J69" s="36">
        <v>289100</v>
      </c>
      <c r="K69" s="36">
        <v>156300</v>
      </c>
      <c r="L69" s="36">
        <v>120000</v>
      </c>
      <c r="M69" s="36">
        <f t="shared" si="8"/>
        <v>565400</v>
      </c>
      <c r="N69" s="34">
        <f t="shared" si="14"/>
        <v>0.00296418857565863</v>
      </c>
      <c r="O69" s="35">
        <f>SUM($M$2:M69)</f>
        <v>115863400</v>
      </c>
      <c r="P69" s="34">
        <f t="shared" si="15"/>
        <v>0.607430078912215</v>
      </c>
      <c r="Q69" s="39">
        <v>68.1</v>
      </c>
      <c r="R69" s="22">
        <v>8</v>
      </c>
      <c r="S69" s="22">
        <v>2</v>
      </c>
      <c r="T69" s="22">
        <v>3</v>
      </c>
      <c r="U69" s="39">
        <v>26.5</v>
      </c>
      <c r="V69" s="22">
        <v>17</v>
      </c>
      <c r="W69" s="22">
        <v>4</v>
      </c>
      <c r="X69" s="40">
        <v>104</v>
      </c>
      <c r="Y69" s="22">
        <v>5</v>
      </c>
      <c r="Z69" s="22">
        <v>1</v>
      </c>
      <c r="AA69" s="22" t="s">
        <v>185</v>
      </c>
      <c r="AB69" s="22" t="s">
        <v>220</v>
      </c>
      <c r="AC69" s="42">
        <f>IFERROR(LOOKUP(M69,打分卡!$F$7:$J$7,打分卡!$K$7:$O$7),1)</f>
        <v>5</v>
      </c>
      <c r="AD69" s="42">
        <f>IFERROR(LOOKUP(S69,打分卡!$F$8:$J$8,打分卡!$K$8:$O$8),1)</f>
        <v>2</v>
      </c>
      <c r="AE69" s="42">
        <f>IFERROR(LOOKUP(T69,打分卡!$F$9:$I$9,打分卡!$K$9:$N$9),1)</f>
        <v>5</v>
      </c>
      <c r="AF69" s="42">
        <f>IFERROR(LOOKUP(Q69,打分卡!$F$10:$J$10,打分卡!$K$10:$O$10),1)</f>
        <v>5</v>
      </c>
      <c r="AG69" s="42">
        <f>IFERROR(LOOKUP(R69,打分卡!$F$11:$J$11,打分卡!$K$11:$O$11),1)</f>
        <v>3</v>
      </c>
      <c r="AH69" s="42">
        <f>IFERROR(LOOKUP(U69,打分卡!$F$12:$J$12,打分卡!$K$12:$O$12),1)</f>
        <v>3</v>
      </c>
      <c r="AI69" s="42">
        <f>IFERROR(LOOKUP(X69,打分卡!$F$13:$J$13,打分卡!$K$13:$O$13),1)</f>
        <v>4</v>
      </c>
      <c r="AJ69" s="42">
        <f>IFERROR(LOOKUP(Y69,打分卡!$F$14:$J$14,打分卡!$K$14:$O$14),1)</f>
        <v>5</v>
      </c>
      <c r="AK69" s="42">
        <f>IFERROR(LOOKUP(W69,打分卡!$F$15:$J$15,打分卡!$K$15:$O$15),1)</f>
        <v>3</v>
      </c>
      <c r="AL69" s="45">
        <f t="shared" si="9"/>
        <v>3</v>
      </c>
      <c r="AM69" s="42">
        <f>IFERROR(LOOKUP(Z69,打分卡!$F$17:$H$17,打分卡!$K$17:$M$17),1)</f>
        <v>3</v>
      </c>
      <c r="AN69" s="46">
        <f>(打分卡!$D$7*AC69+打分卡!$D$8*AD69+打分卡!$D$9*AE69)/5</f>
        <v>35.2</v>
      </c>
      <c r="AO69" s="46">
        <f>(打分卡!$D$10*AF69+打分卡!$D$11*AG69)/5</f>
        <v>16</v>
      </c>
      <c r="AP69" s="46">
        <f>(打分卡!$D$12*AH69+打分卡!$D$13*AI69+打分卡!$D$14*AJ69+打分卡!$D$15*AK69)/5</f>
        <v>22</v>
      </c>
      <c r="AQ69" s="46">
        <f>(打分卡!$D$16*AL69+打分卡!$D$17*AM69)/5</f>
        <v>6</v>
      </c>
      <c r="AR69" s="48">
        <f t="shared" si="10"/>
        <v>79.2</v>
      </c>
      <c r="AS69" s="45" t="str">
        <f t="shared" si="11"/>
        <v>KA</v>
      </c>
      <c r="AT69" s="45" t="str">
        <f t="shared" si="12"/>
        <v/>
      </c>
      <c r="AU69" s="45" t="str">
        <f t="shared" si="13"/>
        <v>扩·深化：AI外呼场景深化+Push/企微补全</v>
      </c>
    </row>
    <row r="70" ht="15" customHeight="1" spans="1:47">
      <c r="A70" s="30" t="s">
        <v>408</v>
      </c>
      <c r="B70" s="31" t="s">
        <v>409</v>
      </c>
      <c r="C70" s="31" t="s">
        <v>189</v>
      </c>
      <c r="D70" s="31" t="s">
        <v>196</v>
      </c>
      <c r="E70" s="31" t="s">
        <v>181</v>
      </c>
      <c r="F70" s="30" t="s">
        <v>366</v>
      </c>
      <c r="G70" s="31">
        <v>30</v>
      </c>
      <c r="H70" s="31" t="s">
        <v>301</v>
      </c>
      <c r="I70" s="31" t="s">
        <v>184</v>
      </c>
      <c r="J70" s="33">
        <v>286000</v>
      </c>
      <c r="K70" s="33">
        <v>135300</v>
      </c>
      <c r="L70" s="33">
        <v>107000</v>
      </c>
      <c r="M70" s="33">
        <f t="shared" si="8"/>
        <v>528300</v>
      </c>
      <c r="N70" s="34">
        <f t="shared" si="14"/>
        <v>0.00276968663693041</v>
      </c>
      <c r="O70" s="35">
        <f>SUM($M$2:M70)</f>
        <v>116391700</v>
      </c>
      <c r="P70" s="34">
        <f t="shared" si="15"/>
        <v>0.610199765549146</v>
      </c>
      <c r="Q70" s="37">
        <v>54.9</v>
      </c>
      <c r="R70" s="31">
        <v>17</v>
      </c>
      <c r="S70" s="31">
        <v>3</v>
      </c>
      <c r="T70" s="31">
        <v>3</v>
      </c>
      <c r="U70" s="37">
        <v>21.9</v>
      </c>
      <c r="V70" s="31">
        <v>30</v>
      </c>
      <c r="W70" s="31">
        <v>3</v>
      </c>
      <c r="X70" s="38">
        <v>204</v>
      </c>
      <c r="Y70" s="31">
        <v>5</v>
      </c>
      <c r="Z70" s="31">
        <v>0</v>
      </c>
      <c r="AA70" s="31" t="s">
        <v>315</v>
      </c>
      <c r="AB70" s="31" t="s">
        <v>220</v>
      </c>
      <c r="AC70" s="41">
        <f>IFERROR(LOOKUP(M70,打分卡!$F$7:$J$7,打分卡!$K$7:$O$7),1)</f>
        <v>4</v>
      </c>
      <c r="AD70" s="41">
        <f>IFERROR(LOOKUP(S70,打分卡!$F$8:$J$8,打分卡!$K$8:$O$8),1)</f>
        <v>3</v>
      </c>
      <c r="AE70" s="41">
        <f>IFERROR(LOOKUP(T70,打分卡!$F$9:$I$9,打分卡!$K$9:$N$9),1)</f>
        <v>5</v>
      </c>
      <c r="AF70" s="41">
        <f>IFERROR(LOOKUP(Q70,打分卡!$F$10:$J$10,打分卡!$K$10:$O$10),1)</f>
        <v>4</v>
      </c>
      <c r="AG70" s="41">
        <f>IFERROR(LOOKUP(R70,打分卡!$F$11:$J$11,打分卡!$K$11:$O$11),1)</f>
        <v>5</v>
      </c>
      <c r="AH70" s="41">
        <f>IFERROR(LOOKUP(U70,打分卡!$F$12:$J$12,打分卡!$K$12:$O$12),1)</f>
        <v>3</v>
      </c>
      <c r="AI70" s="41">
        <f>IFERROR(LOOKUP(X70,打分卡!$F$13:$J$13,打分卡!$K$13:$O$13),1)</f>
        <v>5</v>
      </c>
      <c r="AJ70" s="41">
        <f>IFERROR(LOOKUP(Y70,打分卡!$F$14:$J$14,打分卡!$K$14:$O$14),1)</f>
        <v>5</v>
      </c>
      <c r="AK70" s="41">
        <f>IFERROR(LOOKUP(W70,打分卡!$F$15:$J$15,打分卡!$K$15:$O$15),1)</f>
        <v>3</v>
      </c>
      <c r="AL70" s="43">
        <f t="shared" si="9"/>
        <v>2</v>
      </c>
      <c r="AM70" s="41">
        <f>IFERROR(LOOKUP(Z70,打分卡!$F$17:$H$17,打分卡!$K$17:$M$17),1)</f>
        <v>1</v>
      </c>
      <c r="AN70" s="44">
        <f>(打分卡!$D$7*AC70+打分卡!$D$8*AD70+打分卡!$D$9*AE70)/5</f>
        <v>31.8</v>
      </c>
      <c r="AO70" s="44">
        <f>(打分卡!$D$10*AF70+打分卡!$D$11*AG70)/5</f>
        <v>18</v>
      </c>
      <c r="AP70" s="44">
        <f>(打分卡!$D$12*AH70+打分卡!$D$13*AI70+打分卡!$D$14*AJ70+打分卡!$D$15*AK70)/5</f>
        <v>23.6</v>
      </c>
      <c r="AQ70" s="44">
        <f>(打分卡!$D$16*AL70+打分卡!$D$17*AM70)/5</f>
        <v>3.2</v>
      </c>
      <c r="AR70" s="47">
        <f t="shared" si="10"/>
        <v>76.6</v>
      </c>
      <c r="AS70" s="43" t="str">
        <f t="shared" si="11"/>
        <v>KA</v>
      </c>
      <c r="AT70" s="43" t="str">
        <f t="shared" si="12"/>
        <v/>
      </c>
      <c r="AU70" s="43" t="str">
        <f t="shared" si="13"/>
        <v>扩·深化：AI外呼场景深化+Push/企微补全</v>
      </c>
    </row>
    <row r="71" ht="15" customHeight="1" spans="1:47">
      <c r="A71" s="20" t="s">
        <v>410</v>
      </c>
      <c r="B71" s="22" t="s">
        <v>411</v>
      </c>
      <c r="C71" s="22" t="s">
        <v>239</v>
      </c>
      <c r="D71" s="22" t="s">
        <v>202</v>
      </c>
      <c r="E71" s="22" t="s">
        <v>181</v>
      </c>
      <c r="F71" s="20" t="s">
        <v>412</v>
      </c>
      <c r="G71" s="22">
        <v>28</v>
      </c>
      <c r="H71" s="22" t="s">
        <v>192</v>
      </c>
      <c r="I71" s="22" t="s">
        <v>302</v>
      </c>
      <c r="J71" s="36">
        <v>335900</v>
      </c>
      <c r="K71" s="36">
        <v>165800</v>
      </c>
      <c r="L71" s="36">
        <v>26400</v>
      </c>
      <c r="M71" s="36">
        <f t="shared" si="8"/>
        <v>528100</v>
      </c>
      <c r="N71" s="34">
        <f t="shared" si="14"/>
        <v>0.00276863810895883</v>
      </c>
      <c r="O71" s="35">
        <f>SUM($M$2:M71)</f>
        <v>116919800</v>
      </c>
      <c r="P71" s="34">
        <f t="shared" si="15"/>
        <v>0.612968403658104</v>
      </c>
      <c r="Q71" s="39">
        <v>72.8</v>
      </c>
      <c r="R71" s="22">
        <v>13</v>
      </c>
      <c r="S71" s="22">
        <v>3</v>
      </c>
      <c r="T71" s="22">
        <v>3</v>
      </c>
      <c r="U71" s="39">
        <v>59</v>
      </c>
      <c r="V71" s="22">
        <v>21</v>
      </c>
      <c r="W71" s="22">
        <v>7</v>
      </c>
      <c r="X71" s="40">
        <v>309</v>
      </c>
      <c r="Y71" s="22">
        <v>3</v>
      </c>
      <c r="Z71" s="22">
        <v>2</v>
      </c>
      <c r="AA71" s="22" t="s">
        <v>199</v>
      </c>
      <c r="AB71" s="22" t="s">
        <v>220</v>
      </c>
      <c r="AC71" s="42">
        <f>IFERROR(LOOKUP(M71,打分卡!$F$7:$J$7,打分卡!$K$7:$O$7),1)</f>
        <v>4</v>
      </c>
      <c r="AD71" s="42">
        <f>IFERROR(LOOKUP(S71,打分卡!$F$8:$J$8,打分卡!$K$8:$O$8),1)</f>
        <v>3</v>
      </c>
      <c r="AE71" s="42">
        <f>IFERROR(LOOKUP(T71,打分卡!$F$9:$I$9,打分卡!$K$9:$N$9),1)</f>
        <v>5</v>
      </c>
      <c r="AF71" s="42">
        <f>IFERROR(LOOKUP(Q71,打分卡!$F$10:$J$10,打分卡!$K$10:$O$10),1)</f>
        <v>5</v>
      </c>
      <c r="AG71" s="42">
        <f>IFERROR(LOOKUP(R71,打分卡!$F$11:$J$11,打分卡!$K$11:$O$11),1)</f>
        <v>4</v>
      </c>
      <c r="AH71" s="42">
        <f>IFERROR(LOOKUP(U71,打分卡!$F$12:$J$12,打分卡!$K$12:$O$12),1)</f>
        <v>4</v>
      </c>
      <c r="AI71" s="42">
        <f>IFERROR(LOOKUP(X71,打分卡!$F$13:$J$13,打分卡!$K$13:$O$13),1)</f>
        <v>5</v>
      </c>
      <c r="AJ71" s="42">
        <f>IFERROR(LOOKUP(Y71,打分卡!$F$14:$J$14,打分卡!$K$14:$O$14),1)</f>
        <v>4</v>
      </c>
      <c r="AK71" s="42">
        <f>IFERROR(LOOKUP(W71,打分卡!$F$15:$J$15,打分卡!$K$15:$O$15),1)</f>
        <v>4</v>
      </c>
      <c r="AL71" s="45">
        <f t="shared" si="9"/>
        <v>5</v>
      </c>
      <c r="AM71" s="42">
        <f>IFERROR(LOOKUP(Z71,打分卡!$F$17:$H$17,打分卡!$K$17:$M$17),1)</f>
        <v>5</v>
      </c>
      <c r="AN71" s="46">
        <f>(打分卡!$D$7*AC71+打分卡!$D$8*AD71+打分卡!$D$9*AE71)/5</f>
        <v>31.8</v>
      </c>
      <c r="AO71" s="46">
        <f>(打分卡!$D$10*AF71+打分卡!$D$11*AG71)/5</f>
        <v>18</v>
      </c>
      <c r="AP71" s="46">
        <f>(打分卡!$D$12*AH71+打分卡!$D$13*AI71+打分卡!$D$14*AJ71+打分卡!$D$15*AK71)/5</f>
        <v>25.6</v>
      </c>
      <c r="AQ71" s="46">
        <f>(打分卡!$D$16*AL71+打分卡!$D$17*AM71)/5</f>
        <v>10</v>
      </c>
      <c r="AR71" s="48">
        <f t="shared" si="10"/>
        <v>85.4</v>
      </c>
      <c r="AS71" s="45" t="str">
        <f t="shared" si="11"/>
        <v>KA</v>
      </c>
      <c r="AT71" s="45" t="str">
        <f t="shared" si="12"/>
        <v/>
      </c>
      <c r="AU71" s="45" t="str">
        <f t="shared" si="13"/>
        <v>扩·深化：AI外呼场景深化+Push/企微补全</v>
      </c>
    </row>
    <row r="72" ht="15" customHeight="1" spans="1:47">
      <c r="A72" s="30" t="s">
        <v>413</v>
      </c>
      <c r="B72" s="31" t="s">
        <v>414</v>
      </c>
      <c r="C72" s="31" t="s">
        <v>189</v>
      </c>
      <c r="D72" s="31" t="s">
        <v>202</v>
      </c>
      <c r="E72" s="31" t="s">
        <v>181</v>
      </c>
      <c r="F72" s="30" t="s">
        <v>415</v>
      </c>
      <c r="G72" s="31">
        <v>18</v>
      </c>
      <c r="H72" s="31" t="s">
        <v>183</v>
      </c>
      <c r="I72" s="31" t="s">
        <v>184</v>
      </c>
      <c r="J72" s="33">
        <v>317100</v>
      </c>
      <c r="K72" s="33">
        <v>157600</v>
      </c>
      <c r="L72" s="33">
        <v>31900</v>
      </c>
      <c r="M72" s="33">
        <f t="shared" si="8"/>
        <v>506600</v>
      </c>
      <c r="N72" s="34">
        <f t="shared" si="14"/>
        <v>0.00265592135201391</v>
      </c>
      <c r="O72" s="35">
        <f>SUM($M$2:M72)</f>
        <v>117426400</v>
      </c>
      <c r="P72" s="34">
        <f t="shared" si="15"/>
        <v>0.615624325010118</v>
      </c>
      <c r="Q72" s="37">
        <v>69.7</v>
      </c>
      <c r="R72" s="31">
        <v>6</v>
      </c>
      <c r="S72" s="31">
        <v>3</v>
      </c>
      <c r="T72" s="31">
        <v>3</v>
      </c>
      <c r="U72" s="37">
        <v>62.5</v>
      </c>
      <c r="V72" s="31">
        <v>18</v>
      </c>
      <c r="W72" s="31">
        <v>5</v>
      </c>
      <c r="X72" s="38">
        <v>332</v>
      </c>
      <c r="Y72" s="31">
        <v>5</v>
      </c>
      <c r="Z72" s="31">
        <v>1</v>
      </c>
      <c r="AA72" s="31" t="s">
        <v>315</v>
      </c>
      <c r="AB72" s="31" t="s">
        <v>220</v>
      </c>
      <c r="AC72" s="41">
        <f>IFERROR(LOOKUP(M72,打分卡!$F$7:$J$7,打分卡!$K$7:$O$7),1)</f>
        <v>4</v>
      </c>
      <c r="AD72" s="41">
        <f>IFERROR(LOOKUP(S72,打分卡!$F$8:$J$8,打分卡!$K$8:$O$8),1)</f>
        <v>3</v>
      </c>
      <c r="AE72" s="41">
        <f>IFERROR(LOOKUP(T72,打分卡!$F$9:$I$9,打分卡!$K$9:$N$9),1)</f>
        <v>5</v>
      </c>
      <c r="AF72" s="41">
        <f>IFERROR(LOOKUP(Q72,打分卡!$F$10:$J$10,打分卡!$K$10:$O$10),1)</f>
        <v>5</v>
      </c>
      <c r="AG72" s="41">
        <f>IFERROR(LOOKUP(R72,打分卡!$F$11:$J$11,打分卡!$K$11:$O$11),1)</f>
        <v>3</v>
      </c>
      <c r="AH72" s="41">
        <f>IFERROR(LOOKUP(U72,打分卡!$F$12:$J$12,打分卡!$K$12:$O$12),1)</f>
        <v>4</v>
      </c>
      <c r="AI72" s="41">
        <f>IFERROR(LOOKUP(X72,打分卡!$F$13:$J$13,打分卡!$K$13:$O$13),1)</f>
        <v>5</v>
      </c>
      <c r="AJ72" s="41">
        <f>IFERROR(LOOKUP(Y72,打分卡!$F$14:$J$14,打分卡!$K$14:$O$14),1)</f>
        <v>5</v>
      </c>
      <c r="AK72" s="41">
        <f>IFERROR(LOOKUP(W72,打分卡!$F$15:$J$15,打分卡!$K$15:$O$15),1)</f>
        <v>3</v>
      </c>
      <c r="AL72" s="43">
        <f t="shared" si="9"/>
        <v>2</v>
      </c>
      <c r="AM72" s="41">
        <f>IFERROR(LOOKUP(Z72,打分卡!$F$17:$H$17,打分卡!$K$17:$M$17),1)</f>
        <v>3</v>
      </c>
      <c r="AN72" s="44">
        <f>(打分卡!$D$7*AC72+打分卡!$D$8*AD72+打分卡!$D$9*AE72)/5</f>
        <v>31.8</v>
      </c>
      <c r="AO72" s="44">
        <f>(打分卡!$D$10*AF72+打分卡!$D$11*AG72)/5</f>
        <v>16</v>
      </c>
      <c r="AP72" s="44">
        <f>(打分卡!$D$12*AH72+打分卡!$D$13*AI72+打分卡!$D$14*AJ72+打分卡!$D$15*AK72)/5</f>
        <v>26</v>
      </c>
      <c r="AQ72" s="44">
        <f>(打分卡!$D$16*AL72+打分卡!$D$17*AM72)/5</f>
        <v>4.8</v>
      </c>
      <c r="AR72" s="47">
        <f t="shared" si="10"/>
        <v>78.6</v>
      </c>
      <c r="AS72" s="43" t="str">
        <f t="shared" si="11"/>
        <v>KA</v>
      </c>
      <c r="AT72" s="43" t="str">
        <f t="shared" si="12"/>
        <v/>
      </c>
      <c r="AU72" s="43" t="str">
        <f t="shared" si="13"/>
        <v>扩·深化：AI外呼场景深化+Push/企微补全</v>
      </c>
    </row>
    <row r="73" ht="15" customHeight="1" spans="1:47">
      <c r="A73" s="20" t="s">
        <v>416</v>
      </c>
      <c r="B73" s="22" t="s">
        <v>417</v>
      </c>
      <c r="C73" s="22" t="s">
        <v>223</v>
      </c>
      <c r="D73" s="22" t="s">
        <v>252</v>
      </c>
      <c r="E73" s="22" t="s">
        <v>181</v>
      </c>
      <c r="F73" s="20" t="s">
        <v>418</v>
      </c>
      <c r="G73" s="22">
        <v>25</v>
      </c>
      <c r="H73" s="22" t="s">
        <v>301</v>
      </c>
      <c r="I73" s="22" t="s">
        <v>184</v>
      </c>
      <c r="J73" s="36">
        <v>286200</v>
      </c>
      <c r="K73" s="36">
        <v>122200</v>
      </c>
      <c r="L73" s="36">
        <v>96500</v>
      </c>
      <c r="M73" s="36">
        <f t="shared" si="8"/>
        <v>504900</v>
      </c>
      <c r="N73" s="34">
        <f t="shared" si="14"/>
        <v>0.00264700886425547</v>
      </c>
      <c r="O73" s="35">
        <f>SUM($M$2:M73)</f>
        <v>117931300</v>
      </c>
      <c r="P73" s="34">
        <f t="shared" si="15"/>
        <v>0.618271333874374</v>
      </c>
      <c r="Q73" s="39">
        <v>55.8</v>
      </c>
      <c r="R73" s="22">
        <v>15</v>
      </c>
      <c r="S73" s="22">
        <v>4</v>
      </c>
      <c r="T73" s="22">
        <v>2</v>
      </c>
      <c r="U73" s="39">
        <v>65.9</v>
      </c>
      <c r="V73" s="22">
        <v>14</v>
      </c>
      <c r="W73" s="22">
        <v>2</v>
      </c>
      <c r="X73" s="40">
        <v>228</v>
      </c>
      <c r="Y73" s="22">
        <v>5</v>
      </c>
      <c r="Z73" s="22">
        <v>2</v>
      </c>
      <c r="AA73" s="22" t="s">
        <v>315</v>
      </c>
      <c r="AB73" s="22" t="s">
        <v>220</v>
      </c>
      <c r="AC73" s="42">
        <f>IFERROR(LOOKUP(M73,打分卡!$F$7:$J$7,打分卡!$K$7:$O$7),1)</f>
        <v>4</v>
      </c>
      <c r="AD73" s="42">
        <f>IFERROR(LOOKUP(S73,打分卡!$F$8:$J$8,打分卡!$K$8:$O$8),1)</f>
        <v>4</v>
      </c>
      <c r="AE73" s="42">
        <f>IFERROR(LOOKUP(T73,打分卡!$F$9:$I$9,打分卡!$K$9:$N$9),1)</f>
        <v>3</v>
      </c>
      <c r="AF73" s="42">
        <f>IFERROR(LOOKUP(Q73,打分卡!$F$10:$J$10,打分卡!$K$10:$O$10),1)</f>
        <v>4</v>
      </c>
      <c r="AG73" s="42">
        <f>IFERROR(LOOKUP(R73,打分卡!$F$11:$J$11,打分卡!$K$11:$O$11),1)</f>
        <v>5</v>
      </c>
      <c r="AH73" s="42">
        <f>IFERROR(LOOKUP(U73,打分卡!$F$12:$J$12,打分卡!$K$12:$O$12),1)</f>
        <v>4</v>
      </c>
      <c r="AI73" s="42">
        <f>IFERROR(LOOKUP(X73,打分卡!$F$13:$J$13,打分卡!$K$13:$O$13),1)</f>
        <v>5</v>
      </c>
      <c r="AJ73" s="42">
        <f>IFERROR(LOOKUP(Y73,打分卡!$F$14:$J$14,打分卡!$K$14:$O$14),1)</f>
        <v>5</v>
      </c>
      <c r="AK73" s="42">
        <f>IFERROR(LOOKUP(W73,打分卡!$F$15:$J$15,打分卡!$K$15:$O$15),1)</f>
        <v>2</v>
      </c>
      <c r="AL73" s="45">
        <f t="shared" si="9"/>
        <v>2</v>
      </c>
      <c r="AM73" s="42">
        <f>IFERROR(LOOKUP(Z73,打分卡!$F$17:$H$17,打分卡!$K$17:$M$17),1)</f>
        <v>5</v>
      </c>
      <c r="AN73" s="46">
        <f>(打分卡!$D$7*AC73+打分卡!$D$8*AD73+打分卡!$D$9*AE73)/5</f>
        <v>30.6</v>
      </c>
      <c r="AO73" s="46">
        <f>(打分卡!$D$10*AF73+打分卡!$D$11*AG73)/5</f>
        <v>18</v>
      </c>
      <c r="AP73" s="46">
        <f>(打分卡!$D$12*AH73+打分卡!$D$13*AI73+打分卡!$D$14*AJ73+打分卡!$D$15*AK73)/5</f>
        <v>25.2</v>
      </c>
      <c r="AQ73" s="46">
        <f>(打分卡!$D$16*AL73+打分卡!$D$17*AM73)/5</f>
        <v>6.4</v>
      </c>
      <c r="AR73" s="48">
        <f t="shared" si="10"/>
        <v>80.2</v>
      </c>
      <c r="AS73" s="45" t="str">
        <f t="shared" si="11"/>
        <v>KA</v>
      </c>
      <c r="AT73" s="45" t="str">
        <f t="shared" si="12"/>
        <v/>
      </c>
      <c r="AU73" s="45" t="str">
        <f t="shared" si="13"/>
        <v>扩·深化：AI外呼场景深化+Push/企微补全</v>
      </c>
    </row>
    <row r="74" ht="15" customHeight="1" spans="1:47">
      <c r="A74" s="30" t="s">
        <v>419</v>
      </c>
      <c r="B74" s="31" t="s">
        <v>420</v>
      </c>
      <c r="C74" s="31" t="s">
        <v>223</v>
      </c>
      <c r="D74" s="31" t="s">
        <v>227</v>
      </c>
      <c r="E74" s="31" t="s">
        <v>181</v>
      </c>
      <c r="F74" s="30" t="s">
        <v>421</v>
      </c>
      <c r="G74" s="31">
        <v>22</v>
      </c>
      <c r="H74" s="31" t="s">
        <v>301</v>
      </c>
      <c r="I74" s="31" t="s">
        <v>302</v>
      </c>
      <c r="J74" s="33">
        <v>240400</v>
      </c>
      <c r="K74" s="33">
        <v>177500</v>
      </c>
      <c r="L74" s="33">
        <v>83700</v>
      </c>
      <c r="M74" s="33">
        <f t="shared" si="8"/>
        <v>501600</v>
      </c>
      <c r="N74" s="34">
        <f t="shared" si="14"/>
        <v>0.00262970815272439</v>
      </c>
      <c r="O74" s="35">
        <f>SUM($M$2:M74)</f>
        <v>118432900</v>
      </c>
      <c r="P74" s="34">
        <f t="shared" si="15"/>
        <v>0.620901042027098</v>
      </c>
      <c r="Q74" s="37">
        <v>68.4</v>
      </c>
      <c r="R74" s="31">
        <v>10</v>
      </c>
      <c r="S74" s="31">
        <v>4</v>
      </c>
      <c r="T74" s="31">
        <v>3</v>
      </c>
      <c r="U74" s="37">
        <v>25.5</v>
      </c>
      <c r="V74" s="31">
        <v>28</v>
      </c>
      <c r="W74" s="31">
        <v>9</v>
      </c>
      <c r="X74" s="38">
        <v>312</v>
      </c>
      <c r="Y74" s="31">
        <v>3</v>
      </c>
      <c r="Z74" s="31">
        <v>2</v>
      </c>
      <c r="AA74" s="31" t="s">
        <v>185</v>
      </c>
      <c r="AB74" s="31" t="s">
        <v>220</v>
      </c>
      <c r="AC74" s="41">
        <f>IFERROR(LOOKUP(M74,打分卡!$F$7:$J$7,打分卡!$K$7:$O$7),1)</f>
        <v>4</v>
      </c>
      <c r="AD74" s="41">
        <f>IFERROR(LOOKUP(S74,打分卡!$F$8:$J$8,打分卡!$K$8:$O$8),1)</f>
        <v>4</v>
      </c>
      <c r="AE74" s="41">
        <f>IFERROR(LOOKUP(T74,打分卡!$F$9:$I$9,打分卡!$K$9:$N$9),1)</f>
        <v>5</v>
      </c>
      <c r="AF74" s="41">
        <f>IFERROR(LOOKUP(Q74,打分卡!$F$10:$J$10,打分卡!$K$10:$O$10),1)</f>
        <v>5</v>
      </c>
      <c r="AG74" s="41">
        <f>IFERROR(LOOKUP(R74,打分卡!$F$11:$J$11,打分卡!$K$11:$O$11),1)</f>
        <v>4</v>
      </c>
      <c r="AH74" s="41">
        <f>IFERROR(LOOKUP(U74,打分卡!$F$12:$J$12,打分卡!$K$12:$O$12),1)</f>
        <v>3</v>
      </c>
      <c r="AI74" s="41">
        <f>IFERROR(LOOKUP(X74,打分卡!$F$13:$J$13,打分卡!$K$13:$O$13),1)</f>
        <v>5</v>
      </c>
      <c r="AJ74" s="41">
        <f>IFERROR(LOOKUP(Y74,打分卡!$F$14:$J$14,打分卡!$K$14:$O$14),1)</f>
        <v>4</v>
      </c>
      <c r="AK74" s="41">
        <f>IFERROR(LOOKUP(W74,打分卡!$F$15:$J$15,打分卡!$K$15:$O$15),1)</f>
        <v>4</v>
      </c>
      <c r="AL74" s="43">
        <f t="shared" si="9"/>
        <v>3</v>
      </c>
      <c r="AM74" s="41">
        <f>IFERROR(LOOKUP(Z74,打分卡!$F$17:$H$17,打分卡!$K$17:$M$17),1)</f>
        <v>5</v>
      </c>
      <c r="AN74" s="44">
        <f>(打分卡!$D$7*AC74+打分卡!$D$8*AD74+打分卡!$D$9*AE74)/5</f>
        <v>33.4</v>
      </c>
      <c r="AO74" s="44">
        <f>(打分卡!$D$10*AF74+打分卡!$D$11*AG74)/5</f>
        <v>18</v>
      </c>
      <c r="AP74" s="44">
        <f>(打分卡!$D$12*AH74+打分卡!$D$13*AI74+打分卡!$D$14*AJ74+打分卡!$D$15*AK74)/5</f>
        <v>23.2</v>
      </c>
      <c r="AQ74" s="44">
        <f>(打分卡!$D$16*AL74+打分卡!$D$17*AM74)/5</f>
        <v>7.6</v>
      </c>
      <c r="AR74" s="47">
        <f t="shared" si="10"/>
        <v>82.2</v>
      </c>
      <c r="AS74" s="43" t="str">
        <f t="shared" si="11"/>
        <v>KA</v>
      </c>
      <c r="AT74" s="43" t="str">
        <f t="shared" si="12"/>
        <v/>
      </c>
      <c r="AU74" s="43" t="str">
        <f t="shared" si="13"/>
        <v>扩·深化：AI外呼场景深化+Push/企微补全</v>
      </c>
    </row>
    <row r="75" ht="15" customHeight="1" spans="1:47">
      <c r="A75" s="20" t="s">
        <v>422</v>
      </c>
      <c r="B75" s="22" t="s">
        <v>423</v>
      </c>
      <c r="C75" s="22" t="s">
        <v>179</v>
      </c>
      <c r="D75" s="22" t="s">
        <v>196</v>
      </c>
      <c r="E75" s="22" t="s">
        <v>181</v>
      </c>
      <c r="F75" s="20" t="s">
        <v>424</v>
      </c>
      <c r="G75" s="22">
        <v>7</v>
      </c>
      <c r="H75" s="22" t="s">
        <v>301</v>
      </c>
      <c r="I75" s="22" t="s">
        <v>302</v>
      </c>
      <c r="J75" s="36">
        <v>274100</v>
      </c>
      <c r="K75" s="36">
        <v>118600</v>
      </c>
      <c r="L75" s="36">
        <v>104900</v>
      </c>
      <c r="M75" s="36">
        <f t="shared" si="8"/>
        <v>497600</v>
      </c>
      <c r="N75" s="34">
        <f t="shared" si="14"/>
        <v>0.00260873759329278</v>
      </c>
      <c r="O75" s="35">
        <f>SUM($M$2:M75)</f>
        <v>118930500</v>
      </c>
      <c r="P75" s="34">
        <f t="shared" si="15"/>
        <v>0.623509779620391</v>
      </c>
      <c r="Q75" s="39">
        <v>47.3</v>
      </c>
      <c r="R75" s="22">
        <v>9</v>
      </c>
      <c r="S75" s="22">
        <v>2</v>
      </c>
      <c r="T75" s="22">
        <v>1</v>
      </c>
      <c r="U75" s="39">
        <v>99.2</v>
      </c>
      <c r="V75" s="22">
        <v>22</v>
      </c>
      <c r="W75" s="22">
        <v>6</v>
      </c>
      <c r="X75" s="40">
        <v>690</v>
      </c>
      <c r="Y75" s="22">
        <v>5</v>
      </c>
      <c r="Z75" s="22">
        <v>2</v>
      </c>
      <c r="AA75" s="22" t="s">
        <v>185</v>
      </c>
      <c r="AB75" s="22" t="s">
        <v>220</v>
      </c>
      <c r="AC75" s="42">
        <f>IFERROR(LOOKUP(M75,打分卡!$F$7:$J$7,打分卡!$K$7:$O$7),1)</f>
        <v>4</v>
      </c>
      <c r="AD75" s="42">
        <f>IFERROR(LOOKUP(S75,打分卡!$F$8:$J$8,打分卡!$K$8:$O$8),1)</f>
        <v>2</v>
      </c>
      <c r="AE75" s="42">
        <f>IFERROR(LOOKUP(T75,打分卡!$F$9:$I$9,打分卡!$K$9:$N$9),1)</f>
        <v>2</v>
      </c>
      <c r="AF75" s="42">
        <f>IFERROR(LOOKUP(Q75,打分卡!$F$10:$J$10,打分卡!$K$10:$O$10),1)</f>
        <v>4</v>
      </c>
      <c r="AG75" s="42">
        <f>IFERROR(LOOKUP(R75,打分卡!$F$11:$J$11,打分卡!$K$11:$O$11),1)</f>
        <v>4</v>
      </c>
      <c r="AH75" s="42">
        <f>IFERROR(LOOKUP(U75,打分卡!$F$12:$J$12,打分卡!$K$12:$O$12),1)</f>
        <v>5</v>
      </c>
      <c r="AI75" s="42">
        <f>IFERROR(LOOKUP(X75,打分卡!$F$13:$J$13,打分卡!$K$13:$O$13),1)</f>
        <v>5</v>
      </c>
      <c r="AJ75" s="42">
        <f>IFERROR(LOOKUP(Y75,打分卡!$F$14:$J$14,打分卡!$K$14:$O$14),1)</f>
        <v>5</v>
      </c>
      <c r="AK75" s="42">
        <f>IFERROR(LOOKUP(W75,打分卡!$F$15:$J$15,打分卡!$K$15:$O$15),1)</f>
        <v>4</v>
      </c>
      <c r="AL75" s="45">
        <f t="shared" si="9"/>
        <v>3</v>
      </c>
      <c r="AM75" s="42">
        <f>IFERROR(LOOKUP(Z75,打分卡!$F$17:$H$17,打分卡!$K$17:$M$17),1)</f>
        <v>5</v>
      </c>
      <c r="AN75" s="46">
        <f>(打分卡!$D$7*AC75+打分卡!$D$8*AD75+打分卡!$D$9*AE75)/5</f>
        <v>26</v>
      </c>
      <c r="AO75" s="46">
        <f>(打分卡!$D$10*AF75+打分卡!$D$11*AG75)/5</f>
        <v>16</v>
      </c>
      <c r="AP75" s="46">
        <f>(打分卡!$D$12*AH75+打分卡!$D$13*AI75+打分卡!$D$14*AJ75+打分卡!$D$15*AK75)/5</f>
        <v>29.2</v>
      </c>
      <c r="AQ75" s="46">
        <f>(打分卡!$D$16*AL75+打分卡!$D$17*AM75)/5</f>
        <v>7.6</v>
      </c>
      <c r="AR75" s="48">
        <f t="shared" si="10"/>
        <v>78.8</v>
      </c>
      <c r="AS75" s="45" t="str">
        <f t="shared" si="11"/>
        <v>KA</v>
      </c>
      <c r="AT75" s="45" t="str">
        <f t="shared" si="12"/>
        <v/>
      </c>
      <c r="AU75" s="45" t="str">
        <f t="shared" si="13"/>
        <v>扩·深化：AI外呼场景深化+Push/企微补全</v>
      </c>
    </row>
    <row r="76" ht="15" customHeight="1" spans="1:47">
      <c r="A76" s="30" t="s">
        <v>425</v>
      </c>
      <c r="B76" s="31" t="s">
        <v>426</v>
      </c>
      <c r="C76" s="31" t="s">
        <v>218</v>
      </c>
      <c r="D76" s="31" t="s">
        <v>202</v>
      </c>
      <c r="E76" s="31" t="s">
        <v>197</v>
      </c>
      <c r="F76" s="30" t="s">
        <v>427</v>
      </c>
      <c r="G76" s="31">
        <v>20</v>
      </c>
      <c r="H76" s="31" t="s">
        <v>192</v>
      </c>
      <c r="I76" s="31" t="s">
        <v>302</v>
      </c>
      <c r="J76" s="33">
        <v>242600</v>
      </c>
      <c r="K76" s="33">
        <v>108200</v>
      </c>
      <c r="L76" s="33">
        <v>126300</v>
      </c>
      <c r="M76" s="33">
        <f t="shared" si="8"/>
        <v>477100</v>
      </c>
      <c r="N76" s="34">
        <f t="shared" si="14"/>
        <v>0.00250126347620575</v>
      </c>
      <c r="O76" s="35">
        <f>SUM($M$2:M76)</f>
        <v>119407600</v>
      </c>
      <c r="P76" s="34">
        <f t="shared" si="15"/>
        <v>0.626011043096597</v>
      </c>
      <c r="Q76" s="37">
        <v>57.2</v>
      </c>
      <c r="R76" s="31">
        <v>16</v>
      </c>
      <c r="S76" s="31">
        <v>4</v>
      </c>
      <c r="T76" s="31">
        <v>1</v>
      </c>
      <c r="U76" s="37">
        <v>191</v>
      </c>
      <c r="V76" s="31">
        <v>25</v>
      </c>
      <c r="W76" s="31">
        <v>2</v>
      </c>
      <c r="X76" s="38">
        <v>133</v>
      </c>
      <c r="Y76" s="31">
        <v>5</v>
      </c>
      <c r="Z76" s="31">
        <v>2</v>
      </c>
      <c r="AA76" s="31" t="s">
        <v>315</v>
      </c>
      <c r="AB76" s="31" t="s">
        <v>220</v>
      </c>
      <c r="AC76" s="41">
        <f>IFERROR(LOOKUP(M76,打分卡!$F$7:$J$7,打分卡!$K$7:$O$7),1)</f>
        <v>4</v>
      </c>
      <c r="AD76" s="41">
        <f>IFERROR(LOOKUP(S76,打分卡!$F$8:$J$8,打分卡!$K$8:$O$8),1)</f>
        <v>4</v>
      </c>
      <c r="AE76" s="41">
        <f>IFERROR(LOOKUP(T76,打分卡!$F$9:$I$9,打分卡!$K$9:$N$9),1)</f>
        <v>2</v>
      </c>
      <c r="AF76" s="41">
        <f>IFERROR(LOOKUP(Q76,打分卡!$F$10:$J$10,打分卡!$K$10:$O$10),1)</f>
        <v>5</v>
      </c>
      <c r="AG76" s="41">
        <f>IFERROR(LOOKUP(R76,打分卡!$F$11:$J$11,打分卡!$K$11:$O$11),1)</f>
        <v>5</v>
      </c>
      <c r="AH76" s="41">
        <f>IFERROR(LOOKUP(U76,打分卡!$F$12:$J$12,打分卡!$K$12:$O$12),1)</f>
        <v>5</v>
      </c>
      <c r="AI76" s="41">
        <f>IFERROR(LOOKUP(X76,打分卡!$F$13:$J$13,打分卡!$K$13:$O$13),1)</f>
        <v>4</v>
      </c>
      <c r="AJ76" s="41">
        <f>IFERROR(LOOKUP(Y76,打分卡!$F$14:$J$14,打分卡!$K$14:$O$14),1)</f>
        <v>5</v>
      </c>
      <c r="AK76" s="41">
        <f>IFERROR(LOOKUP(W76,打分卡!$F$15:$J$15,打分卡!$K$15:$O$15),1)</f>
        <v>2</v>
      </c>
      <c r="AL76" s="43">
        <f t="shared" si="9"/>
        <v>2</v>
      </c>
      <c r="AM76" s="41">
        <f>IFERROR(LOOKUP(Z76,打分卡!$F$17:$H$17,打分卡!$K$17:$M$17),1)</f>
        <v>5</v>
      </c>
      <c r="AN76" s="44">
        <f>(打分卡!$D$7*AC76+打分卡!$D$8*AD76+打分卡!$D$9*AE76)/5</f>
        <v>29.2</v>
      </c>
      <c r="AO76" s="44">
        <f>(打分卡!$D$10*AF76+打分卡!$D$11*AG76)/5</f>
        <v>20</v>
      </c>
      <c r="AP76" s="44">
        <f>(打分卡!$D$12*AH76+打分卡!$D$13*AI76+打分卡!$D$14*AJ76+打分卡!$D$15*AK76)/5</f>
        <v>26</v>
      </c>
      <c r="AQ76" s="44">
        <f>(打分卡!$D$16*AL76+打分卡!$D$17*AM76)/5</f>
        <v>6.4</v>
      </c>
      <c r="AR76" s="47">
        <f t="shared" si="10"/>
        <v>81.6</v>
      </c>
      <c r="AS76" s="43" t="str">
        <f t="shared" si="11"/>
        <v>KA</v>
      </c>
      <c r="AT76" s="43" t="str">
        <f t="shared" si="12"/>
        <v/>
      </c>
      <c r="AU76" s="43" t="str">
        <f t="shared" si="13"/>
        <v>扩·深化：AI外呼场景深化+Push/企微补全</v>
      </c>
    </row>
    <row r="77" ht="15" customHeight="1" spans="1:47">
      <c r="A77" s="20" t="s">
        <v>428</v>
      </c>
      <c r="B77" s="22" t="s">
        <v>429</v>
      </c>
      <c r="C77" s="22" t="s">
        <v>223</v>
      </c>
      <c r="D77" s="22" t="s">
        <v>202</v>
      </c>
      <c r="E77" s="22" t="s">
        <v>197</v>
      </c>
      <c r="F77" s="20" t="s">
        <v>430</v>
      </c>
      <c r="G77" s="22">
        <v>20</v>
      </c>
      <c r="H77" s="22" t="s">
        <v>301</v>
      </c>
      <c r="I77" s="22" t="s">
        <v>302</v>
      </c>
      <c r="J77" s="36">
        <v>233600</v>
      </c>
      <c r="K77" s="36">
        <v>157100</v>
      </c>
      <c r="L77" s="36">
        <v>69900</v>
      </c>
      <c r="M77" s="36">
        <f t="shared" si="8"/>
        <v>460600</v>
      </c>
      <c r="N77" s="34">
        <f t="shared" si="14"/>
        <v>0.00241475991855035</v>
      </c>
      <c r="O77" s="35">
        <f>SUM($M$2:M77)</f>
        <v>119868200</v>
      </c>
      <c r="P77" s="34">
        <f t="shared" si="15"/>
        <v>0.628425803015147</v>
      </c>
      <c r="Q77" s="39">
        <v>40.9</v>
      </c>
      <c r="R77" s="22">
        <v>6</v>
      </c>
      <c r="S77" s="22">
        <v>3</v>
      </c>
      <c r="T77" s="22">
        <v>3</v>
      </c>
      <c r="U77" s="39">
        <v>40</v>
      </c>
      <c r="V77" s="22">
        <v>12</v>
      </c>
      <c r="W77" s="22">
        <v>8</v>
      </c>
      <c r="X77" s="40">
        <v>216</v>
      </c>
      <c r="Y77" s="22">
        <v>5</v>
      </c>
      <c r="Z77" s="22">
        <v>0</v>
      </c>
      <c r="AA77" s="22" t="s">
        <v>199</v>
      </c>
      <c r="AB77" s="22" t="s">
        <v>220</v>
      </c>
      <c r="AC77" s="42">
        <f>IFERROR(LOOKUP(M77,打分卡!$F$7:$J$7,打分卡!$K$7:$O$7),1)</f>
        <v>4</v>
      </c>
      <c r="AD77" s="42">
        <f>IFERROR(LOOKUP(S77,打分卡!$F$8:$J$8,打分卡!$K$8:$O$8),1)</f>
        <v>3</v>
      </c>
      <c r="AE77" s="42">
        <f>IFERROR(LOOKUP(T77,打分卡!$F$9:$I$9,打分卡!$K$9:$N$9),1)</f>
        <v>5</v>
      </c>
      <c r="AF77" s="42">
        <f>IFERROR(LOOKUP(Q77,打分卡!$F$10:$J$10,打分卡!$K$10:$O$10),1)</f>
        <v>4</v>
      </c>
      <c r="AG77" s="42">
        <f>IFERROR(LOOKUP(R77,打分卡!$F$11:$J$11,打分卡!$K$11:$O$11),1)</f>
        <v>3</v>
      </c>
      <c r="AH77" s="42">
        <f>IFERROR(LOOKUP(U77,打分卡!$F$12:$J$12,打分卡!$K$12:$O$12),1)</f>
        <v>4</v>
      </c>
      <c r="AI77" s="42">
        <f>IFERROR(LOOKUP(X77,打分卡!$F$13:$J$13,打分卡!$K$13:$O$13),1)</f>
        <v>5</v>
      </c>
      <c r="AJ77" s="42">
        <f>IFERROR(LOOKUP(Y77,打分卡!$F$14:$J$14,打分卡!$K$14:$O$14),1)</f>
        <v>5</v>
      </c>
      <c r="AK77" s="42">
        <f>IFERROR(LOOKUP(W77,打分卡!$F$15:$J$15,打分卡!$K$15:$O$15),1)</f>
        <v>4</v>
      </c>
      <c r="AL77" s="45">
        <f t="shared" si="9"/>
        <v>5</v>
      </c>
      <c r="AM77" s="42">
        <f>IFERROR(LOOKUP(Z77,打分卡!$F$17:$H$17,打分卡!$K$17:$M$17),1)</f>
        <v>1</v>
      </c>
      <c r="AN77" s="46">
        <f>(打分卡!$D$7*AC77+打分卡!$D$8*AD77+打分卡!$D$9*AE77)/5</f>
        <v>31.8</v>
      </c>
      <c r="AO77" s="46">
        <f>(打分卡!$D$10*AF77+打分卡!$D$11*AG77)/5</f>
        <v>14</v>
      </c>
      <c r="AP77" s="46">
        <f>(打分卡!$D$12*AH77+打分卡!$D$13*AI77+打分卡!$D$14*AJ77+打分卡!$D$15*AK77)/5</f>
        <v>26.8</v>
      </c>
      <c r="AQ77" s="46">
        <f>(打分卡!$D$16*AL77+打分卡!$D$17*AM77)/5</f>
        <v>6.8</v>
      </c>
      <c r="AR77" s="48">
        <f t="shared" si="10"/>
        <v>79.4</v>
      </c>
      <c r="AS77" s="45" t="str">
        <f t="shared" si="11"/>
        <v>KA</v>
      </c>
      <c r="AT77" s="45" t="str">
        <f t="shared" si="12"/>
        <v/>
      </c>
      <c r="AU77" s="45" t="str">
        <f t="shared" si="13"/>
        <v>扩·深化：AI外呼场景深化+Push/企微补全</v>
      </c>
    </row>
    <row r="78" ht="15" customHeight="1" spans="1:47">
      <c r="A78" s="30" t="s">
        <v>431</v>
      </c>
      <c r="B78" s="31" t="s">
        <v>432</v>
      </c>
      <c r="C78" s="31" t="s">
        <v>218</v>
      </c>
      <c r="D78" s="31" t="s">
        <v>202</v>
      </c>
      <c r="E78" s="31" t="s">
        <v>181</v>
      </c>
      <c r="F78" s="30" t="s">
        <v>433</v>
      </c>
      <c r="G78" s="31">
        <v>30</v>
      </c>
      <c r="H78" s="31" t="s">
        <v>183</v>
      </c>
      <c r="I78" s="31" t="s">
        <v>184</v>
      </c>
      <c r="J78" s="33">
        <v>234100</v>
      </c>
      <c r="K78" s="33">
        <v>154400</v>
      </c>
      <c r="L78" s="33">
        <v>69900</v>
      </c>
      <c r="M78" s="33">
        <f t="shared" si="8"/>
        <v>458400</v>
      </c>
      <c r="N78" s="34">
        <f t="shared" si="14"/>
        <v>0.00240322611086296</v>
      </c>
      <c r="O78" s="35">
        <f>SUM($M$2:M78)</f>
        <v>120326600</v>
      </c>
      <c r="P78" s="34">
        <f t="shared" si="15"/>
        <v>0.63082902912601</v>
      </c>
      <c r="Q78" s="37">
        <v>39.4</v>
      </c>
      <c r="R78" s="31">
        <v>7</v>
      </c>
      <c r="S78" s="31">
        <v>2</v>
      </c>
      <c r="T78" s="31">
        <v>1</v>
      </c>
      <c r="U78" s="37">
        <v>24.6</v>
      </c>
      <c r="V78" s="31">
        <v>16</v>
      </c>
      <c r="W78" s="31">
        <v>3</v>
      </c>
      <c r="X78" s="38">
        <v>434</v>
      </c>
      <c r="Y78" s="31">
        <v>5</v>
      </c>
      <c r="Z78" s="31">
        <v>1</v>
      </c>
      <c r="AA78" s="31" t="s">
        <v>199</v>
      </c>
      <c r="AB78" s="31" t="s">
        <v>220</v>
      </c>
      <c r="AC78" s="41">
        <f>IFERROR(LOOKUP(M78,打分卡!$F$7:$J$7,打分卡!$K$7:$O$7),1)</f>
        <v>4</v>
      </c>
      <c r="AD78" s="41">
        <f>IFERROR(LOOKUP(S78,打分卡!$F$8:$J$8,打分卡!$K$8:$O$8),1)</f>
        <v>2</v>
      </c>
      <c r="AE78" s="41">
        <f>IFERROR(LOOKUP(T78,打分卡!$F$9:$I$9,打分卡!$K$9:$N$9),1)</f>
        <v>2</v>
      </c>
      <c r="AF78" s="41">
        <f>IFERROR(LOOKUP(Q78,打分卡!$F$10:$J$10,打分卡!$K$10:$O$10),1)</f>
        <v>4</v>
      </c>
      <c r="AG78" s="41">
        <f>IFERROR(LOOKUP(R78,打分卡!$F$11:$J$11,打分卡!$K$11:$O$11),1)</f>
        <v>3</v>
      </c>
      <c r="AH78" s="41">
        <f>IFERROR(LOOKUP(U78,打分卡!$F$12:$J$12,打分卡!$K$12:$O$12),1)</f>
        <v>3</v>
      </c>
      <c r="AI78" s="41">
        <f>IFERROR(LOOKUP(X78,打分卡!$F$13:$J$13,打分卡!$K$13:$O$13),1)</f>
        <v>5</v>
      </c>
      <c r="AJ78" s="41">
        <f>IFERROR(LOOKUP(Y78,打分卡!$F$14:$J$14,打分卡!$K$14:$O$14),1)</f>
        <v>5</v>
      </c>
      <c r="AK78" s="41">
        <f>IFERROR(LOOKUP(W78,打分卡!$F$15:$J$15,打分卡!$K$15:$O$15),1)</f>
        <v>3</v>
      </c>
      <c r="AL78" s="43">
        <f t="shared" si="9"/>
        <v>5</v>
      </c>
      <c r="AM78" s="41">
        <f>IFERROR(LOOKUP(Z78,打分卡!$F$17:$H$17,打分卡!$K$17:$M$17),1)</f>
        <v>3</v>
      </c>
      <c r="AN78" s="44">
        <f>(打分卡!$D$7*AC78+打分卡!$D$8*AD78+打分卡!$D$9*AE78)/5</f>
        <v>26</v>
      </c>
      <c r="AO78" s="44">
        <f>(打分卡!$D$10*AF78+打分卡!$D$11*AG78)/5</f>
        <v>14</v>
      </c>
      <c r="AP78" s="44">
        <f>(打分卡!$D$12*AH78+打分卡!$D$13*AI78+打分卡!$D$14*AJ78+打分卡!$D$15*AK78)/5</f>
        <v>23.6</v>
      </c>
      <c r="AQ78" s="44">
        <f>(打分卡!$D$16*AL78+打分卡!$D$17*AM78)/5</f>
        <v>8.4</v>
      </c>
      <c r="AR78" s="47">
        <f t="shared" si="10"/>
        <v>72</v>
      </c>
      <c r="AS78" s="43" t="str">
        <f t="shared" si="11"/>
        <v>腰部</v>
      </c>
      <c r="AT78" s="43" t="str">
        <f t="shared" si="12"/>
        <v/>
      </c>
      <c r="AU78" s="43" t="str">
        <f t="shared" si="13"/>
        <v>拉·主攻：主推AI外呼+大促作战包</v>
      </c>
    </row>
    <row r="79" ht="15" customHeight="1" spans="1:47">
      <c r="A79" s="20" t="s">
        <v>434</v>
      </c>
      <c r="B79" s="22" t="s">
        <v>435</v>
      </c>
      <c r="C79" s="22" t="s">
        <v>223</v>
      </c>
      <c r="D79" s="22" t="s">
        <v>202</v>
      </c>
      <c r="E79" s="22" t="s">
        <v>197</v>
      </c>
      <c r="F79" s="20" t="s">
        <v>436</v>
      </c>
      <c r="G79" s="22">
        <v>19</v>
      </c>
      <c r="H79" s="22" t="s">
        <v>183</v>
      </c>
      <c r="I79" s="22" t="s">
        <v>302</v>
      </c>
      <c r="J79" s="36">
        <v>210800</v>
      </c>
      <c r="K79" s="36">
        <v>106900</v>
      </c>
      <c r="L79" s="36">
        <v>140200</v>
      </c>
      <c r="M79" s="36">
        <f t="shared" si="8"/>
        <v>457900</v>
      </c>
      <c r="N79" s="34">
        <f t="shared" si="14"/>
        <v>0.00240060479093401</v>
      </c>
      <c r="O79" s="35">
        <f>SUM($M$2:M79)</f>
        <v>120784500</v>
      </c>
      <c r="P79" s="34">
        <f t="shared" si="15"/>
        <v>0.633229633916944</v>
      </c>
      <c r="Q79" s="39">
        <v>68.5</v>
      </c>
      <c r="R79" s="22">
        <v>6</v>
      </c>
      <c r="S79" s="22">
        <v>2</v>
      </c>
      <c r="T79" s="22">
        <v>1</v>
      </c>
      <c r="U79" s="39">
        <v>255.7</v>
      </c>
      <c r="V79" s="22">
        <v>8</v>
      </c>
      <c r="W79" s="22">
        <v>3</v>
      </c>
      <c r="X79" s="40">
        <v>541</v>
      </c>
      <c r="Y79" s="22">
        <v>3</v>
      </c>
      <c r="Z79" s="22">
        <v>1</v>
      </c>
      <c r="AA79" s="22" t="s">
        <v>199</v>
      </c>
      <c r="AB79" s="22" t="s">
        <v>220</v>
      </c>
      <c r="AC79" s="42">
        <f>IFERROR(LOOKUP(M79,打分卡!$F$7:$J$7,打分卡!$K$7:$O$7),1)</f>
        <v>4</v>
      </c>
      <c r="AD79" s="42">
        <f>IFERROR(LOOKUP(S79,打分卡!$F$8:$J$8,打分卡!$K$8:$O$8),1)</f>
        <v>2</v>
      </c>
      <c r="AE79" s="42">
        <f>IFERROR(LOOKUP(T79,打分卡!$F$9:$I$9,打分卡!$K$9:$N$9),1)</f>
        <v>2</v>
      </c>
      <c r="AF79" s="42">
        <f>IFERROR(LOOKUP(Q79,打分卡!$F$10:$J$10,打分卡!$K$10:$O$10),1)</f>
        <v>5</v>
      </c>
      <c r="AG79" s="42">
        <f>IFERROR(LOOKUP(R79,打分卡!$F$11:$J$11,打分卡!$K$11:$O$11),1)</f>
        <v>3</v>
      </c>
      <c r="AH79" s="42">
        <f>IFERROR(LOOKUP(U79,打分卡!$F$12:$J$12,打分卡!$K$12:$O$12),1)</f>
        <v>5</v>
      </c>
      <c r="AI79" s="42">
        <f>IFERROR(LOOKUP(X79,打分卡!$F$13:$J$13,打分卡!$K$13:$O$13),1)</f>
        <v>5</v>
      </c>
      <c r="AJ79" s="42">
        <f>IFERROR(LOOKUP(Y79,打分卡!$F$14:$J$14,打分卡!$K$14:$O$14),1)</f>
        <v>4</v>
      </c>
      <c r="AK79" s="42">
        <f>IFERROR(LOOKUP(W79,打分卡!$F$15:$J$15,打分卡!$K$15:$O$15),1)</f>
        <v>3</v>
      </c>
      <c r="AL79" s="45">
        <f t="shared" si="9"/>
        <v>5</v>
      </c>
      <c r="AM79" s="42">
        <f>IFERROR(LOOKUP(Z79,打分卡!$F$17:$H$17,打分卡!$K$17:$M$17),1)</f>
        <v>3</v>
      </c>
      <c r="AN79" s="46">
        <f>(打分卡!$D$7*AC79+打分卡!$D$8*AD79+打分卡!$D$9*AE79)/5</f>
        <v>26</v>
      </c>
      <c r="AO79" s="46">
        <f>(打分卡!$D$10*AF79+打分卡!$D$11*AG79)/5</f>
        <v>16</v>
      </c>
      <c r="AP79" s="46">
        <f>(打分卡!$D$12*AH79+打分卡!$D$13*AI79+打分卡!$D$14*AJ79+打分卡!$D$15*AK79)/5</f>
        <v>27.2</v>
      </c>
      <c r="AQ79" s="46">
        <f>(打分卡!$D$16*AL79+打分卡!$D$17*AM79)/5</f>
        <v>8.4</v>
      </c>
      <c r="AR79" s="48">
        <f t="shared" si="10"/>
        <v>77.6</v>
      </c>
      <c r="AS79" s="45" t="str">
        <f t="shared" si="11"/>
        <v>KA</v>
      </c>
      <c r="AT79" s="45" t="str">
        <f t="shared" si="12"/>
        <v/>
      </c>
      <c r="AU79" s="45" t="str">
        <f t="shared" si="13"/>
        <v>扩·深化：AI外呼场景深化+Push/企微补全</v>
      </c>
    </row>
    <row r="80" ht="15" customHeight="1" spans="1:47">
      <c r="A80" s="30" t="s">
        <v>437</v>
      </c>
      <c r="B80" s="31" t="s">
        <v>438</v>
      </c>
      <c r="C80" s="31" t="s">
        <v>179</v>
      </c>
      <c r="D80" s="31" t="s">
        <v>235</v>
      </c>
      <c r="E80" s="31" t="s">
        <v>181</v>
      </c>
      <c r="F80" s="30" t="s">
        <v>439</v>
      </c>
      <c r="G80" s="31">
        <v>22</v>
      </c>
      <c r="H80" s="31" t="s">
        <v>301</v>
      </c>
      <c r="I80" s="31" t="s">
        <v>302</v>
      </c>
      <c r="J80" s="33">
        <v>237900</v>
      </c>
      <c r="K80" s="33">
        <v>90200</v>
      </c>
      <c r="L80" s="33">
        <v>119900</v>
      </c>
      <c r="M80" s="33">
        <f t="shared" si="8"/>
        <v>448000</v>
      </c>
      <c r="N80" s="34">
        <f t="shared" si="14"/>
        <v>0.00234870265634076</v>
      </c>
      <c r="O80" s="35">
        <f>SUM($M$2:M80)</f>
        <v>121232500</v>
      </c>
      <c r="P80" s="34">
        <f t="shared" si="15"/>
        <v>0.635578336573285</v>
      </c>
      <c r="Q80" s="37">
        <v>57.9</v>
      </c>
      <c r="R80" s="31">
        <v>12</v>
      </c>
      <c r="S80" s="31">
        <v>2</v>
      </c>
      <c r="T80" s="31">
        <v>3</v>
      </c>
      <c r="U80" s="37">
        <v>24.6</v>
      </c>
      <c r="V80" s="31">
        <v>18</v>
      </c>
      <c r="W80" s="31">
        <v>9</v>
      </c>
      <c r="X80" s="38">
        <v>145</v>
      </c>
      <c r="Y80" s="31">
        <v>4</v>
      </c>
      <c r="Z80" s="31">
        <v>0</v>
      </c>
      <c r="AA80" s="31" t="s">
        <v>199</v>
      </c>
      <c r="AB80" s="31" t="s">
        <v>220</v>
      </c>
      <c r="AC80" s="41">
        <f>IFERROR(LOOKUP(M80,打分卡!$F$7:$J$7,打分卡!$K$7:$O$7),1)</f>
        <v>4</v>
      </c>
      <c r="AD80" s="41">
        <f>IFERROR(LOOKUP(S80,打分卡!$F$8:$J$8,打分卡!$K$8:$O$8),1)</f>
        <v>2</v>
      </c>
      <c r="AE80" s="41">
        <f>IFERROR(LOOKUP(T80,打分卡!$F$9:$I$9,打分卡!$K$9:$N$9),1)</f>
        <v>5</v>
      </c>
      <c r="AF80" s="41">
        <f>IFERROR(LOOKUP(Q80,打分卡!$F$10:$J$10,打分卡!$K$10:$O$10),1)</f>
        <v>5</v>
      </c>
      <c r="AG80" s="41">
        <f>IFERROR(LOOKUP(R80,打分卡!$F$11:$J$11,打分卡!$K$11:$O$11),1)</f>
        <v>4</v>
      </c>
      <c r="AH80" s="41">
        <f>IFERROR(LOOKUP(U80,打分卡!$F$12:$J$12,打分卡!$K$12:$O$12),1)</f>
        <v>3</v>
      </c>
      <c r="AI80" s="41">
        <f>IFERROR(LOOKUP(X80,打分卡!$F$13:$J$13,打分卡!$K$13:$O$13),1)</f>
        <v>4</v>
      </c>
      <c r="AJ80" s="41">
        <f>IFERROR(LOOKUP(Y80,打分卡!$F$14:$J$14,打分卡!$K$14:$O$14),1)</f>
        <v>4</v>
      </c>
      <c r="AK80" s="41">
        <f>IFERROR(LOOKUP(W80,打分卡!$F$15:$J$15,打分卡!$K$15:$O$15),1)</f>
        <v>4</v>
      </c>
      <c r="AL80" s="43">
        <f t="shared" si="9"/>
        <v>5</v>
      </c>
      <c r="AM80" s="41">
        <f>IFERROR(LOOKUP(Z80,打分卡!$F$17:$H$17,打分卡!$K$17:$M$17),1)</f>
        <v>1</v>
      </c>
      <c r="AN80" s="44">
        <f>(打分卡!$D$7*AC80+打分卡!$D$8*AD80+打分卡!$D$9*AE80)/5</f>
        <v>30.2</v>
      </c>
      <c r="AO80" s="44">
        <f>(打分卡!$D$10*AF80+打分卡!$D$11*AG80)/5</f>
        <v>18</v>
      </c>
      <c r="AP80" s="44">
        <f>(打分卡!$D$12*AH80+打分卡!$D$13*AI80+打分卡!$D$14*AJ80+打分卡!$D$15*AK80)/5</f>
        <v>21.6</v>
      </c>
      <c r="AQ80" s="44">
        <f>(打分卡!$D$16*AL80+打分卡!$D$17*AM80)/5</f>
        <v>6.8</v>
      </c>
      <c r="AR80" s="47">
        <f t="shared" si="10"/>
        <v>76.6</v>
      </c>
      <c r="AS80" s="43" t="str">
        <f t="shared" si="11"/>
        <v>KA</v>
      </c>
      <c r="AT80" s="43" t="str">
        <f t="shared" si="12"/>
        <v/>
      </c>
      <c r="AU80" s="43" t="str">
        <f t="shared" si="13"/>
        <v>扩·深化：AI外呼场景深化+Push/企微补全</v>
      </c>
    </row>
    <row r="81" ht="15" customHeight="1" spans="1:47">
      <c r="A81" s="20" t="s">
        <v>440</v>
      </c>
      <c r="B81" s="22" t="s">
        <v>441</v>
      </c>
      <c r="C81" s="22" t="s">
        <v>189</v>
      </c>
      <c r="D81" s="22" t="s">
        <v>235</v>
      </c>
      <c r="E81" s="22" t="s">
        <v>181</v>
      </c>
      <c r="F81" s="20" t="s">
        <v>442</v>
      </c>
      <c r="G81" s="22">
        <v>28</v>
      </c>
      <c r="H81" s="22" t="s">
        <v>183</v>
      </c>
      <c r="I81" s="22" t="s">
        <v>302</v>
      </c>
      <c r="J81" s="36">
        <v>266700</v>
      </c>
      <c r="K81" s="36">
        <v>113000</v>
      </c>
      <c r="L81" s="36">
        <v>42700</v>
      </c>
      <c r="M81" s="36">
        <f t="shared" si="8"/>
        <v>422400</v>
      </c>
      <c r="N81" s="34">
        <f t="shared" si="14"/>
        <v>0.00221449107597843</v>
      </c>
      <c r="O81" s="35">
        <f>SUM($M$2:M81)</f>
        <v>121654900</v>
      </c>
      <c r="P81" s="34">
        <f t="shared" si="15"/>
        <v>0.637792827649263</v>
      </c>
      <c r="Q81" s="39">
        <v>58.9</v>
      </c>
      <c r="R81" s="22">
        <v>18</v>
      </c>
      <c r="S81" s="22">
        <v>3</v>
      </c>
      <c r="T81" s="22">
        <v>2</v>
      </c>
      <c r="U81" s="39">
        <v>145</v>
      </c>
      <c r="V81" s="22">
        <v>14</v>
      </c>
      <c r="W81" s="22">
        <v>2</v>
      </c>
      <c r="X81" s="40">
        <v>103</v>
      </c>
      <c r="Y81" s="22">
        <v>4</v>
      </c>
      <c r="Z81" s="22">
        <v>1</v>
      </c>
      <c r="AA81" s="22" t="s">
        <v>315</v>
      </c>
      <c r="AB81" s="22" t="s">
        <v>220</v>
      </c>
      <c r="AC81" s="42">
        <f>IFERROR(LOOKUP(M81,打分卡!$F$7:$J$7,打分卡!$K$7:$O$7),1)</f>
        <v>4</v>
      </c>
      <c r="AD81" s="42">
        <f>IFERROR(LOOKUP(S81,打分卡!$F$8:$J$8,打分卡!$K$8:$O$8),1)</f>
        <v>3</v>
      </c>
      <c r="AE81" s="42">
        <f>IFERROR(LOOKUP(T81,打分卡!$F$9:$I$9,打分卡!$K$9:$N$9),1)</f>
        <v>3</v>
      </c>
      <c r="AF81" s="42">
        <f>IFERROR(LOOKUP(Q81,打分卡!$F$10:$J$10,打分卡!$K$10:$O$10),1)</f>
        <v>5</v>
      </c>
      <c r="AG81" s="42">
        <f>IFERROR(LOOKUP(R81,打分卡!$F$11:$J$11,打分卡!$K$11:$O$11),1)</f>
        <v>5</v>
      </c>
      <c r="AH81" s="42">
        <f>IFERROR(LOOKUP(U81,打分卡!$F$12:$J$12,打分卡!$K$12:$O$12),1)</f>
        <v>5</v>
      </c>
      <c r="AI81" s="42">
        <f>IFERROR(LOOKUP(X81,打分卡!$F$13:$J$13,打分卡!$K$13:$O$13),1)</f>
        <v>4</v>
      </c>
      <c r="AJ81" s="42">
        <f>IFERROR(LOOKUP(Y81,打分卡!$F$14:$J$14,打分卡!$K$14:$O$14),1)</f>
        <v>4</v>
      </c>
      <c r="AK81" s="42">
        <f>IFERROR(LOOKUP(W81,打分卡!$F$15:$J$15,打分卡!$K$15:$O$15),1)</f>
        <v>2</v>
      </c>
      <c r="AL81" s="45">
        <f t="shared" si="9"/>
        <v>2</v>
      </c>
      <c r="AM81" s="42">
        <f>IFERROR(LOOKUP(Z81,打分卡!$F$17:$H$17,打分卡!$K$17:$M$17),1)</f>
        <v>3</v>
      </c>
      <c r="AN81" s="46">
        <f>(打分卡!$D$7*AC81+打分卡!$D$8*AD81+打分卡!$D$9*AE81)/5</f>
        <v>29</v>
      </c>
      <c r="AO81" s="46">
        <f>(打分卡!$D$10*AF81+打分卡!$D$11*AG81)/5</f>
        <v>20</v>
      </c>
      <c r="AP81" s="46">
        <f>(打分卡!$D$12*AH81+打分卡!$D$13*AI81+打分卡!$D$14*AJ81+打分卡!$D$15*AK81)/5</f>
        <v>24.8</v>
      </c>
      <c r="AQ81" s="46">
        <f>(打分卡!$D$16*AL81+打分卡!$D$17*AM81)/5</f>
        <v>4.8</v>
      </c>
      <c r="AR81" s="48">
        <f t="shared" si="10"/>
        <v>78.6</v>
      </c>
      <c r="AS81" s="45" t="str">
        <f t="shared" si="11"/>
        <v>KA</v>
      </c>
      <c r="AT81" s="45" t="str">
        <f t="shared" si="12"/>
        <v/>
      </c>
      <c r="AU81" s="45" t="str">
        <f t="shared" si="13"/>
        <v>扩·深化：AI外呼场景深化+Push/企微补全</v>
      </c>
    </row>
    <row r="82" ht="15" customHeight="1" spans="1:47">
      <c r="A82" s="30" t="s">
        <v>443</v>
      </c>
      <c r="B82" s="31" t="s">
        <v>444</v>
      </c>
      <c r="C82" s="31" t="s">
        <v>195</v>
      </c>
      <c r="D82" s="31" t="s">
        <v>190</v>
      </c>
      <c r="E82" s="31" t="s">
        <v>181</v>
      </c>
      <c r="F82" s="30" t="s">
        <v>445</v>
      </c>
      <c r="G82" s="31">
        <v>21</v>
      </c>
      <c r="H82" s="31" t="s">
        <v>192</v>
      </c>
      <c r="I82" s="31" t="s">
        <v>302</v>
      </c>
      <c r="J82" s="33">
        <v>267400</v>
      </c>
      <c r="K82" s="33">
        <v>83700</v>
      </c>
      <c r="L82" s="33">
        <v>64900</v>
      </c>
      <c r="M82" s="33">
        <f t="shared" si="8"/>
        <v>416000</v>
      </c>
      <c r="N82" s="34">
        <f t="shared" si="14"/>
        <v>0.00218093818088785</v>
      </c>
      <c r="O82" s="35">
        <f>SUM($M$2:M82)</f>
        <v>122070900</v>
      </c>
      <c r="P82" s="34">
        <f t="shared" si="15"/>
        <v>0.639973765830151</v>
      </c>
      <c r="Q82" s="37">
        <v>41.4</v>
      </c>
      <c r="R82" s="31">
        <v>14</v>
      </c>
      <c r="S82" s="31">
        <v>3</v>
      </c>
      <c r="T82" s="31">
        <v>1</v>
      </c>
      <c r="U82" s="37">
        <v>78.6</v>
      </c>
      <c r="V82" s="31">
        <v>36</v>
      </c>
      <c r="W82" s="31">
        <v>3</v>
      </c>
      <c r="X82" s="38">
        <v>352</v>
      </c>
      <c r="Y82" s="31">
        <v>5</v>
      </c>
      <c r="Z82" s="31">
        <v>0</v>
      </c>
      <c r="AA82" s="31" t="s">
        <v>199</v>
      </c>
      <c r="AB82" s="31" t="s">
        <v>220</v>
      </c>
      <c r="AC82" s="41">
        <f>IFERROR(LOOKUP(M82,打分卡!$F$7:$J$7,打分卡!$K$7:$O$7),1)</f>
        <v>4</v>
      </c>
      <c r="AD82" s="41">
        <f>IFERROR(LOOKUP(S82,打分卡!$F$8:$J$8,打分卡!$K$8:$O$8),1)</f>
        <v>3</v>
      </c>
      <c r="AE82" s="41">
        <f>IFERROR(LOOKUP(T82,打分卡!$F$9:$I$9,打分卡!$K$9:$N$9),1)</f>
        <v>2</v>
      </c>
      <c r="AF82" s="41">
        <f>IFERROR(LOOKUP(Q82,打分卡!$F$10:$J$10,打分卡!$K$10:$O$10),1)</f>
        <v>4</v>
      </c>
      <c r="AG82" s="41">
        <f>IFERROR(LOOKUP(R82,打分卡!$F$11:$J$11,打分卡!$K$11:$O$11),1)</f>
        <v>4</v>
      </c>
      <c r="AH82" s="41">
        <f>IFERROR(LOOKUP(U82,打分卡!$F$12:$J$12,打分卡!$K$12:$O$12),1)</f>
        <v>5</v>
      </c>
      <c r="AI82" s="41">
        <f>IFERROR(LOOKUP(X82,打分卡!$F$13:$J$13,打分卡!$K$13:$O$13),1)</f>
        <v>5</v>
      </c>
      <c r="AJ82" s="41">
        <f>IFERROR(LOOKUP(Y82,打分卡!$F$14:$J$14,打分卡!$K$14:$O$14),1)</f>
        <v>5</v>
      </c>
      <c r="AK82" s="41">
        <f>IFERROR(LOOKUP(W82,打分卡!$F$15:$J$15,打分卡!$K$15:$O$15),1)</f>
        <v>3</v>
      </c>
      <c r="AL82" s="43">
        <f t="shared" si="9"/>
        <v>5</v>
      </c>
      <c r="AM82" s="41">
        <f>IFERROR(LOOKUP(Z82,打分卡!$F$17:$H$17,打分卡!$K$17:$M$17),1)</f>
        <v>1</v>
      </c>
      <c r="AN82" s="44">
        <f>(打分卡!$D$7*AC82+打分卡!$D$8*AD82+打分卡!$D$9*AE82)/5</f>
        <v>27.6</v>
      </c>
      <c r="AO82" s="44">
        <f>(打分卡!$D$10*AF82+打分卡!$D$11*AG82)/5</f>
        <v>16</v>
      </c>
      <c r="AP82" s="44">
        <f>(打分卡!$D$12*AH82+打分卡!$D$13*AI82+打分卡!$D$14*AJ82+打分卡!$D$15*AK82)/5</f>
        <v>28.4</v>
      </c>
      <c r="AQ82" s="44">
        <f>(打分卡!$D$16*AL82+打分卡!$D$17*AM82)/5</f>
        <v>6.8</v>
      </c>
      <c r="AR82" s="47">
        <f t="shared" si="10"/>
        <v>78.8</v>
      </c>
      <c r="AS82" s="43" t="str">
        <f t="shared" si="11"/>
        <v>KA</v>
      </c>
      <c r="AT82" s="43" t="str">
        <f t="shared" si="12"/>
        <v/>
      </c>
      <c r="AU82" s="43" t="str">
        <f t="shared" si="13"/>
        <v>扩·深化：AI外呼场景深化+Push/企微补全</v>
      </c>
    </row>
    <row r="83" ht="15" customHeight="1" spans="1:47">
      <c r="A83" s="20" t="s">
        <v>446</v>
      </c>
      <c r="B83" s="22" t="s">
        <v>447</v>
      </c>
      <c r="C83" s="22" t="s">
        <v>189</v>
      </c>
      <c r="D83" s="22" t="s">
        <v>202</v>
      </c>
      <c r="E83" s="22" t="s">
        <v>197</v>
      </c>
      <c r="F83" s="20" t="s">
        <v>448</v>
      </c>
      <c r="G83" s="22">
        <v>11</v>
      </c>
      <c r="H83" s="22" t="s">
        <v>192</v>
      </c>
      <c r="I83" s="22" t="s">
        <v>302</v>
      </c>
      <c r="J83" s="36">
        <v>258200</v>
      </c>
      <c r="K83" s="36">
        <v>101200</v>
      </c>
      <c r="L83" s="36">
        <v>56100</v>
      </c>
      <c r="M83" s="36">
        <f t="shared" si="8"/>
        <v>415500</v>
      </c>
      <c r="N83" s="34">
        <f t="shared" si="14"/>
        <v>0.0021783168609589</v>
      </c>
      <c r="O83" s="35">
        <f>SUM($M$2:M83)</f>
        <v>122486400</v>
      </c>
      <c r="P83" s="34">
        <f t="shared" si="15"/>
        <v>0.64215208269111</v>
      </c>
      <c r="Q83" s="39">
        <v>39.8</v>
      </c>
      <c r="R83" s="22">
        <v>14</v>
      </c>
      <c r="S83" s="22">
        <v>2</v>
      </c>
      <c r="T83" s="22">
        <v>1</v>
      </c>
      <c r="U83" s="39">
        <v>49.1</v>
      </c>
      <c r="V83" s="22">
        <v>8</v>
      </c>
      <c r="W83" s="22">
        <v>5</v>
      </c>
      <c r="X83" s="40">
        <v>365</v>
      </c>
      <c r="Y83" s="22">
        <v>3</v>
      </c>
      <c r="Z83" s="22">
        <v>2</v>
      </c>
      <c r="AA83" s="22" t="s">
        <v>185</v>
      </c>
      <c r="AB83" s="22" t="s">
        <v>220</v>
      </c>
      <c r="AC83" s="42">
        <f>IFERROR(LOOKUP(M83,打分卡!$F$7:$J$7,打分卡!$K$7:$O$7),1)</f>
        <v>4</v>
      </c>
      <c r="AD83" s="42">
        <f>IFERROR(LOOKUP(S83,打分卡!$F$8:$J$8,打分卡!$K$8:$O$8),1)</f>
        <v>2</v>
      </c>
      <c r="AE83" s="42">
        <f>IFERROR(LOOKUP(T83,打分卡!$F$9:$I$9,打分卡!$K$9:$N$9),1)</f>
        <v>2</v>
      </c>
      <c r="AF83" s="42">
        <f>IFERROR(LOOKUP(Q83,打分卡!$F$10:$J$10,打分卡!$K$10:$O$10),1)</f>
        <v>4</v>
      </c>
      <c r="AG83" s="42">
        <f>IFERROR(LOOKUP(R83,打分卡!$F$11:$J$11,打分卡!$K$11:$O$11),1)</f>
        <v>4</v>
      </c>
      <c r="AH83" s="42">
        <f>IFERROR(LOOKUP(U83,打分卡!$F$12:$J$12,打分卡!$K$12:$O$12),1)</f>
        <v>4</v>
      </c>
      <c r="AI83" s="42">
        <f>IFERROR(LOOKUP(X83,打分卡!$F$13:$J$13,打分卡!$K$13:$O$13),1)</f>
        <v>5</v>
      </c>
      <c r="AJ83" s="42">
        <f>IFERROR(LOOKUP(Y83,打分卡!$F$14:$J$14,打分卡!$K$14:$O$14),1)</f>
        <v>4</v>
      </c>
      <c r="AK83" s="42">
        <f>IFERROR(LOOKUP(W83,打分卡!$F$15:$J$15,打分卡!$K$15:$O$15),1)</f>
        <v>3</v>
      </c>
      <c r="AL83" s="45">
        <f t="shared" si="9"/>
        <v>3</v>
      </c>
      <c r="AM83" s="42">
        <f>IFERROR(LOOKUP(Z83,打分卡!$F$17:$H$17,打分卡!$K$17:$M$17),1)</f>
        <v>5</v>
      </c>
      <c r="AN83" s="46">
        <f>(打分卡!$D$7*AC83+打分卡!$D$8*AD83+打分卡!$D$9*AE83)/5</f>
        <v>26</v>
      </c>
      <c r="AO83" s="46">
        <f>(打分卡!$D$10*AF83+打分卡!$D$11*AG83)/5</f>
        <v>16</v>
      </c>
      <c r="AP83" s="46">
        <f>(打分卡!$D$12*AH83+打分卡!$D$13*AI83+打分卡!$D$14*AJ83+打分卡!$D$15*AK83)/5</f>
        <v>24.8</v>
      </c>
      <c r="AQ83" s="46">
        <f>(打分卡!$D$16*AL83+打分卡!$D$17*AM83)/5</f>
        <v>7.6</v>
      </c>
      <c r="AR83" s="48">
        <f t="shared" si="10"/>
        <v>74.4</v>
      </c>
      <c r="AS83" s="45" t="str">
        <f t="shared" si="11"/>
        <v>腰部</v>
      </c>
      <c r="AT83" s="45" t="str">
        <f t="shared" si="12"/>
        <v/>
      </c>
      <c r="AU83" s="45" t="str">
        <f t="shared" si="13"/>
        <v>拉·主攻：主推AI外呼+大促作战包</v>
      </c>
    </row>
    <row r="84" ht="15" customHeight="1" spans="1:47">
      <c r="A84" s="30" t="s">
        <v>449</v>
      </c>
      <c r="B84" s="31" t="s">
        <v>450</v>
      </c>
      <c r="C84" s="31" t="s">
        <v>179</v>
      </c>
      <c r="D84" s="31" t="s">
        <v>202</v>
      </c>
      <c r="E84" s="31" t="s">
        <v>181</v>
      </c>
      <c r="F84" s="30" t="s">
        <v>451</v>
      </c>
      <c r="G84" s="31">
        <v>8</v>
      </c>
      <c r="H84" s="31" t="s">
        <v>301</v>
      </c>
      <c r="I84" s="31" t="s">
        <v>302</v>
      </c>
      <c r="J84" s="33">
        <v>216600</v>
      </c>
      <c r="K84" s="33">
        <v>124300</v>
      </c>
      <c r="L84" s="33">
        <v>71400</v>
      </c>
      <c r="M84" s="33">
        <f t="shared" si="8"/>
        <v>412300</v>
      </c>
      <c r="N84" s="34">
        <f t="shared" si="14"/>
        <v>0.00216154041341361</v>
      </c>
      <c r="O84" s="35">
        <f>SUM($M$2:M84)</f>
        <v>122898700</v>
      </c>
      <c r="P84" s="34">
        <f t="shared" si="15"/>
        <v>0.644313623104524</v>
      </c>
      <c r="Q84" s="37">
        <v>36.2</v>
      </c>
      <c r="R84" s="31">
        <v>11</v>
      </c>
      <c r="S84" s="31">
        <v>4</v>
      </c>
      <c r="T84" s="31">
        <v>2</v>
      </c>
      <c r="U84" s="37">
        <v>24.1</v>
      </c>
      <c r="V84" s="31">
        <v>37</v>
      </c>
      <c r="W84" s="31">
        <v>3</v>
      </c>
      <c r="X84" s="38">
        <v>699</v>
      </c>
      <c r="Y84" s="31">
        <v>4</v>
      </c>
      <c r="Z84" s="31">
        <v>0</v>
      </c>
      <c r="AA84" s="31" t="s">
        <v>185</v>
      </c>
      <c r="AB84" s="31" t="s">
        <v>220</v>
      </c>
      <c r="AC84" s="41">
        <f>IFERROR(LOOKUP(M84,打分卡!$F$7:$J$7,打分卡!$K$7:$O$7),1)</f>
        <v>4</v>
      </c>
      <c r="AD84" s="41">
        <f>IFERROR(LOOKUP(S84,打分卡!$F$8:$J$8,打分卡!$K$8:$O$8),1)</f>
        <v>4</v>
      </c>
      <c r="AE84" s="41">
        <f>IFERROR(LOOKUP(T84,打分卡!$F$9:$I$9,打分卡!$K$9:$N$9),1)</f>
        <v>3</v>
      </c>
      <c r="AF84" s="41">
        <f>IFERROR(LOOKUP(Q84,打分卡!$F$10:$J$10,打分卡!$K$10:$O$10),1)</f>
        <v>4</v>
      </c>
      <c r="AG84" s="41">
        <f>IFERROR(LOOKUP(R84,打分卡!$F$11:$J$11,打分卡!$K$11:$O$11),1)</f>
        <v>4</v>
      </c>
      <c r="AH84" s="41">
        <f>IFERROR(LOOKUP(U84,打分卡!$F$12:$J$12,打分卡!$K$12:$O$12),1)</f>
        <v>3</v>
      </c>
      <c r="AI84" s="41">
        <f>IFERROR(LOOKUP(X84,打分卡!$F$13:$J$13,打分卡!$K$13:$O$13),1)</f>
        <v>5</v>
      </c>
      <c r="AJ84" s="41">
        <f>IFERROR(LOOKUP(Y84,打分卡!$F$14:$J$14,打分卡!$K$14:$O$14),1)</f>
        <v>4</v>
      </c>
      <c r="AK84" s="41">
        <f>IFERROR(LOOKUP(W84,打分卡!$F$15:$J$15,打分卡!$K$15:$O$15),1)</f>
        <v>3</v>
      </c>
      <c r="AL84" s="43">
        <f t="shared" si="9"/>
        <v>3</v>
      </c>
      <c r="AM84" s="41">
        <f>IFERROR(LOOKUP(Z84,打分卡!$F$17:$H$17,打分卡!$K$17:$M$17),1)</f>
        <v>1</v>
      </c>
      <c r="AN84" s="44">
        <f>(打分卡!$D$7*AC84+打分卡!$D$8*AD84+打分卡!$D$9*AE84)/5</f>
        <v>30.6</v>
      </c>
      <c r="AO84" s="44">
        <f>(打分卡!$D$10*AF84+打分卡!$D$11*AG84)/5</f>
        <v>16</v>
      </c>
      <c r="AP84" s="44">
        <f>(打分卡!$D$12*AH84+打分卡!$D$13*AI84+打分卡!$D$14*AJ84+打分卡!$D$15*AK84)/5</f>
        <v>22.4</v>
      </c>
      <c r="AQ84" s="44">
        <f>(打分卡!$D$16*AL84+打分卡!$D$17*AM84)/5</f>
        <v>4.4</v>
      </c>
      <c r="AR84" s="47">
        <f t="shared" si="10"/>
        <v>73.4</v>
      </c>
      <c r="AS84" s="43" t="str">
        <f t="shared" si="11"/>
        <v>腰部</v>
      </c>
      <c r="AT84" s="43" t="str">
        <f t="shared" si="12"/>
        <v/>
      </c>
      <c r="AU84" s="43" t="str">
        <f t="shared" si="13"/>
        <v>拉·主攻：主推AI外呼+大促作战包</v>
      </c>
    </row>
    <row r="85" ht="15" customHeight="1" spans="1:47">
      <c r="A85" s="20" t="s">
        <v>452</v>
      </c>
      <c r="B85" s="22" t="s">
        <v>453</v>
      </c>
      <c r="C85" s="22" t="s">
        <v>195</v>
      </c>
      <c r="D85" s="22" t="s">
        <v>190</v>
      </c>
      <c r="E85" s="22" t="s">
        <v>197</v>
      </c>
      <c r="F85" s="20" t="s">
        <v>454</v>
      </c>
      <c r="G85" s="22">
        <v>23</v>
      </c>
      <c r="H85" s="22" t="s">
        <v>183</v>
      </c>
      <c r="I85" s="22" t="s">
        <v>302</v>
      </c>
      <c r="J85" s="36">
        <v>186300</v>
      </c>
      <c r="K85" s="36">
        <v>85100</v>
      </c>
      <c r="L85" s="36">
        <v>137400</v>
      </c>
      <c r="M85" s="36">
        <f t="shared" si="8"/>
        <v>408800</v>
      </c>
      <c r="N85" s="34">
        <f t="shared" si="14"/>
        <v>0.00214319117391095</v>
      </c>
      <c r="O85" s="35">
        <f>SUM($M$2:M85)</f>
        <v>123307500</v>
      </c>
      <c r="P85" s="34">
        <f t="shared" si="15"/>
        <v>0.646456814278434</v>
      </c>
      <c r="Q85" s="39">
        <v>37.8</v>
      </c>
      <c r="R85" s="22">
        <v>18</v>
      </c>
      <c r="S85" s="22">
        <v>3</v>
      </c>
      <c r="T85" s="22">
        <v>3</v>
      </c>
      <c r="U85" s="39">
        <v>100.3</v>
      </c>
      <c r="V85" s="22">
        <v>14</v>
      </c>
      <c r="W85" s="22">
        <v>6</v>
      </c>
      <c r="X85" s="40">
        <v>206</v>
      </c>
      <c r="Y85" s="22">
        <v>3</v>
      </c>
      <c r="Z85" s="22">
        <v>0</v>
      </c>
      <c r="AA85" s="22" t="s">
        <v>199</v>
      </c>
      <c r="AB85" s="22" t="s">
        <v>220</v>
      </c>
      <c r="AC85" s="42">
        <f>IFERROR(LOOKUP(M85,打分卡!$F$7:$J$7,打分卡!$K$7:$O$7),1)</f>
        <v>4</v>
      </c>
      <c r="AD85" s="42">
        <f>IFERROR(LOOKUP(S85,打分卡!$F$8:$J$8,打分卡!$K$8:$O$8),1)</f>
        <v>3</v>
      </c>
      <c r="AE85" s="42">
        <f>IFERROR(LOOKUP(T85,打分卡!$F$9:$I$9,打分卡!$K$9:$N$9),1)</f>
        <v>5</v>
      </c>
      <c r="AF85" s="42">
        <f>IFERROR(LOOKUP(Q85,打分卡!$F$10:$J$10,打分卡!$K$10:$O$10),1)</f>
        <v>4</v>
      </c>
      <c r="AG85" s="42">
        <f>IFERROR(LOOKUP(R85,打分卡!$F$11:$J$11,打分卡!$K$11:$O$11),1)</f>
        <v>5</v>
      </c>
      <c r="AH85" s="42">
        <f>IFERROR(LOOKUP(U85,打分卡!$F$12:$J$12,打分卡!$K$12:$O$12),1)</f>
        <v>5</v>
      </c>
      <c r="AI85" s="42">
        <f>IFERROR(LOOKUP(X85,打分卡!$F$13:$J$13,打分卡!$K$13:$O$13),1)</f>
        <v>5</v>
      </c>
      <c r="AJ85" s="42">
        <f>IFERROR(LOOKUP(Y85,打分卡!$F$14:$J$14,打分卡!$K$14:$O$14),1)</f>
        <v>4</v>
      </c>
      <c r="AK85" s="42">
        <f>IFERROR(LOOKUP(W85,打分卡!$F$15:$J$15,打分卡!$K$15:$O$15),1)</f>
        <v>4</v>
      </c>
      <c r="AL85" s="45">
        <f t="shared" si="9"/>
        <v>5</v>
      </c>
      <c r="AM85" s="42">
        <f>IFERROR(LOOKUP(Z85,打分卡!$F$17:$H$17,打分卡!$K$17:$M$17),1)</f>
        <v>1</v>
      </c>
      <c r="AN85" s="46">
        <f>(打分卡!$D$7*AC85+打分卡!$D$8*AD85+打分卡!$D$9*AE85)/5</f>
        <v>31.8</v>
      </c>
      <c r="AO85" s="46">
        <f>(打分卡!$D$10*AF85+打分卡!$D$11*AG85)/5</f>
        <v>18</v>
      </c>
      <c r="AP85" s="46">
        <f>(打分卡!$D$12*AH85+打分卡!$D$13*AI85+打分卡!$D$14*AJ85+打分卡!$D$15*AK85)/5</f>
        <v>28</v>
      </c>
      <c r="AQ85" s="46">
        <f>(打分卡!$D$16*AL85+打分卡!$D$17*AM85)/5</f>
        <v>6.8</v>
      </c>
      <c r="AR85" s="48">
        <f t="shared" si="10"/>
        <v>84.6</v>
      </c>
      <c r="AS85" s="45" t="str">
        <f t="shared" si="11"/>
        <v>KA</v>
      </c>
      <c r="AT85" s="45" t="str">
        <f t="shared" si="12"/>
        <v/>
      </c>
      <c r="AU85" s="45" t="str">
        <f t="shared" si="13"/>
        <v>扩·深化：AI外呼场景深化+Push/企微补全</v>
      </c>
    </row>
    <row r="86" ht="15" customHeight="1" spans="1:47">
      <c r="A86" s="30" t="s">
        <v>455</v>
      </c>
      <c r="B86" s="31" t="s">
        <v>456</v>
      </c>
      <c r="C86" s="31" t="s">
        <v>209</v>
      </c>
      <c r="D86" s="31" t="s">
        <v>227</v>
      </c>
      <c r="E86" s="31" t="s">
        <v>181</v>
      </c>
      <c r="F86" s="30" t="s">
        <v>457</v>
      </c>
      <c r="G86" s="31">
        <v>25</v>
      </c>
      <c r="H86" s="31" t="s">
        <v>301</v>
      </c>
      <c r="I86" s="31" t="s">
        <v>302</v>
      </c>
      <c r="J86" s="33">
        <v>222800</v>
      </c>
      <c r="K86" s="33">
        <v>86600</v>
      </c>
      <c r="L86" s="33">
        <v>93600</v>
      </c>
      <c r="M86" s="33">
        <f t="shared" si="8"/>
        <v>403000</v>
      </c>
      <c r="N86" s="34">
        <f t="shared" si="14"/>
        <v>0.00211278386273511</v>
      </c>
      <c r="O86" s="35">
        <f>SUM($M$2:M86)</f>
        <v>123710500</v>
      </c>
      <c r="P86" s="34">
        <f t="shared" si="15"/>
        <v>0.64856959814117</v>
      </c>
      <c r="Q86" s="37">
        <v>52.6</v>
      </c>
      <c r="R86" s="31">
        <v>17</v>
      </c>
      <c r="S86" s="31">
        <v>4</v>
      </c>
      <c r="T86" s="31">
        <v>2</v>
      </c>
      <c r="U86" s="37">
        <v>156.7</v>
      </c>
      <c r="V86" s="31">
        <v>32</v>
      </c>
      <c r="W86" s="31">
        <v>7</v>
      </c>
      <c r="X86" s="38">
        <v>288</v>
      </c>
      <c r="Y86" s="31">
        <v>3</v>
      </c>
      <c r="Z86" s="31">
        <v>2</v>
      </c>
      <c r="AA86" s="31" t="s">
        <v>315</v>
      </c>
      <c r="AB86" s="31" t="s">
        <v>220</v>
      </c>
      <c r="AC86" s="41">
        <f>IFERROR(LOOKUP(M86,打分卡!$F$7:$J$7,打分卡!$K$7:$O$7),1)</f>
        <v>4</v>
      </c>
      <c r="AD86" s="41">
        <f>IFERROR(LOOKUP(S86,打分卡!$F$8:$J$8,打分卡!$K$8:$O$8),1)</f>
        <v>4</v>
      </c>
      <c r="AE86" s="41">
        <f>IFERROR(LOOKUP(T86,打分卡!$F$9:$I$9,打分卡!$K$9:$N$9),1)</f>
        <v>3</v>
      </c>
      <c r="AF86" s="41">
        <f>IFERROR(LOOKUP(Q86,打分卡!$F$10:$J$10,打分卡!$K$10:$O$10),1)</f>
        <v>4</v>
      </c>
      <c r="AG86" s="41">
        <f>IFERROR(LOOKUP(R86,打分卡!$F$11:$J$11,打分卡!$K$11:$O$11),1)</f>
        <v>5</v>
      </c>
      <c r="AH86" s="41">
        <f>IFERROR(LOOKUP(U86,打分卡!$F$12:$J$12,打分卡!$K$12:$O$12),1)</f>
        <v>5</v>
      </c>
      <c r="AI86" s="41">
        <f>IFERROR(LOOKUP(X86,打分卡!$F$13:$J$13,打分卡!$K$13:$O$13),1)</f>
        <v>5</v>
      </c>
      <c r="AJ86" s="41">
        <f>IFERROR(LOOKUP(Y86,打分卡!$F$14:$J$14,打分卡!$K$14:$O$14),1)</f>
        <v>4</v>
      </c>
      <c r="AK86" s="41">
        <f>IFERROR(LOOKUP(W86,打分卡!$F$15:$J$15,打分卡!$K$15:$O$15),1)</f>
        <v>4</v>
      </c>
      <c r="AL86" s="43">
        <f t="shared" si="9"/>
        <v>2</v>
      </c>
      <c r="AM86" s="41">
        <f>IFERROR(LOOKUP(Z86,打分卡!$F$17:$H$17,打分卡!$K$17:$M$17),1)</f>
        <v>5</v>
      </c>
      <c r="AN86" s="44">
        <f>(打分卡!$D$7*AC86+打分卡!$D$8*AD86+打分卡!$D$9*AE86)/5</f>
        <v>30.6</v>
      </c>
      <c r="AO86" s="44">
        <f>(打分卡!$D$10*AF86+打分卡!$D$11*AG86)/5</f>
        <v>18</v>
      </c>
      <c r="AP86" s="44">
        <f>(打分卡!$D$12*AH86+打分卡!$D$13*AI86+打分卡!$D$14*AJ86+打分卡!$D$15*AK86)/5</f>
        <v>28</v>
      </c>
      <c r="AQ86" s="44">
        <f>(打分卡!$D$16*AL86+打分卡!$D$17*AM86)/5</f>
        <v>6.4</v>
      </c>
      <c r="AR86" s="47">
        <f t="shared" si="10"/>
        <v>83</v>
      </c>
      <c r="AS86" s="43" t="str">
        <f t="shared" si="11"/>
        <v>KA</v>
      </c>
      <c r="AT86" s="43" t="str">
        <f t="shared" si="12"/>
        <v/>
      </c>
      <c r="AU86" s="43" t="str">
        <f t="shared" si="13"/>
        <v>扩·深化：AI外呼场景深化+Push/企微补全</v>
      </c>
    </row>
    <row r="87" ht="15" customHeight="1" spans="1:47">
      <c r="A87" s="20" t="s">
        <v>458</v>
      </c>
      <c r="B87" s="22" t="s">
        <v>459</v>
      </c>
      <c r="C87" s="22" t="s">
        <v>223</v>
      </c>
      <c r="D87" s="22" t="s">
        <v>202</v>
      </c>
      <c r="E87" s="22" t="s">
        <v>181</v>
      </c>
      <c r="F87" s="20" t="s">
        <v>460</v>
      </c>
      <c r="G87" s="22">
        <v>6</v>
      </c>
      <c r="H87" s="22" t="s">
        <v>301</v>
      </c>
      <c r="I87" s="22" t="s">
        <v>184</v>
      </c>
      <c r="J87" s="36">
        <v>250700</v>
      </c>
      <c r="K87" s="36">
        <v>129900</v>
      </c>
      <c r="L87" s="36">
        <v>20000</v>
      </c>
      <c r="M87" s="36">
        <f t="shared" si="8"/>
        <v>400600</v>
      </c>
      <c r="N87" s="34">
        <f t="shared" si="14"/>
        <v>0.00210020152707614</v>
      </c>
      <c r="O87" s="35">
        <f>SUM($M$2:M87)</f>
        <v>124111100</v>
      </c>
      <c r="P87" s="34">
        <f t="shared" si="15"/>
        <v>0.650669799668246</v>
      </c>
      <c r="Q87" s="39">
        <v>57.2</v>
      </c>
      <c r="R87" s="22">
        <v>8</v>
      </c>
      <c r="S87" s="22">
        <v>2</v>
      </c>
      <c r="T87" s="22">
        <v>2</v>
      </c>
      <c r="U87" s="39">
        <v>273.3</v>
      </c>
      <c r="V87" s="22">
        <v>27</v>
      </c>
      <c r="W87" s="22">
        <v>7</v>
      </c>
      <c r="X87" s="40">
        <v>154</v>
      </c>
      <c r="Y87" s="22">
        <v>4</v>
      </c>
      <c r="Z87" s="22">
        <v>2</v>
      </c>
      <c r="AA87" s="22" t="s">
        <v>315</v>
      </c>
      <c r="AB87" s="22" t="s">
        <v>220</v>
      </c>
      <c r="AC87" s="42">
        <f>IFERROR(LOOKUP(M87,打分卡!$F$7:$J$7,打分卡!$K$7:$O$7),1)</f>
        <v>4</v>
      </c>
      <c r="AD87" s="42">
        <f>IFERROR(LOOKUP(S87,打分卡!$F$8:$J$8,打分卡!$K$8:$O$8),1)</f>
        <v>2</v>
      </c>
      <c r="AE87" s="42">
        <f>IFERROR(LOOKUP(T87,打分卡!$F$9:$I$9,打分卡!$K$9:$N$9),1)</f>
        <v>3</v>
      </c>
      <c r="AF87" s="42">
        <f>IFERROR(LOOKUP(Q87,打分卡!$F$10:$J$10,打分卡!$K$10:$O$10),1)</f>
        <v>5</v>
      </c>
      <c r="AG87" s="42">
        <f>IFERROR(LOOKUP(R87,打分卡!$F$11:$J$11,打分卡!$K$11:$O$11),1)</f>
        <v>3</v>
      </c>
      <c r="AH87" s="42">
        <f>IFERROR(LOOKUP(U87,打分卡!$F$12:$J$12,打分卡!$K$12:$O$12),1)</f>
        <v>5</v>
      </c>
      <c r="AI87" s="42">
        <f>IFERROR(LOOKUP(X87,打分卡!$F$13:$J$13,打分卡!$K$13:$O$13),1)</f>
        <v>4</v>
      </c>
      <c r="AJ87" s="42">
        <f>IFERROR(LOOKUP(Y87,打分卡!$F$14:$J$14,打分卡!$K$14:$O$14),1)</f>
        <v>4</v>
      </c>
      <c r="AK87" s="42">
        <f>IFERROR(LOOKUP(W87,打分卡!$F$15:$J$15,打分卡!$K$15:$O$15),1)</f>
        <v>4</v>
      </c>
      <c r="AL87" s="45">
        <f t="shared" si="9"/>
        <v>2</v>
      </c>
      <c r="AM87" s="42">
        <f>IFERROR(LOOKUP(Z87,打分卡!$F$17:$H$17,打分卡!$K$17:$M$17),1)</f>
        <v>5</v>
      </c>
      <c r="AN87" s="46">
        <f>(打分卡!$D$7*AC87+打分卡!$D$8*AD87+打分卡!$D$9*AE87)/5</f>
        <v>27.4</v>
      </c>
      <c r="AO87" s="46">
        <f>(打分卡!$D$10*AF87+打分卡!$D$11*AG87)/5</f>
        <v>16</v>
      </c>
      <c r="AP87" s="46">
        <f>(打分卡!$D$12*AH87+打分卡!$D$13*AI87+打分卡!$D$14*AJ87+打分卡!$D$15*AK87)/5</f>
        <v>26.4</v>
      </c>
      <c r="AQ87" s="46">
        <f>(打分卡!$D$16*AL87+打分卡!$D$17*AM87)/5</f>
        <v>6.4</v>
      </c>
      <c r="AR87" s="48">
        <f t="shared" si="10"/>
        <v>76.2</v>
      </c>
      <c r="AS87" s="45" t="str">
        <f t="shared" si="11"/>
        <v>KA</v>
      </c>
      <c r="AT87" s="45" t="str">
        <f t="shared" si="12"/>
        <v/>
      </c>
      <c r="AU87" s="45" t="str">
        <f t="shared" si="13"/>
        <v>扩·深化：AI外呼场景深化+Push/企微补全</v>
      </c>
    </row>
    <row r="88" ht="15" customHeight="1" spans="1:47">
      <c r="A88" s="30" t="s">
        <v>461</v>
      </c>
      <c r="B88" s="31" t="s">
        <v>462</v>
      </c>
      <c r="C88" s="31" t="s">
        <v>189</v>
      </c>
      <c r="D88" s="31" t="s">
        <v>202</v>
      </c>
      <c r="E88" s="31" t="s">
        <v>181</v>
      </c>
      <c r="F88" s="30" t="s">
        <v>463</v>
      </c>
      <c r="G88" s="31">
        <v>30</v>
      </c>
      <c r="H88" s="31" t="s">
        <v>183</v>
      </c>
      <c r="I88" s="31" t="s">
        <v>184</v>
      </c>
      <c r="J88" s="33">
        <v>234700</v>
      </c>
      <c r="K88" s="33">
        <v>122200</v>
      </c>
      <c r="L88" s="33">
        <v>33000</v>
      </c>
      <c r="M88" s="33">
        <f t="shared" si="8"/>
        <v>389900</v>
      </c>
      <c r="N88" s="34">
        <f t="shared" si="14"/>
        <v>0.00204410528059657</v>
      </c>
      <c r="O88" s="35">
        <f>SUM($M$2:M88)</f>
        <v>124501000</v>
      </c>
      <c r="P88" s="34">
        <f t="shared" si="15"/>
        <v>0.652713904948842</v>
      </c>
      <c r="Q88" s="37">
        <v>35.1</v>
      </c>
      <c r="R88" s="31">
        <v>6</v>
      </c>
      <c r="S88" s="31">
        <v>2</v>
      </c>
      <c r="T88" s="31">
        <v>1</v>
      </c>
      <c r="U88" s="37">
        <v>58.2</v>
      </c>
      <c r="V88" s="31">
        <v>12</v>
      </c>
      <c r="W88" s="31">
        <v>3</v>
      </c>
      <c r="X88" s="38">
        <v>457</v>
      </c>
      <c r="Y88" s="31">
        <v>5</v>
      </c>
      <c r="Z88" s="31">
        <v>2</v>
      </c>
      <c r="AA88" s="31" t="s">
        <v>199</v>
      </c>
      <c r="AB88" s="31" t="s">
        <v>220</v>
      </c>
      <c r="AC88" s="41">
        <f>IFERROR(LOOKUP(M88,打分卡!$F$7:$J$7,打分卡!$K$7:$O$7),1)</f>
        <v>4</v>
      </c>
      <c r="AD88" s="41">
        <f>IFERROR(LOOKUP(S88,打分卡!$F$8:$J$8,打分卡!$K$8:$O$8),1)</f>
        <v>2</v>
      </c>
      <c r="AE88" s="41">
        <f>IFERROR(LOOKUP(T88,打分卡!$F$9:$I$9,打分卡!$K$9:$N$9),1)</f>
        <v>2</v>
      </c>
      <c r="AF88" s="41">
        <f>IFERROR(LOOKUP(Q88,打分卡!$F$10:$J$10,打分卡!$K$10:$O$10),1)</f>
        <v>4</v>
      </c>
      <c r="AG88" s="41">
        <f>IFERROR(LOOKUP(R88,打分卡!$F$11:$J$11,打分卡!$K$11:$O$11),1)</f>
        <v>3</v>
      </c>
      <c r="AH88" s="41">
        <f>IFERROR(LOOKUP(U88,打分卡!$F$12:$J$12,打分卡!$K$12:$O$12),1)</f>
        <v>4</v>
      </c>
      <c r="AI88" s="41">
        <f>IFERROR(LOOKUP(X88,打分卡!$F$13:$J$13,打分卡!$K$13:$O$13),1)</f>
        <v>5</v>
      </c>
      <c r="AJ88" s="41">
        <f>IFERROR(LOOKUP(Y88,打分卡!$F$14:$J$14,打分卡!$K$14:$O$14),1)</f>
        <v>5</v>
      </c>
      <c r="AK88" s="41">
        <f>IFERROR(LOOKUP(W88,打分卡!$F$15:$J$15,打分卡!$K$15:$O$15),1)</f>
        <v>3</v>
      </c>
      <c r="AL88" s="43">
        <f t="shared" si="9"/>
        <v>5</v>
      </c>
      <c r="AM88" s="41">
        <f>IFERROR(LOOKUP(Z88,打分卡!$F$17:$H$17,打分卡!$K$17:$M$17),1)</f>
        <v>5</v>
      </c>
      <c r="AN88" s="44">
        <f>(打分卡!$D$7*AC88+打分卡!$D$8*AD88+打分卡!$D$9*AE88)/5</f>
        <v>26</v>
      </c>
      <c r="AO88" s="44">
        <f>(打分卡!$D$10*AF88+打分卡!$D$11*AG88)/5</f>
        <v>14</v>
      </c>
      <c r="AP88" s="44">
        <f>(打分卡!$D$12*AH88+打分卡!$D$13*AI88+打分卡!$D$14*AJ88+打分卡!$D$15*AK88)/5</f>
        <v>26</v>
      </c>
      <c r="AQ88" s="44">
        <f>(打分卡!$D$16*AL88+打分卡!$D$17*AM88)/5</f>
        <v>10</v>
      </c>
      <c r="AR88" s="47">
        <f t="shared" si="10"/>
        <v>76</v>
      </c>
      <c r="AS88" s="43" t="str">
        <f t="shared" si="11"/>
        <v>KA</v>
      </c>
      <c r="AT88" s="43" t="str">
        <f t="shared" si="12"/>
        <v/>
      </c>
      <c r="AU88" s="43" t="str">
        <f t="shared" si="13"/>
        <v>扩·深化：AI外呼场景深化+Push/企微补全</v>
      </c>
    </row>
    <row r="89" ht="15" customHeight="1" spans="1:47">
      <c r="A89" s="20" t="s">
        <v>464</v>
      </c>
      <c r="B89" s="22" t="s">
        <v>465</v>
      </c>
      <c r="C89" s="22" t="s">
        <v>189</v>
      </c>
      <c r="D89" s="22" t="s">
        <v>227</v>
      </c>
      <c r="E89" s="22" t="s">
        <v>197</v>
      </c>
      <c r="F89" s="20" t="s">
        <v>466</v>
      </c>
      <c r="G89" s="22">
        <v>27</v>
      </c>
      <c r="H89" s="22" t="s">
        <v>301</v>
      </c>
      <c r="I89" s="22" t="s">
        <v>302</v>
      </c>
      <c r="J89" s="36">
        <v>222800</v>
      </c>
      <c r="K89" s="36">
        <v>118200</v>
      </c>
      <c r="L89" s="36">
        <v>48200</v>
      </c>
      <c r="M89" s="36">
        <f t="shared" si="8"/>
        <v>389200</v>
      </c>
      <c r="N89" s="34">
        <f t="shared" si="14"/>
        <v>0.00204043543269604</v>
      </c>
      <c r="O89" s="35">
        <f>SUM($M$2:M89)</f>
        <v>124890200</v>
      </c>
      <c r="P89" s="34">
        <f t="shared" si="15"/>
        <v>0.654754340381538</v>
      </c>
      <c r="Q89" s="39">
        <v>47.8</v>
      </c>
      <c r="R89" s="22">
        <v>15</v>
      </c>
      <c r="S89" s="22">
        <v>3</v>
      </c>
      <c r="T89" s="22">
        <v>2</v>
      </c>
      <c r="U89" s="39">
        <v>22.1</v>
      </c>
      <c r="V89" s="22">
        <v>32</v>
      </c>
      <c r="W89" s="22">
        <v>4</v>
      </c>
      <c r="X89" s="40">
        <v>427</v>
      </c>
      <c r="Y89" s="22">
        <v>5</v>
      </c>
      <c r="Z89" s="22">
        <v>1</v>
      </c>
      <c r="AA89" s="22" t="s">
        <v>199</v>
      </c>
      <c r="AB89" s="22" t="s">
        <v>220</v>
      </c>
      <c r="AC89" s="42">
        <f>IFERROR(LOOKUP(M89,打分卡!$F$7:$J$7,打分卡!$K$7:$O$7),1)</f>
        <v>4</v>
      </c>
      <c r="AD89" s="42">
        <f>IFERROR(LOOKUP(S89,打分卡!$F$8:$J$8,打分卡!$K$8:$O$8),1)</f>
        <v>3</v>
      </c>
      <c r="AE89" s="42">
        <f>IFERROR(LOOKUP(T89,打分卡!$F$9:$I$9,打分卡!$K$9:$N$9),1)</f>
        <v>3</v>
      </c>
      <c r="AF89" s="42">
        <f>IFERROR(LOOKUP(Q89,打分卡!$F$10:$J$10,打分卡!$K$10:$O$10),1)</f>
        <v>4</v>
      </c>
      <c r="AG89" s="42">
        <f>IFERROR(LOOKUP(R89,打分卡!$F$11:$J$11,打分卡!$K$11:$O$11),1)</f>
        <v>5</v>
      </c>
      <c r="AH89" s="42">
        <f>IFERROR(LOOKUP(U89,打分卡!$F$12:$J$12,打分卡!$K$12:$O$12),1)</f>
        <v>3</v>
      </c>
      <c r="AI89" s="42">
        <f>IFERROR(LOOKUP(X89,打分卡!$F$13:$J$13,打分卡!$K$13:$O$13),1)</f>
        <v>5</v>
      </c>
      <c r="AJ89" s="42">
        <f>IFERROR(LOOKUP(Y89,打分卡!$F$14:$J$14,打分卡!$K$14:$O$14),1)</f>
        <v>5</v>
      </c>
      <c r="AK89" s="42">
        <f>IFERROR(LOOKUP(W89,打分卡!$F$15:$J$15,打分卡!$K$15:$O$15),1)</f>
        <v>3</v>
      </c>
      <c r="AL89" s="45">
        <f t="shared" si="9"/>
        <v>5</v>
      </c>
      <c r="AM89" s="42">
        <f>IFERROR(LOOKUP(Z89,打分卡!$F$17:$H$17,打分卡!$K$17:$M$17),1)</f>
        <v>3</v>
      </c>
      <c r="AN89" s="46">
        <f>(打分卡!$D$7*AC89+打分卡!$D$8*AD89+打分卡!$D$9*AE89)/5</f>
        <v>29</v>
      </c>
      <c r="AO89" s="46">
        <f>(打分卡!$D$10*AF89+打分卡!$D$11*AG89)/5</f>
        <v>18</v>
      </c>
      <c r="AP89" s="46">
        <f>(打分卡!$D$12*AH89+打分卡!$D$13*AI89+打分卡!$D$14*AJ89+打分卡!$D$15*AK89)/5</f>
        <v>23.6</v>
      </c>
      <c r="AQ89" s="46">
        <f>(打分卡!$D$16*AL89+打分卡!$D$17*AM89)/5</f>
        <v>8.4</v>
      </c>
      <c r="AR89" s="48">
        <f t="shared" si="10"/>
        <v>79</v>
      </c>
      <c r="AS89" s="45" t="str">
        <f t="shared" si="11"/>
        <v>KA</v>
      </c>
      <c r="AT89" s="45" t="str">
        <f t="shared" si="12"/>
        <v/>
      </c>
      <c r="AU89" s="45" t="str">
        <f t="shared" si="13"/>
        <v>扩·深化：AI外呼场景深化+Push/企微补全</v>
      </c>
    </row>
    <row r="90" ht="15" customHeight="1" spans="1:47">
      <c r="A90" s="30" t="s">
        <v>467</v>
      </c>
      <c r="B90" s="31" t="s">
        <v>468</v>
      </c>
      <c r="C90" s="31" t="s">
        <v>218</v>
      </c>
      <c r="D90" s="31" t="s">
        <v>252</v>
      </c>
      <c r="E90" s="31" t="s">
        <v>181</v>
      </c>
      <c r="F90" s="30" t="s">
        <v>469</v>
      </c>
      <c r="G90" s="31">
        <v>7</v>
      </c>
      <c r="H90" s="31" t="s">
        <v>192</v>
      </c>
      <c r="I90" s="31" t="s">
        <v>302</v>
      </c>
      <c r="J90" s="33">
        <v>208800</v>
      </c>
      <c r="K90" s="33">
        <v>87200</v>
      </c>
      <c r="L90" s="33">
        <v>90600</v>
      </c>
      <c r="M90" s="33">
        <f t="shared" si="8"/>
        <v>386600</v>
      </c>
      <c r="N90" s="34">
        <f t="shared" si="14"/>
        <v>0.00202680456906549</v>
      </c>
      <c r="O90" s="35">
        <f>SUM($M$2:M90)</f>
        <v>125276800</v>
      </c>
      <c r="P90" s="34">
        <f t="shared" si="15"/>
        <v>0.656781144950604</v>
      </c>
      <c r="Q90" s="37">
        <v>41</v>
      </c>
      <c r="R90" s="31">
        <v>15</v>
      </c>
      <c r="S90" s="31">
        <v>3</v>
      </c>
      <c r="T90" s="31">
        <v>3</v>
      </c>
      <c r="U90" s="37">
        <v>55</v>
      </c>
      <c r="V90" s="31">
        <v>34</v>
      </c>
      <c r="W90" s="31">
        <v>5</v>
      </c>
      <c r="X90" s="38">
        <v>777</v>
      </c>
      <c r="Y90" s="31">
        <v>4</v>
      </c>
      <c r="Z90" s="31">
        <v>2</v>
      </c>
      <c r="AA90" s="31" t="s">
        <v>199</v>
      </c>
      <c r="AB90" s="31" t="s">
        <v>220</v>
      </c>
      <c r="AC90" s="41">
        <f>IFERROR(LOOKUP(M90,打分卡!$F$7:$J$7,打分卡!$K$7:$O$7),1)</f>
        <v>4</v>
      </c>
      <c r="AD90" s="41">
        <f>IFERROR(LOOKUP(S90,打分卡!$F$8:$J$8,打分卡!$K$8:$O$8),1)</f>
        <v>3</v>
      </c>
      <c r="AE90" s="41">
        <f>IFERROR(LOOKUP(T90,打分卡!$F$9:$I$9,打分卡!$K$9:$N$9),1)</f>
        <v>5</v>
      </c>
      <c r="AF90" s="41">
        <f>IFERROR(LOOKUP(Q90,打分卡!$F$10:$J$10,打分卡!$K$10:$O$10),1)</f>
        <v>4</v>
      </c>
      <c r="AG90" s="41">
        <f>IFERROR(LOOKUP(R90,打分卡!$F$11:$J$11,打分卡!$K$11:$O$11),1)</f>
        <v>5</v>
      </c>
      <c r="AH90" s="41">
        <f>IFERROR(LOOKUP(U90,打分卡!$F$12:$J$12,打分卡!$K$12:$O$12),1)</f>
        <v>4</v>
      </c>
      <c r="AI90" s="41">
        <f>IFERROR(LOOKUP(X90,打分卡!$F$13:$J$13,打分卡!$K$13:$O$13),1)</f>
        <v>5</v>
      </c>
      <c r="AJ90" s="41">
        <f>IFERROR(LOOKUP(Y90,打分卡!$F$14:$J$14,打分卡!$K$14:$O$14),1)</f>
        <v>4</v>
      </c>
      <c r="AK90" s="41">
        <f>IFERROR(LOOKUP(W90,打分卡!$F$15:$J$15,打分卡!$K$15:$O$15),1)</f>
        <v>3</v>
      </c>
      <c r="AL90" s="43">
        <f t="shared" si="9"/>
        <v>5</v>
      </c>
      <c r="AM90" s="41">
        <f>IFERROR(LOOKUP(Z90,打分卡!$F$17:$H$17,打分卡!$K$17:$M$17),1)</f>
        <v>5</v>
      </c>
      <c r="AN90" s="44">
        <f>(打分卡!$D$7*AC90+打分卡!$D$8*AD90+打分卡!$D$9*AE90)/5</f>
        <v>31.8</v>
      </c>
      <c r="AO90" s="44">
        <f>(打分卡!$D$10*AF90+打分卡!$D$11*AG90)/5</f>
        <v>18</v>
      </c>
      <c r="AP90" s="44">
        <f>(打分卡!$D$12*AH90+打分卡!$D$13*AI90+打分卡!$D$14*AJ90+打分卡!$D$15*AK90)/5</f>
        <v>24.8</v>
      </c>
      <c r="AQ90" s="44">
        <f>(打分卡!$D$16*AL90+打分卡!$D$17*AM90)/5</f>
        <v>10</v>
      </c>
      <c r="AR90" s="47">
        <f t="shared" si="10"/>
        <v>84.6</v>
      </c>
      <c r="AS90" s="43" t="str">
        <f t="shared" si="11"/>
        <v>KA</v>
      </c>
      <c r="AT90" s="43" t="str">
        <f t="shared" si="12"/>
        <v/>
      </c>
      <c r="AU90" s="43" t="str">
        <f t="shared" si="13"/>
        <v>扩·深化：AI外呼场景深化+Push/企微补全</v>
      </c>
    </row>
    <row r="91" ht="15" customHeight="1" spans="1:47">
      <c r="A91" s="20" t="s">
        <v>470</v>
      </c>
      <c r="B91" s="22" t="s">
        <v>471</v>
      </c>
      <c r="C91" s="22" t="s">
        <v>239</v>
      </c>
      <c r="D91" s="22" t="s">
        <v>202</v>
      </c>
      <c r="E91" s="22" t="s">
        <v>181</v>
      </c>
      <c r="F91" s="20" t="s">
        <v>472</v>
      </c>
      <c r="G91" s="22">
        <v>23</v>
      </c>
      <c r="H91" s="22" t="s">
        <v>192</v>
      </c>
      <c r="I91" s="22" t="s">
        <v>302</v>
      </c>
      <c r="J91" s="36">
        <v>230800</v>
      </c>
      <c r="K91" s="36">
        <v>91900</v>
      </c>
      <c r="L91" s="36">
        <v>55000</v>
      </c>
      <c r="M91" s="36">
        <f t="shared" si="8"/>
        <v>377700</v>
      </c>
      <c r="N91" s="34">
        <f t="shared" si="14"/>
        <v>0.00198014507433015</v>
      </c>
      <c r="O91" s="35">
        <f>SUM($M$2:M91)</f>
        <v>125654500</v>
      </c>
      <c r="P91" s="34">
        <f t="shared" si="15"/>
        <v>0.658761290024934</v>
      </c>
      <c r="Q91" s="39">
        <v>31</v>
      </c>
      <c r="R91" s="22">
        <v>6</v>
      </c>
      <c r="S91" s="22">
        <v>2</v>
      </c>
      <c r="T91" s="22">
        <v>1</v>
      </c>
      <c r="U91" s="39">
        <v>188.7</v>
      </c>
      <c r="V91" s="22">
        <v>21</v>
      </c>
      <c r="W91" s="22">
        <v>7</v>
      </c>
      <c r="X91" s="40">
        <v>107</v>
      </c>
      <c r="Y91" s="22">
        <v>6</v>
      </c>
      <c r="Z91" s="22">
        <v>2</v>
      </c>
      <c r="AA91" s="22" t="s">
        <v>185</v>
      </c>
      <c r="AB91" s="22" t="s">
        <v>220</v>
      </c>
      <c r="AC91" s="42">
        <f>IFERROR(LOOKUP(M91,打分卡!$F$7:$J$7,打分卡!$K$7:$O$7),1)</f>
        <v>4</v>
      </c>
      <c r="AD91" s="42">
        <f>IFERROR(LOOKUP(S91,打分卡!$F$8:$J$8,打分卡!$K$8:$O$8),1)</f>
        <v>2</v>
      </c>
      <c r="AE91" s="42">
        <f>IFERROR(LOOKUP(T91,打分卡!$F$9:$I$9,打分卡!$K$9:$N$9),1)</f>
        <v>2</v>
      </c>
      <c r="AF91" s="42">
        <f>IFERROR(LOOKUP(Q91,打分卡!$F$10:$J$10,打分卡!$K$10:$O$10),1)</f>
        <v>4</v>
      </c>
      <c r="AG91" s="42">
        <f>IFERROR(LOOKUP(R91,打分卡!$F$11:$J$11,打分卡!$K$11:$O$11),1)</f>
        <v>3</v>
      </c>
      <c r="AH91" s="42">
        <f>IFERROR(LOOKUP(U91,打分卡!$F$12:$J$12,打分卡!$K$12:$O$12),1)</f>
        <v>5</v>
      </c>
      <c r="AI91" s="42">
        <f>IFERROR(LOOKUP(X91,打分卡!$F$13:$J$13,打分卡!$K$13:$O$13),1)</f>
        <v>4</v>
      </c>
      <c r="AJ91" s="42">
        <f>IFERROR(LOOKUP(Y91,打分卡!$F$14:$J$14,打分卡!$K$14:$O$14),1)</f>
        <v>5</v>
      </c>
      <c r="AK91" s="42">
        <f>IFERROR(LOOKUP(W91,打分卡!$F$15:$J$15,打分卡!$K$15:$O$15),1)</f>
        <v>4</v>
      </c>
      <c r="AL91" s="45">
        <f t="shared" si="9"/>
        <v>3</v>
      </c>
      <c r="AM91" s="42">
        <f>IFERROR(LOOKUP(Z91,打分卡!$F$17:$H$17,打分卡!$K$17:$M$17),1)</f>
        <v>5</v>
      </c>
      <c r="AN91" s="46">
        <f>(打分卡!$D$7*AC91+打分卡!$D$8*AD91+打分卡!$D$9*AE91)/5</f>
        <v>26</v>
      </c>
      <c r="AO91" s="46">
        <f>(打分卡!$D$10*AF91+打分卡!$D$11*AG91)/5</f>
        <v>14</v>
      </c>
      <c r="AP91" s="46">
        <f>(打分卡!$D$12*AH91+打分卡!$D$13*AI91+打分卡!$D$14*AJ91+打分卡!$D$15*AK91)/5</f>
        <v>27.6</v>
      </c>
      <c r="AQ91" s="46">
        <f>(打分卡!$D$16*AL91+打分卡!$D$17*AM91)/5</f>
        <v>7.6</v>
      </c>
      <c r="AR91" s="48">
        <f t="shared" si="10"/>
        <v>75.2</v>
      </c>
      <c r="AS91" s="45" t="str">
        <f t="shared" si="11"/>
        <v>KA</v>
      </c>
      <c r="AT91" s="45" t="str">
        <f t="shared" si="12"/>
        <v/>
      </c>
      <c r="AU91" s="45" t="str">
        <f t="shared" si="13"/>
        <v>扩·深化：AI外呼场景深化+Push/企微补全</v>
      </c>
    </row>
    <row r="92" ht="15" customHeight="1" spans="1:47">
      <c r="A92" s="30" t="s">
        <v>473</v>
      </c>
      <c r="B92" s="31" t="s">
        <v>474</v>
      </c>
      <c r="C92" s="31" t="s">
        <v>239</v>
      </c>
      <c r="D92" s="31" t="s">
        <v>252</v>
      </c>
      <c r="E92" s="31" t="s">
        <v>197</v>
      </c>
      <c r="F92" s="30" t="s">
        <v>475</v>
      </c>
      <c r="G92" s="31">
        <v>8</v>
      </c>
      <c r="H92" s="31" t="s">
        <v>192</v>
      </c>
      <c r="I92" s="31" t="s">
        <v>302</v>
      </c>
      <c r="J92" s="33">
        <v>236600</v>
      </c>
      <c r="K92" s="33">
        <v>109100</v>
      </c>
      <c r="L92" s="33">
        <v>31300</v>
      </c>
      <c r="M92" s="33">
        <f t="shared" si="8"/>
        <v>377000</v>
      </c>
      <c r="N92" s="34">
        <f t="shared" si="14"/>
        <v>0.00197647522642962</v>
      </c>
      <c r="O92" s="35">
        <f>SUM($M$2:M92)</f>
        <v>126031500</v>
      </c>
      <c r="P92" s="34">
        <f t="shared" si="15"/>
        <v>0.660737765251364</v>
      </c>
      <c r="Q92" s="37">
        <v>45.3</v>
      </c>
      <c r="R92" s="31">
        <v>16</v>
      </c>
      <c r="S92" s="31">
        <v>3</v>
      </c>
      <c r="T92" s="31">
        <v>3</v>
      </c>
      <c r="U92" s="37">
        <v>78.7</v>
      </c>
      <c r="V92" s="31">
        <v>31</v>
      </c>
      <c r="W92" s="31">
        <v>6</v>
      </c>
      <c r="X92" s="38">
        <v>295</v>
      </c>
      <c r="Y92" s="31">
        <v>4</v>
      </c>
      <c r="Z92" s="31">
        <v>2</v>
      </c>
      <c r="AA92" s="31" t="s">
        <v>199</v>
      </c>
      <c r="AB92" s="31" t="s">
        <v>220</v>
      </c>
      <c r="AC92" s="41">
        <f>IFERROR(LOOKUP(M92,打分卡!$F$7:$J$7,打分卡!$K$7:$O$7),1)</f>
        <v>4</v>
      </c>
      <c r="AD92" s="41">
        <f>IFERROR(LOOKUP(S92,打分卡!$F$8:$J$8,打分卡!$K$8:$O$8),1)</f>
        <v>3</v>
      </c>
      <c r="AE92" s="41">
        <f>IFERROR(LOOKUP(T92,打分卡!$F$9:$I$9,打分卡!$K$9:$N$9),1)</f>
        <v>5</v>
      </c>
      <c r="AF92" s="41">
        <f>IFERROR(LOOKUP(Q92,打分卡!$F$10:$J$10,打分卡!$K$10:$O$10),1)</f>
        <v>4</v>
      </c>
      <c r="AG92" s="41">
        <f>IFERROR(LOOKUP(R92,打分卡!$F$11:$J$11,打分卡!$K$11:$O$11),1)</f>
        <v>5</v>
      </c>
      <c r="AH92" s="41">
        <f>IFERROR(LOOKUP(U92,打分卡!$F$12:$J$12,打分卡!$K$12:$O$12),1)</f>
        <v>5</v>
      </c>
      <c r="AI92" s="41">
        <f>IFERROR(LOOKUP(X92,打分卡!$F$13:$J$13,打分卡!$K$13:$O$13),1)</f>
        <v>5</v>
      </c>
      <c r="AJ92" s="41">
        <f>IFERROR(LOOKUP(Y92,打分卡!$F$14:$J$14,打分卡!$K$14:$O$14),1)</f>
        <v>4</v>
      </c>
      <c r="AK92" s="41">
        <f>IFERROR(LOOKUP(W92,打分卡!$F$15:$J$15,打分卡!$K$15:$O$15),1)</f>
        <v>4</v>
      </c>
      <c r="AL92" s="43">
        <f t="shared" si="9"/>
        <v>5</v>
      </c>
      <c r="AM92" s="41">
        <f>IFERROR(LOOKUP(Z92,打分卡!$F$17:$H$17,打分卡!$K$17:$M$17),1)</f>
        <v>5</v>
      </c>
      <c r="AN92" s="44">
        <f>(打分卡!$D$7*AC92+打分卡!$D$8*AD92+打分卡!$D$9*AE92)/5</f>
        <v>31.8</v>
      </c>
      <c r="AO92" s="44">
        <f>(打分卡!$D$10*AF92+打分卡!$D$11*AG92)/5</f>
        <v>18</v>
      </c>
      <c r="AP92" s="44">
        <f>(打分卡!$D$12*AH92+打分卡!$D$13*AI92+打分卡!$D$14*AJ92+打分卡!$D$15*AK92)/5</f>
        <v>28</v>
      </c>
      <c r="AQ92" s="44">
        <f>(打分卡!$D$16*AL92+打分卡!$D$17*AM92)/5</f>
        <v>10</v>
      </c>
      <c r="AR92" s="47">
        <f t="shared" si="10"/>
        <v>87.8</v>
      </c>
      <c r="AS92" s="43" t="str">
        <f t="shared" si="11"/>
        <v>KA</v>
      </c>
      <c r="AT92" s="43" t="str">
        <f t="shared" si="12"/>
        <v/>
      </c>
      <c r="AU92" s="43" t="str">
        <f t="shared" si="13"/>
        <v>扩·深化：AI外呼场景深化+Push/企微补全</v>
      </c>
    </row>
    <row r="93" ht="15" customHeight="1" spans="1:47">
      <c r="A93" s="20" t="s">
        <v>476</v>
      </c>
      <c r="B93" s="22" t="s">
        <v>477</v>
      </c>
      <c r="C93" s="22" t="s">
        <v>179</v>
      </c>
      <c r="D93" s="22" t="s">
        <v>196</v>
      </c>
      <c r="E93" s="22" t="s">
        <v>181</v>
      </c>
      <c r="F93" s="20" t="s">
        <v>478</v>
      </c>
      <c r="G93" s="22">
        <v>18</v>
      </c>
      <c r="H93" s="22" t="s">
        <v>192</v>
      </c>
      <c r="I93" s="22" t="s">
        <v>184</v>
      </c>
      <c r="J93" s="36">
        <v>222500</v>
      </c>
      <c r="K93" s="36">
        <v>128800</v>
      </c>
      <c r="L93" s="36">
        <v>18500</v>
      </c>
      <c r="M93" s="36">
        <f t="shared" si="8"/>
        <v>369800</v>
      </c>
      <c r="N93" s="34">
        <f t="shared" si="14"/>
        <v>0.00193872821945271</v>
      </c>
      <c r="O93" s="35">
        <f>SUM($M$2:M93)</f>
        <v>126401300</v>
      </c>
      <c r="P93" s="34">
        <f t="shared" si="15"/>
        <v>0.662676493470816</v>
      </c>
      <c r="Q93" s="39">
        <v>47.2</v>
      </c>
      <c r="R93" s="22">
        <v>14</v>
      </c>
      <c r="S93" s="22">
        <v>4</v>
      </c>
      <c r="T93" s="22">
        <v>1</v>
      </c>
      <c r="U93" s="39">
        <v>56.6</v>
      </c>
      <c r="V93" s="22">
        <v>20</v>
      </c>
      <c r="W93" s="22">
        <v>7</v>
      </c>
      <c r="X93" s="40">
        <v>113</v>
      </c>
      <c r="Y93" s="22">
        <v>5</v>
      </c>
      <c r="Z93" s="22">
        <v>1</v>
      </c>
      <c r="AA93" s="22" t="s">
        <v>185</v>
      </c>
      <c r="AB93" s="22" t="s">
        <v>220</v>
      </c>
      <c r="AC93" s="42">
        <f>IFERROR(LOOKUP(M93,打分卡!$F$7:$J$7,打分卡!$K$7:$O$7),1)</f>
        <v>4</v>
      </c>
      <c r="AD93" s="42">
        <f>IFERROR(LOOKUP(S93,打分卡!$F$8:$J$8,打分卡!$K$8:$O$8),1)</f>
        <v>4</v>
      </c>
      <c r="AE93" s="42">
        <f>IFERROR(LOOKUP(T93,打分卡!$F$9:$I$9,打分卡!$K$9:$N$9),1)</f>
        <v>2</v>
      </c>
      <c r="AF93" s="42">
        <f>IFERROR(LOOKUP(Q93,打分卡!$F$10:$J$10,打分卡!$K$10:$O$10),1)</f>
        <v>4</v>
      </c>
      <c r="AG93" s="42">
        <f>IFERROR(LOOKUP(R93,打分卡!$F$11:$J$11,打分卡!$K$11:$O$11),1)</f>
        <v>4</v>
      </c>
      <c r="AH93" s="42">
        <f>IFERROR(LOOKUP(U93,打分卡!$F$12:$J$12,打分卡!$K$12:$O$12),1)</f>
        <v>4</v>
      </c>
      <c r="AI93" s="42">
        <f>IFERROR(LOOKUP(X93,打分卡!$F$13:$J$13,打分卡!$K$13:$O$13),1)</f>
        <v>4</v>
      </c>
      <c r="AJ93" s="42">
        <f>IFERROR(LOOKUP(Y93,打分卡!$F$14:$J$14,打分卡!$K$14:$O$14),1)</f>
        <v>5</v>
      </c>
      <c r="AK93" s="42">
        <f>IFERROR(LOOKUP(W93,打分卡!$F$15:$J$15,打分卡!$K$15:$O$15),1)</f>
        <v>4</v>
      </c>
      <c r="AL93" s="45">
        <f t="shared" si="9"/>
        <v>3</v>
      </c>
      <c r="AM93" s="42">
        <f>IFERROR(LOOKUP(Z93,打分卡!$F$17:$H$17,打分卡!$K$17:$M$17),1)</f>
        <v>3</v>
      </c>
      <c r="AN93" s="46">
        <f>(打分卡!$D$7*AC93+打分卡!$D$8*AD93+打分卡!$D$9*AE93)/5</f>
        <v>29.2</v>
      </c>
      <c r="AO93" s="46">
        <f>(打分卡!$D$10*AF93+打分卡!$D$11*AG93)/5</f>
        <v>16</v>
      </c>
      <c r="AP93" s="46">
        <f>(打分卡!$D$12*AH93+打分卡!$D$13*AI93+打分卡!$D$14*AJ93+打分卡!$D$15*AK93)/5</f>
        <v>25.2</v>
      </c>
      <c r="AQ93" s="46">
        <f>(打分卡!$D$16*AL93+打分卡!$D$17*AM93)/5</f>
        <v>6</v>
      </c>
      <c r="AR93" s="48">
        <f t="shared" si="10"/>
        <v>76.4</v>
      </c>
      <c r="AS93" s="45" t="str">
        <f t="shared" si="11"/>
        <v>KA</v>
      </c>
      <c r="AT93" s="45" t="str">
        <f t="shared" si="12"/>
        <v/>
      </c>
      <c r="AU93" s="45" t="str">
        <f t="shared" si="13"/>
        <v>扩·深化：AI外呼场景深化+Push/企微补全</v>
      </c>
    </row>
    <row r="94" ht="15" customHeight="1" spans="1:47">
      <c r="A94" s="30" t="s">
        <v>479</v>
      </c>
      <c r="B94" s="31" t="s">
        <v>480</v>
      </c>
      <c r="C94" s="31" t="s">
        <v>239</v>
      </c>
      <c r="D94" s="31" t="s">
        <v>227</v>
      </c>
      <c r="E94" s="31" t="s">
        <v>197</v>
      </c>
      <c r="F94" s="30" t="s">
        <v>481</v>
      </c>
      <c r="G94" s="31">
        <v>13</v>
      </c>
      <c r="H94" s="31" t="s">
        <v>183</v>
      </c>
      <c r="I94" s="31" t="s">
        <v>302</v>
      </c>
      <c r="J94" s="33">
        <v>204100</v>
      </c>
      <c r="K94" s="33">
        <v>119100</v>
      </c>
      <c r="L94" s="33">
        <v>43000</v>
      </c>
      <c r="M94" s="33">
        <f t="shared" si="8"/>
        <v>366200</v>
      </c>
      <c r="N94" s="34">
        <f t="shared" si="14"/>
        <v>0.00191985471596426</v>
      </c>
      <c r="O94" s="35">
        <f>SUM($M$2:M94)</f>
        <v>126767500</v>
      </c>
      <c r="P94" s="34">
        <f t="shared" si="15"/>
        <v>0.664596348186781</v>
      </c>
      <c r="Q94" s="37">
        <v>39</v>
      </c>
      <c r="R94" s="31">
        <v>9</v>
      </c>
      <c r="S94" s="31">
        <v>4</v>
      </c>
      <c r="T94" s="31">
        <v>2</v>
      </c>
      <c r="U94" s="37">
        <v>37.8</v>
      </c>
      <c r="V94" s="31">
        <v>26</v>
      </c>
      <c r="W94" s="31">
        <v>4</v>
      </c>
      <c r="X94" s="38">
        <v>360</v>
      </c>
      <c r="Y94" s="31">
        <v>2</v>
      </c>
      <c r="Z94" s="31">
        <v>1</v>
      </c>
      <c r="AA94" s="31" t="s">
        <v>185</v>
      </c>
      <c r="AB94" s="31" t="s">
        <v>220</v>
      </c>
      <c r="AC94" s="41">
        <f>IFERROR(LOOKUP(M94,打分卡!$F$7:$J$7,打分卡!$K$7:$O$7),1)</f>
        <v>4</v>
      </c>
      <c r="AD94" s="41">
        <f>IFERROR(LOOKUP(S94,打分卡!$F$8:$J$8,打分卡!$K$8:$O$8),1)</f>
        <v>4</v>
      </c>
      <c r="AE94" s="41">
        <f>IFERROR(LOOKUP(T94,打分卡!$F$9:$I$9,打分卡!$K$9:$N$9),1)</f>
        <v>3</v>
      </c>
      <c r="AF94" s="41">
        <f>IFERROR(LOOKUP(Q94,打分卡!$F$10:$J$10,打分卡!$K$10:$O$10),1)</f>
        <v>4</v>
      </c>
      <c r="AG94" s="41">
        <f>IFERROR(LOOKUP(R94,打分卡!$F$11:$J$11,打分卡!$K$11:$O$11),1)</f>
        <v>4</v>
      </c>
      <c r="AH94" s="41">
        <f>IFERROR(LOOKUP(U94,打分卡!$F$12:$J$12,打分卡!$K$12:$O$12),1)</f>
        <v>4</v>
      </c>
      <c r="AI94" s="41">
        <f>IFERROR(LOOKUP(X94,打分卡!$F$13:$J$13,打分卡!$K$13:$O$13),1)</f>
        <v>5</v>
      </c>
      <c r="AJ94" s="41">
        <f>IFERROR(LOOKUP(Y94,打分卡!$F$14:$J$14,打分卡!$K$14:$O$14),1)</f>
        <v>3</v>
      </c>
      <c r="AK94" s="41">
        <f>IFERROR(LOOKUP(W94,打分卡!$F$15:$J$15,打分卡!$K$15:$O$15),1)</f>
        <v>3</v>
      </c>
      <c r="AL94" s="43">
        <f t="shared" si="9"/>
        <v>3</v>
      </c>
      <c r="AM94" s="41">
        <f>IFERROR(LOOKUP(Z94,打分卡!$F$17:$H$17,打分卡!$K$17:$M$17),1)</f>
        <v>3</v>
      </c>
      <c r="AN94" s="44">
        <f>(打分卡!$D$7*AC94+打分卡!$D$8*AD94+打分卡!$D$9*AE94)/5</f>
        <v>30.6</v>
      </c>
      <c r="AO94" s="44">
        <f>(打分卡!$D$10*AF94+打分卡!$D$11*AG94)/5</f>
        <v>16</v>
      </c>
      <c r="AP94" s="44">
        <f>(打分卡!$D$12*AH94+打分卡!$D$13*AI94+打分卡!$D$14*AJ94+打分卡!$D$15*AK94)/5</f>
        <v>23.6</v>
      </c>
      <c r="AQ94" s="44">
        <f>(打分卡!$D$16*AL94+打分卡!$D$17*AM94)/5</f>
        <v>6</v>
      </c>
      <c r="AR94" s="47">
        <f t="shared" si="10"/>
        <v>76.2</v>
      </c>
      <c r="AS94" s="43" t="str">
        <f t="shared" si="11"/>
        <v>KA</v>
      </c>
      <c r="AT94" s="43" t="str">
        <f t="shared" si="12"/>
        <v/>
      </c>
      <c r="AU94" s="43" t="str">
        <f t="shared" si="13"/>
        <v>扩·深化：AI外呼场景深化+Push/企微补全</v>
      </c>
    </row>
    <row r="95" ht="15" customHeight="1" spans="1:47">
      <c r="A95" s="20" t="s">
        <v>482</v>
      </c>
      <c r="B95" s="22" t="s">
        <v>483</v>
      </c>
      <c r="C95" s="22" t="s">
        <v>179</v>
      </c>
      <c r="D95" s="22" t="s">
        <v>252</v>
      </c>
      <c r="E95" s="22" t="s">
        <v>197</v>
      </c>
      <c r="F95" s="20" t="s">
        <v>469</v>
      </c>
      <c r="G95" s="22">
        <v>7</v>
      </c>
      <c r="H95" s="22" t="s">
        <v>183</v>
      </c>
      <c r="I95" s="22" t="s">
        <v>302</v>
      </c>
      <c r="J95" s="36">
        <v>206300</v>
      </c>
      <c r="K95" s="36">
        <v>79000</v>
      </c>
      <c r="L95" s="36">
        <v>78700</v>
      </c>
      <c r="M95" s="36">
        <f t="shared" si="8"/>
        <v>364000</v>
      </c>
      <c r="N95" s="34">
        <f t="shared" si="14"/>
        <v>0.00190832090827687</v>
      </c>
      <c r="O95" s="35">
        <f>SUM($M$2:M95)</f>
        <v>127131500</v>
      </c>
      <c r="P95" s="34">
        <f t="shared" si="15"/>
        <v>0.666504669095057</v>
      </c>
      <c r="Q95" s="39">
        <v>47.5</v>
      </c>
      <c r="R95" s="22">
        <v>17</v>
      </c>
      <c r="S95" s="22">
        <v>2</v>
      </c>
      <c r="T95" s="22">
        <v>3</v>
      </c>
      <c r="U95" s="39">
        <v>119.6</v>
      </c>
      <c r="V95" s="22">
        <v>27</v>
      </c>
      <c r="W95" s="22">
        <v>8</v>
      </c>
      <c r="X95" s="40">
        <v>214</v>
      </c>
      <c r="Y95" s="22">
        <v>5</v>
      </c>
      <c r="Z95" s="22">
        <v>0</v>
      </c>
      <c r="AA95" s="22" t="s">
        <v>185</v>
      </c>
      <c r="AB95" s="22" t="s">
        <v>220</v>
      </c>
      <c r="AC95" s="42">
        <f>IFERROR(LOOKUP(M95,打分卡!$F$7:$J$7,打分卡!$K$7:$O$7),1)</f>
        <v>4</v>
      </c>
      <c r="AD95" s="42">
        <f>IFERROR(LOOKUP(S95,打分卡!$F$8:$J$8,打分卡!$K$8:$O$8),1)</f>
        <v>2</v>
      </c>
      <c r="AE95" s="42">
        <f>IFERROR(LOOKUP(T95,打分卡!$F$9:$I$9,打分卡!$K$9:$N$9),1)</f>
        <v>5</v>
      </c>
      <c r="AF95" s="42">
        <f>IFERROR(LOOKUP(Q95,打分卡!$F$10:$J$10,打分卡!$K$10:$O$10),1)</f>
        <v>4</v>
      </c>
      <c r="AG95" s="42">
        <f>IFERROR(LOOKUP(R95,打分卡!$F$11:$J$11,打分卡!$K$11:$O$11),1)</f>
        <v>5</v>
      </c>
      <c r="AH95" s="42">
        <f>IFERROR(LOOKUP(U95,打分卡!$F$12:$J$12,打分卡!$K$12:$O$12),1)</f>
        <v>5</v>
      </c>
      <c r="AI95" s="42">
        <f>IFERROR(LOOKUP(X95,打分卡!$F$13:$J$13,打分卡!$K$13:$O$13),1)</f>
        <v>5</v>
      </c>
      <c r="AJ95" s="42">
        <f>IFERROR(LOOKUP(Y95,打分卡!$F$14:$J$14,打分卡!$K$14:$O$14),1)</f>
        <v>5</v>
      </c>
      <c r="AK95" s="42">
        <f>IFERROR(LOOKUP(W95,打分卡!$F$15:$J$15,打分卡!$K$15:$O$15),1)</f>
        <v>4</v>
      </c>
      <c r="AL95" s="45">
        <f t="shared" si="9"/>
        <v>3</v>
      </c>
      <c r="AM95" s="42">
        <f>IFERROR(LOOKUP(Z95,打分卡!$F$17:$H$17,打分卡!$K$17:$M$17),1)</f>
        <v>1</v>
      </c>
      <c r="AN95" s="46">
        <f>(打分卡!$D$7*AC95+打分卡!$D$8*AD95+打分卡!$D$9*AE95)/5</f>
        <v>30.2</v>
      </c>
      <c r="AO95" s="46">
        <f>(打分卡!$D$10*AF95+打分卡!$D$11*AG95)/5</f>
        <v>18</v>
      </c>
      <c r="AP95" s="46">
        <f>(打分卡!$D$12*AH95+打分卡!$D$13*AI95+打分卡!$D$14*AJ95+打分卡!$D$15*AK95)/5</f>
        <v>29.2</v>
      </c>
      <c r="AQ95" s="46">
        <f>(打分卡!$D$16*AL95+打分卡!$D$17*AM95)/5</f>
        <v>4.4</v>
      </c>
      <c r="AR95" s="48">
        <f t="shared" si="10"/>
        <v>81.8</v>
      </c>
      <c r="AS95" s="45" t="str">
        <f t="shared" si="11"/>
        <v>KA</v>
      </c>
      <c r="AT95" s="45" t="str">
        <f t="shared" si="12"/>
        <v/>
      </c>
      <c r="AU95" s="45" t="str">
        <f t="shared" si="13"/>
        <v>扩·深化：AI外呼场景深化+Push/企微补全</v>
      </c>
    </row>
    <row r="96" ht="15" customHeight="1" spans="1:47">
      <c r="A96" s="30" t="s">
        <v>484</v>
      </c>
      <c r="B96" s="31" t="s">
        <v>485</v>
      </c>
      <c r="C96" s="31" t="s">
        <v>223</v>
      </c>
      <c r="D96" s="31" t="s">
        <v>235</v>
      </c>
      <c r="E96" s="31" t="s">
        <v>181</v>
      </c>
      <c r="F96" s="30" t="s">
        <v>348</v>
      </c>
      <c r="G96" s="31">
        <v>23</v>
      </c>
      <c r="H96" s="31" t="s">
        <v>192</v>
      </c>
      <c r="I96" s="31" t="s">
        <v>184</v>
      </c>
      <c r="J96" s="33">
        <v>228800</v>
      </c>
      <c r="K96" s="33">
        <v>114800</v>
      </c>
      <c r="L96" s="33">
        <v>18100</v>
      </c>
      <c r="M96" s="33">
        <f t="shared" si="8"/>
        <v>361700</v>
      </c>
      <c r="N96" s="34">
        <f t="shared" si="14"/>
        <v>0.00189626283660369</v>
      </c>
      <c r="O96" s="35">
        <f>SUM($M$2:M96)</f>
        <v>127493200</v>
      </c>
      <c r="P96" s="34">
        <f t="shared" si="15"/>
        <v>0.668400931931661</v>
      </c>
      <c r="Q96" s="37">
        <v>31.2</v>
      </c>
      <c r="R96" s="31">
        <v>15</v>
      </c>
      <c r="S96" s="31">
        <v>2</v>
      </c>
      <c r="T96" s="31">
        <v>2</v>
      </c>
      <c r="U96" s="37">
        <v>96.8</v>
      </c>
      <c r="V96" s="31">
        <v>36</v>
      </c>
      <c r="W96" s="31">
        <v>9</v>
      </c>
      <c r="X96" s="38">
        <v>116</v>
      </c>
      <c r="Y96" s="31">
        <v>3</v>
      </c>
      <c r="Z96" s="31">
        <v>2</v>
      </c>
      <c r="AA96" s="31" t="s">
        <v>185</v>
      </c>
      <c r="AB96" s="31" t="s">
        <v>220</v>
      </c>
      <c r="AC96" s="41">
        <f>IFERROR(LOOKUP(M96,打分卡!$F$7:$J$7,打分卡!$K$7:$O$7),1)</f>
        <v>4</v>
      </c>
      <c r="AD96" s="41">
        <f>IFERROR(LOOKUP(S96,打分卡!$F$8:$J$8,打分卡!$K$8:$O$8),1)</f>
        <v>2</v>
      </c>
      <c r="AE96" s="41">
        <f>IFERROR(LOOKUP(T96,打分卡!$F$9:$I$9,打分卡!$K$9:$N$9),1)</f>
        <v>3</v>
      </c>
      <c r="AF96" s="41">
        <f>IFERROR(LOOKUP(Q96,打分卡!$F$10:$J$10,打分卡!$K$10:$O$10),1)</f>
        <v>4</v>
      </c>
      <c r="AG96" s="41">
        <f>IFERROR(LOOKUP(R96,打分卡!$F$11:$J$11,打分卡!$K$11:$O$11),1)</f>
        <v>5</v>
      </c>
      <c r="AH96" s="41">
        <f>IFERROR(LOOKUP(U96,打分卡!$F$12:$J$12,打分卡!$K$12:$O$12),1)</f>
        <v>5</v>
      </c>
      <c r="AI96" s="41">
        <f>IFERROR(LOOKUP(X96,打分卡!$F$13:$J$13,打分卡!$K$13:$O$13),1)</f>
        <v>4</v>
      </c>
      <c r="AJ96" s="41">
        <f>IFERROR(LOOKUP(Y96,打分卡!$F$14:$J$14,打分卡!$K$14:$O$14),1)</f>
        <v>4</v>
      </c>
      <c r="AK96" s="41">
        <f>IFERROR(LOOKUP(W96,打分卡!$F$15:$J$15,打分卡!$K$15:$O$15),1)</f>
        <v>4</v>
      </c>
      <c r="AL96" s="43">
        <f t="shared" si="9"/>
        <v>3</v>
      </c>
      <c r="AM96" s="41">
        <f>IFERROR(LOOKUP(Z96,打分卡!$F$17:$H$17,打分卡!$K$17:$M$17),1)</f>
        <v>5</v>
      </c>
      <c r="AN96" s="44">
        <f>(打分卡!$D$7*AC96+打分卡!$D$8*AD96+打分卡!$D$9*AE96)/5</f>
        <v>27.4</v>
      </c>
      <c r="AO96" s="44">
        <f>(打分卡!$D$10*AF96+打分卡!$D$11*AG96)/5</f>
        <v>18</v>
      </c>
      <c r="AP96" s="44">
        <f>(打分卡!$D$12*AH96+打分卡!$D$13*AI96+打分卡!$D$14*AJ96+打分卡!$D$15*AK96)/5</f>
        <v>26.4</v>
      </c>
      <c r="AQ96" s="44">
        <f>(打分卡!$D$16*AL96+打分卡!$D$17*AM96)/5</f>
        <v>7.6</v>
      </c>
      <c r="AR96" s="47">
        <f t="shared" si="10"/>
        <v>79.4</v>
      </c>
      <c r="AS96" s="43" t="str">
        <f t="shared" si="11"/>
        <v>KA</v>
      </c>
      <c r="AT96" s="43" t="str">
        <f t="shared" si="12"/>
        <v/>
      </c>
      <c r="AU96" s="43" t="str">
        <f t="shared" si="13"/>
        <v>扩·深化：AI外呼场景深化+Push/企微补全</v>
      </c>
    </row>
    <row r="97" ht="15" customHeight="1" spans="1:47">
      <c r="A97" s="20" t="s">
        <v>486</v>
      </c>
      <c r="B97" s="22" t="s">
        <v>487</v>
      </c>
      <c r="C97" s="22" t="s">
        <v>189</v>
      </c>
      <c r="D97" s="22" t="s">
        <v>180</v>
      </c>
      <c r="E97" s="22" t="s">
        <v>181</v>
      </c>
      <c r="F97" s="20" t="s">
        <v>488</v>
      </c>
      <c r="G97" s="22">
        <v>9</v>
      </c>
      <c r="H97" s="22" t="s">
        <v>183</v>
      </c>
      <c r="I97" s="22" t="s">
        <v>184</v>
      </c>
      <c r="J97" s="36">
        <v>179000</v>
      </c>
      <c r="K97" s="36">
        <v>72800</v>
      </c>
      <c r="L97" s="36">
        <v>107600</v>
      </c>
      <c r="M97" s="36">
        <f t="shared" si="8"/>
        <v>359400</v>
      </c>
      <c r="N97" s="34">
        <f t="shared" si="14"/>
        <v>0.00188420476493051</v>
      </c>
      <c r="O97" s="35">
        <f>SUM($M$2:M97)</f>
        <v>127852600</v>
      </c>
      <c r="P97" s="34">
        <f t="shared" si="15"/>
        <v>0.670285136696592</v>
      </c>
      <c r="Q97" s="39">
        <v>48.7</v>
      </c>
      <c r="R97" s="22">
        <v>12</v>
      </c>
      <c r="S97" s="22">
        <v>2</v>
      </c>
      <c r="T97" s="22">
        <v>3</v>
      </c>
      <c r="U97" s="39">
        <v>62.2</v>
      </c>
      <c r="V97" s="22">
        <v>23</v>
      </c>
      <c r="W97" s="22">
        <v>10</v>
      </c>
      <c r="X97" s="40">
        <v>689</v>
      </c>
      <c r="Y97" s="22">
        <v>4</v>
      </c>
      <c r="Z97" s="22">
        <v>0</v>
      </c>
      <c r="AA97" s="22" t="s">
        <v>185</v>
      </c>
      <c r="AB97" s="22" t="s">
        <v>220</v>
      </c>
      <c r="AC97" s="42">
        <f>IFERROR(LOOKUP(M97,打分卡!$F$7:$J$7,打分卡!$K$7:$O$7),1)</f>
        <v>4</v>
      </c>
      <c r="AD97" s="42">
        <f>IFERROR(LOOKUP(S97,打分卡!$F$8:$J$8,打分卡!$K$8:$O$8),1)</f>
        <v>2</v>
      </c>
      <c r="AE97" s="42">
        <f>IFERROR(LOOKUP(T97,打分卡!$F$9:$I$9,打分卡!$K$9:$N$9),1)</f>
        <v>5</v>
      </c>
      <c r="AF97" s="42">
        <f>IFERROR(LOOKUP(Q97,打分卡!$F$10:$J$10,打分卡!$K$10:$O$10),1)</f>
        <v>4</v>
      </c>
      <c r="AG97" s="42">
        <f>IFERROR(LOOKUP(R97,打分卡!$F$11:$J$11,打分卡!$K$11:$O$11),1)</f>
        <v>4</v>
      </c>
      <c r="AH97" s="42">
        <f>IFERROR(LOOKUP(U97,打分卡!$F$12:$J$12,打分卡!$K$12:$O$12),1)</f>
        <v>4</v>
      </c>
      <c r="AI97" s="42">
        <f>IFERROR(LOOKUP(X97,打分卡!$F$13:$J$13,打分卡!$K$13:$O$13),1)</f>
        <v>5</v>
      </c>
      <c r="AJ97" s="42">
        <f>IFERROR(LOOKUP(Y97,打分卡!$F$14:$J$14,打分卡!$K$14:$O$14),1)</f>
        <v>4</v>
      </c>
      <c r="AK97" s="42">
        <f>IFERROR(LOOKUP(W97,打分卡!$F$15:$J$15,打分卡!$K$15:$O$15),1)</f>
        <v>4</v>
      </c>
      <c r="AL97" s="45">
        <f t="shared" si="9"/>
        <v>3</v>
      </c>
      <c r="AM97" s="42">
        <f>IFERROR(LOOKUP(Z97,打分卡!$F$17:$H$17,打分卡!$K$17:$M$17),1)</f>
        <v>1</v>
      </c>
      <c r="AN97" s="46">
        <f>(打分卡!$D$7*AC97+打分卡!$D$8*AD97+打分卡!$D$9*AE97)/5</f>
        <v>30.2</v>
      </c>
      <c r="AO97" s="46">
        <f>(打分卡!$D$10*AF97+打分卡!$D$11*AG97)/5</f>
        <v>16</v>
      </c>
      <c r="AP97" s="46">
        <f>(打分卡!$D$12*AH97+打分卡!$D$13*AI97+打分卡!$D$14*AJ97+打分卡!$D$15*AK97)/5</f>
        <v>25.6</v>
      </c>
      <c r="AQ97" s="46">
        <f>(打分卡!$D$16*AL97+打分卡!$D$17*AM97)/5</f>
        <v>4.4</v>
      </c>
      <c r="AR97" s="48">
        <f t="shared" si="10"/>
        <v>76.2</v>
      </c>
      <c r="AS97" s="45" t="str">
        <f t="shared" si="11"/>
        <v>KA</v>
      </c>
      <c r="AT97" s="45" t="str">
        <f t="shared" si="12"/>
        <v/>
      </c>
      <c r="AU97" s="45" t="str">
        <f t="shared" si="13"/>
        <v>扩·深化：AI外呼场景深化+Push/企微补全</v>
      </c>
    </row>
    <row r="98" ht="15" customHeight="1" spans="1:47">
      <c r="A98" s="30" t="s">
        <v>489</v>
      </c>
      <c r="B98" s="31" t="s">
        <v>490</v>
      </c>
      <c r="C98" s="31" t="s">
        <v>223</v>
      </c>
      <c r="D98" s="31" t="s">
        <v>196</v>
      </c>
      <c r="E98" s="31" t="s">
        <v>197</v>
      </c>
      <c r="F98" s="30" t="s">
        <v>491</v>
      </c>
      <c r="G98" s="31">
        <v>25</v>
      </c>
      <c r="H98" s="31" t="s">
        <v>192</v>
      </c>
      <c r="I98" s="31" t="s">
        <v>184</v>
      </c>
      <c r="J98" s="33">
        <v>183900</v>
      </c>
      <c r="K98" s="33">
        <v>84400</v>
      </c>
      <c r="L98" s="33">
        <v>90100</v>
      </c>
      <c r="M98" s="33">
        <f t="shared" si="8"/>
        <v>358400</v>
      </c>
      <c r="N98" s="34">
        <f t="shared" si="14"/>
        <v>0.00187896212507261</v>
      </c>
      <c r="O98" s="35">
        <f>SUM($M$2:M98)</f>
        <v>128211000</v>
      </c>
      <c r="P98" s="34">
        <f t="shared" si="15"/>
        <v>0.672164098821664</v>
      </c>
      <c r="Q98" s="37">
        <v>25.7</v>
      </c>
      <c r="R98" s="31">
        <v>6</v>
      </c>
      <c r="S98" s="31">
        <v>3</v>
      </c>
      <c r="T98" s="31">
        <v>1</v>
      </c>
      <c r="U98" s="37">
        <v>28.2</v>
      </c>
      <c r="V98" s="31">
        <v>22</v>
      </c>
      <c r="W98" s="31">
        <v>3</v>
      </c>
      <c r="X98" s="38">
        <v>586</v>
      </c>
      <c r="Y98" s="31">
        <v>6</v>
      </c>
      <c r="Z98" s="31">
        <v>1</v>
      </c>
      <c r="AA98" s="31" t="s">
        <v>185</v>
      </c>
      <c r="AB98" s="31" t="s">
        <v>220</v>
      </c>
      <c r="AC98" s="41">
        <f>IFERROR(LOOKUP(M98,打分卡!$F$7:$J$7,打分卡!$K$7:$O$7),1)</f>
        <v>4</v>
      </c>
      <c r="AD98" s="41">
        <f>IFERROR(LOOKUP(S98,打分卡!$F$8:$J$8,打分卡!$K$8:$O$8),1)</f>
        <v>3</v>
      </c>
      <c r="AE98" s="41">
        <f>IFERROR(LOOKUP(T98,打分卡!$F$9:$I$9,打分卡!$K$9:$N$9),1)</f>
        <v>2</v>
      </c>
      <c r="AF98" s="41">
        <f>IFERROR(LOOKUP(Q98,打分卡!$F$10:$J$10,打分卡!$K$10:$O$10),1)</f>
        <v>4</v>
      </c>
      <c r="AG98" s="41">
        <f>IFERROR(LOOKUP(R98,打分卡!$F$11:$J$11,打分卡!$K$11:$O$11),1)</f>
        <v>3</v>
      </c>
      <c r="AH98" s="41">
        <f>IFERROR(LOOKUP(U98,打分卡!$F$12:$J$12,打分卡!$K$12:$O$12),1)</f>
        <v>3</v>
      </c>
      <c r="AI98" s="41">
        <f>IFERROR(LOOKUP(X98,打分卡!$F$13:$J$13,打分卡!$K$13:$O$13),1)</f>
        <v>5</v>
      </c>
      <c r="AJ98" s="41">
        <f>IFERROR(LOOKUP(Y98,打分卡!$F$14:$J$14,打分卡!$K$14:$O$14),1)</f>
        <v>5</v>
      </c>
      <c r="AK98" s="41">
        <f>IFERROR(LOOKUP(W98,打分卡!$F$15:$J$15,打分卡!$K$15:$O$15),1)</f>
        <v>3</v>
      </c>
      <c r="AL98" s="43">
        <f t="shared" si="9"/>
        <v>3</v>
      </c>
      <c r="AM98" s="41">
        <f>IFERROR(LOOKUP(Z98,打分卡!$F$17:$H$17,打分卡!$K$17:$M$17),1)</f>
        <v>3</v>
      </c>
      <c r="AN98" s="44">
        <f>(打分卡!$D$7*AC98+打分卡!$D$8*AD98+打分卡!$D$9*AE98)/5</f>
        <v>27.6</v>
      </c>
      <c r="AO98" s="44">
        <f>(打分卡!$D$10*AF98+打分卡!$D$11*AG98)/5</f>
        <v>14</v>
      </c>
      <c r="AP98" s="44">
        <f>(打分卡!$D$12*AH98+打分卡!$D$13*AI98+打分卡!$D$14*AJ98+打分卡!$D$15*AK98)/5</f>
        <v>23.6</v>
      </c>
      <c r="AQ98" s="44">
        <f>(打分卡!$D$16*AL98+打分卡!$D$17*AM98)/5</f>
        <v>6</v>
      </c>
      <c r="AR98" s="47">
        <f t="shared" si="10"/>
        <v>71.2</v>
      </c>
      <c r="AS98" s="43" t="str">
        <f t="shared" si="11"/>
        <v>腰部</v>
      </c>
      <c r="AT98" s="43" t="str">
        <f t="shared" si="12"/>
        <v/>
      </c>
      <c r="AU98" s="43" t="str">
        <f t="shared" si="13"/>
        <v>拉·主攻：主推AI外呼+大促作战包</v>
      </c>
    </row>
    <row r="99" ht="15" customHeight="1" spans="1:47">
      <c r="A99" s="20" t="s">
        <v>492</v>
      </c>
      <c r="B99" s="22" t="s">
        <v>493</v>
      </c>
      <c r="C99" s="22" t="s">
        <v>223</v>
      </c>
      <c r="D99" s="22" t="s">
        <v>235</v>
      </c>
      <c r="E99" s="22" t="s">
        <v>181</v>
      </c>
      <c r="F99" s="20" t="s">
        <v>494</v>
      </c>
      <c r="G99" s="22">
        <v>10</v>
      </c>
      <c r="H99" s="22" t="s">
        <v>192</v>
      </c>
      <c r="I99" s="22" t="s">
        <v>184</v>
      </c>
      <c r="J99" s="36">
        <v>169500</v>
      </c>
      <c r="K99" s="36">
        <v>102400</v>
      </c>
      <c r="L99" s="36">
        <v>80600</v>
      </c>
      <c r="M99" s="36">
        <f t="shared" si="8"/>
        <v>352500</v>
      </c>
      <c r="N99" s="34">
        <f t="shared" si="14"/>
        <v>0.00184803054991098</v>
      </c>
      <c r="O99" s="35">
        <f>SUM($M$2:M99)</f>
        <v>128563500</v>
      </c>
      <c r="P99" s="34">
        <f t="shared" si="15"/>
        <v>0.674012129371575</v>
      </c>
      <c r="Q99" s="39">
        <v>52.5</v>
      </c>
      <c r="R99" s="22">
        <v>13</v>
      </c>
      <c r="S99" s="22">
        <v>2</v>
      </c>
      <c r="T99" s="22">
        <v>2</v>
      </c>
      <c r="U99" s="39">
        <v>291.7</v>
      </c>
      <c r="V99" s="22">
        <v>10</v>
      </c>
      <c r="W99" s="22">
        <v>6</v>
      </c>
      <c r="X99" s="40">
        <v>312</v>
      </c>
      <c r="Y99" s="22">
        <v>5</v>
      </c>
      <c r="Z99" s="22">
        <v>2</v>
      </c>
      <c r="AA99" s="22" t="s">
        <v>199</v>
      </c>
      <c r="AB99" s="22" t="s">
        <v>220</v>
      </c>
      <c r="AC99" s="42">
        <f>IFERROR(LOOKUP(M99,打分卡!$F$7:$J$7,打分卡!$K$7:$O$7),1)</f>
        <v>4</v>
      </c>
      <c r="AD99" s="42">
        <f>IFERROR(LOOKUP(S99,打分卡!$F$8:$J$8,打分卡!$K$8:$O$8),1)</f>
        <v>2</v>
      </c>
      <c r="AE99" s="42">
        <f>IFERROR(LOOKUP(T99,打分卡!$F$9:$I$9,打分卡!$K$9:$N$9),1)</f>
        <v>3</v>
      </c>
      <c r="AF99" s="42">
        <f>IFERROR(LOOKUP(Q99,打分卡!$F$10:$J$10,打分卡!$K$10:$O$10),1)</f>
        <v>4</v>
      </c>
      <c r="AG99" s="42">
        <f>IFERROR(LOOKUP(R99,打分卡!$F$11:$J$11,打分卡!$K$11:$O$11),1)</f>
        <v>4</v>
      </c>
      <c r="AH99" s="42">
        <f>IFERROR(LOOKUP(U99,打分卡!$F$12:$J$12,打分卡!$K$12:$O$12),1)</f>
        <v>5</v>
      </c>
      <c r="AI99" s="42">
        <f>IFERROR(LOOKUP(X99,打分卡!$F$13:$J$13,打分卡!$K$13:$O$13),1)</f>
        <v>5</v>
      </c>
      <c r="AJ99" s="42">
        <f>IFERROR(LOOKUP(Y99,打分卡!$F$14:$J$14,打分卡!$K$14:$O$14),1)</f>
        <v>5</v>
      </c>
      <c r="AK99" s="42">
        <f>IFERROR(LOOKUP(W99,打分卡!$F$15:$J$15,打分卡!$K$15:$O$15),1)</f>
        <v>4</v>
      </c>
      <c r="AL99" s="45">
        <f t="shared" si="9"/>
        <v>5</v>
      </c>
      <c r="AM99" s="42">
        <f>IFERROR(LOOKUP(Z99,打分卡!$F$17:$H$17,打分卡!$K$17:$M$17),1)</f>
        <v>5</v>
      </c>
      <c r="AN99" s="46">
        <f>(打分卡!$D$7*AC99+打分卡!$D$8*AD99+打分卡!$D$9*AE99)/5</f>
        <v>27.4</v>
      </c>
      <c r="AO99" s="46">
        <f>(打分卡!$D$10*AF99+打分卡!$D$11*AG99)/5</f>
        <v>16</v>
      </c>
      <c r="AP99" s="46">
        <f>(打分卡!$D$12*AH99+打分卡!$D$13*AI99+打分卡!$D$14*AJ99+打分卡!$D$15*AK99)/5</f>
        <v>29.2</v>
      </c>
      <c r="AQ99" s="46">
        <f>(打分卡!$D$16*AL99+打分卡!$D$17*AM99)/5</f>
        <v>10</v>
      </c>
      <c r="AR99" s="48">
        <f t="shared" si="10"/>
        <v>82.6</v>
      </c>
      <c r="AS99" s="45" t="str">
        <f t="shared" si="11"/>
        <v>KA</v>
      </c>
      <c r="AT99" s="45" t="str">
        <f t="shared" si="12"/>
        <v/>
      </c>
      <c r="AU99" s="45" t="str">
        <f t="shared" si="13"/>
        <v>扩·深化：AI外呼场景深化+Push/企微补全</v>
      </c>
    </row>
    <row r="100" ht="15" customHeight="1" spans="1:47">
      <c r="A100" s="30" t="s">
        <v>495</v>
      </c>
      <c r="B100" s="31" t="s">
        <v>496</v>
      </c>
      <c r="C100" s="31" t="s">
        <v>195</v>
      </c>
      <c r="D100" s="31" t="s">
        <v>190</v>
      </c>
      <c r="E100" s="31" t="s">
        <v>197</v>
      </c>
      <c r="F100" s="30" t="s">
        <v>311</v>
      </c>
      <c r="G100" s="31">
        <v>18</v>
      </c>
      <c r="H100" s="31" t="s">
        <v>183</v>
      </c>
      <c r="I100" s="31" t="s">
        <v>302</v>
      </c>
      <c r="J100" s="33">
        <v>192200</v>
      </c>
      <c r="K100" s="33">
        <v>88000</v>
      </c>
      <c r="L100" s="33">
        <v>71500</v>
      </c>
      <c r="M100" s="33">
        <f t="shared" si="8"/>
        <v>351700</v>
      </c>
      <c r="N100" s="34">
        <f t="shared" si="14"/>
        <v>0.00184383643802466</v>
      </c>
      <c r="O100" s="35">
        <f>SUM($M$2:M100)</f>
        <v>128915200</v>
      </c>
      <c r="P100" s="34">
        <f t="shared" si="15"/>
        <v>0.6758559658096</v>
      </c>
      <c r="Q100" s="37">
        <v>45.9</v>
      </c>
      <c r="R100" s="31">
        <v>10</v>
      </c>
      <c r="S100" s="31">
        <v>4</v>
      </c>
      <c r="T100" s="31">
        <v>1</v>
      </c>
      <c r="U100" s="37">
        <v>162.5</v>
      </c>
      <c r="V100" s="31">
        <v>29</v>
      </c>
      <c r="W100" s="31">
        <v>5</v>
      </c>
      <c r="X100" s="38">
        <v>129</v>
      </c>
      <c r="Y100" s="31">
        <v>6</v>
      </c>
      <c r="Z100" s="31">
        <v>2</v>
      </c>
      <c r="AA100" s="31" t="s">
        <v>315</v>
      </c>
      <c r="AB100" s="31" t="s">
        <v>220</v>
      </c>
      <c r="AC100" s="41">
        <f>IFERROR(LOOKUP(M100,打分卡!$F$7:$J$7,打分卡!$K$7:$O$7),1)</f>
        <v>4</v>
      </c>
      <c r="AD100" s="41">
        <f>IFERROR(LOOKUP(S100,打分卡!$F$8:$J$8,打分卡!$K$8:$O$8),1)</f>
        <v>4</v>
      </c>
      <c r="AE100" s="41">
        <f>IFERROR(LOOKUP(T100,打分卡!$F$9:$I$9,打分卡!$K$9:$N$9),1)</f>
        <v>2</v>
      </c>
      <c r="AF100" s="41">
        <f>IFERROR(LOOKUP(Q100,打分卡!$F$10:$J$10,打分卡!$K$10:$O$10),1)</f>
        <v>4</v>
      </c>
      <c r="AG100" s="41">
        <f>IFERROR(LOOKUP(R100,打分卡!$F$11:$J$11,打分卡!$K$11:$O$11),1)</f>
        <v>4</v>
      </c>
      <c r="AH100" s="41">
        <f>IFERROR(LOOKUP(U100,打分卡!$F$12:$J$12,打分卡!$K$12:$O$12),1)</f>
        <v>5</v>
      </c>
      <c r="AI100" s="41">
        <f>IFERROR(LOOKUP(X100,打分卡!$F$13:$J$13,打分卡!$K$13:$O$13),1)</f>
        <v>4</v>
      </c>
      <c r="AJ100" s="41">
        <f>IFERROR(LOOKUP(Y100,打分卡!$F$14:$J$14,打分卡!$K$14:$O$14),1)</f>
        <v>5</v>
      </c>
      <c r="AK100" s="41">
        <f>IFERROR(LOOKUP(W100,打分卡!$F$15:$J$15,打分卡!$K$15:$O$15),1)</f>
        <v>3</v>
      </c>
      <c r="AL100" s="43">
        <f t="shared" si="9"/>
        <v>2</v>
      </c>
      <c r="AM100" s="41">
        <f>IFERROR(LOOKUP(Z100,打分卡!$F$17:$H$17,打分卡!$K$17:$M$17),1)</f>
        <v>5</v>
      </c>
      <c r="AN100" s="44">
        <f>(打分卡!$D$7*AC100+打分卡!$D$8*AD100+打分卡!$D$9*AE100)/5</f>
        <v>29.2</v>
      </c>
      <c r="AO100" s="44">
        <f>(打分卡!$D$10*AF100+打分卡!$D$11*AG100)/5</f>
        <v>16</v>
      </c>
      <c r="AP100" s="44">
        <f>(打分卡!$D$12*AH100+打分卡!$D$13*AI100+打分卡!$D$14*AJ100+打分卡!$D$15*AK100)/5</f>
        <v>26.8</v>
      </c>
      <c r="AQ100" s="44">
        <f>(打分卡!$D$16*AL100+打分卡!$D$17*AM100)/5</f>
        <v>6.4</v>
      </c>
      <c r="AR100" s="47">
        <f t="shared" si="10"/>
        <v>78.4</v>
      </c>
      <c r="AS100" s="43" t="str">
        <f t="shared" si="11"/>
        <v>KA</v>
      </c>
      <c r="AT100" s="43" t="str">
        <f t="shared" si="12"/>
        <v/>
      </c>
      <c r="AU100" s="43" t="str">
        <f t="shared" si="13"/>
        <v>扩·深化：AI外呼场景深化+Push/企微补全</v>
      </c>
    </row>
    <row r="101" ht="15" customHeight="1" spans="1:47">
      <c r="A101" s="20" t="s">
        <v>497</v>
      </c>
      <c r="B101" s="22" t="s">
        <v>498</v>
      </c>
      <c r="C101" s="22" t="s">
        <v>189</v>
      </c>
      <c r="D101" s="22" t="s">
        <v>196</v>
      </c>
      <c r="E101" s="22" t="s">
        <v>181</v>
      </c>
      <c r="F101" s="20" t="s">
        <v>499</v>
      </c>
      <c r="G101" s="22">
        <v>22</v>
      </c>
      <c r="H101" s="22" t="s">
        <v>192</v>
      </c>
      <c r="I101" s="22" t="s">
        <v>302</v>
      </c>
      <c r="J101" s="36">
        <v>167100</v>
      </c>
      <c r="K101" s="36">
        <v>69200</v>
      </c>
      <c r="L101" s="36">
        <v>105100</v>
      </c>
      <c r="M101" s="36">
        <f t="shared" si="8"/>
        <v>341400</v>
      </c>
      <c r="N101" s="34">
        <f t="shared" si="14"/>
        <v>0.00178983724748825</v>
      </c>
      <c r="O101" s="35">
        <f>SUM($M$2:M101)</f>
        <v>129256600</v>
      </c>
      <c r="P101" s="34">
        <f t="shared" si="15"/>
        <v>0.677645803057088</v>
      </c>
      <c r="Q101" s="39">
        <v>26.4</v>
      </c>
      <c r="R101" s="22">
        <v>13</v>
      </c>
      <c r="S101" s="22">
        <v>2</v>
      </c>
      <c r="T101" s="22">
        <v>1</v>
      </c>
      <c r="U101" s="39">
        <v>36.6</v>
      </c>
      <c r="V101" s="22">
        <v>16</v>
      </c>
      <c r="W101" s="22">
        <v>9</v>
      </c>
      <c r="X101" s="40">
        <v>263</v>
      </c>
      <c r="Y101" s="22">
        <v>3</v>
      </c>
      <c r="Z101" s="22">
        <v>1</v>
      </c>
      <c r="AA101" s="22" t="s">
        <v>315</v>
      </c>
      <c r="AB101" s="22" t="s">
        <v>220</v>
      </c>
      <c r="AC101" s="42">
        <f>IFERROR(LOOKUP(M101,打分卡!$F$7:$J$7,打分卡!$K$7:$O$7),1)</f>
        <v>4</v>
      </c>
      <c r="AD101" s="42">
        <f>IFERROR(LOOKUP(S101,打分卡!$F$8:$J$8,打分卡!$K$8:$O$8),1)</f>
        <v>2</v>
      </c>
      <c r="AE101" s="42">
        <f>IFERROR(LOOKUP(T101,打分卡!$F$9:$I$9,打分卡!$K$9:$N$9),1)</f>
        <v>2</v>
      </c>
      <c r="AF101" s="42">
        <f>IFERROR(LOOKUP(Q101,打分卡!$F$10:$J$10,打分卡!$K$10:$O$10),1)</f>
        <v>4</v>
      </c>
      <c r="AG101" s="42">
        <f>IFERROR(LOOKUP(R101,打分卡!$F$11:$J$11,打分卡!$K$11:$O$11),1)</f>
        <v>4</v>
      </c>
      <c r="AH101" s="42">
        <f>IFERROR(LOOKUP(U101,打分卡!$F$12:$J$12,打分卡!$K$12:$O$12),1)</f>
        <v>4</v>
      </c>
      <c r="AI101" s="42">
        <f>IFERROR(LOOKUP(X101,打分卡!$F$13:$J$13,打分卡!$K$13:$O$13),1)</f>
        <v>5</v>
      </c>
      <c r="AJ101" s="42">
        <f>IFERROR(LOOKUP(Y101,打分卡!$F$14:$J$14,打分卡!$K$14:$O$14),1)</f>
        <v>4</v>
      </c>
      <c r="AK101" s="42">
        <f>IFERROR(LOOKUP(W101,打分卡!$F$15:$J$15,打分卡!$K$15:$O$15),1)</f>
        <v>4</v>
      </c>
      <c r="AL101" s="45">
        <f t="shared" si="9"/>
        <v>2</v>
      </c>
      <c r="AM101" s="42">
        <f>IFERROR(LOOKUP(Z101,打分卡!$F$17:$H$17,打分卡!$K$17:$M$17),1)</f>
        <v>3</v>
      </c>
      <c r="AN101" s="46">
        <f>(打分卡!$D$7*AC101+打分卡!$D$8*AD101+打分卡!$D$9*AE101)/5</f>
        <v>26</v>
      </c>
      <c r="AO101" s="46">
        <f>(打分卡!$D$10*AF101+打分卡!$D$11*AG101)/5</f>
        <v>16</v>
      </c>
      <c r="AP101" s="46">
        <f>(打分卡!$D$12*AH101+打分卡!$D$13*AI101+打分卡!$D$14*AJ101+打分卡!$D$15*AK101)/5</f>
        <v>25.6</v>
      </c>
      <c r="AQ101" s="46">
        <f>(打分卡!$D$16*AL101+打分卡!$D$17*AM101)/5</f>
        <v>4.8</v>
      </c>
      <c r="AR101" s="48">
        <f t="shared" si="10"/>
        <v>72.4</v>
      </c>
      <c r="AS101" s="45" t="str">
        <f t="shared" si="11"/>
        <v>腰部</v>
      </c>
      <c r="AT101" s="45" t="str">
        <f t="shared" si="12"/>
        <v/>
      </c>
      <c r="AU101" s="45" t="str">
        <f t="shared" si="13"/>
        <v>拉·主攻：主推AI外呼+大促作战包</v>
      </c>
    </row>
    <row r="102" ht="15" customHeight="1" spans="1:47">
      <c r="A102" s="30" t="s">
        <v>500</v>
      </c>
      <c r="B102" s="31" t="s">
        <v>501</v>
      </c>
      <c r="C102" s="31" t="s">
        <v>195</v>
      </c>
      <c r="D102" s="31" t="s">
        <v>196</v>
      </c>
      <c r="E102" s="31" t="s">
        <v>181</v>
      </c>
      <c r="F102" s="30" t="s">
        <v>502</v>
      </c>
      <c r="G102" s="31">
        <v>13</v>
      </c>
      <c r="H102" s="31" t="s">
        <v>301</v>
      </c>
      <c r="I102" s="31" t="s">
        <v>184</v>
      </c>
      <c r="J102" s="33">
        <v>168300</v>
      </c>
      <c r="K102" s="33">
        <v>74200</v>
      </c>
      <c r="L102" s="33">
        <v>97600</v>
      </c>
      <c r="M102" s="33">
        <f t="shared" si="8"/>
        <v>340100</v>
      </c>
      <c r="N102" s="34">
        <f t="shared" si="14"/>
        <v>0.00178302181567298</v>
      </c>
      <c r="O102" s="35">
        <f>SUM($M$2:M102)</f>
        <v>129596700</v>
      </c>
      <c r="P102" s="34">
        <f t="shared" si="15"/>
        <v>0.679428824872761</v>
      </c>
      <c r="Q102" s="37">
        <v>25.8</v>
      </c>
      <c r="R102" s="31">
        <v>7</v>
      </c>
      <c r="S102" s="31">
        <v>4</v>
      </c>
      <c r="T102" s="31">
        <v>1</v>
      </c>
      <c r="U102" s="37">
        <v>205.7</v>
      </c>
      <c r="V102" s="31">
        <v>22</v>
      </c>
      <c r="W102" s="31">
        <v>2</v>
      </c>
      <c r="X102" s="38">
        <v>248</v>
      </c>
      <c r="Y102" s="31">
        <v>5</v>
      </c>
      <c r="Z102" s="31">
        <v>2</v>
      </c>
      <c r="AA102" s="31" t="s">
        <v>185</v>
      </c>
      <c r="AB102" s="31" t="s">
        <v>220</v>
      </c>
      <c r="AC102" s="41">
        <f>IFERROR(LOOKUP(M102,打分卡!$F$7:$J$7,打分卡!$K$7:$O$7),1)</f>
        <v>4</v>
      </c>
      <c r="AD102" s="41">
        <f>IFERROR(LOOKUP(S102,打分卡!$F$8:$J$8,打分卡!$K$8:$O$8),1)</f>
        <v>4</v>
      </c>
      <c r="AE102" s="41">
        <f>IFERROR(LOOKUP(T102,打分卡!$F$9:$I$9,打分卡!$K$9:$N$9),1)</f>
        <v>2</v>
      </c>
      <c r="AF102" s="41">
        <f>IFERROR(LOOKUP(Q102,打分卡!$F$10:$J$10,打分卡!$K$10:$O$10),1)</f>
        <v>4</v>
      </c>
      <c r="AG102" s="41">
        <f>IFERROR(LOOKUP(R102,打分卡!$F$11:$J$11,打分卡!$K$11:$O$11),1)</f>
        <v>3</v>
      </c>
      <c r="AH102" s="41">
        <f>IFERROR(LOOKUP(U102,打分卡!$F$12:$J$12,打分卡!$K$12:$O$12),1)</f>
        <v>5</v>
      </c>
      <c r="AI102" s="41">
        <f>IFERROR(LOOKUP(X102,打分卡!$F$13:$J$13,打分卡!$K$13:$O$13),1)</f>
        <v>5</v>
      </c>
      <c r="AJ102" s="41">
        <f>IFERROR(LOOKUP(Y102,打分卡!$F$14:$J$14,打分卡!$K$14:$O$14),1)</f>
        <v>5</v>
      </c>
      <c r="AK102" s="41">
        <f>IFERROR(LOOKUP(W102,打分卡!$F$15:$J$15,打分卡!$K$15:$O$15),1)</f>
        <v>2</v>
      </c>
      <c r="AL102" s="43">
        <f t="shared" si="9"/>
        <v>3</v>
      </c>
      <c r="AM102" s="41">
        <f>IFERROR(LOOKUP(Z102,打分卡!$F$17:$H$17,打分卡!$K$17:$M$17),1)</f>
        <v>5</v>
      </c>
      <c r="AN102" s="44">
        <f>(打分卡!$D$7*AC102+打分卡!$D$8*AD102+打分卡!$D$9*AE102)/5</f>
        <v>29.2</v>
      </c>
      <c r="AO102" s="44">
        <f>(打分卡!$D$10*AF102+打分卡!$D$11*AG102)/5</f>
        <v>14</v>
      </c>
      <c r="AP102" s="44">
        <f>(打分卡!$D$12*AH102+打分卡!$D$13*AI102+打分卡!$D$14*AJ102+打分卡!$D$15*AK102)/5</f>
        <v>27.6</v>
      </c>
      <c r="AQ102" s="44">
        <f>(打分卡!$D$16*AL102+打分卡!$D$17*AM102)/5</f>
        <v>7.6</v>
      </c>
      <c r="AR102" s="47">
        <f t="shared" si="10"/>
        <v>78.4</v>
      </c>
      <c r="AS102" s="43" t="str">
        <f t="shared" si="11"/>
        <v>KA</v>
      </c>
      <c r="AT102" s="43" t="str">
        <f t="shared" si="12"/>
        <v/>
      </c>
      <c r="AU102" s="43" t="str">
        <f t="shared" si="13"/>
        <v>扩·深化：AI外呼场景深化+Push/企微补全</v>
      </c>
    </row>
    <row r="103" ht="15" customHeight="1" spans="1:47">
      <c r="A103" s="20" t="s">
        <v>503</v>
      </c>
      <c r="B103" s="22" t="s">
        <v>504</v>
      </c>
      <c r="C103" s="22" t="s">
        <v>223</v>
      </c>
      <c r="D103" s="22" t="s">
        <v>180</v>
      </c>
      <c r="E103" s="22" t="s">
        <v>181</v>
      </c>
      <c r="F103" s="20" t="s">
        <v>505</v>
      </c>
      <c r="G103" s="22">
        <v>23</v>
      </c>
      <c r="H103" s="22" t="s">
        <v>192</v>
      </c>
      <c r="I103" s="22" t="s">
        <v>302</v>
      </c>
      <c r="J103" s="36">
        <v>180300</v>
      </c>
      <c r="K103" s="36">
        <v>106600</v>
      </c>
      <c r="L103" s="36">
        <v>51600</v>
      </c>
      <c r="M103" s="36">
        <f t="shared" si="8"/>
        <v>338500</v>
      </c>
      <c r="N103" s="34">
        <f t="shared" si="14"/>
        <v>0.00177463359190033</v>
      </c>
      <c r="O103" s="35">
        <f>SUM($M$2:M103)</f>
        <v>129935200</v>
      </c>
      <c r="P103" s="34">
        <f t="shared" si="15"/>
        <v>0.681203458464661</v>
      </c>
      <c r="Q103" s="39">
        <v>48.5</v>
      </c>
      <c r="R103" s="22">
        <v>13</v>
      </c>
      <c r="S103" s="22">
        <v>3</v>
      </c>
      <c r="T103" s="22">
        <v>2</v>
      </c>
      <c r="U103" s="39">
        <v>105.4</v>
      </c>
      <c r="V103" s="22">
        <v>21</v>
      </c>
      <c r="W103" s="22">
        <v>5</v>
      </c>
      <c r="X103" s="40">
        <v>518</v>
      </c>
      <c r="Y103" s="22">
        <v>3</v>
      </c>
      <c r="Z103" s="22">
        <v>1</v>
      </c>
      <c r="AA103" s="22" t="s">
        <v>185</v>
      </c>
      <c r="AB103" s="22" t="s">
        <v>220</v>
      </c>
      <c r="AC103" s="42">
        <f>IFERROR(LOOKUP(M103,打分卡!$F$7:$J$7,打分卡!$K$7:$O$7),1)</f>
        <v>4</v>
      </c>
      <c r="AD103" s="42">
        <f>IFERROR(LOOKUP(S103,打分卡!$F$8:$J$8,打分卡!$K$8:$O$8),1)</f>
        <v>3</v>
      </c>
      <c r="AE103" s="42">
        <f>IFERROR(LOOKUP(T103,打分卡!$F$9:$I$9,打分卡!$K$9:$N$9),1)</f>
        <v>3</v>
      </c>
      <c r="AF103" s="42">
        <f>IFERROR(LOOKUP(Q103,打分卡!$F$10:$J$10,打分卡!$K$10:$O$10),1)</f>
        <v>4</v>
      </c>
      <c r="AG103" s="42">
        <f>IFERROR(LOOKUP(R103,打分卡!$F$11:$J$11,打分卡!$K$11:$O$11),1)</f>
        <v>4</v>
      </c>
      <c r="AH103" s="42">
        <f>IFERROR(LOOKUP(U103,打分卡!$F$12:$J$12,打分卡!$K$12:$O$12),1)</f>
        <v>5</v>
      </c>
      <c r="AI103" s="42">
        <f>IFERROR(LOOKUP(X103,打分卡!$F$13:$J$13,打分卡!$K$13:$O$13),1)</f>
        <v>5</v>
      </c>
      <c r="AJ103" s="42">
        <f>IFERROR(LOOKUP(Y103,打分卡!$F$14:$J$14,打分卡!$K$14:$O$14),1)</f>
        <v>4</v>
      </c>
      <c r="AK103" s="42">
        <f>IFERROR(LOOKUP(W103,打分卡!$F$15:$J$15,打分卡!$K$15:$O$15),1)</f>
        <v>3</v>
      </c>
      <c r="AL103" s="45">
        <f t="shared" si="9"/>
        <v>3</v>
      </c>
      <c r="AM103" s="42">
        <f>IFERROR(LOOKUP(Z103,打分卡!$F$17:$H$17,打分卡!$K$17:$M$17),1)</f>
        <v>3</v>
      </c>
      <c r="AN103" s="46">
        <f>(打分卡!$D$7*AC103+打分卡!$D$8*AD103+打分卡!$D$9*AE103)/5</f>
        <v>29</v>
      </c>
      <c r="AO103" s="46">
        <f>(打分卡!$D$10*AF103+打分卡!$D$11*AG103)/5</f>
        <v>16</v>
      </c>
      <c r="AP103" s="46">
        <f>(打分卡!$D$12*AH103+打分卡!$D$13*AI103+打分卡!$D$14*AJ103+打分卡!$D$15*AK103)/5</f>
        <v>27.2</v>
      </c>
      <c r="AQ103" s="46">
        <f>(打分卡!$D$16*AL103+打分卡!$D$17*AM103)/5</f>
        <v>6</v>
      </c>
      <c r="AR103" s="48">
        <f t="shared" si="10"/>
        <v>78.2</v>
      </c>
      <c r="AS103" s="45" t="str">
        <f t="shared" si="11"/>
        <v>KA</v>
      </c>
      <c r="AT103" s="45" t="str">
        <f t="shared" si="12"/>
        <v/>
      </c>
      <c r="AU103" s="45" t="str">
        <f t="shared" si="13"/>
        <v>扩·深化：AI外呼场景深化+Push/企微补全</v>
      </c>
    </row>
    <row r="104" ht="15" customHeight="1" spans="1:47">
      <c r="A104" s="30" t="s">
        <v>506</v>
      </c>
      <c r="B104" s="31" t="s">
        <v>507</v>
      </c>
      <c r="C104" s="31" t="s">
        <v>179</v>
      </c>
      <c r="D104" s="31" t="s">
        <v>196</v>
      </c>
      <c r="E104" s="31" t="s">
        <v>181</v>
      </c>
      <c r="F104" s="30" t="s">
        <v>508</v>
      </c>
      <c r="G104" s="31">
        <v>17</v>
      </c>
      <c r="H104" s="31" t="s">
        <v>183</v>
      </c>
      <c r="I104" s="31" t="s">
        <v>184</v>
      </c>
      <c r="J104" s="33">
        <v>157200</v>
      </c>
      <c r="K104" s="33">
        <v>71000</v>
      </c>
      <c r="L104" s="33">
        <v>103800</v>
      </c>
      <c r="M104" s="33">
        <f t="shared" si="8"/>
        <v>332000</v>
      </c>
      <c r="N104" s="34">
        <f t="shared" si="14"/>
        <v>0.00174055643282396</v>
      </c>
      <c r="O104" s="35">
        <f>SUM($M$2:M104)</f>
        <v>130267200</v>
      </c>
      <c r="P104" s="34">
        <f t="shared" si="15"/>
        <v>0.682944014897485</v>
      </c>
      <c r="Q104" s="37">
        <v>26.9</v>
      </c>
      <c r="R104" s="31">
        <v>17</v>
      </c>
      <c r="S104" s="31">
        <v>2</v>
      </c>
      <c r="T104" s="31">
        <v>1</v>
      </c>
      <c r="U104" s="37">
        <v>270.3</v>
      </c>
      <c r="V104" s="31">
        <v>28</v>
      </c>
      <c r="W104" s="31">
        <v>9</v>
      </c>
      <c r="X104" s="38">
        <v>734</v>
      </c>
      <c r="Y104" s="31">
        <v>6</v>
      </c>
      <c r="Z104" s="31">
        <v>0</v>
      </c>
      <c r="AA104" s="31" t="s">
        <v>199</v>
      </c>
      <c r="AB104" s="31" t="s">
        <v>220</v>
      </c>
      <c r="AC104" s="41">
        <f>IFERROR(LOOKUP(M104,打分卡!$F$7:$J$7,打分卡!$K$7:$O$7),1)</f>
        <v>4</v>
      </c>
      <c r="AD104" s="41">
        <f>IFERROR(LOOKUP(S104,打分卡!$F$8:$J$8,打分卡!$K$8:$O$8),1)</f>
        <v>2</v>
      </c>
      <c r="AE104" s="41">
        <f>IFERROR(LOOKUP(T104,打分卡!$F$9:$I$9,打分卡!$K$9:$N$9),1)</f>
        <v>2</v>
      </c>
      <c r="AF104" s="41">
        <f>IFERROR(LOOKUP(Q104,打分卡!$F$10:$J$10,打分卡!$K$10:$O$10),1)</f>
        <v>4</v>
      </c>
      <c r="AG104" s="41">
        <f>IFERROR(LOOKUP(R104,打分卡!$F$11:$J$11,打分卡!$K$11:$O$11),1)</f>
        <v>5</v>
      </c>
      <c r="AH104" s="41">
        <f>IFERROR(LOOKUP(U104,打分卡!$F$12:$J$12,打分卡!$K$12:$O$12),1)</f>
        <v>5</v>
      </c>
      <c r="AI104" s="41">
        <f>IFERROR(LOOKUP(X104,打分卡!$F$13:$J$13,打分卡!$K$13:$O$13),1)</f>
        <v>5</v>
      </c>
      <c r="AJ104" s="41">
        <f>IFERROR(LOOKUP(Y104,打分卡!$F$14:$J$14,打分卡!$K$14:$O$14),1)</f>
        <v>5</v>
      </c>
      <c r="AK104" s="41">
        <f>IFERROR(LOOKUP(W104,打分卡!$F$15:$J$15,打分卡!$K$15:$O$15),1)</f>
        <v>4</v>
      </c>
      <c r="AL104" s="43">
        <f t="shared" si="9"/>
        <v>5</v>
      </c>
      <c r="AM104" s="41">
        <f>IFERROR(LOOKUP(Z104,打分卡!$F$17:$H$17,打分卡!$K$17:$M$17),1)</f>
        <v>1</v>
      </c>
      <c r="AN104" s="44">
        <f>(打分卡!$D$7*AC104+打分卡!$D$8*AD104+打分卡!$D$9*AE104)/5</f>
        <v>26</v>
      </c>
      <c r="AO104" s="44">
        <f>(打分卡!$D$10*AF104+打分卡!$D$11*AG104)/5</f>
        <v>18</v>
      </c>
      <c r="AP104" s="44">
        <f>(打分卡!$D$12*AH104+打分卡!$D$13*AI104+打分卡!$D$14*AJ104+打分卡!$D$15*AK104)/5</f>
        <v>29.2</v>
      </c>
      <c r="AQ104" s="44">
        <f>(打分卡!$D$16*AL104+打分卡!$D$17*AM104)/5</f>
        <v>6.8</v>
      </c>
      <c r="AR104" s="47">
        <f t="shared" si="10"/>
        <v>80</v>
      </c>
      <c r="AS104" s="43" t="str">
        <f t="shared" si="11"/>
        <v>KA</v>
      </c>
      <c r="AT104" s="43" t="str">
        <f t="shared" si="12"/>
        <v/>
      </c>
      <c r="AU104" s="43" t="str">
        <f t="shared" si="13"/>
        <v>扩·深化：AI外呼场景深化+Push/企微补全</v>
      </c>
    </row>
    <row r="105" ht="15" customHeight="1" spans="1:47">
      <c r="A105" s="20" t="s">
        <v>509</v>
      </c>
      <c r="B105" s="22" t="s">
        <v>510</v>
      </c>
      <c r="C105" s="22" t="s">
        <v>218</v>
      </c>
      <c r="D105" s="22" t="s">
        <v>202</v>
      </c>
      <c r="E105" s="22" t="s">
        <v>197</v>
      </c>
      <c r="F105" s="20" t="s">
        <v>454</v>
      </c>
      <c r="G105" s="22">
        <v>23</v>
      </c>
      <c r="H105" s="22" t="s">
        <v>301</v>
      </c>
      <c r="I105" s="22" t="s">
        <v>302</v>
      </c>
      <c r="J105" s="36">
        <v>177000</v>
      </c>
      <c r="K105" s="36">
        <v>115200</v>
      </c>
      <c r="L105" s="36">
        <v>27300</v>
      </c>
      <c r="M105" s="36">
        <f t="shared" si="8"/>
        <v>319500</v>
      </c>
      <c r="N105" s="34">
        <f t="shared" si="14"/>
        <v>0.00167502343460016</v>
      </c>
      <c r="O105" s="35">
        <f>SUM($M$2:M105)</f>
        <v>130586700</v>
      </c>
      <c r="P105" s="34">
        <f t="shared" si="15"/>
        <v>0.684619038332086</v>
      </c>
      <c r="Q105" s="39">
        <v>24.4</v>
      </c>
      <c r="R105" s="22">
        <v>12</v>
      </c>
      <c r="S105" s="22">
        <v>4</v>
      </c>
      <c r="T105" s="22">
        <v>3</v>
      </c>
      <c r="U105" s="39">
        <v>30.5</v>
      </c>
      <c r="V105" s="22">
        <v>31</v>
      </c>
      <c r="W105" s="22">
        <v>8</v>
      </c>
      <c r="X105" s="40">
        <v>321</v>
      </c>
      <c r="Y105" s="22">
        <v>4</v>
      </c>
      <c r="Z105" s="22">
        <v>1</v>
      </c>
      <c r="AA105" s="22" t="s">
        <v>199</v>
      </c>
      <c r="AB105" s="22" t="s">
        <v>220</v>
      </c>
      <c r="AC105" s="42">
        <f>IFERROR(LOOKUP(M105,打分卡!$F$7:$J$7,打分卡!$K$7:$O$7),1)</f>
        <v>4</v>
      </c>
      <c r="AD105" s="42">
        <f>IFERROR(LOOKUP(S105,打分卡!$F$8:$J$8,打分卡!$K$8:$O$8),1)</f>
        <v>4</v>
      </c>
      <c r="AE105" s="42">
        <f>IFERROR(LOOKUP(T105,打分卡!$F$9:$I$9,打分卡!$K$9:$N$9),1)</f>
        <v>5</v>
      </c>
      <c r="AF105" s="42">
        <f>IFERROR(LOOKUP(Q105,打分卡!$F$10:$J$10,打分卡!$K$10:$O$10),1)</f>
        <v>4</v>
      </c>
      <c r="AG105" s="42">
        <f>IFERROR(LOOKUP(R105,打分卡!$F$11:$J$11,打分卡!$K$11:$O$11),1)</f>
        <v>4</v>
      </c>
      <c r="AH105" s="42">
        <f>IFERROR(LOOKUP(U105,打分卡!$F$12:$J$12,打分卡!$K$12:$O$12),1)</f>
        <v>3</v>
      </c>
      <c r="AI105" s="42">
        <f>IFERROR(LOOKUP(X105,打分卡!$F$13:$J$13,打分卡!$K$13:$O$13),1)</f>
        <v>5</v>
      </c>
      <c r="AJ105" s="42">
        <f>IFERROR(LOOKUP(Y105,打分卡!$F$14:$J$14,打分卡!$K$14:$O$14),1)</f>
        <v>4</v>
      </c>
      <c r="AK105" s="42">
        <f>IFERROR(LOOKUP(W105,打分卡!$F$15:$J$15,打分卡!$K$15:$O$15),1)</f>
        <v>4</v>
      </c>
      <c r="AL105" s="45">
        <f t="shared" si="9"/>
        <v>5</v>
      </c>
      <c r="AM105" s="42">
        <f>IFERROR(LOOKUP(Z105,打分卡!$F$17:$H$17,打分卡!$K$17:$M$17),1)</f>
        <v>3</v>
      </c>
      <c r="AN105" s="46">
        <f>(打分卡!$D$7*AC105+打分卡!$D$8*AD105+打分卡!$D$9*AE105)/5</f>
        <v>33.4</v>
      </c>
      <c r="AO105" s="46">
        <f>(打分卡!$D$10*AF105+打分卡!$D$11*AG105)/5</f>
        <v>16</v>
      </c>
      <c r="AP105" s="46">
        <f>(打分卡!$D$12*AH105+打分卡!$D$13*AI105+打分卡!$D$14*AJ105+打分卡!$D$15*AK105)/5</f>
        <v>23.2</v>
      </c>
      <c r="AQ105" s="46">
        <f>(打分卡!$D$16*AL105+打分卡!$D$17*AM105)/5</f>
        <v>8.4</v>
      </c>
      <c r="AR105" s="48">
        <f t="shared" si="10"/>
        <v>81</v>
      </c>
      <c r="AS105" s="45" t="str">
        <f t="shared" si="11"/>
        <v>KA</v>
      </c>
      <c r="AT105" s="45" t="str">
        <f t="shared" si="12"/>
        <v/>
      </c>
      <c r="AU105" s="45" t="str">
        <f t="shared" si="13"/>
        <v>扩·深化：AI外呼场景深化+Push/企微补全</v>
      </c>
    </row>
    <row r="106" ht="15" customHeight="1" spans="1:47">
      <c r="A106" s="30" t="s">
        <v>511</v>
      </c>
      <c r="B106" s="31" t="s">
        <v>512</v>
      </c>
      <c r="C106" s="31" t="s">
        <v>179</v>
      </c>
      <c r="D106" s="31" t="s">
        <v>196</v>
      </c>
      <c r="E106" s="31" t="s">
        <v>181</v>
      </c>
      <c r="F106" s="30" t="s">
        <v>513</v>
      </c>
      <c r="G106" s="31">
        <v>26</v>
      </c>
      <c r="H106" s="31" t="s">
        <v>183</v>
      </c>
      <c r="I106" s="31" t="s">
        <v>302</v>
      </c>
      <c r="J106" s="33">
        <v>156600</v>
      </c>
      <c r="K106" s="33">
        <v>96800</v>
      </c>
      <c r="L106" s="33">
        <v>65200</v>
      </c>
      <c r="M106" s="33">
        <f t="shared" si="8"/>
        <v>318600</v>
      </c>
      <c r="N106" s="34">
        <f t="shared" si="14"/>
        <v>0.00167030505872805</v>
      </c>
      <c r="O106" s="35">
        <f>SUM($M$2:M106)</f>
        <v>130905300</v>
      </c>
      <c r="P106" s="34">
        <f t="shared" si="15"/>
        <v>0.686289343390814</v>
      </c>
      <c r="Q106" s="37">
        <v>23.3</v>
      </c>
      <c r="R106" s="31">
        <v>14</v>
      </c>
      <c r="S106" s="31">
        <v>4</v>
      </c>
      <c r="T106" s="31">
        <v>3</v>
      </c>
      <c r="U106" s="37">
        <v>161.7</v>
      </c>
      <c r="V106" s="31">
        <v>27</v>
      </c>
      <c r="W106" s="31">
        <v>5</v>
      </c>
      <c r="X106" s="38">
        <v>568</v>
      </c>
      <c r="Y106" s="31">
        <v>6</v>
      </c>
      <c r="Z106" s="31">
        <v>0</v>
      </c>
      <c r="AA106" s="31" t="s">
        <v>185</v>
      </c>
      <c r="AB106" s="31" t="s">
        <v>220</v>
      </c>
      <c r="AC106" s="41">
        <f>IFERROR(LOOKUP(M106,打分卡!$F$7:$J$7,打分卡!$K$7:$O$7),1)</f>
        <v>4</v>
      </c>
      <c r="AD106" s="41">
        <f>IFERROR(LOOKUP(S106,打分卡!$F$8:$J$8,打分卡!$K$8:$O$8),1)</f>
        <v>4</v>
      </c>
      <c r="AE106" s="41">
        <f>IFERROR(LOOKUP(T106,打分卡!$F$9:$I$9,打分卡!$K$9:$N$9),1)</f>
        <v>5</v>
      </c>
      <c r="AF106" s="41">
        <f>IFERROR(LOOKUP(Q106,打分卡!$F$10:$J$10,打分卡!$K$10:$O$10),1)</f>
        <v>3</v>
      </c>
      <c r="AG106" s="41">
        <f>IFERROR(LOOKUP(R106,打分卡!$F$11:$J$11,打分卡!$K$11:$O$11),1)</f>
        <v>4</v>
      </c>
      <c r="AH106" s="41">
        <f>IFERROR(LOOKUP(U106,打分卡!$F$12:$J$12,打分卡!$K$12:$O$12),1)</f>
        <v>5</v>
      </c>
      <c r="AI106" s="41">
        <f>IFERROR(LOOKUP(X106,打分卡!$F$13:$J$13,打分卡!$K$13:$O$13),1)</f>
        <v>5</v>
      </c>
      <c r="AJ106" s="41">
        <f>IFERROR(LOOKUP(Y106,打分卡!$F$14:$J$14,打分卡!$K$14:$O$14),1)</f>
        <v>5</v>
      </c>
      <c r="AK106" s="41">
        <f>IFERROR(LOOKUP(W106,打分卡!$F$15:$J$15,打分卡!$K$15:$O$15),1)</f>
        <v>3</v>
      </c>
      <c r="AL106" s="43">
        <f t="shared" si="9"/>
        <v>3</v>
      </c>
      <c r="AM106" s="41">
        <f>IFERROR(LOOKUP(Z106,打分卡!$F$17:$H$17,打分卡!$K$17:$M$17),1)</f>
        <v>1</v>
      </c>
      <c r="AN106" s="44">
        <f>(打分卡!$D$7*AC106+打分卡!$D$8*AD106+打分卡!$D$9*AE106)/5</f>
        <v>33.4</v>
      </c>
      <c r="AO106" s="44">
        <f>(打分卡!$D$10*AF106+打分卡!$D$11*AG106)/5</f>
        <v>14</v>
      </c>
      <c r="AP106" s="44">
        <f>(打分卡!$D$12*AH106+打分卡!$D$13*AI106+打分卡!$D$14*AJ106+打分卡!$D$15*AK106)/5</f>
        <v>28.4</v>
      </c>
      <c r="AQ106" s="44">
        <f>(打分卡!$D$16*AL106+打分卡!$D$17*AM106)/5</f>
        <v>4.4</v>
      </c>
      <c r="AR106" s="47">
        <f t="shared" si="10"/>
        <v>80.2</v>
      </c>
      <c r="AS106" s="43" t="str">
        <f t="shared" si="11"/>
        <v>KA</v>
      </c>
      <c r="AT106" s="43" t="str">
        <f t="shared" si="12"/>
        <v/>
      </c>
      <c r="AU106" s="43" t="str">
        <f t="shared" si="13"/>
        <v>扩·深化：AI外呼场景深化+Push/企微补全</v>
      </c>
    </row>
    <row r="107" ht="15" customHeight="1" spans="1:47">
      <c r="A107" s="20" t="s">
        <v>514</v>
      </c>
      <c r="B107" s="22" t="s">
        <v>515</v>
      </c>
      <c r="C107" s="22" t="s">
        <v>239</v>
      </c>
      <c r="D107" s="22" t="s">
        <v>202</v>
      </c>
      <c r="E107" s="22" t="s">
        <v>197</v>
      </c>
      <c r="F107" s="20" t="s">
        <v>516</v>
      </c>
      <c r="G107" s="22">
        <v>22</v>
      </c>
      <c r="H107" s="22" t="s">
        <v>183</v>
      </c>
      <c r="I107" s="22" t="s">
        <v>302</v>
      </c>
      <c r="J107" s="36">
        <v>190500</v>
      </c>
      <c r="K107" s="36">
        <v>99200</v>
      </c>
      <c r="L107" s="36">
        <v>28400</v>
      </c>
      <c r="M107" s="36">
        <f t="shared" si="8"/>
        <v>318100</v>
      </c>
      <c r="N107" s="34">
        <f t="shared" si="14"/>
        <v>0.0016676837387991</v>
      </c>
      <c r="O107" s="35">
        <f>SUM($M$2:M107)</f>
        <v>131223400</v>
      </c>
      <c r="P107" s="34">
        <f t="shared" si="15"/>
        <v>0.687957027129613</v>
      </c>
      <c r="Q107" s="39">
        <v>30.7</v>
      </c>
      <c r="R107" s="22">
        <v>17</v>
      </c>
      <c r="S107" s="22">
        <v>3</v>
      </c>
      <c r="T107" s="22">
        <v>3</v>
      </c>
      <c r="U107" s="39">
        <v>37.4</v>
      </c>
      <c r="V107" s="22">
        <v>15</v>
      </c>
      <c r="W107" s="22">
        <v>7</v>
      </c>
      <c r="X107" s="40">
        <v>394</v>
      </c>
      <c r="Y107" s="22">
        <v>4</v>
      </c>
      <c r="Z107" s="22">
        <v>0</v>
      </c>
      <c r="AA107" s="22" t="s">
        <v>315</v>
      </c>
      <c r="AB107" s="22" t="s">
        <v>220</v>
      </c>
      <c r="AC107" s="42">
        <f>IFERROR(LOOKUP(M107,打分卡!$F$7:$J$7,打分卡!$K$7:$O$7),1)</f>
        <v>4</v>
      </c>
      <c r="AD107" s="42">
        <f>IFERROR(LOOKUP(S107,打分卡!$F$8:$J$8,打分卡!$K$8:$O$8),1)</f>
        <v>3</v>
      </c>
      <c r="AE107" s="42">
        <f>IFERROR(LOOKUP(T107,打分卡!$F$9:$I$9,打分卡!$K$9:$N$9),1)</f>
        <v>5</v>
      </c>
      <c r="AF107" s="42">
        <f>IFERROR(LOOKUP(Q107,打分卡!$F$10:$J$10,打分卡!$K$10:$O$10),1)</f>
        <v>4</v>
      </c>
      <c r="AG107" s="42">
        <f>IFERROR(LOOKUP(R107,打分卡!$F$11:$J$11,打分卡!$K$11:$O$11),1)</f>
        <v>5</v>
      </c>
      <c r="AH107" s="42">
        <f>IFERROR(LOOKUP(U107,打分卡!$F$12:$J$12,打分卡!$K$12:$O$12),1)</f>
        <v>4</v>
      </c>
      <c r="AI107" s="42">
        <f>IFERROR(LOOKUP(X107,打分卡!$F$13:$J$13,打分卡!$K$13:$O$13),1)</f>
        <v>5</v>
      </c>
      <c r="AJ107" s="42">
        <f>IFERROR(LOOKUP(Y107,打分卡!$F$14:$J$14,打分卡!$K$14:$O$14),1)</f>
        <v>4</v>
      </c>
      <c r="AK107" s="42">
        <f>IFERROR(LOOKUP(W107,打分卡!$F$15:$J$15,打分卡!$K$15:$O$15),1)</f>
        <v>4</v>
      </c>
      <c r="AL107" s="45">
        <f t="shared" si="9"/>
        <v>2</v>
      </c>
      <c r="AM107" s="42">
        <f>IFERROR(LOOKUP(Z107,打分卡!$F$17:$H$17,打分卡!$K$17:$M$17),1)</f>
        <v>1</v>
      </c>
      <c r="AN107" s="46">
        <f>(打分卡!$D$7*AC107+打分卡!$D$8*AD107+打分卡!$D$9*AE107)/5</f>
        <v>31.8</v>
      </c>
      <c r="AO107" s="46">
        <f>(打分卡!$D$10*AF107+打分卡!$D$11*AG107)/5</f>
        <v>18</v>
      </c>
      <c r="AP107" s="46">
        <f>(打分卡!$D$12*AH107+打分卡!$D$13*AI107+打分卡!$D$14*AJ107+打分卡!$D$15*AK107)/5</f>
        <v>25.6</v>
      </c>
      <c r="AQ107" s="46">
        <f>(打分卡!$D$16*AL107+打分卡!$D$17*AM107)/5</f>
        <v>3.2</v>
      </c>
      <c r="AR107" s="48">
        <f t="shared" si="10"/>
        <v>78.6</v>
      </c>
      <c r="AS107" s="45" t="str">
        <f t="shared" si="11"/>
        <v>KA</v>
      </c>
      <c r="AT107" s="45" t="str">
        <f t="shared" si="12"/>
        <v/>
      </c>
      <c r="AU107" s="45" t="str">
        <f t="shared" si="13"/>
        <v>扩·深化：AI外呼场景深化+Push/企微补全</v>
      </c>
    </row>
    <row r="108" ht="15" customHeight="1" spans="1:47">
      <c r="A108" s="30" t="s">
        <v>517</v>
      </c>
      <c r="B108" s="31" t="s">
        <v>518</v>
      </c>
      <c r="C108" s="31" t="s">
        <v>218</v>
      </c>
      <c r="D108" s="31" t="s">
        <v>180</v>
      </c>
      <c r="E108" s="31" t="s">
        <v>181</v>
      </c>
      <c r="F108" s="30" t="s">
        <v>519</v>
      </c>
      <c r="G108" s="31">
        <v>13</v>
      </c>
      <c r="H108" s="31" t="s">
        <v>192</v>
      </c>
      <c r="I108" s="31" t="s">
        <v>184</v>
      </c>
      <c r="J108" s="33">
        <v>143100</v>
      </c>
      <c r="K108" s="33">
        <v>118900</v>
      </c>
      <c r="L108" s="33">
        <v>52700</v>
      </c>
      <c r="M108" s="33">
        <f t="shared" si="8"/>
        <v>314700</v>
      </c>
      <c r="N108" s="34">
        <f t="shared" si="14"/>
        <v>0.00164985876328223</v>
      </c>
      <c r="O108" s="35">
        <f>SUM($M$2:M108)</f>
        <v>131538100</v>
      </c>
      <c r="P108" s="34">
        <f t="shared" si="15"/>
        <v>0.689606885892895</v>
      </c>
      <c r="Q108" s="37">
        <v>30</v>
      </c>
      <c r="R108" s="31">
        <v>15</v>
      </c>
      <c r="S108" s="31">
        <v>3</v>
      </c>
      <c r="T108" s="31">
        <v>2</v>
      </c>
      <c r="U108" s="37">
        <v>65.5</v>
      </c>
      <c r="V108" s="31">
        <v>9</v>
      </c>
      <c r="W108" s="31">
        <v>3</v>
      </c>
      <c r="X108" s="38">
        <v>508</v>
      </c>
      <c r="Y108" s="31">
        <v>4</v>
      </c>
      <c r="Z108" s="31">
        <v>0</v>
      </c>
      <c r="AA108" s="31" t="s">
        <v>185</v>
      </c>
      <c r="AB108" s="31" t="s">
        <v>220</v>
      </c>
      <c r="AC108" s="41">
        <f>IFERROR(LOOKUP(M108,打分卡!$F$7:$J$7,打分卡!$K$7:$O$7),1)</f>
        <v>4</v>
      </c>
      <c r="AD108" s="41">
        <f>IFERROR(LOOKUP(S108,打分卡!$F$8:$J$8,打分卡!$K$8:$O$8),1)</f>
        <v>3</v>
      </c>
      <c r="AE108" s="41">
        <f>IFERROR(LOOKUP(T108,打分卡!$F$9:$I$9,打分卡!$K$9:$N$9),1)</f>
        <v>3</v>
      </c>
      <c r="AF108" s="41">
        <f>IFERROR(LOOKUP(Q108,打分卡!$F$10:$J$10,打分卡!$K$10:$O$10),1)</f>
        <v>4</v>
      </c>
      <c r="AG108" s="41">
        <f>IFERROR(LOOKUP(R108,打分卡!$F$11:$J$11,打分卡!$K$11:$O$11),1)</f>
        <v>5</v>
      </c>
      <c r="AH108" s="41">
        <f>IFERROR(LOOKUP(U108,打分卡!$F$12:$J$12,打分卡!$K$12:$O$12),1)</f>
        <v>4</v>
      </c>
      <c r="AI108" s="41">
        <f>IFERROR(LOOKUP(X108,打分卡!$F$13:$J$13,打分卡!$K$13:$O$13),1)</f>
        <v>5</v>
      </c>
      <c r="AJ108" s="41">
        <f>IFERROR(LOOKUP(Y108,打分卡!$F$14:$J$14,打分卡!$K$14:$O$14),1)</f>
        <v>4</v>
      </c>
      <c r="AK108" s="41">
        <f>IFERROR(LOOKUP(W108,打分卡!$F$15:$J$15,打分卡!$K$15:$O$15),1)</f>
        <v>3</v>
      </c>
      <c r="AL108" s="43">
        <f t="shared" si="9"/>
        <v>3</v>
      </c>
      <c r="AM108" s="41">
        <f>IFERROR(LOOKUP(Z108,打分卡!$F$17:$H$17,打分卡!$K$17:$M$17),1)</f>
        <v>1</v>
      </c>
      <c r="AN108" s="44">
        <f>(打分卡!$D$7*AC108+打分卡!$D$8*AD108+打分卡!$D$9*AE108)/5</f>
        <v>29</v>
      </c>
      <c r="AO108" s="44">
        <f>(打分卡!$D$10*AF108+打分卡!$D$11*AG108)/5</f>
        <v>18</v>
      </c>
      <c r="AP108" s="44">
        <f>(打分卡!$D$12*AH108+打分卡!$D$13*AI108+打分卡!$D$14*AJ108+打分卡!$D$15*AK108)/5</f>
        <v>24.8</v>
      </c>
      <c r="AQ108" s="44">
        <f>(打分卡!$D$16*AL108+打分卡!$D$17*AM108)/5</f>
        <v>4.4</v>
      </c>
      <c r="AR108" s="47">
        <f t="shared" si="10"/>
        <v>76.2</v>
      </c>
      <c r="AS108" s="43" t="str">
        <f t="shared" si="11"/>
        <v>KA</v>
      </c>
      <c r="AT108" s="43" t="str">
        <f t="shared" si="12"/>
        <v/>
      </c>
      <c r="AU108" s="43" t="str">
        <f t="shared" si="13"/>
        <v>扩·深化：AI外呼场景深化+Push/企微补全</v>
      </c>
    </row>
    <row r="109" ht="15" customHeight="1" spans="1:47">
      <c r="A109" s="20" t="s">
        <v>520</v>
      </c>
      <c r="B109" s="22" t="s">
        <v>521</v>
      </c>
      <c r="C109" s="22" t="s">
        <v>239</v>
      </c>
      <c r="D109" s="22" t="s">
        <v>227</v>
      </c>
      <c r="E109" s="22" t="s">
        <v>181</v>
      </c>
      <c r="F109" s="20" t="s">
        <v>522</v>
      </c>
      <c r="G109" s="22">
        <v>21</v>
      </c>
      <c r="H109" s="22" t="s">
        <v>301</v>
      </c>
      <c r="I109" s="22" t="s">
        <v>302</v>
      </c>
      <c r="J109" s="36">
        <v>150700</v>
      </c>
      <c r="K109" s="36">
        <v>114400</v>
      </c>
      <c r="L109" s="36">
        <v>48800</v>
      </c>
      <c r="M109" s="36">
        <f t="shared" si="8"/>
        <v>313900</v>
      </c>
      <c r="N109" s="34">
        <f t="shared" si="14"/>
        <v>0.00164566465139591</v>
      </c>
      <c r="O109" s="35">
        <f>SUM($M$2:M109)</f>
        <v>131852000</v>
      </c>
      <c r="P109" s="34">
        <f t="shared" si="15"/>
        <v>0.691252550544291</v>
      </c>
      <c r="Q109" s="39">
        <v>30.7</v>
      </c>
      <c r="R109" s="22">
        <v>17</v>
      </c>
      <c r="S109" s="22">
        <v>4</v>
      </c>
      <c r="T109" s="22">
        <v>2</v>
      </c>
      <c r="U109" s="39">
        <v>25.9</v>
      </c>
      <c r="V109" s="22">
        <v>32</v>
      </c>
      <c r="W109" s="22">
        <v>10</v>
      </c>
      <c r="X109" s="40">
        <v>732</v>
      </c>
      <c r="Y109" s="22">
        <v>4</v>
      </c>
      <c r="Z109" s="22">
        <v>0</v>
      </c>
      <c r="AA109" s="22" t="s">
        <v>185</v>
      </c>
      <c r="AB109" s="22" t="s">
        <v>220</v>
      </c>
      <c r="AC109" s="42">
        <f>IFERROR(LOOKUP(M109,打分卡!$F$7:$J$7,打分卡!$K$7:$O$7),1)</f>
        <v>4</v>
      </c>
      <c r="AD109" s="42">
        <f>IFERROR(LOOKUP(S109,打分卡!$F$8:$J$8,打分卡!$K$8:$O$8),1)</f>
        <v>4</v>
      </c>
      <c r="AE109" s="42">
        <f>IFERROR(LOOKUP(T109,打分卡!$F$9:$I$9,打分卡!$K$9:$N$9),1)</f>
        <v>3</v>
      </c>
      <c r="AF109" s="42">
        <f>IFERROR(LOOKUP(Q109,打分卡!$F$10:$J$10,打分卡!$K$10:$O$10),1)</f>
        <v>4</v>
      </c>
      <c r="AG109" s="42">
        <f>IFERROR(LOOKUP(R109,打分卡!$F$11:$J$11,打分卡!$K$11:$O$11),1)</f>
        <v>5</v>
      </c>
      <c r="AH109" s="42">
        <f>IFERROR(LOOKUP(U109,打分卡!$F$12:$J$12,打分卡!$K$12:$O$12),1)</f>
        <v>3</v>
      </c>
      <c r="AI109" s="42">
        <f>IFERROR(LOOKUP(X109,打分卡!$F$13:$J$13,打分卡!$K$13:$O$13),1)</f>
        <v>5</v>
      </c>
      <c r="AJ109" s="42">
        <f>IFERROR(LOOKUP(Y109,打分卡!$F$14:$J$14,打分卡!$K$14:$O$14),1)</f>
        <v>4</v>
      </c>
      <c r="AK109" s="42">
        <f>IFERROR(LOOKUP(W109,打分卡!$F$15:$J$15,打分卡!$K$15:$O$15),1)</f>
        <v>4</v>
      </c>
      <c r="AL109" s="45">
        <f t="shared" si="9"/>
        <v>3</v>
      </c>
      <c r="AM109" s="42">
        <f>IFERROR(LOOKUP(Z109,打分卡!$F$17:$H$17,打分卡!$K$17:$M$17),1)</f>
        <v>1</v>
      </c>
      <c r="AN109" s="46">
        <f>(打分卡!$D$7*AC109+打分卡!$D$8*AD109+打分卡!$D$9*AE109)/5</f>
        <v>30.6</v>
      </c>
      <c r="AO109" s="46">
        <f>(打分卡!$D$10*AF109+打分卡!$D$11*AG109)/5</f>
        <v>18</v>
      </c>
      <c r="AP109" s="46">
        <f>(打分卡!$D$12*AH109+打分卡!$D$13*AI109+打分卡!$D$14*AJ109+打分卡!$D$15*AK109)/5</f>
        <v>23.2</v>
      </c>
      <c r="AQ109" s="46">
        <f>(打分卡!$D$16*AL109+打分卡!$D$17*AM109)/5</f>
        <v>4.4</v>
      </c>
      <c r="AR109" s="48">
        <f t="shared" si="10"/>
        <v>76.2</v>
      </c>
      <c r="AS109" s="45" t="str">
        <f t="shared" si="11"/>
        <v>KA</v>
      </c>
      <c r="AT109" s="45" t="str">
        <f t="shared" si="12"/>
        <v/>
      </c>
      <c r="AU109" s="45" t="str">
        <f t="shared" si="13"/>
        <v>扩·深化：AI外呼场景深化+Push/企微补全</v>
      </c>
    </row>
    <row r="110" ht="15" customHeight="1" spans="1:47">
      <c r="A110" s="30" t="s">
        <v>523</v>
      </c>
      <c r="B110" s="31" t="s">
        <v>524</v>
      </c>
      <c r="C110" s="31" t="s">
        <v>179</v>
      </c>
      <c r="D110" s="31" t="s">
        <v>196</v>
      </c>
      <c r="E110" s="31" t="s">
        <v>181</v>
      </c>
      <c r="F110" s="30" t="s">
        <v>525</v>
      </c>
      <c r="G110" s="31">
        <v>26</v>
      </c>
      <c r="H110" s="31" t="s">
        <v>301</v>
      </c>
      <c r="I110" s="31" t="s">
        <v>184</v>
      </c>
      <c r="J110" s="33">
        <v>144300</v>
      </c>
      <c r="K110" s="33">
        <v>115600</v>
      </c>
      <c r="L110" s="33">
        <v>51600</v>
      </c>
      <c r="M110" s="33">
        <f t="shared" si="8"/>
        <v>311500</v>
      </c>
      <c r="N110" s="34">
        <f t="shared" si="14"/>
        <v>0.00163308231573694</v>
      </c>
      <c r="O110" s="35">
        <f>SUM($M$2:M110)</f>
        <v>132163500</v>
      </c>
      <c r="P110" s="34">
        <f t="shared" si="15"/>
        <v>0.692885632860028</v>
      </c>
      <c r="Q110" s="37">
        <v>34.8</v>
      </c>
      <c r="R110" s="31">
        <v>15</v>
      </c>
      <c r="S110" s="31">
        <v>2</v>
      </c>
      <c r="T110" s="31">
        <v>2</v>
      </c>
      <c r="U110" s="37">
        <v>71.9</v>
      </c>
      <c r="V110" s="31">
        <v>40</v>
      </c>
      <c r="W110" s="31">
        <v>4</v>
      </c>
      <c r="X110" s="38">
        <v>693</v>
      </c>
      <c r="Y110" s="31">
        <v>3</v>
      </c>
      <c r="Z110" s="31">
        <v>0</v>
      </c>
      <c r="AA110" s="31" t="s">
        <v>199</v>
      </c>
      <c r="AB110" s="31" t="s">
        <v>220</v>
      </c>
      <c r="AC110" s="41">
        <f>IFERROR(LOOKUP(M110,打分卡!$F$7:$J$7,打分卡!$K$7:$O$7),1)</f>
        <v>4</v>
      </c>
      <c r="AD110" s="41">
        <f>IFERROR(LOOKUP(S110,打分卡!$F$8:$J$8,打分卡!$K$8:$O$8),1)</f>
        <v>2</v>
      </c>
      <c r="AE110" s="41">
        <f>IFERROR(LOOKUP(T110,打分卡!$F$9:$I$9,打分卡!$K$9:$N$9),1)</f>
        <v>3</v>
      </c>
      <c r="AF110" s="41">
        <f>IFERROR(LOOKUP(Q110,打分卡!$F$10:$J$10,打分卡!$K$10:$O$10),1)</f>
        <v>4</v>
      </c>
      <c r="AG110" s="41">
        <f>IFERROR(LOOKUP(R110,打分卡!$F$11:$J$11,打分卡!$K$11:$O$11),1)</f>
        <v>5</v>
      </c>
      <c r="AH110" s="41">
        <f>IFERROR(LOOKUP(U110,打分卡!$F$12:$J$12,打分卡!$K$12:$O$12),1)</f>
        <v>5</v>
      </c>
      <c r="AI110" s="41">
        <f>IFERROR(LOOKUP(X110,打分卡!$F$13:$J$13,打分卡!$K$13:$O$13),1)</f>
        <v>5</v>
      </c>
      <c r="AJ110" s="41">
        <f>IFERROR(LOOKUP(Y110,打分卡!$F$14:$J$14,打分卡!$K$14:$O$14),1)</f>
        <v>4</v>
      </c>
      <c r="AK110" s="41">
        <f>IFERROR(LOOKUP(W110,打分卡!$F$15:$J$15,打分卡!$K$15:$O$15),1)</f>
        <v>3</v>
      </c>
      <c r="AL110" s="43">
        <f t="shared" si="9"/>
        <v>5</v>
      </c>
      <c r="AM110" s="41">
        <f>IFERROR(LOOKUP(Z110,打分卡!$F$17:$H$17,打分卡!$K$17:$M$17),1)</f>
        <v>1</v>
      </c>
      <c r="AN110" s="44">
        <f>(打分卡!$D$7*AC110+打分卡!$D$8*AD110+打分卡!$D$9*AE110)/5</f>
        <v>27.4</v>
      </c>
      <c r="AO110" s="44">
        <f>(打分卡!$D$10*AF110+打分卡!$D$11*AG110)/5</f>
        <v>18</v>
      </c>
      <c r="AP110" s="44">
        <f>(打分卡!$D$12*AH110+打分卡!$D$13*AI110+打分卡!$D$14*AJ110+打分卡!$D$15*AK110)/5</f>
        <v>27.2</v>
      </c>
      <c r="AQ110" s="44">
        <f>(打分卡!$D$16*AL110+打分卡!$D$17*AM110)/5</f>
        <v>6.8</v>
      </c>
      <c r="AR110" s="47">
        <f t="shared" si="10"/>
        <v>79.4</v>
      </c>
      <c r="AS110" s="43" t="str">
        <f t="shared" si="11"/>
        <v>KA</v>
      </c>
      <c r="AT110" s="43" t="str">
        <f t="shared" si="12"/>
        <v/>
      </c>
      <c r="AU110" s="43" t="str">
        <f t="shared" si="13"/>
        <v>扩·深化：AI外呼场景深化+Push/企微补全</v>
      </c>
    </row>
    <row r="111" ht="15" customHeight="1" spans="1:47">
      <c r="A111" s="20" t="s">
        <v>526</v>
      </c>
      <c r="B111" s="22" t="s">
        <v>527</v>
      </c>
      <c r="C111" s="22" t="s">
        <v>189</v>
      </c>
      <c r="D111" s="22" t="s">
        <v>202</v>
      </c>
      <c r="E111" s="22" t="s">
        <v>181</v>
      </c>
      <c r="F111" s="20" t="s">
        <v>228</v>
      </c>
      <c r="G111" s="22">
        <v>25</v>
      </c>
      <c r="H111" s="22" t="s">
        <v>192</v>
      </c>
      <c r="I111" s="22" t="s">
        <v>302</v>
      </c>
      <c r="J111" s="36">
        <v>192300</v>
      </c>
      <c r="K111" s="36">
        <v>101300</v>
      </c>
      <c r="L111" s="36">
        <v>15500</v>
      </c>
      <c r="M111" s="36">
        <f t="shared" si="8"/>
        <v>309100</v>
      </c>
      <c r="N111" s="34">
        <f t="shared" si="14"/>
        <v>0.00162049998007797</v>
      </c>
      <c r="O111" s="35">
        <f>SUM($M$2:M111)</f>
        <v>132472600</v>
      </c>
      <c r="P111" s="34">
        <f t="shared" si="15"/>
        <v>0.694506132840106</v>
      </c>
      <c r="Q111" s="39">
        <v>26.5</v>
      </c>
      <c r="R111" s="22">
        <v>16</v>
      </c>
      <c r="S111" s="22">
        <v>3</v>
      </c>
      <c r="T111" s="22">
        <v>1</v>
      </c>
      <c r="U111" s="39">
        <v>220.7</v>
      </c>
      <c r="V111" s="22">
        <v>19</v>
      </c>
      <c r="W111" s="22">
        <v>10</v>
      </c>
      <c r="X111" s="40">
        <v>279</v>
      </c>
      <c r="Y111" s="22">
        <v>6</v>
      </c>
      <c r="Z111" s="22">
        <v>0</v>
      </c>
      <c r="AA111" s="22" t="s">
        <v>199</v>
      </c>
      <c r="AB111" s="22" t="s">
        <v>220</v>
      </c>
      <c r="AC111" s="42">
        <f>IFERROR(LOOKUP(M111,打分卡!$F$7:$J$7,打分卡!$K$7:$O$7),1)</f>
        <v>4</v>
      </c>
      <c r="AD111" s="42">
        <f>IFERROR(LOOKUP(S111,打分卡!$F$8:$J$8,打分卡!$K$8:$O$8),1)</f>
        <v>3</v>
      </c>
      <c r="AE111" s="42">
        <f>IFERROR(LOOKUP(T111,打分卡!$F$9:$I$9,打分卡!$K$9:$N$9),1)</f>
        <v>2</v>
      </c>
      <c r="AF111" s="42">
        <f>IFERROR(LOOKUP(Q111,打分卡!$F$10:$J$10,打分卡!$K$10:$O$10),1)</f>
        <v>4</v>
      </c>
      <c r="AG111" s="42">
        <f>IFERROR(LOOKUP(R111,打分卡!$F$11:$J$11,打分卡!$K$11:$O$11),1)</f>
        <v>5</v>
      </c>
      <c r="AH111" s="42">
        <f>IFERROR(LOOKUP(U111,打分卡!$F$12:$J$12,打分卡!$K$12:$O$12),1)</f>
        <v>5</v>
      </c>
      <c r="AI111" s="42">
        <f>IFERROR(LOOKUP(X111,打分卡!$F$13:$J$13,打分卡!$K$13:$O$13),1)</f>
        <v>5</v>
      </c>
      <c r="AJ111" s="42">
        <f>IFERROR(LOOKUP(Y111,打分卡!$F$14:$J$14,打分卡!$K$14:$O$14),1)</f>
        <v>5</v>
      </c>
      <c r="AK111" s="42">
        <f>IFERROR(LOOKUP(W111,打分卡!$F$15:$J$15,打分卡!$K$15:$O$15),1)</f>
        <v>4</v>
      </c>
      <c r="AL111" s="45">
        <f t="shared" si="9"/>
        <v>5</v>
      </c>
      <c r="AM111" s="42">
        <f>IFERROR(LOOKUP(Z111,打分卡!$F$17:$H$17,打分卡!$K$17:$M$17),1)</f>
        <v>1</v>
      </c>
      <c r="AN111" s="46">
        <f>(打分卡!$D$7*AC111+打分卡!$D$8*AD111+打分卡!$D$9*AE111)/5</f>
        <v>27.6</v>
      </c>
      <c r="AO111" s="46">
        <f>(打分卡!$D$10*AF111+打分卡!$D$11*AG111)/5</f>
        <v>18</v>
      </c>
      <c r="AP111" s="46">
        <f>(打分卡!$D$12*AH111+打分卡!$D$13*AI111+打分卡!$D$14*AJ111+打分卡!$D$15*AK111)/5</f>
        <v>29.2</v>
      </c>
      <c r="AQ111" s="46">
        <f>(打分卡!$D$16*AL111+打分卡!$D$17*AM111)/5</f>
        <v>6.8</v>
      </c>
      <c r="AR111" s="48">
        <f t="shared" si="10"/>
        <v>81.6</v>
      </c>
      <c r="AS111" s="45" t="str">
        <f t="shared" si="11"/>
        <v>KA</v>
      </c>
      <c r="AT111" s="45" t="str">
        <f t="shared" si="12"/>
        <v/>
      </c>
      <c r="AU111" s="45" t="str">
        <f t="shared" si="13"/>
        <v>扩·深化：AI外呼场景深化+Push/企微补全</v>
      </c>
    </row>
    <row r="112" ht="15" customHeight="1" spans="1:47">
      <c r="A112" s="30" t="s">
        <v>528</v>
      </c>
      <c r="B112" s="31" t="s">
        <v>529</v>
      </c>
      <c r="C112" s="31" t="s">
        <v>223</v>
      </c>
      <c r="D112" s="31" t="s">
        <v>235</v>
      </c>
      <c r="E112" s="31" t="s">
        <v>181</v>
      </c>
      <c r="F112" s="30" t="s">
        <v>530</v>
      </c>
      <c r="G112" s="31">
        <v>18</v>
      </c>
      <c r="H112" s="31" t="s">
        <v>192</v>
      </c>
      <c r="I112" s="31" t="s">
        <v>302</v>
      </c>
      <c r="J112" s="33">
        <v>184600</v>
      </c>
      <c r="K112" s="33">
        <v>87600</v>
      </c>
      <c r="L112" s="33">
        <v>34000</v>
      </c>
      <c r="M112" s="33">
        <f t="shared" si="8"/>
        <v>306200</v>
      </c>
      <c r="N112" s="34">
        <f t="shared" si="14"/>
        <v>0.00160529632449005</v>
      </c>
      <c r="O112" s="35">
        <f>SUM($M$2:M112)</f>
        <v>132778800</v>
      </c>
      <c r="P112" s="34">
        <f t="shared" si="15"/>
        <v>0.696111429164596</v>
      </c>
      <c r="Q112" s="37">
        <v>45.6</v>
      </c>
      <c r="R112" s="31">
        <v>16</v>
      </c>
      <c r="S112" s="31">
        <v>4</v>
      </c>
      <c r="T112" s="31">
        <v>1</v>
      </c>
      <c r="U112" s="37">
        <v>99.1</v>
      </c>
      <c r="V112" s="31">
        <v>27</v>
      </c>
      <c r="W112" s="31">
        <v>8</v>
      </c>
      <c r="X112" s="38">
        <v>495</v>
      </c>
      <c r="Y112" s="31">
        <v>2</v>
      </c>
      <c r="Z112" s="31">
        <v>2</v>
      </c>
      <c r="AA112" s="31" t="s">
        <v>185</v>
      </c>
      <c r="AB112" s="31" t="s">
        <v>220</v>
      </c>
      <c r="AC112" s="41">
        <f>IFERROR(LOOKUP(M112,打分卡!$F$7:$J$7,打分卡!$K$7:$O$7),1)</f>
        <v>4</v>
      </c>
      <c r="AD112" s="41">
        <f>IFERROR(LOOKUP(S112,打分卡!$F$8:$J$8,打分卡!$K$8:$O$8),1)</f>
        <v>4</v>
      </c>
      <c r="AE112" s="41">
        <f>IFERROR(LOOKUP(T112,打分卡!$F$9:$I$9,打分卡!$K$9:$N$9),1)</f>
        <v>2</v>
      </c>
      <c r="AF112" s="41">
        <f>IFERROR(LOOKUP(Q112,打分卡!$F$10:$J$10,打分卡!$K$10:$O$10),1)</f>
        <v>4</v>
      </c>
      <c r="AG112" s="41">
        <f>IFERROR(LOOKUP(R112,打分卡!$F$11:$J$11,打分卡!$K$11:$O$11),1)</f>
        <v>5</v>
      </c>
      <c r="AH112" s="41">
        <f>IFERROR(LOOKUP(U112,打分卡!$F$12:$J$12,打分卡!$K$12:$O$12),1)</f>
        <v>5</v>
      </c>
      <c r="AI112" s="41">
        <f>IFERROR(LOOKUP(X112,打分卡!$F$13:$J$13,打分卡!$K$13:$O$13),1)</f>
        <v>5</v>
      </c>
      <c r="AJ112" s="41">
        <f>IFERROR(LOOKUP(Y112,打分卡!$F$14:$J$14,打分卡!$K$14:$O$14),1)</f>
        <v>3</v>
      </c>
      <c r="AK112" s="41">
        <f>IFERROR(LOOKUP(W112,打分卡!$F$15:$J$15,打分卡!$K$15:$O$15),1)</f>
        <v>4</v>
      </c>
      <c r="AL112" s="43">
        <f t="shared" si="9"/>
        <v>3</v>
      </c>
      <c r="AM112" s="41">
        <f>IFERROR(LOOKUP(Z112,打分卡!$F$17:$H$17,打分卡!$K$17:$M$17),1)</f>
        <v>5</v>
      </c>
      <c r="AN112" s="44">
        <f>(打分卡!$D$7*AC112+打分卡!$D$8*AD112+打分卡!$D$9*AE112)/5</f>
        <v>29.2</v>
      </c>
      <c r="AO112" s="44">
        <f>(打分卡!$D$10*AF112+打分卡!$D$11*AG112)/5</f>
        <v>18</v>
      </c>
      <c r="AP112" s="44">
        <f>(打分卡!$D$12*AH112+打分卡!$D$13*AI112+打分卡!$D$14*AJ112+打分卡!$D$15*AK112)/5</f>
        <v>26.8</v>
      </c>
      <c r="AQ112" s="44">
        <f>(打分卡!$D$16*AL112+打分卡!$D$17*AM112)/5</f>
        <v>7.6</v>
      </c>
      <c r="AR112" s="47">
        <f t="shared" si="10"/>
        <v>81.6</v>
      </c>
      <c r="AS112" s="43" t="str">
        <f t="shared" si="11"/>
        <v>KA</v>
      </c>
      <c r="AT112" s="43" t="str">
        <f t="shared" si="12"/>
        <v/>
      </c>
      <c r="AU112" s="43" t="str">
        <f t="shared" si="13"/>
        <v>扩·深化：AI外呼场景深化+Push/企微补全</v>
      </c>
    </row>
    <row r="113" ht="15" customHeight="1" spans="1:47">
      <c r="A113" s="20" t="s">
        <v>531</v>
      </c>
      <c r="B113" s="22" t="s">
        <v>532</v>
      </c>
      <c r="C113" s="22" t="s">
        <v>195</v>
      </c>
      <c r="D113" s="22" t="s">
        <v>202</v>
      </c>
      <c r="E113" s="22" t="s">
        <v>181</v>
      </c>
      <c r="F113" s="20" t="s">
        <v>533</v>
      </c>
      <c r="G113" s="22">
        <v>27</v>
      </c>
      <c r="H113" s="22" t="s">
        <v>301</v>
      </c>
      <c r="I113" s="22" t="s">
        <v>302</v>
      </c>
      <c r="J113" s="36">
        <v>177000</v>
      </c>
      <c r="K113" s="36">
        <v>100600</v>
      </c>
      <c r="L113" s="36">
        <v>28500</v>
      </c>
      <c r="M113" s="36">
        <f t="shared" si="8"/>
        <v>306100</v>
      </c>
      <c r="N113" s="34">
        <f t="shared" si="14"/>
        <v>0.00160477206050426</v>
      </c>
      <c r="O113" s="35">
        <f>SUM($M$2:M113)</f>
        <v>133084900</v>
      </c>
      <c r="P113" s="34">
        <f t="shared" si="15"/>
        <v>0.6977162012251</v>
      </c>
      <c r="Q113" s="39">
        <v>45.7</v>
      </c>
      <c r="R113" s="22">
        <v>6</v>
      </c>
      <c r="S113" s="22">
        <v>2</v>
      </c>
      <c r="T113" s="22">
        <v>2</v>
      </c>
      <c r="U113" s="39">
        <v>20.2</v>
      </c>
      <c r="V113" s="22">
        <v>13</v>
      </c>
      <c r="W113" s="22">
        <v>6</v>
      </c>
      <c r="X113" s="40">
        <v>131</v>
      </c>
      <c r="Y113" s="22">
        <v>3</v>
      </c>
      <c r="Z113" s="22">
        <v>2</v>
      </c>
      <c r="AA113" s="22" t="s">
        <v>199</v>
      </c>
      <c r="AB113" s="22" t="s">
        <v>220</v>
      </c>
      <c r="AC113" s="42">
        <f>IFERROR(LOOKUP(M113,打分卡!$F$7:$J$7,打分卡!$K$7:$O$7),1)</f>
        <v>4</v>
      </c>
      <c r="AD113" s="42">
        <f>IFERROR(LOOKUP(S113,打分卡!$F$8:$J$8,打分卡!$K$8:$O$8),1)</f>
        <v>2</v>
      </c>
      <c r="AE113" s="42">
        <f>IFERROR(LOOKUP(T113,打分卡!$F$9:$I$9,打分卡!$K$9:$N$9),1)</f>
        <v>3</v>
      </c>
      <c r="AF113" s="42">
        <f>IFERROR(LOOKUP(Q113,打分卡!$F$10:$J$10,打分卡!$K$10:$O$10),1)</f>
        <v>4</v>
      </c>
      <c r="AG113" s="42">
        <f>IFERROR(LOOKUP(R113,打分卡!$F$11:$J$11,打分卡!$K$11:$O$11),1)</f>
        <v>3</v>
      </c>
      <c r="AH113" s="42">
        <f>IFERROR(LOOKUP(U113,打分卡!$F$12:$J$12,打分卡!$K$12:$O$12),1)</f>
        <v>3</v>
      </c>
      <c r="AI113" s="42">
        <f>IFERROR(LOOKUP(X113,打分卡!$F$13:$J$13,打分卡!$K$13:$O$13),1)</f>
        <v>4</v>
      </c>
      <c r="AJ113" s="42">
        <f>IFERROR(LOOKUP(Y113,打分卡!$F$14:$J$14,打分卡!$K$14:$O$14),1)</f>
        <v>4</v>
      </c>
      <c r="AK113" s="42">
        <f>IFERROR(LOOKUP(W113,打分卡!$F$15:$J$15,打分卡!$K$15:$O$15),1)</f>
        <v>4</v>
      </c>
      <c r="AL113" s="45">
        <f t="shared" si="9"/>
        <v>5</v>
      </c>
      <c r="AM113" s="42">
        <f>IFERROR(LOOKUP(Z113,打分卡!$F$17:$H$17,打分卡!$K$17:$M$17),1)</f>
        <v>5</v>
      </c>
      <c r="AN113" s="46">
        <f>(打分卡!$D$7*AC113+打分卡!$D$8*AD113+打分卡!$D$9*AE113)/5</f>
        <v>27.4</v>
      </c>
      <c r="AO113" s="46">
        <f>(打分卡!$D$10*AF113+打分卡!$D$11*AG113)/5</f>
        <v>14</v>
      </c>
      <c r="AP113" s="46">
        <f>(打分卡!$D$12*AH113+打分卡!$D$13*AI113+打分卡!$D$14*AJ113+打分卡!$D$15*AK113)/5</f>
        <v>21.6</v>
      </c>
      <c r="AQ113" s="46">
        <f>(打分卡!$D$16*AL113+打分卡!$D$17*AM113)/5</f>
        <v>10</v>
      </c>
      <c r="AR113" s="48">
        <f t="shared" si="10"/>
        <v>73</v>
      </c>
      <c r="AS113" s="45" t="str">
        <f t="shared" si="11"/>
        <v>腰部</v>
      </c>
      <c r="AT113" s="45" t="str">
        <f t="shared" si="12"/>
        <v/>
      </c>
      <c r="AU113" s="45" t="str">
        <f t="shared" si="13"/>
        <v>拉·主攻：主推AI外呼+大促作战包</v>
      </c>
    </row>
    <row r="114" ht="15" customHeight="1" spans="1:47">
      <c r="A114" s="30" t="s">
        <v>534</v>
      </c>
      <c r="B114" s="31" t="s">
        <v>535</v>
      </c>
      <c r="C114" s="31" t="s">
        <v>189</v>
      </c>
      <c r="D114" s="31" t="s">
        <v>196</v>
      </c>
      <c r="E114" s="31" t="s">
        <v>197</v>
      </c>
      <c r="F114" s="30" t="s">
        <v>536</v>
      </c>
      <c r="G114" s="31">
        <v>20</v>
      </c>
      <c r="H114" s="31" t="s">
        <v>183</v>
      </c>
      <c r="I114" s="31" t="s">
        <v>302</v>
      </c>
      <c r="J114" s="33">
        <v>139300</v>
      </c>
      <c r="K114" s="33">
        <v>71600</v>
      </c>
      <c r="L114" s="33">
        <v>92800</v>
      </c>
      <c r="M114" s="33">
        <f t="shared" si="8"/>
        <v>303700</v>
      </c>
      <c r="N114" s="34">
        <f t="shared" si="14"/>
        <v>0.00159218972484529</v>
      </c>
      <c r="O114" s="35">
        <f>SUM($M$2:M114)</f>
        <v>133388600</v>
      </c>
      <c r="P114" s="34">
        <f t="shared" si="15"/>
        <v>0.699308390949945</v>
      </c>
      <c r="Q114" s="37">
        <v>26.8</v>
      </c>
      <c r="R114" s="31">
        <v>8</v>
      </c>
      <c r="S114" s="31">
        <v>3</v>
      </c>
      <c r="T114" s="31">
        <v>1</v>
      </c>
      <c r="U114" s="37">
        <v>163.6</v>
      </c>
      <c r="V114" s="31">
        <v>39</v>
      </c>
      <c r="W114" s="31">
        <v>4</v>
      </c>
      <c r="X114" s="38">
        <v>623</v>
      </c>
      <c r="Y114" s="31">
        <v>6</v>
      </c>
      <c r="Z114" s="31">
        <v>2</v>
      </c>
      <c r="AA114" s="31" t="s">
        <v>185</v>
      </c>
      <c r="AB114" s="31" t="s">
        <v>220</v>
      </c>
      <c r="AC114" s="41">
        <f>IFERROR(LOOKUP(M114,打分卡!$F$7:$J$7,打分卡!$K$7:$O$7),1)</f>
        <v>4</v>
      </c>
      <c r="AD114" s="41">
        <f>IFERROR(LOOKUP(S114,打分卡!$F$8:$J$8,打分卡!$K$8:$O$8),1)</f>
        <v>3</v>
      </c>
      <c r="AE114" s="41">
        <f>IFERROR(LOOKUP(T114,打分卡!$F$9:$I$9,打分卡!$K$9:$N$9),1)</f>
        <v>2</v>
      </c>
      <c r="AF114" s="41">
        <f>IFERROR(LOOKUP(Q114,打分卡!$F$10:$J$10,打分卡!$K$10:$O$10),1)</f>
        <v>4</v>
      </c>
      <c r="AG114" s="41">
        <f>IFERROR(LOOKUP(R114,打分卡!$F$11:$J$11,打分卡!$K$11:$O$11),1)</f>
        <v>3</v>
      </c>
      <c r="AH114" s="41">
        <f>IFERROR(LOOKUP(U114,打分卡!$F$12:$J$12,打分卡!$K$12:$O$12),1)</f>
        <v>5</v>
      </c>
      <c r="AI114" s="41">
        <f>IFERROR(LOOKUP(X114,打分卡!$F$13:$J$13,打分卡!$K$13:$O$13),1)</f>
        <v>5</v>
      </c>
      <c r="AJ114" s="41">
        <f>IFERROR(LOOKUP(Y114,打分卡!$F$14:$J$14,打分卡!$K$14:$O$14),1)</f>
        <v>5</v>
      </c>
      <c r="AK114" s="41">
        <f>IFERROR(LOOKUP(W114,打分卡!$F$15:$J$15,打分卡!$K$15:$O$15),1)</f>
        <v>3</v>
      </c>
      <c r="AL114" s="43">
        <f t="shared" si="9"/>
        <v>3</v>
      </c>
      <c r="AM114" s="41">
        <f>IFERROR(LOOKUP(Z114,打分卡!$F$17:$H$17,打分卡!$K$17:$M$17),1)</f>
        <v>5</v>
      </c>
      <c r="AN114" s="44">
        <f>(打分卡!$D$7*AC114+打分卡!$D$8*AD114+打分卡!$D$9*AE114)/5</f>
        <v>27.6</v>
      </c>
      <c r="AO114" s="44">
        <f>(打分卡!$D$10*AF114+打分卡!$D$11*AG114)/5</f>
        <v>14</v>
      </c>
      <c r="AP114" s="44">
        <f>(打分卡!$D$12*AH114+打分卡!$D$13*AI114+打分卡!$D$14*AJ114+打分卡!$D$15*AK114)/5</f>
        <v>28.4</v>
      </c>
      <c r="AQ114" s="44">
        <f>(打分卡!$D$16*AL114+打分卡!$D$17*AM114)/5</f>
        <v>7.6</v>
      </c>
      <c r="AR114" s="47">
        <f t="shared" si="10"/>
        <v>77.6</v>
      </c>
      <c r="AS114" s="43" t="str">
        <f t="shared" si="11"/>
        <v>KA</v>
      </c>
      <c r="AT114" s="43" t="str">
        <f t="shared" si="12"/>
        <v/>
      </c>
      <c r="AU114" s="43" t="str">
        <f t="shared" si="13"/>
        <v>扩·深化：AI外呼场景深化+Push/企微补全</v>
      </c>
    </row>
    <row r="115" ht="15" customHeight="1" spans="1:47">
      <c r="A115" s="20" t="s">
        <v>537</v>
      </c>
      <c r="B115" s="22" t="s">
        <v>538</v>
      </c>
      <c r="C115" s="22" t="s">
        <v>218</v>
      </c>
      <c r="D115" s="22" t="s">
        <v>196</v>
      </c>
      <c r="E115" s="22" t="s">
        <v>197</v>
      </c>
      <c r="F115" s="20" t="s">
        <v>539</v>
      </c>
      <c r="G115" s="22">
        <v>15</v>
      </c>
      <c r="H115" s="22" t="s">
        <v>301</v>
      </c>
      <c r="I115" s="22" t="s">
        <v>184</v>
      </c>
      <c r="J115" s="36">
        <v>140300</v>
      </c>
      <c r="K115" s="36">
        <v>110200</v>
      </c>
      <c r="L115" s="36">
        <v>52300</v>
      </c>
      <c r="M115" s="36">
        <f t="shared" si="8"/>
        <v>302800</v>
      </c>
      <c r="N115" s="34">
        <f t="shared" si="14"/>
        <v>0.00158747134897318</v>
      </c>
      <c r="O115" s="35">
        <f>SUM($M$2:M115)</f>
        <v>133691400</v>
      </c>
      <c r="P115" s="34">
        <f t="shared" si="15"/>
        <v>0.700895862298919</v>
      </c>
      <c r="Q115" s="39">
        <v>22.6</v>
      </c>
      <c r="R115" s="22">
        <v>13</v>
      </c>
      <c r="S115" s="22">
        <v>4</v>
      </c>
      <c r="T115" s="22">
        <v>2</v>
      </c>
      <c r="U115" s="39">
        <v>34.1</v>
      </c>
      <c r="V115" s="22">
        <v>14</v>
      </c>
      <c r="W115" s="22">
        <v>6</v>
      </c>
      <c r="X115" s="40">
        <v>713</v>
      </c>
      <c r="Y115" s="22">
        <v>4</v>
      </c>
      <c r="Z115" s="22">
        <v>1</v>
      </c>
      <c r="AA115" s="22" t="s">
        <v>185</v>
      </c>
      <c r="AB115" s="22" t="s">
        <v>220</v>
      </c>
      <c r="AC115" s="42">
        <f>IFERROR(LOOKUP(M115,打分卡!$F$7:$J$7,打分卡!$K$7:$O$7),1)</f>
        <v>4</v>
      </c>
      <c r="AD115" s="42">
        <f>IFERROR(LOOKUP(S115,打分卡!$F$8:$J$8,打分卡!$K$8:$O$8),1)</f>
        <v>4</v>
      </c>
      <c r="AE115" s="42">
        <f>IFERROR(LOOKUP(T115,打分卡!$F$9:$I$9,打分卡!$K$9:$N$9),1)</f>
        <v>3</v>
      </c>
      <c r="AF115" s="42">
        <f>IFERROR(LOOKUP(Q115,打分卡!$F$10:$J$10,打分卡!$K$10:$O$10),1)</f>
        <v>3</v>
      </c>
      <c r="AG115" s="42">
        <f>IFERROR(LOOKUP(R115,打分卡!$F$11:$J$11,打分卡!$K$11:$O$11),1)</f>
        <v>4</v>
      </c>
      <c r="AH115" s="42">
        <f>IFERROR(LOOKUP(U115,打分卡!$F$12:$J$12,打分卡!$K$12:$O$12),1)</f>
        <v>4</v>
      </c>
      <c r="AI115" s="42">
        <f>IFERROR(LOOKUP(X115,打分卡!$F$13:$J$13,打分卡!$K$13:$O$13),1)</f>
        <v>5</v>
      </c>
      <c r="AJ115" s="42">
        <f>IFERROR(LOOKUP(Y115,打分卡!$F$14:$J$14,打分卡!$K$14:$O$14),1)</f>
        <v>4</v>
      </c>
      <c r="AK115" s="42">
        <f>IFERROR(LOOKUP(W115,打分卡!$F$15:$J$15,打分卡!$K$15:$O$15),1)</f>
        <v>4</v>
      </c>
      <c r="AL115" s="45">
        <f t="shared" si="9"/>
        <v>3</v>
      </c>
      <c r="AM115" s="42">
        <f>IFERROR(LOOKUP(Z115,打分卡!$F$17:$H$17,打分卡!$K$17:$M$17),1)</f>
        <v>3</v>
      </c>
      <c r="AN115" s="46">
        <f>(打分卡!$D$7*AC115+打分卡!$D$8*AD115+打分卡!$D$9*AE115)/5</f>
        <v>30.6</v>
      </c>
      <c r="AO115" s="46">
        <f>(打分卡!$D$10*AF115+打分卡!$D$11*AG115)/5</f>
        <v>14</v>
      </c>
      <c r="AP115" s="46">
        <f>(打分卡!$D$12*AH115+打分卡!$D$13*AI115+打分卡!$D$14*AJ115+打分卡!$D$15*AK115)/5</f>
        <v>25.6</v>
      </c>
      <c r="AQ115" s="46">
        <f>(打分卡!$D$16*AL115+打分卡!$D$17*AM115)/5</f>
        <v>6</v>
      </c>
      <c r="AR115" s="48">
        <f t="shared" si="10"/>
        <v>76.2</v>
      </c>
      <c r="AS115" s="45" t="str">
        <f t="shared" si="11"/>
        <v>KA</v>
      </c>
      <c r="AT115" s="45" t="str">
        <f t="shared" si="12"/>
        <v/>
      </c>
      <c r="AU115" s="45" t="str">
        <f t="shared" si="13"/>
        <v>扩·深化：AI外呼场景深化+Push/企微补全</v>
      </c>
    </row>
    <row r="116" ht="15" customHeight="1" spans="1:47">
      <c r="A116" s="30" t="s">
        <v>540</v>
      </c>
      <c r="B116" s="31" t="s">
        <v>541</v>
      </c>
      <c r="C116" s="31" t="s">
        <v>179</v>
      </c>
      <c r="D116" s="31" t="s">
        <v>202</v>
      </c>
      <c r="E116" s="31" t="s">
        <v>181</v>
      </c>
      <c r="F116" s="30" t="s">
        <v>430</v>
      </c>
      <c r="G116" s="31">
        <v>20</v>
      </c>
      <c r="H116" s="31" t="s">
        <v>301</v>
      </c>
      <c r="I116" s="31" t="s">
        <v>302</v>
      </c>
      <c r="J116" s="33">
        <v>150000</v>
      </c>
      <c r="K116" s="33">
        <v>75700</v>
      </c>
      <c r="L116" s="33">
        <v>68400</v>
      </c>
      <c r="M116" s="33">
        <f t="shared" si="8"/>
        <v>294100</v>
      </c>
      <c r="N116" s="34">
        <f t="shared" si="14"/>
        <v>0.00154186038220942</v>
      </c>
      <c r="O116" s="35">
        <f>SUM($M$2:M116)</f>
        <v>133985500</v>
      </c>
      <c r="P116" s="34">
        <f t="shared" si="15"/>
        <v>0.702437722681128</v>
      </c>
      <c r="Q116" s="37">
        <v>44.1</v>
      </c>
      <c r="R116" s="31">
        <v>17</v>
      </c>
      <c r="S116" s="31">
        <v>3</v>
      </c>
      <c r="T116" s="31">
        <v>1</v>
      </c>
      <c r="U116" s="37">
        <v>44.6</v>
      </c>
      <c r="V116" s="31">
        <v>19</v>
      </c>
      <c r="W116" s="31">
        <v>7</v>
      </c>
      <c r="X116" s="38">
        <v>132</v>
      </c>
      <c r="Y116" s="31">
        <v>2</v>
      </c>
      <c r="Z116" s="31">
        <v>0</v>
      </c>
      <c r="AA116" s="31" t="s">
        <v>199</v>
      </c>
      <c r="AB116" s="31" t="s">
        <v>220</v>
      </c>
      <c r="AC116" s="41">
        <f>IFERROR(LOOKUP(M116,打分卡!$F$7:$J$7,打分卡!$K$7:$O$7),1)</f>
        <v>4</v>
      </c>
      <c r="AD116" s="41">
        <f>IFERROR(LOOKUP(S116,打分卡!$F$8:$J$8,打分卡!$K$8:$O$8),1)</f>
        <v>3</v>
      </c>
      <c r="AE116" s="41">
        <f>IFERROR(LOOKUP(T116,打分卡!$F$9:$I$9,打分卡!$K$9:$N$9),1)</f>
        <v>2</v>
      </c>
      <c r="AF116" s="41">
        <f>IFERROR(LOOKUP(Q116,打分卡!$F$10:$J$10,打分卡!$K$10:$O$10),1)</f>
        <v>4</v>
      </c>
      <c r="AG116" s="41">
        <f>IFERROR(LOOKUP(R116,打分卡!$F$11:$J$11,打分卡!$K$11:$O$11),1)</f>
        <v>5</v>
      </c>
      <c r="AH116" s="41">
        <f>IFERROR(LOOKUP(U116,打分卡!$F$12:$J$12,打分卡!$K$12:$O$12),1)</f>
        <v>4</v>
      </c>
      <c r="AI116" s="41">
        <f>IFERROR(LOOKUP(X116,打分卡!$F$13:$J$13,打分卡!$K$13:$O$13),1)</f>
        <v>4</v>
      </c>
      <c r="AJ116" s="41">
        <f>IFERROR(LOOKUP(Y116,打分卡!$F$14:$J$14,打分卡!$K$14:$O$14),1)</f>
        <v>3</v>
      </c>
      <c r="AK116" s="41">
        <f>IFERROR(LOOKUP(W116,打分卡!$F$15:$J$15,打分卡!$K$15:$O$15),1)</f>
        <v>4</v>
      </c>
      <c r="AL116" s="43">
        <f t="shared" si="9"/>
        <v>5</v>
      </c>
      <c r="AM116" s="41">
        <f>IFERROR(LOOKUP(Z116,打分卡!$F$17:$H$17,打分卡!$K$17:$M$17),1)</f>
        <v>1</v>
      </c>
      <c r="AN116" s="44">
        <f>(打分卡!$D$7*AC116+打分卡!$D$8*AD116+打分卡!$D$9*AE116)/5</f>
        <v>27.6</v>
      </c>
      <c r="AO116" s="44">
        <f>(打分卡!$D$10*AF116+打分卡!$D$11*AG116)/5</f>
        <v>18</v>
      </c>
      <c r="AP116" s="44">
        <f>(打分卡!$D$12*AH116+打分卡!$D$13*AI116+打分卡!$D$14*AJ116+打分卡!$D$15*AK116)/5</f>
        <v>22.8</v>
      </c>
      <c r="AQ116" s="44">
        <f>(打分卡!$D$16*AL116+打分卡!$D$17*AM116)/5</f>
        <v>6.8</v>
      </c>
      <c r="AR116" s="47">
        <f t="shared" si="10"/>
        <v>75.2</v>
      </c>
      <c r="AS116" s="43" t="str">
        <f t="shared" si="11"/>
        <v>KA</v>
      </c>
      <c r="AT116" s="43" t="str">
        <f t="shared" si="12"/>
        <v/>
      </c>
      <c r="AU116" s="43" t="str">
        <f t="shared" si="13"/>
        <v>扩·深化：AI外呼场景深化+Push/企微补全</v>
      </c>
    </row>
    <row r="117" ht="15" customHeight="1" spans="1:47">
      <c r="A117" s="20" t="s">
        <v>542</v>
      </c>
      <c r="B117" s="22" t="s">
        <v>543</v>
      </c>
      <c r="C117" s="22" t="s">
        <v>195</v>
      </c>
      <c r="D117" s="22" t="s">
        <v>196</v>
      </c>
      <c r="E117" s="22" t="s">
        <v>181</v>
      </c>
      <c r="F117" s="20" t="s">
        <v>544</v>
      </c>
      <c r="G117" s="22">
        <v>11</v>
      </c>
      <c r="H117" s="22" t="s">
        <v>183</v>
      </c>
      <c r="I117" s="22" t="s">
        <v>184</v>
      </c>
      <c r="J117" s="36">
        <v>183000</v>
      </c>
      <c r="K117" s="36">
        <v>92800</v>
      </c>
      <c r="L117" s="36">
        <v>14500</v>
      </c>
      <c r="M117" s="36">
        <f t="shared" si="8"/>
        <v>290300</v>
      </c>
      <c r="N117" s="34">
        <f t="shared" si="14"/>
        <v>0.00152193835074938</v>
      </c>
      <c r="O117" s="35">
        <f>SUM($M$2:M117)</f>
        <v>134275800</v>
      </c>
      <c r="P117" s="34">
        <f t="shared" si="15"/>
        <v>0.703959661031877</v>
      </c>
      <c r="Q117" s="39">
        <v>27.8</v>
      </c>
      <c r="R117" s="22">
        <v>15</v>
      </c>
      <c r="S117" s="22">
        <v>3</v>
      </c>
      <c r="T117" s="22">
        <v>1</v>
      </c>
      <c r="U117" s="39">
        <v>64.4</v>
      </c>
      <c r="V117" s="22">
        <v>32</v>
      </c>
      <c r="W117" s="22">
        <v>6</v>
      </c>
      <c r="X117" s="40">
        <v>459</v>
      </c>
      <c r="Y117" s="22">
        <v>2</v>
      </c>
      <c r="Z117" s="22">
        <v>1</v>
      </c>
      <c r="AA117" s="22" t="s">
        <v>315</v>
      </c>
      <c r="AB117" s="22" t="s">
        <v>220</v>
      </c>
      <c r="AC117" s="42">
        <f>IFERROR(LOOKUP(M117,打分卡!$F$7:$J$7,打分卡!$K$7:$O$7),1)</f>
        <v>4</v>
      </c>
      <c r="AD117" s="42">
        <f>IFERROR(LOOKUP(S117,打分卡!$F$8:$J$8,打分卡!$K$8:$O$8),1)</f>
        <v>3</v>
      </c>
      <c r="AE117" s="42">
        <f>IFERROR(LOOKUP(T117,打分卡!$F$9:$I$9,打分卡!$K$9:$N$9),1)</f>
        <v>2</v>
      </c>
      <c r="AF117" s="42">
        <f>IFERROR(LOOKUP(Q117,打分卡!$F$10:$J$10,打分卡!$K$10:$O$10),1)</f>
        <v>4</v>
      </c>
      <c r="AG117" s="42">
        <f>IFERROR(LOOKUP(R117,打分卡!$F$11:$J$11,打分卡!$K$11:$O$11),1)</f>
        <v>5</v>
      </c>
      <c r="AH117" s="42">
        <f>IFERROR(LOOKUP(U117,打分卡!$F$12:$J$12,打分卡!$K$12:$O$12),1)</f>
        <v>4</v>
      </c>
      <c r="AI117" s="42">
        <f>IFERROR(LOOKUP(X117,打分卡!$F$13:$J$13,打分卡!$K$13:$O$13),1)</f>
        <v>5</v>
      </c>
      <c r="AJ117" s="42">
        <f>IFERROR(LOOKUP(Y117,打分卡!$F$14:$J$14,打分卡!$K$14:$O$14),1)</f>
        <v>3</v>
      </c>
      <c r="AK117" s="42">
        <f>IFERROR(LOOKUP(W117,打分卡!$F$15:$J$15,打分卡!$K$15:$O$15),1)</f>
        <v>4</v>
      </c>
      <c r="AL117" s="45">
        <f t="shared" si="9"/>
        <v>2</v>
      </c>
      <c r="AM117" s="42">
        <f>IFERROR(LOOKUP(Z117,打分卡!$F$17:$H$17,打分卡!$K$17:$M$17),1)</f>
        <v>3</v>
      </c>
      <c r="AN117" s="46">
        <f>(打分卡!$D$7*AC117+打分卡!$D$8*AD117+打分卡!$D$9*AE117)/5</f>
        <v>27.6</v>
      </c>
      <c r="AO117" s="46">
        <f>(打分卡!$D$10*AF117+打分卡!$D$11*AG117)/5</f>
        <v>18</v>
      </c>
      <c r="AP117" s="46">
        <f>(打分卡!$D$12*AH117+打分卡!$D$13*AI117+打分卡!$D$14*AJ117+打分卡!$D$15*AK117)/5</f>
        <v>24.4</v>
      </c>
      <c r="AQ117" s="46">
        <f>(打分卡!$D$16*AL117+打分卡!$D$17*AM117)/5</f>
        <v>4.8</v>
      </c>
      <c r="AR117" s="48">
        <f t="shared" si="10"/>
        <v>74.8</v>
      </c>
      <c r="AS117" s="45" t="str">
        <f t="shared" si="11"/>
        <v>腰部</v>
      </c>
      <c r="AT117" s="45" t="str">
        <f t="shared" si="12"/>
        <v/>
      </c>
      <c r="AU117" s="45" t="str">
        <f t="shared" si="13"/>
        <v>拉·主攻：主推AI外呼+大促作战包</v>
      </c>
    </row>
    <row r="118" ht="15" customHeight="1" spans="1:47">
      <c r="A118" s="30" t="s">
        <v>545</v>
      </c>
      <c r="B118" s="31" t="s">
        <v>546</v>
      </c>
      <c r="C118" s="31" t="s">
        <v>189</v>
      </c>
      <c r="D118" s="31" t="s">
        <v>190</v>
      </c>
      <c r="E118" s="31" t="s">
        <v>197</v>
      </c>
      <c r="F118" s="30" t="s">
        <v>547</v>
      </c>
      <c r="G118" s="31">
        <v>20</v>
      </c>
      <c r="H118" s="31" t="s">
        <v>301</v>
      </c>
      <c r="I118" s="31" t="s">
        <v>184</v>
      </c>
      <c r="J118" s="33">
        <v>175800</v>
      </c>
      <c r="K118" s="33">
        <v>89500</v>
      </c>
      <c r="L118" s="33">
        <v>24800</v>
      </c>
      <c r="M118" s="33">
        <f t="shared" si="8"/>
        <v>290100</v>
      </c>
      <c r="N118" s="34">
        <f t="shared" si="14"/>
        <v>0.0015208898227778</v>
      </c>
      <c r="O118" s="35">
        <f>SUM($M$2:M118)</f>
        <v>134565900</v>
      </c>
      <c r="P118" s="34">
        <f t="shared" si="15"/>
        <v>0.705480550854655</v>
      </c>
      <c r="Q118" s="37">
        <v>24.8</v>
      </c>
      <c r="R118" s="31">
        <v>10</v>
      </c>
      <c r="S118" s="31">
        <v>3</v>
      </c>
      <c r="T118" s="31">
        <v>1</v>
      </c>
      <c r="U118" s="37">
        <v>259.9</v>
      </c>
      <c r="V118" s="31">
        <v>33</v>
      </c>
      <c r="W118" s="31">
        <v>2</v>
      </c>
      <c r="X118" s="38">
        <v>188</v>
      </c>
      <c r="Y118" s="31">
        <v>2</v>
      </c>
      <c r="Z118" s="31">
        <v>1</v>
      </c>
      <c r="AA118" s="31" t="s">
        <v>185</v>
      </c>
      <c r="AB118" s="31" t="s">
        <v>220</v>
      </c>
      <c r="AC118" s="41">
        <f>IFERROR(LOOKUP(M118,打分卡!$F$7:$J$7,打分卡!$K$7:$O$7),1)</f>
        <v>4</v>
      </c>
      <c r="AD118" s="41">
        <f>IFERROR(LOOKUP(S118,打分卡!$F$8:$J$8,打分卡!$K$8:$O$8),1)</f>
        <v>3</v>
      </c>
      <c r="AE118" s="41">
        <f>IFERROR(LOOKUP(T118,打分卡!$F$9:$I$9,打分卡!$K$9:$N$9),1)</f>
        <v>2</v>
      </c>
      <c r="AF118" s="41">
        <f>IFERROR(LOOKUP(Q118,打分卡!$F$10:$J$10,打分卡!$K$10:$O$10),1)</f>
        <v>4</v>
      </c>
      <c r="AG118" s="41">
        <f>IFERROR(LOOKUP(R118,打分卡!$F$11:$J$11,打分卡!$K$11:$O$11),1)</f>
        <v>4</v>
      </c>
      <c r="AH118" s="41">
        <f>IFERROR(LOOKUP(U118,打分卡!$F$12:$J$12,打分卡!$K$12:$O$12),1)</f>
        <v>5</v>
      </c>
      <c r="AI118" s="41">
        <f>IFERROR(LOOKUP(X118,打分卡!$F$13:$J$13,打分卡!$K$13:$O$13),1)</f>
        <v>4</v>
      </c>
      <c r="AJ118" s="41">
        <f>IFERROR(LOOKUP(Y118,打分卡!$F$14:$J$14,打分卡!$K$14:$O$14),1)</f>
        <v>3</v>
      </c>
      <c r="AK118" s="41">
        <f>IFERROR(LOOKUP(W118,打分卡!$F$15:$J$15,打分卡!$K$15:$O$15),1)</f>
        <v>2</v>
      </c>
      <c r="AL118" s="43">
        <f t="shared" si="9"/>
        <v>3</v>
      </c>
      <c r="AM118" s="41">
        <f>IFERROR(LOOKUP(Z118,打分卡!$F$17:$H$17,打分卡!$K$17:$M$17),1)</f>
        <v>3</v>
      </c>
      <c r="AN118" s="44">
        <f>(打分卡!$D$7*AC118+打分卡!$D$8*AD118+打分卡!$D$9*AE118)/5</f>
        <v>27.6</v>
      </c>
      <c r="AO118" s="44">
        <f>(打分卡!$D$10*AF118+打分卡!$D$11*AG118)/5</f>
        <v>16</v>
      </c>
      <c r="AP118" s="44">
        <f>(打分卡!$D$12*AH118+打分卡!$D$13*AI118+打分卡!$D$14*AJ118+打分卡!$D$15*AK118)/5</f>
        <v>23.6</v>
      </c>
      <c r="AQ118" s="44">
        <f>(打分卡!$D$16*AL118+打分卡!$D$17*AM118)/5</f>
        <v>6</v>
      </c>
      <c r="AR118" s="47">
        <f t="shared" si="10"/>
        <v>73.2</v>
      </c>
      <c r="AS118" s="43" t="str">
        <f t="shared" si="11"/>
        <v>腰部</v>
      </c>
      <c r="AT118" s="43" t="str">
        <f t="shared" si="12"/>
        <v/>
      </c>
      <c r="AU118" s="43" t="str">
        <f t="shared" si="13"/>
        <v>拉·主攻：主推AI外呼+大促作战包</v>
      </c>
    </row>
    <row r="119" ht="15" customHeight="1" spans="1:47">
      <c r="A119" s="20" t="s">
        <v>548</v>
      </c>
      <c r="B119" s="22" t="s">
        <v>549</v>
      </c>
      <c r="C119" s="22" t="s">
        <v>218</v>
      </c>
      <c r="D119" s="22" t="s">
        <v>202</v>
      </c>
      <c r="E119" s="22" t="s">
        <v>181</v>
      </c>
      <c r="F119" s="20" t="s">
        <v>530</v>
      </c>
      <c r="G119" s="22">
        <v>18</v>
      </c>
      <c r="H119" s="22" t="s">
        <v>183</v>
      </c>
      <c r="I119" s="22" t="s">
        <v>302</v>
      </c>
      <c r="J119" s="36">
        <v>146500</v>
      </c>
      <c r="K119" s="36">
        <v>105100</v>
      </c>
      <c r="L119" s="36">
        <v>37600</v>
      </c>
      <c r="M119" s="36">
        <f t="shared" si="8"/>
        <v>289200</v>
      </c>
      <c r="N119" s="34">
        <f t="shared" si="14"/>
        <v>0.00151617144690569</v>
      </c>
      <c r="O119" s="35">
        <f>SUM($M$2:M119)</f>
        <v>134855100</v>
      </c>
      <c r="P119" s="34">
        <f t="shared" si="15"/>
        <v>0.706996722301561</v>
      </c>
      <c r="Q119" s="39">
        <v>40.8</v>
      </c>
      <c r="R119" s="22">
        <v>12</v>
      </c>
      <c r="S119" s="22">
        <v>3</v>
      </c>
      <c r="T119" s="22">
        <v>2</v>
      </c>
      <c r="U119" s="39">
        <v>197.8</v>
      </c>
      <c r="V119" s="22">
        <v>30</v>
      </c>
      <c r="W119" s="22">
        <v>2</v>
      </c>
      <c r="X119" s="40">
        <v>107</v>
      </c>
      <c r="Y119" s="22">
        <v>4</v>
      </c>
      <c r="Z119" s="22">
        <v>1</v>
      </c>
      <c r="AA119" s="22" t="s">
        <v>199</v>
      </c>
      <c r="AB119" s="22" t="s">
        <v>220</v>
      </c>
      <c r="AC119" s="42">
        <f>IFERROR(LOOKUP(M119,打分卡!$F$7:$J$7,打分卡!$K$7:$O$7),1)</f>
        <v>4</v>
      </c>
      <c r="AD119" s="42">
        <f>IFERROR(LOOKUP(S119,打分卡!$F$8:$J$8,打分卡!$K$8:$O$8),1)</f>
        <v>3</v>
      </c>
      <c r="AE119" s="42">
        <f>IFERROR(LOOKUP(T119,打分卡!$F$9:$I$9,打分卡!$K$9:$N$9),1)</f>
        <v>3</v>
      </c>
      <c r="AF119" s="42">
        <f>IFERROR(LOOKUP(Q119,打分卡!$F$10:$J$10,打分卡!$K$10:$O$10),1)</f>
        <v>4</v>
      </c>
      <c r="AG119" s="42">
        <f>IFERROR(LOOKUP(R119,打分卡!$F$11:$J$11,打分卡!$K$11:$O$11),1)</f>
        <v>4</v>
      </c>
      <c r="AH119" s="42">
        <f>IFERROR(LOOKUP(U119,打分卡!$F$12:$J$12,打分卡!$K$12:$O$12),1)</f>
        <v>5</v>
      </c>
      <c r="AI119" s="42">
        <f>IFERROR(LOOKUP(X119,打分卡!$F$13:$J$13,打分卡!$K$13:$O$13),1)</f>
        <v>4</v>
      </c>
      <c r="AJ119" s="42">
        <f>IFERROR(LOOKUP(Y119,打分卡!$F$14:$J$14,打分卡!$K$14:$O$14),1)</f>
        <v>4</v>
      </c>
      <c r="AK119" s="42">
        <f>IFERROR(LOOKUP(W119,打分卡!$F$15:$J$15,打分卡!$K$15:$O$15),1)</f>
        <v>2</v>
      </c>
      <c r="AL119" s="45">
        <f t="shared" si="9"/>
        <v>5</v>
      </c>
      <c r="AM119" s="42">
        <f>IFERROR(LOOKUP(Z119,打分卡!$F$17:$H$17,打分卡!$K$17:$M$17),1)</f>
        <v>3</v>
      </c>
      <c r="AN119" s="46">
        <f>(打分卡!$D$7*AC119+打分卡!$D$8*AD119+打分卡!$D$9*AE119)/5</f>
        <v>29</v>
      </c>
      <c r="AO119" s="46">
        <f>(打分卡!$D$10*AF119+打分卡!$D$11*AG119)/5</f>
        <v>16</v>
      </c>
      <c r="AP119" s="46">
        <f>(打分卡!$D$12*AH119+打分卡!$D$13*AI119+打分卡!$D$14*AJ119+打分卡!$D$15*AK119)/5</f>
        <v>24.8</v>
      </c>
      <c r="AQ119" s="46">
        <f>(打分卡!$D$16*AL119+打分卡!$D$17*AM119)/5</f>
        <v>8.4</v>
      </c>
      <c r="AR119" s="48">
        <f t="shared" si="10"/>
        <v>78.2</v>
      </c>
      <c r="AS119" s="45" t="str">
        <f t="shared" si="11"/>
        <v>KA</v>
      </c>
      <c r="AT119" s="45" t="str">
        <f t="shared" si="12"/>
        <v/>
      </c>
      <c r="AU119" s="45" t="str">
        <f t="shared" si="13"/>
        <v>扩·深化：AI外呼场景深化+Push/企微补全</v>
      </c>
    </row>
    <row r="120" ht="15" customHeight="1" spans="1:47">
      <c r="A120" s="30" t="s">
        <v>550</v>
      </c>
      <c r="B120" s="31" t="s">
        <v>551</v>
      </c>
      <c r="C120" s="31" t="s">
        <v>189</v>
      </c>
      <c r="D120" s="31" t="s">
        <v>196</v>
      </c>
      <c r="E120" s="31" t="s">
        <v>181</v>
      </c>
      <c r="F120" s="30" t="s">
        <v>552</v>
      </c>
      <c r="G120" s="31">
        <v>27</v>
      </c>
      <c r="H120" s="31" t="s">
        <v>301</v>
      </c>
      <c r="I120" s="31" t="s">
        <v>184</v>
      </c>
      <c r="J120" s="33">
        <v>157000</v>
      </c>
      <c r="K120" s="33">
        <v>62600</v>
      </c>
      <c r="L120" s="33">
        <v>66900</v>
      </c>
      <c r="M120" s="33">
        <f t="shared" si="8"/>
        <v>286500</v>
      </c>
      <c r="N120" s="34">
        <f t="shared" si="14"/>
        <v>0.00150201631928935</v>
      </c>
      <c r="O120" s="35">
        <f>SUM($M$2:M120)</f>
        <v>135141600</v>
      </c>
      <c r="P120" s="34">
        <f t="shared" si="15"/>
        <v>0.70849873862085</v>
      </c>
      <c r="Q120" s="37">
        <v>22.1</v>
      </c>
      <c r="R120" s="31">
        <v>9</v>
      </c>
      <c r="S120" s="31">
        <v>2</v>
      </c>
      <c r="T120" s="31">
        <v>2</v>
      </c>
      <c r="U120" s="37">
        <v>29.5</v>
      </c>
      <c r="V120" s="31">
        <v>24</v>
      </c>
      <c r="W120" s="31">
        <v>4</v>
      </c>
      <c r="X120" s="38">
        <v>321</v>
      </c>
      <c r="Y120" s="31">
        <v>5</v>
      </c>
      <c r="Z120" s="31">
        <v>0</v>
      </c>
      <c r="AA120" s="31" t="s">
        <v>185</v>
      </c>
      <c r="AB120" s="31" t="s">
        <v>220</v>
      </c>
      <c r="AC120" s="41">
        <f>IFERROR(LOOKUP(M120,打分卡!$F$7:$J$7,打分卡!$K$7:$O$7),1)</f>
        <v>4</v>
      </c>
      <c r="AD120" s="41">
        <f>IFERROR(LOOKUP(S120,打分卡!$F$8:$J$8,打分卡!$K$8:$O$8),1)</f>
        <v>2</v>
      </c>
      <c r="AE120" s="41">
        <f>IFERROR(LOOKUP(T120,打分卡!$F$9:$I$9,打分卡!$K$9:$N$9),1)</f>
        <v>3</v>
      </c>
      <c r="AF120" s="41">
        <f>IFERROR(LOOKUP(Q120,打分卡!$F$10:$J$10,打分卡!$K$10:$O$10),1)</f>
        <v>3</v>
      </c>
      <c r="AG120" s="41">
        <f>IFERROR(LOOKUP(R120,打分卡!$F$11:$J$11,打分卡!$K$11:$O$11),1)</f>
        <v>4</v>
      </c>
      <c r="AH120" s="41">
        <f>IFERROR(LOOKUP(U120,打分卡!$F$12:$J$12,打分卡!$K$12:$O$12),1)</f>
        <v>3</v>
      </c>
      <c r="AI120" s="41">
        <f>IFERROR(LOOKUP(X120,打分卡!$F$13:$J$13,打分卡!$K$13:$O$13),1)</f>
        <v>5</v>
      </c>
      <c r="AJ120" s="41">
        <f>IFERROR(LOOKUP(Y120,打分卡!$F$14:$J$14,打分卡!$K$14:$O$14),1)</f>
        <v>5</v>
      </c>
      <c r="AK120" s="41">
        <f>IFERROR(LOOKUP(W120,打分卡!$F$15:$J$15,打分卡!$K$15:$O$15),1)</f>
        <v>3</v>
      </c>
      <c r="AL120" s="43">
        <f t="shared" si="9"/>
        <v>3</v>
      </c>
      <c r="AM120" s="41">
        <f>IFERROR(LOOKUP(Z120,打分卡!$F$17:$H$17,打分卡!$K$17:$M$17),1)</f>
        <v>1</v>
      </c>
      <c r="AN120" s="44">
        <f>(打分卡!$D$7*AC120+打分卡!$D$8*AD120+打分卡!$D$9*AE120)/5</f>
        <v>27.4</v>
      </c>
      <c r="AO120" s="44">
        <f>(打分卡!$D$10*AF120+打分卡!$D$11*AG120)/5</f>
        <v>14</v>
      </c>
      <c r="AP120" s="44">
        <f>(打分卡!$D$12*AH120+打分卡!$D$13*AI120+打分卡!$D$14*AJ120+打分卡!$D$15*AK120)/5</f>
        <v>23.6</v>
      </c>
      <c r="AQ120" s="44">
        <f>(打分卡!$D$16*AL120+打分卡!$D$17*AM120)/5</f>
        <v>4.4</v>
      </c>
      <c r="AR120" s="47">
        <f t="shared" si="10"/>
        <v>69.4</v>
      </c>
      <c r="AS120" s="43" t="str">
        <f t="shared" si="11"/>
        <v>腰部</v>
      </c>
      <c r="AT120" s="43" t="str">
        <f t="shared" si="12"/>
        <v/>
      </c>
      <c r="AU120" s="43" t="str">
        <f t="shared" si="13"/>
        <v>拉·主攻：主推AI外呼+大促作战包</v>
      </c>
    </row>
    <row r="121" ht="15" customHeight="1" spans="1:47">
      <c r="A121" s="20" t="s">
        <v>553</v>
      </c>
      <c r="B121" s="22" t="s">
        <v>554</v>
      </c>
      <c r="C121" s="22" t="s">
        <v>209</v>
      </c>
      <c r="D121" s="22" t="s">
        <v>180</v>
      </c>
      <c r="E121" s="22" t="s">
        <v>181</v>
      </c>
      <c r="F121" s="20" t="s">
        <v>555</v>
      </c>
      <c r="G121" s="22">
        <v>10</v>
      </c>
      <c r="H121" s="22" t="s">
        <v>183</v>
      </c>
      <c r="I121" s="22" t="s">
        <v>302</v>
      </c>
      <c r="J121" s="36">
        <v>133000</v>
      </c>
      <c r="K121" s="36">
        <v>66200</v>
      </c>
      <c r="L121" s="36">
        <v>86000</v>
      </c>
      <c r="M121" s="36">
        <f t="shared" si="8"/>
        <v>285200</v>
      </c>
      <c r="N121" s="34">
        <f t="shared" si="14"/>
        <v>0.00149520088747408</v>
      </c>
      <c r="O121" s="35">
        <f>SUM($M$2:M121)</f>
        <v>135426800</v>
      </c>
      <c r="P121" s="34">
        <f t="shared" si="15"/>
        <v>0.709993939508324</v>
      </c>
      <c r="Q121" s="39">
        <v>36</v>
      </c>
      <c r="R121" s="22">
        <v>7</v>
      </c>
      <c r="S121" s="22">
        <v>3</v>
      </c>
      <c r="T121" s="22">
        <v>1</v>
      </c>
      <c r="U121" s="39">
        <v>212.4</v>
      </c>
      <c r="V121" s="22">
        <v>11</v>
      </c>
      <c r="W121" s="22">
        <v>2</v>
      </c>
      <c r="X121" s="40">
        <v>232</v>
      </c>
      <c r="Y121" s="22">
        <v>4</v>
      </c>
      <c r="Z121" s="22">
        <v>0</v>
      </c>
      <c r="AA121" s="22" t="s">
        <v>199</v>
      </c>
      <c r="AB121" s="22" t="s">
        <v>220</v>
      </c>
      <c r="AC121" s="42">
        <f>IFERROR(LOOKUP(M121,打分卡!$F$7:$J$7,打分卡!$K$7:$O$7),1)</f>
        <v>4</v>
      </c>
      <c r="AD121" s="42">
        <f>IFERROR(LOOKUP(S121,打分卡!$F$8:$J$8,打分卡!$K$8:$O$8),1)</f>
        <v>3</v>
      </c>
      <c r="AE121" s="42">
        <f>IFERROR(LOOKUP(T121,打分卡!$F$9:$I$9,打分卡!$K$9:$N$9),1)</f>
        <v>2</v>
      </c>
      <c r="AF121" s="42">
        <f>IFERROR(LOOKUP(Q121,打分卡!$F$10:$J$10,打分卡!$K$10:$O$10),1)</f>
        <v>4</v>
      </c>
      <c r="AG121" s="42">
        <f>IFERROR(LOOKUP(R121,打分卡!$F$11:$J$11,打分卡!$K$11:$O$11),1)</f>
        <v>3</v>
      </c>
      <c r="AH121" s="42">
        <f>IFERROR(LOOKUP(U121,打分卡!$F$12:$J$12,打分卡!$K$12:$O$12),1)</f>
        <v>5</v>
      </c>
      <c r="AI121" s="42">
        <f>IFERROR(LOOKUP(X121,打分卡!$F$13:$J$13,打分卡!$K$13:$O$13),1)</f>
        <v>5</v>
      </c>
      <c r="AJ121" s="42">
        <f>IFERROR(LOOKUP(Y121,打分卡!$F$14:$J$14,打分卡!$K$14:$O$14),1)</f>
        <v>4</v>
      </c>
      <c r="AK121" s="42">
        <f>IFERROR(LOOKUP(W121,打分卡!$F$15:$J$15,打分卡!$K$15:$O$15),1)</f>
        <v>2</v>
      </c>
      <c r="AL121" s="45">
        <f t="shared" si="9"/>
        <v>5</v>
      </c>
      <c r="AM121" s="42">
        <f>IFERROR(LOOKUP(Z121,打分卡!$F$17:$H$17,打分卡!$K$17:$M$17),1)</f>
        <v>1</v>
      </c>
      <c r="AN121" s="46">
        <f>(打分卡!$D$7*AC121+打分卡!$D$8*AD121+打分卡!$D$9*AE121)/5</f>
        <v>27.6</v>
      </c>
      <c r="AO121" s="46">
        <f>(打分卡!$D$10*AF121+打分卡!$D$11*AG121)/5</f>
        <v>14</v>
      </c>
      <c r="AP121" s="46">
        <f>(打分卡!$D$12*AH121+打分卡!$D$13*AI121+打分卡!$D$14*AJ121+打分卡!$D$15*AK121)/5</f>
        <v>26.4</v>
      </c>
      <c r="AQ121" s="46">
        <f>(打分卡!$D$16*AL121+打分卡!$D$17*AM121)/5</f>
        <v>6.8</v>
      </c>
      <c r="AR121" s="48">
        <f t="shared" si="10"/>
        <v>74.8</v>
      </c>
      <c r="AS121" s="45" t="str">
        <f t="shared" si="11"/>
        <v>腰部</v>
      </c>
      <c r="AT121" s="45" t="str">
        <f t="shared" si="12"/>
        <v/>
      </c>
      <c r="AU121" s="45" t="str">
        <f t="shared" si="13"/>
        <v>拉·主攻：主推AI外呼+大促作战包</v>
      </c>
    </row>
    <row r="122" ht="15" customHeight="1" spans="1:47">
      <c r="A122" s="30" t="s">
        <v>556</v>
      </c>
      <c r="B122" s="31" t="s">
        <v>557</v>
      </c>
      <c r="C122" s="31" t="s">
        <v>239</v>
      </c>
      <c r="D122" s="31" t="s">
        <v>190</v>
      </c>
      <c r="E122" s="31" t="s">
        <v>181</v>
      </c>
      <c r="F122" s="30" t="s">
        <v>369</v>
      </c>
      <c r="G122" s="31">
        <v>14</v>
      </c>
      <c r="H122" s="31" t="s">
        <v>183</v>
      </c>
      <c r="I122" s="31" t="s">
        <v>302</v>
      </c>
      <c r="J122" s="33">
        <v>174100</v>
      </c>
      <c r="K122" s="33">
        <v>74200</v>
      </c>
      <c r="L122" s="33">
        <v>36800</v>
      </c>
      <c r="M122" s="33">
        <f t="shared" si="8"/>
        <v>285100</v>
      </c>
      <c r="N122" s="34">
        <f t="shared" si="14"/>
        <v>0.00149467662348828</v>
      </c>
      <c r="O122" s="35">
        <f>SUM($M$2:M122)</f>
        <v>135711900</v>
      </c>
      <c r="P122" s="34">
        <f t="shared" si="15"/>
        <v>0.711488616131813</v>
      </c>
      <c r="Q122" s="37">
        <v>35.3</v>
      </c>
      <c r="R122" s="31">
        <v>7</v>
      </c>
      <c r="S122" s="31">
        <v>3</v>
      </c>
      <c r="T122" s="31">
        <v>2</v>
      </c>
      <c r="U122" s="37">
        <v>56.8</v>
      </c>
      <c r="V122" s="31">
        <v>27</v>
      </c>
      <c r="W122" s="31">
        <v>8</v>
      </c>
      <c r="X122" s="38">
        <v>740</v>
      </c>
      <c r="Y122" s="31">
        <v>2</v>
      </c>
      <c r="Z122" s="31">
        <v>1</v>
      </c>
      <c r="AA122" s="31" t="s">
        <v>185</v>
      </c>
      <c r="AB122" s="31" t="s">
        <v>220</v>
      </c>
      <c r="AC122" s="41">
        <f>IFERROR(LOOKUP(M122,打分卡!$F$7:$J$7,打分卡!$K$7:$O$7),1)</f>
        <v>4</v>
      </c>
      <c r="AD122" s="41">
        <f>IFERROR(LOOKUP(S122,打分卡!$F$8:$J$8,打分卡!$K$8:$O$8),1)</f>
        <v>3</v>
      </c>
      <c r="AE122" s="41">
        <f>IFERROR(LOOKUP(T122,打分卡!$F$9:$I$9,打分卡!$K$9:$N$9),1)</f>
        <v>3</v>
      </c>
      <c r="AF122" s="41">
        <f>IFERROR(LOOKUP(Q122,打分卡!$F$10:$J$10,打分卡!$K$10:$O$10),1)</f>
        <v>4</v>
      </c>
      <c r="AG122" s="41">
        <f>IFERROR(LOOKUP(R122,打分卡!$F$11:$J$11,打分卡!$K$11:$O$11),1)</f>
        <v>3</v>
      </c>
      <c r="AH122" s="41">
        <f>IFERROR(LOOKUP(U122,打分卡!$F$12:$J$12,打分卡!$K$12:$O$12),1)</f>
        <v>4</v>
      </c>
      <c r="AI122" s="41">
        <f>IFERROR(LOOKUP(X122,打分卡!$F$13:$J$13,打分卡!$K$13:$O$13),1)</f>
        <v>5</v>
      </c>
      <c r="AJ122" s="41">
        <f>IFERROR(LOOKUP(Y122,打分卡!$F$14:$J$14,打分卡!$K$14:$O$14),1)</f>
        <v>3</v>
      </c>
      <c r="AK122" s="41">
        <f>IFERROR(LOOKUP(W122,打分卡!$F$15:$J$15,打分卡!$K$15:$O$15),1)</f>
        <v>4</v>
      </c>
      <c r="AL122" s="43">
        <f t="shared" si="9"/>
        <v>3</v>
      </c>
      <c r="AM122" s="41">
        <f>IFERROR(LOOKUP(Z122,打分卡!$F$17:$H$17,打分卡!$K$17:$M$17),1)</f>
        <v>3</v>
      </c>
      <c r="AN122" s="44">
        <f>(打分卡!$D$7*AC122+打分卡!$D$8*AD122+打分卡!$D$9*AE122)/5</f>
        <v>29</v>
      </c>
      <c r="AO122" s="44">
        <f>(打分卡!$D$10*AF122+打分卡!$D$11*AG122)/5</f>
        <v>14</v>
      </c>
      <c r="AP122" s="44">
        <f>(打分卡!$D$12*AH122+打分卡!$D$13*AI122+打分卡!$D$14*AJ122+打分卡!$D$15*AK122)/5</f>
        <v>24.4</v>
      </c>
      <c r="AQ122" s="44">
        <f>(打分卡!$D$16*AL122+打分卡!$D$17*AM122)/5</f>
        <v>6</v>
      </c>
      <c r="AR122" s="47">
        <f t="shared" si="10"/>
        <v>73.4</v>
      </c>
      <c r="AS122" s="43" t="str">
        <f t="shared" si="11"/>
        <v>腰部</v>
      </c>
      <c r="AT122" s="43" t="str">
        <f t="shared" si="12"/>
        <v/>
      </c>
      <c r="AU122" s="43" t="str">
        <f t="shared" si="13"/>
        <v>拉·主攻：主推AI外呼+大促作战包</v>
      </c>
    </row>
    <row r="123" ht="15" customHeight="1" spans="1:47">
      <c r="A123" s="20" t="s">
        <v>558</v>
      </c>
      <c r="B123" s="22" t="s">
        <v>559</v>
      </c>
      <c r="C123" s="22" t="s">
        <v>223</v>
      </c>
      <c r="D123" s="22" t="s">
        <v>235</v>
      </c>
      <c r="E123" s="22" t="s">
        <v>181</v>
      </c>
      <c r="F123" s="20" t="s">
        <v>560</v>
      </c>
      <c r="G123" s="22">
        <v>13</v>
      </c>
      <c r="H123" s="22" t="s">
        <v>301</v>
      </c>
      <c r="I123" s="22" t="s">
        <v>302</v>
      </c>
      <c r="J123" s="36">
        <v>136600</v>
      </c>
      <c r="K123" s="36">
        <v>67100</v>
      </c>
      <c r="L123" s="36">
        <v>77800</v>
      </c>
      <c r="M123" s="36">
        <f t="shared" si="8"/>
        <v>281500</v>
      </c>
      <c r="N123" s="34">
        <f t="shared" si="14"/>
        <v>0.00147580311999983</v>
      </c>
      <c r="O123" s="35">
        <f>SUM($M$2:M123)</f>
        <v>135993400</v>
      </c>
      <c r="P123" s="34">
        <f t="shared" si="15"/>
        <v>0.712964419251812</v>
      </c>
      <c r="Q123" s="39">
        <v>41.8</v>
      </c>
      <c r="R123" s="22">
        <v>7</v>
      </c>
      <c r="S123" s="22">
        <v>3</v>
      </c>
      <c r="T123" s="22">
        <v>2</v>
      </c>
      <c r="U123" s="39">
        <v>168</v>
      </c>
      <c r="V123" s="22">
        <v>13</v>
      </c>
      <c r="W123" s="22">
        <v>7</v>
      </c>
      <c r="X123" s="40">
        <v>123</v>
      </c>
      <c r="Y123" s="22">
        <v>5</v>
      </c>
      <c r="Z123" s="22">
        <v>1</v>
      </c>
      <c r="AA123" s="22" t="s">
        <v>199</v>
      </c>
      <c r="AB123" s="22" t="s">
        <v>220</v>
      </c>
      <c r="AC123" s="42">
        <f>IFERROR(LOOKUP(M123,打分卡!$F$7:$J$7,打分卡!$K$7:$O$7),1)</f>
        <v>4</v>
      </c>
      <c r="AD123" s="42">
        <f>IFERROR(LOOKUP(S123,打分卡!$F$8:$J$8,打分卡!$K$8:$O$8),1)</f>
        <v>3</v>
      </c>
      <c r="AE123" s="42">
        <f>IFERROR(LOOKUP(T123,打分卡!$F$9:$I$9,打分卡!$K$9:$N$9),1)</f>
        <v>3</v>
      </c>
      <c r="AF123" s="42">
        <f>IFERROR(LOOKUP(Q123,打分卡!$F$10:$J$10,打分卡!$K$10:$O$10),1)</f>
        <v>4</v>
      </c>
      <c r="AG123" s="42">
        <f>IFERROR(LOOKUP(R123,打分卡!$F$11:$J$11,打分卡!$K$11:$O$11),1)</f>
        <v>3</v>
      </c>
      <c r="AH123" s="42">
        <f>IFERROR(LOOKUP(U123,打分卡!$F$12:$J$12,打分卡!$K$12:$O$12),1)</f>
        <v>5</v>
      </c>
      <c r="AI123" s="42">
        <f>IFERROR(LOOKUP(X123,打分卡!$F$13:$J$13,打分卡!$K$13:$O$13),1)</f>
        <v>4</v>
      </c>
      <c r="AJ123" s="42">
        <f>IFERROR(LOOKUP(Y123,打分卡!$F$14:$J$14,打分卡!$K$14:$O$14),1)</f>
        <v>5</v>
      </c>
      <c r="AK123" s="42">
        <f>IFERROR(LOOKUP(W123,打分卡!$F$15:$J$15,打分卡!$K$15:$O$15),1)</f>
        <v>4</v>
      </c>
      <c r="AL123" s="45">
        <f t="shared" si="9"/>
        <v>5</v>
      </c>
      <c r="AM123" s="42">
        <f>IFERROR(LOOKUP(Z123,打分卡!$F$17:$H$17,打分卡!$K$17:$M$17),1)</f>
        <v>3</v>
      </c>
      <c r="AN123" s="46">
        <f>(打分卡!$D$7*AC123+打分卡!$D$8*AD123+打分卡!$D$9*AE123)/5</f>
        <v>29</v>
      </c>
      <c r="AO123" s="46">
        <f>(打分卡!$D$10*AF123+打分卡!$D$11*AG123)/5</f>
        <v>14</v>
      </c>
      <c r="AP123" s="46">
        <f>(打分卡!$D$12*AH123+打分卡!$D$13*AI123+打分卡!$D$14*AJ123+打分卡!$D$15*AK123)/5</f>
        <v>27.6</v>
      </c>
      <c r="AQ123" s="46">
        <f>(打分卡!$D$16*AL123+打分卡!$D$17*AM123)/5</f>
        <v>8.4</v>
      </c>
      <c r="AR123" s="48">
        <f t="shared" si="10"/>
        <v>79</v>
      </c>
      <c r="AS123" s="45" t="str">
        <f t="shared" si="11"/>
        <v>KA</v>
      </c>
      <c r="AT123" s="45" t="str">
        <f t="shared" si="12"/>
        <v/>
      </c>
      <c r="AU123" s="45" t="str">
        <f t="shared" si="13"/>
        <v>扩·深化：AI外呼场景深化+Push/企微补全</v>
      </c>
    </row>
    <row r="124" ht="15" customHeight="1" spans="1:47">
      <c r="A124" s="30" t="s">
        <v>561</v>
      </c>
      <c r="B124" s="31" t="s">
        <v>562</v>
      </c>
      <c r="C124" s="31" t="s">
        <v>179</v>
      </c>
      <c r="D124" s="31" t="s">
        <v>196</v>
      </c>
      <c r="E124" s="31" t="s">
        <v>181</v>
      </c>
      <c r="F124" s="30" t="s">
        <v>563</v>
      </c>
      <c r="G124" s="31">
        <v>20</v>
      </c>
      <c r="H124" s="31" t="s">
        <v>183</v>
      </c>
      <c r="I124" s="31" t="s">
        <v>184</v>
      </c>
      <c r="J124" s="33">
        <v>150600</v>
      </c>
      <c r="K124" s="33">
        <v>92700</v>
      </c>
      <c r="L124" s="33">
        <v>31100</v>
      </c>
      <c r="M124" s="33">
        <f t="shared" si="8"/>
        <v>274400</v>
      </c>
      <c r="N124" s="34">
        <f t="shared" si="14"/>
        <v>0.00143858037700872</v>
      </c>
      <c r="O124" s="35">
        <f>SUM($M$2:M124)</f>
        <v>136267800</v>
      </c>
      <c r="P124" s="34">
        <f t="shared" si="15"/>
        <v>0.714402999628821</v>
      </c>
      <c r="Q124" s="37">
        <v>35.2</v>
      </c>
      <c r="R124" s="31">
        <v>9</v>
      </c>
      <c r="S124" s="31">
        <v>4</v>
      </c>
      <c r="T124" s="31">
        <v>2</v>
      </c>
      <c r="U124" s="37">
        <v>232.3</v>
      </c>
      <c r="V124" s="31">
        <v>36</v>
      </c>
      <c r="W124" s="31">
        <v>2</v>
      </c>
      <c r="X124" s="38">
        <v>256</v>
      </c>
      <c r="Y124" s="31">
        <v>6</v>
      </c>
      <c r="Z124" s="31">
        <v>1</v>
      </c>
      <c r="AA124" s="31" t="s">
        <v>185</v>
      </c>
      <c r="AB124" s="31" t="s">
        <v>220</v>
      </c>
      <c r="AC124" s="41">
        <f>IFERROR(LOOKUP(M124,打分卡!$F$7:$J$7,打分卡!$K$7:$O$7),1)</f>
        <v>4</v>
      </c>
      <c r="AD124" s="41">
        <f>IFERROR(LOOKUP(S124,打分卡!$F$8:$J$8,打分卡!$K$8:$O$8),1)</f>
        <v>4</v>
      </c>
      <c r="AE124" s="41">
        <f>IFERROR(LOOKUP(T124,打分卡!$F$9:$I$9,打分卡!$K$9:$N$9),1)</f>
        <v>3</v>
      </c>
      <c r="AF124" s="41">
        <f>IFERROR(LOOKUP(Q124,打分卡!$F$10:$J$10,打分卡!$K$10:$O$10),1)</f>
        <v>4</v>
      </c>
      <c r="AG124" s="41">
        <f>IFERROR(LOOKUP(R124,打分卡!$F$11:$J$11,打分卡!$K$11:$O$11),1)</f>
        <v>4</v>
      </c>
      <c r="AH124" s="41">
        <f>IFERROR(LOOKUP(U124,打分卡!$F$12:$J$12,打分卡!$K$12:$O$12),1)</f>
        <v>5</v>
      </c>
      <c r="AI124" s="41">
        <f>IFERROR(LOOKUP(X124,打分卡!$F$13:$J$13,打分卡!$K$13:$O$13),1)</f>
        <v>5</v>
      </c>
      <c r="AJ124" s="41">
        <f>IFERROR(LOOKUP(Y124,打分卡!$F$14:$J$14,打分卡!$K$14:$O$14),1)</f>
        <v>5</v>
      </c>
      <c r="AK124" s="41">
        <f>IFERROR(LOOKUP(W124,打分卡!$F$15:$J$15,打分卡!$K$15:$O$15),1)</f>
        <v>2</v>
      </c>
      <c r="AL124" s="43">
        <f t="shared" si="9"/>
        <v>3</v>
      </c>
      <c r="AM124" s="41">
        <f>IFERROR(LOOKUP(Z124,打分卡!$F$17:$H$17,打分卡!$K$17:$M$17),1)</f>
        <v>3</v>
      </c>
      <c r="AN124" s="44">
        <f>(打分卡!$D$7*AC124+打分卡!$D$8*AD124+打分卡!$D$9*AE124)/5</f>
        <v>30.6</v>
      </c>
      <c r="AO124" s="44">
        <f>(打分卡!$D$10*AF124+打分卡!$D$11*AG124)/5</f>
        <v>16</v>
      </c>
      <c r="AP124" s="44">
        <f>(打分卡!$D$12*AH124+打分卡!$D$13*AI124+打分卡!$D$14*AJ124+打分卡!$D$15*AK124)/5</f>
        <v>27.6</v>
      </c>
      <c r="AQ124" s="44">
        <f>(打分卡!$D$16*AL124+打分卡!$D$17*AM124)/5</f>
        <v>6</v>
      </c>
      <c r="AR124" s="47">
        <f t="shared" si="10"/>
        <v>80.2</v>
      </c>
      <c r="AS124" s="43" t="str">
        <f t="shared" si="11"/>
        <v>KA</v>
      </c>
      <c r="AT124" s="43" t="str">
        <f t="shared" si="12"/>
        <v/>
      </c>
      <c r="AU124" s="43" t="str">
        <f t="shared" si="13"/>
        <v>扩·深化：AI外呼场景深化+Push/企微补全</v>
      </c>
    </row>
    <row r="125" ht="15" customHeight="1" spans="1:47">
      <c r="A125" s="20" t="s">
        <v>564</v>
      </c>
      <c r="B125" s="22" t="s">
        <v>565</v>
      </c>
      <c r="C125" s="22" t="s">
        <v>179</v>
      </c>
      <c r="D125" s="22" t="s">
        <v>180</v>
      </c>
      <c r="E125" s="22" t="s">
        <v>197</v>
      </c>
      <c r="F125" s="20" t="s">
        <v>566</v>
      </c>
      <c r="G125" s="22">
        <v>6</v>
      </c>
      <c r="H125" s="22" t="s">
        <v>183</v>
      </c>
      <c r="I125" s="22" t="s">
        <v>302</v>
      </c>
      <c r="J125" s="36">
        <v>168300</v>
      </c>
      <c r="K125" s="36">
        <v>90800</v>
      </c>
      <c r="L125" s="36">
        <v>13600</v>
      </c>
      <c r="M125" s="36">
        <f t="shared" si="8"/>
        <v>272700</v>
      </c>
      <c r="N125" s="34">
        <f t="shared" si="14"/>
        <v>0.00142966788925028</v>
      </c>
      <c r="O125" s="35">
        <f>SUM($M$2:M125)</f>
        <v>136540500</v>
      </c>
      <c r="P125" s="34">
        <f t="shared" si="15"/>
        <v>0.715832667518071</v>
      </c>
      <c r="Q125" s="39">
        <v>25.4</v>
      </c>
      <c r="R125" s="22">
        <v>7</v>
      </c>
      <c r="S125" s="22">
        <v>2</v>
      </c>
      <c r="T125" s="22">
        <v>2</v>
      </c>
      <c r="U125" s="39">
        <v>64.3</v>
      </c>
      <c r="V125" s="22">
        <v>38</v>
      </c>
      <c r="W125" s="22">
        <v>5</v>
      </c>
      <c r="X125" s="40">
        <v>280</v>
      </c>
      <c r="Y125" s="22">
        <v>2</v>
      </c>
      <c r="Z125" s="22">
        <v>2</v>
      </c>
      <c r="AA125" s="22" t="s">
        <v>199</v>
      </c>
      <c r="AB125" s="22" t="s">
        <v>220</v>
      </c>
      <c r="AC125" s="42">
        <f>IFERROR(LOOKUP(M125,打分卡!$F$7:$J$7,打分卡!$K$7:$O$7),1)</f>
        <v>4</v>
      </c>
      <c r="AD125" s="42">
        <f>IFERROR(LOOKUP(S125,打分卡!$F$8:$J$8,打分卡!$K$8:$O$8),1)</f>
        <v>2</v>
      </c>
      <c r="AE125" s="42">
        <f>IFERROR(LOOKUP(T125,打分卡!$F$9:$I$9,打分卡!$K$9:$N$9),1)</f>
        <v>3</v>
      </c>
      <c r="AF125" s="42">
        <f>IFERROR(LOOKUP(Q125,打分卡!$F$10:$J$10,打分卡!$K$10:$O$10),1)</f>
        <v>4</v>
      </c>
      <c r="AG125" s="42">
        <f>IFERROR(LOOKUP(R125,打分卡!$F$11:$J$11,打分卡!$K$11:$O$11),1)</f>
        <v>3</v>
      </c>
      <c r="AH125" s="42">
        <f>IFERROR(LOOKUP(U125,打分卡!$F$12:$J$12,打分卡!$K$12:$O$12),1)</f>
        <v>4</v>
      </c>
      <c r="AI125" s="42">
        <f>IFERROR(LOOKUP(X125,打分卡!$F$13:$J$13,打分卡!$K$13:$O$13),1)</f>
        <v>5</v>
      </c>
      <c r="AJ125" s="42">
        <f>IFERROR(LOOKUP(Y125,打分卡!$F$14:$J$14,打分卡!$K$14:$O$14),1)</f>
        <v>3</v>
      </c>
      <c r="AK125" s="42">
        <f>IFERROR(LOOKUP(W125,打分卡!$F$15:$J$15,打分卡!$K$15:$O$15),1)</f>
        <v>3</v>
      </c>
      <c r="AL125" s="45">
        <f t="shared" si="9"/>
        <v>5</v>
      </c>
      <c r="AM125" s="42">
        <f>IFERROR(LOOKUP(Z125,打分卡!$F$17:$H$17,打分卡!$K$17:$M$17),1)</f>
        <v>5</v>
      </c>
      <c r="AN125" s="46">
        <f>(打分卡!$D$7*AC125+打分卡!$D$8*AD125+打分卡!$D$9*AE125)/5</f>
        <v>27.4</v>
      </c>
      <c r="AO125" s="46">
        <f>(打分卡!$D$10*AF125+打分卡!$D$11*AG125)/5</f>
        <v>14</v>
      </c>
      <c r="AP125" s="46">
        <f>(打分卡!$D$12*AH125+打分卡!$D$13*AI125+打分卡!$D$14*AJ125+打分卡!$D$15*AK125)/5</f>
        <v>23.6</v>
      </c>
      <c r="AQ125" s="46">
        <f>(打分卡!$D$16*AL125+打分卡!$D$17*AM125)/5</f>
        <v>10</v>
      </c>
      <c r="AR125" s="48">
        <f t="shared" si="10"/>
        <v>75</v>
      </c>
      <c r="AS125" s="45" t="str">
        <f t="shared" si="11"/>
        <v>KA</v>
      </c>
      <c r="AT125" s="45" t="str">
        <f t="shared" si="12"/>
        <v/>
      </c>
      <c r="AU125" s="45" t="str">
        <f t="shared" si="13"/>
        <v>扩·深化：AI外呼场景深化+Push/企微补全</v>
      </c>
    </row>
    <row r="126" ht="15" customHeight="1" spans="1:47">
      <c r="A126" s="30" t="s">
        <v>567</v>
      </c>
      <c r="B126" s="31" t="s">
        <v>568</v>
      </c>
      <c r="C126" s="31" t="s">
        <v>218</v>
      </c>
      <c r="D126" s="31" t="s">
        <v>202</v>
      </c>
      <c r="E126" s="31" t="s">
        <v>181</v>
      </c>
      <c r="F126" s="30" t="s">
        <v>569</v>
      </c>
      <c r="G126" s="31">
        <v>22</v>
      </c>
      <c r="H126" s="31" t="s">
        <v>301</v>
      </c>
      <c r="I126" s="31" t="s">
        <v>184</v>
      </c>
      <c r="J126" s="33">
        <v>175200</v>
      </c>
      <c r="K126" s="33">
        <v>58100</v>
      </c>
      <c r="L126" s="33">
        <v>37100</v>
      </c>
      <c r="M126" s="33">
        <f t="shared" si="8"/>
        <v>270400</v>
      </c>
      <c r="N126" s="34">
        <f t="shared" si="14"/>
        <v>0.0014176098175771</v>
      </c>
      <c r="O126" s="35">
        <f>SUM($M$2:M126)</f>
        <v>136810900</v>
      </c>
      <c r="P126" s="34">
        <f t="shared" si="15"/>
        <v>0.717250277335649</v>
      </c>
      <c r="Q126" s="37">
        <v>20.5</v>
      </c>
      <c r="R126" s="31">
        <v>9</v>
      </c>
      <c r="S126" s="31">
        <v>2</v>
      </c>
      <c r="T126" s="31">
        <v>3</v>
      </c>
      <c r="U126" s="37">
        <v>230.6</v>
      </c>
      <c r="V126" s="31">
        <v>30</v>
      </c>
      <c r="W126" s="31">
        <v>10</v>
      </c>
      <c r="X126" s="38">
        <v>200</v>
      </c>
      <c r="Y126" s="31">
        <v>6</v>
      </c>
      <c r="Z126" s="31">
        <v>0</v>
      </c>
      <c r="AA126" s="31" t="s">
        <v>199</v>
      </c>
      <c r="AB126" s="31" t="s">
        <v>220</v>
      </c>
      <c r="AC126" s="41">
        <f>IFERROR(LOOKUP(M126,打分卡!$F$7:$J$7,打分卡!$K$7:$O$7),1)</f>
        <v>4</v>
      </c>
      <c r="AD126" s="41">
        <f>IFERROR(LOOKUP(S126,打分卡!$F$8:$J$8,打分卡!$K$8:$O$8),1)</f>
        <v>2</v>
      </c>
      <c r="AE126" s="41">
        <f>IFERROR(LOOKUP(T126,打分卡!$F$9:$I$9,打分卡!$K$9:$N$9),1)</f>
        <v>5</v>
      </c>
      <c r="AF126" s="41">
        <f>IFERROR(LOOKUP(Q126,打分卡!$F$10:$J$10,打分卡!$K$10:$O$10),1)</f>
        <v>3</v>
      </c>
      <c r="AG126" s="41">
        <f>IFERROR(LOOKUP(R126,打分卡!$F$11:$J$11,打分卡!$K$11:$O$11),1)</f>
        <v>4</v>
      </c>
      <c r="AH126" s="41">
        <f>IFERROR(LOOKUP(U126,打分卡!$F$12:$J$12,打分卡!$K$12:$O$12),1)</f>
        <v>5</v>
      </c>
      <c r="AI126" s="41">
        <f>IFERROR(LOOKUP(X126,打分卡!$F$13:$J$13,打分卡!$K$13:$O$13),1)</f>
        <v>5</v>
      </c>
      <c r="AJ126" s="41">
        <f>IFERROR(LOOKUP(Y126,打分卡!$F$14:$J$14,打分卡!$K$14:$O$14),1)</f>
        <v>5</v>
      </c>
      <c r="AK126" s="41">
        <f>IFERROR(LOOKUP(W126,打分卡!$F$15:$J$15,打分卡!$K$15:$O$15),1)</f>
        <v>4</v>
      </c>
      <c r="AL126" s="43">
        <f t="shared" si="9"/>
        <v>5</v>
      </c>
      <c r="AM126" s="41">
        <f>IFERROR(LOOKUP(Z126,打分卡!$F$17:$H$17,打分卡!$K$17:$M$17),1)</f>
        <v>1</v>
      </c>
      <c r="AN126" s="44">
        <f>(打分卡!$D$7*AC126+打分卡!$D$8*AD126+打分卡!$D$9*AE126)/5</f>
        <v>30.2</v>
      </c>
      <c r="AO126" s="44">
        <f>(打分卡!$D$10*AF126+打分卡!$D$11*AG126)/5</f>
        <v>14</v>
      </c>
      <c r="AP126" s="44">
        <f>(打分卡!$D$12*AH126+打分卡!$D$13*AI126+打分卡!$D$14*AJ126+打分卡!$D$15*AK126)/5</f>
        <v>29.2</v>
      </c>
      <c r="AQ126" s="44">
        <f>(打分卡!$D$16*AL126+打分卡!$D$17*AM126)/5</f>
        <v>6.8</v>
      </c>
      <c r="AR126" s="47">
        <f t="shared" si="10"/>
        <v>80.2</v>
      </c>
      <c r="AS126" s="43" t="str">
        <f t="shared" si="11"/>
        <v>KA</v>
      </c>
      <c r="AT126" s="43" t="str">
        <f t="shared" si="12"/>
        <v/>
      </c>
      <c r="AU126" s="43" t="str">
        <f t="shared" si="13"/>
        <v>扩·深化：AI外呼场景深化+Push/企微补全</v>
      </c>
    </row>
    <row r="127" ht="15" customHeight="1" spans="1:47">
      <c r="A127" s="20" t="s">
        <v>570</v>
      </c>
      <c r="B127" s="22" t="s">
        <v>571</v>
      </c>
      <c r="C127" s="22" t="s">
        <v>223</v>
      </c>
      <c r="D127" s="22" t="s">
        <v>202</v>
      </c>
      <c r="E127" s="22" t="s">
        <v>181</v>
      </c>
      <c r="F127" s="20" t="s">
        <v>572</v>
      </c>
      <c r="G127" s="22">
        <v>22</v>
      </c>
      <c r="H127" s="22" t="s">
        <v>192</v>
      </c>
      <c r="I127" s="22" t="s">
        <v>184</v>
      </c>
      <c r="J127" s="36">
        <v>122200</v>
      </c>
      <c r="K127" s="36">
        <v>67400</v>
      </c>
      <c r="L127" s="36">
        <v>80300</v>
      </c>
      <c r="M127" s="36">
        <f t="shared" si="8"/>
        <v>269900</v>
      </c>
      <c r="N127" s="34">
        <f t="shared" si="14"/>
        <v>0.00141498849764815</v>
      </c>
      <c r="O127" s="35">
        <f>SUM($M$2:M127)</f>
        <v>137080800</v>
      </c>
      <c r="P127" s="34">
        <f t="shared" si="15"/>
        <v>0.718665265833297</v>
      </c>
      <c r="Q127" s="39">
        <v>21.2</v>
      </c>
      <c r="R127" s="22">
        <v>14</v>
      </c>
      <c r="S127" s="22">
        <v>2</v>
      </c>
      <c r="T127" s="22">
        <v>2</v>
      </c>
      <c r="U127" s="39">
        <v>61.4</v>
      </c>
      <c r="V127" s="22">
        <v>25</v>
      </c>
      <c r="W127" s="22">
        <v>6</v>
      </c>
      <c r="X127" s="40">
        <v>179</v>
      </c>
      <c r="Y127" s="22">
        <v>4</v>
      </c>
      <c r="Z127" s="22">
        <v>0</v>
      </c>
      <c r="AA127" s="22" t="s">
        <v>199</v>
      </c>
      <c r="AB127" s="22" t="s">
        <v>220</v>
      </c>
      <c r="AC127" s="42">
        <f>IFERROR(LOOKUP(M127,打分卡!$F$7:$J$7,打分卡!$K$7:$O$7),1)</f>
        <v>4</v>
      </c>
      <c r="AD127" s="42">
        <f>IFERROR(LOOKUP(S127,打分卡!$F$8:$J$8,打分卡!$K$8:$O$8),1)</f>
        <v>2</v>
      </c>
      <c r="AE127" s="42">
        <f>IFERROR(LOOKUP(T127,打分卡!$F$9:$I$9,打分卡!$K$9:$N$9),1)</f>
        <v>3</v>
      </c>
      <c r="AF127" s="42">
        <f>IFERROR(LOOKUP(Q127,打分卡!$F$10:$J$10,打分卡!$K$10:$O$10),1)</f>
        <v>3</v>
      </c>
      <c r="AG127" s="42">
        <f>IFERROR(LOOKUP(R127,打分卡!$F$11:$J$11,打分卡!$K$11:$O$11),1)</f>
        <v>4</v>
      </c>
      <c r="AH127" s="42">
        <f>IFERROR(LOOKUP(U127,打分卡!$F$12:$J$12,打分卡!$K$12:$O$12),1)</f>
        <v>4</v>
      </c>
      <c r="AI127" s="42">
        <f>IFERROR(LOOKUP(X127,打分卡!$F$13:$J$13,打分卡!$K$13:$O$13),1)</f>
        <v>4</v>
      </c>
      <c r="AJ127" s="42">
        <f>IFERROR(LOOKUP(Y127,打分卡!$F$14:$J$14,打分卡!$K$14:$O$14),1)</f>
        <v>4</v>
      </c>
      <c r="AK127" s="42">
        <f>IFERROR(LOOKUP(W127,打分卡!$F$15:$J$15,打分卡!$K$15:$O$15),1)</f>
        <v>4</v>
      </c>
      <c r="AL127" s="45">
        <f t="shared" si="9"/>
        <v>5</v>
      </c>
      <c r="AM127" s="42">
        <f>IFERROR(LOOKUP(Z127,打分卡!$F$17:$H$17,打分卡!$K$17:$M$17),1)</f>
        <v>1</v>
      </c>
      <c r="AN127" s="46">
        <f>(打分卡!$D$7*AC127+打分卡!$D$8*AD127+打分卡!$D$9*AE127)/5</f>
        <v>27.4</v>
      </c>
      <c r="AO127" s="46">
        <f>(打分卡!$D$10*AF127+打分卡!$D$11*AG127)/5</f>
        <v>14</v>
      </c>
      <c r="AP127" s="46">
        <f>(打分卡!$D$12*AH127+打分卡!$D$13*AI127+打分卡!$D$14*AJ127+打分卡!$D$15*AK127)/5</f>
        <v>24</v>
      </c>
      <c r="AQ127" s="46">
        <f>(打分卡!$D$16*AL127+打分卡!$D$17*AM127)/5</f>
        <v>6.8</v>
      </c>
      <c r="AR127" s="48">
        <f t="shared" si="10"/>
        <v>72.2</v>
      </c>
      <c r="AS127" s="45" t="str">
        <f t="shared" si="11"/>
        <v>腰部</v>
      </c>
      <c r="AT127" s="45" t="str">
        <f t="shared" si="12"/>
        <v/>
      </c>
      <c r="AU127" s="45" t="str">
        <f t="shared" si="13"/>
        <v>拉·主攻：主推AI外呼+大促作战包</v>
      </c>
    </row>
    <row r="128" ht="15" customHeight="1" spans="1:47">
      <c r="A128" s="30" t="s">
        <v>573</v>
      </c>
      <c r="B128" s="31" t="s">
        <v>574</v>
      </c>
      <c r="C128" s="31" t="s">
        <v>179</v>
      </c>
      <c r="D128" s="31" t="s">
        <v>227</v>
      </c>
      <c r="E128" s="31" t="s">
        <v>181</v>
      </c>
      <c r="F128" s="30" t="s">
        <v>575</v>
      </c>
      <c r="G128" s="31">
        <v>11</v>
      </c>
      <c r="H128" s="31" t="s">
        <v>301</v>
      </c>
      <c r="I128" s="31" t="s">
        <v>184</v>
      </c>
      <c r="J128" s="33">
        <v>145600</v>
      </c>
      <c r="K128" s="33">
        <v>91600</v>
      </c>
      <c r="L128" s="33">
        <v>29500</v>
      </c>
      <c r="M128" s="33">
        <f t="shared" si="8"/>
        <v>266700</v>
      </c>
      <c r="N128" s="34">
        <f t="shared" si="14"/>
        <v>0.00139821205010286</v>
      </c>
      <c r="O128" s="35">
        <f>SUM($M$2:M128)</f>
        <v>137347500</v>
      </c>
      <c r="P128" s="34">
        <f t="shared" si="15"/>
        <v>0.7200634778834</v>
      </c>
      <c r="Q128" s="37">
        <v>29.8</v>
      </c>
      <c r="R128" s="31">
        <v>8</v>
      </c>
      <c r="S128" s="31">
        <v>4</v>
      </c>
      <c r="T128" s="31">
        <v>1</v>
      </c>
      <c r="U128" s="37">
        <v>36.5</v>
      </c>
      <c r="V128" s="31">
        <v>35</v>
      </c>
      <c r="W128" s="31">
        <v>7</v>
      </c>
      <c r="X128" s="38">
        <v>261</v>
      </c>
      <c r="Y128" s="31">
        <v>2</v>
      </c>
      <c r="Z128" s="31">
        <v>1</v>
      </c>
      <c r="AA128" s="31" t="s">
        <v>315</v>
      </c>
      <c r="AB128" s="31" t="s">
        <v>220</v>
      </c>
      <c r="AC128" s="41">
        <f>IFERROR(LOOKUP(M128,打分卡!$F$7:$J$7,打分卡!$K$7:$O$7),1)</f>
        <v>4</v>
      </c>
      <c r="AD128" s="41">
        <f>IFERROR(LOOKUP(S128,打分卡!$F$8:$J$8,打分卡!$K$8:$O$8),1)</f>
        <v>4</v>
      </c>
      <c r="AE128" s="41">
        <f>IFERROR(LOOKUP(T128,打分卡!$F$9:$I$9,打分卡!$K$9:$N$9),1)</f>
        <v>2</v>
      </c>
      <c r="AF128" s="41">
        <f>IFERROR(LOOKUP(Q128,打分卡!$F$10:$J$10,打分卡!$K$10:$O$10),1)</f>
        <v>4</v>
      </c>
      <c r="AG128" s="41">
        <f>IFERROR(LOOKUP(R128,打分卡!$F$11:$J$11,打分卡!$K$11:$O$11),1)</f>
        <v>3</v>
      </c>
      <c r="AH128" s="41">
        <f>IFERROR(LOOKUP(U128,打分卡!$F$12:$J$12,打分卡!$K$12:$O$12),1)</f>
        <v>4</v>
      </c>
      <c r="AI128" s="41">
        <f>IFERROR(LOOKUP(X128,打分卡!$F$13:$J$13,打分卡!$K$13:$O$13),1)</f>
        <v>5</v>
      </c>
      <c r="AJ128" s="41">
        <f>IFERROR(LOOKUP(Y128,打分卡!$F$14:$J$14,打分卡!$K$14:$O$14),1)</f>
        <v>3</v>
      </c>
      <c r="AK128" s="41">
        <f>IFERROR(LOOKUP(W128,打分卡!$F$15:$J$15,打分卡!$K$15:$O$15),1)</f>
        <v>4</v>
      </c>
      <c r="AL128" s="43">
        <f t="shared" si="9"/>
        <v>2</v>
      </c>
      <c r="AM128" s="41">
        <f>IFERROR(LOOKUP(Z128,打分卡!$F$17:$H$17,打分卡!$K$17:$M$17),1)</f>
        <v>3</v>
      </c>
      <c r="AN128" s="44">
        <f>(打分卡!$D$7*AC128+打分卡!$D$8*AD128+打分卡!$D$9*AE128)/5</f>
        <v>29.2</v>
      </c>
      <c r="AO128" s="44">
        <f>(打分卡!$D$10*AF128+打分卡!$D$11*AG128)/5</f>
        <v>14</v>
      </c>
      <c r="AP128" s="44">
        <f>(打分卡!$D$12*AH128+打分卡!$D$13*AI128+打分卡!$D$14*AJ128+打分卡!$D$15*AK128)/5</f>
        <v>24.4</v>
      </c>
      <c r="AQ128" s="44">
        <f>(打分卡!$D$16*AL128+打分卡!$D$17*AM128)/5</f>
        <v>4.8</v>
      </c>
      <c r="AR128" s="47">
        <f t="shared" si="10"/>
        <v>72.4</v>
      </c>
      <c r="AS128" s="43" t="str">
        <f t="shared" si="11"/>
        <v>腰部</v>
      </c>
      <c r="AT128" s="43" t="str">
        <f t="shared" si="12"/>
        <v/>
      </c>
      <c r="AU128" s="43" t="str">
        <f t="shared" si="13"/>
        <v>拉·主攻：主推AI外呼+大促作战包</v>
      </c>
    </row>
    <row r="129" ht="15" customHeight="1" spans="1:47">
      <c r="A129" s="20" t="s">
        <v>576</v>
      </c>
      <c r="B129" s="22" t="s">
        <v>577</v>
      </c>
      <c r="C129" s="22" t="s">
        <v>209</v>
      </c>
      <c r="D129" s="22" t="s">
        <v>202</v>
      </c>
      <c r="E129" s="22" t="s">
        <v>181</v>
      </c>
      <c r="F129" s="20" t="s">
        <v>578</v>
      </c>
      <c r="G129" s="22">
        <v>30</v>
      </c>
      <c r="H129" s="22" t="s">
        <v>192</v>
      </c>
      <c r="I129" s="22" t="s">
        <v>302</v>
      </c>
      <c r="J129" s="36">
        <v>160000</v>
      </c>
      <c r="K129" s="36">
        <v>68800</v>
      </c>
      <c r="L129" s="36">
        <v>36900</v>
      </c>
      <c r="M129" s="36">
        <f t="shared" si="8"/>
        <v>265700</v>
      </c>
      <c r="N129" s="34">
        <f t="shared" si="14"/>
        <v>0.00139296941024496</v>
      </c>
      <c r="O129" s="35">
        <f>SUM($M$2:M129)</f>
        <v>137613200</v>
      </c>
      <c r="P129" s="34">
        <f t="shared" si="15"/>
        <v>0.721456447293644</v>
      </c>
      <c r="Q129" s="39">
        <v>37</v>
      </c>
      <c r="R129" s="22">
        <v>11</v>
      </c>
      <c r="S129" s="22">
        <v>2</v>
      </c>
      <c r="T129" s="22">
        <v>3</v>
      </c>
      <c r="U129" s="39">
        <v>203.6</v>
      </c>
      <c r="V129" s="22">
        <v>29</v>
      </c>
      <c r="W129" s="22">
        <v>4</v>
      </c>
      <c r="X129" s="40">
        <v>259</v>
      </c>
      <c r="Y129" s="22">
        <v>2</v>
      </c>
      <c r="Z129" s="22">
        <v>1</v>
      </c>
      <c r="AA129" s="22" t="s">
        <v>315</v>
      </c>
      <c r="AB129" s="22" t="s">
        <v>220</v>
      </c>
      <c r="AC129" s="42">
        <f>IFERROR(LOOKUP(M129,打分卡!$F$7:$J$7,打分卡!$K$7:$O$7),1)</f>
        <v>4</v>
      </c>
      <c r="AD129" s="42">
        <f>IFERROR(LOOKUP(S129,打分卡!$F$8:$J$8,打分卡!$K$8:$O$8),1)</f>
        <v>2</v>
      </c>
      <c r="AE129" s="42">
        <f>IFERROR(LOOKUP(T129,打分卡!$F$9:$I$9,打分卡!$K$9:$N$9),1)</f>
        <v>5</v>
      </c>
      <c r="AF129" s="42">
        <f>IFERROR(LOOKUP(Q129,打分卡!$F$10:$J$10,打分卡!$K$10:$O$10),1)</f>
        <v>4</v>
      </c>
      <c r="AG129" s="42">
        <f>IFERROR(LOOKUP(R129,打分卡!$F$11:$J$11,打分卡!$K$11:$O$11),1)</f>
        <v>4</v>
      </c>
      <c r="AH129" s="42">
        <f>IFERROR(LOOKUP(U129,打分卡!$F$12:$J$12,打分卡!$K$12:$O$12),1)</f>
        <v>5</v>
      </c>
      <c r="AI129" s="42">
        <f>IFERROR(LOOKUP(X129,打分卡!$F$13:$J$13,打分卡!$K$13:$O$13),1)</f>
        <v>5</v>
      </c>
      <c r="AJ129" s="42">
        <f>IFERROR(LOOKUP(Y129,打分卡!$F$14:$J$14,打分卡!$K$14:$O$14),1)</f>
        <v>3</v>
      </c>
      <c r="AK129" s="42">
        <f>IFERROR(LOOKUP(W129,打分卡!$F$15:$J$15,打分卡!$K$15:$O$15),1)</f>
        <v>3</v>
      </c>
      <c r="AL129" s="45">
        <f t="shared" si="9"/>
        <v>2</v>
      </c>
      <c r="AM129" s="42">
        <f>IFERROR(LOOKUP(Z129,打分卡!$F$17:$H$17,打分卡!$K$17:$M$17),1)</f>
        <v>3</v>
      </c>
      <c r="AN129" s="46">
        <f>(打分卡!$D$7*AC129+打分卡!$D$8*AD129+打分卡!$D$9*AE129)/5</f>
        <v>30.2</v>
      </c>
      <c r="AO129" s="46">
        <f>(打分卡!$D$10*AF129+打分卡!$D$11*AG129)/5</f>
        <v>16</v>
      </c>
      <c r="AP129" s="46">
        <f>(打分卡!$D$12*AH129+打分卡!$D$13*AI129+打分卡!$D$14*AJ129+打分卡!$D$15*AK129)/5</f>
        <v>26</v>
      </c>
      <c r="AQ129" s="46">
        <f>(打分卡!$D$16*AL129+打分卡!$D$17*AM129)/5</f>
        <v>4.8</v>
      </c>
      <c r="AR129" s="48">
        <f t="shared" si="10"/>
        <v>77</v>
      </c>
      <c r="AS129" s="45" t="str">
        <f t="shared" si="11"/>
        <v>KA</v>
      </c>
      <c r="AT129" s="45" t="str">
        <f t="shared" si="12"/>
        <v/>
      </c>
      <c r="AU129" s="45" t="str">
        <f t="shared" si="13"/>
        <v>扩·深化：AI外呼场景深化+Push/企微补全</v>
      </c>
    </row>
    <row r="130" ht="15" customHeight="1" spans="1:47">
      <c r="A130" s="30" t="s">
        <v>579</v>
      </c>
      <c r="B130" s="31" t="s">
        <v>580</v>
      </c>
      <c r="C130" s="31" t="s">
        <v>195</v>
      </c>
      <c r="D130" s="31" t="s">
        <v>235</v>
      </c>
      <c r="E130" s="31" t="s">
        <v>181</v>
      </c>
      <c r="F130" s="30" t="s">
        <v>581</v>
      </c>
      <c r="G130" s="31">
        <v>30</v>
      </c>
      <c r="H130" s="31" t="s">
        <v>183</v>
      </c>
      <c r="I130" s="31" t="s">
        <v>184</v>
      </c>
      <c r="J130" s="33">
        <v>154600</v>
      </c>
      <c r="K130" s="33">
        <v>52900</v>
      </c>
      <c r="L130" s="33">
        <v>54300</v>
      </c>
      <c r="M130" s="33">
        <f t="shared" ref="M130:M193" si="16">SUM(J130:L130)</f>
        <v>261800</v>
      </c>
      <c r="N130" s="34">
        <f t="shared" si="14"/>
        <v>0.00137252311479913</v>
      </c>
      <c r="O130" s="35">
        <f>SUM($M$2:M130)</f>
        <v>137875000</v>
      </c>
      <c r="P130" s="34">
        <f t="shared" si="15"/>
        <v>0.722828970408444</v>
      </c>
      <c r="Q130" s="37">
        <v>34.2</v>
      </c>
      <c r="R130" s="31">
        <v>18</v>
      </c>
      <c r="S130" s="31">
        <v>3</v>
      </c>
      <c r="T130" s="31">
        <v>2</v>
      </c>
      <c r="U130" s="37">
        <v>30.5</v>
      </c>
      <c r="V130" s="31">
        <v>24</v>
      </c>
      <c r="W130" s="31">
        <v>2</v>
      </c>
      <c r="X130" s="38">
        <v>282</v>
      </c>
      <c r="Y130" s="31">
        <v>5</v>
      </c>
      <c r="Z130" s="31">
        <v>1</v>
      </c>
      <c r="AA130" s="31" t="s">
        <v>185</v>
      </c>
      <c r="AB130" s="31" t="s">
        <v>220</v>
      </c>
      <c r="AC130" s="41">
        <f>IFERROR(LOOKUP(M130,打分卡!$F$7:$J$7,打分卡!$K$7:$O$7),1)</f>
        <v>4</v>
      </c>
      <c r="AD130" s="41">
        <f>IFERROR(LOOKUP(S130,打分卡!$F$8:$J$8,打分卡!$K$8:$O$8),1)</f>
        <v>3</v>
      </c>
      <c r="AE130" s="41">
        <f>IFERROR(LOOKUP(T130,打分卡!$F$9:$I$9,打分卡!$K$9:$N$9),1)</f>
        <v>3</v>
      </c>
      <c r="AF130" s="41">
        <f>IFERROR(LOOKUP(Q130,打分卡!$F$10:$J$10,打分卡!$K$10:$O$10),1)</f>
        <v>4</v>
      </c>
      <c r="AG130" s="41">
        <f>IFERROR(LOOKUP(R130,打分卡!$F$11:$J$11,打分卡!$K$11:$O$11),1)</f>
        <v>5</v>
      </c>
      <c r="AH130" s="41">
        <f>IFERROR(LOOKUP(U130,打分卡!$F$12:$J$12,打分卡!$K$12:$O$12),1)</f>
        <v>3</v>
      </c>
      <c r="AI130" s="41">
        <f>IFERROR(LOOKUP(X130,打分卡!$F$13:$J$13,打分卡!$K$13:$O$13),1)</f>
        <v>5</v>
      </c>
      <c r="AJ130" s="41">
        <f>IFERROR(LOOKUP(Y130,打分卡!$F$14:$J$14,打分卡!$K$14:$O$14),1)</f>
        <v>5</v>
      </c>
      <c r="AK130" s="41">
        <f>IFERROR(LOOKUP(W130,打分卡!$F$15:$J$15,打分卡!$K$15:$O$15),1)</f>
        <v>2</v>
      </c>
      <c r="AL130" s="43">
        <f t="shared" ref="AL130:AL193" si="17">IF(AA130="连续下降",1,IF(AA130="下降",2,IF(AA130="上升",5,3)))</f>
        <v>3</v>
      </c>
      <c r="AM130" s="41">
        <f>IFERROR(LOOKUP(Z130,打分卡!$F$17:$H$17,打分卡!$K$17:$M$17),1)</f>
        <v>3</v>
      </c>
      <c r="AN130" s="44">
        <f>(打分卡!$D$7*AC130+打分卡!$D$8*AD130+打分卡!$D$9*AE130)/5</f>
        <v>29</v>
      </c>
      <c r="AO130" s="44">
        <f>(打分卡!$D$10*AF130+打分卡!$D$11*AG130)/5</f>
        <v>18</v>
      </c>
      <c r="AP130" s="44">
        <f>(打分卡!$D$12*AH130+打分卡!$D$13*AI130+打分卡!$D$14*AJ130+打分卡!$D$15*AK130)/5</f>
        <v>22.8</v>
      </c>
      <c r="AQ130" s="44">
        <f>(打分卡!$D$16*AL130+打分卡!$D$17*AM130)/5</f>
        <v>6</v>
      </c>
      <c r="AR130" s="47">
        <f t="shared" ref="AR130:AR193" si="18">IF(G130&lt;3,AP130/30*40+AO130+AP130+AQ130,AN130+AO130+AP130+AQ130)</f>
        <v>75.8</v>
      </c>
      <c r="AS130" s="43" t="str">
        <f t="shared" ref="AS130:AS193" si="19">IF(M130=0,IF(G130&lt;3,"新客观察期","未激活"),IF(AR130&gt;=90,"SKA",IF(AR130&gt;=75,"KA",IF(AR130&gt;=40,"腰部","基础长尾"))))</f>
        <v>KA</v>
      </c>
      <c r="AT130" s="43" t="str">
        <f t="shared" ref="AT130:AT193" si="20">IF(AA130="连续下降","连续下降-预警","")</f>
        <v/>
      </c>
      <c r="AU130" s="43" t="str">
        <f t="shared" ref="AU130:AU193" si="21">IF(AS130="SKA","守·共创：卡片短信/AI外呼新场景POC",IF(AS130="KA","扩·深化：AI外呼场景深化+Push/企微补全",IF(AS130="腰部","拉·主攻：主推AI外呼+大促作战包",IF(AS130="新客观察期","培育：入门包+1v1场景教育",IF(AS130="基础长尾","激活：企微+Push低成本先跑","唤醒：短信模板+首充补贴")))))</f>
        <v>扩·深化：AI外呼场景深化+Push/企微补全</v>
      </c>
    </row>
    <row r="131" ht="15" customHeight="1" spans="1:47">
      <c r="A131" s="20" t="s">
        <v>582</v>
      </c>
      <c r="B131" s="22" t="s">
        <v>583</v>
      </c>
      <c r="C131" s="22" t="s">
        <v>189</v>
      </c>
      <c r="D131" s="22" t="s">
        <v>252</v>
      </c>
      <c r="E131" s="22" t="s">
        <v>181</v>
      </c>
      <c r="F131" s="20" t="s">
        <v>584</v>
      </c>
      <c r="G131" s="22">
        <v>13</v>
      </c>
      <c r="H131" s="22" t="s">
        <v>192</v>
      </c>
      <c r="I131" s="22" t="s">
        <v>302</v>
      </c>
      <c r="J131" s="36">
        <v>124400</v>
      </c>
      <c r="K131" s="36">
        <v>66600</v>
      </c>
      <c r="L131" s="36">
        <v>65100</v>
      </c>
      <c r="M131" s="36">
        <f t="shared" si="16"/>
        <v>256100</v>
      </c>
      <c r="N131" s="34">
        <f t="shared" ref="N131:N194" si="22">M131/$M$2002</f>
        <v>0.00134264006760908</v>
      </c>
      <c r="O131" s="35">
        <f>SUM($M$2:M131)</f>
        <v>138131100</v>
      </c>
      <c r="P131" s="34">
        <f t="shared" ref="P131:P194" si="23">O131/$M$2002</f>
        <v>0.724171610476053</v>
      </c>
      <c r="Q131" s="39">
        <v>21.9</v>
      </c>
      <c r="R131" s="22">
        <v>14</v>
      </c>
      <c r="S131" s="22">
        <v>4</v>
      </c>
      <c r="T131" s="22">
        <v>1</v>
      </c>
      <c r="U131" s="39">
        <v>24.4</v>
      </c>
      <c r="V131" s="22">
        <v>40</v>
      </c>
      <c r="W131" s="22">
        <v>6</v>
      </c>
      <c r="X131" s="40">
        <v>168</v>
      </c>
      <c r="Y131" s="22">
        <v>5</v>
      </c>
      <c r="Z131" s="22">
        <v>2</v>
      </c>
      <c r="AA131" s="22" t="s">
        <v>199</v>
      </c>
      <c r="AB131" s="22" t="s">
        <v>220</v>
      </c>
      <c r="AC131" s="42">
        <f>IFERROR(LOOKUP(M131,打分卡!$F$7:$J$7,打分卡!$K$7:$O$7),1)</f>
        <v>4</v>
      </c>
      <c r="AD131" s="42">
        <f>IFERROR(LOOKUP(S131,打分卡!$F$8:$J$8,打分卡!$K$8:$O$8),1)</f>
        <v>4</v>
      </c>
      <c r="AE131" s="42">
        <f>IFERROR(LOOKUP(T131,打分卡!$F$9:$I$9,打分卡!$K$9:$N$9),1)</f>
        <v>2</v>
      </c>
      <c r="AF131" s="42">
        <f>IFERROR(LOOKUP(Q131,打分卡!$F$10:$J$10,打分卡!$K$10:$O$10),1)</f>
        <v>3</v>
      </c>
      <c r="AG131" s="42">
        <f>IFERROR(LOOKUP(R131,打分卡!$F$11:$J$11,打分卡!$K$11:$O$11),1)</f>
        <v>4</v>
      </c>
      <c r="AH131" s="42">
        <f>IFERROR(LOOKUP(U131,打分卡!$F$12:$J$12,打分卡!$K$12:$O$12),1)</f>
        <v>3</v>
      </c>
      <c r="AI131" s="42">
        <f>IFERROR(LOOKUP(X131,打分卡!$F$13:$J$13,打分卡!$K$13:$O$13),1)</f>
        <v>4</v>
      </c>
      <c r="AJ131" s="42">
        <f>IFERROR(LOOKUP(Y131,打分卡!$F$14:$J$14,打分卡!$K$14:$O$14),1)</f>
        <v>5</v>
      </c>
      <c r="AK131" s="42">
        <f>IFERROR(LOOKUP(W131,打分卡!$F$15:$J$15,打分卡!$K$15:$O$15),1)</f>
        <v>4</v>
      </c>
      <c r="AL131" s="45">
        <f t="shared" si="17"/>
        <v>5</v>
      </c>
      <c r="AM131" s="42">
        <f>IFERROR(LOOKUP(Z131,打分卡!$F$17:$H$17,打分卡!$K$17:$M$17),1)</f>
        <v>5</v>
      </c>
      <c r="AN131" s="46">
        <f>(打分卡!$D$7*AC131+打分卡!$D$8*AD131+打分卡!$D$9*AE131)/5</f>
        <v>29.2</v>
      </c>
      <c r="AO131" s="46">
        <f>(打分卡!$D$10*AF131+打分卡!$D$11*AG131)/5</f>
        <v>14</v>
      </c>
      <c r="AP131" s="46">
        <f>(打分卡!$D$12*AH131+打分卡!$D$13*AI131+打分卡!$D$14*AJ131+打分卡!$D$15*AK131)/5</f>
        <v>22.8</v>
      </c>
      <c r="AQ131" s="46">
        <f>(打分卡!$D$16*AL131+打分卡!$D$17*AM131)/5</f>
        <v>10</v>
      </c>
      <c r="AR131" s="48">
        <f t="shared" si="18"/>
        <v>76</v>
      </c>
      <c r="AS131" s="45" t="str">
        <f t="shared" si="19"/>
        <v>KA</v>
      </c>
      <c r="AT131" s="45" t="str">
        <f t="shared" si="20"/>
        <v/>
      </c>
      <c r="AU131" s="45" t="str">
        <f t="shared" si="21"/>
        <v>扩·深化：AI外呼场景深化+Push/企微补全</v>
      </c>
    </row>
    <row r="132" ht="15" customHeight="1" spans="1:47">
      <c r="A132" s="30" t="s">
        <v>585</v>
      </c>
      <c r="B132" s="31" t="s">
        <v>586</v>
      </c>
      <c r="C132" s="31" t="s">
        <v>179</v>
      </c>
      <c r="D132" s="31" t="s">
        <v>190</v>
      </c>
      <c r="E132" s="31" t="s">
        <v>197</v>
      </c>
      <c r="F132" s="30" t="s">
        <v>342</v>
      </c>
      <c r="G132" s="31">
        <v>13</v>
      </c>
      <c r="H132" s="31" t="s">
        <v>183</v>
      </c>
      <c r="I132" s="31" t="s">
        <v>302</v>
      </c>
      <c r="J132" s="33">
        <v>143000</v>
      </c>
      <c r="K132" s="33">
        <v>91400</v>
      </c>
      <c r="L132" s="33">
        <v>18300</v>
      </c>
      <c r="M132" s="33">
        <f t="shared" si="16"/>
        <v>252700</v>
      </c>
      <c r="N132" s="34">
        <f t="shared" si="22"/>
        <v>0.00132481509209221</v>
      </c>
      <c r="O132" s="35">
        <f>SUM($M$2:M132)</f>
        <v>138383800</v>
      </c>
      <c r="P132" s="34">
        <f t="shared" si="23"/>
        <v>0.725496425568145</v>
      </c>
      <c r="Q132" s="37">
        <v>37.9</v>
      </c>
      <c r="R132" s="31">
        <v>9</v>
      </c>
      <c r="S132" s="31">
        <v>4</v>
      </c>
      <c r="T132" s="31">
        <v>3</v>
      </c>
      <c r="U132" s="37">
        <v>142.1</v>
      </c>
      <c r="V132" s="31">
        <v>12</v>
      </c>
      <c r="W132" s="31">
        <v>5</v>
      </c>
      <c r="X132" s="38">
        <v>490</v>
      </c>
      <c r="Y132" s="31">
        <v>3</v>
      </c>
      <c r="Z132" s="31">
        <v>2</v>
      </c>
      <c r="AA132" s="31" t="s">
        <v>185</v>
      </c>
      <c r="AB132" s="31" t="s">
        <v>220</v>
      </c>
      <c r="AC132" s="41">
        <f>IFERROR(LOOKUP(M132,打分卡!$F$7:$J$7,打分卡!$K$7:$O$7),1)</f>
        <v>4</v>
      </c>
      <c r="AD132" s="41">
        <f>IFERROR(LOOKUP(S132,打分卡!$F$8:$J$8,打分卡!$K$8:$O$8),1)</f>
        <v>4</v>
      </c>
      <c r="AE132" s="41">
        <f>IFERROR(LOOKUP(T132,打分卡!$F$9:$I$9,打分卡!$K$9:$N$9),1)</f>
        <v>5</v>
      </c>
      <c r="AF132" s="41">
        <f>IFERROR(LOOKUP(Q132,打分卡!$F$10:$J$10,打分卡!$K$10:$O$10),1)</f>
        <v>4</v>
      </c>
      <c r="AG132" s="41">
        <f>IFERROR(LOOKUP(R132,打分卡!$F$11:$J$11,打分卡!$K$11:$O$11),1)</f>
        <v>4</v>
      </c>
      <c r="AH132" s="41">
        <f>IFERROR(LOOKUP(U132,打分卡!$F$12:$J$12,打分卡!$K$12:$O$12),1)</f>
        <v>5</v>
      </c>
      <c r="AI132" s="41">
        <f>IFERROR(LOOKUP(X132,打分卡!$F$13:$J$13,打分卡!$K$13:$O$13),1)</f>
        <v>5</v>
      </c>
      <c r="AJ132" s="41">
        <f>IFERROR(LOOKUP(Y132,打分卡!$F$14:$J$14,打分卡!$K$14:$O$14),1)</f>
        <v>4</v>
      </c>
      <c r="AK132" s="41">
        <f>IFERROR(LOOKUP(W132,打分卡!$F$15:$J$15,打分卡!$K$15:$O$15),1)</f>
        <v>3</v>
      </c>
      <c r="AL132" s="43">
        <f t="shared" si="17"/>
        <v>3</v>
      </c>
      <c r="AM132" s="41">
        <f>IFERROR(LOOKUP(Z132,打分卡!$F$17:$H$17,打分卡!$K$17:$M$17),1)</f>
        <v>5</v>
      </c>
      <c r="AN132" s="44">
        <f>(打分卡!$D$7*AC132+打分卡!$D$8*AD132+打分卡!$D$9*AE132)/5</f>
        <v>33.4</v>
      </c>
      <c r="AO132" s="44">
        <f>(打分卡!$D$10*AF132+打分卡!$D$11*AG132)/5</f>
        <v>16</v>
      </c>
      <c r="AP132" s="44">
        <f>(打分卡!$D$12*AH132+打分卡!$D$13*AI132+打分卡!$D$14*AJ132+打分卡!$D$15*AK132)/5</f>
        <v>27.2</v>
      </c>
      <c r="AQ132" s="44">
        <f>(打分卡!$D$16*AL132+打分卡!$D$17*AM132)/5</f>
        <v>7.6</v>
      </c>
      <c r="AR132" s="47">
        <f t="shared" si="18"/>
        <v>84.2</v>
      </c>
      <c r="AS132" s="43" t="str">
        <f t="shared" si="19"/>
        <v>KA</v>
      </c>
      <c r="AT132" s="43" t="str">
        <f t="shared" si="20"/>
        <v/>
      </c>
      <c r="AU132" s="43" t="str">
        <f t="shared" si="21"/>
        <v>扩·深化：AI外呼场景深化+Push/企微补全</v>
      </c>
    </row>
    <row r="133" ht="15" customHeight="1" spans="1:47">
      <c r="A133" s="20" t="s">
        <v>587</v>
      </c>
      <c r="B133" s="22" t="s">
        <v>588</v>
      </c>
      <c r="C133" s="22" t="s">
        <v>239</v>
      </c>
      <c r="D133" s="22" t="s">
        <v>202</v>
      </c>
      <c r="E133" s="22" t="s">
        <v>181</v>
      </c>
      <c r="F133" s="20" t="s">
        <v>589</v>
      </c>
      <c r="G133" s="22">
        <v>29</v>
      </c>
      <c r="H133" s="22" t="s">
        <v>301</v>
      </c>
      <c r="I133" s="22" t="s">
        <v>184</v>
      </c>
      <c r="J133" s="36">
        <v>157200</v>
      </c>
      <c r="K133" s="36">
        <v>81400</v>
      </c>
      <c r="L133" s="36">
        <v>12600</v>
      </c>
      <c r="M133" s="36">
        <f t="shared" si="16"/>
        <v>251200</v>
      </c>
      <c r="N133" s="34">
        <f t="shared" si="22"/>
        <v>0.00131695113230536</v>
      </c>
      <c r="O133" s="35">
        <f>SUM($M$2:M133)</f>
        <v>138635000</v>
      </c>
      <c r="P133" s="34">
        <f t="shared" si="23"/>
        <v>0.72681337670045</v>
      </c>
      <c r="Q133" s="39">
        <v>23.7</v>
      </c>
      <c r="R133" s="22">
        <v>9</v>
      </c>
      <c r="S133" s="22">
        <v>4</v>
      </c>
      <c r="T133" s="22">
        <v>2</v>
      </c>
      <c r="U133" s="39">
        <v>59.6</v>
      </c>
      <c r="V133" s="22">
        <v>24</v>
      </c>
      <c r="W133" s="22">
        <v>7</v>
      </c>
      <c r="X133" s="40">
        <v>313</v>
      </c>
      <c r="Y133" s="22">
        <v>2</v>
      </c>
      <c r="Z133" s="22">
        <v>2</v>
      </c>
      <c r="AA133" s="22" t="s">
        <v>185</v>
      </c>
      <c r="AB133" s="22" t="s">
        <v>220</v>
      </c>
      <c r="AC133" s="42">
        <f>IFERROR(LOOKUP(M133,打分卡!$F$7:$J$7,打分卡!$K$7:$O$7),1)</f>
        <v>4</v>
      </c>
      <c r="AD133" s="42">
        <f>IFERROR(LOOKUP(S133,打分卡!$F$8:$J$8,打分卡!$K$8:$O$8),1)</f>
        <v>4</v>
      </c>
      <c r="AE133" s="42">
        <f>IFERROR(LOOKUP(T133,打分卡!$F$9:$I$9,打分卡!$K$9:$N$9),1)</f>
        <v>3</v>
      </c>
      <c r="AF133" s="42">
        <f>IFERROR(LOOKUP(Q133,打分卡!$F$10:$J$10,打分卡!$K$10:$O$10),1)</f>
        <v>3</v>
      </c>
      <c r="AG133" s="42">
        <f>IFERROR(LOOKUP(R133,打分卡!$F$11:$J$11,打分卡!$K$11:$O$11),1)</f>
        <v>4</v>
      </c>
      <c r="AH133" s="42">
        <f>IFERROR(LOOKUP(U133,打分卡!$F$12:$J$12,打分卡!$K$12:$O$12),1)</f>
        <v>4</v>
      </c>
      <c r="AI133" s="42">
        <f>IFERROR(LOOKUP(X133,打分卡!$F$13:$J$13,打分卡!$K$13:$O$13),1)</f>
        <v>5</v>
      </c>
      <c r="AJ133" s="42">
        <f>IFERROR(LOOKUP(Y133,打分卡!$F$14:$J$14,打分卡!$K$14:$O$14),1)</f>
        <v>3</v>
      </c>
      <c r="AK133" s="42">
        <f>IFERROR(LOOKUP(W133,打分卡!$F$15:$J$15,打分卡!$K$15:$O$15),1)</f>
        <v>4</v>
      </c>
      <c r="AL133" s="45">
        <f t="shared" si="17"/>
        <v>3</v>
      </c>
      <c r="AM133" s="42">
        <f>IFERROR(LOOKUP(Z133,打分卡!$F$17:$H$17,打分卡!$K$17:$M$17),1)</f>
        <v>5</v>
      </c>
      <c r="AN133" s="46">
        <f>(打分卡!$D$7*AC133+打分卡!$D$8*AD133+打分卡!$D$9*AE133)/5</f>
        <v>30.6</v>
      </c>
      <c r="AO133" s="46">
        <f>(打分卡!$D$10*AF133+打分卡!$D$11*AG133)/5</f>
        <v>14</v>
      </c>
      <c r="AP133" s="46">
        <f>(打分卡!$D$12*AH133+打分卡!$D$13*AI133+打分卡!$D$14*AJ133+打分卡!$D$15*AK133)/5</f>
        <v>24.4</v>
      </c>
      <c r="AQ133" s="46">
        <f>(打分卡!$D$16*AL133+打分卡!$D$17*AM133)/5</f>
        <v>7.6</v>
      </c>
      <c r="AR133" s="48">
        <f t="shared" si="18"/>
        <v>76.6</v>
      </c>
      <c r="AS133" s="45" t="str">
        <f t="shared" si="19"/>
        <v>KA</v>
      </c>
      <c r="AT133" s="45" t="str">
        <f t="shared" si="20"/>
        <v/>
      </c>
      <c r="AU133" s="45" t="str">
        <f t="shared" si="21"/>
        <v>扩·深化：AI外呼场景深化+Push/企微补全</v>
      </c>
    </row>
    <row r="134" ht="15" customHeight="1" spans="1:47">
      <c r="A134" s="30" t="s">
        <v>590</v>
      </c>
      <c r="B134" s="31" t="s">
        <v>591</v>
      </c>
      <c r="C134" s="31" t="s">
        <v>189</v>
      </c>
      <c r="D134" s="31" t="s">
        <v>202</v>
      </c>
      <c r="E134" s="31" t="s">
        <v>181</v>
      </c>
      <c r="F134" s="30" t="s">
        <v>592</v>
      </c>
      <c r="G134" s="31">
        <v>17</v>
      </c>
      <c r="H134" s="31" t="s">
        <v>301</v>
      </c>
      <c r="I134" s="31" t="s">
        <v>184</v>
      </c>
      <c r="J134" s="33">
        <v>145100</v>
      </c>
      <c r="K134" s="33">
        <v>68700</v>
      </c>
      <c r="L134" s="33">
        <v>37000</v>
      </c>
      <c r="M134" s="33">
        <f t="shared" si="16"/>
        <v>250800</v>
      </c>
      <c r="N134" s="34">
        <f t="shared" si="22"/>
        <v>0.0013148540763622</v>
      </c>
      <c r="O134" s="35">
        <f>SUM($M$2:M134)</f>
        <v>138885800</v>
      </c>
      <c r="P134" s="34">
        <f t="shared" si="23"/>
        <v>0.728128230776812</v>
      </c>
      <c r="Q134" s="37">
        <v>30.7</v>
      </c>
      <c r="R134" s="31">
        <v>15</v>
      </c>
      <c r="S134" s="31">
        <v>3</v>
      </c>
      <c r="T134" s="31">
        <v>1</v>
      </c>
      <c r="U134" s="37">
        <v>239.2</v>
      </c>
      <c r="V134" s="31">
        <v>15</v>
      </c>
      <c r="W134" s="31">
        <v>5</v>
      </c>
      <c r="X134" s="38">
        <v>549</v>
      </c>
      <c r="Y134" s="31">
        <v>6</v>
      </c>
      <c r="Z134" s="31">
        <v>2</v>
      </c>
      <c r="AA134" s="31" t="s">
        <v>199</v>
      </c>
      <c r="AB134" s="31" t="s">
        <v>220</v>
      </c>
      <c r="AC134" s="41">
        <f>IFERROR(LOOKUP(M134,打分卡!$F$7:$J$7,打分卡!$K$7:$O$7),1)</f>
        <v>4</v>
      </c>
      <c r="AD134" s="41">
        <f>IFERROR(LOOKUP(S134,打分卡!$F$8:$J$8,打分卡!$K$8:$O$8),1)</f>
        <v>3</v>
      </c>
      <c r="AE134" s="41">
        <f>IFERROR(LOOKUP(T134,打分卡!$F$9:$I$9,打分卡!$K$9:$N$9),1)</f>
        <v>2</v>
      </c>
      <c r="AF134" s="41">
        <f>IFERROR(LOOKUP(Q134,打分卡!$F$10:$J$10,打分卡!$K$10:$O$10),1)</f>
        <v>4</v>
      </c>
      <c r="AG134" s="41">
        <f>IFERROR(LOOKUP(R134,打分卡!$F$11:$J$11,打分卡!$K$11:$O$11),1)</f>
        <v>5</v>
      </c>
      <c r="AH134" s="41">
        <f>IFERROR(LOOKUP(U134,打分卡!$F$12:$J$12,打分卡!$K$12:$O$12),1)</f>
        <v>5</v>
      </c>
      <c r="AI134" s="41">
        <f>IFERROR(LOOKUP(X134,打分卡!$F$13:$J$13,打分卡!$K$13:$O$13),1)</f>
        <v>5</v>
      </c>
      <c r="AJ134" s="41">
        <f>IFERROR(LOOKUP(Y134,打分卡!$F$14:$J$14,打分卡!$K$14:$O$14),1)</f>
        <v>5</v>
      </c>
      <c r="AK134" s="41">
        <f>IFERROR(LOOKUP(W134,打分卡!$F$15:$J$15,打分卡!$K$15:$O$15),1)</f>
        <v>3</v>
      </c>
      <c r="AL134" s="43">
        <f t="shared" si="17"/>
        <v>5</v>
      </c>
      <c r="AM134" s="41">
        <f>IFERROR(LOOKUP(Z134,打分卡!$F$17:$H$17,打分卡!$K$17:$M$17),1)</f>
        <v>5</v>
      </c>
      <c r="AN134" s="44">
        <f>(打分卡!$D$7*AC134+打分卡!$D$8*AD134+打分卡!$D$9*AE134)/5</f>
        <v>27.6</v>
      </c>
      <c r="AO134" s="44">
        <f>(打分卡!$D$10*AF134+打分卡!$D$11*AG134)/5</f>
        <v>18</v>
      </c>
      <c r="AP134" s="44">
        <f>(打分卡!$D$12*AH134+打分卡!$D$13*AI134+打分卡!$D$14*AJ134+打分卡!$D$15*AK134)/5</f>
        <v>28.4</v>
      </c>
      <c r="AQ134" s="44">
        <f>(打分卡!$D$16*AL134+打分卡!$D$17*AM134)/5</f>
        <v>10</v>
      </c>
      <c r="AR134" s="47">
        <f t="shared" si="18"/>
        <v>84</v>
      </c>
      <c r="AS134" s="43" t="str">
        <f t="shared" si="19"/>
        <v>KA</v>
      </c>
      <c r="AT134" s="43" t="str">
        <f t="shared" si="20"/>
        <v/>
      </c>
      <c r="AU134" s="43" t="str">
        <f t="shared" si="21"/>
        <v>扩·深化：AI外呼场景深化+Push/企微补全</v>
      </c>
    </row>
    <row r="135" ht="15" customHeight="1" spans="1:47">
      <c r="A135" s="20" t="s">
        <v>593</v>
      </c>
      <c r="B135" s="22" t="s">
        <v>594</v>
      </c>
      <c r="C135" s="22" t="s">
        <v>195</v>
      </c>
      <c r="D135" s="22" t="s">
        <v>202</v>
      </c>
      <c r="E135" s="22" t="s">
        <v>181</v>
      </c>
      <c r="F135" s="20" t="s">
        <v>595</v>
      </c>
      <c r="G135" s="22">
        <v>11</v>
      </c>
      <c r="H135" s="22" t="s">
        <v>183</v>
      </c>
      <c r="I135" s="22" t="s">
        <v>302</v>
      </c>
      <c r="J135" s="36">
        <v>124400</v>
      </c>
      <c r="K135" s="36">
        <v>89000</v>
      </c>
      <c r="L135" s="36">
        <v>29900</v>
      </c>
      <c r="M135" s="36">
        <f t="shared" si="16"/>
        <v>243300</v>
      </c>
      <c r="N135" s="34">
        <f t="shared" si="22"/>
        <v>0.00127553427742792</v>
      </c>
      <c r="O135" s="35">
        <f>SUM($M$2:M135)</f>
        <v>139129100</v>
      </c>
      <c r="P135" s="34">
        <f t="shared" si="23"/>
        <v>0.72940376505424</v>
      </c>
      <c r="Q135" s="39">
        <v>31.6</v>
      </c>
      <c r="R135" s="22">
        <v>14</v>
      </c>
      <c r="S135" s="22">
        <v>3</v>
      </c>
      <c r="T135" s="22">
        <v>2</v>
      </c>
      <c r="U135" s="39">
        <v>50.8</v>
      </c>
      <c r="V135" s="22">
        <v>14</v>
      </c>
      <c r="W135" s="22">
        <v>3</v>
      </c>
      <c r="X135" s="40">
        <v>693</v>
      </c>
      <c r="Y135" s="22">
        <v>4</v>
      </c>
      <c r="Z135" s="22">
        <v>1</v>
      </c>
      <c r="AA135" s="22" t="s">
        <v>315</v>
      </c>
      <c r="AB135" s="22" t="s">
        <v>220</v>
      </c>
      <c r="AC135" s="42">
        <f>IFERROR(LOOKUP(M135,打分卡!$F$7:$J$7,打分卡!$K$7:$O$7),1)</f>
        <v>4</v>
      </c>
      <c r="AD135" s="42">
        <f>IFERROR(LOOKUP(S135,打分卡!$F$8:$J$8,打分卡!$K$8:$O$8),1)</f>
        <v>3</v>
      </c>
      <c r="AE135" s="42">
        <f>IFERROR(LOOKUP(T135,打分卡!$F$9:$I$9,打分卡!$K$9:$N$9),1)</f>
        <v>3</v>
      </c>
      <c r="AF135" s="42">
        <f>IFERROR(LOOKUP(Q135,打分卡!$F$10:$J$10,打分卡!$K$10:$O$10),1)</f>
        <v>4</v>
      </c>
      <c r="AG135" s="42">
        <f>IFERROR(LOOKUP(R135,打分卡!$F$11:$J$11,打分卡!$K$11:$O$11),1)</f>
        <v>4</v>
      </c>
      <c r="AH135" s="42">
        <f>IFERROR(LOOKUP(U135,打分卡!$F$12:$J$12,打分卡!$K$12:$O$12),1)</f>
        <v>4</v>
      </c>
      <c r="AI135" s="42">
        <f>IFERROR(LOOKUP(X135,打分卡!$F$13:$J$13,打分卡!$K$13:$O$13),1)</f>
        <v>5</v>
      </c>
      <c r="AJ135" s="42">
        <f>IFERROR(LOOKUP(Y135,打分卡!$F$14:$J$14,打分卡!$K$14:$O$14),1)</f>
        <v>4</v>
      </c>
      <c r="AK135" s="42">
        <f>IFERROR(LOOKUP(W135,打分卡!$F$15:$J$15,打分卡!$K$15:$O$15),1)</f>
        <v>3</v>
      </c>
      <c r="AL135" s="45">
        <f t="shared" si="17"/>
        <v>2</v>
      </c>
      <c r="AM135" s="42">
        <f>IFERROR(LOOKUP(Z135,打分卡!$F$17:$H$17,打分卡!$K$17:$M$17),1)</f>
        <v>3</v>
      </c>
      <c r="AN135" s="46">
        <f>(打分卡!$D$7*AC135+打分卡!$D$8*AD135+打分卡!$D$9*AE135)/5</f>
        <v>29</v>
      </c>
      <c r="AO135" s="46">
        <f>(打分卡!$D$10*AF135+打分卡!$D$11*AG135)/5</f>
        <v>16</v>
      </c>
      <c r="AP135" s="46">
        <f>(打分卡!$D$12*AH135+打分卡!$D$13*AI135+打分卡!$D$14*AJ135+打分卡!$D$15*AK135)/5</f>
        <v>24.8</v>
      </c>
      <c r="AQ135" s="46">
        <f>(打分卡!$D$16*AL135+打分卡!$D$17*AM135)/5</f>
        <v>4.8</v>
      </c>
      <c r="AR135" s="48">
        <f t="shared" si="18"/>
        <v>74.6</v>
      </c>
      <c r="AS135" s="45" t="str">
        <f t="shared" si="19"/>
        <v>腰部</v>
      </c>
      <c r="AT135" s="45" t="str">
        <f t="shared" si="20"/>
        <v/>
      </c>
      <c r="AU135" s="45" t="str">
        <f t="shared" si="21"/>
        <v>拉·主攻：主推AI外呼+大促作战包</v>
      </c>
    </row>
    <row r="136" ht="15" customHeight="1" spans="1:47">
      <c r="A136" s="30" t="s">
        <v>596</v>
      </c>
      <c r="B136" s="31" t="s">
        <v>597</v>
      </c>
      <c r="C136" s="31" t="s">
        <v>189</v>
      </c>
      <c r="D136" s="31" t="s">
        <v>202</v>
      </c>
      <c r="E136" s="31" t="s">
        <v>181</v>
      </c>
      <c r="F136" s="30" t="s">
        <v>598</v>
      </c>
      <c r="G136" s="31">
        <v>24</v>
      </c>
      <c r="H136" s="31" t="s">
        <v>183</v>
      </c>
      <c r="I136" s="31" t="s">
        <v>302</v>
      </c>
      <c r="J136" s="33">
        <v>143300</v>
      </c>
      <c r="K136" s="33">
        <v>84600</v>
      </c>
      <c r="L136" s="33">
        <v>12000</v>
      </c>
      <c r="M136" s="33">
        <f t="shared" si="16"/>
        <v>239900</v>
      </c>
      <c r="N136" s="34">
        <f t="shared" si="22"/>
        <v>0.00125770930191105</v>
      </c>
      <c r="O136" s="35">
        <f>SUM($M$2:M136)</f>
        <v>139369000</v>
      </c>
      <c r="P136" s="34">
        <f t="shared" si="23"/>
        <v>0.730661474356151</v>
      </c>
      <c r="Q136" s="37">
        <v>30.8</v>
      </c>
      <c r="R136" s="31">
        <v>15</v>
      </c>
      <c r="S136" s="31">
        <v>2</v>
      </c>
      <c r="T136" s="31">
        <v>3</v>
      </c>
      <c r="U136" s="37">
        <v>188.4</v>
      </c>
      <c r="V136" s="31">
        <v>35</v>
      </c>
      <c r="W136" s="31">
        <v>4</v>
      </c>
      <c r="X136" s="38">
        <v>359</v>
      </c>
      <c r="Y136" s="31">
        <v>5</v>
      </c>
      <c r="Z136" s="31">
        <v>2</v>
      </c>
      <c r="AA136" s="31" t="s">
        <v>185</v>
      </c>
      <c r="AB136" s="31" t="s">
        <v>220</v>
      </c>
      <c r="AC136" s="41">
        <f>IFERROR(LOOKUP(M136,打分卡!$F$7:$J$7,打分卡!$K$7:$O$7),1)</f>
        <v>4</v>
      </c>
      <c r="AD136" s="41">
        <f>IFERROR(LOOKUP(S136,打分卡!$F$8:$J$8,打分卡!$K$8:$O$8),1)</f>
        <v>2</v>
      </c>
      <c r="AE136" s="41">
        <f>IFERROR(LOOKUP(T136,打分卡!$F$9:$I$9,打分卡!$K$9:$N$9),1)</f>
        <v>5</v>
      </c>
      <c r="AF136" s="41">
        <f>IFERROR(LOOKUP(Q136,打分卡!$F$10:$J$10,打分卡!$K$10:$O$10),1)</f>
        <v>4</v>
      </c>
      <c r="AG136" s="41">
        <f>IFERROR(LOOKUP(R136,打分卡!$F$11:$J$11,打分卡!$K$11:$O$11),1)</f>
        <v>5</v>
      </c>
      <c r="AH136" s="41">
        <f>IFERROR(LOOKUP(U136,打分卡!$F$12:$J$12,打分卡!$K$12:$O$12),1)</f>
        <v>5</v>
      </c>
      <c r="AI136" s="41">
        <f>IFERROR(LOOKUP(X136,打分卡!$F$13:$J$13,打分卡!$K$13:$O$13),1)</f>
        <v>5</v>
      </c>
      <c r="AJ136" s="41">
        <f>IFERROR(LOOKUP(Y136,打分卡!$F$14:$J$14,打分卡!$K$14:$O$14),1)</f>
        <v>5</v>
      </c>
      <c r="AK136" s="41">
        <f>IFERROR(LOOKUP(W136,打分卡!$F$15:$J$15,打分卡!$K$15:$O$15),1)</f>
        <v>3</v>
      </c>
      <c r="AL136" s="43">
        <f t="shared" si="17"/>
        <v>3</v>
      </c>
      <c r="AM136" s="41">
        <f>IFERROR(LOOKUP(Z136,打分卡!$F$17:$H$17,打分卡!$K$17:$M$17),1)</f>
        <v>5</v>
      </c>
      <c r="AN136" s="44">
        <f>(打分卡!$D$7*AC136+打分卡!$D$8*AD136+打分卡!$D$9*AE136)/5</f>
        <v>30.2</v>
      </c>
      <c r="AO136" s="44">
        <f>(打分卡!$D$10*AF136+打分卡!$D$11*AG136)/5</f>
        <v>18</v>
      </c>
      <c r="AP136" s="44">
        <f>(打分卡!$D$12*AH136+打分卡!$D$13*AI136+打分卡!$D$14*AJ136+打分卡!$D$15*AK136)/5</f>
        <v>28.4</v>
      </c>
      <c r="AQ136" s="44">
        <f>(打分卡!$D$16*AL136+打分卡!$D$17*AM136)/5</f>
        <v>7.6</v>
      </c>
      <c r="AR136" s="47">
        <f t="shared" si="18"/>
        <v>84.2</v>
      </c>
      <c r="AS136" s="43" t="str">
        <f t="shared" si="19"/>
        <v>KA</v>
      </c>
      <c r="AT136" s="43" t="str">
        <f t="shared" si="20"/>
        <v/>
      </c>
      <c r="AU136" s="43" t="str">
        <f t="shared" si="21"/>
        <v>扩·深化：AI外呼场景深化+Push/企微补全</v>
      </c>
    </row>
    <row r="137" ht="15" customHeight="1" spans="1:47">
      <c r="A137" s="20" t="s">
        <v>599</v>
      </c>
      <c r="B137" s="22" t="s">
        <v>600</v>
      </c>
      <c r="C137" s="22" t="s">
        <v>239</v>
      </c>
      <c r="D137" s="22" t="s">
        <v>202</v>
      </c>
      <c r="E137" s="22" t="s">
        <v>181</v>
      </c>
      <c r="F137" s="20" t="s">
        <v>601</v>
      </c>
      <c r="G137" s="22">
        <v>12</v>
      </c>
      <c r="H137" s="22" t="s">
        <v>183</v>
      </c>
      <c r="I137" s="22" t="s">
        <v>184</v>
      </c>
      <c r="J137" s="36">
        <v>126300</v>
      </c>
      <c r="K137" s="36">
        <v>73300</v>
      </c>
      <c r="L137" s="36">
        <v>29600</v>
      </c>
      <c r="M137" s="36">
        <f t="shared" si="16"/>
        <v>229200</v>
      </c>
      <c r="N137" s="34">
        <f t="shared" si="22"/>
        <v>0.00120161305543148</v>
      </c>
      <c r="O137" s="35">
        <f>SUM($M$2:M137)</f>
        <v>139598200</v>
      </c>
      <c r="P137" s="34">
        <f t="shared" si="23"/>
        <v>0.731863087411583</v>
      </c>
      <c r="Q137" s="39">
        <v>26.8</v>
      </c>
      <c r="R137" s="22">
        <v>15</v>
      </c>
      <c r="S137" s="22">
        <v>3</v>
      </c>
      <c r="T137" s="22">
        <v>3</v>
      </c>
      <c r="U137" s="39">
        <v>48.9</v>
      </c>
      <c r="V137" s="22">
        <v>9</v>
      </c>
      <c r="W137" s="22">
        <v>5</v>
      </c>
      <c r="X137" s="40">
        <v>265</v>
      </c>
      <c r="Y137" s="22">
        <v>2</v>
      </c>
      <c r="Z137" s="22">
        <v>1</v>
      </c>
      <c r="AA137" s="22" t="s">
        <v>199</v>
      </c>
      <c r="AB137" s="22" t="s">
        <v>220</v>
      </c>
      <c r="AC137" s="42">
        <f>IFERROR(LOOKUP(M137,打分卡!$F$7:$J$7,打分卡!$K$7:$O$7),1)</f>
        <v>4</v>
      </c>
      <c r="AD137" s="42">
        <f>IFERROR(LOOKUP(S137,打分卡!$F$8:$J$8,打分卡!$K$8:$O$8),1)</f>
        <v>3</v>
      </c>
      <c r="AE137" s="42">
        <f>IFERROR(LOOKUP(T137,打分卡!$F$9:$I$9,打分卡!$K$9:$N$9),1)</f>
        <v>5</v>
      </c>
      <c r="AF137" s="42">
        <f>IFERROR(LOOKUP(Q137,打分卡!$F$10:$J$10,打分卡!$K$10:$O$10),1)</f>
        <v>4</v>
      </c>
      <c r="AG137" s="42">
        <f>IFERROR(LOOKUP(R137,打分卡!$F$11:$J$11,打分卡!$K$11:$O$11),1)</f>
        <v>5</v>
      </c>
      <c r="AH137" s="42">
        <f>IFERROR(LOOKUP(U137,打分卡!$F$12:$J$12,打分卡!$K$12:$O$12),1)</f>
        <v>4</v>
      </c>
      <c r="AI137" s="42">
        <f>IFERROR(LOOKUP(X137,打分卡!$F$13:$J$13,打分卡!$K$13:$O$13),1)</f>
        <v>5</v>
      </c>
      <c r="AJ137" s="42">
        <f>IFERROR(LOOKUP(Y137,打分卡!$F$14:$J$14,打分卡!$K$14:$O$14),1)</f>
        <v>3</v>
      </c>
      <c r="AK137" s="42">
        <f>IFERROR(LOOKUP(W137,打分卡!$F$15:$J$15,打分卡!$K$15:$O$15),1)</f>
        <v>3</v>
      </c>
      <c r="AL137" s="45">
        <f t="shared" si="17"/>
        <v>5</v>
      </c>
      <c r="AM137" s="42">
        <f>IFERROR(LOOKUP(Z137,打分卡!$F$17:$H$17,打分卡!$K$17:$M$17),1)</f>
        <v>3</v>
      </c>
      <c r="AN137" s="46">
        <f>(打分卡!$D$7*AC137+打分卡!$D$8*AD137+打分卡!$D$9*AE137)/5</f>
        <v>31.8</v>
      </c>
      <c r="AO137" s="46">
        <f>(打分卡!$D$10*AF137+打分卡!$D$11*AG137)/5</f>
        <v>18</v>
      </c>
      <c r="AP137" s="46">
        <f>(打分卡!$D$12*AH137+打分卡!$D$13*AI137+打分卡!$D$14*AJ137+打分卡!$D$15*AK137)/5</f>
        <v>23.6</v>
      </c>
      <c r="AQ137" s="46">
        <f>(打分卡!$D$16*AL137+打分卡!$D$17*AM137)/5</f>
        <v>8.4</v>
      </c>
      <c r="AR137" s="48">
        <f t="shared" si="18"/>
        <v>81.8</v>
      </c>
      <c r="AS137" s="45" t="str">
        <f t="shared" si="19"/>
        <v>KA</v>
      </c>
      <c r="AT137" s="45" t="str">
        <f t="shared" si="20"/>
        <v/>
      </c>
      <c r="AU137" s="45" t="str">
        <f t="shared" si="21"/>
        <v>扩·深化：AI外呼场景深化+Push/企微补全</v>
      </c>
    </row>
    <row r="138" ht="15" customHeight="1" spans="1:47">
      <c r="A138" s="30" t="s">
        <v>602</v>
      </c>
      <c r="B138" s="31" t="s">
        <v>603</v>
      </c>
      <c r="C138" s="31" t="s">
        <v>179</v>
      </c>
      <c r="D138" s="31" t="s">
        <v>202</v>
      </c>
      <c r="E138" s="31" t="s">
        <v>197</v>
      </c>
      <c r="F138" s="30" t="s">
        <v>404</v>
      </c>
      <c r="G138" s="31">
        <v>27</v>
      </c>
      <c r="H138" s="31" t="s">
        <v>301</v>
      </c>
      <c r="I138" s="31" t="s">
        <v>184</v>
      </c>
      <c r="J138" s="33">
        <v>137100</v>
      </c>
      <c r="K138" s="33">
        <v>54800</v>
      </c>
      <c r="L138" s="33">
        <v>36500</v>
      </c>
      <c r="M138" s="33">
        <f t="shared" si="16"/>
        <v>228400</v>
      </c>
      <c r="N138" s="34">
        <f t="shared" si="22"/>
        <v>0.00119741894354516</v>
      </c>
      <c r="O138" s="35">
        <f>SUM($M$2:M138)</f>
        <v>139826600</v>
      </c>
      <c r="P138" s="34">
        <f t="shared" si="23"/>
        <v>0.733060506355128</v>
      </c>
      <c r="Q138" s="37">
        <v>20.2</v>
      </c>
      <c r="R138" s="31">
        <v>12</v>
      </c>
      <c r="S138" s="31">
        <v>4</v>
      </c>
      <c r="T138" s="31">
        <v>1</v>
      </c>
      <c r="U138" s="37">
        <v>127.1</v>
      </c>
      <c r="V138" s="31">
        <v>24</v>
      </c>
      <c r="W138" s="31">
        <v>3</v>
      </c>
      <c r="X138" s="38">
        <v>111</v>
      </c>
      <c r="Y138" s="31">
        <v>3</v>
      </c>
      <c r="Z138" s="31">
        <v>0</v>
      </c>
      <c r="AA138" s="31" t="s">
        <v>199</v>
      </c>
      <c r="AB138" s="31" t="s">
        <v>220</v>
      </c>
      <c r="AC138" s="41">
        <f>IFERROR(LOOKUP(M138,打分卡!$F$7:$J$7,打分卡!$K$7:$O$7),1)</f>
        <v>4</v>
      </c>
      <c r="AD138" s="41">
        <f>IFERROR(LOOKUP(S138,打分卡!$F$8:$J$8,打分卡!$K$8:$O$8),1)</f>
        <v>4</v>
      </c>
      <c r="AE138" s="41">
        <f>IFERROR(LOOKUP(T138,打分卡!$F$9:$I$9,打分卡!$K$9:$N$9),1)</f>
        <v>2</v>
      </c>
      <c r="AF138" s="41">
        <f>IFERROR(LOOKUP(Q138,打分卡!$F$10:$J$10,打分卡!$K$10:$O$10),1)</f>
        <v>3</v>
      </c>
      <c r="AG138" s="41">
        <f>IFERROR(LOOKUP(R138,打分卡!$F$11:$J$11,打分卡!$K$11:$O$11),1)</f>
        <v>4</v>
      </c>
      <c r="AH138" s="41">
        <f>IFERROR(LOOKUP(U138,打分卡!$F$12:$J$12,打分卡!$K$12:$O$12),1)</f>
        <v>5</v>
      </c>
      <c r="AI138" s="41">
        <f>IFERROR(LOOKUP(X138,打分卡!$F$13:$J$13,打分卡!$K$13:$O$13),1)</f>
        <v>4</v>
      </c>
      <c r="AJ138" s="41">
        <f>IFERROR(LOOKUP(Y138,打分卡!$F$14:$J$14,打分卡!$K$14:$O$14),1)</f>
        <v>4</v>
      </c>
      <c r="AK138" s="41">
        <f>IFERROR(LOOKUP(W138,打分卡!$F$15:$J$15,打分卡!$K$15:$O$15),1)</f>
        <v>3</v>
      </c>
      <c r="AL138" s="43">
        <f t="shared" si="17"/>
        <v>5</v>
      </c>
      <c r="AM138" s="41">
        <f>IFERROR(LOOKUP(Z138,打分卡!$F$17:$H$17,打分卡!$K$17:$M$17),1)</f>
        <v>1</v>
      </c>
      <c r="AN138" s="44">
        <f>(打分卡!$D$7*AC138+打分卡!$D$8*AD138+打分卡!$D$9*AE138)/5</f>
        <v>29.2</v>
      </c>
      <c r="AO138" s="44">
        <f>(打分卡!$D$10*AF138+打分卡!$D$11*AG138)/5</f>
        <v>14</v>
      </c>
      <c r="AP138" s="44">
        <f>(打分卡!$D$12*AH138+打分卡!$D$13*AI138+打分卡!$D$14*AJ138+打分卡!$D$15*AK138)/5</f>
        <v>25.6</v>
      </c>
      <c r="AQ138" s="44">
        <f>(打分卡!$D$16*AL138+打分卡!$D$17*AM138)/5</f>
        <v>6.8</v>
      </c>
      <c r="AR138" s="47">
        <f t="shared" si="18"/>
        <v>75.6</v>
      </c>
      <c r="AS138" s="43" t="str">
        <f t="shared" si="19"/>
        <v>KA</v>
      </c>
      <c r="AT138" s="43" t="str">
        <f t="shared" si="20"/>
        <v/>
      </c>
      <c r="AU138" s="43" t="str">
        <f t="shared" si="21"/>
        <v>扩·深化：AI外呼场景深化+Push/企微补全</v>
      </c>
    </row>
    <row r="139" ht="15" customHeight="1" spans="1:47">
      <c r="A139" s="20" t="s">
        <v>604</v>
      </c>
      <c r="B139" s="22" t="s">
        <v>605</v>
      </c>
      <c r="C139" s="22" t="s">
        <v>189</v>
      </c>
      <c r="D139" s="22" t="s">
        <v>196</v>
      </c>
      <c r="E139" s="22" t="s">
        <v>181</v>
      </c>
      <c r="F139" s="20" t="s">
        <v>606</v>
      </c>
      <c r="G139" s="22">
        <v>26</v>
      </c>
      <c r="H139" s="22" t="s">
        <v>183</v>
      </c>
      <c r="I139" s="22" t="s">
        <v>302</v>
      </c>
      <c r="J139" s="36">
        <v>100400</v>
      </c>
      <c r="K139" s="36">
        <v>61600</v>
      </c>
      <c r="L139" s="36">
        <v>58500</v>
      </c>
      <c r="M139" s="36">
        <f t="shared" si="16"/>
        <v>220500</v>
      </c>
      <c r="N139" s="34">
        <f t="shared" si="22"/>
        <v>0.00115600208866772</v>
      </c>
      <c r="O139" s="35">
        <f>SUM($M$2:M139)</f>
        <v>140047100</v>
      </c>
      <c r="P139" s="34">
        <f t="shared" si="23"/>
        <v>0.734216508443796</v>
      </c>
      <c r="Q139" s="39">
        <v>32.9</v>
      </c>
      <c r="R139" s="22">
        <v>12</v>
      </c>
      <c r="S139" s="22">
        <v>3</v>
      </c>
      <c r="T139" s="22">
        <v>2</v>
      </c>
      <c r="U139" s="39">
        <v>64.8</v>
      </c>
      <c r="V139" s="22">
        <v>18</v>
      </c>
      <c r="W139" s="22">
        <v>4</v>
      </c>
      <c r="X139" s="40">
        <v>231</v>
      </c>
      <c r="Y139" s="22">
        <v>2</v>
      </c>
      <c r="Z139" s="22">
        <v>2</v>
      </c>
      <c r="AA139" s="22" t="s">
        <v>185</v>
      </c>
      <c r="AB139" s="22" t="s">
        <v>220</v>
      </c>
      <c r="AC139" s="42">
        <f>IFERROR(LOOKUP(M139,打分卡!$F$7:$J$7,打分卡!$K$7:$O$7),1)</f>
        <v>4</v>
      </c>
      <c r="AD139" s="42">
        <f>IFERROR(LOOKUP(S139,打分卡!$F$8:$J$8,打分卡!$K$8:$O$8),1)</f>
        <v>3</v>
      </c>
      <c r="AE139" s="42">
        <f>IFERROR(LOOKUP(T139,打分卡!$F$9:$I$9,打分卡!$K$9:$N$9),1)</f>
        <v>3</v>
      </c>
      <c r="AF139" s="42">
        <f>IFERROR(LOOKUP(Q139,打分卡!$F$10:$J$10,打分卡!$K$10:$O$10),1)</f>
        <v>4</v>
      </c>
      <c r="AG139" s="42">
        <f>IFERROR(LOOKUP(R139,打分卡!$F$11:$J$11,打分卡!$K$11:$O$11),1)</f>
        <v>4</v>
      </c>
      <c r="AH139" s="42">
        <f>IFERROR(LOOKUP(U139,打分卡!$F$12:$J$12,打分卡!$K$12:$O$12),1)</f>
        <v>4</v>
      </c>
      <c r="AI139" s="42">
        <f>IFERROR(LOOKUP(X139,打分卡!$F$13:$J$13,打分卡!$K$13:$O$13),1)</f>
        <v>5</v>
      </c>
      <c r="AJ139" s="42">
        <f>IFERROR(LOOKUP(Y139,打分卡!$F$14:$J$14,打分卡!$K$14:$O$14),1)</f>
        <v>3</v>
      </c>
      <c r="AK139" s="42">
        <f>IFERROR(LOOKUP(W139,打分卡!$F$15:$J$15,打分卡!$K$15:$O$15),1)</f>
        <v>3</v>
      </c>
      <c r="AL139" s="45">
        <f t="shared" si="17"/>
        <v>3</v>
      </c>
      <c r="AM139" s="42">
        <f>IFERROR(LOOKUP(Z139,打分卡!$F$17:$H$17,打分卡!$K$17:$M$17),1)</f>
        <v>5</v>
      </c>
      <c r="AN139" s="46">
        <f>(打分卡!$D$7*AC139+打分卡!$D$8*AD139+打分卡!$D$9*AE139)/5</f>
        <v>29</v>
      </c>
      <c r="AO139" s="46">
        <f>(打分卡!$D$10*AF139+打分卡!$D$11*AG139)/5</f>
        <v>16</v>
      </c>
      <c r="AP139" s="46">
        <f>(打分卡!$D$12*AH139+打分卡!$D$13*AI139+打分卡!$D$14*AJ139+打分卡!$D$15*AK139)/5</f>
        <v>23.6</v>
      </c>
      <c r="AQ139" s="46">
        <f>(打分卡!$D$16*AL139+打分卡!$D$17*AM139)/5</f>
        <v>7.6</v>
      </c>
      <c r="AR139" s="48">
        <f t="shared" si="18"/>
        <v>76.2</v>
      </c>
      <c r="AS139" s="45" t="str">
        <f t="shared" si="19"/>
        <v>KA</v>
      </c>
      <c r="AT139" s="45" t="str">
        <f t="shared" si="20"/>
        <v/>
      </c>
      <c r="AU139" s="45" t="str">
        <f t="shared" si="21"/>
        <v>扩·深化：AI外呼场景深化+Push/企微补全</v>
      </c>
    </row>
    <row r="140" ht="15" customHeight="1" spans="1:47">
      <c r="A140" s="30" t="s">
        <v>607</v>
      </c>
      <c r="B140" s="31" t="s">
        <v>608</v>
      </c>
      <c r="C140" s="31" t="s">
        <v>189</v>
      </c>
      <c r="D140" s="31" t="s">
        <v>202</v>
      </c>
      <c r="E140" s="31" t="s">
        <v>181</v>
      </c>
      <c r="F140" s="30" t="s">
        <v>609</v>
      </c>
      <c r="G140" s="31">
        <v>16</v>
      </c>
      <c r="H140" s="31" t="s">
        <v>301</v>
      </c>
      <c r="I140" s="31" t="s">
        <v>302</v>
      </c>
      <c r="J140" s="33">
        <v>105900</v>
      </c>
      <c r="K140" s="33">
        <v>46200</v>
      </c>
      <c r="L140" s="33">
        <v>41600</v>
      </c>
      <c r="M140" s="33">
        <f t="shared" si="16"/>
        <v>193700</v>
      </c>
      <c r="N140" s="34">
        <f t="shared" si="22"/>
        <v>0.00101549934047591</v>
      </c>
      <c r="O140" s="35">
        <f>SUM($M$2:M140)</f>
        <v>140240800</v>
      </c>
      <c r="P140" s="34">
        <f t="shared" si="23"/>
        <v>0.735232007784272</v>
      </c>
      <c r="Q140" s="37">
        <v>15</v>
      </c>
      <c r="R140" s="31">
        <v>6</v>
      </c>
      <c r="S140" s="31">
        <v>2</v>
      </c>
      <c r="T140" s="31">
        <v>1</v>
      </c>
      <c r="U140" s="37">
        <v>4.5</v>
      </c>
      <c r="V140" s="31">
        <v>6</v>
      </c>
      <c r="W140" s="31">
        <v>3</v>
      </c>
      <c r="X140" s="38">
        <v>36</v>
      </c>
      <c r="Y140" s="31">
        <v>1</v>
      </c>
      <c r="Z140" s="31">
        <v>0</v>
      </c>
      <c r="AA140" s="31" t="s">
        <v>199</v>
      </c>
      <c r="AB140" s="31" t="s">
        <v>220</v>
      </c>
      <c r="AC140" s="41">
        <f>IFERROR(LOOKUP(M140,打分卡!$F$7:$J$7,打分卡!$K$7:$O$7),1)</f>
        <v>3</v>
      </c>
      <c r="AD140" s="41">
        <f>IFERROR(LOOKUP(S140,打分卡!$F$8:$J$8,打分卡!$K$8:$O$8),1)</f>
        <v>2</v>
      </c>
      <c r="AE140" s="41">
        <f>IFERROR(LOOKUP(T140,打分卡!$F$9:$I$9,打分卡!$K$9:$N$9),1)</f>
        <v>2</v>
      </c>
      <c r="AF140" s="41">
        <f>IFERROR(LOOKUP(Q140,打分卡!$F$10:$J$10,打分卡!$K$10:$O$10),1)</f>
        <v>3</v>
      </c>
      <c r="AG140" s="41">
        <f>IFERROR(LOOKUP(R140,打分卡!$F$11:$J$11,打分卡!$K$11:$O$11),1)</f>
        <v>3</v>
      </c>
      <c r="AH140" s="41">
        <f>IFERROR(LOOKUP(U140,打分卡!$F$12:$J$12,打分卡!$K$12:$O$12),1)</f>
        <v>2</v>
      </c>
      <c r="AI140" s="41">
        <f>IFERROR(LOOKUP(X140,打分卡!$F$13:$J$13,打分卡!$K$13:$O$13),1)</f>
        <v>2</v>
      </c>
      <c r="AJ140" s="41">
        <f>IFERROR(LOOKUP(Y140,打分卡!$F$14:$J$14,打分卡!$K$14:$O$14),1)</f>
        <v>2</v>
      </c>
      <c r="AK140" s="41">
        <f>IFERROR(LOOKUP(W140,打分卡!$F$15:$J$15,打分卡!$K$15:$O$15),1)</f>
        <v>3</v>
      </c>
      <c r="AL140" s="43">
        <f t="shared" si="17"/>
        <v>5</v>
      </c>
      <c r="AM140" s="41">
        <f>IFERROR(LOOKUP(Z140,打分卡!$F$17:$H$17,打分卡!$K$17:$M$17),1)</f>
        <v>1</v>
      </c>
      <c r="AN140" s="44">
        <f>(打分卡!$D$7*AC140+打分卡!$D$8*AD140+打分卡!$D$9*AE140)/5</f>
        <v>21</v>
      </c>
      <c r="AO140" s="44">
        <f>(打分卡!$D$10*AF140+打分卡!$D$11*AG140)/5</f>
        <v>12</v>
      </c>
      <c r="AP140" s="44">
        <f>(打分卡!$D$12*AH140+打分卡!$D$13*AI140+打分卡!$D$14*AJ140+打分卡!$D$15*AK140)/5</f>
        <v>12.8</v>
      </c>
      <c r="AQ140" s="44">
        <f>(打分卡!$D$16*AL140+打分卡!$D$17*AM140)/5</f>
        <v>6.8</v>
      </c>
      <c r="AR140" s="47">
        <f t="shared" si="18"/>
        <v>52.6</v>
      </c>
      <c r="AS140" s="43" t="str">
        <f t="shared" si="19"/>
        <v>腰部</v>
      </c>
      <c r="AT140" s="43" t="str">
        <f t="shared" si="20"/>
        <v/>
      </c>
      <c r="AU140" s="43" t="str">
        <f t="shared" si="21"/>
        <v>拉·主攻：主推AI外呼+大促作战包</v>
      </c>
    </row>
    <row r="141" ht="15" customHeight="1" spans="1:47">
      <c r="A141" s="20" t="s">
        <v>610</v>
      </c>
      <c r="B141" s="22" t="s">
        <v>611</v>
      </c>
      <c r="C141" s="22" t="s">
        <v>179</v>
      </c>
      <c r="D141" s="22" t="s">
        <v>227</v>
      </c>
      <c r="E141" s="22" t="s">
        <v>181</v>
      </c>
      <c r="F141" s="20" t="s">
        <v>612</v>
      </c>
      <c r="G141" s="22">
        <v>3</v>
      </c>
      <c r="H141" s="22" t="s">
        <v>301</v>
      </c>
      <c r="I141" s="22" t="s">
        <v>302</v>
      </c>
      <c r="J141" s="36">
        <v>87700</v>
      </c>
      <c r="K141" s="36">
        <v>49300</v>
      </c>
      <c r="L141" s="36">
        <v>56500</v>
      </c>
      <c r="M141" s="36">
        <f t="shared" si="16"/>
        <v>193500</v>
      </c>
      <c r="N141" s="34">
        <f t="shared" si="22"/>
        <v>0.00101445081250433</v>
      </c>
      <c r="O141" s="35">
        <f>SUM($M$2:M141)</f>
        <v>140434300</v>
      </c>
      <c r="P141" s="34">
        <f t="shared" si="23"/>
        <v>0.736246458596776</v>
      </c>
      <c r="Q141" s="39">
        <v>21.1</v>
      </c>
      <c r="R141" s="22">
        <v>8</v>
      </c>
      <c r="S141" s="22">
        <v>3</v>
      </c>
      <c r="T141" s="22">
        <v>2</v>
      </c>
      <c r="U141" s="39">
        <v>13</v>
      </c>
      <c r="V141" s="22">
        <v>14</v>
      </c>
      <c r="W141" s="22">
        <v>4</v>
      </c>
      <c r="X141" s="40">
        <v>105</v>
      </c>
      <c r="Y141" s="22">
        <v>0</v>
      </c>
      <c r="Z141" s="22">
        <v>0</v>
      </c>
      <c r="AA141" s="22" t="s">
        <v>199</v>
      </c>
      <c r="AB141" s="22" t="s">
        <v>220</v>
      </c>
      <c r="AC141" s="42">
        <f>IFERROR(LOOKUP(M141,打分卡!$F$7:$J$7,打分卡!$K$7:$O$7),1)</f>
        <v>3</v>
      </c>
      <c r="AD141" s="42">
        <f>IFERROR(LOOKUP(S141,打分卡!$F$8:$J$8,打分卡!$K$8:$O$8),1)</f>
        <v>3</v>
      </c>
      <c r="AE141" s="42">
        <f>IFERROR(LOOKUP(T141,打分卡!$F$9:$I$9,打分卡!$K$9:$N$9),1)</f>
        <v>3</v>
      </c>
      <c r="AF141" s="42">
        <f>IFERROR(LOOKUP(Q141,打分卡!$F$10:$J$10,打分卡!$K$10:$O$10),1)</f>
        <v>3</v>
      </c>
      <c r="AG141" s="42">
        <f>IFERROR(LOOKUP(R141,打分卡!$F$11:$J$11,打分卡!$K$11:$O$11),1)</f>
        <v>3</v>
      </c>
      <c r="AH141" s="42">
        <f>IFERROR(LOOKUP(U141,打分卡!$F$12:$J$12,打分卡!$K$12:$O$12),1)</f>
        <v>3</v>
      </c>
      <c r="AI141" s="42">
        <f>IFERROR(LOOKUP(X141,打分卡!$F$13:$J$13,打分卡!$K$13:$O$13),1)</f>
        <v>4</v>
      </c>
      <c r="AJ141" s="42">
        <f>IFERROR(LOOKUP(Y141,打分卡!$F$14:$J$14,打分卡!$K$14:$O$14),1)</f>
        <v>1</v>
      </c>
      <c r="AK141" s="42">
        <f>IFERROR(LOOKUP(W141,打分卡!$F$15:$J$15,打分卡!$K$15:$O$15),1)</f>
        <v>3</v>
      </c>
      <c r="AL141" s="45">
        <f t="shared" si="17"/>
        <v>5</v>
      </c>
      <c r="AM141" s="42">
        <f>IFERROR(LOOKUP(Z141,打分卡!$F$17:$H$17,打分卡!$K$17:$M$17),1)</f>
        <v>1</v>
      </c>
      <c r="AN141" s="46">
        <f>(打分卡!$D$7*AC141+打分卡!$D$8*AD141+打分卡!$D$9*AE141)/5</f>
        <v>24</v>
      </c>
      <c r="AO141" s="46">
        <f>(打分卡!$D$10*AF141+打分卡!$D$11*AG141)/5</f>
        <v>12</v>
      </c>
      <c r="AP141" s="46">
        <f>(打分卡!$D$12*AH141+打分卡!$D$13*AI141+打分卡!$D$14*AJ141+打分卡!$D$15*AK141)/5</f>
        <v>17.2</v>
      </c>
      <c r="AQ141" s="46">
        <f>(打分卡!$D$16*AL141+打分卡!$D$17*AM141)/5</f>
        <v>6.8</v>
      </c>
      <c r="AR141" s="48">
        <f t="shared" si="18"/>
        <v>60</v>
      </c>
      <c r="AS141" s="45" t="str">
        <f t="shared" si="19"/>
        <v>腰部</v>
      </c>
      <c r="AT141" s="45" t="str">
        <f t="shared" si="20"/>
        <v/>
      </c>
      <c r="AU141" s="45" t="str">
        <f t="shared" si="21"/>
        <v>拉·主攻：主推AI外呼+大促作战包</v>
      </c>
    </row>
    <row r="142" ht="15" customHeight="1" spans="1:47">
      <c r="A142" s="30" t="s">
        <v>613</v>
      </c>
      <c r="B142" s="31" t="s">
        <v>614</v>
      </c>
      <c r="C142" s="31" t="s">
        <v>189</v>
      </c>
      <c r="D142" s="31" t="s">
        <v>202</v>
      </c>
      <c r="E142" s="31" t="s">
        <v>197</v>
      </c>
      <c r="F142" s="30" t="s">
        <v>615</v>
      </c>
      <c r="G142" s="31">
        <v>14</v>
      </c>
      <c r="H142" s="31" t="s">
        <v>301</v>
      </c>
      <c r="I142" s="31" t="s">
        <v>302</v>
      </c>
      <c r="J142" s="33">
        <v>93700</v>
      </c>
      <c r="K142" s="33">
        <v>53300</v>
      </c>
      <c r="L142" s="33">
        <v>42800</v>
      </c>
      <c r="M142" s="33">
        <f t="shared" si="16"/>
        <v>189800</v>
      </c>
      <c r="N142" s="34">
        <f t="shared" si="22"/>
        <v>0.000995053045030082</v>
      </c>
      <c r="O142" s="35">
        <f>SUM($M$2:M142)</f>
        <v>140624100</v>
      </c>
      <c r="P142" s="34">
        <f t="shared" si="23"/>
        <v>0.737241511641806</v>
      </c>
      <c r="Q142" s="37">
        <v>20.8</v>
      </c>
      <c r="R142" s="31">
        <v>7</v>
      </c>
      <c r="S142" s="31">
        <v>3</v>
      </c>
      <c r="T142" s="31">
        <v>0</v>
      </c>
      <c r="U142" s="37">
        <v>29</v>
      </c>
      <c r="V142" s="31">
        <v>11</v>
      </c>
      <c r="W142" s="31">
        <v>2</v>
      </c>
      <c r="X142" s="38">
        <v>28</v>
      </c>
      <c r="Y142" s="31">
        <v>0</v>
      </c>
      <c r="Z142" s="31">
        <v>0</v>
      </c>
      <c r="AA142" s="31" t="s">
        <v>315</v>
      </c>
      <c r="AB142" s="31" t="s">
        <v>220</v>
      </c>
      <c r="AC142" s="41">
        <f>IFERROR(LOOKUP(M142,打分卡!$F$7:$J$7,打分卡!$K$7:$O$7),1)</f>
        <v>3</v>
      </c>
      <c r="AD142" s="41">
        <f>IFERROR(LOOKUP(S142,打分卡!$F$8:$J$8,打分卡!$K$8:$O$8),1)</f>
        <v>3</v>
      </c>
      <c r="AE142" s="41">
        <f>IFERROR(LOOKUP(T142,打分卡!$F$9:$I$9,打分卡!$K$9:$N$9),1)</f>
        <v>1</v>
      </c>
      <c r="AF142" s="41">
        <f>IFERROR(LOOKUP(Q142,打分卡!$F$10:$J$10,打分卡!$K$10:$O$10),1)</f>
        <v>3</v>
      </c>
      <c r="AG142" s="41">
        <f>IFERROR(LOOKUP(R142,打分卡!$F$11:$J$11,打分卡!$K$11:$O$11),1)</f>
        <v>3</v>
      </c>
      <c r="AH142" s="41">
        <f>IFERROR(LOOKUP(U142,打分卡!$F$12:$J$12,打分卡!$K$12:$O$12),1)</f>
        <v>3</v>
      </c>
      <c r="AI142" s="41">
        <f>IFERROR(LOOKUP(X142,打分卡!$F$13:$J$13,打分卡!$K$13:$O$13),1)</f>
        <v>2</v>
      </c>
      <c r="AJ142" s="41">
        <f>IFERROR(LOOKUP(Y142,打分卡!$F$14:$J$14,打分卡!$K$14:$O$14),1)</f>
        <v>1</v>
      </c>
      <c r="AK142" s="41">
        <f>IFERROR(LOOKUP(W142,打分卡!$F$15:$J$15,打分卡!$K$15:$O$15),1)</f>
        <v>2</v>
      </c>
      <c r="AL142" s="43">
        <f t="shared" si="17"/>
        <v>2</v>
      </c>
      <c r="AM142" s="41">
        <f>IFERROR(LOOKUP(Z142,打分卡!$F$17:$H$17,打分卡!$K$17:$M$17),1)</f>
        <v>1</v>
      </c>
      <c r="AN142" s="44">
        <f>(打分卡!$D$7*AC142+打分卡!$D$8*AD142+打分卡!$D$9*AE142)/5</f>
        <v>21.2</v>
      </c>
      <c r="AO142" s="44">
        <f>(打分卡!$D$10*AF142+打分卡!$D$11*AG142)/5</f>
        <v>12</v>
      </c>
      <c r="AP142" s="44">
        <f>(打分卡!$D$12*AH142+打分卡!$D$13*AI142+打分卡!$D$14*AJ142+打分卡!$D$15*AK142)/5</f>
        <v>13.2</v>
      </c>
      <c r="AQ142" s="44">
        <f>(打分卡!$D$16*AL142+打分卡!$D$17*AM142)/5</f>
        <v>3.2</v>
      </c>
      <c r="AR142" s="47">
        <f t="shared" si="18"/>
        <v>49.6</v>
      </c>
      <c r="AS142" s="43" t="str">
        <f t="shared" si="19"/>
        <v>腰部</v>
      </c>
      <c r="AT142" s="43" t="str">
        <f t="shared" si="20"/>
        <v/>
      </c>
      <c r="AU142" s="43" t="str">
        <f t="shared" si="21"/>
        <v>拉·主攻：主推AI外呼+大促作战包</v>
      </c>
    </row>
    <row r="143" ht="15" customHeight="1" spans="1:47">
      <c r="A143" s="20" t="s">
        <v>616</v>
      </c>
      <c r="B143" s="22" t="s">
        <v>617</v>
      </c>
      <c r="C143" s="22" t="s">
        <v>189</v>
      </c>
      <c r="D143" s="22" t="s">
        <v>202</v>
      </c>
      <c r="E143" s="22" t="s">
        <v>197</v>
      </c>
      <c r="F143" s="20" t="s">
        <v>383</v>
      </c>
      <c r="G143" s="22">
        <v>12</v>
      </c>
      <c r="H143" s="22" t="s">
        <v>301</v>
      </c>
      <c r="I143" s="22" t="s">
        <v>184</v>
      </c>
      <c r="J143" s="36">
        <v>88600</v>
      </c>
      <c r="K143" s="36">
        <v>50400</v>
      </c>
      <c r="L143" s="36">
        <v>49300</v>
      </c>
      <c r="M143" s="36">
        <f t="shared" si="16"/>
        <v>188300</v>
      </c>
      <c r="N143" s="34">
        <f t="shared" si="22"/>
        <v>0.000987189085243227</v>
      </c>
      <c r="O143" s="35">
        <f>SUM($M$2:M143)</f>
        <v>140812400</v>
      </c>
      <c r="P143" s="34">
        <f t="shared" si="23"/>
        <v>0.738228700727049</v>
      </c>
      <c r="Q143" s="39">
        <v>20</v>
      </c>
      <c r="R143" s="22">
        <v>6</v>
      </c>
      <c r="S143" s="22">
        <v>2</v>
      </c>
      <c r="T143" s="22">
        <v>0</v>
      </c>
      <c r="U143" s="39">
        <v>14.8</v>
      </c>
      <c r="V143" s="22">
        <v>11</v>
      </c>
      <c r="W143" s="22">
        <v>0</v>
      </c>
      <c r="X143" s="40">
        <v>48</v>
      </c>
      <c r="Y143" s="22">
        <v>3</v>
      </c>
      <c r="Z143" s="22">
        <v>0</v>
      </c>
      <c r="AA143" s="22" t="s">
        <v>315</v>
      </c>
      <c r="AB143" s="22" t="s">
        <v>220</v>
      </c>
      <c r="AC143" s="42">
        <f>IFERROR(LOOKUP(M143,打分卡!$F$7:$J$7,打分卡!$K$7:$O$7),1)</f>
        <v>3</v>
      </c>
      <c r="AD143" s="42">
        <f>IFERROR(LOOKUP(S143,打分卡!$F$8:$J$8,打分卡!$K$8:$O$8),1)</f>
        <v>2</v>
      </c>
      <c r="AE143" s="42">
        <f>IFERROR(LOOKUP(T143,打分卡!$F$9:$I$9,打分卡!$K$9:$N$9),1)</f>
        <v>1</v>
      </c>
      <c r="AF143" s="42">
        <f>IFERROR(LOOKUP(Q143,打分卡!$F$10:$J$10,打分卡!$K$10:$O$10),1)</f>
        <v>3</v>
      </c>
      <c r="AG143" s="42">
        <f>IFERROR(LOOKUP(R143,打分卡!$F$11:$J$11,打分卡!$K$11:$O$11),1)</f>
        <v>3</v>
      </c>
      <c r="AH143" s="42">
        <f>IFERROR(LOOKUP(U143,打分卡!$F$12:$J$12,打分卡!$K$12:$O$12),1)</f>
        <v>3</v>
      </c>
      <c r="AI143" s="42">
        <f>IFERROR(LOOKUP(X143,打分卡!$F$13:$J$13,打分卡!$K$13:$O$13),1)</f>
        <v>3</v>
      </c>
      <c r="AJ143" s="42">
        <f>IFERROR(LOOKUP(Y143,打分卡!$F$14:$J$14,打分卡!$K$14:$O$14),1)</f>
        <v>4</v>
      </c>
      <c r="AK143" s="42">
        <f>IFERROR(LOOKUP(W143,打分卡!$F$15:$J$15,打分卡!$K$15:$O$15),1)</f>
        <v>1</v>
      </c>
      <c r="AL143" s="45">
        <f t="shared" si="17"/>
        <v>2</v>
      </c>
      <c r="AM143" s="42">
        <f>IFERROR(LOOKUP(Z143,打分卡!$F$17:$H$17,打分卡!$K$17:$M$17),1)</f>
        <v>1</v>
      </c>
      <c r="AN143" s="46">
        <f>(打分卡!$D$7*AC143+打分卡!$D$8*AD143+打分卡!$D$9*AE143)/5</f>
        <v>19.6</v>
      </c>
      <c r="AO143" s="46">
        <f>(打分卡!$D$10*AF143+打分卡!$D$11*AG143)/5</f>
        <v>12</v>
      </c>
      <c r="AP143" s="46">
        <f>(打分卡!$D$12*AH143+打分卡!$D$13*AI143+打分卡!$D$14*AJ143+打分卡!$D$15*AK143)/5</f>
        <v>17.6</v>
      </c>
      <c r="AQ143" s="46">
        <f>(打分卡!$D$16*AL143+打分卡!$D$17*AM143)/5</f>
        <v>3.2</v>
      </c>
      <c r="AR143" s="48">
        <f t="shared" si="18"/>
        <v>52.4</v>
      </c>
      <c r="AS143" s="45" t="str">
        <f t="shared" si="19"/>
        <v>腰部</v>
      </c>
      <c r="AT143" s="45" t="str">
        <f t="shared" si="20"/>
        <v/>
      </c>
      <c r="AU143" s="45" t="str">
        <f t="shared" si="21"/>
        <v>拉·主攻：主推AI外呼+大促作战包</v>
      </c>
    </row>
    <row r="144" ht="15" customHeight="1" spans="1:47">
      <c r="A144" s="30" t="s">
        <v>618</v>
      </c>
      <c r="B144" s="31" t="s">
        <v>619</v>
      </c>
      <c r="C144" s="31" t="s">
        <v>189</v>
      </c>
      <c r="D144" s="31" t="s">
        <v>202</v>
      </c>
      <c r="E144" s="31" t="s">
        <v>181</v>
      </c>
      <c r="F144" s="30" t="s">
        <v>620</v>
      </c>
      <c r="G144" s="31">
        <v>4</v>
      </c>
      <c r="H144" s="31" t="s">
        <v>301</v>
      </c>
      <c r="I144" s="31" t="s">
        <v>302</v>
      </c>
      <c r="J144" s="33">
        <v>96300</v>
      </c>
      <c r="K144" s="33">
        <v>65100</v>
      </c>
      <c r="L144" s="33">
        <v>26800</v>
      </c>
      <c r="M144" s="33">
        <f t="shared" si="16"/>
        <v>188200</v>
      </c>
      <c r="N144" s="34">
        <f t="shared" si="22"/>
        <v>0.000986664821257437</v>
      </c>
      <c r="O144" s="35">
        <f>SUM($M$2:M144)</f>
        <v>141000600</v>
      </c>
      <c r="P144" s="34">
        <f t="shared" si="23"/>
        <v>0.739215365548307</v>
      </c>
      <c r="Q144" s="37">
        <v>21.8</v>
      </c>
      <c r="R144" s="31">
        <v>10</v>
      </c>
      <c r="S144" s="31">
        <v>1</v>
      </c>
      <c r="T144" s="31">
        <v>2</v>
      </c>
      <c r="U144" s="37">
        <v>8.2</v>
      </c>
      <c r="V144" s="31">
        <v>23</v>
      </c>
      <c r="W144" s="31">
        <v>2</v>
      </c>
      <c r="X144" s="38">
        <v>46</v>
      </c>
      <c r="Y144" s="31">
        <v>0</v>
      </c>
      <c r="Z144" s="31">
        <v>0</v>
      </c>
      <c r="AA144" s="31" t="s">
        <v>199</v>
      </c>
      <c r="AB144" s="31" t="s">
        <v>220</v>
      </c>
      <c r="AC144" s="41">
        <f>IFERROR(LOOKUP(M144,打分卡!$F$7:$J$7,打分卡!$K$7:$O$7),1)</f>
        <v>3</v>
      </c>
      <c r="AD144" s="41">
        <f>IFERROR(LOOKUP(S144,打分卡!$F$8:$J$8,打分卡!$K$8:$O$8),1)</f>
        <v>1</v>
      </c>
      <c r="AE144" s="41">
        <f>IFERROR(LOOKUP(T144,打分卡!$F$9:$I$9,打分卡!$K$9:$N$9),1)</f>
        <v>3</v>
      </c>
      <c r="AF144" s="41">
        <f>IFERROR(LOOKUP(Q144,打分卡!$F$10:$J$10,打分卡!$K$10:$O$10),1)</f>
        <v>3</v>
      </c>
      <c r="AG144" s="41">
        <f>IFERROR(LOOKUP(R144,打分卡!$F$11:$J$11,打分卡!$K$11:$O$11),1)</f>
        <v>4</v>
      </c>
      <c r="AH144" s="41">
        <f>IFERROR(LOOKUP(U144,打分卡!$F$12:$J$12,打分卡!$K$12:$O$12),1)</f>
        <v>2</v>
      </c>
      <c r="AI144" s="41">
        <f>IFERROR(LOOKUP(X144,打分卡!$F$13:$J$13,打分卡!$K$13:$O$13),1)</f>
        <v>3</v>
      </c>
      <c r="AJ144" s="41">
        <f>IFERROR(LOOKUP(Y144,打分卡!$F$14:$J$14,打分卡!$K$14:$O$14),1)</f>
        <v>1</v>
      </c>
      <c r="AK144" s="41">
        <f>IFERROR(LOOKUP(W144,打分卡!$F$15:$J$15,打分卡!$K$15:$O$15),1)</f>
        <v>2</v>
      </c>
      <c r="AL144" s="43">
        <f t="shared" si="17"/>
        <v>5</v>
      </c>
      <c r="AM144" s="41">
        <f>IFERROR(LOOKUP(Z144,打分卡!$F$17:$H$17,打分卡!$K$17:$M$17),1)</f>
        <v>1</v>
      </c>
      <c r="AN144" s="44">
        <f>(打分卡!$D$7*AC144+打分卡!$D$8*AD144+打分卡!$D$9*AE144)/5</f>
        <v>20.8</v>
      </c>
      <c r="AO144" s="44">
        <f>(打分卡!$D$10*AF144+打分卡!$D$11*AG144)/5</f>
        <v>14</v>
      </c>
      <c r="AP144" s="44">
        <f>(打分卡!$D$12*AH144+打分卡!$D$13*AI144+打分卡!$D$14*AJ144+打分卡!$D$15*AK144)/5</f>
        <v>12.4</v>
      </c>
      <c r="AQ144" s="44">
        <f>(打分卡!$D$16*AL144+打分卡!$D$17*AM144)/5</f>
        <v>6.8</v>
      </c>
      <c r="AR144" s="47">
        <f t="shared" si="18"/>
        <v>54</v>
      </c>
      <c r="AS144" s="43" t="str">
        <f t="shared" si="19"/>
        <v>腰部</v>
      </c>
      <c r="AT144" s="43" t="str">
        <f t="shared" si="20"/>
        <v/>
      </c>
      <c r="AU144" s="43" t="str">
        <f t="shared" si="21"/>
        <v>拉·主攻：主推AI外呼+大促作战包</v>
      </c>
    </row>
    <row r="145" ht="15" customHeight="1" spans="1:47">
      <c r="A145" s="20" t="s">
        <v>621</v>
      </c>
      <c r="B145" s="22" t="s">
        <v>622</v>
      </c>
      <c r="C145" s="22" t="s">
        <v>239</v>
      </c>
      <c r="D145" s="22" t="s">
        <v>202</v>
      </c>
      <c r="E145" s="22" t="s">
        <v>181</v>
      </c>
      <c r="F145" s="20" t="s">
        <v>623</v>
      </c>
      <c r="G145" s="22">
        <v>10</v>
      </c>
      <c r="H145" s="22" t="s">
        <v>301</v>
      </c>
      <c r="I145" s="22" t="s">
        <v>302</v>
      </c>
      <c r="J145" s="36">
        <v>98200</v>
      </c>
      <c r="K145" s="36">
        <v>50700</v>
      </c>
      <c r="L145" s="36">
        <v>39200</v>
      </c>
      <c r="M145" s="36">
        <f t="shared" si="16"/>
        <v>188100</v>
      </c>
      <c r="N145" s="34">
        <f t="shared" si="22"/>
        <v>0.000986140557271646</v>
      </c>
      <c r="O145" s="35">
        <f>SUM($M$2:M145)</f>
        <v>141188700</v>
      </c>
      <c r="P145" s="34">
        <f t="shared" si="23"/>
        <v>0.740201506105578</v>
      </c>
      <c r="Q145" s="39">
        <v>17.5</v>
      </c>
      <c r="R145" s="22">
        <v>1</v>
      </c>
      <c r="S145" s="22">
        <v>3</v>
      </c>
      <c r="T145" s="22">
        <v>2</v>
      </c>
      <c r="U145" s="39">
        <v>29.8</v>
      </c>
      <c r="V145" s="22">
        <v>17</v>
      </c>
      <c r="W145" s="22">
        <v>4</v>
      </c>
      <c r="X145" s="40">
        <v>17</v>
      </c>
      <c r="Y145" s="22">
        <v>1</v>
      </c>
      <c r="Z145" s="22">
        <v>1</v>
      </c>
      <c r="AA145" s="22" t="s">
        <v>185</v>
      </c>
      <c r="AB145" s="22" t="s">
        <v>220</v>
      </c>
      <c r="AC145" s="42">
        <f>IFERROR(LOOKUP(M145,打分卡!$F$7:$J$7,打分卡!$K$7:$O$7),1)</f>
        <v>3</v>
      </c>
      <c r="AD145" s="42">
        <f>IFERROR(LOOKUP(S145,打分卡!$F$8:$J$8,打分卡!$K$8:$O$8),1)</f>
        <v>3</v>
      </c>
      <c r="AE145" s="42">
        <f>IFERROR(LOOKUP(T145,打分卡!$F$9:$I$9,打分卡!$K$9:$N$9),1)</f>
        <v>3</v>
      </c>
      <c r="AF145" s="42">
        <f>IFERROR(LOOKUP(Q145,打分卡!$F$10:$J$10,打分卡!$K$10:$O$10),1)</f>
        <v>3</v>
      </c>
      <c r="AG145" s="42">
        <f>IFERROR(LOOKUP(R145,打分卡!$F$11:$J$11,打分卡!$K$11:$O$11),1)</f>
        <v>1</v>
      </c>
      <c r="AH145" s="42">
        <f>IFERROR(LOOKUP(U145,打分卡!$F$12:$J$12,打分卡!$K$12:$O$12),1)</f>
        <v>3</v>
      </c>
      <c r="AI145" s="42">
        <f>IFERROR(LOOKUP(X145,打分卡!$F$13:$J$13,打分卡!$K$13:$O$13),1)</f>
        <v>1</v>
      </c>
      <c r="AJ145" s="42">
        <f>IFERROR(LOOKUP(Y145,打分卡!$F$14:$J$14,打分卡!$K$14:$O$14),1)</f>
        <v>2</v>
      </c>
      <c r="AK145" s="42">
        <f>IFERROR(LOOKUP(W145,打分卡!$F$15:$J$15,打分卡!$K$15:$O$15),1)</f>
        <v>3</v>
      </c>
      <c r="AL145" s="45">
        <f t="shared" si="17"/>
        <v>3</v>
      </c>
      <c r="AM145" s="42">
        <f>IFERROR(LOOKUP(Z145,打分卡!$F$17:$H$17,打分卡!$K$17:$M$17),1)</f>
        <v>3</v>
      </c>
      <c r="AN145" s="46">
        <f>(打分卡!$D$7*AC145+打分卡!$D$8*AD145+打分卡!$D$9*AE145)/5</f>
        <v>24</v>
      </c>
      <c r="AO145" s="46">
        <f>(打分卡!$D$10*AF145+打分卡!$D$11*AG145)/5</f>
        <v>8</v>
      </c>
      <c r="AP145" s="46">
        <f>(打分卡!$D$12*AH145+打分卡!$D$13*AI145+打分卡!$D$14*AJ145+打分卡!$D$15*AK145)/5</f>
        <v>13.6</v>
      </c>
      <c r="AQ145" s="46">
        <f>(打分卡!$D$16*AL145+打分卡!$D$17*AM145)/5</f>
        <v>6</v>
      </c>
      <c r="AR145" s="48">
        <f t="shared" si="18"/>
        <v>51.6</v>
      </c>
      <c r="AS145" s="45" t="str">
        <f t="shared" si="19"/>
        <v>腰部</v>
      </c>
      <c r="AT145" s="45" t="str">
        <f t="shared" si="20"/>
        <v/>
      </c>
      <c r="AU145" s="45" t="str">
        <f t="shared" si="21"/>
        <v>拉·主攻：主推AI外呼+大促作战包</v>
      </c>
    </row>
    <row r="146" ht="15" customHeight="1" spans="1:47">
      <c r="A146" s="30" t="s">
        <v>624</v>
      </c>
      <c r="B146" s="31" t="s">
        <v>625</v>
      </c>
      <c r="C146" s="31" t="s">
        <v>195</v>
      </c>
      <c r="D146" s="31" t="s">
        <v>196</v>
      </c>
      <c r="E146" s="31" t="s">
        <v>181</v>
      </c>
      <c r="F146" s="30" t="s">
        <v>626</v>
      </c>
      <c r="G146" s="31">
        <v>16</v>
      </c>
      <c r="H146" s="31" t="s">
        <v>183</v>
      </c>
      <c r="I146" s="31" t="s">
        <v>302</v>
      </c>
      <c r="J146" s="33">
        <v>107800</v>
      </c>
      <c r="K146" s="33">
        <v>51800</v>
      </c>
      <c r="L146" s="33">
        <v>26200</v>
      </c>
      <c r="M146" s="33">
        <f t="shared" si="16"/>
        <v>185800</v>
      </c>
      <c r="N146" s="34">
        <f t="shared" si="22"/>
        <v>0.000974082485598468</v>
      </c>
      <c r="O146" s="35">
        <f>SUM($M$2:M146)</f>
        <v>141374500</v>
      </c>
      <c r="P146" s="34">
        <f t="shared" si="23"/>
        <v>0.741175588591177</v>
      </c>
      <c r="Q146" s="37">
        <v>19.1</v>
      </c>
      <c r="R146" s="31">
        <v>8</v>
      </c>
      <c r="S146" s="31">
        <v>1</v>
      </c>
      <c r="T146" s="31">
        <v>0</v>
      </c>
      <c r="U146" s="37">
        <v>6.1</v>
      </c>
      <c r="V146" s="31">
        <v>15</v>
      </c>
      <c r="W146" s="31">
        <v>4</v>
      </c>
      <c r="X146" s="38">
        <v>115</v>
      </c>
      <c r="Y146" s="31">
        <v>3</v>
      </c>
      <c r="Z146" s="31">
        <v>1</v>
      </c>
      <c r="AA146" s="31" t="s">
        <v>199</v>
      </c>
      <c r="AB146" s="31" t="s">
        <v>220</v>
      </c>
      <c r="AC146" s="41">
        <f>IFERROR(LOOKUP(M146,打分卡!$F$7:$J$7,打分卡!$K$7:$O$7),1)</f>
        <v>3</v>
      </c>
      <c r="AD146" s="41">
        <f>IFERROR(LOOKUP(S146,打分卡!$F$8:$J$8,打分卡!$K$8:$O$8),1)</f>
        <v>1</v>
      </c>
      <c r="AE146" s="41">
        <f>IFERROR(LOOKUP(T146,打分卡!$F$9:$I$9,打分卡!$K$9:$N$9),1)</f>
        <v>1</v>
      </c>
      <c r="AF146" s="41">
        <f>IFERROR(LOOKUP(Q146,打分卡!$F$10:$J$10,打分卡!$K$10:$O$10),1)</f>
        <v>3</v>
      </c>
      <c r="AG146" s="41">
        <f>IFERROR(LOOKUP(R146,打分卡!$F$11:$J$11,打分卡!$K$11:$O$11),1)</f>
        <v>3</v>
      </c>
      <c r="AH146" s="41">
        <f>IFERROR(LOOKUP(U146,打分卡!$F$12:$J$12,打分卡!$K$12:$O$12),1)</f>
        <v>2</v>
      </c>
      <c r="AI146" s="41">
        <f>IFERROR(LOOKUP(X146,打分卡!$F$13:$J$13,打分卡!$K$13:$O$13),1)</f>
        <v>4</v>
      </c>
      <c r="AJ146" s="41">
        <f>IFERROR(LOOKUP(Y146,打分卡!$F$14:$J$14,打分卡!$K$14:$O$14),1)</f>
        <v>4</v>
      </c>
      <c r="AK146" s="41">
        <f>IFERROR(LOOKUP(W146,打分卡!$F$15:$J$15,打分卡!$K$15:$O$15),1)</f>
        <v>3</v>
      </c>
      <c r="AL146" s="43">
        <f t="shared" si="17"/>
        <v>5</v>
      </c>
      <c r="AM146" s="41">
        <f>IFERROR(LOOKUP(Z146,打分卡!$F$17:$H$17,打分卡!$K$17:$M$17),1)</f>
        <v>3</v>
      </c>
      <c r="AN146" s="44">
        <f>(打分卡!$D$7*AC146+打分卡!$D$8*AD146+打分卡!$D$9*AE146)/5</f>
        <v>18</v>
      </c>
      <c r="AO146" s="44">
        <f>(打分卡!$D$10*AF146+打分卡!$D$11*AG146)/5</f>
        <v>12</v>
      </c>
      <c r="AP146" s="44">
        <f>(打分卡!$D$12*AH146+打分卡!$D$13*AI146+打分卡!$D$14*AJ146+打分卡!$D$15*AK146)/5</f>
        <v>18.4</v>
      </c>
      <c r="AQ146" s="44">
        <f>(打分卡!$D$16*AL146+打分卡!$D$17*AM146)/5</f>
        <v>8.4</v>
      </c>
      <c r="AR146" s="47">
        <f t="shared" si="18"/>
        <v>56.8</v>
      </c>
      <c r="AS146" s="43" t="str">
        <f t="shared" si="19"/>
        <v>腰部</v>
      </c>
      <c r="AT146" s="43" t="str">
        <f t="shared" si="20"/>
        <v/>
      </c>
      <c r="AU146" s="43" t="str">
        <f t="shared" si="21"/>
        <v>拉·主攻：主推AI外呼+大促作战包</v>
      </c>
    </row>
    <row r="147" ht="15" customHeight="1" spans="1:47">
      <c r="A147" s="20" t="s">
        <v>627</v>
      </c>
      <c r="B147" s="22" t="s">
        <v>628</v>
      </c>
      <c r="C147" s="22" t="s">
        <v>195</v>
      </c>
      <c r="D147" s="22" t="s">
        <v>196</v>
      </c>
      <c r="E147" s="22" t="s">
        <v>181</v>
      </c>
      <c r="F147" s="20" t="s">
        <v>629</v>
      </c>
      <c r="G147" s="22">
        <v>22</v>
      </c>
      <c r="H147" s="22" t="s">
        <v>301</v>
      </c>
      <c r="I147" s="22" t="s">
        <v>302</v>
      </c>
      <c r="J147" s="36">
        <v>92100</v>
      </c>
      <c r="K147" s="36">
        <v>60200</v>
      </c>
      <c r="L147" s="36">
        <v>33400</v>
      </c>
      <c r="M147" s="36">
        <f t="shared" si="16"/>
        <v>185700</v>
      </c>
      <c r="N147" s="34">
        <f t="shared" si="22"/>
        <v>0.000973558221612678</v>
      </c>
      <c r="O147" s="35">
        <f>SUM($M$2:M147)</f>
        <v>141560200</v>
      </c>
      <c r="P147" s="34">
        <f t="shared" si="23"/>
        <v>0.74214914681279</v>
      </c>
      <c r="Q147" s="39">
        <v>20</v>
      </c>
      <c r="R147" s="22">
        <v>5</v>
      </c>
      <c r="S147" s="22">
        <v>2</v>
      </c>
      <c r="T147" s="22">
        <v>1</v>
      </c>
      <c r="U147" s="39">
        <v>4.5</v>
      </c>
      <c r="V147" s="22">
        <v>14</v>
      </c>
      <c r="W147" s="22">
        <v>4</v>
      </c>
      <c r="X147" s="40">
        <v>123</v>
      </c>
      <c r="Y147" s="22">
        <v>0</v>
      </c>
      <c r="Z147" s="22">
        <v>0</v>
      </c>
      <c r="AA147" s="22" t="s">
        <v>185</v>
      </c>
      <c r="AB147" s="22" t="s">
        <v>220</v>
      </c>
      <c r="AC147" s="42">
        <f>IFERROR(LOOKUP(M147,打分卡!$F$7:$J$7,打分卡!$K$7:$O$7),1)</f>
        <v>3</v>
      </c>
      <c r="AD147" s="42">
        <f>IFERROR(LOOKUP(S147,打分卡!$F$8:$J$8,打分卡!$K$8:$O$8),1)</f>
        <v>2</v>
      </c>
      <c r="AE147" s="42">
        <f>IFERROR(LOOKUP(T147,打分卡!$F$9:$I$9,打分卡!$K$9:$N$9),1)</f>
        <v>2</v>
      </c>
      <c r="AF147" s="42">
        <f>IFERROR(LOOKUP(Q147,打分卡!$F$10:$J$10,打分卡!$K$10:$O$10),1)</f>
        <v>3</v>
      </c>
      <c r="AG147" s="42">
        <f>IFERROR(LOOKUP(R147,打分卡!$F$11:$J$11,打分卡!$K$11:$O$11),1)</f>
        <v>3</v>
      </c>
      <c r="AH147" s="42">
        <f>IFERROR(LOOKUP(U147,打分卡!$F$12:$J$12,打分卡!$K$12:$O$12),1)</f>
        <v>2</v>
      </c>
      <c r="AI147" s="42">
        <f>IFERROR(LOOKUP(X147,打分卡!$F$13:$J$13,打分卡!$K$13:$O$13),1)</f>
        <v>4</v>
      </c>
      <c r="AJ147" s="42">
        <f>IFERROR(LOOKUP(Y147,打分卡!$F$14:$J$14,打分卡!$K$14:$O$14),1)</f>
        <v>1</v>
      </c>
      <c r="AK147" s="42">
        <f>IFERROR(LOOKUP(W147,打分卡!$F$15:$J$15,打分卡!$K$15:$O$15),1)</f>
        <v>3</v>
      </c>
      <c r="AL147" s="45">
        <f t="shared" si="17"/>
        <v>3</v>
      </c>
      <c r="AM147" s="42">
        <f>IFERROR(LOOKUP(Z147,打分卡!$F$17:$H$17,打分卡!$K$17:$M$17),1)</f>
        <v>1</v>
      </c>
      <c r="AN147" s="46">
        <f>(打分卡!$D$7*AC147+打分卡!$D$8*AD147+打分卡!$D$9*AE147)/5</f>
        <v>21</v>
      </c>
      <c r="AO147" s="46">
        <f>(打分卡!$D$10*AF147+打分卡!$D$11*AG147)/5</f>
        <v>12</v>
      </c>
      <c r="AP147" s="46">
        <f>(打分卡!$D$12*AH147+打分卡!$D$13*AI147+打分卡!$D$14*AJ147+打分卡!$D$15*AK147)/5</f>
        <v>14.8</v>
      </c>
      <c r="AQ147" s="46">
        <f>(打分卡!$D$16*AL147+打分卡!$D$17*AM147)/5</f>
        <v>4.4</v>
      </c>
      <c r="AR147" s="48">
        <f t="shared" si="18"/>
        <v>52.2</v>
      </c>
      <c r="AS147" s="45" t="str">
        <f t="shared" si="19"/>
        <v>腰部</v>
      </c>
      <c r="AT147" s="45" t="str">
        <f t="shared" si="20"/>
        <v/>
      </c>
      <c r="AU147" s="45" t="str">
        <f t="shared" si="21"/>
        <v>拉·主攻：主推AI外呼+大促作战包</v>
      </c>
    </row>
    <row r="148" ht="15" customHeight="1" spans="1:47">
      <c r="A148" s="30" t="s">
        <v>630</v>
      </c>
      <c r="B148" s="31" t="s">
        <v>631</v>
      </c>
      <c r="C148" s="31" t="s">
        <v>234</v>
      </c>
      <c r="D148" s="31" t="s">
        <v>252</v>
      </c>
      <c r="E148" s="31" t="s">
        <v>181</v>
      </c>
      <c r="F148" s="30" t="s">
        <v>632</v>
      </c>
      <c r="G148" s="31">
        <v>21</v>
      </c>
      <c r="H148" s="31" t="s">
        <v>301</v>
      </c>
      <c r="I148" s="31" t="s">
        <v>184</v>
      </c>
      <c r="J148" s="33">
        <v>112700</v>
      </c>
      <c r="K148" s="33">
        <v>63200</v>
      </c>
      <c r="L148" s="33">
        <v>9300</v>
      </c>
      <c r="M148" s="33">
        <f t="shared" si="16"/>
        <v>185200</v>
      </c>
      <c r="N148" s="34">
        <f t="shared" si="22"/>
        <v>0.000970936901683726</v>
      </c>
      <c r="O148" s="35">
        <f>SUM($M$2:M148)</f>
        <v>141745400</v>
      </c>
      <c r="P148" s="34">
        <f t="shared" si="23"/>
        <v>0.743120083714473</v>
      </c>
      <c r="Q148" s="37">
        <v>24.5</v>
      </c>
      <c r="R148" s="31">
        <v>8</v>
      </c>
      <c r="S148" s="31">
        <v>2</v>
      </c>
      <c r="T148" s="31">
        <v>1</v>
      </c>
      <c r="U148" s="37">
        <v>5.2</v>
      </c>
      <c r="V148" s="31">
        <v>15</v>
      </c>
      <c r="W148" s="31">
        <v>2</v>
      </c>
      <c r="X148" s="38">
        <v>11</v>
      </c>
      <c r="Y148" s="31">
        <v>2</v>
      </c>
      <c r="Z148" s="31">
        <v>1</v>
      </c>
      <c r="AA148" s="31" t="s">
        <v>199</v>
      </c>
      <c r="AB148" s="31" t="s">
        <v>220</v>
      </c>
      <c r="AC148" s="41">
        <f>IFERROR(LOOKUP(M148,打分卡!$F$7:$J$7,打分卡!$K$7:$O$7),1)</f>
        <v>3</v>
      </c>
      <c r="AD148" s="41">
        <f>IFERROR(LOOKUP(S148,打分卡!$F$8:$J$8,打分卡!$K$8:$O$8),1)</f>
        <v>2</v>
      </c>
      <c r="AE148" s="41">
        <f>IFERROR(LOOKUP(T148,打分卡!$F$9:$I$9,打分卡!$K$9:$N$9),1)</f>
        <v>2</v>
      </c>
      <c r="AF148" s="41">
        <f>IFERROR(LOOKUP(Q148,打分卡!$F$10:$J$10,打分卡!$K$10:$O$10),1)</f>
        <v>4</v>
      </c>
      <c r="AG148" s="41">
        <f>IFERROR(LOOKUP(R148,打分卡!$F$11:$J$11,打分卡!$K$11:$O$11),1)</f>
        <v>3</v>
      </c>
      <c r="AH148" s="41">
        <f>IFERROR(LOOKUP(U148,打分卡!$F$12:$J$12,打分卡!$K$12:$O$12),1)</f>
        <v>2</v>
      </c>
      <c r="AI148" s="41">
        <f>IFERROR(LOOKUP(X148,打分卡!$F$13:$J$13,打分卡!$K$13:$O$13),1)</f>
        <v>1</v>
      </c>
      <c r="AJ148" s="41">
        <f>IFERROR(LOOKUP(Y148,打分卡!$F$14:$J$14,打分卡!$K$14:$O$14),1)</f>
        <v>3</v>
      </c>
      <c r="AK148" s="41">
        <f>IFERROR(LOOKUP(W148,打分卡!$F$15:$J$15,打分卡!$K$15:$O$15),1)</f>
        <v>2</v>
      </c>
      <c r="AL148" s="43">
        <f t="shared" si="17"/>
        <v>5</v>
      </c>
      <c r="AM148" s="41">
        <f>IFERROR(LOOKUP(Z148,打分卡!$F$17:$H$17,打分卡!$K$17:$M$17),1)</f>
        <v>3</v>
      </c>
      <c r="AN148" s="44">
        <f>(打分卡!$D$7*AC148+打分卡!$D$8*AD148+打分卡!$D$9*AE148)/5</f>
        <v>21</v>
      </c>
      <c r="AO148" s="44">
        <f>(打分卡!$D$10*AF148+打分卡!$D$11*AG148)/5</f>
        <v>14</v>
      </c>
      <c r="AP148" s="44">
        <f>(打分卡!$D$12*AH148+打分卡!$D$13*AI148+打分卡!$D$14*AJ148+打分卡!$D$15*AK148)/5</f>
        <v>11.6</v>
      </c>
      <c r="AQ148" s="44">
        <f>(打分卡!$D$16*AL148+打分卡!$D$17*AM148)/5</f>
        <v>8.4</v>
      </c>
      <c r="AR148" s="47">
        <f t="shared" si="18"/>
        <v>55</v>
      </c>
      <c r="AS148" s="43" t="str">
        <f t="shared" si="19"/>
        <v>腰部</v>
      </c>
      <c r="AT148" s="43" t="str">
        <f t="shared" si="20"/>
        <v/>
      </c>
      <c r="AU148" s="43" t="str">
        <f t="shared" si="21"/>
        <v>拉·主攻：主推AI外呼+大促作战包</v>
      </c>
    </row>
    <row r="149" ht="15" customHeight="1" spans="1:47">
      <c r="A149" s="20" t="s">
        <v>633</v>
      </c>
      <c r="B149" s="22" t="s">
        <v>634</v>
      </c>
      <c r="C149" s="22" t="s">
        <v>189</v>
      </c>
      <c r="D149" s="22" t="s">
        <v>202</v>
      </c>
      <c r="E149" s="22" t="s">
        <v>181</v>
      </c>
      <c r="F149" s="20" t="s">
        <v>635</v>
      </c>
      <c r="G149" s="22">
        <v>5</v>
      </c>
      <c r="H149" s="22" t="s">
        <v>301</v>
      </c>
      <c r="I149" s="22" t="s">
        <v>184</v>
      </c>
      <c r="J149" s="36">
        <v>119200</v>
      </c>
      <c r="K149" s="36">
        <v>56700</v>
      </c>
      <c r="L149" s="36">
        <v>9300</v>
      </c>
      <c r="M149" s="36">
        <f t="shared" si="16"/>
        <v>185200</v>
      </c>
      <c r="N149" s="34">
        <f t="shared" si="22"/>
        <v>0.000970936901683726</v>
      </c>
      <c r="O149" s="35">
        <f>SUM($M$2:M149)</f>
        <v>141930600</v>
      </c>
      <c r="P149" s="34">
        <f t="shared" si="23"/>
        <v>0.744091020616157</v>
      </c>
      <c r="Q149" s="39">
        <v>19.9</v>
      </c>
      <c r="R149" s="22">
        <v>9</v>
      </c>
      <c r="S149" s="22">
        <v>2</v>
      </c>
      <c r="T149" s="22">
        <v>0</v>
      </c>
      <c r="U149" s="39">
        <v>6.6</v>
      </c>
      <c r="V149" s="22">
        <v>16</v>
      </c>
      <c r="W149" s="22">
        <v>0</v>
      </c>
      <c r="X149" s="40">
        <v>85</v>
      </c>
      <c r="Y149" s="22">
        <v>0</v>
      </c>
      <c r="Z149" s="22">
        <v>0</v>
      </c>
      <c r="AA149" s="22" t="s">
        <v>185</v>
      </c>
      <c r="AB149" s="22" t="s">
        <v>220</v>
      </c>
      <c r="AC149" s="42">
        <f>IFERROR(LOOKUP(M149,打分卡!$F$7:$J$7,打分卡!$K$7:$O$7),1)</f>
        <v>3</v>
      </c>
      <c r="AD149" s="42">
        <f>IFERROR(LOOKUP(S149,打分卡!$F$8:$J$8,打分卡!$K$8:$O$8),1)</f>
        <v>2</v>
      </c>
      <c r="AE149" s="42">
        <f>IFERROR(LOOKUP(T149,打分卡!$F$9:$I$9,打分卡!$K$9:$N$9),1)</f>
        <v>1</v>
      </c>
      <c r="AF149" s="42">
        <f>IFERROR(LOOKUP(Q149,打分卡!$F$10:$J$10,打分卡!$K$10:$O$10),1)</f>
        <v>3</v>
      </c>
      <c r="AG149" s="42">
        <f>IFERROR(LOOKUP(R149,打分卡!$F$11:$J$11,打分卡!$K$11:$O$11),1)</f>
        <v>4</v>
      </c>
      <c r="AH149" s="42">
        <f>IFERROR(LOOKUP(U149,打分卡!$F$12:$J$12,打分卡!$K$12:$O$12),1)</f>
        <v>2</v>
      </c>
      <c r="AI149" s="42">
        <f>IFERROR(LOOKUP(X149,打分卡!$F$13:$J$13,打分卡!$K$13:$O$13),1)</f>
        <v>4</v>
      </c>
      <c r="AJ149" s="42">
        <f>IFERROR(LOOKUP(Y149,打分卡!$F$14:$J$14,打分卡!$K$14:$O$14),1)</f>
        <v>1</v>
      </c>
      <c r="AK149" s="42">
        <f>IFERROR(LOOKUP(W149,打分卡!$F$15:$J$15,打分卡!$K$15:$O$15),1)</f>
        <v>1</v>
      </c>
      <c r="AL149" s="45">
        <f t="shared" si="17"/>
        <v>3</v>
      </c>
      <c r="AM149" s="42">
        <f>IFERROR(LOOKUP(Z149,打分卡!$F$17:$H$17,打分卡!$K$17:$M$17),1)</f>
        <v>1</v>
      </c>
      <c r="AN149" s="46">
        <f>(打分卡!$D$7*AC149+打分卡!$D$8*AD149+打分卡!$D$9*AE149)/5</f>
        <v>19.6</v>
      </c>
      <c r="AO149" s="46">
        <f>(打分卡!$D$10*AF149+打分卡!$D$11*AG149)/5</f>
        <v>14</v>
      </c>
      <c r="AP149" s="46">
        <f>(打分卡!$D$12*AH149+打分卡!$D$13*AI149+打分卡!$D$14*AJ149+打分卡!$D$15*AK149)/5</f>
        <v>13.2</v>
      </c>
      <c r="AQ149" s="46">
        <f>(打分卡!$D$16*AL149+打分卡!$D$17*AM149)/5</f>
        <v>4.4</v>
      </c>
      <c r="AR149" s="48">
        <f t="shared" si="18"/>
        <v>51.2</v>
      </c>
      <c r="AS149" s="45" t="str">
        <f t="shared" si="19"/>
        <v>腰部</v>
      </c>
      <c r="AT149" s="45" t="str">
        <f t="shared" si="20"/>
        <v/>
      </c>
      <c r="AU149" s="45" t="str">
        <f t="shared" si="21"/>
        <v>拉·主攻：主推AI外呼+大促作战包</v>
      </c>
    </row>
    <row r="150" ht="15" customHeight="1" spans="1:47">
      <c r="A150" s="30" t="s">
        <v>636</v>
      </c>
      <c r="B150" s="31" t="s">
        <v>637</v>
      </c>
      <c r="C150" s="31" t="s">
        <v>239</v>
      </c>
      <c r="D150" s="31" t="s">
        <v>235</v>
      </c>
      <c r="E150" s="31" t="s">
        <v>181</v>
      </c>
      <c r="F150" s="30" t="s">
        <v>638</v>
      </c>
      <c r="G150" s="31">
        <v>4</v>
      </c>
      <c r="H150" s="31" t="s">
        <v>301</v>
      </c>
      <c r="I150" s="31" t="s">
        <v>302</v>
      </c>
      <c r="J150" s="33">
        <v>91900</v>
      </c>
      <c r="K150" s="33">
        <v>69400</v>
      </c>
      <c r="L150" s="33">
        <v>20900</v>
      </c>
      <c r="M150" s="33">
        <f t="shared" si="16"/>
        <v>182200</v>
      </c>
      <c r="N150" s="34">
        <f t="shared" si="22"/>
        <v>0.000955208982110016</v>
      </c>
      <c r="O150" s="35">
        <f>SUM($M$2:M150)</f>
        <v>142112800</v>
      </c>
      <c r="P150" s="34">
        <f t="shared" si="23"/>
        <v>0.745046229598267</v>
      </c>
      <c r="Q150" s="37">
        <v>15.1</v>
      </c>
      <c r="R150" s="31">
        <v>3</v>
      </c>
      <c r="S150" s="31">
        <v>3</v>
      </c>
      <c r="T150" s="31">
        <v>2</v>
      </c>
      <c r="U150" s="37">
        <v>76.1</v>
      </c>
      <c r="V150" s="31">
        <v>3</v>
      </c>
      <c r="W150" s="31">
        <v>2</v>
      </c>
      <c r="X150" s="38">
        <v>63</v>
      </c>
      <c r="Y150" s="31">
        <v>3</v>
      </c>
      <c r="Z150" s="31">
        <v>1</v>
      </c>
      <c r="AA150" s="31" t="s">
        <v>199</v>
      </c>
      <c r="AB150" s="31" t="s">
        <v>220</v>
      </c>
      <c r="AC150" s="41">
        <f>IFERROR(LOOKUP(M150,打分卡!$F$7:$J$7,打分卡!$K$7:$O$7),1)</f>
        <v>3</v>
      </c>
      <c r="AD150" s="41">
        <f>IFERROR(LOOKUP(S150,打分卡!$F$8:$J$8,打分卡!$K$8:$O$8),1)</f>
        <v>3</v>
      </c>
      <c r="AE150" s="41">
        <f>IFERROR(LOOKUP(T150,打分卡!$F$9:$I$9,打分卡!$K$9:$N$9),1)</f>
        <v>3</v>
      </c>
      <c r="AF150" s="41">
        <f>IFERROR(LOOKUP(Q150,打分卡!$F$10:$J$10,打分卡!$K$10:$O$10),1)</f>
        <v>3</v>
      </c>
      <c r="AG150" s="41">
        <f>IFERROR(LOOKUP(R150,打分卡!$F$11:$J$11,打分卡!$K$11:$O$11),1)</f>
        <v>2</v>
      </c>
      <c r="AH150" s="41">
        <f>IFERROR(LOOKUP(U150,打分卡!$F$12:$J$12,打分卡!$K$12:$O$12),1)</f>
        <v>5</v>
      </c>
      <c r="AI150" s="41">
        <f>IFERROR(LOOKUP(X150,打分卡!$F$13:$J$13,打分卡!$K$13:$O$13),1)</f>
        <v>3</v>
      </c>
      <c r="AJ150" s="41">
        <f>IFERROR(LOOKUP(Y150,打分卡!$F$14:$J$14,打分卡!$K$14:$O$14),1)</f>
        <v>4</v>
      </c>
      <c r="AK150" s="41">
        <f>IFERROR(LOOKUP(W150,打分卡!$F$15:$J$15,打分卡!$K$15:$O$15),1)</f>
        <v>2</v>
      </c>
      <c r="AL150" s="43">
        <f t="shared" si="17"/>
        <v>5</v>
      </c>
      <c r="AM150" s="41">
        <f>IFERROR(LOOKUP(Z150,打分卡!$F$17:$H$17,打分卡!$K$17:$M$17),1)</f>
        <v>3</v>
      </c>
      <c r="AN150" s="44">
        <f>(打分卡!$D$7*AC150+打分卡!$D$8*AD150+打分卡!$D$9*AE150)/5</f>
        <v>24</v>
      </c>
      <c r="AO150" s="44">
        <f>(打分卡!$D$10*AF150+打分卡!$D$11*AG150)/5</f>
        <v>10</v>
      </c>
      <c r="AP150" s="44">
        <f>(打分卡!$D$12*AH150+打分卡!$D$13*AI150+打分卡!$D$14*AJ150+打分卡!$D$15*AK150)/5</f>
        <v>23.2</v>
      </c>
      <c r="AQ150" s="44">
        <f>(打分卡!$D$16*AL150+打分卡!$D$17*AM150)/5</f>
        <v>8.4</v>
      </c>
      <c r="AR150" s="47">
        <f t="shared" si="18"/>
        <v>65.6</v>
      </c>
      <c r="AS150" s="43" t="str">
        <f t="shared" si="19"/>
        <v>腰部</v>
      </c>
      <c r="AT150" s="43" t="str">
        <f t="shared" si="20"/>
        <v/>
      </c>
      <c r="AU150" s="43" t="str">
        <f t="shared" si="21"/>
        <v>拉·主攻：主推AI外呼+大促作战包</v>
      </c>
    </row>
    <row r="151" ht="15" customHeight="1" spans="1:47">
      <c r="A151" s="20" t="s">
        <v>639</v>
      </c>
      <c r="B151" s="22" t="s">
        <v>640</v>
      </c>
      <c r="C151" s="22" t="s">
        <v>239</v>
      </c>
      <c r="D151" s="22" t="s">
        <v>196</v>
      </c>
      <c r="E151" s="22" t="s">
        <v>181</v>
      </c>
      <c r="F151" s="20" t="s">
        <v>641</v>
      </c>
      <c r="G151" s="22">
        <v>3</v>
      </c>
      <c r="H151" s="22" t="s">
        <v>642</v>
      </c>
      <c r="I151" s="22" t="s">
        <v>302</v>
      </c>
      <c r="J151" s="36">
        <v>114700</v>
      </c>
      <c r="K151" s="36">
        <v>57900</v>
      </c>
      <c r="L151" s="36">
        <v>9100</v>
      </c>
      <c r="M151" s="36">
        <f t="shared" si="16"/>
        <v>181700</v>
      </c>
      <c r="N151" s="34">
        <f t="shared" si="22"/>
        <v>0.000952587662181064</v>
      </c>
      <c r="O151" s="35">
        <f>SUM($M$2:M151)</f>
        <v>142294500</v>
      </c>
      <c r="P151" s="34">
        <f t="shared" si="23"/>
        <v>0.745998817260448</v>
      </c>
      <c r="Q151" s="39">
        <v>26</v>
      </c>
      <c r="R151" s="22">
        <v>8</v>
      </c>
      <c r="S151" s="22">
        <v>3</v>
      </c>
      <c r="T151" s="22">
        <v>2</v>
      </c>
      <c r="U151" s="39">
        <v>264</v>
      </c>
      <c r="V151" s="22">
        <v>22</v>
      </c>
      <c r="W151" s="22">
        <v>19</v>
      </c>
      <c r="X151" s="40">
        <v>1336</v>
      </c>
      <c r="Y151" s="22">
        <v>4</v>
      </c>
      <c r="Z151" s="22">
        <v>1</v>
      </c>
      <c r="AA151" s="22" t="s">
        <v>199</v>
      </c>
      <c r="AB151" s="22" t="s">
        <v>220</v>
      </c>
      <c r="AC151" s="42">
        <f>IFERROR(LOOKUP(M151,打分卡!$F$7:$J$7,打分卡!$K$7:$O$7),1)</f>
        <v>3</v>
      </c>
      <c r="AD151" s="42">
        <f>IFERROR(LOOKUP(S151,打分卡!$F$8:$J$8,打分卡!$K$8:$O$8),1)</f>
        <v>3</v>
      </c>
      <c r="AE151" s="42">
        <f>IFERROR(LOOKUP(T151,打分卡!$F$9:$I$9,打分卡!$K$9:$N$9),1)</f>
        <v>3</v>
      </c>
      <c r="AF151" s="42">
        <f>IFERROR(LOOKUP(Q151,打分卡!$F$10:$J$10,打分卡!$K$10:$O$10),1)</f>
        <v>4</v>
      </c>
      <c r="AG151" s="42">
        <f>IFERROR(LOOKUP(R151,打分卡!$F$11:$J$11,打分卡!$K$11:$O$11),1)</f>
        <v>3</v>
      </c>
      <c r="AH151" s="42">
        <f>IFERROR(LOOKUP(U151,打分卡!$F$12:$J$12,打分卡!$K$12:$O$12),1)</f>
        <v>5</v>
      </c>
      <c r="AI151" s="42">
        <f>IFERROR(LOOKUP(X151,打分卡!$F$13:$J$13,打分卡!$K$13:$O$13),1)</f>
        <v>5</v>
      </c>
      <c r="AJ151" s="42">
        <f>IFERROR(LOOKUP(Y151,打分卡!$F$14:$J$14,打分卡!$K$14:$O$14),1)</f>
        <v>4</v>
      </c>
      <c r="AK151" s="42">
        <f>IFERROR(LOOKUP(W151,打分卡!$F$15:$J$15,打分卡!$K$15:$O$15),1)</f>
        <v>5</v>
      </c>
      <c r="AL151" s="45">
        <f t="shared" si="17"/>
        <v>5</v>
      </c>
      <c r="AM151" s="42">
        <f>IFERROR(LOOKUP(Z151,打分卡!$F$17:$H$17,打分卡!$K$17:$M$17),1)</f>
        <v>3</v>
      </c>
      <c r="AN151" s="46">
        <f>(打分卡!$D$7*AC151+打分卡!$D$8*AD151+打分卡!$D$9*AE151)/5</f>
        <v>24</v>
      </c>
      <c r="AO151" s="46">
        <f>(打分卡!$D$10*AF151+打分卡!$D$11*AG151)/5</f>
        <v>14</v>
      </c>
      <c r="AP151" s="46">
        <f>(打分卡!$D$12*AH151+打分卡!$D$13*AI151+打分卡!$D$14*AJ151+打分卡!$D$15*AK151)/5</f>
        <v>28.8</v>
      </c>
      <c r="AQ151" s="46">
        <f>(打分卡!$D$16*AL151+打分卡!$D$17*AM151)/5</f>
        <v>8.4</v>
      </c>
      <c r="AR151" s="48">
        <f t="shared" si="18"/>
        <v>75.2</v>
      </c>
      <c r="AS151" s="45" t="str">
        <f t="shared" si="19"/>
        <v>KA</v>
      </c>
      <c r="AT151" s="45" t="str">
        <f t="shared" si="20"/>
        <v/>
      </c>
      <c r="AU151" s="45" t="str">
        <f t="shared" si="21"/>
        <v>扩·深化：AI外呼场景深化+Push/企微补全</v>
      </c>
    </row>
    <row r="152" ht="15" customHeight="1" spans="1:47">
      <c r="A152" s="30" t="s">
        <v>643</v>
      </c>
      <c r="B152" s="31" t="s">
        <v>644</v>
      </c>
      <c r="C152" s="31" t="s">
        <v>179</v>
      </c>
      <c r="D152" s="31" t="s">
        <v>252</v>
      </c>
      <c r="E152" s="31" t="s">
        <v>181</v>
      </c>
      <c r="F152" s="30" t="s">
        <v>522</v>
      </c>
      <c r="G152" s="31">
        <v>21</v>
      </c>
      <c r="H152" s="31" t="s">
        <v>301</v>
      </c>
      <c r="I152" s="31" t="s">
        <v>302</v>
      </c>
      <c r="J152" s="33">
        <v>108800</v>
      </c>
      <c r="K152" s="33">
        <v>63200</v>
      </c>
      <c r="L152" s="33">
        <v>9600</v>
      </c>
      <c r="M152" s="33">
        <f t="shared" si="16"/>
        <v>181600</v>
      </c>
      <c r="N152" s="34">
        <f t="shared" si="22"/>
        <v>0.000952063398195274</v>
      </c>
      <c r="O152" s="35">
        <f>SUM($M$2:M152)</f>
        <v>142476100</v>
      </c>
      <c r="P152" s="34">
        <f t="shared" si="23"/>
        <v>0.746950880658643</v>
      </c>
      <c r="Q152" s="37">
        <v>20</v>
      </c>
      <c r="R152" s="31">
        <v>10</v>
      </c>
      <c r="S152" s="31">
        <v>3</v>
      </c>
      <c r="T152" s="31">
        <v>2</v>
      </c>
      <c r="U152" s="37">
        <v>3.2</v>
      </c>
      <c r="V152" s="31">
        <v>18</v>
      </c>
      <c r="W152" s="31">
        <v>1</v>
      </c>
      <c r="X152" s="38">
        <v>90</v>
      </c>
      <c r="Y152" s="31">
        <v>0</v>
      </c>
      <c r="Z152" s="31">
        <v>0</v>
      </c>
      <c r="AA152" s="31" t="s">
        <v>199</v>
      </c>
      <c r="AB152" s="31" t="s">
        <v>220</v>
      </c>
      <c r="AC152" s="41">
        <f>IFERROR(LOOKUP(M152,打分卡!$F$7:$J$7,打分卡!$K$7:$O$7),1)</f>
        <v>3</v>
      </c>
      <c r="AD152" s="41">
        <f>IFERROR(LOOKUP(S152,打分卡!$F$8:$J$8,打分卡!$K$8:$O$8),1)</f>
        <v>3</v>
      </c>
      <c r="AE152" s="41">
        <f>IFERROR(LOOKUP(T152,打分卡!$F$9:$I$9,打分卡!$K$9:$N$9),1)</f>
        <v>3</v>
      </c>
      <c r="AF152" s="41">
        <f>IFERROR(LOOKUP(Q152,打分卡!$F$10:$J$10,打分卡!$K$10:$O$10),1)</f>
        <v>3</v>
      </c>
      <c r="AG152" s="41">
        <f>IFERROR(LOOKUP(R152,打分卡!$F$11:$J$11,打分卡!$K$11:$O$11),1)</f>
        <v>4</v>
      </c>
      <c r="AH152" s="41">
        <f>IFERROR(LOOKUP(U152,打分卡!$F$12:$J$12,打分卡!$K$12:$O$12),1)</f>
        <v>2</v>
      </c>
      <c r="AI152" s="41">
        <f>IFERROR(LOOKUP(X152,打分卡!$F$13:$J$13,打分卡!$K$13:$O$13),1)</f>
        <v>4</v>
      </c>
      <c r="AJ152" s="41">
        <f>IFERROR(LOOKUP(Y152,打分卡!$F$14:$J$14,打分卡!$K$14:$O$14),1)</f>
        <v>1</v>
      </c>
      <c r="AK152" s="41">
        <f>IFERROR(LOOKUP(W152,打分卡!$F$15:$J$15,打分卡!$K$15:$O$15),1)</f>
        <v>2</v>
      </c>
      <c r="AL152" s="43">
        <f t="shared" si="17"/>
        <v>5</v>
      </c>
      <c r="AM152" s="41">
        <f>IFERROR(LOOKUP(Z152,打分卡!$F$17:$H$17,打分卡!$K$17:$M$17),1)</f>
        <v>1</v>
      </c>
      <c r="AN152" s="44">
        <f>(打分卡!$D$7*AC152+打分卡!$D$8*AD152+打分卡!$D$9*AE152)/5</f>
        <v>24</v>
      </c>
      <c r="AO152" s="44">
        <f>(打分卡!$D$10*AF152+打分卡!$D$11*AG152)/5</f>
        <v>14</v>
      </c>
      <c r="AP152" s="44">
        <f>(打分卡!$D$12*AH152+打分卡!$D$13*AI152+打分卡!$D$14*AJ152+打分卡!$D$15*AK152)/5</f>
        <v>14</v>
      </c>
      <c r="AQ152" s="44">
        <f>(打分卡!$D$16*AL152+打分卡!$D$17*AM152)/5</f>
        <v>6.8</v>
      </c>
      <c r="AR152" s="47">
        <f t="shared" si="18"/>
        <v>58.8</v>
      </c>
      <c r="AS152" s="43" t="str">
        <f t="shared" si="19"/>
        <v>腰部</v>
      </c>
      <c r="AT152" s="43" t="str">
        <f t="shared" si="20"/>
        <v/>
      </c>
      <c r="AU152" s="43" t="str">
        <f t="shared" si="21"/>
        <v>拉·主攻：主推AI外呼+大促作战包</v>
      </c>
    </row>
    <row r="153" ht="15" customHeight="1" spans="1:47">
      <c r="A153" s="20" t="s">
        <v>645</v>
      </c>
      <c r="B153" s="22" t="s">
        <v>646</v>
      </c>
      <c r="C153" s="22" t="s">
        <v>195</v>
      </c>
      <c r="D153" s="22" t="s">
        <v>190</v>
      </c>
      <c r="E153" s="22" t="s">
        <v>181</v>
      </c>
      <c r="F153" s="20" t="s">
        <v>647</v>
      </c>
      <c r="G153" s="22">
        <v>6</v>
      </c>
      <c r="H153" s="22" t="s">
        <v>301</v>
      </c>
      <c r="I153" s="22" t="s">
        <v>302</v>
      </c>
      <c r="J153" s="36">
        <v>85100</v>
      </c>
      <c r="K153" s="36">
        <v>58400</v>
      </c>
      <c r="L153" s="36">
        <v>37700</v>
      </c>
      <c r="M153" s="36">
        <f t="shared" si="16"/>
        <v>181200</v>
      </c>
      <c r="N153" s="34">
        <f t="shared" si="22"/>
        <v>0.000949966342252112</v>
      </c>
      <c r="O153" s="35">
        <f>SUM($M$2:M153)</f>
        <v>142657300</v>
      </c>
      <c r="P153" s="34">
        <f t="shared" si="23"/>
        <v>0.747900847000895</v>
      </c>
      <c r="Q153" s="39">
        <v>12.6</v>
      </c>
      <c r="R153" s="22">
        <v>4</v>
      </c>
      <c r="S153" s="22">
        <v>1</v>
      </c>
      <c r="T153" s="22">
        <v>2</v>
      </c>
      <c r="U153" s="39">
        <v>32.2</v>
      </c>
      <c r="V153" s="22">
        <v>19</v>
      </c>
      <c r="W153" s="22">
        <v>1</v>
      </c>
      <c r="X153" s="40">
        <v>51</v>
      </c>
      <c r="Y153" s="22">
        <v>1</v>
      </c>
      <c r="Z153" s="22">
        <v>0</v>
      </c>
      <c r="AA153" s="22" t="s">
        <v>199</v>
      </c>
      <c r="AB153" s="22" t="s">
        <v>220</v>
      </c>
      <c r="AC153" s="42">
        <f>IFERROR(LOOKUP(M153,打分卡!$F$7:$J$7,打分卡!$K$7:$O$7),1)</f>
        <v>3</v>
      </c>
      <c r="AD153" s="42">
        <f>IFERROR(LOOKUP(S153,打分卡!$F$8:$J$8,打分卡!$K$8:$O$8),1)</f>
        <v>1</v>
      </c>
      <c r="AE153" s="42">
        <f>IFERROR(LOOKUP(T153,打分卡!$F$9:$I$9,打分卡!$K$9:$N$9),1)</f>
        <v>3</v>
      </c>
      <c r="AF153" s="42">
        <f>IFERROR(LOOKUP(Q153,打分卡!$F$10:$J$10,打分卡!$K$10:$O$10),1)</f>
        <v>3</v>
      </c>
      <c r="AG153" s="42">
        <f>IFERROR(LOOKUP(R153,打分卡!$F$11:$J$11,打分卡!$K$11:$O$11),1)</f>
        <v>2</v>
      </c>
      <c r="AH153" s="42">
        <f>IFERROR(LOOKUP(U153,打分卡!$F$12:$J$12,打分卡!$K$12:$O$12),1)</f>
        <v>3</v>
      </c>
      <c r="AI153" s="42">
        <f>IFERROR(LOOKUP(X153,打分卡!$F$13:$J$13,打分卡!$K$13:$O$13),1)</f>
        <v>3</v>
      </c>
      <c r="AJ153" s="42">
        <f>IFERROR(LOOKUP(Y153,打分卡!$F$14:$J$14,打分卡!$K$14:$O$14),1)</f>
        <v>2</v>
      </c>
      <c r="AK153" s="42">
        <f>IFERROR(LOOKUP(W153,打分卡!$F$15:$J$15,打分卡!$K$15:$O$15),1)</f>
        <v>2</v>
      </c>
      <c r="AL153" s="45">
        <f t="shared" si="17"/>
        <v>5</v>
      </c>
      <c r="AM153" s="42">
        <f>IFERROR(LOOKUP(Z153,打分卡!$F$17:$H$17,打分卡!$K$17:$M$17),1)</f>
        <v>1</v>
      </c>
      <c r="AN153" s="46">
        <f>(打分卡!$D$7*AC153+打分卡!$D$8*AD153+打分卡!$D$9*AE153)/5</f>
        <v>20.8</v>
      </c>
      <c r="AO153" s="46">
        <f>(打分卡!$D$10*AF153+打分卡!$D$11*AG153)/5</f>
        <v>10</v>
      </c>
      <c r="AP153" s="46">
        <f>(打分卡!$D$12*AH153+打分卡!$D$13*AI153+打分卡!$D$14*AJ153+打分卡!$D$15*AK153)/5</f>
        <v>16</v>
      </c>
      <c r="AQ153" s="46">
        <f>(打分卡!$D$16*AL153+打分卡!$D$17*AM153)/5</f>
        <v>6.8</v>
      </c>
      <c r="AR153" s="48">
        <f t="shared" si="18"/>
        <v>53.6</v>
      </c>
      <c r="AS153" s="45" t="str">
        <f t="shared" si="19"/>
        <v>腰部</v>
      </c>
      <c r="AT153" s="45" t="str">
        <f t="shared" si="20"/>
        <v/>
      </c>
      <c r="AU153" s="45" t="str">
        <f t="shared" si="21"/>
        <v>拉·主攻：主推AI外呼+大促作战包</v>
      </c>
    </row>
    <row r="154" ht="15" customHeight="1" spans="1:47">
      <c r="A154" s="30" t="s">
        <v>648</v>
      </c>
      <c r="B154" s="31" t="s">
        <v>649</v>
      </c>
      <c r="C154" s="31" t="s">
        <v>223</v>
      </c>
      <c r="D154" s="31" t="s">
        <v>252</v>
      </c>
      <c r="E154" s="31" t="s">
        <v>181</v>
      </c>
      <c r="F154" s="30" t="s">
        <v>282</v>
      </c>
      <c r="G154" s="31">
        <v>14</v>
      </c>
      <c r="H154" s="31" t="s">
        <v>301</v>
      </c>
      <c r="I154" s="31" t="s">
        <v>302</v>
      </c>
      <c r="J154" s="33">
        <v>94200</v>
      </c>
      <c r="K154" s="33">
        <v>53700</v>
      </c>
      <c r="L154" s="33">
        <v>32300</v>
      </c>
      <c r="M154" s="33">
        <f t="shared" si="16"/>
        <v>180200</v>
      </c>
      <c r="N154" s="34">
        <f t="shared" si="22"/>
        <v>0.000944723702394209</v>
      </c>
      <c r="O154" s="35">
        <f>SUM($M$2:M154)</f>
        <v>142837500</v>
      </c>
      <c r="P154" s="34">
        <f t="shared" si="23"/>
        <v>0.74884557070329</v>
      </c>
      <c r="Q154" s="37">
        <v>28</v>
      </c>
      <c r="R154" s="31">
        <v>9</v>
      </c>
      <c r="S154" s="31">
        <v>3</v>
      </c>
      <c r="T154" s="31">
        <v>2</v>
      </c>
      <c r="U154" s="37">
        <v>8.4</v>
      </c>
      <c r="V154" s="31">
        <v>8</v>
      </c>
      <c r="W154" s="31">
        <v>2</v>
      </c>
      <c r="X154" s="38">
        <v>14</v>
      </c>
      <c r="Y154" s="31">
        <v>2</v>
      </c>
      <c r="Z154" s="31">
        <v>1</v>
      </c>
      <c r="AA154" s="31" t="s">
        <v>185</v>
      </c>
      <c r="AB154" s="31" t="s">
        <v>220</v>
      </c>
      <c r="AC154" s="41">
        <f>IFERROR(LOOKUP(M154,打分卡!$F$7:$J$7,打分卡!$K$7:$O$7),1)</f>
        <v>3</v>
      </c>
      <c r="AD154" s="41">
        <f>IFERROR(LOOKUP(S154,打分卡!$F$8:$J$8,打分卡!$K$8:$O$8),1)</f>
        <v>3</v>
      </c>
      <c r="AE154" s="41">
        <f>IFERROR(LOOKUP(T154,打分卡!$F$9:$I$9,打分卡!$K$9:$N$9),1)</f>
        <v>3</v>
      </c>
      <c r="AF154" s="41">
        <f>IFERROR(LOOKUP(Q154,打分卡!$F$10:$J$10,打分卡!$K$10:$O$10),1)</f>
        <v>4</v>
      </c>
      <c r="AG154" s="41">
        <f>IFERROR(LOOKUP(R154,打分卡!$F$11:$J$11,打分卡!$K$11:$O$11),1)</f>
        <v>4</v>
      </c>
      <c r="AH154" s="41">
        <f>IFERROR(LOOKUP(U154,打分卡!$F$12:$J$12,打分卡!$K$12:$O$12),1)</f>
        <v>2</v>
      </c>
      <c r="AI154" s="41">
        <f>IFERROR(LOOKUP(X154,打分卡!$F$13:$J$13,打分卡!$K$13:$O$13),1)</f>
        <v>1</v>
      </c>
      <c r="AJ154" s="41">
        <f>IFERROR(LOOKUP(Y154,打分卡!$F$14:$J$14,打分卡!$K$14:$O$14),1)</f>
        <v>3</v>
      </c>
      <c r="AK154" s="41">
        <f>IFERROR(LOOKUP(W154,打分卡!$F$15:$J$15,打分卡!$K$15:$O$15),1)</f>
        <v>2</v>
      </c>
      <c r="AL154" s="43">
        <f t="shared" si="17"/>
        <v>3</v>
      </c>
      <c r="AM154" s="41">
        <f>IFERROR(LOOKUP(Z154,打分卡!$F$17:$H$17,打分卡!$K$17:$M$17),1)</f>
        <v>3</v>
      </c>
      <c r="AN154" s="44">
        <f>(打分卡!$D$7*AC154+打分卡!$D$8*AD154+打分卡!$D$9*AE154)/5</f>
        <v>24</v>
      </c>
      <c r="AO154" s="44">
        <f>(打分卡!$D$10*AF154+打分卡!$D$11*AG154)/5</f>
        <v>16</v>
      </c>
      <c r="AP154" s="44">
        <f>(打分卡!$D$12*AH154+打分卡!$D$13*AI154+打分卡!$D$14*AJ154+打分卡!$D$15*AK154)/5</f>
        <v>11.6</v>
      </c>
      <c r="AQ154" s="44">
        <f>(打分卡!$D$16*AL154+打分卡!$D$17*AM154)/5</f>
        <v>6</v>
      </c>
      <c r="AR154" s="47">
        <f t="shared" si="18"/>
        <v>57.6</v>
      </c>
      <c r="AS154" s="43" t="str">
        <f t="shared" si="19"/>
        <v>腰部</v>
      </c>
      <c r="AT154" s="43" t="str">
        <f t="shared" si="20"/>
        <v/>
      </c>
      <c r="AU154" s="43" t="str">
        <f t="shared" si="21"/>
        <v>拉·主攻：主推AI外呼+大促作战包</v>
      </c>
    </row>
    <row r="155" ht="15" customHeight="1" spans="1:47">
      <c r="A155" s="20" t="s">
        <v>650</v>
      </c>
      <c r="B155" s="22" t="s">
        <v>651</v>
      </c>
      <c r="C155" s="22" t="s">
        <v>195</v>
      </c>
      <c r="D155" s="22" t="s">
        <v>227</v>
      </c>
      <c r="E155" s="22" t="s">
        <v>181</v>
      </c>
      <c r="F155" s="20" t="s">
        <v>652</v>
      </c>
      <c r="G155" s="22">
        <v>19</v>
      </c>
      <c r="H155" s="22" t="s">
        <v>301</v>
      </c>
      <c r="I155" s="22" t="s">
        <v>184</v>
      </c>
      <c r="J155" s="36">
        <v>99200</v>
      </c>
      <c r="K155" s="36">
        <v>61700</v>
      </c>
      <c r="L155" s="36">
        <v>19200</v>
      </c>
      <c r="M155" s="36">
        <f t="shared" si="16"/>
        <v>180100</v>
      </c>
      <c r="N155" s="34">
        <f t="shared" si="22"/>
        <v>0.000944199438408418</v>
      </c>
      <c r="O155" s="35">
        <f>SUM($M$2:M155)</f>
        <v>143017600</v>
      </c>
      <c r="P155" s="34">
        <f t="shared" si="23"/>
        <v>0.749789770141698</v>
      </c>
      <c r="Q155" s="39">
        <v>18.4</v>
      </c>
      <c r="R155" s="22">
        <v>10</v>
      </c>
      <c r="S155" s="22">
        <v>2</v>
      </c>
      <c r="T155" s="22">
        <v>1</v>
      </c>
      <c r="U155" s="39">
        <v>13.3</v>
      </c>
      <c r="V155" s="22">
        <v>14</v>
      </c>
      <c r="W155" s="22">
        <v>2</v>
      </c>
      <c r="X155" s="40">
        <v>45</v>
      </c>
      <c r="Y155" s="22">
        <v>1</v>
      </c>
      <c r="Z155" s="22">
        <v>1</v>
      </c>
      <c r="AA155" s="22" t="s">
        <v>199</v>
      </c>
      <c r="AB155" s="22" t="s">
        <v>220</v>
      </c>
      <c r="AC155" s="42">
        <f>IFERROR(LOOKUP(M155,打分卡!$F$7:$J$7,打分卡!$K$7:$O$7),1)</f>
        <v>3</v>
      </c>
      <c r="AD155" s="42">
        <f>IFERROR(LOOKUP(S155,打分卡!$F$8:$J$8,打分卡!$K$8:$O$8),1)</f>
        <v>2</v>
      </c>
      <c r="AE155" s="42">
        <f>IFERROR(LOOKUP(T155,打分卡!$F$9:$I$9,打分卡!$K$9:$N$9),1)</f>
        <v>2</v>
      </c>
      <c r="AF155" s="42">
        <f>IFERROR(LOOKUP(Q155,打分卡!$F$10:$J$10,打分卡!$K$10:$O$10),1)</f>
        <v>3</v>
      </c>
      <c r="AG155" s="42">
        <f>IFERROR(LOOKUP(R155,打分卡!$F$11:$J$11,打分卡!$K$11:$O$11),1)</f>
        <v>4</v>
      </c>
      <c r="AH155" s="42">
        <f>IFERROR(LOOKUP(U155,打分卡!$F$12:$J$12,打分卡!$K$12:$O$12),1)</f>
        <v>3</v>
      </c>
      <c r="AI155" s="42">
        <f>IFERROR(LOOKUP(X155,打分卡!$F$13:$J$13,打分卡!$K$13:$O$13),1)</f>
        <v>3</v>
      </c>
      <c r="AJ155" s="42">
        <f>IFERROR(LOOKUP(Y155,打分卡!$F$14:$J$14,打分卡!$K$14:$O$14),1)</f>
        <v>2</v>
      </c>
      <c r="AK155" s="42">
        <f>IFERROR(LOOKUP(W155,打分卡!$F$15:$J$15,打分卡!$K$15:$O$15),1)</f>
        <v>2</v>
      </c>
      <c r="AL155" s="45">
        <f t="shared" si="17"/>
        <v>5</v>
      </c>
      <c r="AM155" s="42">
        <f>IFERROR(LOOKUP(Z155,打分卡!$F$17:$H$17,打分卡!$K$17:$M$17),1)</f>
        <v>3</v>
      </c>
      <c r="AN155" s="46">
        <f>(打分卡!$D$7*AC155+打分卡!$D$8*AD155+打分卡!$D$9*AE155)/5</f>
        <v>21</v>
      </c>
      <c r="AO155" s="46">
        <f>(打分卡!$D$10*AF155+打分卡!$D$11*AG155)/5</f>
        <v>14</v>
      </c>
      <c r="AP155" s="46">
        <f>(打分卡!$D$12*AH155+打分卡!$D$13*AI155+打分卡!$D$14*AJ155+打分卡!$D$15*AK155)/5</f>
        <v>16</v>
      </c>
      <c r="AQ155" s="46">
        <f>(打分卡!$D$16*AL155+打分卡!$D$17*AM155)/5</f>
        <v>8.4</v>
      </c>
      <c r="AR155" s="48">
        <f t="shared" si="18"/>
        <v>59.4</v>
      </c>
      <c r="AS155" s="45" t="str">
        <f t="shared" si="19"/>
        <v>腰部</v>
      </c>
      <c r="AT155" s="45" t="str">
        <f t="shared" si="20"/>
        <v/>
      </c>
      <c r="AU155" s="45" t="str">
        <f t="shared" si="21"/>
        <v>拉·主攻：主推AI外呼+大促作战包</v>
      </c>
    </row>
    <row r="156" ht="15" customHeight="1" spans="1:47">
      <c r="A156" s="30" t="s">
        <v>653</v>
      </c>
      <c r="B156" s="31" t="s">
        <v>654</v>
      </c>
      <c r="C156" s="31" t="s">
        <v>189</v>
      </c>
      <c r="D156" s="31" t="s">
        <v>202</v>
      </c>
      <c r="E156" s="31" t="s">
        <v>181</v>
      </c>
      <c r="F156" s="30" t="s">
        <v>655</v>
      </c>
      <c r="G156" s="31">
        <v>4</v>
      </c>
      <c r="H156" s="31" t="s">
        <v>301</v>
      </c>
      <c r="I156" s="31" t="s">
        <v>302</v>
      </c>
      <c r="J156" s="33">
        <v>98500</v>
      </c>
      <c r="K156" s="33">
        <v>64500</v>
      </c>
      <c r="L156" s="33">
        <v>15300</v>
      </c>
      <c r="M156" s="33">
        <f t="shared" si="16"/>
        <v>178300</v>
      </c>
      <c r="N156" s="34">
        <f t="shared" si="22"/>
        <v>0.000934762686664192</v>
      </c>
      <c r="O156" s="35">
        <f>SUM($M$2:M156)</f>
        <v>143195900</v>
      </c>
      <c r="P156" s="34">
        <f t="shared" si="23"/>
        <v>0.750724532828362</v>
      </c>
      <c r="Q156" s="37">
        <v>20.6</v>
      </c>
      <c r="R156" s="31">
        <v>6</v>
      </c>
      <c r="S156" s="31">
        <v>1</v>
      </c>
      <c r="T156" s="31">
        <v>0</v>
      </c>
      <c r="U156" s="37">
        <v>1.8</v>
      </c>
      <c r="V156" s="31">
        <v>9</v>
      </c>
      <c r="W156" s="31">
        <v>0</v>
      </c>
      <c r="X156" s="38">
        <v>18</v>
      </c>
      <c r="Y156" s="31">
        <v>3</v>
      </c>
      <c r="Z156" s="31">
        <v>0</v>
      </c>
      <c r="AA156" s="31" t="s">
        <v>315</v>
      </c>
      <c r="AB156" s="31" t="s">
        <v>220</v>
      </c>
      <c r="AC156" s="41">
        <f>IFERROR(LOOKUP(M156,打分卡!$F$7:$J$7,打分卡!$K$7:$O$7),1)</f>
        <v>3</v>
      </c>
      <c r="AD156" s="41">
        <f>IFERROR(LOOKUP(S156,打分卡!$F$8:$J$8,打分卡!$K$8:$O$8),1)</f>
        <v>1</v>
      </c>
      <c r="AE156" s="41">
        <f>IFERROR(LOOKUP(T156,打分卡!$F$9:$I$9,打分卡!$K$9:$N$9),1)</f>
        <v>1</v>
      </c>
      <c r="AF156" s="41">
        <f>IFERROR(LOOKUP(Q156,打分卡!$F$10:$J$10,打分卡!$K$10:$O$10),1)</f>
        <v>3</v>
      </c>
      <c r="AG156" s="41">
        <f>IFERROR(LOOKUP(R156,打分卡!$F$11:$J$11,打分卡!$K$11:$O$11),1)</f>
        <v>3</v>
      </c>
      <c r="AH156" s="41">
        <f>IFERROR(LOOKUP(U156,打分卡!$F$12:$J$12,打分卡!$K$12:$O$12),1)</f>
        <v>1</v>
      </c>
      <c r="AI156" s="41">
        <f>IFERROR(LOOKUP(X156,打分卡!$F$13:$J$13,打分卡!$K$13:$O$13),1)</f>
        <v>2</v>
      </c>
      <c r="AJ156" s="41">
        <f>IFERROR(LOOKUP(Y156,打分卡!$F$14:$J$14,打分卡!$K$14:$O$14),1)</f>
        <v>4</v>
      </c>
      <c r="AK156" s="41">
        <f>IFERROR(LOOKUP(W156,打分卡!$F$15:$J$15,打分卡!$K$15:$O$15),1)</f>
        <v>1</v>
      </c>
      <c r="AL156" s="43">
        <f t="shared" si="17"/>
        <v>2</v>
      </c>
      <c r="AM156" s="41">
        <f>IFERROR(LOOKUP(Z156,打分卡!$F$17:$H$17,打分卡!$K$17:$M$17),1)</f>
        <v>1</v>
      </c>
      <c r="AN156" s="44">
        <f>(打分卡!$D$7*AC156+打分卡!$D$8*AD156+打分卡!$D$9*AE156)/5</f>
        <v>18</v>
      </c>
      <c r="AO156" s="44">
        <f>(打分卡!$D$10*AF156+打分卡!$D$11*AG156)/5</f>
        <v>12</v>
      </c>
      <c r="AP156" s="44">
        <f>(打分卡!$D$12*AH156+打分卡!$D$13*AI156+打分卡!$D$14*AJ156+打分卡!$D$15*AK156)/5</f>
        <v>11.2</v>
      </c>
      <c r="AQ156" s="44">
        <f>(打分卡!$D$16*AL156+打分卡!$D$17*AM156)/5</f>
        <v>3.2</v>
      </c>
      <c r="AR156" s="47">
        <f t="shared" si="18"/>
        <v>44.4</v>
      </c>
      <c r="AS156" s="43" t="str">
        <f t="shared" si="19"/>
        <v>腰部</v>
      </c>
      <c r="AT156" s="43" t="str">
        <f t="shared" si="20"/>
        <v/>
      </c>
      <c r="AU156" s="43" t="str">
        <f t="shared" si="21"/>
        <v>拉·主攻：主推AI外呼+大促作战包</v>
      </c>
    </row>
    <row r="157" ht="15" customHeight="1" spans="1:47">
      <c r="A157" s="20" t="s">
        <v>656</v>
      </c>
      <c r="B157" s="22" t="s">
        <v>657</v>
      </c>
      <c r="C157" s="22" t="s">
        <v>195</v>
      </c>
      <c r="D157" s="22" t="s">
        <v>202</v>
      </c>
      <c r="E157" s="22" t="s">
        <v>197</v>
      </c>
      <c r="F157" s="20" t="s">
        <v>658</v>
      </c>
      <c r="G157" s="22">
        <v>23</v>
      </c>
      <c r="H157" s="22" t="s">
        <v>183</v>
      </c>
      <c r="I157" s="22" t="s">
        <v>184</v>
      </c>
      <c r="J157" s="36">
        <v>85800</v>
      </c>
      <c r="K157" s="36">
        <v>70700</v>
      </c>
      <c r="L157" s="36">
        <v>21800</v>
      </c>
      <c r="M157" s="36">
        <f t="shared" si="16"/>
        <v>178300</v>
      </c>
      <c r="N157" s="34">
        <f t="shared" si="22"/>
        <v>0.000934762686664192</v>
      </c>
      <c r="O157" s="35">
        <f>SUM($M$2:M157)</f>
        <v>143374200</v>
      </c>
      <c r="P157" s="34">
        <f t="shared" si="23"/>
        <v>0.751659295515026</v>
      </c>
      <c r="Q157" s="39">
        <v>16.1</v>
      </c>
      <c r="R157" s="22">
        <v>10</v>
      </c>
      <c r="S157" s="22">
        <v>3</v>
      </c>
      <c r="T157" s="22">
        <v>0</v>
      </c>
      <c r="U157" s="39">
        <v>7.4</v>
      </c>
      <c r="V157" s="22">
        <v>18</v>
      </c>
      <c r="W157" s="22">
        <v>2</v>
      </c>
      <c r="X157" s="40">
        <v>17</v>
      </c>
      <c r="Y157" s="22">
        <v>0</v>
      </c>
      <c r="Z157" s="22">
        <v>1</v>
      </c>
      <c r="AA157" s="22" t="s">
        <v>199</v>
      </c>
      <c r="AB157" s="22" t="s">
        <v>220</v>
      </c>
      <c r="AC157" s="42">
        <f>IFERROR(LOOKUP(M157,打分卡!$F$7:$J$7,打分卡!$K$7:$O$7),1)</f>
        <v>3</v>
      </c>
      <c r="AD157" s="42">
        <f>IFERROR(LOOKUP(S157,打分卡!$F$8:$J$8,打分卡!$K$8:$O$8),1)</f>
        <v>3</v>
      </c>
      <c r="AE157" s="42">
        <f>IFERROR(LOOKUP(T157,打分卡!$F$9:$I$9,打分卡!$K$9:$N$9),1)</f>
        <v>1</v>
      </c>
      <c r="AF157" s="42">
        <f>IFERROR(LOOKUP(Q157,打分卡!$F$10:$J$10,打分卡!$K$10:$O$10),1)</f>
        <v>3</v>
      </c>
      <c r="AG157" s="42">
        <f>IFERROR(LOOKUP(R157,打分卡!$F$11:$J$11,打分卡!$K$11:$O$11),1)</f>
        <v>4</v>
      </c>
      <c r="AH157" s="42">
        <f>IFERROR(LOOKUP(U157,打分卡!$F$12:$J$12,打分卡!$K$12:$O$12),1)</f>
        <v>2</v>
      </c>
      <c r="AI157" s="42">
        <f>IFERROR(LOOKUP(X157,打分卡!$F$13:$J$13,打分卡!$K$13:$O$13),1)</f>
        <v>1</v>
      </c>
      <c r="AJ157" s="42">
        <f>IFERROR(LOOKUP(Y157,打分卡!$F$14:$J$14,打分卡!$K$14:$O$14),1)</f>
        <v>1</v>
      </c>
      <c r="AK157" s="42">
        <f>IFERROR(LOOKUP(W157,打分卡!$F$15:$J$15,打分卡!$K$15:$O$15),1)</f>
        <v>2</v>
      </c>
      <c r="AL157" s="45">
        <f t="shared" si="17"/>
        <v>5</v>
      </c>
      <c r="AM157" s="42">
        <f>IFERROR(LOOKUP(Z157,打分卡!$F$17:$H$17,打分卡!$K$17:$M$17),1)</f>
        <v>3</v>
      </c>
      <c r="AN157" s="46">
        <f>(打分卡!$D$7*AC157+打分卡!$D$8*AD157+打分卡!$D$9*AE157)/5</f>
        <v>21.2</v>
      </c>
      <c r="AO157" s="46">
        <f>(打分卡!$D$10*AF157+打分卡!$D$11*AG157)/5</f>
        <v>14</v>
      </c>
      <c r="AP157" s="46">
        <f>(打分卡!$D$12*AH157+打分卡!$D$13*AI157+打分卡!$D$14*AJ157+打分卡!$D$15*AK157)/5</f>
        <v>9.2</v>
      </c>
      <c r="AQ157" s="46">
        <f>(打分卡!$D$16*AL157+打分卡!$D$17*AM157)/5</f>
        <v>8.4</v>
      </c>
      <c r="AR157" s="48">
        <f t="shared" si="18"/>
        <v>52.8</v>
      </c>
      <c r="AS157" s="45" t="str">
        <f t="shared" si="19"/>
        <v>腰部</v>
      </c>
      <c r="AT157" s="45" t="str">
        <f t="shared" si="20"/>
        <v/>
      </c>
      <c r="AU157" s="45" t="str">
        <f t="shared" si="21"/>
        <v>拉·主攻：主推AI外呼+大促作战包</v>
      </c>
    </row>
    <row r="158" ht="15" customHeight="1" spans="1:47">
      <c r="A158" s="30" t="s">
        <v>659</v>
      </c>
      <c r="B158" s="31" t="s">
        <v>660</v>
      </c>
      <c r="C158" s="31" t="s">
        <v>209</v>
      </c>
      <c r="D158" s="31" t="s">
        <v>227</v>
      </c>
      <c r="E158" s="31" t="s">
        <v>181</v>
      </c>
      <c r="F158" s="30" t="s">
        <v>661</v>
      </c>
      <c r="G158" s="31">
        <v>16</v>
      </c>
      <c r="H158" s="31" t="s">
        <v>301</v>
      </c>
      <c r="I158" s="31" t="s">
        <v>302</v>
      </c>
      <c r="J158" s="33">
        <v>98400</v>
      </c>
      <c r="K158" s="33">
        <v>50200</v>
      </c>
      <c r="L158" s="33">
        <v>28500</v>
      </c>
      <c r="M158" s="33">
        <f t="shared" si="16"/>
        <v>177100</v>
      </c>
      <c r="N158" s="34">
        <f t="shared" si="22"/>
        <v>0.000928471518834708</v>
      </c>
      <c r="O158" s="35">
        <f>SUM($M$2:M158)</f>
        <v>143551300</v>
      </c>
      <c r="P158" s="34">
        <f t="shared" si="23"/>
        <v>0.752587767033861</v>
      </c>
      <c r="Q158" s="37">
        <v>23</v>
      </c>
      <c r="R158" s="31">
        <v>3</v>
      </c>
      <c r="S158" s="31">
        <v>1</v>
      </c>
      <c r="T158" s="31">
        <v>2</v>
      </c>
      <c r="U158" s="37">
        <v>19.2</v>
      </c>
      <c r="V158" s="31">
        <v>18</v>
      </c>
      <c r="W158" s="31">
        <v>1</v>
      </c>
      <c r="X158" s="38">
        <v>40</v>
      </c>
      <c r="Y158" s="31">
        <v>3</v>
      </c>
      <c r="Z158" s="31">
        <v>1</v>
      </c>
      <c r="AA158" s="31" t="s">
        <v>185</v>
      </c>
      <c r="AB158" s="31" t="s">
        <v>220</v>
      </c>
      <c r="AC158" s="41">
        <f>IFERROR(LOOKUP(M158,打分卡!$F$7:$J$7,打分卡!$K$7:$O$7),1)</f>
        <v>3</v>
      </c>
      <c r="AD158" s="41">
        <f>IFERROR(LOOKUP(S158,打分卡!$F$8:$J$8,打分卡!$K$8:$O$8),1)</f>
        <v>1</v>
      </c>
      <c r="AE158" s="41">
        <f>IFERROR(LOOKUP(T158,打分卡!$F$9:$I$9,打分卡!$K$9:$N$9),1)</f>
        <v>3</v>
      </c>
      <c r="AF158" s="41">
        <f>IFERROR(LOOKUP(Q158,打分卡!$F$10:$J$10,打分卡!$K$10:$O$10),1)</f>
        <v>3</v>
      </c>
      <c r="AG158" s="41">
        <f>IFERROR(LOOKUP(R158,打分卡!$F$11:$J$11,打分卡!$K$11:$O$11),1)</f>
        <v>2</v>
      </c>
      <c r="AH158" s="41">
        <f>IFERROR(LOOKUP(U158,打分卡!$F$12:$J$12,打分卡!$K$12:$O$12),1)</f>
        <v>3</v>
      </c>
      <c r="AI158" s="41">
        <f>IFERROR(LOOKUP(X158,打分卡!$F$13:$J$13,打分卡!$K$13:$O$13),1)</f>
        <v>3</v>
      </c>
      <c r="AJ158" s="41">
        <f>IFERROR(LOOKUP(Y158,打分卡!$F$14:$J$14,打分卡!$K$14:$O$14),1)</f>
        <v>4</v>
      </c>
      <c r="AK158" s="41">
        <f>IFERROR(LOOKUP(W158,打分卡!$F$15:$J$15,打分卡!$K$15:$O$15),1)</f>
        <v>2</v>
      </c>
      <c r="AL158" s="43">
        <f t="shared" si="17"/>
        <v>3</v>
      </c>
      <c r="AM158" s="41">
        <f>IFERROR(LOOKUP(Z158,打分卡!$F$17:$H$17,打分卡!$K$17:$M$17),1)</f>
        <v>3</v>
      </c>
      <c r="AN158" s="44">
        <f>(打分卡!$D$7*AC158+打分卡!$D$8*AD158+打分卡!$D$9*AE158)/5</f>
        <v>20.8</v>
      </c>
      <c r="AO158" s="44">
        <f>(打分卡!$D$10*AF158+打分卡!$D$11*AG158)/5</f>
        <v>10</v>
      </c>
      <c r="AP158" s="44">
        <f>(打分卡!$D$12*AH158+打分卡!$D$13*AI158+打分卡!$D$14*AJ158+打分卡!$D$15*AK158)/5</f>
        <v>18.4</v>
      </c>
      <c r="AQ158" s="44">
        <f>(打分卡!$D$16*AL158+打分卡!$D$17*AM158)/5</f>
        <v>6</v>
      </c>
      <c r="AR158" s="47">
        <f t="shared" si="18"/>
        <v>55.2</v>
      </c>
      <c r="AS158" s="43" t="str">
        <f t="shared" si="19"/>
        <v>腰部</v>
      </c>
      <c r="AT158" s="43" t="str">
        <f t="shared" si="20"/>
        <v/>
      </c>
      <c r="AU158" s="43" t="str">
        <f t="shared" si="21"/>
        <v>拉·主攻：主推AI外呼+大促作战包</v>
      </c>
    </row>
    <row r="159" ht="15" customHeight="1" spans="1:47">
      <c r="A159" s="20" t="s">
        <v>662</v>
      </c>
      <c r="B159" s="22" t="s">
        <v>663</v>
      </c>
      <c r="C159" s="22" t="s">
        <v>189</v>
      </c>
      <c r="D159" s="22" t="s">
        <v>190</v>
      </c>
      <c r="E159" s="22" t="s">
        <v>181</v>
      </c>
      <c r="F159" s="20" t="s">
        <v>664</v>
      </c>
      <c r="G159" s="22">
        <v>21</v>
      </c>
      <c r="H159" s="22" t="s">
        <v>301</v>
      </c>
      <c r="I159" s="22" t="s">
        <v>302</v>
      </c>
      <c r="J159" s="36">
        <v>92400</v>
      </c>
      <c r="K159" s="36">
        <v>58700</v>
      </c>
      <c r="L159" s="36">
        <v>24800</v>
      </c>
      <c r="M159" s="36">
        <f t="shared" si="16"/>
        <v>175900</v>
      </c>
      <c r="N159" s="34">
        <f t="shared" si="22"/>
        <v>0.000922180351005224</v>
      </c>
      <c r="O159" s="35">
        <f>SUM($M$2:M159)</f>
        <v>143727200</v>
      </c>
      <c r="P159" s="34">
        <f t="shared" si="23"/>
        <v>0.753509947384866</v>
      </c>
      <c r="Q159" s="39">
        <v>24.5</v>
      </c>
      <c r="R159" s="22">
        <v>8</v>
      </c>
      <c r="S159" s="22">
        <v>3</v>
      </c>
      <c r="T159" s="22">
        <v>2</v>
      </c>
      <c r="U159" s="39">
        <v>10.2</v>
      </c>
      <c r="V159" s="22">
        <v>6</v>
      </c>
      <c r="W159" s="22">
        <v>0</v>
      </c>
      <c r="X159" s="40">
        <v>101</v>
      </c>
      <c r="Y159" s="22">
        <v>3</v>
      </c>
      <c r="Z159" s="22">
        <v>0</v>
      </c>
      <c r="AA159" s="22" t="s">
        <v>199</v>
      </c>
      <c r="AB159" s="22" t="s">
        <v>220</v>
      </c>
      <c r="AC159" s="42">
        <f>IFERROR(LOOKUP(M159,打分卡!$F$7:$J$7,打分卡!$K$7:$O$7),1)</f>
        <v>3</v>
      </c>
      <c r="AD159" s="42">
        <f>IFERROR(LOOKUP(S159,打分卡!$F$8:$J$8,打分卡!$K$8:$O$8),1)</f>
        <v>3</v>
      </c>
      <c r="AE159" s="42">
        <f>IFERROR(LOOKUP(T159,打分卡!$F$9:$I$9,打分卡!$K$9:$N$9),1)</f>
        <v>3</v>
      </c>
      <c r="AF159" s="42">
        <f>IFERROR(LOOKUP(Q159,打分卡!$F$10:$J$10,打分卡!$K$10:$O$10),1)</f>
        <v>4</v>
      </c>
      <c r="AG159" s="42">
        <f>IFERROR(LOOKUP(R159,打分卡!$F$11:$J$11,打分卡!$K$11:$O$11),1)</f>
        <v>3</v>
      </c>
      <c r="AH159" s="42">
        <f>IFERROR(LOOKUP(U159,打分卡!$F$12:$J$12,打分卡!$K$12:$O$12),1)</f>
        <v>2</v>
      </c>
      <c r="AI159" s="42">
        <f>IFERROR(LOOKUP(X159,打分卡!$F$13:$J$13,打分卡!$K$13:$O$13),1)</f>
        <v>4</v>
      </c>
      <c r="AJ159" s="42">
        <f>IFERROR(LOOKUP(Y159,打分卡!$F$14:$J$14,打分卡!$K$14:$O$14),1)</f>
        <v>4</v>
      </c>
      <c r="AK159" s="42">
        <f>IFERROR(LOOKUP(W159,打分卡!$F$15:$J$15,打分卡!$K$15:$O$15),1)</f>
        <v>1</v>
      </c>
      <c r="AL159" s="45">
        <f t="shared" si="17"/>
        <v>5</v>
      </c>
      <c r="AM159" s="42">
        <f>IFERROR(LOOKUP(Z159,打分卡!$F$17:$H$17,打分卡!$K$17:$M$17),1)</f>
        <v>1</v>
      </c>
      <c r="AN159" s="46">
        <f>(打分卡!$D$7*AC159+打分卡!$D$8*AD159+打分卡!$D$9*AE159)/5</f>
        <v>24</v>
      </c>
      <c r="AO159" s="46">
        <f>(打分卡!$D$10*AF159+打分卡!$D$11*AG159)/5</f>
        <v>14</v>
      </c>
      <c r="AP159" s="46">
        <f>(打分卡!$D$12*AH159+打分卡!$D$13*AI159+打分卡!$D$14*AJ159+打分卡!$D$15*AK159)/5</f>
        <v>16.8</v>
      </c>
      <c r="AQ159" s="46">
        <f>(打分卡!$D$16*AL159+打分卡!$D$17*AM159)/5</f>
        <v>6.8</v>
      </c>
      <c r="AR159" s="48">
        <f t="shared" si="18"/>
        <v>61.6</v>
      </c>
      <c r="AS159" s="45" t="str">
        <f t="shared" si="19"/>
        <v>腰部</v>
      </c>
      <c r="AT159" s="45" t="str">
        <f t="shared" si="20"/>
        <v/>
      </c>
      <c r="AU159" s="45" t="str">
        <f t="shared" si="21"/>
        <v>拉·主攻：主推AI外呼+大促作战包</v>
      </c>
    </row>
    <row r="160" ht="15" customHeight="1" spans="1:47">
      <c r="A160" s="30" t="s">
        <v>665</v>
      </c>
      <c r="B160" s="31" t="s">
        <v>666</v>
      </c>
      <c r="C160" s="31" t="s">
        <v>218</v>
      </c>
      <c r="D160" s="31" t="s">
        <v>227</v>
      </c>
      <c r="E160" s="31" t="s">
        <v>197</v>
      </c>
      <c r="F160" s="30" t="s">
        <v>667</v>
      </c>
      <c r="G160" s="31">
        <v>5</v>
      </c>
      <c r="H160" s="31" t="s">
        <v>301</v>
      </c>
      <c r="I160" s="31" t="s">
        <v>302</v>
      </c>
      <c r="J160" s="33">
        <v>108000</v>
      </c>
      <c r="K160" s="33">
        <v>37400</v>
      </c>
      <c r="L160" s="33">
        <v>30400</v>
      </c>
      <c r="M160" s="33">
        <f t="shared" si="16"/>
        <v>175800</v>
      </c>
      <c r="N160" s="34">
        <f t="shared" si="22"/>
        <v>0.000921656087019433</v>
      </c>
      <c r="O160" s="35">
        <f>SUM($M$2:M160)</f>
        <v>143903000</v>
      </c>
      <c r="P160" s="34">
        <f t="shared" si="23"/>
        <v>0.754431603471886</v>
      </c>
      <c r="Q160" s="37">
        <v>16.4</v>
      </c>
      <c r="R160" s="31">
        <v>7</v>
      </c>
      <c r="S160" s="31">
        <v>2</v>
      </c>
      <c r="T160" s="31">
        <v>1</v>
      </c>
      <c r="U160" s="37">
        <v>16.7</v>
      </c>
      <c r="V160" s="31">
        <v>28</v>
      </c>
      <c r="W160" s="31">
        <v>0</v>
      </c>
      <c r="X160" s="38">
        <v>87</v>
      </c>
      <c r="Y160" s="31">
        <v>0</v>
      </c>
      <c r="Z160" s="31">
        <v>0</v>
      </c>
      <c r="AA160" s="31" t="s">
        <v>315</v>
      </c>
      <c r="AB160" s="31" t="s">
        <v>220</v>
      </c>
      <c r="AC160" s="41">
        <f>IFERROR(LOOKUP(M160,打分卡!$F$7:$J$7,打分卡!$K$7:$O$7),1)</f>
        <v>3</v>
      </c>
      <c r="AD160" s="41">
        <f>IFERROR(LOOKUP(S160,打分卡!$F$8:$J$8,打分卡!$K$8:$O$8),1)</f>
        <v>2</v>
      </c>
      <c r="AE160" s="41">
        <f>IFERROR(LOOKUP(T160,打分卡!$F$9:$I$9,打分卡!$K$9:$N$9),1)</f>
        <v>2</v>
      </c>
      <c r="AF160" s="41">
        <f>IFERROR(LOOKUP(Q160,打分卡!$F$10:$J$10,打分卡!$K$10:$O$10),1)</f>
        <v>3</v>
      </c>
      <c r="AG160" s="41">
        <f>IFERROR(LOOKUP(R160,打分卡!$F$11:$J$11,打分卡!$K$11:$O$11),1)</f>
        <v>3</v>
      </c>
      <c r="AH160" s="41">
        <f>IFERROR(LOOKUP(U160,打分卡!$F$12:$J$12,打分卡!$K$12:$O$12),1)</f>
        <v>3</v>
      </c>
      <c r="AI160" s="41">
        <f>IFERROR(LOOKUP(X160,打分卡!$F$13:$J$13,打分卡!$K$13:$O$13),1)</f>
        <v>4</v>
      </c>
      <c r="AJ160" s="41">
        <f>IFERROR(LOOKUP(Y160,打分卡!$F$14:$J$14,打分卡!$K$14:$O$14),1)</f>
        <v>1</v>
      </c>
      <c r="AK160" s="41">
        <f>IFERROR(LOOKUP(W160,打分卡!$F$15:$J$15,打分卡!$K$15:$O$15),1)</f>
        <v>1</v>
      </c>
      <c r="AL160" s="43">
        <f t="shared" si="17"/>
        <v>2</v>
      </c>
      <c r="AM160" s="41">
        <f>IFERROR(LOOKUP(Z160,打分卡!$F$17:$H$17,打分卡!$K$17:$M$17),1)</f>
        <v>1</v>
      </c>
      <c r="AN160" s="44">
        <f>(打分卡!$D$7*AC160+打分卡!$D$8*AD160+打分卡!$D$9*AE160)/5</f>
        <v>21</v>
      </c>
      <c r="AO160" s="44">
        <f>(打分卡!$D$10*AF160+打分卡!$D$11*AG160)/5</f>
        <v>12</v>
      </c>
      <c r="AP160" s="44">
        <f>(打分卡!$D$12*AH160+打分卡!$D$13*AI160+打分卡!$D$14*AJ160+打分卡!$D$15*AK160)/5</f>
        <v>15.6</v>
      </c>
      <c r="AQ160" s="44">
        <f>(打分卡!$D$16*AL160+打分卡!$D$17*AM160)/5</f>
        <v>3.2</v>
      </c>
      <c r="AR160" s="47">
        <f t="shared" si="18"/>
        <v>51.8</v>
      </c>
      <c r="AS160" s="43" t="str">
        <f t="shared" si="19"/>
        <v>腰部</v>
      </c>
      <c r="AT160" s="43" t="str">
        <f t="shared" si="20"/>
        <v/>
      </c>
      <c r="AU160" s="43" t="str">
        <f t="shared" si="21"/>
        <v>拉·主攻：主推AI外呼+大促作战包</v>
      </c>
    </row>
    <row r="161" ht="15" customHeight="1" spans="1:47">
      <c r="A161" s="20" t="s">
        <v>668</v>
      </c>
      <c r="B161" s="22" t="s">
        <v>669</v>
      </c>
      <c r="C161" s="22" t="s">
        <v>223</v>
      </c>
      <c r="D161" s="22" t="s">
        <v>227</v>
      </c>
      <c r="E161" s="22" t="s">
        <v>197</v>
      </c>
      <c r="F161" s="20" t="s">
        <v>670</v>
      </c>
      <c r="G161" s="22">
        <v>5</v>
      </c>
      <c r="H161" s="22" t="s">
        <v>301</v>
      </c>
      <c r="I161" s="22" t="s">
        <v>302</v>
      </c>
      <c r="J161" s="36">
        <v>79300</v>
      </c>
      <c r="K161" s="36">
        <v>62300</v>
      </c>
      <c r="L161" s="36">
        <v>33600</v>
      </c>
      <c r="M161" s="36">
        <f t="shared" si="16"/>
        <v>175200</v>
      </c>
      <c r="N161" s="34">
        <f t="shared" si="22"/>
        <v>0.000918510503104691</v>
      </c>
      <c r="O161" s="35">
        <f>SUM($M$2:M161)</f>
        <v>144078200</v>
      </c>
      <c r="P161" s="34">
        <f t="shared" si="23"/>
        <v>0.755350113974991</v>
      </c>
      <c r="Q161" s="39">
        <v>22.4</v>
      </c>
      <c r="R161" s="22">
        <v>2</v>
      </c>
      <c r="S161" s="22">
        <v>3</v>
      </c>
      <c r="T161" s="22">
        <v>0</v>
      </c>
      <c r="U161" s="39">
        <v>2.5</v>
      </c>
      <c r="V161" s="22">
        <v>20</v>
      </c>
      <c r="W161" s="22">
        <v>0</v>
      </c>
      <c r="X161" s="40">
        <v>16</v>
      </c>
      <c r="Y161" s="22">
        <v>3</v>
      </c>
      <c r="Z161" s="22">
        <v>1</v>
      </c>
      <c r="AA161" s="22" t="s">
        <v>199</v>
      </c>
      <c r="AB161" s="22" t="s">
        <v>220</v>
      </c>
      <c r="AC161" s="42">
        <f>IFERROR(LOOKUP(M161,打分卡!$F$7:$J$7,打分卡!$K$7:$O$7),1)</f>
        <v>3</v>
      </c>
      <c r="AD161" s="42">
        <f>IFERROR(LOOKUP(S161,打分卡!$F$8:$J$8,打分卡!$K$8:$O$8),1)</f>
        <v>3</v>
      </c>
      <c r="AE161" s="42">
        <f>IFERROR(LOOKUP(T161,打分卡!$F$9:$I$9,打分卡!$K$9:$N$9),1)</f>
        <v>1</v>
      </c>
      <c r="AF161" s="42">
        <f>IFERROR(LOOKUP(Q161,打分卡!$F$10:$J$10,打分卡!$K$10:$O$10),1)</f>
        <v>3</v>
      </c>
      <c r="AG161" s="42">
        <f>IFERROR(LOOKUP(R161,打分卡!$F$11:$J$11,打分卡!$K$11:$O$11),1)</f>
        <v>1</v>
      </c>
      <c r="AH161" s="42">
        <f>IFERROR(LOOKUP(U161,打分卡!$F$12:$J$12,打分卡!$K$12:$O$12),1)</f>
        <v>1</v>
      </c>
      <c r="AI161" s="42">
        <f>IFERROR(LOOKUP(X161,打分卡!$F$13:$J$13,打分卡!$K$13:$O$13),1)</f>
        <v>1</v>
      </c>
      <c r="AJ161" s="42">
        <f>IFERROR(LOOKUP(Y161,打分卡!$F$14:$J$14,打分卡!$K$14:$O$14),1)</f>
        <v>4</v>
      </c>
      <c r="AK161" s="42">
        <f>IFERROR(LOOKUP(W161,打分卡!$F$15:$J$15,打分卡!$K$15:$O$15),1)</f>
        <v>1</v>
      </c>
      <c r="AL161" s="45">
        <f t="shared" si="17"/>
        <v>5</v>
      </c>
      <c r="AM161" s="42">
        <f>IFERROR(LOOKUP(Z161,打分卡!$F$17:$H$17,打分卡!$K$17:$M$17),1)</f>
        <v>3</v>
      </c>
      <c r="AN161" s="46">
        <f>(打分卡!$D$7*AC161+打分卡!$D$8*AD161+打分卡!$D$9*AE161)/5</f>
        <v>21.2</v>
      </c>
      <c r="AO161" s="46">
        <f>(打分卡!$D$10*AF161+打分卡!$D$11*AG161)/5</f>
        <v>8</v>
      </c>
      <c r="AP161" s="46">
        <f>(打分卡!$D$12*AH161+打分卡!$D$13*AI161+打分卡!$D$14*AJ161+打分卡!$D$15*AK161)/5</f>
        <v>9.6</v>
      </c>
      <c r="AQ161" s="46">
        <f>(打分卡!$D$16*AL161+打分卡!$D$17*AM161)/5</f>
        <v>8.4</v>
      </c>
      <c r="AR161" s="48">
        <f t="shared" si="18"/>
        <v>47.2</v>
      </c>
      <c r="AS161" s="45" t="str">
        <f t="shared" si="19"/>
        <v>腰部</v>
      </c>
      <c r="AT161" s="45" t="str">
        <f t="shared" si="20"/>
        <v/>
      </c>
      <c r="AU161" s="45" t="str">
        <f t="shared" si="21"/>
        <v>拉·主攻：主推AI外呼+大促作战包</v>
      </c>
    </row>
    <row r="162" ht="15" customHeight="1" spans="1:47">
      <c r="A162" s="30" t="s">
        <v>671</v>
      </c>
      <c r="B162" s="31" t="s">
        <v>672</v>
      </c>
      <c r="C162" s="31" t="s">
        <v>179</v>
      </c>
      <c r="D162" s="31" t="s">
        <v>196</v>
      </c>
      <c r="E162" s="31" t="s">
        <v>181</v>
      </c>
      <c r="F162" s="30" t="s">
        <v>673</v>
      </c>
      <c r="G162" s="31">
        <v>19</v>
      </c>
      <c r="H162" s="31" t="s">
        <v>183</v>
      </c>
      <c r="I162" s="31" t="s">
        <v>302</v>
      </c>
      <c r="J162" s="33">
        <v>112800</v>
      </c>
      <c r="K162" s="33">
        <v>39200</v>
      </c>
      <c r="L162" s="33">
        <v>22100</v>
      </c>
      <c r="M162" s="33">
        <f t="shared" si="16"/>
        <v>174100</v>
      </c>
      <c r="N162" s="34">
        <f t="shared" si="22"/>
        <v>0.000912743599260998</v>
      </c>
      <c r="O162" s="35">
        <f>SUM($M$2:M162)</f>
        <v>144252300</v>
      </c>
      <c r="P162" s="34">
        <f t="shared" si="23"/>
        <v>0.756262857574251</v>
      </c>
      <c r="Q162" s="37">
        <v>17.9</v>
      </c>
      <c r="R162" s="31">
        <v>9</v>
      </c>
      <c r="S162" s="31">
        <v>1</v>
      </c>
      <c r="T162" s="31">
        <v>0</v>
      </c>
      <c r="U162" s="37">
        <v>17.2</v>
      </c>
      <c r="V162" s="31">
        <v>28</v>
      </c>
      <c r="W162" s="31">
        <v>3</v>
      </c>
      <c r="X162" s="38">
        <v>15</v>
      </c>
      <c r="Y162" s="31">
        <v>2</v>
      </c>
      <c r="Z162" s="31">
        <v>0</v>
      </c>
      <c r="AA162" s="31" t="s">
        <v>185</v>
      </c>
      <c r="AB162" s="31" t="s">
        <v>220</v>
      </c>
      <c r="AC162" s="41">
        <f>IFERROR(LOOKUP(M162,打分卡!$F$7:$J$7,打分卡!$K$7:$O$7),1)</f>
        <v>3</v>
      </c>
      <c r="AD162" s="41">
        <f>IFERROR(LOOKUP(S162,打分卡!$F$8:$J$8,打分卡!$K$8:$O$8),1)</f>
        <v>1</v>
      </c>
      <c r="AE162" s="41">
        <f>IFERROR(LOOKUP(T162,打分卡!$F$9:$I$9,打分卡!$K$9:$N$9),1)</f>
        <v>1</v>
      </c>
      <c r="AF162" s="41">
        <f>IFERROR(LOOKUP(Q162,打分卡!$F$10:$J$10,打分卡!$K$10:$O$10),1)</f>
        <v>3</v>
      </c>
      <c r="AG162" s="41">
        <f>IFERROR(LOOKUP(R162,打分卡!$F$11:$J$11,打分卡!$K$11:$O$11),1)</f>
        <v>4</v>
      </c>
      <c r="AH162" s="41">
        <f>IFERROR(LOOKUP(U162,打分卡!$F$12:$J$12,打分卡!$K$12:$O$12),1)</f>
        <v>3</v>
      </c>
      <c r="AI162" s="41">
        <f>IFERROR(LOOKUP(X162,打分卡!$F$13:$J$13,打分卡!$K$13:$O$13),1)</f>
        <v>1</v>
      </c>
      <c r="AJ162" s="41">
        <f>IFERROR(LOOKUP(Y162,打分卡!$F$14:$J$14,打分卡!$K$14:$O$14),1)</f>
        <v>3</v>
      </c>
      <c r="AK162" s="41">
        <f>IFERROR(LOOKUP(W162,打分卡!$F$15:$J$15,打分卡!$K$15:$O$15),1)</f>
        <v>3</v>
      </c>
      <c r="AL162" s="43">
        <f t="shared" si="17"/>
        <v>3</v>
      </c>
      <c r="AM162" s="41">
        <f>IFERROR(LOOKUP(Z162,打分卡!$F$17:$H$17,打分卡!$K$17:$M$17),1)</f>
        <v>1</v>
      </c>
      <c r="AN162" s="44">
        <f>(打分卡!$D$7*AC162+打分卡!$D$8*AD162+打分卡!$D$9*AE162)/5</f>
        <v>18</v>
      </c>
      <c r="AO162" s="44">
        <f>(打分卡!$D$10*AF162+打分卡!$D$11*AG162)/5</f>
        <v>14</v>
      </c>
      <c r="AP162" s="44">
        <f>(打分卡!$D$12*AH162+打分卡!$D$13*AI162+打分卡!$D$14*AJ162+打分卡!$D$15*AK162)/5</f>
        <v>14.8</v>
      </c>
      <c r="AQ162" s="44">
        <f>(打分卡!$D$16*AL162+打分卡!$D$17*AM162)/5</f>
        <v>4.4</v>
      </c>
      <c r="AR162" s="47">
        <f t="shared" si="18"/>
        <v>51.2</v>
      </c>
      <c r="AS162" s="43" t="str">
        <f t="shared" si="19"/>
        <v>腰部</v>
      </c>
      <c r="AT162" s="43" t="str">
        <f t="shared" si="20"/>
        <v/>
      </c>
      <c r="AU162" s="43" t="str">
        <f t="shared" si="21"/>
        <v>拉·主攻：主推AI外呼+大促作战包</v>
      </c>
    </row>
    <row r="163" ht="15" customHeight="1" spans="1:47">
      <c r="A163" s="20" t="s">
        <v>674</v>
      </c>
      <c r="B163" s="22" t="s">
        <v>675</v>
      </c>
      <c r="C163" s="22" t="s">
        <v>189</v>
      </c>
      <c r="D163" s="22" t="s">
        <v>235</v>
      </c>
      <c r="E163" s="22" t="s">
        <v>181</v>
      </c>
      <c r="F163" s="20" t="s">
        <v>530</v>
      </c>
      <c r="G163" s="22">
        <v>18</v>
      </c>
      <c r="H163" s="22" t="s">
        <v>301</v>
      </c>
      <c r="I163" s="22" t="s">
        <v>302</v>
      </c>
      <c r="J163" s="36">
        <v>97500</v>
      </c>
      <c r="K163" s="36">
        <v>52000</v>
      </c>
      <c r="L163" s="36">
        <v>22600</v>
      </c>
      <c r="M163" s="36">
        <f t="shared" si="16"/>
        <v>172100</v>
      </c>
      <c r="N163" s="34">
        <f t="shared" si="22"/>
        <v>0.000902258319545191</v>
      </c>
      <c r="O163" s="35">
        <f>SUM($M$2:M163)</f>
        <v>144424400</v>
      </c>
      <c r="P163" s="34">
        <f t="shared" si="23"/>
        <v>0.757165115893797</v>
      </c>
      <c r="Q163" s="39">
        <v>21.2</v>
      </c>
      <c r="R163" s="22">
        <v>2</v>
      </c>
      <c r="S163" s="22">
        <v>1</v>
      </c>
      <c r="T163" s="22">
        <v>0</v>
      </c>
      <c r="U163" s="39">
        <v>2.8</v>
      </c>
      <c r="V163" s="22">
        <v>4</v>
      </c>
      <c r="W163" s="22">
        <v>3</v>
      </c>
      <c r="X163" s="40">
        <v>15</v>
      </c>
      <c r="Y163" s="22">
        <v>0</v>
      </c>
      <c r="Z163" s="22">
        <v>0</v>
      </c>
      <c r="AA163" s="22" t="s">
        <v>315</v>
      </c>
      <c r="AB163" s="22" t="s">
        <v>220</v>
      </c>
      <c r="AC163" s="42">
        <f>IFERROR(LOOKUP(M163,打分卡!$F$7:$J$7,打分卡!$K$7:$O$7),1)</f>
        <v>3</v>
      </c>
      <c r="AD163" s="42">
        <f>IFERROR(LOOKUP(S163,打分卡!$F$8:$J$8,打分卡!$K$8:$O$8),1)</f>
        <v>1</v>
      </c>
      <c r="AE163" s="42">
        <f>IFERROR(LOOKUP(T163,打分卡!$F$9:$I$9,打分卡!$K$9:$N$9),1)</f>
        <v>1</v>
      </c>
      <c r="AF163" s="42">
        <f>IFERROR(LOOKUP(Q163,打分卡!$F$10:$J$10,打分卡!$K$10:$O$10),1)</f>
        <v>3</v>
      </c>
      <c r="AG163" s="42">
        <f>IFERROR(LOOKUP(R163,打分卡!$F$11:$J$11,打分卡!$K$11:$O$11),1)</f>
        <v>1</v>
      </c>
      <c r="AH163" s="42">
        <f>IFERROR(LOOKUP(U163,打分卡!$F$12:$J$12,打分卡!$K$12:$O$12),1)</f>
        <v>2</v>
      </c>
      <c r="AI163" s="42">
        <f>IFERROR(LOOKUP(X163,打分卡!$F$13:$J$13,打分卡!$K$13:$O$13),1)</f>
        <v>1</v>
      </c>
      <c r="AJ163" s="42">
        <f>IFERROR(LOOKUP(Y163,打分卡!$F$14:$J$14,打分卡!$K$14:$O$14),1)</f>
        <v>1</v>
      </c>
      <c r="AK163" s="42">
        <f>IFERROR(LOOKUP(W163,打分卡!$F$15:$J$15,打分卡!$K$15:$O$15),1)</f>
        <v>3</v>
      </c>
      <c r="AL163" s="45">
        <f t="shared" si="17"/>
        <v>2</v>
      </c>
      <c r="AM163" s="42">
        <f>IFERROR(LOOKUP(Z163,打分卡!$F$17:$H$17,打分卡!$K$17:$M$17),1)</f>
        <v>1</v>
      </c>
      <c r="AN163" s="46">
        <f>(打分卡!$D$7*AC163+打分卡!$D$8*AD163+打分卡!$D$9*AE163)/5</f>
        <v>18</v>
      </c>
      <c r="AO163" s="46">
        <f>(打分卡!$D$10*AF163+打分卡!$D$11*AG163)/5</f>
        <v>8</v>
      </c>
      <c r="AP163" s="46">
        <f>(打分卡!$D$12*AH163+打分卡!$D$13*AI163+打分卡!$D$14*AJ163+打分卡!$D$15*AK163)/5</f>
        <v>10</v>
      </c>
      <c r="AQ163" s="46">
        <f>(打分卡!$D$16*AL163+打分卡!$D$17*AM163)/5</f>
        <v>3.2</v>
      </c>
      <c r="AR163" s="48">
        <f t="shared" si="18"/>
        <v>39.2</v>
      </c>
      <c r="AS163" s="45" t="str">
        <f t="shared" si="19"/>
        <v>基础长尾</v>
      </c>
      <c r="AT163" s="45" t="str">
        <f t="shared" si="20"/>
        <v/>
      </c>
      <c r="AU163" s="45" t="str">
        <f t="shared" si="21"/>
        <v>激活：企微+Push低成本先跑</v>
      </c>
    </row>
    <row r="164" ht="15" customHeight="1" spans="1:47">
      <c r="A164" s="30" t="s">
        <v>676</v>
      </c>
      <c r="B164" s="31" t="s">
        <v>677</v>
      </c>
      <c r="C164" s="31" t="s">
        <v>239</v>
      </c>
      <c r="D164" s="31" t="s">
        <v>202</v>
      </c>
      <c r="E164" s="31" t="s">
        <v>197</v>
      </c>
      <c r="F164" s="30" t="s">
        <v>678</v>
      </c>
      <c r="G164" s="31">
        <v>8</v>
      </c>
      <c r="H164" s="31" t="s">
        <v>301</v>
      </c>
      <c r="I164" s="31" t="s">
        <v>184</v>
      </c>
      <c r="J164" s="33">
        <v>107500</v>
      </c>
      <c r="K164" s="33">
        <v>44200</v>
      </c>
      <c r="L164" s="33">
        <v>20300</v>
      </c>
      <c r="M164" s="33">
        <f t="shared" si="16"/>
        <v>172000</v>
      </c>
      <c r="N164" s="34">
        <f t="shared" si="22"/>
        <v>0.0009017340555594</v>
      </c>
      <c r="O164" s="35">
        <f>SUM($M$2:M164)</f>
        <v>144596400</v>
      </c>
      <c r="P164" s="34">
        <f t="shared" si="23"/>
        <v>0.758066849949356</v>
      </c>
      <c r="Q164" s="37">
        <v>17.4</v>
      </c>
      <c r="R164" s="31">
        <v>7</v>
      </c>
      <c r="S164" s="31">
        <v>1</v>
      </c>
      <c r="T164" s="31">
        <v>2</v>
      </c>
      <c r="U164" s="37">
        <v>55.8</v>
      </c>
      <c r="V164" s="31">
        <v>7</v>
      </c>
      <c r="W164" s="31">
        <v>4</v>
      </c>
      <c r="X164" s="38">
        <v>26</v>
      </c>
      <c r="Y164" s="31">
        <v>1</v>
      </c>
      <c r="Z164" s="31">
        <v>1</v>
      </c>
      <c r="AA164" s="31" t="s">
        <v>315</v>
      </c>
      <c r="AB164" s="31" t="s">
        <v>220</v>
      </c>
      <c r="AC164" s="41">
        <f>IFERROR(LOOKUP(M164,打分卡!$F$7:$J$7,打分卡!$K$7:$O$7),1)</f>
        <v>3</v>
      </c>
      <c r="AD164" s="41">
        <f>IFERROR(LOOKUP(S164,打分卡!$F$8:$J$8,打分卡!$K$8:$O$8),1)</f>
        <v>1</v>
      </c>
      <c r="AE164" s="41">
        <f>IFERROR(LOOKUP(T164,打分卡!$F$9:$I$9,打分卡!$K$9:$N$9),1)</f>
        <v>3</v>
      </c>
      <c r="AF164" s="41">
        <f>IFERROR(LOOKUP(Q164,打分卡!$F$10:$J$10,打分卡!$K$10:$O$10),1)</f>
        <v>3</v>
      </c>
      <c r="AG164" s="41">
        <f>IFERROR(LOOKUP(R164,打分卡!$F$11:$J$11,打分卡!$K$11:$O$11),1)</f>
        <v>3</v>
      </c>
      <c r="AH164" s="41">
        <f>IFERROR(LOOKUP(U164,打分卡!$F$12:$J$12,打分卡!$K$12:$O$12),1)</f>
        <v>4</v>
      </c>
      <c r="AI164" s="41">
        <f>IFERROR(LOOKUP(X164,打分卡!$F$13:$J$13,打分卡!$K$13:$O$13),1)</f>
        <v>2</v>
      </c>
      <c r="AJ164" s="41">
        <f>IFERROR(LOOKUP(Y164,打分卡!$F$14:$J$14,打分卡!$K$14:$O$14),1)</f>
        <v>2</v>
      </c>
      <c r="AK164" s="41">
        <f>IFERROR(LOOKUP(W164,打分卡!$F$15:$J$15,打分卡!$K$15:$O$15),1)</f>
        <v>3</v>
      </c>
      <c r="AL164" s="43">
        <f t="shared" si="17"/>
        <v>2</v>
      </c>
      <c r="AM164" s="41">
        <f>IFERROR(LOOKUP(Z164,打分卡!$F$17:$H$17,打分卡!$K$17:$M$17),1)</f>
        <v>3</v>
      </c>
      <c r="AN164" s="44">
        <f>(打分卡!$D$7*AC164+打分卡!$D$8*AD164+打分卡!$D$9*AE164)/5</f>
        <v>20.8</v>
      </c>
      <c r="AO164" s="44">
        <f>(打分卡!$D$10*AF164+打分卡!$D$11*AG164)/5</f>
        <v>12</v>
      </c>
      <c r="AP164" s="44">
        <f>(打分卡!$D$12*AH164+打分卡!$D$13*AI164+打分卡!$D$14*AJ164+打分卡!$D$15*AK164)/5</f>
        <v>17.6</v>
      </c>
      <c r="AQ164" s="44">
        <f>(打分卡!$D$16*AL164+打分卡!$D$17*AM164)/5</f>
        <v>4.8</v>
      </c>
      <c r="AR164" s="47">
        <f t="shared" si="18"/>
        <v>55.2</v>
      </c>
      <c r="AS164" s="43" t="str">
        <f t="shared" si="19"/>
        <v>腰部</v>
      </c>
      <c r="AT164" s="43" t="str">
        <f t="shared" si="20"/>
        <v/>
      </c>
      <c r="AU164" s="43" t="str">
        <f t="shared" si="21"/>
        <v>拉·主攻：主推AI外呼+大促作战包</v>
      </c>
    </row>
    <row r="165" ht="15" customHeight="1" spans="1:47">
      <c r="A165" s="20" t="s">
        <v>679</v>
      </c>
      <c r="B165" s="22" t="s">
        <v>680</v>
      </c>
      <c r="C165" s="22" t="s">
        <v>239</v>
      </c>
      <c r="D165" s="22" t="s">
        <v>196</v>
      </c>
      <c r="E165" s="22" t="s">
        <v>181</v>
      </c>
      <c r="F165" s="20" t="s">
        <v>681</v>
      </c>
      <c r="G165" s="22">
        <v>19</v>
      </c>
      <c r="H165" s="22" t="s">
        <v>301</v>
      </c>
      <c r="I165" s="22" t="s">
        <v>302</v>
      </c>
      <c r="J165" s="36">
        <v>84100</v>
      </c>
      <c r="K165" s="36">
        <v>64300</v>
      </c>
      <c r="L165" s="36">
        <v>22800</v>
      </c>
      <c r="M165" s="36">
        <f t="shared" si="16"/>
        <v>171200</v>
      </c>
      <c r="N165" s="34">
        <f t="shared" si="22"/>
        <v>0.000897539943673077</v>
      </c>
      <c r="O165" s="35">
        <f>SUM($M$2:M165)</f>
        <v>144767600</v>
      </c>
      <c r="P165" s="34">
        <f t="shared" si="23"/>
        <v>0.758964389893029</v>
      </c>
      <c r="Q165" s="39">
        <v>24.6</v>
      </c>
      <c r="R165" s="22">
        <v>1</v>
      </c>
      <c r="S165" s="22">
        <v>2</v>
      </c>
      <c r="T165" s="22">
        <v>2</v>
      </c>
      <c r="U165" s="39">
        <v>2.5</v>
      </c>
      <c r="V165" s="22">
        <v>19</v>
      </c>
      <c r="W165" s="22">
        <v>4</v>
      </c>
      <c r="X165" s="40">
        <v>74</v>
      </c>
      <c r="Y165" s="22">
        <v>3</v>
      </c>
      <c r="Z165" s="22">
        <v>1</v>
      </c>
      <c r="AA165" s="22" t="s">
        <v>185</v>
      </c>
      <c r="AB165" s="22" t="s">
        <v>220</v>
      </c>
      <c r="AC165" s="42">
        <f>IFERROR(LOOKUP(M165,打分卡!$F$7:$J$7,打分卡!$K$7:$O$7),1)</f>
        <v>3</v>
      </c>
      <c r="AD165" s="42">
        <f>IFERROR(LOOKUP(S165,打分卡!$F$8:$J$8,打分卡!$K$8:$O$8),1)</f>
        <v>2</v>
      </c>
      <c r="AE165" s="42">
        <f>IFERROR(LOOKUP(T165,打分卡!$F$9:$I$9,打分卡!$K$9:$N$9),1)</f>
        <v>3</v>
      </c>
      <c r="AF165" s="42">
        <f>IFERROR(LOOKUP(Q165,打分卡!$F$10:$J$10,打分卡!$K$10:$O$10),1)</f>
        <v>4</v>
      </c>
      <c r="AG165" s="42">
        <f>IFERROR(LOOKUP(R165,打分卡!$F$11:$J$11,打分卡!$K$11:$O$11),1)</f>
        <v>1</v>
      </c>
      <c r="AH165" s="42">
        <f>IFERROR(LOOKUP(U165,打分卡!$F$12:$J$12,打分卡!$K$12:$O$12),1)</f>
        <v>1</v>
      </c>
      <c r="AI165" s="42">
        <f>IFERROR(LOOKUP(X165,打分卡!$F$13:$J$13,打分卡!$K$13:$O$13),1)</f>
        <v>3</v>
      </c>
      <c r="AJ165" s="42">
        <f>IFERROR(LOOKUP(Y165,打分卡!$F$14:$J$14,打分卡!$K$14:$O$14),1)</f>
        <v>4</v>
      </c>
      <c r="AK165" s="42">
        <f>IFERROR(LOOKUP(W165,打分卡!$F$15:$J$15,打分卡!$K$15:$O$15),1)</f>
        <v>3</v>
      </c>
      <c r="AL165" s="45">
        <f t="shared" si="17"/>
        <v>3</v>
      </c>
      <c r="AM165" s="42">
        <f>IFERROR(LOOKUP(Z165,打分卡!$F$17:$H$17,打分卡!$K$17:$M$17),1)</f>
        <v>3</v>
      </c>
      <c r="AN165" s="46">
        <f>(打分卡!$D$7*AC165+打分卡!$D$8*AD165+打分卡!$D$9*AE165)/5</f>
        <v>22.4</v>
      </c>
      <c r="AO165" s="46">
        <f>(打分卡!$D$10*AF165+打分卡!$D$11*AG165)/5</f>
        <v>10</v>
      </c>
      <c r="AP165" s="46">
        <f>(打分卡!$D$12*AH165+打分卡!$D$13*AI165+打分卡!$D$14*AJ165+打分卡!$D$15*AK165)/5</f>
        <v>14.4</v>
      </c>
      <c r="AQ165" s="46">
        <f>(打分卡!$D$16*AL165+打分卡!$D$17*AM165)/5</f>
        <v>6</v>
      </c>
      <c r="AR165" s="48">
        <f t="shared" si="18"/>
        <v>52.8</v>
      </c>
      <c r="AS165" s="45" t="str">
        <f t="shared" si="19"/>
        <v>腰部</v>
      </c>
      <c r="AT165" s="45" t="str">
        <f t="shared" si="20"/>
        <v/>
      </c>
      <c r="AU165" s="45" t="str">
        <f t="shared" si="21"/>
        <v>拉·主攻：主推AI外呼+大促作战包</v>
      </c>
    </row>
    <row r="166" ht="15" customHeight="1" spans="1:47">
      <c r="A166" s="30" t="s">
        <v>682</v>
      </c>
      <c r="B166" s="31" t="s">
        <v>683</v>
      </c>
      <c r="C166" s="31" t="s">
        <v>223</v>
      </c>
      <c r="D166" s="31" t="s">
        <v>202</v>
      </c>
      <c r="E166" s="31" t="s">
        <v>181</v>
      </c>
      <c r="F166" s="30" t="s">
        <v>684</v>
      </c>
      <c r="G166" s="31">
        <v>8</v>
      </c>
      <c r="H166" s="31" t="s">
        <v>301</v>
      </c>
      <c r="I166" s="31" t="s">
        <v>302</v>
      </c>
      <c r="J166" s="33">
        <v>110000</v>
      </c>
      <c r="K166" s="33">
        <v>52500</v>
      </c>
      <c r="L166" s="33">
        <v>8600</v>
      </c>
      <c r="M166" s="33">
        <f t="shared" si="16"/>
        <v>171100</v>
      </c>
      <c r="N166" s="34">
        <f t="shared" si="22"/>
        <v>0.000897015679687287</v>
      </c>
      <c r="O166" s="35">
        <f>SUM($M$2:M166)</f>
        <v>144938700</v>
      </c>
      <c r="P166" s="34">
        <f t="shared" si="23"/>
        <v>0.759861405572716</v>
      </c>
      <c r="Q166" s="37">
        <v>17</v>
      </c>
      <c r="R166" s="31">
        <v>10</v>
      </c>
      <c r="S166" s="31">
        <v>2</v>
      </c>
      <c r="T166" s="31">
        <v>1</v>
      </c>
      <c r="U166" s="37">
        <v>2.8</v>
      </c>
      <c r="V166" s="31">
        <v>14</v>
      </c>
      <c r="W166" s="31">
        <v>4</v>
      </c>
      <c r="X166" s="38">
        <v>19</v>
      </c>
      <c r="Y166" s="31">
        <v>0</v>
      </c>
      <c r="Z166" s="31">
        <v>1</v>
      </c>
      <c r="AA166" s="31" t="s">
        <v>315</v>
      </c>
      <c r="AB166" s="31" t="s">
        <v>220</v>
      </c>
      <c r="AC166" s="41">
        <f>IFERROR(LOOKUP(M166,打分卡!$F$7:$J$7,打分卡!$K$7:$O$7),1)</f>
        <v>3</v>
      </c>
      <c r="AD166" s="41">
        <f>IFERROR(LOOKUP(S166,打分卡!$F$8:$J$8,打分卡!$K$8:$O$8),1)</f>
        <v>2</v>
      </c>
      <c r="AE166" s="41">
        <f>IFERROR(LOOKUP(T166,打分卡!$F$9:$I$9,打分卡!$K$9:$N$9),1)</f>
        <v>2</v>
      </c>
      <c r="AF166" s="41">
        <f>IFERROR(LOOKUP(Q166,打分卡!$F$10:$J$10,打分卡!$K$10:$O$10),1)</f>
        <v>3</v>
      </c>
      <c r="AG166" s="41">
        <f>IFERROR(LOOKUP(R166,打分卡!$F$11:$J$11,打分卡!$K$11:$O$11),1)</f>
        <v>4</v>
      </c>
      <c r="AH166" s="41">
        <f>IFERROR(LOOKUP(U166,打分卡!$F$12:$J$12,打分卡!$K$12:$O$12),1)</f>
        <v>2</v>
      </c>
      <c r="AI166" s="41">
        <f>IFERROR(LOOKUP(X166,打分卡!$F$13:$J$13,打分卡!$K$13:$O$13),1)</f>
        <v>2</v>
      </c>
      <c r="AJ166" s="41">
        <f>IFERROR(LOOKUP(Y166,打分卡!$F$14:$J$14,打分卡!$K$14:$O$14),1)</f>
        <v>1</v>
      </c>
      <c r="AK166" s="41">
        <f>IFERROR(LOOKUP(W166,打分卡!$F$15:$J$15,打分卡!$K$15:$O$15),1)</f>
        <v>3</v>
      </c>
      <c r="AL166" s="43">
        <f t="shared" si="17"/>
        <v>2</v>
      </c>
      <c r="AM166" s="41">
        <f>IFERROR(LOOKUP(Z166,打分卡!$F$17:$H$17,打分卡!$K$17:$M$17),1)</f>
        <v>3</v>
      </c>
      <c r="AN166" s="44">
        <f>(打分卡!$D$7*AC166+打分卡!$D$8*AD166+打分卡!$D$9*AE166)/5</f>
        <v>21</v>
      </c>
      <c r="AO166" s="44">
        <f>(打分卡!$D$10*AF166+打分卡!$D$11*AG166)/5</f>
        <v>14</v>
      </c>
      <c r="AP166" s="44">
        <f>(打分卡!$D$12*AH166+打分卡!$D$13*AI166+打分卡!$D$14*AJ166+打分卡!$D$15*AK166)/5</f>
        <v>11.6</v>
      </c>
      <c r="AQ166" s="44">
        <f>(打分卡!$D$16*AL166+打分卡!$D$17*AM166)/5</f>
        <v>4.8</v>
      </c>
      <c r="AR166" s="47">
        <f t="shared" si="18"/>
        <v>51.4</v>
      </c>
      <c r="AS166" s="43" t="str">
        <f t="shared" si="19"/>
        <v>腰部</v>
      </c>
      <c r="AT166" s="43" t="str">
        <f t="shared" si="20"/>
        <v/>
      </c>
      <c r="AU166" s="43" t="str">
        <f t="shared" si="21"/>
        <v>拉·主攻：主推AI外呼+大促作战包</v>
      </c>
    </row>
    <row r="167" ht="15" customHeight="1" spans="1:47">
      <c r="A167" s="20" t="s">
        <v>685</v>
      </c>
      <c r="B167" s="22" t="s">
        <v>686</v>
      </c>
      <c r="C167" s="22" t="s">
        <v>223</v>
      </c>
      <c r="D167" s="22" t="s">
        <v>227</v>
      </c>
      <c r="E167" s="22" t="s">
        <v>181</v>
      </c>
      <c r="F167" s="20" t="s">
        <v>687</v>
      </c>
      <c r="G167" s="22">
        <v>23</v>
      </c>
      <c r="H167" s="22" t="s">
        <v>301</v>
      </c>
      <c r="I167" s="22" t="s">
        <v>302</v>
      </c>
      <c r="J167" s="36">
        <v>94800</v>
      </c>
      <c r="K167" s="36">
        <v>46900</v>
      </c>
      <c r="L167" s="36">
        <v>28900</v>
      </c>
      <c r="M167" s="36">
        <f t="shared" si="16"/>
        <v>170600</v>
      </c>
      <c r="N167" s="34">
        <f t="shared" si="22"/>
        <v>0.000894394359758335</v>
      </c>
      <c r="O167" s="35">
        <f>SUM($M$2:M167)</f>
        <v>145109300</v>
      </c>
      <c r="P167" s="34">
        <f t="shared" si="23"/>
        <v>0.760755799932475</v>
      </c>
      <c r="Q167" s="39">
        <v>14.5</v>
      </c>
      <c r="R167" s="22">
        <v>6</v>
      </c>
      <c r="S167" s="22">
        <v>2</v>
      </c>
      <c r="T167" s="22">
        <v>0</v>
      </c>
      <c r="U167" s="39">
        <v>5.2</v>
      </c>
      <c r="V167" s="22">
        <v>24</v>
      </c>
      <c r="W167" s="22">
        <v>1</v>
      </c>
      <c r="X167" s="40">
        <v>40</v>
      </c>
      <c r="Y167" s="22">
        <v>0</v>
      </c>
      <c r="Z167" s="22">
        <v>0</v>
      </c>
      <c r="AA167" s="22" t="s">
        <v>185</v>
      </c>
      <c r="AB167" s="22" t="s">
        <v>220</v>
      </c>
      <c r="AC167" s="42">
        <f>IFERROR(LOOKUP(M167,打分卡!$F$7:$J$7,打分卡!$K$7:$O$7),1)</f>
        <v>3</v>
      </c>
      <c r="AD167" s="42">
        <f>IFERROR(LOOKUP(S167,打分卡!$F$8:$J$8,打分卡!$K$8:$O$8),1)</f>
        <v>2</v>
      </c>
      <c r="AE167" s="42">
        <f>IFERROR(LOOKUP(T167,打分卡!$F$9:$I$9,打分卡!$K$9:$N$9),1)</f>
        <v>1</v>
      </c>
      <c r="AF167" s="42">
        <f>IFERROR(LOOKUP(Q167,打分卡!$F$10:$J$10,打分卡!$K$10:$O$10),1)</f>
        <v>3</v>
      </c>
      <c r="AG167" s="42">
        <f>IFERROR(LOOKUP(R167,打分卡!$F$11:$J$11,打分卡!$K$11:$O$11),1)</f>
        <v>3</v>
      </c>
      <c r="AH167" s="42">
        <f>IFERROR(LOOKUP(U167,打分卡!$F$12:$J$12,打分卡!$K$12:$O$12),1)</f>
        <v>2</v>
      </c>
      <c r="AI167" s="42">
        <f>IFERROR(LOOKUP(X167,打分卡!$F$13:$J$13,打分卡!$K$13:$O$13),1)</f>
        <v>3</v>
      </c>
      <c r="AJ167" s="42">
        <f>IFERROR(LOOKUP(Y167,打分卡!$F$14:$J$14,打分卡!$K$14:$O$14),1)</f>
        <v>1</v>
      </c>
      <c r="AK167" s="42">
        <f>IFERROR(LOOKUP(W167,打分卡!$F$15:$J$15,打分卡!$K$15:$O$15),1)</f>
        <v>2</v>
      </c>
      <c r="AL167" s="45">
        <f t="shared" si="17"/>
        <v>3</v>
      </c>
      <c r="AM167" s="42">
        <f>IFERROR(LOOKUP(Z167,打分卡!$F$17:$H$17,打分卡!$K$17:$M$17),1)</f>
        <v>1</v>
      </c>
      <c r="AN167" s="46">
        <f>(打分卡!$D$7*AC167+打分卡!$D$8*AD167+打分卡!$D$9*AE167)/5</f>
        <v>19.6</v>
      </c>
      <c r="AO167" s="46">
        <f>(打分卡!$D$10*AF167+打分卡!$D$11*AG167)/5</f>
        <v>12</v>
      </c>
      <c r="AP167" s="46">
        <f>(打分卡!$D$12*AH167+打分卡!$D$13*AI167+打分卡!$D$14*AJ167+打分卡!$D$15*AK167)/5</f>
        <v>12.4</v>
      </c>
      <c r="AQ167" s="46">
        <f>(打分卡!$D$16*AL167+打分卡!$D$17*AM167)/5</f>
        <v>4.4</v>
      </c>
      <c r="AR167" s="48">
        <f t="shared" si="18"/>
        <v>48.4</v>
      </c>
      <c r="AS167" s="45" t="str">
        <f t="shared" si="19"/>
        <v>腰部</v>
      </c>
      <c r="AT167" s="45" t="str">
        <f t="shared" si="20"/>
        <v/>
      </c>
      <c r="AU167" s="45" t="str">
        <f t="shared" si="21"/>
        <v>拉·主攻：主推AI外呼+大促作战包</v>
      </c>
    </row>
    <row r="168" ht="15" customHeight="1" spans="1:47">
      <c r="A168" s="30" t="s">
        <v>688</v>
      </c>
      <c r="B168" s="31" t="s">
        <v>689</v>
      </c>
      <c r="C168" s="31" t="s">
        <v>189</v>
      </c>
      <c r="D168" s="31" t="s">
        <v>196</v>
      </c>
      <c r="E168" s="31" t="s">
        <v>181</v>
      </c>
      <c r="F168" s="30" t="s">
        <v>690</v>
      </c>
      <c r="G168" s="31">
        <v>10</v>
      </c>
      <c r="H168" s="31" t="s">
        <v>301</v>
      </c>
      <c r="I168" s="31" t="s">
        <v>184</v>
      </c>
      <c r="J168" s="33">
        <v>79400</v>
      </c>
      <c r="K168" s="33">
        <v>40900</v>
      </c>
      <c r="L168" s="33">
        <v>47700</v>
      </c>
      <c r="M168" s="33">
        <f t="shared" si="16"/>
        <v>168000</v>
      </c>
      <c r="N168" s="34">
        <f t="shared" si="22"/>
        <v>0.000880763496127786</v>
      </c>
      <c r="O168" s="35">
        <f>SUM($M$2:M168)</f>
        <v>145277300</v>
      </c>
      <c r="P168" s="34">
        <f t="shared" si="23"/>
        <v>0.761636563428603</v>
      </c>
      <c r="Q168" s="37">
        <v>13.7</v>
      </c>
      <c r="R168" s="31">
        <v>4</v>
      </c>
      <c r="S168" s="31">
        <v>3</v>
      </c>
      <c r="T168" s="31">
        <v>2</v>
      </c>
      <c r="U168" s="37">
        <v>22.4</v>
      </c>
      <c r="V168" s="31">
        <v>13</v>
      </c>
      <c r="W168" s="31">
        <v>2</v>
      </c>
      <c r="X168" s="38">
        <v>15</v>
      </c>
      <c r="Y168" s="31">
        <v>1</v>
      </c>
      <c r="Z168" s="31">
        <v>0</v>
      </c>
      <c r="AA168" s="31" t="s">
        <v>199</v>
      </c>
      <c r="AB168" s="31" t="s">
        <v>220</v>
      </c>
      <c r="AC168" s="41">
        <f>IFERROR(LOOKUP(M168,打分卡!$F$7:$J$7,打分卡!$K$7:$O$7),1)</f>
        <v>3</v>
      </c>
      <c r="AD168" s="41">
        <f>IFERROR(LOOKUP(S168,打分卡!$F$8:$J$8,打分卡!$K$8:$O$8),1)</f>
        <v>3</v>
      </c>
      <c r="AE168" s="41">
        <f>IFERROR(LOOKUP(T168,打分卡!$F$9:$I$9,打分卡!$K$9:$N$9),1)</f>
        <v>3</v>
      </c>
      <c r="AF168" s="41">
        <f>IFERROR(LOOKUP(Q168,打分卡!$F$10:$J$10,打分卡!$K$10:$O$10),1)</f>
        <v>3</v>
      </c>
      <c r="AG168" s="41">
        <f>IFERROR(LOOKUP(R168,打分卡!$F$11:$J$11,打分卡!$K$11:$O$11),1)</f>
        <v>2</v>
      </c>
      <c r="AH168" s="41">
        <f>IFERROR(LOOKUP(U168,打分卡!$F$12:$J$12,打分卡!$K$12:$O$12),1)</f>
        <v>3</v>
      </c>
      <c r="AI168" s="41">
        <f>IFERROR(LOOKUP(X168,打分卡!$F$13:$J$13,打分卡!$K$13:$O$13),1)</f>
        <v>1</v>
      </c>
      <c r="AJ168" s="41">
        <f>IFERROR(LOOKUP(Y168,打分卡!$F$14:$J$14,打分卡!$K$14:$O$14),1)</f>
        <v>2</v>
      </c>
      <c r="AK168" s="41">
        <f>IFERROR(LOOKUP(W168,打分卡!$F$15:$J$15,打分卡!$K$15:$O$15),1)</f>
        <v>2</v>
      </c>
      <c r="AL168" s="43">
        <f t="shared" si="17"/>
        <v>5</v>
      </c>
      <c r="AM168" s="41">
        <f>IFERROR(LOOKUP(Z168,打分卡!$F$17:$H$17,打分卡!$K$17:$M$17),1)</f>
        <v>1</v>
      </c>
      <c r="AN168" s="44">
        <f>(打分卡!$D$7*AC168+打分卡!$D$8*AD168+打分卡!$D$9*AE168)/5</f>
        <v>24</v>
      </c>
      <c r="AO168" s="44">
        <f>(打分卡!$D$10*AF168+打分卡!$D$11*AG168)/5</f>
        <v>10</v>
      </c>
      <c r="AP168" s="44">
        <f>(打分卡!$D$12*AH168+打分卡!$D$13*AI168+打分卡!$D$14*AJ168+打分卡!$D$15*AK168)/5</f>
        <v>12.8</v>
      </c>
      <c r="AQ168" s="44">
        <f>(打分卡!$D$16*AL168+打分卡!$D$17*AM168)/5</f>
        <v>6.8</v>
      </c>
      <c r="AR168" s="47">
        <f t="shared" si="18"/>
        <v>53.6</v>
      </c>
      <c r="AS168" s="43" t="str">
        <f t="shared" si="19"/>
        <v>腰部</v>
      </c>
      <c r="AT168" s="43" t="str">
        <f t="shared" si="20"/>
        <v/>
      </c>
      <c r="AU168" s="43" t="str">
        <f t="shared" si="21"/>
        <v>拉·主攻：主推AI外呼+大促作战包</v>
      </c>
    </row>
    <row r="169" ht="15" customHeight="1" spans="1:47">
      <c r="A169" s="20" t="s">
        <v>691</v>
      </c>
      <c r="B169" s="22" t="s">
        <v>692</v>
      </c>
      <c r="C169" s="22" t="s">
        <v>179</v>
      </c>
      <c r="D169" s="22" t="s">
        <v>196</v>
      </c>
      <c r="E169" s="22" t="s">
        <v>181</v>
      </c>
      <c r="F169" s="20" t="s">
        <v>693</v>
      </c>
      <c r="G169" s="22">
        <v>9</v>
      </c>
      <c r="H169" s="22" t="s">
        <v>301</v>
      </c>
      <c r="I169" s="22" t="s">
        <v>302</v>
      </c>
      <c r="J169" s="36">
        <v>98700</v>
      </c>
      <c r="K169" s="36">
        <v>36600</v>
      </c>
      <c r="L169" s="36">
        <v>32800</v>
      </c>
      <c r="M169" s="36">
        <f t="shared" si="16"/>
        <v>168100</v>
      </c>
      <c r="N169" s="34">
        <f t="shared" si="22"/>
        <v>0.000881287760113577</v>
      </c>
      <c r="O169" s="35">
        <f>SUM($M$2:M169)</f>
        <v>145445400</v>
      </c>
      <c r="P169" s="34">
        <f t="shared" si="23"/>
        <v>0.762517851188716</v>
      </c>
      <c r="Q169" s="39">
        <v>13.8</v>
      </c>
      <c r="R169" s="22">
        <v>10</v>
      </c>
      <c r="S169" s="22">
        <v>3</v>
      </c>
      <c r="T169" s="22">
        <v>2</v>
      </c>
      <c r="U169" s="39">
        <v>37.4</v>
      </c>
      <c r="V169" s="22">
        <v>27</v>
      </c>
      <c r="W169" s="22">
        <v>4</v>
      </c>
      <c r="X169" s="40">
        <v>15</v>
      </c>
      <c r="Y169" s="22">
        <v>1</v>
      </c>
      <c r="Z169" s="22">
        <v>1</v>
      </c>
      <c r="AA169" s="22" t="s">
        <v>315</v>
      </c>
      <c r="AB169" s="22" t="s">
        <v>220</v>
      </c>
      <c r="AC169" s="42">
        <f>IFERROR(LOOKUP(M169,打分卡!$F$7:$J$7,打分卡!$K$7:$O$7),1)</f>
        <v>3</v>
      </c>
      <c r="AD169" s="42">
        <f>IFERROR(LOOKUP(S169,打分卡!$F$8:$J$8,打分卡!$K$8:$O$8),1)</f>
        <v>3</v>
      </c>
      <c r="AE169" s="42">
        <f>IFERROR(LOOKUP(T169,打分卡!$F$9:$I$9,打分卡!$K$9:$N$9),1)</f>
        <v>3</v>
      </c>
      <c r="AF169" s="42">
        <f>IFERROR(LOOKUP(Q169,打分卡!$F$10:$J$10,打分卡!$K$10:$O$10),1)</f>
        <v>3</v>
      </c>
      <c r="AG169" s="42">
        <f>IFERROR(LOOKUP(R169,打分卡!$F$11:$J$11,打分卡!$K$11:$O$11),1)</f>
        <v>4</v>
      </c>
      <c r="AH169" s="42">
        <f>IFERROR(LOOKUP(U169,打分卡!$F$12:$J$12,打分卡!$K$12:$O$12),1)</f>
        <v>4</v>
      </c>
      <c r="AI169" s="42">
        <f>IFERROR(LOOKUP(X169,打分卡!$F$13:$J$13,打分卡!$K$13:$O$13),1)</f>
        <v>1</v>
      </c>
      <c r="AJ169" s="42">
        <f>IFERROR(LOOKUP(Y169,打分卡!$F$14:$J$14,打分卡!$K$14:$O$14),1)</f>
        <v>2</v>
      </c>
      <c r="AK169" s="42">
        <f>IFERROR(LOOKUP(W169,打分卡!$F$15:$J$15,打分卡!$K$15:$O$15),1)</f>
        <v>3</v>
      </c>
      <c r="AL169" s="45">
        <f t="shared" si="17"/>
        <v>2</v>
      </c>
      <c r="AM169" s="42">
        <f>IFERROR(LOOKUP(Z169,打分卡!$F$17:$H$17,打分卡!$K$17:$M$17),1)</f>
        <v>3</v>
      </c>
      <c r="AN169" s="46">
        <f>(打分卡!$D$7*AC169+打分卡!$D$8*AD169+打分卡!$D$9*AE169)/5</f>
        <v>24</v>
      </c>
      <c r="AO169" s="46">
        <f>(打分卡!$D$10*AF169+打分卡!$D$11*AG169)/5</f>
        <v>14</v>
      </c>
      <c r="AP169" s="46">
        <f>(打分卡!$D$12*AH169+打分卡!$D$13*AI169+打分卡!$D$14*AJ169+打分卡!$D$15*AK169)/5</f>
        <v>16</v>
      </c>
      <c r="AQ169" s="46">
        <f>(打分卡!$D$16*AL169+打分卡!$D$17*AM169)/5</f>
        <v>4.8</v>
      </c>
      <c r="AR169" s="48">
        <f t="shared" si="18"/>
        <v>58.8</v>
      </c>
      <c r="AS169" s="45" t="str">
        <f t="shared" si="19"/>
        <v>腰部</v>
      </c>
      <c r="AT169" s="45" t="str">
        <f t="shared" si="20"/>
        <v/>
      </c>
      <c r="AU169" s="45" t="str">
        <f t="shared" si="21"/>
        <v>拉·主攻：主推AI外呼+大促作战包</v>
      </c>
    </row>
    <row r="170" ht="15" customHeight="1" spans="1:47">
      <c r="A170" s="30" t="s">
        <v>694</v>
      </c>
      <c r="B170" s="31" t="s">
        <v>695</v>
      </c>
      <c r="C170" s="31" t="s">
        <v>189</v>
      </c>
      <c r="D170" s="31" t="s">
        <v>235</v>
      </c>
      <c r="E170" s="31" t="s">
        <v>197</v>
      </c>
      <c r="F170" s="30" t="s">
        <v>696</v>
      </c>
      <c r="G170" s="31">
        <v>22</v>
      </c>
      <c r="H170" s="31" t="s">
        <v>301</v>
      </c>
      <c r="I170" s="31" t="s">
        <v>302</v>
      </c>
      <c r="J170" s="33">
        <v>99200</v>
      </c>
      <c r="K170" s="33">
        <v>34900</v>
      </c>
      <c r="L170" s="33">
        <v>33900</v>
      </c>
      <c r="M170" s="33">
        <f t="shared" si="16"/>
        <v>168000</v>
      </c>
      <c r="N170" s="34">
        <f t="shared" si="22"/>
        <v>0.000880763496127786</v>
      </c>
      <c r="O170" s="35">
        <f>SUM($M$2:M170)</f>
        <v>145613400</v>
      </c>
      <c r="P170" s="34">
        <f t="shared" si="23"/>
        <v>0.763398614684844</v>
      </c>
      <c r="Q170" s="37">
        <v>16.2</v>
      </c>
      <c r="R170" s="31">
        <v>5</v>
      </c>
      <c r="S170" s="31">
        <v>2</v>
      </c>
      <c r="T170" s="31">
        <v>0</v>
      </c>
      <c r="U170" s="37">
        <v>9.4</v>
      </c>
      <c r="V170" s="31">
        <v>30</v>
      </c>
      <c r="W170" s="31">
        <v>1</v>
      </c>
      <c r="X170" s="38">
        <v>62</v>
      </c>
      <c r="Y170" s="31">
        <v>2</v>
      </c>
      <c r="Z170" s="31">
        <v>1</v>
      </c>
      <c r="AA170" s="31" t="s">
        <v>185</v>
      </c>
      <c r="AB170" s="31" t="s">
        <v>220</v>
      </c>
      <c r="AC170" s="41">
        <f>IFERROR(LOOKUP(M170,打分卡!$F$7:$J$7,打分卡!$K$7:$O$7),1)</f>
        <v>3</v>
      </c>
      <c r="AD170" s="41">
        <f>IFERROR(LOOKUP(S170,打分卡!$F$8:$J$8,打分卡!$K$8:$O$8),1)</f>
        <v>2</v>
      </c>
      <c r="AE170" s="41">
        <f>IFERROR(LOOKUP(T170,打分卡!$F$9:$I$9,打分卡!$K$9:$N$9),1)</f>
        <v>1</v>
      </c>
      <c r="AF170" s="41">
        <f>IFERROR(LOOKUP(Q170,打分卡!$F$10:$J$10,打分卡!$K$10:$O$10),1)</f>
        <v>3</v>
      </c>
      <c r="AG170" s="41">
        <f>IFERROR(LOOKUP(R170,打分卡!$F$11:$J$11,打分卡!$K$11:$O$11),1)</f>
        <v>3</v>
      </c>
      <c r="AH170" s="41">
        <f>IFERROR(LOOKUP(U170,打分卡!$F$12:$J$12,打分卡!$K$12:$O$12),1)</f>
        <v>2</v>
      </c>
      <c r="AI170" s="41">
        <f>IFERROR(LOOKUP(X170,打分卡!$F$13:$J$13,打分卡!$K$13:$O$13),1)</f>
        <v>3</v>
      </c>
      <c r="AJ170" s="41">
        <f>IFERROR(LOOKUP(Y170,打分卡!$F$14:$J$14,打分卡!$K$14:$O$14),1)</f>
        <v>3</v>
      </c>
      <c r="AK170" s="41">
        <f>IFERROR(LOOKUP(W170,打分卡!$F$15:$J$15,打分卡!$K$15:$O$15),1)</f>
        <v>2</v>
      </c>
      <c r="AL170" s="43">
        <f t="shared" si="17"/>
        <v>3</v>
      </c>
      <c r="AM170" s="41">
        <f>IFERROR(LOOKUP(Z170,打分卡!$F$17:$H$17,打分卡!$K$17:$M$17),1)</f>
        <v>3</v>
      </c>
      <c r="AN170" s="44">
        <f>(打分卡!$D$7*AC170+打分卡!$D$8*AD170+打分卡!$D$9*AE170)/5</f>
        <v>19.6</v>
      </c>
      <c r="AO170" s="44">
        <f>(打分卡!$D$10*AF170+打分卡!$D$11*AG170)/5</f>
        <v>12</v>
      </c>
      <c r="AP170" s="44">
        <f>(打分卡!$D$12*AH170+打分卡!$D$13*AI170+打分卡!$D$14*AJ170+打分卡!$D$15*AK170)/5</f>
        <v>14.8</v>
      </c>
      <c r="AQ170" s="44">
        <f>(打分卡!$D$16*AL170+打分卡!$D$17*AM170)/5</f>
        <v>6</v>
      </c>
      <c r="AR170" s="47">
        <f t="shared" si="18"/>
        <v>52.4</v>
      </c>
      <c r="AS170" s="43" t="str">
        <f t="shared" si="19"/>
        <v>腰部</v>
      </c>
      <c r="AT170" s="43" t="str">
        <f t="shared" si="20"/>
        <v/>
      </c>
      <c r="AU170" s="43" t="str">
        <f t="shared" si="21"/>
        <v>拉·主攻：主推AI外呼+大促作战包</v>
      </c>
    </row>
    <row r="171" ht="15" customHeight="1" spans="1:47">
      <c r="A171" s="20" t="s">
        <v>697</v>
      </c>
      <c r="B171" s="22" t="s">
        <v>698</v>
      </c>
      <c r="C171" s="22" t="s">
        <v>239</v>
      </c>
      <c r="D171" s="22" t="s">
        <v>202</v>
      </c>
      <c r="E171" s="22" t="s">
        <v>197</v>
      </c>
      <c r="F171" s="20" t="s">
        <v>699</v>
      </c>
      <c r="G171" s="22">
        <v>10</v>
      </c>
      <c r="H171" s="22" t="s">
        <v>301</v>
      </c>
      <c r="I171" s="22" t="s">
        <v>302</v>
      </c>
      <c r="J171" s="36">
        <v>88500</v>
      </c>
      <c r="K171" s="36">
        <v>51000</v>
      </c>
      <c r="L171" s="36">
        <v>28200</v>
      </c>
      <c r="M171" s="36">
        <f t="shared" si="16"/>
        <v>167700</v>
      </c>
      <c r="N171" s="34">
        <f t="shared" si="22"/>
        <v>0.000879190704170415</v>
      </c>
      <c r="O171" s="35">
        <f>SUM($M$2:M171)</f>
        <v>145781100</v>
      </c>
      <c r="P171" s="34">
        <f t="shared" si="23"/>
        <v>0.764277805389014</v>
      </c>
      <c r="Q171" s="39">
        <v>17.8</v>
      </c>
      <c r="R171" s="22">
        <v>2</v>
      </c>
      <c r="S171" s="22">
        <v>1</v>
      </c>
      <c r="T171" s="22">
        <v>2</v>
      </c>
      <c r="U171" s="39">
        <v>2.2</v>
      </c>
      <c r="V171" s="22">
        <v>8</v>
      </c>
      <c r="W171" s="22">
        <v>4</v>
      </c>
      <c r="X171" s="40">
        <v>51</v>
      </c>
      <c r="Y171" s="22">
        <v>3</v>
      </c>
      <c r="Z171" s="22">
        <v>0</v>
      </c>
      <c r="AA171" s="22" t="s">
        <v>315</v>
      </c>
      <c r="AB171" s="22" t="s">
        <v>220</v>
      </c>
      <c r="AC171" s="42">
        <f>IFERROR(LOOKUP(M171,打分卡!$F$7:$J$7,打分卡!$K$7:$O$7),1)</f>
        <v>3</v>
      </c>
      <c r="AD171" s="42">
        <f>IFERROR(LOOKUP(S171,打分卡!$F$8:$J$8,打分卡!$K$8:$O$8),1)</f>
        <v>1</v>
      </c>
      <c r="AE171" s="42">
        <f>IFERROR(LOOKUP(T171,打分卡!$F$9:$I$9,打分卡!$K$9:$N$9),1)</f>
        <v>3</v>
      </c>
      <c r="AF171" s="42">
        <f>IFERROR(LOOKUP(Q171,打分卡!$F$10:$J$10,打分卡!$K$10:$O$10),1)</f>
        <v>3</v>
      </c>
      <c r="AG171" s="42">
        <f>IFERROR(LOOKUP(R171,打分卡!$F$11:$J$11,打分卡!$K$11:$O$11),1)</f>
        <v>1</v>
      </c>
      <c r="AH171" s="42">
        <f>IFERROR(LOOKUP(U171,打分卡!$F$12:$J$12,打分卡!$K$12:$O$12),1)</f>
        <v>1</v>
      </c>
      <c r="AI171" s="42">
        <f>IFERROR(LOOKUP(X171,打分卡!$F$13:$J$13,打分卡!$K$13:$O$13),1)</f>
        <v>3</v>
      </c>
      <c r="AJ171" s="42">
        <f>IFERROR(LOOKUP(Y171,打分卡!$F$14:$J$14,打分卡!$K$14:$O$14),1)</f>
        <v>4</v>
      </c>
      <c r="AK171" s="42">
        <f>IFERROR(LOOKUP(W171,打分卡!$F$15:$J$15,打分卡!$K$15:$O$15),1)</f>
        <v>3</v>
      </c>
      <c r="AL171" s="45">
        <f t="shared" si="17"/>
        <v>2</v>
      </c>
      <c r="AM171" s="42">
        <f>IFERROR(LOOKUP(Z171,打分卡!$F$17:$H$17,打分卡!$K$17:$M$17),1)</f>
        <v>1</v>
      </c>
      <c r="AN171" s="46">
        <f>(打分卡!$D$7*AC171+打分卡!$D$8*AD171+打分卡!$D$9*AE171)/5</f>
        <v>20.8</v>
      </c>
      <c r="AO171" s="46">
        <f>(打分卡!$D$10*AF171+打分卡!$D$11*AG171)/5</f>
        <v>8</v>
      </c>
      <c r="AP171" s="46">
        <f>(打分卡!$D$12*AH171+打分卡!$D$13*AI171+打分卡!$D$14*AJ171+打分卡!$D$15*AK171)/5</f>
        <v>14.4</v>
      </c>
      <c r="AQ171" s="46">
        <f>(打分卡!$D$16*AL171+打分卡!$D$17*AM171)/5</f>
        <v>3.2</v>
      </c>
      <c r="AR171" s="48">
        <f t="shared" si="18"/>
        <v>46.4</v>
      </c>
      <c r="AS171" s="45" t="str">
        <f t="shared" si="19"/>
        <v>腰部</v>
      </c>
      <c r="AT171" s="45" t="str">
        <f t="shared" si="20"/>
        <v/>
      </c>
      <c r="AU171" s="45" t="str">
        <f t="shared" si="21"/>
        <v>拉·主攻：主推AI外呼+大促作战包</v>
      </c>
    </row>
    <row r="172" ht="15" customHeight="1" spans="1:47">
      <c r="A172" s="30" t="s">
        <v>700</v>
      </c>
      <c r="B172" s="31" t="s">
        <v>701</v>
      </c>
      <c r="C172" s="31" t="s">
        <v>189</v>
      </c>
      <c r="D172" s="31" t="s">
        <v>202</v>
      </c>
      <c r="E172" s="31" t="s">
        <v>197</v>
      </c>
      <c r="F172" s="30" t="s">
        <v>702</v>
      </c>
      <c r="G172" s="31">
        <v>10</v>
      </c>
      <c r="H172" s="31" t="s">
        <v>301</v>
      </c>
      <c r="I172" s="31" t="s">
        <v>302</v>
      </c>
      <c r="J172" s="33">
        <v>86000</v>
      </c>
      <c r="K172" s="33">
        <v>36900</v>
      </c>
      <c r="L172" s="33">
        <v>44100</v>
      </c>
      <c r="M172" s="33">
        <f t="shared" si="16"/>
        <v>167000</v>
      </c>
      <c r="N172" s="34">
        <f t="shared" si="22"/>
        <v>0.000875520856269883</v>
      </c>
      <c r="O172" s="35">
        <f>SUM($M$2:M172)</f>
        <v>145948100</v>
      </c>
      <c r="P172" s="34">
        <f t="shared" si="23"/>
        <v>0.765153326245284</v>
      </c>
      <c r="Q172" s="37">
        <v>18.9</v>
      </c>
      <c r="R172" s="31">
        <v>8</v>
      </c>
      <c r="S172" s="31">
        <v>1</v>
      </c>
      <c r="T172" s="31">
        <v>2</v>
      </c>
      <c r="U172" s="37">
        <v>13.5</v>
      </c>
      <c r="V172" s="31">
        <v>29</v>
      </c>
      <c r="W172" s="31">
        <v>0</v>
      </c>
      <c r="X172" s="38">
        <v>68</v>
      </c>
      <c r="Y172" s="31">
        <v>2</v>
      </c>
      <c r="Z172" s="31">
        <v>1</v>
      </c>
      <c r="AA172" s="31" t="s">
        <v>315</v>
      </c>
      <c r="AB172" s="31" t="s">
        <v>220</v>
      </c>
      <c r="AC172" s="41">
        <f>IFERROR(LOOKUP(M172,打分卡!$F$7:$J$7,打分卡!$K$7:$O$7),1)</f>
        <v>3</v>
      </c>
      <c r="AD172" s="41">
        <f>IFERROR(LOOKUP(S172,打分卡!$F$8:$J$8,打分卡!$K$8:$O$8),1)</f>
        <v>1</v>
      </c>
      <c r="AE172" s="41">
        <f>IFERROR(LOOKUP(T172,打分卡!$F$9:$I$9,打分卡!$K$9:$N$9),1)</f>
        <v>3</v>
      </c>
      <c r="AF172" s="41">
        <f>IFERROR(LOOKUP(Q172,打分卡!$F$10:$J$10,打分卡!$K$10:$O$10),1)</f>
        <v>3</v>
      </c>
      <c r="AG172" s="41">
        <f>IFERROR(LOOKUP(R172,打分卡!$F$11:$J$11,打分卡!$K$11:$O$11),1)</f>
        <v>3</v>
      </c>
      <c r="AH172" s="41">
        <f>IFERROR(LOOKUP(U172,打分卡!$F$12:$J$12,打分卡!$K$12:$O$12),1)</f>
        <v>3</v>
      </c>
      <c r="AI172" s="41">
        <f>IFERROR(LOOKUP(X172,打分卡!$F$13:$J$13,打分卡!$K$13:$O$13),1)</f>
        <v>3</v>
      </c>
      <c r="AJ172" s="41">
        <f>IFERROR(LOOKUP(Y172,打分卡!$F$14:$J$14,打分卡!$K$14:$O$14),1)</f>
        <v>3</v>
      </c>
      <c r="AK172" s="41">
        <f>IFERROR(LOOKUP(W172,打分卡!$F$15:$J$15,打分卡!$K$15:$O$15),1)</f>
        <v>1</v>
      </c>
      <c r="AL172" s="43">
        <f t="shared" si="17"/>
        <v>2</v>
      </c>
      <c r="AM172" s="41">
        <f>IFERROR(LOOKUP(Z172,打分卡!$F$17:$H$17,打分卡!$K$17:$M$17),1)</f>
        <v>3</v>
      </c>
      <c r="AN172" s="44">
        <f>(打分卡!$D$7*AC172+打分卡!$D$8*AD172+打分卡!$D$9*AE172)/5</f>
        <v>20.8</v>
      </c>
      <c r="AO172" s="44">
        <f>(打分卡!$D$10*AF172+打分卡!$D$11*AG172)/5</f>
        <v>12</v>
      </c>
      <c r="AP172" s="44">
        <f>(打分卡!$D$12*AH172+打分卡!$D$13*AI172+打分卡!$D$14*AJ172+打分卡!$D$15*AK172)/5</f>
        <v>16.4</v>
      </c>
      <c r="AQ172" s="44">
        <f>(打分卡!$D$16*AL172+打分卡!$D$17*AM172)/5</f>
        <v>4.8</v>
      </c>
      <c r="AR172" s="47">
        <f t="shared" si="18"/>
        <v>54</v>
      </c>
      <c r="AS172" s="43" t="str">
        <f t="shared" si="19"/>
        <v>腰部</v>
      </c>
      <c r="AT172" s="43" t="str">
        <f t="shared" si="20"/>
        <v/>
      </c>
      <c r="AU172" s="43" t="str">
        <f t="shared" si="21"/>
        <v>拉·主攻：主推AI外呼+大促作战包</v>
      </c>
    </row>
    <row r="173" ht="15" customHeight="1" spans="1:47">
      <c r="A173" s="20" t="s">
        <v>703</v>
      </c>
      <c r="B173" s="22" t="s">
        <v>704</v>
      </c>
      <c r="C173" s="22" t="s">
        <v>239</v>
      </c>
      <c r="D173" s="22" t="s">
        <v>202</v>
      </c>
      <c r="E173" s="22" t="s">
        <v>197</v>
      </c>
      <c r="F173" s="20" t="s">
        <v>705</v>
      </c>
      <c r="G173" s="22">
        <v>3</v>
      </c>
      <c r="H173" s="22" t="s">
        <v>301</v>
      </c>
      <c r="I173" s="22" t="s">
        <v>302</v>
      </c>
      <c r="J173" s="36">
        <v>97700</v>
      </c>
      <c r="K173" s="36">
        <v>60100</v>
      </c>
      <c r="L173" s="36">
        <v>8300</v>
      </c>
      <c r="M173" s="36">
        <f t="shared" si="16"/>
        <v>166100</v>
      </c>
      <c r="N173" s="34">
        <f t="shared" si="22"/>
        <v>0.00087080248039777</v>
      </c>
      <c r="O173" s="35">
        <f>SUM($M$2:M173)</f>
        <v>146114200</v>
      </c>
      <c r="P173" s="34">
        <f t="shared" si="23"/>
        <v>0.766024128725682</v>
      </c>
      <c r="Q173" s="39">
        <v>24.8</v>
      </c>
      <c r="R173" s="22">
        <v>10</v>
      </c>
      <c r="S173" s="22">
        <v>3</v>
      </c>
      <c r="T173" s="22">
        <v>2</v>
      </c>
      <c r="U173" s="39">
        <v>46.7</v>
      </c>
      <c r="V173" s="22">
        <v>23</v>
      </c>
      <c r="W173" s="22">
        <v>2</v>
      </c>
      <c r="X173" s="40">
        <v>95</v>
      </c>
      <c r="Y173" s="22">
        <v>2</v>
      </c>
      <c r="Z173" s="22">
        <v>0</v>
      </c>
      <c r="AA173" s="22" t="s">
        <v>185</v>
      </c>
      <c r="AB173" s="22" t="s">
        <v>220</v>
      </c>
      <c r="AC173" s="42">
        <f>IFERROR(LOOKUP(M173,打分卡!$F$7:$J$7,打分卡!$K$7:$O$7),1)</f>
        <v>3</v>
      </c>
      <c r="AD173" s="42">
        <f>IFERROR(LOOKUP(S173,打分卡!$F$8:$J$8,打分卡!$K$8:$O$8),1)</f>
        <v>3</v>
      </c>
      <c r="AE173" s="42">
        <f>IFERROR(LOOKUP(T173,打分卡!$F$9:$I$9,打分卡!$K$9:$N$9),1)</f>
        <v>3</v>
      </c>
      <c r="AF173" s="42">
        <f>IFERROR(LOOKUP(Q173,打分卡!$F$10:$J$10,打分卡!$K$10:$O$10),1)</f>
        <v>4</v>
      </c>
      <c r="AG173" s="42">
        <f>IFERROR(LOOKUP(R173,打分卡!$F$11:$J$11,打分卡!$K$11:$O$11),1)</f>
        <v>4</v>
      </c>
      <c r="AH173" s="42">
        <f>IFERROR(LOOKUP(U173,打分卡!$F$12:$J$12,打分卡!$K$12:$O$12),1)</f>
        <v>4</v>
      </c>
      <c r="AI173" s="42">
        <f>IFERROR(LOOKUP(X173,打分卡!$F$13:$J$13,打分卡!$K$13:$O$13),1)</f>
        <v>4</v>
      </c>
      <c r="AJ173" s="42">
        <f>IFERROR(LOOKUP(Y173,打分卡!$F$14:$J$14,打分卡!$K$14:$O$14),1)</f>
        <v>3</v>
      </c>
      <c r="AK173" s="42">
        <f>IFERROR(LOOKUP(W173,打分卡!$F$15:$J$15,打分卡!$K$15:$O$15),1)</f>
        <v>2</v>
      </c>
      <c r="AL173" s="45">
        <f t="shared" si="17"/>
        <v>3</v>
      </c>
      <c r="AM173" s="42">
        <f>IFERROR(LOOKUP(Z173,打分卡!$F$17:$H$17,打分卡!$K$17:$M$17),1)</f>
        <v>1</v>
      </c>
      <c r="AN173" s="46">
        <f>(打分卡!$D$7*AC173+打分卡!$D$8*AD173+打分卡!$D$9*AE173)/5</f>
        <v>24</v>
      </c>
      <c r="AO173" s="46">
        <f>(打分卡!$D$10*AF173+打分卡!$D$11*AG173)/5</f>
        <v>16</v>
      </c>
      <c r="AP173" s="46">
        <f>(打分卡!$D$12*AH173+打分卡!$D$13*AI173+打分卡!$D$14*AJ173+打分卡!$D$15*AK173)/5</f>
        <v>21.2</v>
      </c>
      <c r="AQ173" s="46">
        <f>(打分卡!$D$16*AL173+打分卡!$D$17*AM173)/5</f>
        <v>4.4</v>
      </c>
      <c r="AR173" s="48">
        <f t="shared" si="18"/>
        <v>65.6</v>
      </c>
      <c r="AS173" s="45" t="str">
        <f t="shared" si="19"/>
        <v>腰部</v>
      </c>
      <c r="AT173" s="45" t="str">
        <f t="shared" si="20"/>
        <v/>
      </c>
      <c r="AU173" s="45" t="str">
        <f t="shared" si="21"/>
        <v>拉·主攻：主推AI外呼+大促作战包</v>
      </c>
    </row>
    <row r="174" ht="15" customHeight="1" spans="1:47">
      <c r="A174" s="30" t="s">
        <v>706</v>
      </c>
      <c r="B174" s="31" t="s">
        <v>707</v>
      </c>
      <c r="C174" s="31" t="s">
        <v>209</v>
      </c>
      <c r="D174" s="31" t="s">
        <v>202</v>
      </c>
      <c r="E174" s="31" t="s">
        <v>181</v>
      </c>
      <c r="F174" s="30" t="s">
        <v>708</v>
      </c>
      <c r="G174" s="31">
        <v>5</v>
      </c>
      <c r="H174" s="31" t="s">
        <v>183</v>
      </c>
      <c r="I174" s="31" t="s">
        <v>184</v>
      </c>
      <c r="J174" s="33">
        <v>90900</v>
      </c>
      <c r="K174" s="33">
        <v>65100</v>
      </c>
      <c r="L174" s="33">
        <v>9900</v>
      </c>
      <c r="M174" s="33">
        <f t="shared" si="16"/>
        <v>165900</v>
      </c>
      <c r="N174" s="34">
        <f t="shared" si="22"/>
        <v>0.000869753952426189</v>
      </c>
      <c r="O174" s="35">
        <f>SUM($M$2:M174)</f>
        <v>146280100</v>
      </c>
      <c r="P174" s="34">
        <f t="shared" si="23"/>
        <v>0.766893882678108</v>
      </c>
      <c r="Q174" s="37">
        <v>19.3</v>
      </c>
      <c r="R174" s="31">
        <v>9</v>
      </c>
      <c r="S174" s="31">
        <v>3</v>
      </c>
      <c r="T174" s="31">
        <v>2</v>
      </c>
      <c r="U174" s="37">
        <v>4</v>
      </c>
      <c r="V174" s="31">
        <v>27</v>
      </c>
      <c r="W174" s="31">
        <v>1</v>
      </c>
      <c r="X174" s="38">
        <v>98</v>
      </c>
      <c r="Y174" s="31">
        <v>1</v>
      </c>
      <c r="Z174" s="31">
        <v>0</v>
      </c>
      <c r="AA174" s="31" t="s">
        <v>185</v>
      </c>
      <c r="AB174" s="31" t="s">
        <v>220</v>
      </c>
      <c r="AC174" s="41">
        <f>IFERROR(LOOKUP(M174,打分卡!$F$7:$J$7,打分卡!$K$7:$O$7),1)</f>
        <v>3</v>
      </c>
      <c r="AD174" s="41">
        <f>IFERROR(LOOKUP(S174,打分卡!$F$8:$J$8,打分卡!$K$8:$O$8),1)</f>
        <v>3</v>
      </c>
      <c r="AE174" s="41">
        <f>IFERROR(LOOKUP(T174,打分卡!$F$9:$I$9,打分卡!$K$9:$N$9),1)</f>
        <v>3</v>
      </c>
      <c r="AF174" s="41">
        <f>IFERROR(LOOKUP(Q174,打分卡!$F$10:$J$10,打分卡!$K$10:$O$10),1)</f>
        <v>3</v>
      </c>
      <c r="AG174" s="41">
        <f>IFERROR(LOOKUP(R174,打分卡!$F$11:$J$11,打分卡!$K$11:$O$11),1)</f>
        <v>4</v>
      </c>
      <c r="AH174" s="41">
        <f>IFERROR(LOOKUP(U174,打分卡!$F$12:$J$12,打分卡!$K$12:$O$12),1)</f>
        <v>2</v>
      </c>
      <c r="AI174" s="41">
        <f>IFERROR(LOOKUP(X174,打分卡!$F$13:$J$13,打分卡!$K$13:$O$13),1)</f>
        <v>4</v>
      </c>
      <c r="AJ174" s="41">
        <f>IFERROR(LOOKUP(Y174,打分卡!$F$14:$J$14,打分卡!$K$14:$O$14),1)</f>
        <v>2</v>
      </c>
      <c r="AK174" s="41">
        <f>IFERROR(LOOKUP(W174,打分卡!$F$15:$J$15,打分卡!$K$15:$O$15),1)</f>
        <v>2</v>
      </c>
      <c r="AL174" s="43">
        <f t="shared" si="17"/>
        <v>3</v>
      </c>
      <c r="AM174" s="41">
        <f>IFERROR(LOOKUP(Z174,打分卡!$F$17:$H$17,打分卡!$K$17:$M$17),1)</f>
        <v>1</v>
      </c>
      <c r="AN174" s="44">
        <f>(打分卡!$D$7*AC174+打分卡!$D$8*AD174+打分卡!$D$9*AE174)/5</f>
        <v>24</v>
      </c>
      <c r="AO174" s="44">
        <f>(打分卡!$D$10*AF174+打分卡!$D$11*AG174)/5</f>
        <v>14</v>
      </c>
      <c r="AP174" s="44">
        <f>(打分卡!$D$12*AH174+打分卡!$D$13*AI174+打分卡!$D$14*AJ174+打分卡!$D$15*AK174)/5</f>
        <v>15.2</v>
      </c>
      <c r="AQ174" s="44">
        <f>(打分卡!$D$16*AL174+打分卡!$D$17*AM174)/5</f>
        <v>4.4</v>
      </c>
      <c r="AR174" s="47">
        <f t="shared" si="18"/>
        <v>57.6</v>
      </c>
      <c r="AS174" s="43" t="str">
        <f t="shared" si="19"/>
        <v>腰部</v>
      </c>
      <c r="AT174" s="43" t="str">
        <f t="shared" si="20"/>
        <v/>
      </c>
      <c r="AU174" s="43" t="str">
        <f t="shared" si="21"/>
        <v>拉·主攻：主推AI外呼+大促作战包</v>
      </c>
    </row>
    <row r="175" ht="15" customHeight="1" spans="1:47">
      <c r="A175" s="20" t="s">
        <v>709</v>
      </c>
      <c r="B175" s="22" t="s">
        <v>710</v>
      </c>
      <c r="C175" s="22" t="s">
        <v>195</v>
      </c>
      <c r="D175" s="22" t="s">
        <v>196</v>
      </c>
      <c r="E175" s="22" t="s">
        <v>181</v>
      </c>
      <c r="F175" s="20" t="s">
        <v>711</v>
      </c>
      <c r="G175" s="22">
        <v>23</v>
      </c>
      <c r="H175" s="22" t="s">
        <v>301</v>
      </c>
      <c r="I175" s="22" t="s">
        <v>184</v>
      </c>
      <c r="J175" s="36">
        <v>78800</v>
      </c>
      <c r="K175" s="36">
        <v>59400</v>
      </c>
      <c r="L175" s="36">
        <v>27100</v>
      </c>
      <c r="M175" s="36">
        <f t="shared" si="16"/>
        <v>165300</v>
      </c>
      <c r="N175" s="34">
        <f t="shared" si="22"/>
        <v>0.000866608368511447</v>
      </c>
      <c r="O175" s="35">
        <f>SUM($M$2:M175)</f>
        <v>146445400</v>
      </c>
      <c r="P175" s="34">
        <f t="shared" si="23"/>
        <v>0.76776049104662</v>
      </c>
      <c r="Q175" s="39">
        <v>19.3</v>
      </c>
      <c r="R175" s="22">
        <v>4</v>
      </c>
      <c r="S175" s="22">
        <v>1</v>
      </c>
      <c r="T175" s="22">
        <v>0</v>
      </c>
      <c r="U175" s="39">
        <v>1.3</v>
      </c>
      <c r="V175" s="22">
        <v>27</v>
      </c>
      <c r="W175" s="22">
        <v>0</v>
      </c>
      <c r="X175" s="40">
        <v>55</v>
      </c>
      <c r="Y175" s="22">
        <v>1</v>
      </c>
      <c r="Z175" s="22">
        <v>0</v>
      </c>
      <c r="AA175" s="22" t="s">
        <v>185</v>
      </c>
      <c r="AB175" s="22" t="s">
        <v>220</v>
      </c>
      <c r="AC175" s="42">
        <f>IFERROR(LOOKUP(M175,打分卡!$F$7:$J$7,打分卡!$K$7:$O$7),1)</f>
        <v>3</v>
      </c>
      <c r="AD175" s="42">
        <f>IFERROR(LOOKUP(S175,打分卡!$F$8:$J$8,打分卡!$K$8:$O$8),1)</f>
        <v>1</v>
      </c>
      <c r="AE175" s="42">
        <f>IFERROR(LOOKUP(T175,打分卡!$F$9:$I$9,打分卡!$K$9:$N$9),1)</f>
        <v>1</v>
      </c>
      <c r="AF175" s="42">
        <f>IFERROR(LOOKUP(Q175,打分卡!$F$10:$J$10,打分卡!$K$10:$O$10),1)</f>
        <v>3</v>
      </c>
      <c r="AG175" s="42">
        <f>IFERROR(LOOKUP(R175,打分卡!$F$11:$J$11,打分卡!$K$11:$O$11),1)</f>
        <v>2</v>
      </c>
      <c r="AH175" s="42">
        <f>IFERROR(LOOKUP(U175,打分卡!$F$12:$J$12,打分卡!$K$12:$O$12),1)</f>
        <v>1</v>
      </c>
      <c r="AI175" s="42">
        <f>IFERROR(LOOKUP(X175,打分卡!$F$13:$J$13,打分卡!$K$13:$O$13),1)</f>
        <v>3</v>
      </c>
      <c r="AJ175" s="42">
        <f>IFERROR(LOOKUP(Y175,打分卡!$F$14:$J$14,打分卡!$K$14:$O$14),1)</f>
        <v>2</v>
      </c>
      <c r="AK175" s="42">
        <f>IFERROR(LOOKUP(W175,打分卡!$F$15:$J$15,打分卡!$K$15:$O$15),1)</f>
        <v>1</v>
      </c>
      <c r="AL175" s="45">
        <f t="shared" si="17"/>
        <v>3</v>
      </c>
      <c r="AM175" s="42">
        <f>IFERROR(LOOKUP(Z175,打分卡!$F$17:$H$17,打分卡!$K$17:$M$17),1)</f>
        <v>1</v>
      </c>
      <c r="AN175" s="46">
        <f>(打分卡!$D$7*AC175+打分卡!$D$8*AD175+打分卡!$D$9*AE175)/5</f>
        <v>18</v>
      </c>
      <c r="AO175" s="46">
        <f>(打分卡!$D$10*AF175+打分卡!$D$11*AG175)/5</f>
        <v>10</v>
      </c>
      <c r="AP175" s="46">
        <f>(打分卡!$D$12*AH175+打分卡!$D$13*AI175+打分卡!$D$14*AJ175+打分卡!$D$15*AK175)/5</f>
        <v>10.4</v>
      </c>
      <c r="AQ175" s="46">
        <f>(打分卡!$D$16*AL175+打分卡!$D$17*AM175)/5</f>
        <v>4.4</v>
      </c>
      <c r="AR175" s="48">
        <f t="shared" si="18"/>
        <v>42.8</v>
      </c>
      <c r="AS175" s="45" t="str">
        <f t="shared" si="19"/>
        <v>腰部</v>
      </c>
      <c r="AT175" s="45" t="str">
        <f t="shared" si="20"/>
        <v/>
      </c>
      <c r="AU175" s="45" t="str">
        <f t="shared" si="21"/>
        <v>拉·主攻：主推AI外呼+大促作战包</v>
      </c>
    </row>
    <row r="176" ht="15" customHeight="1" spans="1:47">
      <c r="A176" s="30" t="s">
        <v>712</v>
      </c>
      <c r="B176" s="31" t="s">
        <v>713</v>
      </c>
      <c r="C176" s="31" t="s">
        <v>189</v>
      </c>
      <c r="D176" s="31" t="s">
        <v>180</v>
      </c>
      <c r="E176" s="31" t="s">
        <v>197</v>
      </c>
      <c r="F176" s="30" t="s">
        <v>714</v>
      </c>
      <c r="G176" s="31">
        <v>10</v>
      </c>
      <c r="H176" s="31" t="s">
        <v>301</v>
      </c>
      <c r="I176" s="31" t="s">
        <v>184</v>
      </c>
      <c r="J176" s="33">
        <v>91900</v>
      </c>
      <c r="K176" s="33">
        <v>61000</v>
      </c>
      <c r="L176" s="33">
        <v>12400</v>
      </c>
      <c r="M176" s="33">
        <f t="shared" si="16"/>
        <v>165300</v>
      </c>
      <c r="N176" s="34">
        <f t="shared" si="22"/>
        <v>0.000866608368511447</v>
      </c>
      <c r="O176" s="35">
        <f>SUM($M$2:M176)</f>
        <v>146610700</v>
      </c>
      <c r="P176" s="34">
        <f t="shared" si="23"/>
        <v>0.768627099415131</v>
      </c>
      <c r="Q176" s="37">
        <v>12.5</v>
      </c>
      <c r="R176" s="31">
        <v>8</v>
      </c>
      <c r="S176" s="31">
        <v>2</v>
      </c>
      <c r="T176" s="31">
        <v>1</v>
      </c>
      <c r="U176" s="37">
        <v>10.4</v>
      </c>
      <c r="V176" s="31">
        <v>13</v>
      </c>
      <c r="W176" s="31">
        <v>1</v>
      </c>
      <c r="X176" s="38">
        <v>117</v>
      </c>
      <c r="Y176" s="31">
        <v>2</v>
      </c>
      <c r="Z176" s="31">
        <v>0</v>
      </c>
      <c r="AA176" s="31" t="s">
        <v>199</v>
      </c>
      <c r="AB176" s="31" t="s">
        <v>220</v>
      </c>
      <c r="AC176" s="41">
        <f>IFERROR(LOOKUP(M176,打分卡!$F$7:$J$7,打分卡!$K$7:$O$7),1)</f>
        <v>3</v>
      </c>
      <c r="AD176" s="41">
        <f>IFERROR(LOOKUP(S176,打分卡!$F$8:$J$8,打分卡!$K$8:$O$8),1)</f>
        <v>2</v>
      </c>
      <c r="AE176" s="41">
        <f>IFERROR(LOOKUP(T176,打分卡!$F$9:$I$9,打分卡!$K$9:$N$9),1)</f>
        <v>2</v>
      </c>
      <c r="AF176" s="41">
        <f>IFERROR(LOOKUP(Q176,打分卡!$F$10:$J$10,打分卡!$K$10:$O$10),1)</f>
        <v>3</v>
      </c>
      <c r="AG176" s="41">
        <f>IFERROR(LOOKUP(R176,打分卡!$F$11:$J$11,打分卡!$K$11:$O$11),1)</f>
        <v>3</v>
      </c>
      <c r="AH176" s="41">
        <f>IFERROR(LOOKUP(U176,打分卡!$F$12:$J$12,打分卡!$K$12:$O$12),1)</f>
        <v>2</v>
      </c>
      <c r="AI176" s="41">
        <f>IFERROR(LOOKUP(X176,打分卡!$F$13:$J$13,打分卡!$K$13:$O$13),1)</f>
        <v>4</v>
      </c>
      <c r="AJ176" s="41">
        <f>IFERROR(LOOKUP(Y176,打分卡!$F$14:$J$14,打分卡!$K$14:$O$14),1)</f>
        <v>3</v>
      </c>
      <c r="AK176" s="41">
        <f>IFERROR(LOOKUP(W176,打分卡!$F$15:$J$15,打分卡!$K$15:$O$15),1)</f>
        <v>2</v>
      </c>
      <c r="AL176" s="43">
        <f t="shared" si="17"/>
        <v>5</v>
      </c>
      <c r="AM176" s="41">
        <f>IFERROR(LOOKUP(Z176,打分卡!$F$17:$H$17,打分卡!$K$17:$M$17),1)</f>
        <v>1</v>
      </c>
      <c r="AN176" s="44">
        <f>(打分卡!$D$7*AC176+打分卡!$D$8*AD176+打分卡!$D$9*AE176)/5</f>
        <v>21</v>
      </c>
      <c r="AO176" s="44">
        <f>(打分卡!$D$10*AF176+打分卡!$D$11*AG176)/5</f>
        <v>12</v>
      </c>
      <c r="AP176" s="44">
        <f>(打分卡!$D$12*AH176+打分卡!$D$13*AI176+打分卡!$D$14*AJ176+打分卡!$D$15*AK176)/5</f>
        <v>16.4</v>
      </c>
      <c r="AQ176" s="44">
        <f>(打分卡!$D$16*AL176+打分卡!$D$17*AM176)/5</f>
        <v>6.8</v>
      </c>
      <c r="AR176" s="47">
        <f t="shared" si="18"/>
        <v>56.2</v>
      </c>
      <c r="AS176" s="43" t="str">
        <f t="shared" si="19"/>
        <v>腰部</v>
      </c>
      <c r="AT176" s="43" t="str">
        <f t="shared" si="20"/>
        <v/>
      </c>
      <c r="AU176" s="43" t="str">
        <f t="shared" si="21"/>
        <v>拉·主攻：主推AI外呼+大促作战包</v>
      </c>
    </row>
    <row r="177" ht="15" customHeight="1" spans="1:47">
      <c r="A177" s="20" t="s">
        <v>715</v>
      </c>
      <c r="B177" s="22" t="s">
        <v>716</v>
      </c>
      <c r="C177" s="22" t="s">
        <v>209</v>
      </c>
      <c r="D177" s="22" t="s">
        <v>202</v>
      </c>
      <c r="E177" s="22" t="s">
        <v>181</v>
      </c>
      <c r="F177" s="20" t="s">
        <v>717</v>
      </c>
      <c r="G177" s="22">
        <v>12</v>
      </c>
      <c r="H177" s="22" t="s">
        <v>183</v>
      </c>
      <c r="I177" s="22" t="s">
        <v>184</v>
      </c>
      <c r="J177" s="36">
        <v>86400</v>
      </c>
      <c r="K177" s="36">
        <v>57600</v>
      </c>
      <c r="L177" s="36">
        <v>20900</v>
      </c>
      <c r="M177" s="36">
        <f t="shared" si="16"/>
        <v>164900</v>
      </c>
      <c r="N177" s="34">
        <f t="shared" si="22"/>
        <v>0.000864511312568285</v>
      </c>
      <c r="O177" s="35">
        <f>SUM($M$2:M177)</f>
        <v>146775600</v>
      </c>
      <c r="P177" s="34">
        <f t="shared" si="23"/>
        <v>0.769491610727699</v>
      </c>
      <c r="Q177" s="39">
        <v>26.2</v>
      </c>
      <c r="R177" s="22">
        <v>9</v>
      </c>
      <c r="S177" s="22">
        <v>2</v>
      </c>
      <c r="T177" s="22">
        <v>2</v>
      </c>
      <c r="U177" s="39">
        <v>21.1</v>
      </c>
      <c r="V177" s="22">
        <v>17</v>
      </c>
      <c r="W177" s="22">
        <v>4</v>
      </c>
      <c r="X177" s="40">
        <v>36</v>
      </c>
      <c r="Y177" s="22">
        <v>1</v>
      </c>
      <c r="Z177" s="22">
        <v>1</v>
      </c>
      <c r="AA177" s="22" t="s">
        <v>185</v>
      </c>
      <c r="AB177" s="22" t="s">
        <v>220</v>
      </c>
      <c r="AC177" s="42">
        <f>IFERROR(LOOKUP(M177,打分卡!$F$7:$J$7,打分卡!$K$7:$O$7),1)</f>
        <v>3</v>
      </c>
      <c r="AD177" s="42">
        <f>IFERROR(LOOKUP(S177,打分卡!$F$8:$J$8,打分卡!$K$8:$O$8),1)</f>
        <v>2</v>
      </c>
      <c r="AE177" s="42">
        <f>IFERROR(LOOKUP(T177,打分卡!$F$9:$I$9,打分卡!$K$9:$N$9),1)</f>
        <v>3</v>
      </c>
      <c r="AF177" s="42">
        <f>IFERROR(LOOKUP(Q177,打分卡!$F$10:$J$10,打分卡!$K$10:$O$10),1)</f>
        <v>4</v>
      </c>
      <c r="AG177" s="42">
        <f>IFERROR(LOOKUP(R177,打分卡!$F$11:$J$11,打分卡!$K$11:$O$11),1)</f>
        <v>4</v>
      </c>
      <c r="AH177" s="42">
        <f>IFERROR(LOOKUP(U177,打分卡!$F$12:$J$12,打分卡!$K$12:$O$12),1)</f>
        <v>3</v>
      </c>
      <c r="AI177" s="42">
        <f>IFERROR(LOOKUP(X177,打分卡!$F$13:$J$13,打分卡!$K$13:$O$13),1)</f>
        <v>2</v>
      </c>
      <c r="AJ177" s="42">
        <f>IFERROR(LOOKUP(Y177,打分卡!$F$14:$J$14,打分卡!$K$14:$O$14),1)</f>
        <v>2</v>
      </c>
      <c r="AK177" s="42">
        <f>IFERROR(LOOKUP(W177,打分卡!$F$15:$J$15,打分卡!$K$15:$O$15),1)</f>
        <v>3</v>
      </c>
      <c r="AL177" s="45">
        <f t="shared" si="17"/>
        <v>3</v>
      </c>
      <c r="AM177" s="42">
        <f>IFERROR(LOOKUP(Z177,打分卡!$F$17:$H$17,打分卡!$K$17:$M$17),1)</f>
        <v>3</v>
      </c>
      <c r="AN177" s="46">
        <f>(打分卡!$D$7*AC177+打分卡!$D$8*AD177+打分卡!$D$9*AE177)/5</f>
        <v>22.4</v>
      </c>
      <c r="AO177" s="46">
        <f>(打分卡!$D$10*AF177+打分卡!$D$11*AG177)/5</f>
        <v>16</v>
      </c>
      <c r="AP177" s="46">
        <f>(打分卡!$D$12*AH177+打分卡!$D$13*AI177+打分卡!$D$14*AJ177+打分卡!$D$15*AK177)/5</f>
        <v>15.2</v>
      </c>
      <c r="AQ177" s="46">
        <f>(打分卡!$D$16*AL177+打分卡!$D$17*AM177)/5</f>
        <v>6</v>
      </c>
      <c r="AR177" s="48">
        <f t="shared" si="18"/>
        <v>59.6</v>
      </c>
      <c r="AS177" s="45" t="str">
        <f t="shared" si="19"/>
        <v>腰部</v>
      </c>
      <c r="AT177" s="45" t="str">
        <f t="shared" si="20"/>
        <v/>
      </c>
      <c r="AU177" s="45" t="str">
        <f t="shared" si="21"/>
        <v>拉·主攻：主推AI外呼+大促作战包</v>
      </c>
    </row>
    <row r="178" ht="15" customHeight="1" spans="1:47">
      <c r="A178" s="30" t="s">
        <v>718</v>
      </c>
      <c r="B178" s="31" t="s">
        <v>719</v>
      </c>
      <c r="C178" s="31" t="s">
        <v>189</v>
      </c>
      <c r="D178" s="31" t="s">
        <v>235</v>
      </c>
      <c r="E178" s="31" t="s">
        <v>181</v>
      </c>
      <c r="F178" s="30" t="s">
        <v>720</v>
      </c>
      <c r="G178" s="31">
        <v>20</v>
      </c>
      <c r="H178" s="31" t="s">
        <v>301</v>
      </c>
      <c r="I178" s="31" t="s">
        <v>184</v>
      </c>
      <c r="J178" s="33">
        <v>95200</v>
      </c>
      <c r="K178" s="33">
        <v>51500</v>
      </c>
      <c r="L178" s="33">
        <v>18100</v>
      </c>
      <c r="M178" s="33">
        <f t="shared" si="16"/>
        <v>164800</v>
      </c>
      <c r="N178" s="34">
        <f t="shared" si="22"/>
        <v>0.000863987048582495</v>
      </c>
      <c r="O178" s="35">
        <f>SUM($M$2:M178)</f>
        <v>146940400</v>
      </c>
      <c r="P178" s="34">
        <f t="shared" si="23"/>
        <v>0.770355597776282</v>
      </c>
      <c r="Q178" s="37">
        <v>20.1</v>
      </c>
      <c r="R178" s="31">
        <v>9</v>
      </c>
      <c r="S178" s="31">
        <v>2</v>
      </c>
      <c r="T178" s="31">
        <v>1</v>
      </c>
      <c r="U178" s="37">
        <v>15.7</v>
      </c>
      <c r="V178" s="31">
        <v>23</v>
      </c>
      <c r="W178" s="31">
        <v>0</v>
      </c>
      <c r="X178" s="38">
        <v>43</v>
      </c>
      <c r="Y178" s="31">
        <v>0</v>
      </c>
      <c r="Z178" s="31">
        <v>0</v>
      </c>
      <c r="AA178" s="31" t="s">
        <v>315</v>
      </c>
      <c r="AB178" s="31" t="s">
        <v>220</v>
      </c>
      <c r="AC178" s="41">
        <f>IFERROR(LOOKUP(M178,打分卡!$F$7:$J$7,打分卡!$K$7:$O$7),1)</f>
        <v>3</v>
      </c>
      <c r="AD178" s="41">
        <f>IFERROR(LOOKUP(S178,打分卡!$F$8:$J$8,打分卡!$K$8:$O$8),1)</f>
        <v>2</v>
      </c>
      <c r="AE178" s="41">
        <f>IFERROR(LOOKUP(T178,打分卡!$F$9:$I$9,打分卡!$K$9:$N$9),1)</f>
        <v>2</v>
      </c>
      <c r="AF178" s="41">
        <f>IFERROR(LOOKUP(Q178,打分卡!$F$10:$J$10,打分卡!$K$10:$O$10),1)</f>
        <v>3</v>
      </c>
      <c r="AG178" s="41">
        <f>IFERROR(LOOKUP(R178,打分卡!$F$11:$J$11,打分卡!$K$11:$O$11),1)</f>
        <v>4</v>
      </c>
      <c r="AH178" s="41">
        <f>IFERROR(LOOKUP(U178,打分卡!$F$12:$J$12,打分卡!$K$12:$O$12),1)</f>
        <v>3</v>
      </c>
      <c r="AI178" s="41">
        <f>IFERROR(LOOKUP(X178,打分卡!$F$13:$J$13,打分卡!$K$13:$O$13),1)</f>
        <v>3</v>
      </c>
      <c r="AJ178" s="41">
        <f>IFERROR(LOOKUP(Y178,打分卡!$F$14:$J$14,打分卡!$K$14:$O$14),1)</f>
        <v>1</v>
      </c>
      <c r="AK178" s="41">
        <f>IFERROR(LOOKUP(W178,打分卡!$F$15:$J$15,打分卡!$K$15:$O$15),1)</f>
        <v>1</v>
      </c>
      <c r="AL178" s="43">
        <f t="shared" si="17"/>
        <v>2</v>
      </c>
      <c r="AM178" s="41">
        <f>IFERROR(LOOKUP(Z178,打分卡!$F$17:$H$17,打分卡!$K$17:$M$17),1)</f>
        <v>1</v>
      </c>
      <c r="AN178" s="44">
        <f>(打分卡!$D$7*AC178+打分卡!$D$8*AD178+打分卡!$D$9*AE178)/5</f>
        <v>21</v>
      </c>
      <c r="AO178" s="44">
        <f>(打分卡!$D$10*AF178+打分卡!$D$11*AG178)/5</f>
        <v>14</v>
      </c>
      <c r="AP178" s="44">
        <f>(打分卡!$D$12*AH178+打分卡!$D$13*AI178+打分卡!$D$14*AJ178+打分卡!$D$15*AK178)/5</f>
        <v>14</v>
      </c>
      <c r="AQ178" s="44">
        <f>(打分卡!$D$16*AL178+打分卡!$D$17*AM178)/5</f>
        <v>3.2</v>
      </c>
      <c r="AR178" s="47">
        <f t="shared" si="18"/>
        <v>52.2</v>
      </c>
      <c r="AS178" s="43" t="str">
        <f t="shared" si="19"/>
        <v>腰部</v>
      </c>
      <c r="AT178" s="43" t="str">
        <f t="shared" si="20"/>
        <v/>
      </c>
      <c r="AU178" s="43" t="str">
        <f t="shared" si="21"/>
        <v>拉·主攻：主推AI外呼+大促作战包</v>
      </c>
    </row>
    <row r="179" ht="15" customHeight="1" spans="1:47">
      <c r="A179" s="20" t="s">
        <v>721</v>
      </c>
      <c r="B179" s="22" t="s">
        <v>722</v>
      </c>
      <c r="C179" s="22" t="s">
        <v>179</v>
      </c>
      <c r="D179" s="22" t="s">
        <v>196</v>
      </c>
      <c r="E179" s="22" t="s">
        <v>181</v>
      </c>
      <c r="F179" s="20" t="s">
        <v>723</v>
      </c>
      <c r="G179" s="22">
        <v>16</v>
      </c>
      <c r="H179" s="22" t="s">
        <v>183</v>
      </c>
      <c r="I179" s="22" t="s">
        <v>302</v>
      </c>
      <c r="J179" s="36">
        <v>89000</v>
      </c>
      <c r="K179" s="36">
        <v>42800</v>
      </c>
      <c r="L179" s="36">
        <v>32500</v>
      </c>
      <c r="M179" s="36">
        <f t="shared" si="16"/>
        <v>164300</v>
      </c>
      <c r="N179" s="34">
        <f t="shared" si="22"/>
        <v>0.000861365728653543</v>
      </c>
      <c r="O179" s="35">
        <f>SUM($M$2:M179)</f>
        <v>147104700</v>
      </c>
      <c r="P179" s="34">
        <f t="shared" si="23"/>
        <v>0.771216963504935</v>
      </c>
      <c r="Q179" s="39">
        <v>20.7</v>
      </c>
      <c r="R179" s="22">
        <v>8</v>
      </c>
      <c r="S179" s="22">
        <v>2</v>
      </c>
      <c r="T179" s="22">
        <v>1</v>
      </c>
      <c r="U179" s="39">
        <v>30.6</v>
      </c>
      <c r="V179" s="22">
        <v>19</v>
      </c>
      <c r="W179" s="22">
        <v>0</v>
      </c>
      <c r="X179" s="40">
        <v>101</v>
      </c>
      <c r="Y179" s="22">
        <v>0</v>
      </c>
      <c r="Z179" s="22">
        <v>0</v>
      </c>
      <c r="AA179" s="22" t="s">
        <v>199</v>
      </c>
      <c r="AB179" s="22" t="s">
        <v>220</v>
      </c>
      <c r="AC179" s="42">
        <f>IFERROR(LOOKUP(M179,打分卡!$F$7:$J$7,打分卡!$K$7:$O$7),1)</f>
        <v>3</v>
      </c>
      <c r="AD179" s="42">
        <f>IFERROR(LOOKUP(S179,打分卡!$F$8:$J$8,打分卡!$K$8:$O$8),1)</f>
        <v>2</v>
      </c>
      <c r="AE179" s="42">
        <f>IFERROR(LOOKUP(T179,打分卡!$F$9:$I$9,打分卡!$K$9:$N$9),1)</f>
        <v>2</v>
      </c>
      <c r="AF179" s="42">
        <f>IFERROR(LOOKUP(Q179,打分卡!$F$10:$J$10,打分卡!$K$10:$O$10),1)</f>
        <v>3</v>
      </c>
      <c r="AG179" s="42">
        <f>IFERROR(LOOKUP(R179,打分卡!$F$11:$J$11,打分卡!$K$11:$O$11),1)</f>
        <v>3</v>
      </c>
      <c r="AH179" s="42">
        <f>IFERROR(LOOKUP(U179,打分卡!$F$12:$J$12,打分卡!$K$12:$O$12),1)</f>
        <v>3</v>
      </c>
      <c r="AI179" s="42">
        <f>IFERROR(LOOKUP(X179,打分卡!$F$13:$J$13,打分卡!$K$13:$O$13),1)</f>
        <v>4</v>
      </c>
      <c r="AJ179" s="42">
        <f>IFERROR(LOOKUP(Y179,打分卡!$F$14:$J$14,打分卡!$K$14:$O$14),1)</f>
        <v>1</v>
      </c>
      <c r="AK179" s="42">
        <f>IFERROR(LOOKUP(W179,打分卡!$F$15:$J$15,打分卡!$K$15:$O$15),1)</f>
        <v>1</v>
      </c>
      <c r="AL179" s="45">
        <f t="shared" si="17"/>
        <v>5</v>
      </c>
      <c r="AM179" s="42">
        <f>IFERROR(LOOKUP(Z179,打分卡!$F$17:$H$17,打分卡!$K$17:$M$17),1)</f>
        <v>1</v>
      </c>
      <c r="AN179" s="46">
        <f>(打分卡!$D$7*AC179+打分卡!$D$8*AD179+打分卡!$D$9*AE179)/5</f>
        <v>21</v>
      </c>
      <c r="AO179" s="46">
        <f>(打分卡!$D$10*AF179+打分卡!$D$11*AG179)/5</f>
        <v>12</v>
      </c>
      <c r="AP179" s="46">
        <f>(打分卡!$D$12*AH179+打分卡!$D$13*AI179+打分卡!$D$14*AJ179+打分卡!$D$15*AK179)/5</f>
        <v>15.6</v>
      </c>
      <c r="AQ179" s="46">
        <f>(打分卡!$D$16*AL179+打分卡!$D$17*AM179)/5</f>
        <v>6.8</v>
      </c>
      <c r="AR179" s="48">
        <f t="shared" si="18"/>
        <v>55.4</v>
      </c>
      <c r="AS179" s="45" t="str">
        <f t="shared" si="19"/>
        <v>腰部</v>
      </c>
      <c r="AT179" s="45" t="str">
        <f t="shared" si="20"/>
        <v/>
      </c>
      <c r="AU179" s="45" t="str">
        <f t="shared" si="21"/>
        <v>拉·主攻：主推AI外呼+大促作战包</v>
      </c>
    </row>
    <row r="180" ht="15" customHeight="1" spans="1:47">
      <c r="A180" s="30" t="s">
        <v>724</v>
      </c>
      <c r="B180" s="31" t="s">
        <v>725</v>
      </c>
      <c r="C180" s="31" t="s">
        <v>239</v>
      </c>
      <c r="D180" s="31" t="s">
        <v>202</v>
      </c>
      <c r="E180" s="31" t="s">
        <v>181</v>
      </c>
      <c r="F180" s="30" t="s">
        <v>714</v>
      </c>
      <c r="G180" s="31">
        <v>10</v>
      </c>
      <c r="H180" s="31" t="s">
        <v>301</v>
      </c>
      <c r="I180" s="31" t="s">
        <v>302</v>
      </c>
      <c r="J180" s="33">
        <v>101900</v>
      </c>
      <c r="K180" s="33">
        <v>47400</v>
      </c>
      <c r="L180" s="33">
        <v>14500</v>
      </c>
      <c r="M180" s="33">
        <f t="shared" si="16"/>
        <v>163800</v>
      </c>
      <c r="N180" s="34">
        <f t="shared" si="22"/>
        <v>0.000858744408724592</v>
      </c>
      <c r="O180" s="35">
        <f>SUM($M$2:M180)</f>
        <v>147268500</v>
      </c>
      <c r="P180" s="34">
        <f t="shared" si="23"/>
        <v>0.77207570791366</v>
      </c>
      <c r="Q180" s="37">
        <v>18.1</v>
      </c>
      <c r="R180" s="31">
        <v>8</v>
      </c>
      <c r="S180" s="31">
        <v>3</v>
      </c>
      <c r="T180" s="31">
        <v>0</v>
      </c>
      <c r="U180" s="37">
        <v>9.1</v>
      </c>
      <c r="V180" s="31">
        <v>4</v>
      </c>
      <c r="W180" s="31">
        <v>0</v>
      </c>
      <c r="X180" s="38">
        <v>31</v>
      </c>
      <c r="Y180" s="31">
        <v>0</v>
      </c>
      <c r="Z180" s="31">
        <v>1</v>
      </c>
      <c r="AA180" s="31" t="s">
        <v>315</v>
      </c>
      <c r="AB180" s="31" t="s">
        <v>220</v>
      </c>
      <c r="AC180" s="41">
        <f>IFERROR(LOOKUP(M180,打分卡!$F$7:$J$7,打分卡!$K$7:$O$7),1)</f>
        <v>3</v>
      </c>
      <c r="AD180" s="41">
        <f>IFERROR(LOOKUP(S180,打分卡!$F$8:$J$8,打分卡!$K$8:$O$8),1)</f>
        <v>3</v>
      </c>
      <c r="AE180" s="41">
        <f>IFERROR(LOOKUP(T180,打分卡!$F$9:$I$9,打分卡!$K$9:$N$9),1)</f>
        <v>1</v>
      </c>
      <c r="AF180" s="41">
        <f>IFERROR(LOOKUP(Q180,打分卡!$F$10:$J$10,打分卡!$K$10:$O$10),1)</f>
        <v>3</v>
      </c>
      <c r="AG180" s="41">
        <f>IFERROR(LOOKUP(R180,打分卡!$F$11:$J$11,打分卡!$K$11:$O$11),1)</f>
        <v>3</v>
      </c>
      <c r="AH180" s="41">
        <f>IFERROR(LOOKUP(U180,打分卡!$F$12:$J$12,打分卡!$K$12:$O$12),1)</f>
        <v>2</v>
      </c>
      <c r="AI180" s="41">
        <f>IFERROR(LOOKUP(X180,打分卡!$F$13:$J$13,打分卡!$K$13:$O$13),1)</f>
        <v>2</v>
      </c>
      <c r="AJ180" s="41">
        <f>IFERROR(LOOKUP(Y180,打分卡!$F$14:$J$14,打分卡!$K$14:$O$14),1)</f>
        <v>1</v>
      </c>
      <c r="AK180" s="41">
        <f>IFERROR(LOOKUP(W180,打分卡!$F$15:$J$15,打分卡!$K$15:$O$15),1)</f>
        <v>1</v>
      </c>
      <c r="AL180" s="43">
        <f t="shared" si="17"/>
        <v>2</v>
      </c>
      <c r="AM180" s="41">
        <f>IFERROR(LOOKUP(Z180,打分卡!$F$17:$H$17,打分卡!$K$17:$M$17),1)</f>
        <v>3</v>
      </c>
      <c r="AN180" s="44">
        <f>(打分卡!$D$7*AC180+打分卡!$D$8*AD180+打分卡!$D$9*AE180)/5</f>
        <v>21.2</v>
      </c>
      <c r="AO180" s="44">
        <f>(打分卡!$D$10*AF180+打分卡!$D$11*AG180)/5</f>
        <v>12</v>
      </c>
      <c r="AP180" s="44">
        <f>(打分卡!$D$12*AH180+打分卡!$D$13*AI180+打分卡!$D$14*AJ180+打分卡!$D$15*AK180)/5</f>
        <v>10</v>
      </c>
      <c r="AQ180" s="44">
        <f>(打分卡!$D$16*AL180+打分卡!$D$17*AM180)/5</f>
        <v>4.8</v>
      </c>
      <c r="AR180" s="47">
        <f t="shared" si="18"/>
        <v>48</v>
      </c>
      <c r="AS180" s="43" t="str">
        <f t="shared" si="19"/>
        <v>腰部</v>
      </c>
      <c r="AT180" s="43" t="str">
        <f t="shared" si="20"/>
        <v/>
      </c>
      <c r="AU180" s="43" t="str">
        <f t="shared" si="21"/>
        <v>拉·主攻：主推AI外呼+大促作战包</v>
      </c>
    </row>
    <row r="181" ht="15" customHeight="1" spans="1:47">
      <c r="A181" s="20" t="s">
        <v>726</v>
      </c>
      <c r="B181" s="22" t="s">
        <v>727</v>
      </c>
      <c r="C181" s="22" t="s">
        <v>223</v>
      </c>
      <c r="D181" s="22" t="s">
        <v>196</v>
      </c>
      <c r="E181" s="22" t="s">
        <v>181</v>
      </c>
      <c r="F181" s="20" t="s">
        <v>728</v>
      </c>
      <c r="G181" s="22">
        <v>12</v>
      </c>
      <c r="H181" s="22" t="s">
        <v>301</v>
      </c>
      <c r="I181" s="22" t="s">
        <v>184</v>
      </c>
      <c r="J181" s="36">
        <v>87600</v>
      </c>
      <c r="K181" s="36">
        <v>32900</v>
      </c>
      <c r="L181" s="36">
        <v>42400</v>
      </c>
      <c r="M181" s="36">
        <f t="shared" si="16"/>
        <v>162900</v>
      </c>
      <c r="N181" s="34">
        <f t="shared" si="22"/>
        <v>0.000854026032852478</v>
      </c>
      <c r="O181" s="35">
        <f>SUM($M$2:M181)</f>
        <v>147431400</v>
      </c>
      <c r="P181" s="34">
        <f t="shared" si="23"/>
        <v>0.772929733946513</v>
      </c>
      <c r="Q181" s="39">
        <v>10.6</v>
      </c>
      <c r="R181" s="22">
        <v>7</v>
      </c>
      <c r="S181" s="22">
        <v>2</v>
      </c>
      <c r="T181" s="22">
        <v>0</v>
      </c>
      <c r="U181" s="39">
        <v>73.7</v>
      </c>
      <c r="V181" s="22">
        <v>17</v>
      </c>
      <c r="W181" s="22">
        <v>1</v>
      </c>
      <c r="X181" s="40">
        <v>129</v>
      </c>
      <c r="Y181" s="22">
        <v>1</v>
      </c>
      <c r="Z181" s="22">
        <v>0</v>
      </c>
      <c r="AA181" s="22" t="s">
        <v>185</v>
      </c>
      <c r="AB181" s="22" t="s">
        <v>220</v>
      </c>
      <c r="AC181" s="42">
        <f>IFERROR(LOOKUP(M181,打分卡!$F$7:$J$7,打分卡!$K$7:$O$7),1)</f>
        <v>3</v>
      </c>
      <c r="AD181" s="42">
        <f>IFERROR(LOOKUP(S181,打分卡!$F$8:$J$8,打分卡!$K$8:$O$8),1)</f>
        <v>2</v>
      </c>
      <c r="AE181" s="42">
        <f>IFERROR(LOOKUP(T181,打分卡!$F$9:$I$9,打分卡!$K$9:$N$9),1)</f>
        <v>1</v>
      </c>
      <c r="AF181" s="42">
        <f>IFERROR(LOOKUP(Q181,打分卡!$F$10:$J$10,打分卡!$K$10:$O$10),1)</f>
        <v>3</v>
      </c>
      <c r="AG181" s="42">
        <f>IFERROR(LOOKUP(R181,打分卡!$F$11:$J$11,打分卡!$K$11:$O$11),1)</f>
        <v>3</v>
      </c>
      <c r="AH181" s="42">
        <f>IFERROR(LOOKUP(U181,打分卡!$F$12:$J$12,打分卡!$K$12:$O$12),1)</f>
        <v>5</v>
      </c>
      <c r="AI181" s="42">
        <f>IFERROR(LOOKUP(X181,打分卡!$F$13:$J$13,打分卡!$K$13:$O$13),1)</f>
        <v>4</v>
      </c>
      <c r="AJ181" s="42">
        <f>IFERROR(LOOKUP(Y181,打分卡!$F$14:$J$14,打分卡!$K$14:$O$14),1)</f>
        <v>2</v>
      </c>
      <c r="AK181" s="42">
        <f>IFERROR(LOOKUP(W181,打分卡!$F$15:$J$15,打分卡!$K$15:$O$15),1)</f>
        <v>2</v>
      </c>
      <c r="AL181" s="45">
        <f t="shared" si="17"/>
        <v>3</v>
      </c>
      <c r="AM181" s="42">
        <f>IFERROR(LOOKUP(Z181,打分卡!$F$17:$H$17,打分卡!$K$17:$M$17),1)</f>
        <v>1</v>
      </c>
      <c r="AN181" s="46">
        <f>(打分卡!$D$7*AC181+打分卡!$D$8*AD181+打分卡!$D$9*AE181)/5</f>
        <v>19.6</v>
      </c>
      <c r="AO181" s="46">
        <f>(打分卡!$D$10*AF181+打分卡!$D$11*AG181)/5</f>
        <v>12</v>
      </c>
      <c r="AP181" s="46">
        <f>(打分卡!$D$12*AH181+打分卡!$D$13*AI181+打分卡!$D$14*AJ181+打分卡!$D$15*AK181)/5</f>
        <v>22.4</v>
      </c>
      <c r="AQ181" s="46">
        <f>(打分卡!$D$16*AL181+打分卡!$D$17*AM181)/5</f>
        <v>4.4</v>
      </c>
      <c r="AR181" s="48">
        <f t="shared" si="18"/>
        <v>58.4</v>
      </c>
      <c r="AS181" s="45" t="str">
        <f t="shared" si="19"/>
        <v>腰部</v>
      </c>
      <c r="AT181" s="45" t="str">
        <f t="shared" si="20"/>
        <v/>
      </c>
      <c r="AU181" s="45" t="str">
        <f t="shared" si="21"/>
        <v>拉·主攻：主推AI外呼+大促作战包</v>
      </c>
    </row>
    <row r="182" ht="15" customHeight="1" spans="1:47">
      <c r="A182" s="30" t="s">
        <v>729</v>
      </c>
      <c r="B182" s="31" t="s">
        <v>730</v>
      </c>
      <c r="C182" s="31" t="s">
        <v>189</v>
      </c>
      <c r="D182" s="31" t="s">
        <v>235</v>
      </c>
      <c r="E182" s="31" t="s">
        <v>181</v>
      </c>
      <c r="F182" s="30" t="s">
        <v>731</v>
      </c>
      <c r="G182" s="31">
        <v>21</v>
      </c>
      <c r="H182" s="31" t="s">
        <v>301</v>
      </c>
      <c r="I182" s="31" t="s">
        <v>302</v>
      </c>
      <c r="J182" s="33">
        <v>75600</v>
      </c>
      <c r="K182" s="33">
        <v>62700</v>
      </c>
      <c r="L182" s="33">
        <v>24200</v>
      </c>
      <c r="M182" s="33">
        <f t="shared" si="16"/>
        <v>162500</v>
      </c>
      <c r="N182" s="34">
        <f t="shared" si="22"/>
        <v>0.000851928976909317</v>
      </c>
      <c r="O182" s="35">
        <f>SUM($M$2:M182)</f>
        <v>147593900</v>
      </c>
      <c r="P182" s="34">
        <f t="shared" si="23"/>
        <v>0.773781662923422</v>
      </c>
      <c r="Q182" s="37">
        <v>23.4</v>
      </c>
      <c r="R182" s="31">
        <v>5</v>
      </c>
      <c r="S182" s="31">
        <v>3</v>
      </c>
      <c r="T182" s="31">
        <v>2</v>
      </c>
      <c r="U182" s="37">
        <v>5.8</v>
      </c>
      <c r="V182" s="31">
        <v>30</v>
      </c>
      <c r="W182" s="31">
        <v>3</v>
      </c>
      <c r="X182" s="38">
        <v>48</v>
      </c>
      <c r="Y182" s="31">
        <v>2</v>
      </c>
      <c r="Z182" s="31">
        <v>0</v>
      </c>
      <c r="AA182" s="31" t="s">
        <v>315</v>
      </c>
      <c r="AB182" s="31" t="s">
        <v>220</v>
      </c>
      <c r="AC182" s="41">
        <f>IFERROR(LOOKUP(M182,打分卡!$F$7:$J$7,打分卡!$K$7:$O$7),1)</f>
        <v>3</v>
      </c>
      <c r="AD182" s="41">
        <f>IFERROR(LOOKUP(S182,打分卡!$F$8:$J$8,打分卡!$K$8:$O$8),1)</f>
        <v>3</v>
      </c>
      <c r="AE182" s="41">
        <f>IFERROR(LOOKUP(T182,打分卡!$F$9:$I$9,打分卡!$K$9:$N$9),1)</f>
        <v>3</v>
      </c>
      <c r="AF182" s="41">
        <f>IFERROR(LOOKUP(Q182,打分卡!$F$10:$J$10,打分卡!$K$10:$O$10),1)</f>
        <v>3</v>
      </c>
      <c r="AG182" s="41">
        <f>IFERROR(LOOKUP(R182,打分卡!$F$11:$J$11,打分卡!$K$11:$O$11),1)</f>
        <v>3</v>
      </c>
      <c r="AH182" s="41">
        <f>IFERROR(LOOKUP(U182,打分卡!$F$12:$J$12,打分卡!$K$12:$O$12),1)</f>
        <v>2</v>
      </c>
      <c r="AI182" s="41">
        <f>IFERROR(LOOKUP(X182,打分卡!$F$13:$J$13,打分卡!$K$13:$O$13),1)</f>
        <v>3</v>
      </c>
      <c r="AJ182" s="41">
        <f>IFERROR(LOOKUP(Y182,打分卡!$F$14:$J$14,打分卡!$K$14:$O$14),1)</f>
        <v>3</v>
      </c>
      <c r="AK182" s="41">
        <f>IFERROR(LOOKUP(W182,打分卡!$F$15:$J$15,打分卡!$K$15:$O$15),1)</f>
        <v>3</v>
      </c>
      <c r="AL182" s="43">
        <f t="shared" si="17"/>
        <v>2</v>
      </c>
      <c r="AM182" s="41">
        <f>IFERROR(LOOKUP(Z182,打分卡!$F$17:$H$17,打分卡!$K$17:$M$17),1)</f>
        <v>1</v>
      </c>
      <c r="AN182" s="44">
        <f>(打分卡!$D$7*AC182+打分卡!$D$8*AD182+打分卡!$D$9*AE182)/5</f>
        <v>24</v>
      </c>
      <c r="AO182" s="44">
        <f>(打分卡!$D$10*AF182+打分卡!$D$11*AG182)/5</f>
        <v>12</v>
      </c>
      <c r="AP182" s="44">
        <f>(打分卡!$D$12*AH182+打分卡!$D$13*AI182+打分卡!$D$14*AJ182+打分卡!$D$15*AK182)/5</f>
        <v>15.6</v>
      </c>
      <c r="AQ182" s="44">
        <f>(打分卡!$D$16*AL182+打分卡!$D$17*AM182)/5</f>
        <v>3.2</v>
      </c>
      <c r="AR182" s="47">
        <f t="shared" si="18"/>
        <v>54.8</v>
      </c>
      <c r="AS182" s="43" t="str">
        <f t="shared" si="19"/>
        <v>腰部</v>
      </c>
      <c r="AT182" s="43" t="str">
        <f t="shared" si="20"/>
        <v/>
      </c>
      <c r="AU182" s="43" t="str">
        <f t="shared" si="21"/>
        <v>拉·主攻：主推AI外呼+大促作战包</v>
      </c>
    </row>
    <row r="183" ht="15" customHeight="1" spans="1:47">
      <c r="A183" s="20" t="s">
        <v>732</v>
      </c>
      <c r="B183" s="22" t="s">
        <v>733</v>
      </c>
      <c r="C183" s="22" t="s">
        <v>189</v>
      </c>
      <c r="D183" s="22" t="s">
        <v>190</v>
      </c>
      <c r="E183" s="22" t="s">
        <v>181</v>
      </c>
      <c r="F183" s="20" t="s">
        <v>734</v>
      </c>
      <c r="G183" s="22">
        <v>24</v>
      </c>
      <c r="H183" s="22" t="s">
        <v>301</v>
      </c>
      <c r="I183" s="22" t="s">
        <v>302</v>
      </c>
      <c r="J183" s="36">
        <v>88300</v>
      </c>
      <c r="K183" s="36">
        <v>60600</v>
      </c>
      <c r="L183" s="36">
        <v>12900</v>
      </c>
      <c r="M183" s="36">
        <f t="shared" si="16"/>
        <v>161800</v>
      </c>
      <c r="N183" s="34">
        <f t="shared" si="22"/>
        <v>0.000848259129008785</v>
      </c>
      <c r="O183" s="35">
        <f>SUM($M$2:M183)</f>
        <v>147755700</v>
      </c>
      <c r="P183" s="34">
        <f t="shared" si="23"/>
        <v>0.774629922052431</v>
      </c>
      <c r="Q183" s="39">
        <v>14.7</v>
      </c>
      <c r="R183" s="22">
        <v>2</v>
      </c>
      <c r="S183" s="22">
        <v>1</v>
      </c>
      <c r="T183" s="22">
        <v>1</v>
      </c>
      <c r="U183" s="39">
        <v>74.8</v>
      </c>
      <c r="V183" s="22">
        <v>13</v>
      </c>
      <c r="W183" s="22">
        <v>2</v>
      </c>
      <c r="X183" s="40">
        <v>146</v>
      </c>
      <c r="Y183" s="22">
        <v>3</v>
      </c>
      <c r="Z183" s="22">
        <v>1</v>
      </c>
      <c r="AA183" s="22" t="s">
        <v>315</v>
      </c>
      <c r="AB183" s="22" t="s">
        <v>220</v>
      </c>
      <c r="AC183" s="42">
        <f>IFERROR(LOOKUP(M183,打分卡!$F$7:$J$7,打分卡!$K$7:$O$7),1)</f>
        <v>3</v>
      </c>
      <c r="AD183" s="42">
        <f>IFERROR(LOOKUP(S183,打分卡!$F$8:$J$8,打分卡!$K$8:$O$8),1)</f>
        <v>1</v>
      </c>
      <c r="AE183" s="42">
        <f>IFERROR(LOOKUP(T183,打分卡!$F$9:$I$9,打分卡!$K$9:$N$9),1)</f>
        <v>2</v>
      </c>
      <c r="AF183" s="42">
        <f>IFERROR(LOOKUP(Q183,打分卡!$F$10:$J$10,打分卡!$K$10:$O$10),1)</f>
        <v>3</v>
      </c>
      <c r="AG183" s="42">
        <f>IFERROR(LOOKUP(R183,打分卡!$F$11:$J$11,打分卡!$K$11:$O$11),1)</f>
        <v>1</v>
      </c>
      <c r="AH183" s="42">
        <f>IFERROR(LOOKUP(U183,打分卡!$F$12:$J$12,打分卡!$K$12:$O$12),1)</f>
        <v>5</v>
      </c>
      <c r="AI183" s="42">
        <f>IFERROR(LOOKUP(X183,打分卡!$F$13:$J$13,打分卡!$K$13:$O$13),1)</f>
        <v>4</v>
      </c>
      <c r="AJ183" s="42">
        <f>IFERROR(LOOKUP(Y183,打分卡!$F$14:$J$14,打分卡!$K$14:$O$14),1)</f>
        <v>4</v>
      </c>
      <c r="AK183" s="42">
        <f>IFERROR(LOOKUP(W183,打分卡!$F$15:$J$15,打分卡!$K$15:$O$15),1)</f>
        <v>2</v>
      </c>
      <c r="AL183" s="45">
        <f t="shared" si="17"/>
        <v>2</v>
      </c>
      <c r="AM183" s="42">
        <f>IFERROR(LOOKUP(Z183,打分卡!$F$17:$H$17,打分卡!$K$17:$M$17),1)</f>
        <v>3</v>
      </c>
      <c r="AN183" s="46">
        <f>(打分卡!$D$7*AC183+打分卡!$D$8*AD183+打分卡!$D$9*AE183)/5</f>
        <v>19.4</v>
      </c>
      <c r="AO183" s="46">
        <f>(打分卡!$D$10*AF183+打分卡!$D$11*AG183)/5</f>
        <v>8</v>
      </c>
      <c r="AP183" s="46">
        <f>(打分卡!$D$12*AH183+打分卡!$D$13*AI183+打分卡!$D$14*AJ183+打分卡!$D$15*AK183)/5</f>
        <v>24.8</v>
      </c>
      <c r="AQ183" s="46">
        <f>(打分卡!$D$16*AL183+打分卡!$D$17*AM183)/5</f>
        <v>4.8</v>
      </c>
      <c r="AR183" s="48">
        <f t="shared" si="18"/>
        <v>57</v>
      </c>
      <c r="AS183" s="45" t="str">
        <f t="shared" si="19"/>
        <v>腰部</v>
      </c>
      <c r="AT183" s="45" t="str">
        <f t="shared" si="20"/>
        <v/>
      </c>
      <c r="AU183" s="45" t="str">
        <f t="shared" si="21"/>
        <v>拉·主攻：主推AI外呼+大促作战包</v>
      </c>
    </row>
    <row r="184" ht="15" customHeight="1" spans="1:47">
      <c r="A184" s="30" t="s">
        <v>735</v>
      </c>
      <c r="B184" s="31" t="s">
        <v>736</v>
      </c>
      <c r="C184" s="31" t="s">
        <v>239</v>
      </c>
      <c r="D184" s="31" t="s">
        <v>227</v>
      </c>
      <c r="E184" s="31" t="s">
        <v>181</v>
      </c>
      <c r="F184" s="30" t="s">
        <v>737</v>
      </c>
      <c r="G184" s="31">
        <v>14</v>
      </c>
      <c r="H184" s="31" t="s">
        <v>301</v>
      </c>
      <c r="I184" s="31" t="s">
        <v>302</v>
      </c>
      <c r="J184" s="33">
        <v>84800</v>
      </c>
      <c r="K184" s="33">
        <v>36600</v>
      </c>
      <c r="L184" s="33">
        <v>40100</v>
      </c>
      <c r="M184" s="33">
        <f t="shared" si="16"/>
        <v>161500</v>
      </c>
      <c r="N184" s="34">
        <f t="shared" si="22"/>
        <v>0.000846686337051414</v>
      </c>
      <c r="O184" s="35">
        <f>SUM($M$2:M184)</f>
        <v>147917200</v>
      </c>
      <c r="P184" s="34">
        <f t="shared" si="23"/>
        <v>0.775476608389482</v>
      </c>
      <c r="Q184" s="37">
        <v>11.1</v>
      </c>
      <c r="R184" s="31">
        <v>5</v>
      </c>
      <c r="S184" s="31">
        <v>1</v>
      </c>
      <c r="T184" s="31">
        <v>1</v>
      </c>
      <c r="U184" s="37">
        <v>1.4</v>
      </c>
      <c r="V184" s="31">
        <v>14</v>
      </c>
      <c r="W184" s="31">
        <v>2</v>
      </c>
      <c r="X184" s="38">
        <v>84</v>
      </c>
      <c r="Y184" s="31">
        <v>3</v>
      </c>
      <c r="Z184" s="31">
        <v>0</v>
      </c>
      <c r="AA184" s="31" t="s">
        <v>199</v>
      </c>
      <c r="AB184" s="31" t="s">
        <v>220</v>
      </c>
      <c r="AC184" s="41">
        <f>IFERROR(LOOKUP(M184,打分卡!$F$7:$J$7,打分卡!$K$7:$O$7),1)</f>
        <v>3</v>
      </c>
      <c r="AD184" s="41">
        <f>IFERROR(LOOKUP(S184,打分卡!$F$8:$J$8,打分卡!$K$8:$O$8),1)</f>
        <v>1</v>
      </c>
      <c r="AE184" s="41">
        <f>IFERROR(LOOKUP(T184,打分卡!$F$9:$I$9,打分卡!$K$9:$N$9),1)</f>
        <v>2</v>
      </c>
      <c r="AF184" s="41">
        <f>IFERROR(LOOKUP(Q184,打分卡!$F$10:$J$10,打分卡!$K$10:$O$10),1)</f>
        <v>3</v>
      </c>
      <c r="AG184" s="41">
        <f>IFERROR(LOOKUP(R184,打分卡!$F$11:$J$11,打分卡!$K$11:$O$11),1)</f>
        <v>3</v>
      </c>
      <c r="AH184" s="41">
        <f>IFERROR(LOOKUP(U184,打分卡!$F$12:$J$12,打分卡!$K$12:$O$12),1)</f>
        <v>1</v>
      </c>
      <c r="AI184" s="41">
        <f>IFERROR(LOOKUP(X184,打分卡!$F$13:$J$13,打分卡!$K$13:$O$13),1)</f>
        <v>4</v>
      </c>
      <c r="AJ184" s="41">
        <f>IFERROR(LOOKUP(Y184,打分卡!$F$14:$J$14,打分卡!$K$14:$O$14),1)</f>
        <v>4</v>
      </c>
      <c r="AK184" s="41">
        <f>IFERROR(LOOKUP(W184,打分卡!$F$15:$J$15,打分卡!$K$15:$O$15),1)</f>
        <v>2</v>
      </c>
      <c r="AL184" s="43">
        <f t="shared" si="17"/>
        <v>5</v>
      </c>
      <c r="AM184" s="41">
        <f>IFERROR(LOOKUP(Z184,打分卡!$F$17:$H$17,打分卡!$K$17:$M$17),1)</f>
        <v>1</v>
      </c>
      <c r="AN184" s="44">
        <f>(打分卡!$D$7*AC184+打分卡!$D$8*AD184+打分卡!$D$9*AE184)/5</f>
        <v>19.4</v>
      </c>
      <c r="AO184" s="44">
        <f>(打分卡!$D$10*AF184+打分卡!$D$11*AG184)/5</f>
        <v>12</v>
      </c>
      <c r="AP184" s="44">
        <f>(打分卡!$D$12*AH184+打分卡!$D$13*AI184+打分卡!$D$14*AJ184+打分卡!$D$15*AK184)/5</f>
        <v>15.2</v>
      </c>
      <c r="AQ184" s="44">
        <f>(打分卡!$D$16*AL184+打分卡!$D$17*AM184)/5</f>
        <v>6.8</v>
      </c>
      <c r="AR184" s="47">
        <f t="shared" si="18"/>
        <v>53.4</v>
      </c>
      <c r="AS184" s="43" t="str">
        <f t="shared" si="19"/>
        <v>腰部</v>
      </c>
      <c r="AT184" s="43" t="str">
        <f t="shared" si="20"/>
        <v/>
      </c>
      <c r="AU184" s="43" t="str">
        <f t="shared" si="21"/>
        <v>拉·主攻：主推AI外呼+大促作战包</v>
      </c>
    </row>
    <row r="185" ht="15" customHeight="1" spans="1:47">
      <c r="A185" s="20" t="s">
        <v>738</v>
      </c>
      <c r="B185" s="22" t="s">
        <v>739</v>
      </c>
      <c r="C185" s="22" t="s">
        <v>218</v>
      </c>
      <c r="D185" s="22" t="s">
        <v>190</v>
      </c>
      <c r="E185" s="22" t="s">
        <v>181</v>
      </c>
      <c r="F185" s="20" t="s">
        <v>740</v>
      </c>
      <c r="G185" s="22">
        <v>20</v>
      </c>
      <c r="H185" s="22" t="s">
        <v>183</v>
      </c>
      <c r="I185" s="22" t="s">
        <v>302</v>
      </c>
      <c r="J185" s="36">
        <v>75500</v>
      </c>
      <c r="K185" s="36">
        <v>53600</v>
      </c>
      <c r="L185" s="36">
        <v>31700</v>
      </c>
      <c r="M185" s="36">
        <f t="shared" si="16"/>
        <v>160800</v>
      </c>
      <c r="N185" s="34">
        <f t="shared" si="22"/>
        <v>0.000843016489150881</v>
      </c>
      <c r="O185" s="35">
        <f>SUM($M$2:M185)</f>
        <v>148078000</v>
      </c>
      <c r="P185" s="34">
        <f t="shared" si="23"/>
        <v>0.776319624878633</v>
      </c>
      <c r="Q185" s="39">
        <v>16.7</v>
      </c>
      <c r="R185" s="22">
        <v>8</v>
      </c>
      <c r="S185" s="22">
        <v>3</v>
      </c>
      <c r="T185" s="22">
        <v>1</v>
      </c>
      <c r="U185" s="39">
        <v>9.8</v>
      </c>
      <c r="V185" s="22">
        <v>24</v>
      </c>
      <c r="W185" s="22">
        <v>1</v>
      </c>
      <c r="X185" s="40">
        <v>21</v>
      </c>
      <c r="Y185" s="22">
        <v>0</v>
      </c>
      <c r="Z185" s="22">
        <v>1</v>
      </c>
      <c r="AA185" s="22" t="s">
        <v>185</v>
      </c>
      <c r="AB185" s="22" t="s">
        <v>220</v>
      </c>
      <c r="AC185" s="42">
        <f>IFERROR(LOOKUP(M185,打分卡!$F$7:$J$7,打分卡!$K$7:$O$7),1)</f>
        <v>3</v>
      </c>
      <c r="AD185" s="42">
        <f>IFERROR(LOOKUP(S185,打分卡!$F$8:$J$8,打分卡!$K$8:$O$8),1)</f>
        <v>3</v>
      </c>
      <c r="AE185" s="42">
        <f>IFERROR(LOOKUP(T185,打分卡!$F$9:$I$9,打分卡!$K$9:$N$9),1)</f>
        <v>2</v>
      </c>
      <c r="AF185" s="42">
        <f>IFERROR(LOOKUP(Q185,打分卡!$F$10:$J$10,打分卡!$K$10:$O$10),1)</f>
        <v>3</v>
      </c>
      <c r="AG185" s="42">
        <f>IFERROR(LOOKUP(R185,打分卡!$F$11:$J$11,打分卡!$K$11:$O$11),1)</f>
        <v>3</v>
      </c>
      <c r="AH185" s="42">
        <f>IFERROR(LOOKUP(U185,打分卡!$F$12:$J$12,打分卡!$K$12:$O$12),1)</f>
        <v>2</v>
      </c>
      <c r="AI185" s="42">
        <f>IFERROR(LOOKUP(X185,打分卡!$F$13:$J$13,打分卡!$K$13:$O$13),1)</f>
        <v>2</v>
      </c>
      <c r="AJ185" s="42">
        <f>IFERROR(LOOKUP(Y185,打分卡!$F$14:$J$14,打分卡!$K$14:$O$14),1)</f>
        <v>1</v>
      </c>
      <c r="AK185" s="42">
        <f>IFERROR(LOOKUP(W185,打分卡!$F$15:$J$15,打分卡!$K$15:$O$15),1)</f>
        <v>2</v>
      </c>
      <c r="AL185" s="45">
        <f t="shared" si="17"/>
        <v>3</v>
      </c>
      <c r="AM185" s="42">
        <f>IFERROR(LOOKUP(Z185,打分卡!$F$17:$H$17,打分卡!$K$17:$M$17),1)</f>
        <v>3</v>
      </c>
      <c r="AN185" s="46">
        <f>(打分卡!$D$7*AC185+打分卡!$D$8*AD185+打分卡!$D$9*AE185)/5</f>
        <v>22.6</v>
      </c>
      <c r="AO185" s="46">
        <f>(打分卡!$D$10*AF185+打分卡!$D$11*AG185)/5</f>
        <v>12</v>
      </c>
      <c r="AP185" s="46">
        <f>(打分卡!$D$12*AH185+打分卡!$D$13*AI185+打分卡!$D$14*AJ185+打分卡!$D$15*AK185)/5</f>
        <v>10.8</v>
      </c>
      <c r="AQ185" s="46">
        <f>(打分卡!$D$16*AL185+打分卡!$D$17*AM185)/5</f>
        <v>6</v>
      </c>
      <c r="AR185" s="48">
        <f t="shared" si="18"/>
        <v>51.4</v>
      </c>
      <c r="AS185" s="45" t="str">
        <f t="shared" si="19"/>
        <v>腰部</v>
      </c>
      <c r="AT185" s="45" t="str">
        <f t="shared" si="20"/>
        <v/>
      </c>
      <c r="AU185" s="45" t="str">
        <f t="shared" si="21"/>
        <v>拉·主攻：主推AI外呼+大促作战包</v>
      </c>
    </row>
    <row r="186" ht="15" customHeight="1" spans="1:47">
      <c r="A186" s="30" t="s">
        <v>741</v>
      </c>
      <c r="B186" s="31" t="s">
        <v>742</v>
      </c>
      <c r="C186" s="31" t="s">
        <v>189</v>
      </c>
      <c r="D186" s="31" t="s">
        <v>202</v>
      </c>
      <c r="E186" s="31" t="s">
        <v>181</v>
      </c>
      <c r="F186" s="30" t="s">
        <v>743</v>
      </c>
      <c r="G186" s="31">
        <v>3</v>
      </c>
      <c r="H186" s="31" t="s">
        <v>642</v>
      </c>
      <c r="I186" s="31" t="s">
        <v>184</v>
      </c>
      <c r="J186" s="33">
        <v>100900</v>
      </c>
      <c r="K186" s="33">
        <v>35600</v>
      </c>
      <c r="L186" s="33">
        <v>23800</v>
      </c>
      <c r="M186" s="33">
        <f t="shared" si="16"/>
        <v>160300</v>
      </c>
      <c r="N186" s="34">
        <f t="shared" si="22"/>
        <v>0.000840395169221929</v>
      </c>
      <c r="O186" s="35">
        <f>SUM($M$2:M186)</f>
        <v>148238300</v>
      </c>
      <c r="P186" s="34">
        <f t="shared" si="23"/>
        <v>0.777160020047855</v>
      </c>
      <c r="Q186" s="37">
        <v>20.2</v>
      </c>
      <c r="R186" s="31">
        <v>7</v>
      </c>
      <c r="S186" s="31">
        <v>2</v>
      </c>
      <c r="T186" s="31">
        <v>2</v>
      </c>
      <c r="U186" s="37">
        <v>439</v>
      </c>
      <c r="V186" s="31">
        <v>24</v>
      </c>
      <c r="W186" s="31">
        <v>16</v>
      </c>
      <c r="X186" s="38">
        <v>729</v>
      </c>
      <c r="Y186" s="31">
        <v>2</v>
      </c>
      <c r="Z186" s="31">
        <v>1</v>
      </c>
      <c r="AA186" s="31" t="s">
        <v>199</v>
      </c>
      <c r="AB186" s="31" t="s">
        <v>220</v>
      </c>
      <c r="AC186" s="41">
        <f>IFERROR(LOOKUP(M186,打分卡!$F$7:$J$7,打分卡!$K$7:$O$7),1)</f>
        <v>3</v>
      </c>
      <c r="AD186" s="41">
        <f>IFERROR(LOOKUP(S186,打分卡!$F$8:$J$8,打分卡!$K$8:$O$8),1)</f>
        <v>2</v>
      </c>
      <c r="AE186" s="41">
        <f>IFERROR(LOOKUP(T186,打分卡!$F$9:$I$9,打分卡!$K$9:$N$9),1)</f>
        <v>3</v>
      </c>
      <c r="AF186" s="41">
        <f>IFERROR(LOOKUP(Q186,打分卡!$F$10:$J$10,打分卡!$K$10:$O$10),1)</f>
        <v>3</v>
      </c>
      <c r="AG186" s="41">
        <f>IFERROR(LOOKUP(R186,打分卡!$F$11:$J$11,打分卡!$K$11:$O$11),1)</f>
        <v>3</v>
      </c>
      <c r="AH186" s="41">
        <f>IFERROR(LOOKUP(U186,打分卡!$F$12:$J$12,打分卡!$K$12:$O$12),1)</f>
        <v>5</v>
      </c>
      <c r="AI186" s="41">
        <f>IFERROR(LOOKUP(X186,打分卡!$F$13:$J$13,打分卡!$K$13:$O$13),1)</f>
        <v>5</v>
      </c>
      <c r="AJ186" s="41">
        <f>IFERROR(LOOKUP(Y186,打分卡!$F$14:$J$14,打分卡!$K$14:$O$14),1)</f>
        <v>3</v>
      </c>
      <c r="AK186" s="41">
        <f>IFERROR(LOOKUP(W186,打分卡!$F$15:$J$15,打分卡!$K$15:$O$15),1)</f>
        <v>5</v>
      </c>
      <c r="AL186" s="43">
        <f t="shared" si="17"/>
        <v>5</v>
      </c>
      <c r="AM186" s="41">
        <f>IFERROR(LOOKUP(Z186,打分卡!$F$17:$H$17,打分卡!$K$17:$M$17),1)</f>
        <v>3</v>
      </c>
      <c r="AN186" s="44">
        <f>(打分卡!$D$7*AC186+打分卡!$D$8*AD186+打分卡!$D$9*AE186)/5</f>
        <v>22.4</v>
      </c>
      <c r="AO186" s="44">
        <f>(打分卡!$D$10*AF186+打分卡!$D$11*AG186)/5</f>
        <v>12</v>
      </c>
      <c r="AP186" s="44">
        <f>(打分卡!$D$12*AH186+打分卡!$D$13*AI186+打分卡!$D$14*AJ186+打分卡!$D$15*AK186)/5</f>
        <v>27.6</v>
      </c>
      <c r="AQ186" s="44">
        <f>(打分卡!$D$16*AL186+打分卡!$D$17*AM186)/5</f>
        <v>8.4</v>
      </c>
      <c r="AR186" s="47">
        <f t="shared" si="18"/>
        <v>70.4</v>
      </c>
      <c r="AS186" s="43" t="str">
        <f t="shared" si="19"/>
        <v>腰部</v>
      </c>
      <c r="AT186" s="43" t="str">
        <f t="shared" si="20"/>
        <v/>
      </c>
      <c r="AU186" s="43" t="str">
        <f t="shared" si="21"/>
        <v>拉·主攻：主推AI外呼+大促作战包</v>
      </c>
    </row>
    <row r="187" ht="15" customHeight="1" spans="1:47">
      <c r="A187" s="20" t="s">
        <v>744</v>
      </c>
      <c r="B187" s="22" t="s">
        <v>745</v>
      </c>
      <c r="C187" s="22" t="s">
        <v>189</v>
      </c>
      <c r="D187" s="22" t="s">
        <v>196</v>
      </c>
      <c r="E187" s="22" t="s">
        <v>197</v>
      </c>
      <c r="F187" s="20" t="s">
        <v>746</v>
      </c>
      <c r="G187" s="22">
        <v>3</v>
      </c>
      <c r="H187" s="22" t="s">
        <v>301</v>
      </c>
      <c r="I187" s="22" t="s">
        <v>302</v>
      </c>
      <c r="J187" s="36">
        <v>94400</v>
      </c>
      <c r="K187" s="36">
        <v>55900</v>
      </c>
      <c r="L187" s="36">
        <v>9300</v>
      </c>
      <c r="M187" s="36">
        <f t="shared" si="16"/>
        <v>159600</v>
      </c>
      <c r="N187" s="34">
        <f t="shared" si="22"/>
        <v>0.000836725321321397</v>
      </c>
      <c r="O187" s="35">
        <f>SUM($M$2:M187)</f>
        <v>148397900</v>
      </c>
      <c r="P187" s="34">
        <f t="shared" si="23"/>
        <v>0.777996745369176</v>
      </c>
      <c r="Q187" s="39">
        <v>22.1</v>
      </c>
      <c r="R187" s="22">
        <v>3</v>
      </c>
      <c r="S187" s="22">
        <v>3</v>
      </c>
      <c r="T187" s="22">
        <v>1</v>
      </c>
      <c r="U187" s="39">
        <v>1.1</v>
      </c>
      <c r="V187" s="22">
        <v>7</v>
      </c>
      <c r="W187" s="22">
        <v>2</v>
      </c>
      <c r="X187" s="40">
        <v>15</v>
      </c>
      <c r="Y187" s="22">
        <v>2</v>
      </c>
      <c r="Z187" s="22">
        <v>0</v>
      </c>
      <c r="AA187" s="22" t="s">
        <v>315</v>
      </c>
      <c r="AB187" s="22" t="s">
        <v>220</v>
      </c>
      <c r="AC187" s="42">
        <f>IFERROR(LOOKUP(M187,打分卡!$F$7:$J$7,打分卡!$K$7:$O$7),1)</f>
        <v>3</v>
      </c>
      <c r="AD187" s="42">
        <f>IFERROR(LOOKUP(S187,打分卡!$F$8:$J$8,打分卡!$K$8:$O$8),1)</f>
        <v>3</v>
      </c>
      <c r="AE187" s="42">
        <f>IFERROR(LOOKUP(T187,打分卡!$F$9:$I$9,打分卡!$K$9:$N$9),1)</f>
        <v>2</v>
      </c>
      <c r="AF187" s="42">
        <f>IFERROR(LOOKUP(Q187,打分卡!$F$10:$J$10,打分卡!$K$10:$O$10),1)</f>
        <v>3</v>
      </c>
      <c r="AG187" s="42">
        <f>IFERROR(LOOKUP(R187,打分卡!$F$11:$J$11,打分卡!$K$11:$O$11),1)</f>
        <v>2</v>
      </c>
      <c r="AH187" s="42">
        <f>IFERROR(LOOKUP(U187,打分卡!$F$12:$J$12,打分卡!$K$12:$O$12),1)</f>
        <v>1</v>
      </c>
      <c r="AI187" s="42">
        <f>IFERROR(LOOKUP(X187,打分卡!$F$13:$J$13,打分卡!$K$13:$O$13),1)</f>
        <v>1</v>
      </c>
      <c r="AJ187" s="42">
        <f>IFERROR(LOOKUP(Y187,打分卡!$F$14:$J$14,打分卡!$K$14:$O$14),1)</f>
        <v>3</v>
      </c>
      <c r="AK187" s="42">
        <f>IFERROR(LOOKUP(W187,打分卡!$F$15:$J$15,打分卡!$K$15:$O$15),1)</f>
        <v>2</v>
      </c>
      <c r="AL187" s="45">
        <f t="shared" si="17"/>
        <v>2</v>
      </c>
      <c r="AM187" s="42">
        <f>IFERROR(LOOKUP(Z187,打分卡!$F$17:$H$17,打分卡!$K$17:$M$17),1)</f>
        <v>1</v>
      </c>
      <c r="AN187" s="46">
        <f>(打分卡!$D$7*AC187+打分卡!$D$8*AD187+打分卡!$D$9*AE187)/5</f>
        <v>22.6</v>
      </c>
      <c r="AO187" s="46">
        <f>(打分卡!$D$10*AF187+打分卡!$D$11*AG187)/5</f>
        <v>10</v>
      </c>
      <c r="AP187" s="46">
        <f>(打分卡!$D$12*AH187+打分卡!$D$13*AI187+打分卡!$D$14*AJ187+打分卡!$D$15*AK187)/5</f>
        <v>9.2</v>
      </c>
      <c r="AQ187" s="46">
        <f>(打分卡!$D$16*AL187+打分卡!$D$17*AM187)/5</f>
        <v>3.2</v>
      </c>
      <c r="AR187" s="48">
        <f t="shared" si="18"/>
        <v>45</v>
      </c>
      <c r="AS187" s="45" t="str">
        <f t="shared" si="19"/>
        <v>腰部</v>
      </c>
      <c r="AT187" s="45" t="str">
        <f t="shared" si="20"/>
        <v/>
      </c>
      <c r="AU187" s="45" t="str">
        <f t="shared" si="21"/>
        <v>拉·主攻：主推AI外呼+大促作战包</v>
      </c>
    </row>
    <row r="188" ht="15" customHeight="1" spans="1:47">
      <c r="A188" s="30" t="s">
        <v>747</v>
      </c>
      <c r="B188" s="31" t="s">
        <v>748</v>
      </c>
      <c r="C188" s="31" t="s">
        <v>218</v>
      </c>
      <c r="D188" s="31" t="s">
        <v>190</v>
      </c>
      <c r="E188" s="31" t="s">
        <v>181</v>
      </c>
      <c r="F188" s="30" t="s">
        <v>445</v>
      </c>
      <c r="G188" s="31">
        <v>21</v>
      </c>
      <c r="H188" s="31" t="s">
        <v>301</v>
      </c>
      <c r="I188" s="31" t="s">
        <v>184</v>
      </c>
      <c r="J188" s="33">
        <v>94900</v>
      </c>
      <c r="K188" s="33">
        <v>36400</v>
      </c>
      <c r="L188" s="33">
        <v>25400</v>
      </c>
      <c r="M188" s="33">
        <f t="shared" si="16"/>
        <v>156700</v>
      </c>
      <c r="N188" s="34">
        <f t="shared" si="22"/>
        <v>0.000821521665733477</v>
      </c>
      <c r="O188" s="35">
        <f>SUM($M$2:M188)</f>
        <v>148554600</v>
      </c>
      <c r="P188" s="34">
        <f t="shared" si="23"/>
        <v>0.77881826703491</v>
      </c>
      <c r="Q188" s="37">
        <v>9.7</v>
      </c>
      <c r="R188" s="31">
        <v>2</v>
      </c>
      <c r="S188" s="31">
        <v>3</v>
      </c>
      <c r="T188" s="31">
        <v>1</v>
      </c>
      <c r="U188" s="37">
        <v>48.9</v>
      </c>
      <c r="V188" s="31">
        <v>28</v>
      </c>
      <c r="W188" s="31">
        <v>3</v>
      </c>
      <c r="X188" s="38">
        <v>42</v>
      </c>
      <c r="Y188" s="31">
        <v>0</v>
      </c>
      <c r="Z188" s="31">
        <v>0</v>
      </c>
      <c r="AA188" s="31" t="s">
        <v>185</v>
      </c>
      <c r="AB188" s="31" t="s">
        <v>220</v>
      </c>
      <c r="AC188" s="41">
        <f>IFERROR(LOOKUP(M188,打分卡!$F$7:$J$7,打分卡!$K$7:$O$7),1)</f>
        <v>3</v>
      </c>
      <c r="AD188" s="41">
        <f>IFERROR(LOOKUP(S188,打分卡!$F$8:$J$8,打分卡!$K$8:$O$8),1)</f>
        <v>3</v>
      </c>
      <c r="AE188" s="41">
        <f>IFERROR(LOOKUP(T188,打分卡!$F$9:$I$9,打分卡!$K$9:$N$9),1)</f>
        <v>2</v>
      </c>
      <c r="AF188" s="41">
        <f>IFERROR(LOOKUP(Q188,打分卡!$F$10:$J$10,打分卡!$K$10:$O$10),1)</f>
        <v>2</v>
      </c>
      <c r="AG188" s="41">
        <f>IFERROR(LOOKUP(R188,打分卡!$F$11:$J$11,打分卡!$K$11:$O$11),1)</f>
        <v>1</v>
      </c>
      <c r="AH188" s="41">
        <f>IFERROR(LOOKUP(U188,打分卡!$F$12:$J$12,打分卡!$K$12:$O$12),1)</f>
        <v>4</v>
      </c>
      <c r="AI188" s="41">
        <f>IFERROR(LOOKUP(X188,打分卡!$F$13:$J$13,打分卡!$K$13:$O$13),1)</f>
        <v>3</v>
      </c>
      <c r="AJ188" s="41">
        <f>IFERROR(LOOKUP(Y188,打分卡!$F$14:$J$14,打分卡!$K$14:$O$14),1)</f>
        <v>1</v>
      </c>
      <c r="AK188" s="41">
        <f>IFERROR(LOOKUP(W188,打分卡!$F$15:$J$15,打分卡!$K$15:$O$15),1)</f>
        <v>3</v>
      </c>
      <c r="AL188" s="43">
        <f t="shared" si="17"/>
        <v>3</v>
      </c>
      <c r="AM188" s="41">
        <f>IFERROR(LOOKUP(Z188,打分卡!$F$17:$H$17,打分卡!$K$17:$M$17),1)</f>
        <v>1</v>
      </c>
      <c r="AN188" s="44">
        <f>(打分卡!$D$7*AC188+打分卡!$D$8*AD188+打分卡!$D$9*AE188)/5</f>
        <v>22.6</v>
      </c>
      <c r="AO188" s="44">
        <f>(打分卡!$D$10*AF188+打分卡!$D$11*AG188)/5</f>
        <v>6</v>
      </c>
      <c r="AP188" s="44">
        <f>(打分卡!$D$12*AH188+打分卡!$D$13*AI188+打分卡!$D$14*AJ188+打分卡!$D$15*AK188)/5</f>
        <v>18</v>
      </c>
      <c r="AQ188" s="44">
        <f>(打分卡!$D$16*AL188+打分卡!$D$17*AM188)/5</f>
        <v>4.4</v>
      </c>
      <c r="AR188" s="47">
        <f t="shared" si="18"/>
        <v>51</v>
      </c>
      <c r="AS188" s="43" t="str">
        <f t="shared" si="19"/>
        <v>腰部</v>
      </c>
      <c r="AT188" s="43" t="str">
        <f t="shared" si="20"/>
        <v/>
      </c>
      <c r="AU188" s="43" t="str">
        <f t="shared" si="21"/>
        <v>拉·主攻：主推AI外呼+大促作战包</v>
      </c>
    </row>
    <row r="189" ht="15" customHeight="1" spans="1:47">
      <c r="A189" s="20" t="s">
        <v>749</v>
      </c>
      <c r="B189" s="22" t="s">
        <v>750</v>
      </c>
      <c r="C189" s="22" t="s">
        <v>234</v>
      </c>
      <c r="D189" s="22" t="s">
        <v>196</v>
      </c>
      <c r="E189" s="22" t="s">
        <v>181</v>
      </c>
      <c r="F189" s="20" t="s">
        <v>751</v>
      </c>
      <c r="G189" s="22">
        <v>9</v>
      </c>
      <c r="H189" s="22" t="s">
        <v>301</v>
      </c>
      <c r="I189" s="22" t="s">
        <v>302</v>
      </c>
      <c r="J189" s="36">
        <v>95400</v>
      </c>
      <c r="K189" s="36">
        <v>52200</v>
      </c>
      <c r="L189" s="36">
        <v>7800</v>
      </c>
      <c r="M189" s="36">
        <f t="shared" si="16"/>
        <v>155400</v>
      </c>
      <c r="N189" s="34">
        <f t="shared" si="22"/>
        <v>0.000814706233918202</v>
      </c>
      <c r="O189" s="35">
        <f>SUM($M$2:M189)</f>
        <v>148710000</v>
      </c>
      <c r="P189" s="34">
        <f t="shared" si="23"/>
        <v>0.779632973268828</v>
      </c>
      <c r="Q189" s="39">
        <v>22.3</v>
      </c>
      <c r="R189" s="22">
        <v>8</v>
      </c>
      <c r="S189" s="22">
        <v>1</v>
      </c>
      <c r="T189" s="22">
        <v>0</v>
      </c>
      <c r="U189" s="39">
        <v>11.2</v>
      </c>
      <c r="V189" s="22">
        <v>3</v>
      </c>
      <c r="W189" s="22">
        <v>0</v>
      </c>
      <c r="X189" s="40">
        <v>53</v>
      </c>
      <c r="Y189" s="22">
        <v>0</v>
      </c>
      <c r="Z189" s="22">
        <v>0</v>
      </c>
      <c r="AA189" s="22" t="s">
        <v>185</v>
      </c>
      <c r="AB189" s="22" t="s">
        <v>220</v>
      </c>
      <c r="AC189" s="42">
        <f>IFERROR(LOOKUP(M189,打分卡!$F$7:$J$7,打分卡!$K$7:$O$7),1)</f>
        <v>3</v>
      </c>
      <c r="AD189" s="42">
        <f>IFERROR(LOOKUP(S189,打分卡!$F$8:$J$8,打分卡!$K$8:$O$8),1)</f>
        <v>1</v>
      </c>
      <c r="AE189" s="42">
        <f>IFERROR(LOOKUP(T189,打分卡!$F$9:$I$9,打分卡!$K$9:$N$9),1)</f>
        <v>1</v>
      </c>
      <c r="AF189" s="42">
        <f>IFERROR(LOOKUP(Q189,打分卡!$F$10:$J$10,打分卡!$K$10:$O$10),1)</f>
        <v>3</v>
      </c>
      <c r="AG189" s="42">
        <f>IFERROR(LOOKUP(R189,打分卡!$F$11:$J$11,打分卡!$K$11:$O$11),1)</f>
        <v>3</v>
      </c>
      <c r="AH189" s="42">
        <f>IFERROR(LOOKUP(U189,打分卡!$F$12:$J$12,打分卡!$K$12:$O$12),1)</f>
        <v>3</v>
      </c>
      <c r="AI189" s="42">
        <f>IFERROR(LOOKUP(X189,打分卡!$F$13:$J$13,打分卡!$K$13:$O$13),1)</f>
        <v>3</v>
      </c>
      <c r="AJ189" s="42">
        <f>IFERROR(LOOKUP(Y189,打分卡!$F$14:$J$14,打分卡!$K$14:$O$14),1)</f>
        <v>1</v>
      </c>
      <c r="AK189" s="42">
        <f>IFERROR(LOOKUP(W189,打分卡!$F$15:$J$15,打分卡!$K$15:$O$15),1)</f>
        <v>1</v>
      </c>
      <c r="AL189" s="45">
        <f t="shared" si="17"/>
        <v>3</v>
      </c>
      <c r="AM189" s="42">
        <f>IFERROR(LOOKUP(Z189,打分卡!$F$17:$H$17,打分卡!$K$17:$M$17),1)</f>
        <v>1</v>
      </c>
      <c r="AN189" s="46">
        <f>(打分卡!$D$7*AC189+打分卡!$D$8*AD189+打分卡!$D$9*AE189)/5</f>
        <v>18</v>
      </c>
      <c r="AO189" s="46">
        <f>(打分卡!$D$10*AF189+打分卡!$D$11*AG189)/5</f>
        <v>12</v>
      </c>
      <c r="AP189" s="46">
        <f>(打分卡!$D$12*AH189+打分卡!$D$13*AI189+打分卡!$D$14*AJ189+打分卡!$D$15*AK189)/5</f>
        <v>14</v>
      </c>
      <c r="AQ189" s="46">
        <f>(打分卡!$D$16*AL189+打分卡!$D$17*AM189)/5</f>
        <v>4.4</v>
      </c>
      <c r="AR189" s="48">
        <f t="shared" si="18"/>
        <v>48.4</v>
      </c>
      <c r="AS189" s="45" t="str">
        <f t="shared" si="19"/>
        <v>腰部</v>
      </c>
      <c r="AT189" s="45" t="str">
        <f t="shared" si="20"/>
        <v/>
      </c>
      <c r="AU189" s="45" t="str">
        <f t="shared" si="21"/>
        <v>拉·主攻：主推AI外呼+大促作战包</v>
      </c>
    </row>
    <row r="190" ht="15" customHeight="1" spans="1:47">
      <c r="A190" s="30" t="s">
        <v>752</v>
      </c>
      <c r="B190" s="31" t="s">
        <v>753</v>
      </c>
      <c r="C190" s="31" t="s">
        <v>239</v>
      </c>
      <c r="D190" s="31" t="s">
        <v>227</v>
      </c>
      <c r="E190" s="31" t="s">
        <v>181</v>
      </c>
      <c r="F190" s="30" t="s">
        <v>754</v>
      </c>
      <c r="G190" s="31">
        <v>10</v>
      </c>
      <c r="H190" s="31" t="s">
        <v>183</v>
      </c>
      <c r="I190" s="31" t="s">
        <v>184</v>
      </c>
      <c r="J190" s="33">
        <v>70000</v>
      </c>
      <c r="K190" s="33">
        <v>31600</v>
      </c>
      <c r="L190" s="33">
        <v>53500</v>
      </c>
      <c r="M190" s="33">
        <f t="shared" si="16"/>
        <v>155100</v>
      </c>
      <c r="N190" s="34">
        <f t="shared" si="22"/>
        <v>0.000813133441960831</v>
      </c>
      <c r="O190" s="35">
        <f>SUM($M$2:M190)</f>
        <v>148865100</v>
      </c>
      <c r="P190" s="34">
        <f t="shared" si="23"/>
        <v>0.780446106710789</v>
      </c>
      <c r="Q190" s="37">
        <v>13.7</v>
      </c>
      <c r="R190" s="31">
        <v>3</v>
      </c>
      <c r="S190" s="31">
        <v>2</v>
      </c>
      <c r="T190" s="31">
        <v>2</v>
      </c>
      <c r="U190" s="37">
        <v>50.1</v>
      </c>
      <c r="V190" s="31">
        <v>14</v>
      </c>
      <c r="W190" s="31">
        <v>3</v>
      </c>
      <c r="X190" s="38">
        <v>34</v>
      </c>
      <c r="Y190" s="31">
        <v>2</v>
      </c>
      <c r="Z190" s="31">
        <v>0</v>
      </c>
      <c r="AA190" s="31" t="s">
        <v>199</v>
      </c>
      <c r="AB190" s="31" t="s">
        <v>220</v>
      </c>
      <c r="AC190" s="41">
        <f>IFERROR(LOOKUP(M190,打分卡!$F$7:$J$7,打分卡!$K$7:$O$7),1)</f>
        <v>3</v>
      </c>
      <c r="AD190" s="41">
        <f>IFERROR(LOOKUP(S190,打分卡!$F$8:$J$8,打分卡!$K$8:$O$8),1)</f>
        <v>2</v>
      </c>
      <c r="AE190" s="41">
        <f>IFERROR(LOOKUP(T190,打分卡!$F$9:$I$9,打分卡!$K$9:$N$9),1)</f>
        <v>3</v>
      </c>
      <c r="AF190" s="41">
        <f>IFERROR(LOOKUP(Q190,打分卡!$F$10:$J$10,打分卡!$K$10:$O$10),1)</f>
        <v>3</v>
      </c>
      <c r="AG190" s="41">
        <f>IFERROR(LOOKUP(R190,打分卡!$F$11:$J$11,打分卡!$K$11:$O$11),1)</f>
        <v>2</v>
      </c>
      <c r="AH190" s="41">
        <f>IFERROR(LOOKUP(U190,打分卡!$F$12:$J$12,打分卡!$K$12:$O$12),1)</f>
        <v>4</v>
      </c>
      <c r="AI190" s="41">
        <f>IFERROR(LOOKUP(X190,打分卡!$F$13:$J$13,打分卡!$K$13:$O$13),1)</f>
        <v>2</v>
      </c>
      <c r="AJ190" s="41">
        <f>IFERROR(LOOKUP(Y190,打分卡!$F$14:$J$14,打分卡!$K$14:$O$14),1)</f>
        <v>3</v>
      </c>
      <c r="AK190" s="41">
        <f>IFERROR(LOOKUP(W190,打分卡!$F$15:$J$15,打分卡!$K$15:$O$15),1)</f>
        <v>3</v>
      </c>
      <c r="AL190" s="43">
        <f t="shared" si="17"/>
        <v>5</v>
      </c>
      <c r="AM190" s="41">
        <f>IFERROR(LOOKUP(Z190,打分卡!$F$17:$H$17,打分卡!$K$17:$M$17),1)</f>
        <v>1</v>
      </c>
      <c r="AN190" s="44">
        <f>(打分卡!$D$7*AC190+打分卡!$D$8*AD190+打分卡!$D$9*AE190)/5</f>
        <v>22.4</v>
      </c>
      <c r="AO190" s="44">
        <f>(打分卡!$D$10*AF190+打分卡!$D$11*AG190)/5</f>
        <v>10</v>
      </c>
      <c r="AP190" s="44">
        <f>(打分卡!$D$12*AH190+打分卡!$D$13*AI190+打分卡!$D$14*AJ190+打分卡!$D$15*AK190)/5</f>
        <v>18.8</v>
      </c>
      <c r="AQ190" s="44">
        <f>(打分卡!$D$16*AL190+打分卡!$D$17*AM190)/5</f>
        <v>6.8</v>
      </c>
      <c r="AR190" s="47">
        <f t="shared" si="18"/>
        <v>58</v>
      </c>
      <c r="AS190" s="43" t="str">
        <f t="shared" si="19"/>
        <v>腰部</v>
      </c>
      <c r="AT190" s="43" t="str">
        <f t="shared" si="20"/>
        <v/>
      </c>
      <c r="AU190" s="43" t="str">
        <f t="shared" si="21"/>
        <v>拉·主攻：主推AI外呼+大促作战包</v>
      </c>
    </row>
    <row r="191" ht="15" customHeight="1" spans="1:47">
      <c r="A191" s="20" t="s">
        <v>755</v>
      </c>
      <c r="B191" s="22" t="s">
        <v>756</v>
      </c>
      <c r="C191" s="22" t="s">
        <v>223</v>
      </c>
      <c r="D191" s="22" t="s">
        <v>235</v>
      </c>
      <c r="E191" s="22" t="s">
        <v>181</v>
      </c>
      <c r="F191" s="20" t="s">
        <v>714</v>
      </c>
      <c r="G191" s="22">
        <v>10</v>
      </c>
      <c r="H191" s="22" t="s">
        <v>301</v>
      </c>
      <c r="I191" s="22" t="s">
        <v>302</v>
      </c>
      <c r="J191" s="36">
        <v>79100</v>
      </c>
      <c r="K191" s="36">
        <v>40400</v>
      </c>
      <c r="L191" s="36">
        <v>35500</v>
      </c>
      <c r="M191" s="36">
        <f t="shared" si="16"/>
        <v>155000</v>
      </c>
      <c r="N191" s="34">
        <f t="shared" si="22"/>
        <v>0.000812609177975041</v>
      </c>
      <c r="O191" s="35">
        <f>SUM($M$2:M191)</f>
        <v>149020100</v>
      </c>
      <c r="P191" s="34">
        <f t="shared" si="23"/>
        <v>0.781258715888764</v>
      </c>
      <c r="Q191" s="39">
        <v>12</v>
      </c>
      <c r="R191" s="22">
        <v>8</v>
      </c>
      <c r="S191" s="22">
        <v>1</v>
      </c>
      <c r="T191" s="22">
        <v>1</v>
      </c>
      <c r="U191" s="39">
        <v>30.9</v>
      </c>
      <c r="V191" s="22">
        <v>12</v>
      </c>
      <c r="W191" s="22">
        <v>2</v>
      </c>
      <c r="X191" s="40">
        <v>33</v>
      </c>
      <c r="Y191" s="22">
        <v>1</v>
      </c>
      <c r="Z191" s="22">
        <v>0</v>
      </c>
      <c r="AA191" s="22" t="s">
        <v>185</v>
      </c>
      <c r="AB191" s="22" t="s">
        <v>220</v>
      </c>
      <c r="AC191" s="42">
        <f>IFERROR(LOOKUP(M191,打分卡!$F$7:$J$7,打分卡!$K$7:$O$7),1)</f>
        <v>3</v>
      </c>
      <c r="AD191" s="42">
        <f>IFERROR(LOOKUP(S191,打分卡!$F$8:$J$8,打分卡!$K$8:$O$8),1)</f>
        <v>1</v>
      </c>
      <c r="AE191" s="42">
        <f>IFERROR(LOOKUP(T191,打分卡!$F$9:$I$9,打分卡!$K$9:$N$9),1)</f>
        <v>2</v>
      </c>
      <c r="AF191" s="42">
        <f>IFERROR(LOOKUP(Q191,打分卡!$F$10:$J$10,打分卡!$K$10:$O$10),1)</f>
        <v>3</v>
      </c>
      <c r="AG191" s="42">
        <f>IFERROR(LOOKUP(R191,打分卡!$F$11:$J$11,打分卡!$K$11:$O$11),1)</f>
        <v>3</v>
      </c>
      <c r="AH191" s="42">
        <f>IFERROR(LOOKUP(U191,打分卡!$F$12:$J$12,打分卡!$K$12:$O$12),1)</f>
        <v>3</v>
      </c>
      <c r="AI191" s="42">
        <f>IFERROR(LOOKUP(X191,打分卡!$F$13:$J$13,打分卡!$K$13:$O$13),1)</f>
        <v>2</v>
      </c>
      <c r="AJ191" s="42">
        <f>IFERROR(LOOKUP(Y191,打分卡!$F$14:$J$14,打分卡!$K$14:$O$14),1)</f>
        <v>2</v>
      </c>
      <c r="AK191" s="42">
        <f>IFERROR(LOOKUP(W191,打分卡!$F$15:$J$15,打分卡!$K$15:$O$15),1)</f>
        <v>2</v>
      </c>
      <c r="AL191" s="45">
        <f t="shared" si="17"/>
        <v>3</v>
      </c>
      <c r="AM191" s="42">
        <f>IFERROR(LOOKUP(Z191,打分卡!$F$17:$H$17,打分卡!$K$17:$M$17),1)</f>
        <v>1</v>
      </c>
      <c r="AN191" s="46">
        <f>(打分卡!$D$7*AC191+打分卡!$D$8*AD191+打分卡!$D$9*AE191)/5</f>
        <v>19.4</v>
      </c>
      <c r="AO191" s="46">
        <f>(打分卡!$D$10*AF191+打分卡!$D$11*AG191)/5</f>
        <v>12</v>
      </c>
      <c r="AP191" s="46">
        <f>(打分卡!$D$12*AH191+打分卡!$D$13*AI191+打分卡!$D$14*AJ191+打分卡!$D$15*AK191)/5</f>
        <v>14.4</v>
      </c>
      <c r="AQ191" s="46">
        <f>(打分卡!$D$16*AL191+打分卡!$D$17*AM191)/5</f>
        <v>4.4</v>
      </c>
      <c r="AR191" s="48">
        <f t="shared" si="18"/>
        <v>50.2</v>
      </c>
      <c r="AS191" s="45" t="str">
        <f t="shared" si="19"/>
        <v>腰部</v>
      </c>
      <c r="AT191" s="45" t="str">
        <f t="shared" si="20"/>
        <v/>
      </c>
      <c r="AU191" s="45" t="str">
        <f t="shared" si="21"/>
        <v>拉·主攻：主推AI外呼+大促作战包</v>
      </c>
    </row>
    <row r="192" ht="15" customHeight="1" spans="1:47">
      <c r="A192" s="30" t="s">
        <v>757</v>
      </c>
      <c r="B192" s="31" t="s">
        <v>758</v>
      </c>
      <c r="C192" s="31" t="s">
        <v>223</v>
      </c>
      <c r="D192" s="31" t="s">
        <v>227</v>
      </c>
      <c r="E192" s="31" t="s">
        <v>197</v>
      </c>
      <c r="F192" s="30" t="s">
        <v>759</v>
      </c>
      <c r="G192" s="31">
        <v>16</v>
      </c>
      <c r="H192" s="31" t="s">
        <v>183</v>
      </c>
      <c r="I192" s="31" t="s">
        <v>184</v>
      </c>
      <c r="J192" s="33">
        <v>99300</v>
      </c>
      <c r="K192" s="33">
        <v>44300</v>
      </c>
      <c r="L192" s="33">
        <v>11500</v>
      </c>
      <c r="M192" s="33">
        <f t="shared" si="16"/>
        <v>155100</v>
      </c>
      <c r="N192" s="34">
        <f t="shared" si="22"/>
        <v>0.000813133441960831</v>
      </c>
      <c r="O192" s="35">
        <f>SUM($M$2:M192)</f>
        <v>149175200</v>
      </c>
      <c r="P192" s="34">
        <f t="shared" si="23"/>
        <v>0.782071849330725</v>
      </c>
      <c r="Q192" s="37">
        <v>23</v>
      </c>
      <c r="R192" s="31">
        <v>1</v>
      </c>
      <c r="S192" s="31">
        <v>2</v>
      </c>
      <c r="T192" s="31">
        <v>0</v>
      </c>
      <c r="U192" s="37">
        <v>4.9</v>
      </c>
      <c r="V192" s="31">
        <v>14</v>
      </c>
      <c r="W192" s="31">
        <v>1</v>
      </c>
      <c r="X192" s="38">
        <v>57</v>
      </c>
      <c r="Y192" s="31">
        <v>3</v>
      </c>
      <c r="Z192" s="31">
        <v>0</v>
      </c>
      <c r="AA192" s="31" t="s">
        <v>199</v>
      </c>
      <c r="AB192" s="31" t="s">
        <v>220</v>
      </c>
      <c r="AC192" s="41">
        <f>IFERROR(LOOKUP(M192,打分卡!$F$7:$J$7,打分卡!$K$7:$O$7),1)</f>
        <v>3</v>
      </c>
      <c r="AD192" s="41">
        <f>IFERROR(LOOKUP(S192,打分卡!$F$8:$J$8,打分卡!$K$8:$O$8),1)</f>
        <v>2</v>
      </c>
      <c r="AE192" s="41">
        <f>IFERROR(LOOKUP(T192,打分卡!$F$9:$I$9,打分卡!$K$9:$N$9),1)</f>
        <v>1</v>
      </c>
      <c r="AF192" s="41">
        <f>IFERROR(LOOKUP(Q192,打分卡!$F$10:$J$10,打分卡!$K$10:$O$10),1)</f>
        <v>3</v>
      </c>
      <c r="AG192" s="41">
        <f>IFERROR(LOOKUP(R192,打分卡!$F$11:$J$11,打分卡!$K$11:$O$11),1)</f>
        <v>1</v>
      </c>
      <c r="AH192" s="41">
        <f>IFERROR(LOOKUP(U192,打分卡!$F$12:$J$12,打分卡!$K$12:$O$12),1)</f>
        <v>2</v>
      </c>
      <c r="AI192" s="41">
        <f>IFERROR(LOOKUP(X192,打分卡!$F$13:$J$13,打分卡!$K$13:$O$13),1)</f>
        <v>3</v>
      </c>
      <c r="AJ192" s="41">
        <f>IFERROR(LOOKUP(Y192,打分卡!$F$14:$J$14,打分卡!$K$14:$O$14),1)</f>
        <v>4</v>
      </c>
      <c r="AK192" s="41">
        <f>IFERROR(LOOKUP(W192,打分卡!$F$15:$J$15,打分卡!$K$15:$O$15),1)</f>
        <v>2</v>
      </c>
      <c r="AL192" s="43">
        <f t="shared" si="17"/>
        <v>5</v>
      </c>
      <c r="AM192" s="41">
        <f>IFERROR(LOOKUP(Z192,打分卡!$F$17:$H$17,打分卡!$K$17:$M$17),1)</f>
        <v>1</v>
      </c>
      <c r="AN192" s="44">
        <f>(打分卡!$D$7*AC192+打分卡!$D$8*AD192+打分卡!$D$9*AE192)/5</f>
        <v>19.6</v>
      </c>
      <c r="AO192" s="44">
        <f>(打分卡!$D$10*AF192+打分卡!$D$11*AG192)/5</f>
        <v>8</v>
      </c>
      <c r="AP192" s="44">
        <f>(打分卡!$D$12*AH192+打分卡!$D$13*AI192+打分卡!$D$14*AJ192+打分卡!$D$15*AK192)/5</f>
        <v>16</v>
      </c>
      <c r="AQ192" s="44">
        <f>(打分卡!$D$16*AL192+打分卡!$D$17*AM192)/5</f>
        <v>6.8</v>
      </c>
      <c r="AR192" s="47">
        <f t="shared" si="18"/>
        <v>50.4</v>
      </c>
      <c r="AS192" s="43" t="str">
        <f t="shared" si="19"/>
        <v>腰部</v>
      </c>
      <c r="AT192" s="43" t="str">
        <f t="shared" si="20"/>
        <v/>
      </c>
      <c r="AU192" s="43" t="str">
        <f t="shared" si="21"/>
        <v>拉·主攻：主推AI外呼+大促作战包</v>
      </c>
    </row>
    <row r="193" ht="15" customHeight="1" spans="1:47">
      <c r="A193" s="20" t="s">
        <v>760</v>
      </c>
      <c r="B193" s="22" t="s">
        <v>761</v>
      </c>
      <c r="C193" s="22" t="s">
        <v>239</v>
      </c>
      <c r="D193" s="22" t="s">
        <v>196</v>
      </c>
      <c r="E193" s="22" t="s">
        <v>197</v>
      </c>
      <c r="F193" s="20" t="s">
        <v>488</v>
      </c>
      <c r="G193" s="22">
        <v>9</v>
      </c>
      <c r="H193" s="22" t="s">
        <v>301</v>
      </c>
      <c r="I193" s="22" t="s">
        <v>184</v>
      </c>
      <c r="J193" s="36">
        <v>79700</v>
      </c>
      <c r="K193" s="36">
        <v>42300</v>
      </c>
      <c r="L193" s="36">
        <v>32900</v>
      </c>
      <c r="M193" s="36">
        <f t="shared" si="16"/>
        <v>154900</v>
      </c>
      <c r="N193" s="34">
        <f t="shared" si="22"/>
        <v>0.000812084913989251</v>
      </c>
      <c r="O193" s="35">
        <f>SUM($M$2:M193)</f>
        <v>149330100</v>
      </c>
      <c r="P193" s="34">
        <f t="shared" si="23"/>
        <v>0.782883934244714</v>
      </c>
      <c r="Q193" s="39">
        <v>16.7</v>
      </c>
      <c r="R193" s="22">
        <v>8</v>
      </c>
      <c r="S193" s="22">
        <v>1</v>
      </c>
      <c r="T193" s="22">
        <v>2</v>
      </c>
      <c r="U193" s="39">
        <v>2.6</v>
      </c>
      <c r="V193" s="22">
        <v>23</v>
      </c>
      <c r="W193" s="22">
        <v>2</v>
      </c>
      <c r="X193" s="40">
        <v>23</v>
      </c>
      <c r="Y193" s="22">
        <v>3</v>
      </c>
      <c r="Z193" s="22">
        <v>1</v>
      </c>
      <c r="AA193" s="22" t="s">
        <v>185</v>
      </c>
      <c r="AB193" s="22" t="s">
        <v>220</v>
      </c>
      <c r="AC193" s="42">
        <f>IFERROR(LOOKUP(M193,打分卡!$F$7:$J$7,打分卡!$K$7:$O$7),1)</f>
        <v>3</v>
      </c>
      <c r="AD193" s="42">
        <f>IFERROR(LOOKUP(S193,打分卡!$F$8:$J$8,打分卡!$K$8:$O$8),1)</f>
        <v>1</v>
      </c>
      <c r="AE193" s="42">
        <f>IFERROR(LOOKUP(T193,打分卡!$F$9:$I$9,打分卡!$K$9:$N$9),1)</f>
        <v>3</v>
      </c>
      <c r="AF193" s="42">
        <f>IFERROR(LOOKUP(Q193,打分卡!$F$10:$J$10,打分卡!$K$10:$O$10),1)</f>
        <v>3</v>
      </c>
      <c r="AG193" s="42">
        <f>IFERROR(LOOKUP(R193,打分卡!$F$11:$J$11,打分卡!$K$11:$O$11),1)</f>
        <v>3</v>
      </c>
      <c r="AH193" s="42">
        <f>IFERROR(LOOKUP(U193,打分卡!$F$12:$J$12,打分卡!$K$12:$O$12),1)</f>
        <v>1</v>
      </c>
      <c r="AI193" s="42">
        <f>IFERROR(LOOKUP(X193,打分卡!$F$13:$J$13,打分卡!$K$13:$O$13),1)</f>
        <v>2</v>
      </c>
      <c r="AJ193" s="42">
        <f>IFERROR(LOOKUP(Y193,打分卡!$F$14:$J$14,打分卡!$K$14:$O$14),1)</f>
        <v>4</v>
      </c>
      <c r="AK193" s="42">
        <f>IFERROR(LOOKUP(W193,打分卡!$F$15:$J$15,打分卡!$K$15:$O$15),1)</f>
        <v>2</v>
      </c>
      <c r="AL193" s="45">
        <f t="shared" si="17"/>
        <v>3</v>
      </c>
      <c r="AM193" s="42">
        <f>IFERROR(LOOKUP(Z193,打分卡!$F$17:$H$17,打分卡!$K$17:$M$17),1)</f>
        <v>3</v>
      </c>
      <c r="AN193" s="46">
        <f>(打分卡!$D$7*AC193+打分卡!$D$8*AD193+打分卡!$D$9*AE193)/5</f>
        <v>20.8</v>
      </c>
      <c r="AO193" s="46">
        <f>(打分卡!$D$10*AF193+打分卡!$D$11*AG193)/5</f>
        <v>12</v>
      </c>
      <c r="AP193" s="46">
        <f>(打分卡!$D$12*AH193+打分卡!$D$13*AI193+打分卡!$D$14*AJ193+打分卡!$D$15*AK193)/5</f>
        <v>12</v>
      </c>
      <c r="AQ193" s="46">
        <f>(打分卡!$D$16*AL193+打分卡!$D$17*AM193)/5</f>
        <v>6</v>
      </c>
      <c r="AR193" s="48">
        <f t="shared" si="18"/>
        <v>50.8</v>
      </c>
      <c r="AS193" s="45" t="str">
        <f t="shared" si="19"/>
        <v>腰部</v>
      </c>
      <c r="AT193" s="45" t="str">
        <f t="shared" si="20"/>
        <v/>
      </c>
      <c r="AU193" s="45" t="str">
        <f t="shared" si="21"/>
        <v>拉·主攻：主推AI外呼+大促作战包</v>
      </c>
    </row>
    <row r="194" ht="15" customHeight="1" spans="1:47">
      <c r="A194" s="30" t="s">
        <v>762</v>
      </c>
      <c r="B194" s="31" t="s">
        <v>763</v>
      </c>
      <c r="C194" s="31" t="s">
        <v>189</v>
      </c>
      <c r="D194" s="31" t="s">
        <v>227</v>
      </c>
      <c r="E194" s="31" t="s">
        <v>181</v>
      </c>
      <c r="F194" s="30" t="s">
        <v>336</v>
      </c>
      <c r="G194" s="31">
        <v>18</v>
      </c>
      <c r="H194" s="31" t="s">
        <v>301</v>
      </c>
      <c r="I194" s="31" t="s">
        <v>184</v>
      </c>
      <c r="J194" s="33">
        <v>81600</v>
      </c>
      <c r="K194" s="33">
        <v>41500</v>
      </c>
      <c r="L194" s="33">
        <v>31800</v>
      </c>
      <c r="M194" s="33">
        <f t="shared" ref="M194:M257" si="24">SUM(J194:L194)</f>
        <v>154900</v>
      </c>
      <c r="N194" s="34">
        <f t="shared" si="22"/>
        <v>0.000812084913989251</v>
      </c>
      <c r="O194" s="35">
        <f>SUM($M$2:M194)</f>
        <v>149485000</v>
      </c>
      <c r="P194" s="34">
        <f t="shared" si="23"/>
        <v>0.783696019158703</v>
      </c>
      <c r="Q194" s="37">
        <v>15.1</v>
      </c>
      <c r="R194" s="31">
        <v>9</v>
      </c>
      <c r="S194" s="31">
        <v>2</v>
      </c>
      <c r="T194" s="31">
        <v>0</v>
      </c>
      <c r="U194" s="37">
        <v>1.2</v>
      </c>
      <c r="V194" s="31">
        <v>29</v>
      </c>
      <c r="W194" s="31">
        <v>0</v>
      </c>
      <c r="X194" s="38">
        <v>19</v>
      </c>
      <c r="Y194" s="31">
        <v>1</v>
      </c>
      <c r="Z194" s="31">
        <v>0</v>
      </c>
      <c r="AA194" s="31" t="s">
        <v>199</v>
      </c>
      <c r="AB194" s="31" t="s">
        <v>220</v>
      </c>
      <c r="AC194" s="41">
        <f>IFERROR(LOOKUP(M194,打分卡!$F$7:$J$7,打分卡!$K$7:$O$7),1)</f>
        <v>3</v>
      </c>
      <c r="AD194" s="41">
        <f>IFERROR(LOOKUP(S194,打分卡!$F$8:$J$8,打分卡!$K$8:$O$8),1)</f>
        <v>2</v>
      </c>
      <c r="AE194" s="41">
        <f>IFERROR(LOOKUP(T194,打分卡!$F$9:$I$9,打分卡!$K$9:$N$9),1)</f>
        <v>1</v>
      </c>
      <c r="AF194" s="41">
        <f>IFERROR(LOOKUP(Q194,打分卡!$F$10:$J$10,打分卡!$K$10:$O$10),1)</f>
        <v>3</v>
      </c>
      <c r="AG194" s="41">
        <f>IFERROR(LOOKUP(R194,打分卡!$F$11:$J$11,打分卡!$K$11:$O$11),1)</f>
        <v>4</v>
      </c>
      <c r="AH194" s="41">
        <f>IFERROR(LOOKUP(U194,打分卡!$F$12:$J$12,打分卡!$K$12:$O$12),1)</f>
        <v>1</v>
      </c>
      <c r="AI194" s="41">
        <f>IFERROR(LOOKUP(X194,打分卡!$F$13:$J$13,打分卡!$K$13:$O$13),1)</f>
        <v>2</v>
      </c>
      <c r="AJ194" s="41">
        <f>IFERROR(LOOKUP(Y194,打分卡!$F$14:$J$14,打分卡!$K$14:$O$14),1)</f>
        <v>2</v>
      </c>
      <c r="AK194" s="41">
        <f>IFERROR(LOOKUP(W194,打分卡!$F$15:$J$15,打分卡!$K$15:$O$15),1)</f>
        <v>1</v>
      </c>
      <c r="AL194" s="43">
        <f t="shared" ref="AL194:AL257" si="25">IF(AA194="连续下降",1,IF(AA194="下降",2,IF(AA194="上升",5,3)))</f>
        <v>5</v>
      </c>
      <c r="AM194" s="41">
        <f>IFERROR(LOOKUP(Z194,打分卡!$F$17:$H$17,打分卡!$K$17:$M$17),1)</f>
        <v>1</v>
      </c>
      <c r="AN194" s="44">
        <f>(打分卡!$D$7*AC194+打分卡!$D$8*AD194+打分卡!$D$9*AE194)/5</f>
        <v>19.6</v>
      </c>
      <c r="AO194" s="44">
        <f>(打分卡!$D$10*AF194+打分卡!$D$11*AG194)/5</f>
        <v>14</v>
      </c>
      <c r="AP194" s="44">
        <f>(打分卡!$D$12*AH194+打分卡!$D$13*AI194+打分卡!$D$14*AJ194+打分卡!$D$15*AK194)/5</f>
        <v>8.8</v>
      </c>
      <c r="AQ194" s="44">
        <f>(打分卡!$D$16*AL194+打分卡!$D$17*AM194)/5</f>
        <v>6.8</v>
      </c>
      <c r="AR194" s="47">
        <f t="shared" ref="AR194:AR257" si="26">IF(G194&lt;3,AP194/30*40+AO194+AP194+AQ194,AN194+AO194+AP194+AQ194)</f>
        <v>49.2</v>
      </c>
      <c r="AS194" s="43" t="str">
        <f t="shared" ref="AS194:AS257" si="27">IF(M194=0,IF(G194&lt;3,"新客观察期","未激活"),IF(AR194&gt;=90,"SKA",IF(AR194&gt;=75,"KA",IF(AR194&gt;=40,"腰部","基础长尾"))))</f>
        <v>腰部</v>
      </c>
      <c r="AT194" s="43" t="str">
        <f t="shared" ref="AT194:AT257" si="28">IF(AA194="连续下降","连续下降-预警","")</f>
        <v/>
      </c>
      <c r="AU194" s="43" t="str">
        <f t="shared" ref="AU194:AU257" si="29">IF(AS194="SKA","守·共创：卡片短信/AI外呼新场景POC",IF(AS194="KA","扩·深化：AI外呼场景深化+Push/企微补全",IF(AS194="腰部","拉·主攻：主推AI外呼+大促作战包",IF(AS194="新客观察期","培育：入门包+1v1场景教育",IF(AS194="基础长尾","激活：企微+Push低成本先跑","唤醒：短信模板+首充补贴")))))</f>
        <v>拉·主攻：主推AI外呼+大促作战包</v>
      </c>
    </row>
    <row r="195" ht="15" customHeight="1" spans="1:47">
      <c r="A195" s="20" t="s">
        <v>764</v>
      </c>
      <c r="B195" s="22" t="s">
        <v>765</v>
      </c>
      <c r="C195" s="22" t="s">
        <v>189</v>
      </c>
      <c r="D195" s="22" t="s">
        <v>202</v>
      </c>
      <c r="E195" s="22" t="s">
        <v>181</v>
      </c>
      <c r="F195" s="20" t="s">
        <v>766</v>
      </c>
      <c r="G195" s="22">
        <v>6</v>
      </c>
      <c r="H195" s="22" t="s">
        <v>301</v>
      </c>
      <c r="I195" s="22" t="s">
        <v>184</v>
      </c>
      <c r="J195" s="36">
        <v>72900</v>
      </c>
      <c r="K195" s="36">
        <v>46000</v>
      </c>
      <c r="L195" s="36">
        <v>34900</v>
      </c>
      <c r="M195" s="36">
        <f t="shared" si="24"/>
        <v>153800</v>
      </c>
      <c r="N195" s="34">
        <f t="shared" ref="N195:N258" si="30">M195/$M$2002</f>
        <v>0.000806318010145557</v>
      </c>
      <c r="O195" s="35">
        <f>SUM($M$2:M195)</f>
        <v>149638800</v>
      </c>
      <c r="P195" s="34">
        <f t="shared" ref="P195:P258" si="31">O195/$M$2002</f>
        <v>0.784502337168849</v>
      </c>
      <c r="Q195" s="39">
        <v>24.1</v>
      </c>
      <c r="R195" s="22">
        <v>9</v>
      </c>
      <c r="S195" s="22">
        <v>3</v>
      </c>
      <c r="T195" s="22">
        <v>0</v>
      </c>
      <c r="U195" s="39">
        <v>10.6</v>
      </c>
      <c r="V195" s="22">
        <v>14</v>
      </c>
      <c r="W195" s="22">
        <v>0</v>
      </c>
      <c r="X195" s="40">
        <v>65</v>
      </c>
      <c r="Y195" s="22">
        <v>0</v>
      </c>
      <c r="Z195" s="22">
        <v>1</v>
      </c>
      <c r="AA195" s="22" t="s">
        <v>315</v>
      </c>
      <c r="AB195" s="22" t="s">
        <v>220</v>
      </c>
      <c r="AC195" s="42">
        <f>IFERROR(LOOKUP(M195,打分卡!$F$7:$J$7,打分卡!$K$7:$O$7),1)</f>
        <v>3</v>
      </c>
      <c r="AD195" s="42">
        <f>IFERROR(LOOKUP(S195,打分卡!$F$8:$J$8,打分卡!$K$8:$O$8),1)</f>
        <v>3</v>
      </c>
      <c r="AE195" s="42">
        <f>IFERROR(LOOKUP(T195,打分卡!$F$9:$I$9,打分卡!$K$9:$N$9),1)</f>
        <v>1</v>
      </c>
      <c r="AF195" s="42">
        <f>IFERROR(LOOKUP(Q195,打分卡!$F$10:$J$10,打分卡!$K$10:$O$10),1)</f>
        <v>4</v>
      </c>
      <c r="AG195" s="42">
        <f>IFERROR(LOOKUP(R195,打分卡!$F$11:$J$11,打分卡!$K$11:$O$11),1)</f>
        <v>4</v>
      </c>
      <c r="AH195" s="42">
        <f>IFERROR(LOOKUP(U195,打分卡!$F$12:$J$12,打分卡!$K$12:$O$12),1)</f>
        <v>3</v>
      </c>
      <c r="AI195" s="42">
        <f>IFERROR(LOOKUP(X195,打分卡!$F$13:$J$13,打分卡!$K$13:$O$13),1)</f>
        <v>3</v>
      </c>
      <c r="AJ195" s="42">
        <f>IFERROR(LOOKUP(Y195,打分卡!$F$14:$J$14,打分卡!$K$14:$O$14),1)</f>
        <v>1</v>
      </c>
      <c r="AK195" s="42">
        <f>IFERROR(LOOKUP(W195,打分卡!$F$15:$J$15,打分卡!$K$15:$O$15),1)</f>
        <v>1</v>
      </c>
      <c r="AL195" s="45">
        <f t="shared" si="25"/>
        <v>2</v>
      </c>
      <c r="AM195" s="42">
        <f>IFERROR(LOOKUP(Z195,打分卡!$F$17:$H$17,打分卡!$K$17:$M$17),1)</f>
        <v>3</v>
      </c>
      <c r="AN195" s="46">
        <f>(打分卡!$D$7*AC195+打分卡!$D$8*AD195+打分卡!$D$9*AE195)/5</f>
        <v>21.2</v>
      </c>
      <c r="AO195" s="46">
        <f>(打分卡!$D$10*AF195+打分卡!$D$11*AG195)/5</f>
        <v>16</v>
      </c>
      <c r="AP195" s="46">
        <f>(打分卡!$D$12*AH195+打分卡!$D$13*AI195+打分卡!$D$14*AJ195+打分卡!$D$15*AK195)/5</f>
        <v>14</v>
      </c>
      <c r="AQ195" s="46">
        <f>(打分卡!$D$16*AL195+打分卡!$D$17*AM195)/5</f>
        <v>4.8</v>
      </c>
      <c r="AR195" s="48">
        <f t="shared" si="26"/>
        <v>56</v>
      </c>
      <c r="AS195" s="45" t="str">
        <f t="shared" si="27"/>
        <v>腰部</v>
      </c>
      <c r="AT195" s="45" t="str">
        <f t="shared" si="28"/>
        <v/>
      </c>
      <c r="AU195" s="45" t="str">
        <f t="shared" si="29"/>
        <v>拉·主攻：主推AI外呼+大促作战包</v>
      </c>
    </row>
    <row r="196" ht="15" customHeight="1" spans="1:47">
      <c r="A196" s="30" t="s">
        <v>767</v>
      </c>
      <c r="B196" s="31" t="s">
        <v>768</v>
      </c>
      <c r="C196" s="31" t="s">
        <v>195</v>
      </c>
      <c r="D196" s="31" t="s">
        <v>227</v>
      </c>
      <c r="E196" s="31" t="s">
        <v>181</v>
      </c>
      <c r="F196" s="30" t="s">
        <v>769</v>
      </c>
      <c r="G196" s="31">
        <v>24</v>
      </c>
      <c r="H196" s="31" t="s">
        <v>183</v>
      </c>
      <c r="I196" s="31" t="s">
        <v>302</v>
      </c>
      <c r="J196" s="33">
        <v>69500</v>
      </c>
      <c r="K196" s="33">
        <v>52000</v>
      </c>
      <c r="L196" s="33">
        <v>32100</v>
      </c>
      <c r="M196" s="33">
        <f t="shared" si="24"/>
        <v>153600</v>
      </c>
      <c r="N196" s="34">
        <f t="shared" si="30"/>
        <v>0.000805269482173976</v>
      </c>
      <c r="O196" s="35">
        <f>SUM($M$2:M196)</f>
        <v>149792400</v>
      </c>
      <c r="P196" s="34">
        <f t="shared" si="31"/>
        <v>0.785307606651023</v>
      </c>
      <c r="Q196" s="37">
        <v>17.1</v>
      </c>
      <c r="R196" s="31">
        <v>5</v>
      </c>
      <c r="S196" s="31">
        <v>1</v>
      </c>
      <c r="T196" s="31">
        <v>1</v>
      </c>
      <c r="U196" s="37">
        <v>53.4</v>
      </c>
      <c r="V196" s="31">
        <v>10</v>
      </c>
      <c r="W196" s="31">
        <v>1</v>
      </c>
      <c r="X196" s="38">
        <v>25</v>
      </c>
      <c r="Y196" s="31">
        <v>3</v>
      </c>
      <c r="Z196" s="31">
        <v>1</v>
      </c>
      <c r="AA196" s="31" t="s">
        <v>185</v>
      </c>
      <c r="AB196" s="31" t="s">
        <v>220</v>
      </c>
      <c r="AC196" s="41">
        <f>IFERROR(LOOKUP(M196,打分卡!$F$7:$J$7,打分卡!$K$7:$O$7),1)</f>
        <v>3</v>
      </c>
      <c r="AD196" s="41">
        <f>IFERROR(LOOKUP(S196,打分卡!$F$8:$J$8,打分卡!$K$8:$O$8),1)</f>
        <v>1</v>
      </c>
      <c r="AE196" s="41">
        <f>IFERROR(LOOKUP(T196,打分卡!$F$9:$I$9,打分卡!$K$9:$N$9),1)</f>
        <v>2</v>
      </c>
      <c r="AF196" s="41">
        <f>IFERROR(LOOKUP(Q196,打分卡!$F$10:$J$10,打分卡!$K$10:$O$10),1)</f>
        <v>3</v>
      </c>
      <c r="AG196" s="41">
        <f>IFERROR(LOOKUP(R196,打分卡!$F$11:$J$11,打分卡!$K$11:$O$11),1)</f>
        <v>3</v>
      </c>
      <c r="AH196" s="41">
        <f>IFERROR(LOOKUP(U196,打分卡!$F$12:$J$12,打分卡!$K$12:$O$12),1)</f>
        <v>4</v>
      </c>
      <c r="AI196" s="41">
        <f>IFERROR(LOOKUP(X196,打分卡!$F$13:$J$13,打分卡!$K$13:$O$13),1)</f>
        <v>2</v>
      </c>
      <c r="AJ196" s="41">
        <f>IFERROR(LOOKUP(Y196,打分卡!$F$14:$J$14,打分卡!$K$14:$O$14),1)</f>
        <v>4</v>
      </c>
      <c r="AK196" s="41">
        <f>IFERROR(LOOKUP(W196,打分卡!$F$15:$J$15,打分卡!$K$15:$O$15),1)</f>
        <v>2</v>
      </c>
      <c r="AL196" s="43">
        <f t="shared" si="25"/>
        <v>3</v>
      </c>
      <c r="AM196" s="41">
        <f>IFERROR(LOOKUP(Z196,打分卡!$F$17:$H$17,打分卡!$K$17:$M$17),1)</f>
        <v>3</v>
      </c>
      <c r="AN196" s="44">
        <f>(打分卡!$D$7*AC196+打分卡!$D$8*AD196+打分卡!$D$9*AE196)/5</f>
        <v>19.4</v>
      </c>
      <c r="AO196" s="44">
        <f>(打分卡!$D$10*AF196+打分卡!$D$11*AG196)/5</f>
        <v>12</v>
      </c>
      <c r="AP196" s="44">
        <f>(打分卡!$D$12*AH196+打分卡!$D$13*AI196+打分卡!$D$14*AJ196+打分卡!$D$15*AK196)/5</f>
        <v>19.2</v>
      </c>
      <c r="AQ196" s="44">
        <f>(打分卡!$D$16*AL196+打分卡!$D$17*AM196)/5</f>
        <v>6</v>
      </c>
      <c r="AR196" s="47">
        <f t="shared" si="26"/>
        <v>56.6</v>
      </c>
      <c r="AS196" s="43" t="str">
        <f t="shared" si="27"/>
        <v>腰部</v>
      </c>
      <c r="AT196" s="43" t="str">
        <f t="shared" si="28"/>
        <v/>
      </c>
      <c r="AU196" s="43" t="str">
        <f t="shared" si="29"/>
        <v>拉·主攻：主推AI外呼+大促作战包</v>
      </c>
    </row>
    <row r="197" ht="15" customHeight="1" spans="1:47">
      <c r="A197" s="20" t="s">
        <v>770</v>
      </c>
      <c r="B197" s="22" t="s">
        <v>771</v>
      </c>
      <c r="C197" s="22" t="s">
        <v>189</v>
      </c>
      <c r="D197" s="22" t="s">
        <v>235</v>
      </c>
      <c r="E197" s="22" t="s">
        <v>181</v>
      </c>
      <c r="F197" s="20" t="s">
        <v>772</v>
      </c>
      <c r="G197" s="22">
        <v>24</v>
      </c>
      <c r="H197" s="22" t="s">
        <v>301</v>
      </c>
      <c r="I197" s="22" t="s">
        <v>302</v>
      </c>
      <c r="J197" s="36">
        <v>76200</v>
      </c>
      <c r="K197" s="36">
        <v>49000</v>
      </c>
      <c r="L197" s="36">
        <v>27900</v>
      </c>
      <c r="M197" s="36">
        <f t="shared" si="24"/>
        <v>153100</v>
      </c>
      <c r="N197" s="34">
        <f t="shared" si="30"/>
        <v>0.000802648162245024</v>
      </c>
      <c r="O197" s="35">
        <f>SUM($M$2:M197)</f>
        <v>149945500</v>
      </c>
      <c r="P197" s="34">
        <f t="shared" si="31"/>
        <v>0.786110254813268</v>
      </c>
      <c r="Q197" s="39">
        <v>23.3</v>
      </c>
      <c r="R197" s="22">
        <v>1</v>
      </c>
      <c r="S197" s="22">
        <v>2</v>
      </c>
      <c r="T197" s="22">
        <v>0</v>
      </c>
      <c r="U197" s="39">
        <v>2.4</v>
      </c>
      <c r="V197" s="22">
        <v>27</v>
      </c>
      <c r="W197" s="22">
        <v>3</v>
      </c>
      <c r="X197" s="40">
        <v>99</v>
      </c>
      <c r="Y197" s="22">
        <v>3</v>
      </c>
      <c r="Z197" s="22">
        <v>1</v>
      </c>
      <c r="AA197" s="22" t="s">
        <v>185</v>
      </c>
      <c r="AB197" s="22" t="s">
        <v>220</v>
      </c>
      <c r="AC197" s="42">
        <f>IFERROR(LOOKUP(M197,打分卡!$F$7:$J$7,打分卡!$K$7:$O$7),1)</f>
        <v>3</v>
      </c>
      <c r="AD197" s="42">
        <f>IFERROR(LOOKUP(S197,打分卡!$F$8:$J$8,打分卡!$K$8:$O$8),1)</f>
        <v>2</v>
      </c>
      <c r="AE197" s="42">
        <f>IFERROR(LOOKUP(T197,打分卡!$F$9:$I$9,打分卡!$K$9:$N$9),1)</f>
        <v>1</v>
      </c>
      <c r="AF197" s="42">
        <f>IFERROR(LOOKUP(Q197,打分卡!$F$10:$J$10,打分卡!$K$10:$O$10),1)</f>
        <v>3</v>
      </c>
      <c r="AG197" s="42">
        <f>IFERROR(LOOKUP(R197,打分卡!$F$11:$J$11,打分卡!$K$11:$O$11),1)</f>
        <v>1</v>
      </c>
      <c r="AH197" s="42">
        <f>IFERROR(LOOKUP(U197,打分卡!$F$12:$J$12,打分卡!$K$12:$O$12),1)</f>
        <v>1</v>
      </c>
      <c r="AI197" s="42">
        <f>IFERROR(LOOKUP(X197,打分卡!$F$13:$J$13,打分卡!$K$13:$O$13),1)</f>
        <v>4</v>
      </c>
      <c r="AJ197" s="42">
        <f>IFERROR(LOOKUP(Y197,打分卡!$F$14:$J$14,打分卡!$K$14:$O$14),1)</f>
        <v>4</v>
      </c>
      <c r="AK197" s="42">
        <f>IFERROR(LOOKUP(W197,打分卡!$F$15:$J$15,打分卡!$K$15:$O$15),1)</f>
        <v>3</v>
      </c>
      <c r="AL197" s="45">
        <f t="shared" si="25"/>
        <v>3</v>
      </c>
      <c r="AM197" s="42">
        <f>IFERROR(LOOKUP(Z197,打分卡!$F$17:$H$17,打分卡!$K$17:$M$17),1)</f>
        <v>3</v>
      </c>
      <c r="AN197" s="46">
        <f>(打分卡!$D$7*AC197+打分卡!$D$8*AD197+打分卡!$D$9*AE197)/5</f>
        <v>19.6</v>
      </c>
      <c r="AO197" s="46">
        <f>(打分卡!$D$10*AF197+打分卡!$D$11*AG197)/5</f>
        <v>8</v>
      </c>
      <c r="AP197" s="46">
        <f>(打分卡!$D$12*AH197+打分卡!$D$13*AI197+打分卡!$D$14*AJ197+打分卡!$D$15*AK197)/5</f>
        <v>16</v>
      </c>
      <c r="AQ197" s="46">
        <f>(打分卡!$D$16*AL197+打分卡!$D$17*AM197)/5</f>
        <v>6</v>
      </c>
      <c r="AR197" s="48">
        <f t="shared" si="26"/>
        <v>49.6</v>
      </c>
      <c r="AS197" s="45" t="str">
        <f t="shared" si="27"/>
        <v>腰部</v>
      </c>
      <c r="AT197" s="45" t="str">
        <f t="shared" si="28"/>
        <v/>
      </c>
      <c r="AU197" s="45" t="str">
        <f t="shared" si="29"/>
        <v>拉·主攻：主推AI外呼+大促作战包</v>
      </c>
    </row>
    <row r="198" ht="15" customHeight="1" spans="1:47">
      <c r="A198" s="30" t="s">
        <v>773</v>
      </c>
      <c r="B198" s="31" t="s">
        <v>774</v>
      </c>
      <c r="C198" s="31" t="s">
        <v>234</v>
      </c>
      <c r="D198" s="31" t="s">
        <v>190</v>
      </c>
      <c r="E198" s="31" t="s">
        <v>181</v>
      </c>
      <c r="F198" s="30" t="s">
        <v>775</v>
      </c>
      <c r="G198" s="31">
        <v>5</v>
      </c>
      <c r="H198" s="31" t="s">
        <v>301</v>
      </c>
      <c r="I198" s="31" t="s">
        <v>302</v>
      </c>
      <c r="J198" s="33">
        <v>83400</v>
      </c>
      <c r="K198" s="33">
        <v>50200</v>
      </c>
      <c r="L198" s="33">
        <v>19200</v>
      </c>
      <c r="M198" s="33">
        <f t="shared" si="24"/>
        <v>152800</v>
      </c>
      <c r="N198" s="34">
        <f t="shared" si="30"/>
        <v>0.000801075370287653</v>
      </c>
      <c r="O198" s="35">
        <f>SUM($M$2:M198)</f>
        <v>150098300</v>
      </c>
      <c r="P198" s="34">
        <f t="shared" si="31"/>
        <v>0.786911330183555</v>
      </c>
      <c r="Q198" s="37">
        <v>11.5</v>
      </c>
      <c r="R198" s="31">
        <v>1</v>
      </c>
      <c r="S198" s="31">
        <v>3</v>
      </c>
      <c r="T198" s="31">
        <v>2</v>
      </c>
      <c r="U198" s="37">
        <v>33.4</v>
      </c>
      <c r="V198" s="31">
        <v>13</v>
      </c>
      <c r="W198" s="31">
        <v>0</v>
      </c>
      <c r="X198" s="38">
        <v>17</v>
      </c>
      <c r="Y198" s="31">
        <v>2</v>
      </c>
      <c r="Z198" s="31">
        <v>1</v>
      </c>
      <c r="AA198" s="31" t="s">
        <v>199</v>
      </c>
      <c r="AB198" s="31" t="s">
        <v>220</v>
      </c>
      <c r="AC198" s="41">
        <f>IFERROR(LOOKUP(M198,打分卡!$F$7:$J$7,打分卡!$K$7:$O$7),1)</f>
        <v>3</v>
      </c>
      <c r="AD198" s="41">
        <f>IFERROR(LOOKUP(S198,打分卡!$F$8:$J$8,打分卡!$K$8:$O$8),1)</f>
        <v>3</v>
      </c>
      <c r="AE198" s="41">
        <f>IFERROR(LOOKUP(T198,打分卡!$F$9:$I$9,打分卡!$K$9:$N$9),1)</f>
        <v>3</v>
      </c>
      <c r="AF198" s="41">
        <f>IFERROR(LOOKUP(Q198,打分卡!$F$10:$J$10,打分卡!$K$10:$O$10),1)</f>
        <v>3</v>
      </c>
      <c r="AG198" s="41">
        <f>IFERROR(LOOKUP(R198,打分卡!$F$11:$J$11,打分卡!$K$11:$O$11),1)</f>
        <v>1</v>
      </c>
      <c r="AH198" s="41">
        <f>IFERROR(LOOKUP(U198,打分卡!$F$12:$J$12,打分卡!$K$12:$O$12),1)</f>
        <v>4</v>
      </c>
      <c r="AI198" s="41">
        <f>IFERROR(LOOKUP(X198,打分卡!$F$13:$J$13,打分卡!$K$13:$O$13),1)</f>
        <v>1</v>
      </c>
      <c r="AJ198" s="41">
        <f>IFERROR(LOOKUP(Y198,打分卡!$F$14:$J$14,打分卡!$K$14:$O$14),1)</f>
        <v>3</v>
      </c>
      <c r="AK198" s="41">
        <f>IFERROR(LOOKUP(W198,打分卡!$F$15:$J$15,打分卡!$K$15:$O$15),1)</f>
        <v>1</v>
      </c>
      <c r="AL198" s="43">
        <f t="shared" si="25"/>
        <v>5</v>
      </c>
      <c r="AM198" s="41">
        <f>IFERROR(LOOKUP(Z198,打分卡!$F$17:$H$17,打分卡!$K$17:$M$17),1)</f>
        <v>3</v>
      </c>
      <c r="AN198" s="44">
        <f>(打分卡!$D$7*AC198+打分卡!$D$8*AD198+打分卡!$D$9*AE198)/5</f>
        <v>24</v>
      </c>
      <c r="AO198" s="44">
        <f>(打分卡!$D$10*AF198+打分卡!$D$11*AG198)/5</f>
        <v>8</v>
      </c>
      <c r="AP198" s="44">
        <f>(打分卡!$D$12*AH198+打分卡!$D$13*AI198+打分卡!$D$14*AJ198+打分卡!$D$15*AK198)/5</f>
        <v>15.6</v>
      </c>
      <c r="AQ198" s="44">
        <f>(打分卡!$D$16*AL198+打分卡!$D$17*AM198)/5</f>
        <v>8.4</v>
      </c>
      <c r="AR198" s="47">
        <f t="shared" si="26"/>
        <v>56</v>
      </c>
      <c r="AS198" s="43" t="str">
        <f t="shared" si="27"/>
        <v>腰部</v>
      </c>
      <c r="AT198" s="43" t="str">
        <f t="shared" si="28"/>
        <v/>
      </c>
      <c r="AU198" s="43" t="str">
        <f t="shared" si="29"/>
        <v>拉·主攻：主推AI外呼+大促作战包</v>
      </c>
    </row>
    <row r="199" ht="15" customHeight="1" spans="1:47">
      <c r="A199" s="20" t="s">
        <v>776</v>
      </c>
      <c r="B199" s="22" t="s">
        <v>777</v>
      </c>
      <c r="C199" s="22" t="s">
        <v>179</v>
      </c>
      <c r="D199" s="22" t="s">
        <v>196</v>
      </c>
      <c r="E199" s="22" t="s">
        <v>181</v>
      </c>
      <c r="F199" s="20" t="s">
        <v>778</v>
      </c>
      <c r="G199" s="22">
        <v>5</v>
      </c>
      <c r="H199" s="22" t="s">
        <v>183</v>
      </c>
      <c r="I199" s="22" t="s">
        <v>302</v>
      </c>
      <c r="J199" s="36">
        <v>84500</v>
      </c>
      <c r="K199" s="36">
        <v>50700</v>
      </c>
      <c r="L199" s="36">
        <v>16700</v>
      </c>
      <c r="M199" s="36">
        <f t="shared" si="24"/>
        <v>151900</v>
      </c>
      <c r="N199" s="34">
        <f t="shared" si="30"/>
        <v>0.00079635699441554</v>
      </c>
      <c r="O199" s="35">
        <f>SUM($M$2:M199)</f>
        <v>150250200</v>
      </c>
      <c r="P199" s="34">
        <f t="shared" si="31"/>
        <v>0.787707687177971</v>
      </c>
      <c r="Q199" s="39">
        <v>9.3</v>
      </c>
      <c r="R199" s="22">
        <v>6</v>
      </c>
      <c r="S199" s="22">
        <v>3</v>
      </c>
      <c r="T199" s="22">
        <v>2</v>
      </c>
      <c r="U199" s="39">
        <v>76.9</v>
      </c>
      <c r="V199" s="22">
        <v>28</v>
      </c>
      <c r="W199" s="22">
        <v>4</v>
      </c>
      <c r="X199" s="40">
        <v>23</v>
      </c>
      <c r="Y199" s="22">
        <v>1</v>
      </c>
      <c r="Z199" s="22">
        <v>0</v>
      </c>
      <c r="AA199" s="22" t="s">
        <v>199</v>
      </c>
      <c r="AB199" s="22" t="s">
        <v>220</v>
      </c>
      <c r="AC199" s="42">
        <f>IFERROR(LOOKUP(M199,打分卡!$F$7:$J$7,打分卡!$K$7:$O$7),1)</f>
        <v>3</v>
      </c>
      <c r="AD199" s="42">
        <f>IFERROR(LOOKUP(S199,打分卡!$F$8:$J$8,打分卡!$K$8:$O$8),1)</f>
        <v>3</v>
      </c>
      <c r="AE199" s="42">
        <f>IFERROR(LOOKUP(T199,打分卡!$F$9:$I$9,打分卡!$K$9:$N$9),1)</f>
        <v>3</v>
      </c>
      <c r="AF199" s="42">
        <f>IFERROR(LOOKUP(Q199,打分卡!$F$10:$J$10,打分卡!$K$10:$O$10),1)</f>
        <v>2</v>
      </c>
      <c r="AG199" s="42">
        <f>IFERROR(LOOKUP(R199,打分卡!$F$11:$J$11,打分卡!$K$11:$O$11),1)</f>
        <v>3</v>
      </c>
      <c r="AH199" s="42">
        <f>IFERROR(LOOKUP(U199,打分卡!$F$12:$J$12,打分卡!$K$12:$O$12),1)</f>
        <v>5</v>
      </c>
      <c r="AI199" s="42">
        <f>IFERROR(LOOKUP(X199,打分卡!$F$13:$J$13,打分卡!$K$13:$O$13),1)</f>
        <v>2</v>
      </c>
      <c r="AJ199" s="42">
        <f>IFERROR(LOOKUP(Y199,打分卡!$F$14:$J$14,打分卡!$K$14:$O$14),1)</f>
        <v>2</v>
      </c>
      <c r="AK199" s="42">
        <f>IFERROR(LOOKUP(W199,打分卡!$F$15:$J$15,打分卡!$K$15:$O$15),1)</f>
        <v>3</v>
      </c>
      <c r="AL199" s="45">
        <f t="shared" si="25"/>
        <v>5</v>
      </c>
      <c r="AM199" s="42">
        <f>IFERROR(LOOKUP(Z199,打分卡!$F$17:$H$17,打分卡!$K$17:$M$17),1)</f>
        <v>1</v>
      </c>
      <c r="AN199" s="46">
        <f>(打分卡!$D$7*AC199+打分卡!$D$8*AD199+打分卡!$D$9*AE199)/5</f>
        <v>24</v>
      </c>
      <c r="AO199" s="46">
        <f>(打分卡!$D$10*AF199+打分卡!$D$11*AG199)/5</f>
        <v>10</v>
      </c>
      <c r="AP199" s="46">
        <f>(打分卡!$D$12*AH199+打分卡!$D$13*AI199+打分卡!$D$14*AJ199+打分卡!$D$15*AK199)/5</f>
        <v>20</v>
      </c>
      <c r="AQ199" s="46">
        <f>(打分卡!$D$16*AL199+打分卡!$D$17*AM199)/5</f>
        <v>6.8</v>
      </c>
      <c r="AR199" s="48">
        <f t="shared" si="26"/>
        <v>60.8</v>
      </c>
      <c r="AS199" s="45" t="str">
        <f t="shared" si="27"/>
        <v>腰部</v>
      </c>
      <c r="AT199" s="45" t="str">
        <f t="shared" si="28"/>
        <v/>
      </c>
      <c r="AU199" s="45" t="str">
        <f t="shared" si="29"/>
        <v>拉·主攻：主推AI外呼+大促作战包</v>
      </c>
    </row>
    <row r="200" ht="15" customHeight="1" spans="1:47">
      <c r="A200" s="30" t="s">
        <v>779</v>
      </c>
      <c r="B200" s="31" t="s">
        <v>780</v>
      </c>
      <c r="C200" s="31" t="s">
        <v>218</v>
      </c>
      <c r="D200" s="31" t="s">
        <v>190</v>
      </c>
      <c r="E200" s="31" t="s">
        <v>181</v>
      </c>
      <c r="F200" s="30" t="s">
        <v>781</v>
      </c>
      <c r="G200" s="31">
        <v>21</v>
      </c>
      <c r="H200" s="31" t="s">
        <v>301</v>
      </c>
      <c r="I200" s="31" t="s">
        <v>302</v>
      </c>
      <c r="J200" s="33">
        <v>89100</v>
      </c>
      <c r="K200" s="33">
        <v>55100</v>
      </c>
      <c r="L200" s="33">
        <v>7600</v>
      </c>
      <c r="M200" s="33">
        <f t="shared" si="24"/>
        <v>151800</v>
      </c>
      <c r="N200" s="34">
        <f t="shared" si="30"/>
        <v>0.00079583273042975</v>
      </c>
      <c r="O200" s="35">
        <f>SUM($M$2:M200)</f>
        <v>150402000</v>
      </c>
      <c r="P200" s="34">
        <f t="shared" si="31"/>
        <v>0.788503519908401</v>
      </c>
      <c r="Q200" s="37">
        <v>12.1</v>
      </c>
      <c r="R200" s="31">
        <v>7</v>
      </c>
      <c r="S200" s="31">
        <v>3</v>
      </c>
      <c r="T200" s="31">
        <v>2</v>
      </c>
      <c r="U200" s="37">
        <v>12.5</v>
      </c>
      <c r="V200" s="31">
        <v>16</v>
      </c>
      <c r="W200" s="31">
        <v>4</v>
      </c>
      <c r="X200" s="38">
        <v>109</v>
      </c>
      <c r="Y200" s="31">
        <v>0</v>
      </c>
      <c r="Z200" s="31">
        <v>0</v>
      </c>
      <c r="AA200" s="31" t="s">
        <v>185</v>
      </c>
      <c r="AB200" s="31" t="s">
        <v>220</v>
      </c>
      <c r="AC200" s="41">
        <f>IFERROR(LOOKUP(M200,打分卡!$F$7:$J$7,打分卡!$K$7:$O$7),1)</f>
        <v>3</v>
      </c>
      <c r="AD200" s="41">
        <f>IFERROR(LOOKUP(S200,打分卡!$F$8:$J$8,打分卡!$K$8:$O$8),1)</f>
        <v>3</v>
      </c>
      <c r="AE200" s="41">
        <f>IFERROR(LOOKUP(T200,打分卡!$F$9:$I$9,打分卡!$K$9:$N$9),1)</f>
        <v>3</v>
      </c>
      <c r="AF200" s="41">
        <f>IFERROR(LOOKUP(Q200,打分卡!$F$10:$J$10,打分卡!$K$10:$O$10),1)</f>
        <v>3</v>
      </c>
      <c r="AG200" s="41">
        <f>IFERROR(LOOKUP(R200,打分卡!$F$11:$J$11,打分卡!$K$11:$O$11),1)</f>
        <v>3</v>
      </c>
      <c r="AH200" s="41">
        <f>IFERROR(LOOKUP(U200,打分卡!$F$12:$J$12,打分卡!$K$12:$O$12),1)</f>
        <v>3</v>
      </c>
      <c r="AI200" s="41">
        <f>IFERROR(LOOKUP(X200,打分卡!$F$13:$J$13,打分卡!$K$13:$O$13),1)</f>
        <v>4</v>
      </c>
      <c r="AJ200" s="41">
        <f>IFERROR(LOOKUP(Y200,打分卡!$F$14:$J$14,打分卡!$K$14:$O$14),1)</f>
        <v>1</v>
      </c>
      <c r="AK200" s="41">
        <f>IFERROR(LOOKUP(W200,打分卡!$F$15:$J$15,打分卡!$K$15:$O$15),1)</f>
        <v>3</v>
      </c>
      <c r="AL200" s="43">
        <f t="shared" si="25"/>
        <v>3</v>
      </c>
      <c r="AM200" s="41">
        <f>IFERROR(LOOKUP(Z200,打分卡!$F$17:$H$17,打分卡!$K$17:$M$17),1)</f>
        <v>1</v>
      </c>
      <c r="AN200" s="44">
        <f>(打分卡!$D$7*AC200+打分卡!$D$8*AD200+打分卡!$D$9*AE200)/5</f>
        <v>24</v>
      </c>
      <c r="AO200" s="44">
        <f>(打分卡!$D$10*AF200+打分卡!$D$11*AG200)/5</f>
        <v>12</v>
      </c>
      <c r="AP200" s="44">
        <f>(打分卡!$D$12*AH200+打分卡!$D$13*AI200+打分卡!$D$14*AJ200+打分卡!$D$15*AK200)/5</f>
        <v>17.2</v>
      </c>
      <c r="AQ200" s="44">
        <f>(打分卡!$D$16*AL200+打分卡!$D$17*AM200)/5</f>
        <v>4.4</v>
      </c>
      <c r="AR200" s="47">
        <f t="shared" si="26"/>
        <v>57.6</v>
      </c>
      <c r="AS200" s="43" t="str">
        <f t="shared" si="27"/>
        <v>腰部</v>
      </c>
      <c r="AT200" s="43" t="str">
        <f t="shared" si="28"/>
        <v/>
      </c>
      <c r="AU200" s="43" t="str">
        <f t="shared" si="29"/>
        <v>拉·主攻：主推AI外呼+大促作战包</v>
      </c>
    </row>
    <row r="201" ht="15" customHeight="1" spans="1:47">
      <c r="A201" s="20" t="s">
        <v>782</v>
      </c>
      <c r="B201" s="22" t="s">
        <v>783</v>
      </c>
      <c r="C201" s="22" t="s">
        <v>223</v>
      </c>
      <c r="D201" s="22" t="s">
        <v>227</v>
      </c>
      <c r="E201" s="22" t="s">
        <v>181</v>
      </c>
      <c r="F201" s="20" t="s">
        <v>784</v>
      </c>
      <c r="G201" s="22">
        <v>10</v>
      </c>
      <c r="H201" s="22" t="s">
        <v>301</v>
      </c>
      <c r="I201" s="22" t="s">
        <v>184</v>
      </c>
      <c r="J201" s="36">
        <v>78800</v>
      </c>
      <c r="K201" s="36">
        <v>52000</v>
      </c>
      <c r="L201" s="36">
        <v>20600</v>
      </c>
      <c r="M201" s="36">
        <f t="shared" si="24"/>
        <v>151400</v>
      </c>
      <c r="N201" s="34">
        <f t="shared" si="30"/>
        <v>0.000793735674486588</v>
      </c>
      <c r="O201" s="35">
        <f>SUM($M$2:M201)</f>
        <v>150553400</v>
      </c>
      <c r="P201" s="34">
        <f t="shared" si="31"/>
        <v>0.789297255582887</v>
      </c>
      <c r="Q201" s="39">
        <v>23.7</v>
      </c>
      <c r="R201" s="22">
        <v>2</v>
      </c>
      <c r="S201" s="22">
        <v>1</v>
      </c>
      <c r="T201" s="22">
        <v>1</v>
      </c>
      <c r="U201" s="39">
        <v>2.2</v>
      </c>
      <c r="V201" s="22">
        <v>29</v>
      </c>
      <c r="W201" s="22">
        <v>2</v>
      </c>
      <c r="X201" s="40">
        <v>72</v>
      </c>
      <c r="Y201" s="22">
        <v>0</v>
      </c>
      <c r="Z201" s="22">
        <v>0</v>
      </c>
      <c r="AA201" s="22" t="s">
        <v>185</v>
      </c>
      <c r="AB201" s="22" t="s">
        <v>220</v>
      </c>
      <c r="AC201" s="42">
        <f>IFERROR(LOOKUP(M201,打分卡!$F$7:$J$7,打分卡!$K$7:$O$7),1)</f>
        <v>3</v>
      </c>
      <c r="AD201" s="42">
        <f>IFERROR(LOOKUP(S201,打分卡!$F$8:$J$8,打分卡!$K$8:$O$8),1)</f>
        <v>1</v>
      </c>
      <c r="AE201" s="42">
        <f>IFERROR(LOOKUP(T201,打分卡!$F$9:$I$9,打分卡!$K$9:$N$9),1)</f>
        <v>2</v>
      </c>
      <c r="AF201" s="42">
        <f>IFERROR(LOOKUP(Q201,打分卡!$F$10:$J$10,打分卡!$K$10:$O$10),1)</f>
        <v>3</v>
      </c>
      <c r="AG201" s="42">
        <f>IFERROR(LOOKUP(R201,打分卡!$F$11:$J$11,打分卡!$K$11:$O$11),1)</f>
        <v>1</v>
      </c>
      <c r="AH201" s="42">
        <f>IFERROR(LOOKUP(U201,打分卡!$F$12:$J$12,打分卡!$K$12:$O$12),1)</f>
        <v>1</v>
      </c>
      <c r="AI201" s="42">
        <f>IFERROR(LOOKUP(X201,打分卡!$F$13:$J$13,打分卡!$K$13:$O$13),1)</f>
        <v>3</v>
      </c>
      <c r="AJ201" s="42">
        <f>IFERROR(LOOKUP(Y201,打分卡!$F$14:$J$14,打分卡!$K$14:$O$14),1)</f>
        <v>1</v>
      </c>
      <c r="AK201" s="42">
        <f>IFERROR(LOOKUP(W201,打分卡!$F$15:$J$15,打分卡!$K$15:$O$15),1)</f>
        <v>2</v>
      </c>
      <c r="AL201" s="45">
        <f t="shared" si="25"/>
        <v>3</v>
      </c>
      <c r="AM201" s="42">
        <f>IFERROR(LOOKUP(Z201,打分卡!$F$17:$H$17,打分卡!$K$17:$M$17),1)</f>
        <v>1</v>
      </c>
      <c r="AN201" s="46">
        <f>(打分卡!$D$7*AC201+打分卡!$D$8*AD201+打分卡!$D$9*AE201)/5</f>
        <v>19.4</v>
      </c>
      <c r="AO201" s="46">
        <f>(打分卡!$D$10*AF201+打分卡!$D$11*AG201)/5</f>
        <v>8</v>
      </c>
      <c r="AP201" s="46">
        <f>(打分卡!$D$12*AH201+打分卡!$D$13*AI201+打分卡!$D$14*AJ201+打分卡!$D$15*AK201)/5</f>
        <v>10</v>
      </c>
      <c r="AQ201" s="46">
        <f>(打分卡!$D$16*AL201+打分卡!$D$17*AM201)/5</f>
        <v>4.4</v>
      </c>
      <c r="AR201" s="48">
        <f t="shared" si="26"/>
        <v>41.8</v>
      </c>
      <c r="AS201" s="45" t="str">
        <f t="shared" si="27"/>
        <v>腰部</v>
      </c>
      <c r="AT201" s="45" t="str">
        <f t="shared" si="28"/>
        <v/>
      </c>
      <c r="AU201" s="45" t="str">
        <f t="shared" si="29"/>
        <v>拉·主攻：主推AI外呼+大促作战包</v>
      </c>
    </row>
    <row r="202" ht="15" customHeight="1" spans="1:47">
      <c r="A202" s="30" t="s">
        <v>785</v>
      </c>
      <c r="B202" s="31" t="s">
        <v>786</v>
      </c>
      <c r="C202" s="31" t="s">
        <v>234</v>
      </c>
      <c r="D202" s="31" t="s">
        <v>227</v>
      </c>
      <c r="E202" s="31" t="s">
        <v>181</v>
      </c>
      <c r="F202" s="30" t="s">
        <v>787</v>
      </c>
      <c r="G202" s="31">
        <v>4</v>
      </c>
      <c r="H202" s="31" t="s">
        <v>301</v>
      </c>
      <c r="I202" s="31" t="s">
        <v>184</v>
      </c>
      <c r="J202" s="33">
        <v>79600</v>
      </c>
      <c r="K202" s="33">
        <v>46300</v>
      </c>
      <c r="L202" s="33">
        <v>24100</v>
      </c>
      <c r="M202" s="33">
        <f t="shared" si="24"/>
        <v>150000</v>
      </c>
      <c r="N202" s="34">
        <f t="shared" si="30"/>
        <v>0.000786395978685523</v>
      </c>
      <c r="O202" s="35">
        <f>SUM($M$2:M202)</f>
        <v>150703400</v>
      </c>
      <c r="P202" s="34">
        <f t="shared" si="31"/>
        <v>0.790083651561573</v>
      </c>
      <c r="Q202" s="37">
        <v>21.3</v>
      </c>
      <c r="R202" s="31">
        <v>10</v>
      </c>
      <c r="S202" s="31">
        <v>2</v>
      </c>
      <c r="T202" s="31">
        <v>0</v>
      </c>
      <c r="U202" s="37">
        <v>23.6</v>
      </c>
      <c r="V202" s="31">
        <v>25</v>
      </c>
      <c r="W202" s="31">
        <v>3</v>
      </c>
      <c r="X202" s="38">
        <v>81</v>
      </c>
      <c r="Y202" s="31">
        <v>1</v>
      </c>
      <c r="Z202" s="31">
        <v>1</v>
      </c>
      <c r="AA202" s="31" t="s">
        <v>199</v>
      </c>
      <c r="AB202" s="31" t="s">
        <v>220</v>
      </c>
      <c r="AC202" s="41">
        <f>IFERROR(LOOKUP(M202,打分卡!$F$7:$J$7,打分卡!$K$7:$O$7),1)</f>
        <v>3</v>
      </c>
      <c r="AD202" s="41">
        <f>IFERROR(LOOKUP(S202,打分卡!$F$8:$J$8,打分卡!$K$8:$O$8),1)</f>
        <v>2</v>
      </c>
      <c r="AE202" s="41">
        <f>IFERROR(LOOKUP(T202,打分卡!$F$9:$I$9,打分卡!$K$9:$N$9),1)</f>
        <v>1</v>
      </c>
      <c r="AF202" s="41">
        <f>IFERROR(LOOKUP(Q202,打分卡!$F$10:$J$10,打分卡!$K$10:$O$10),1)</f>
        <v>3</v>
      </c>
      <c r="AG202" s="41">
        <f>IFERROR(LOOKUP(R202,打分卡!$F$11:$J$11,打分卡!$K$11:$O$11),1)</f>
        <v>4</v>
      </c>
      <c r="AH202" s="41">
        <f>IFERROR(LOOKUP(U202,打分卡!$F$12:$J$12,打分卡!$K$12:$O$12),1)</f>
        <v>3</v>
      </c>
      <c r="AI202" s="41">
        <f>IFERROR(LOOKUP(X202,打分卡!$F$13:$J$13,打分卡!$K$13:$O$13),1)</f>
        <v>3</v>
      </c>
      <c r="AJ202" s="41">
        <f>IFERROR(LOOKUP(Y202,打分卡!$F$14:$J$14,打分卡!$K$14:$O$14),1)</f>
        <v>2</v>
      </c>
      <c r="AK202" s="41">
        <f>IFERROR(LOOKUP(W202,打分卡!$F$15:$J$15,打分卡!$K$15:$O$15),1)</f>
        <v>3</v>
      </c>
      <c r="AL202" s="43">
        <f t="shared" si="25"/>
        <v>5</v>
      </c>
      <c r="AM202" s="41">
        <f>IFERROR(LOOKUP(Z202,打分卡!$F$17:$H$17,打分卡!$K$17:$M$17),1)</f>
        <v>3</v>
      </c>
      <c r="AN202" s="44">
        <f>(打分卡!$D$7*AC202+打分卡!$D$8*AD202+打分卡!$D$9*AE202)/5</f>
        <v>19.6</v>
      </c>
      <c r="AO202" s="44">
        <f>(打分卡!$D$10*AF202+打分卡!$D$11*AG202)/5</f>
        <v>14</v>
      </c>
      <c r="AP202" s="44">
        <f>(打分卡!$D$12*AH202+打分卡!$D$13*AI202+打分卡!$D$14*AJ202+打分卡!$D$15*AK202)/5</f>
        <v>16.8</v>
      </c>
      <c r="AQ202" s="44">
        <f>(打分卡!$D$16*AL202+打分卡!$D$17*AM202)/5</f>
        <v>8.4</v>
      </c>
      <c r="AR202" s="47">
        <f t="shared" si="26"/>
        <v>58.8</v>
      </c>
      <c r="AS202" s="43" t="str">
        <f t="shared" si="27"/>
        <v>腰部</v>
      </c>
      <c r="AT202" s="43" t="str">
        <f t="shared" si="28"/>
        <v/>
      </c>
      <c r="AU202" s="43" t="str">
        <f t="shared" si="29"/>
        <v>拉·主攻：主推AI外呼+大促作战包</v>
      </c>
    </row>
    <row r="203" ht="15" customHeight="1" spans="1:47">
      <c r="A203" s="20" t="s">
        <v>788</v>
      </c>
      <c r="B203" s="22" t="s">
        <v>789</v>
      </c>
      <c r="C203" s="22" t="s">
        <v>234</v>
      </c>
      <c r="D203" s="22" t="s">
        <v>196</v>
      </c>
      <c r="E203" s="22" t="s">
        <v>181</v>
      </c>
      <c r="F203" s="20" t="s">
        <v>790</v>
      </c>
      <c r="G203" s="22">
        <v>16</v>
      </c>
      <c r="H203" s="22" t="s">
        <v>301</v>
      </c>
      <c r="I203" s="22" t="s">
        <v>184</v>
      </c>
      <c r="J203" s="36">
        <v>86600</v>
      </c>
      <c r="K203" s="36">
        <v>41600</v>
      </c>
      <c r="L203" s="36">
        <v>21300</v>
      </c>
      <c r="M203" s="36">
        <f t="shared" si="24"/>
        <v>149500</v>
      </c>
      <c r="N203" s="34">
        <f t="shared" si="30"/>
        <v>0.000783774658756572</v>
      </c>
      <c r="O203" s="35">
        <f>SUM($M$2:M203)</f>
        <v>150852900</v>
      </c>
      <c r="P203" s="34">
        <f t="shared" si="31"/>
        <v>0.790867426220329</v>
      </c>
      <c r="Q203" s="39">
        <v>10.7</v>
      </c>
      <c r="R203" s="22">
        <v>1</v>
      </c>
      <c r="S203" s="22">
        <v>1</v>
      </c>
      <c r="T203" s="22">
        <v>1</v>
      </c>
      <c r="U203" s="39">
        <v>28.3</v>
      </c>
      <c r="V203" s="22">
        <v>8</v>
      </c>
      <c r="W203" s="22">
        <v>2</v>
      </c>
      <c r="X203" s="40">
        <v>30</v>
      </c>
      <c r="Y203" s="22">
        <v>0</v>
      </c>
      <c r="Z203" s="22">
        <v>0</v>
      </c>
      <c r="AA203" s="22" t="s">
        <v>199</v>
      </c>
      <c r="AB203" s="22" t="s">
        <v>220</v>
      </c>
      <c r="AC203" s="42">
        <f>IFERROR(LOOKUP(M203,打分卡!$F$7:$J$7,打分卡!$K$7:$O$7),1)</f>
        <v>3</v>
      </c>
      <c r="AD203" s="42">
        <f>IFERROR(LOOKUP(S203,打分卡!$F$8:$J$8,打分卡!$K$8:$O$8),1)</f>
        <v>1</v>
      </c>
      <c r="AE203" s="42">
        <f>IFERROR(LOOKUP(T203,打分卡!$F$9:$I$9,打分卡!$K$9:$N$9),1)</f>
        <v>2</v>
      </c>
      <c r="AF203" s="42">
        <f>IFERROR(LOOKUP(Q203,打分卡!$F$10:$J$10,打分卡!$K$10:$O$10),1)</f>
        <v>3</v>
      </c>
      <c r="AG203" s="42">
        <f>IFERROR(LOOKUP(R203,打分卡!$F$11:$J$11,打分卡!$K$11:$O$11),1)</f>
        <v>1</v>
      </c>
      <c r="AH203" s="42">
        <f>IFERROR(LOOKUP(U203,打分卡!$F$12:$J$12,打分卡!$K$12:$O$12),1)</f>
        <v>3</v>
      </c>
      <c r="AI203" s="42">
        <f>IFERROR(LOOKUP(X203,打分卡!$F$13:$J$13,打分卡!$K$13:$O$13),1)</f>
        <v>2</v>
      </c>
      <c r="AJ203" s="42">
        <f>IFERROR(LOOKUP(Y203,打分卡!$F$14:$J$14,打分卡!$K$14:$O$14),1)</f>
        <v>1</v>
      </c>
      <c r="AK203" s="42">
        <f>IFERROR(LOOKUP(W203,打分卡!$F$15:$J$15,打分卡!$K$15:$O$15),1)</f>
        <v>2</v>
      </c>
      <c r="AL203" s="45">
        <f t="shared" si="25"/>
        <v>5</v>
      </c>
      <c r="AM203" s="42">
        <f>IFERROR(LOOKUP(Z203,打分卡!$F$17:$H$17,打分卡!$K$17:$M$17),1)</f>
        <v>1</v>
      </c>
      <c r="AN203" s="46">
        <f>(打分卡!$D$7*AC203+打分卡!$D$8*AD203+打分卡!$D$9*AE203)/5</f>
        <v>19.4</v>
      </c>
      <c r="AO203" s="46">
        <f>(打分卡!$D$10*AF203+打分卡!$D$11*AG203)/5</f>
        <v>8</v>
      </c>
      <c r="AP203" s="46">
        <f>(打分卡!$D$12*AH203+打分卡!$D$13*AI203+打分卡!$D$14*AJ203+打分卡!$D$15*AK203)/5</f>
        <v>13.2</v>
      </c>
      <c r="AQ203" s="46">
        <f>(打分卡!$D$16*AL203+打分卡!$D$17*AM203)/5</f>
        <v>6.8</v>
      </c>
      <c r="AR203" s="48">
        <f t="shared" si="26"/>
        <v>47.4</v>
      </c>
      <c r="AS203" s="45" t="str">
        <f t="shared" si="27"/>
        <v>腰部</v>
      </c>
      <c r="AT203" s="45" t="str">
        <f t="shared" si="28"/>
        <v/>
      </c>
      <c r="AU203" s="45" t="str">
        <f t="shared" si="29"/>
        <v>拉·主攻：主推AI外呼+大促作战包</v>
      </c>
    </row>
    <row r="204" ht="15" customHeight="1" spans="1:47">
      <c r="A204" s="30" t="s">
        <v>791</v>
      </c>
      <c r="B204" s="31" t="s">
        <v>792</v>
      </c>
      <c r="C204" s="31" t="s">
        <v>179</v>
      </c>
      <c r="D204" s="31" t="s">
        <v>202</v>
      </c>
      <c r="E204" s="31" t="s">
        <v>181</v>
      </c>
      <c r="F204" s="30" t="s">
        <v>793</v>
      </c>
      <c r="G204" s="31">
        <v>11</v>
      </c>
      <c r="H204" s="31" t="s">
        <v>301</v>
      </c>
      <c r="I204" s="31" t="s">
        <v>302</v>
      </c>
      <c r="J204" s="33">
        <v>80100</v>
      </c>
      <c r="K204" s="33">
        <v>52300</v>
      </c>
      <c r="L204" s="33">
        <v>16900</v>
      </c>
      <c r="M204" s="33">
        <f t="shared" si="24"/>
        <v>149300</v>
      </c>
      <c r="N204" s="34">
        <f t="shared" si="30"/>
        <v>0.000782726130784991</v>
      </c>
      <c r="O204" s="35">
        <f>SUM($M$2:M204)</f>
        <v>151002200</v>
      </c>
      <c r="P204" s="34">
        <f t="shared" si="31"/>
        <v>0.791650152351114</v>
      </c>
      <c r="Q204" s="37">
        <v>14.3</v>
      </c>
      <c r="R204" s="31">
        <v>9</v>
      </c>
      <c r="S204" s="31">
        <v>3</v>
      </c>
      <c r="T204" s="31">
        <v>1</v>
      </c>
      <c r="U204" s="37">
        <v>37.6</v>
      </c>
      <c r="V204" s="31">
        <v>5</v>
      </c>
      <c r="W204" s="31">
        <v>0</v>
      </c>
      <c r="X204" s="38">
        <v>143</v>
      </c>
      <c r="Y204" s="31">
        <v>0</v>
      </c>
      <c r="Z204" s="31">
        <v>1</v>
      </c>
      <c r="AA204" s="31" t="s">
        <v>185</v>
      </c>
      <c r="AB204" s="31" t="s">
        <v>220</v>
      </c>
      <c r="AC204" s="41">
        <f>IFERROR(LOOKUP(M204,打分卡!$F$7:$J$7,打分卡!$K$7:$O$7),1)</f>
        <v>3</v>
      </c>
      <c r="AD204" s="41">
        <f>IFERROR(LOOKUP(S204,打分卡!$F$8:$J$8,打分卡!$K$8:$O$8),1)</f>
        <v>3</v>
      </c>
      <c r="AE204" s="41">
        <f>IFERROR(LOOKUP(T204,打分卡!$F$9:$I$9,打分卡!$K$9:$N$9),1)</f>
        <v>2</v>
      </c>
      <c r="AF204" s="41">
        <f>IFERROR(LOOKUP(Q204,打分卡!$F$10:$J$10,打分卡!$K$10:$O$10),1)</f>
        <v>3</v>
      </c>
      <c r="AG204" s="41">
        <f>IFERROR(LOOKUP(R204,打分卡!$F$11:$J$11,打分卡!$K$11:$O$11),1)</f>
        <v>4</v>
      </c>
      <c r="AH204" s="41">
        <f>IFERROR(LOOKUP(U204,打分卡!$F$12:$J$12,打分卡!$K$12:$O$12),1)</f>
        <v>4</v>
      </c>
      <c r="AI204" s="41">
        <f>IFERROR(LOOKUP(X204,打分卡!$F$13:$J$13,打分卡!$K$13:$O$13),1)</f>
        <v>4</v>
      </c>
      <c r="AJ204" s="41">
        <f>IFERROR(LOOKUP(Y204,打分卡!$F$14:$J$14,打分卡!$K$14:$O$14),1)</f>
        <v>1</v>
      </c>
      <c r="AK204" s="41">
        <f>IFERROR(LOOKUP(W204,打分卡!$F$15:$J$15,打分卡!$K$15:$O$15),1)</f>
        <v>1</v>
      </c>
      <c r="AL204" s="43">
        <f t="shared" si="25"/>
        <v>3</v>
      </c>
      <c r="AM204" s="41">
        <f>IFERROR(LOOKUP(Z204,打分卡!$F$17:$H$17,打分卡!$K$17:$M$17),1)</f>
        <v>3</v>
      </c>
      <c r="AN204" s="44">
        <f>(打分卡!$D$7*AC204+打分卡!$D$8*AD204+打分卡!$D$9*AE204)/5</f>
        <v>22.6</v>
      </c>
      <c r="AO204" s="44">
        <f>(打分卡!$D$10*AF204+打分卡!$D$11*AG204)/5</f>
        <v>14</v>
      </c>
      <c r="AP204" s="44">
        <f>(打分卡!$D$12*AH204+打分卡!$D$13*AI204+打分卡!$D$14*AJ204+打分卡!$D$15*AK204)/5</f>
        <v>18</v>
      </c>
      <c r="AQ204" s="44">
        <f>(打分卡!$D$16*AL204+打分卡!$D$17*AM204)/5</f>
        <v>6</v>
      </c>
      <c r="AR204" s="47">
        <f t="shared" si="26"/>
        <v>60.6</v>
      </c>
      <c r="AS204" s="43" t="str">
        <f t="shared" si="27"/>
        <v>腰部</v>
      </c>
      <c r="AT204" s="43" t="str">
        <f t="shared" si="28"/>
        <v/>
      </c>
      <c r="AU204" s="43" t="str">
        <f t="shared" si="29"/>
        <v>拉·主攻：主推AI外呼+大促作战包</v>
      </c>
    </row>
    <row r="205" ht="15" customHeight="1" spans="1:47">
      <c r="A205" s="20" t="s">
        <v>794</v>
      </c>
      <c r="B205" s="22" t="s">
        <v>795</v>
      </c>
      <c r="C205" s="22" t="s">
        <v>179</v>
      </c>
      <c r="D205" s="22" t="s">
        <v>235</v>
      </c>
      <c r="E205" s="22" t="s">
        <v>197</v>
      </c>
      <c r="F205" s="20" t="s">
        <v>796</v>
      </c>
      <c r="G205" s="22">
        <v>17</v>
      </c>
      <c r="H205" s="22" t="s">
        <v>301</v>
      </c>
      <c r="I205" s="22" t="s">
        <v>184</v>
      </c>
      <c r="J205" s="36">
        <v>67100</v>
      </c>
      <c r="K205" s="36">
        <v>41800</v>
      </c>
      <c r="L205" s="36">
        <v>37500</v>
      </c>
      <c r="M205" s="36">
        <f t="shared" si="24"/>
        <v>146400</v>
      </c>
      <c r="N205" s="34">
        <f t="shared" si="30"/>
        <v>0.000767522475197071</v>
      </c>
      <c r="O205" s="35">
        <f>SUM($M$2:M205)</f>
        <v>151148600</v>
      </c>
      <c r="P205" s="34">
        <f t="shared" si="31"/>
        <v>0.792417674826311</v>
      </c>
      <c r="Q205" s="39">
        <v>12.2</v>
      </c>
      <c r="R205" s="22">
        <v>7</v>
      </c>
      <c r="S205" s="22">
        <v>1</v>
      </c>
      <c r="T205" s="22">
        <v>0</v>
      </c>
      <c r="U205" s="39">
        <v>1.5</v>
      </c>
      <c r="V205" s="22">
        <v>26</v>
      </c>
      <c r="W205" s="22">
        <v>3</v>
      </c>
      <c r="X205" s="40">
        <v>25</v>
      </c>
      <c r="Y205" s="22">
        <v>2</v>
      </c>
      <c r="Z205" s="22">
        <v>1</v>
      </c>
      <c r="AA205" s="22" t="s">
        <v>185</v>
      </c>
      <c r="AB205" s="22" t="s">
        <v>220</v>
      </c>
      <c r="AC205" s="42">
        <f>IFERROR(LOOKUP(M205,打分卡!$F$7:$J$7,打分卡!$K$7:$O$7),1)</f>
        <v>3</v>
      </c>
      <c r="AD205" s="42">
        <f>IFERROR(LOOKUP(S205,打分卡!$F$8:$J$8,打分卡!$K$8:$O$8),1)</f>
        <v>1</v>
      </c>
      <c r="AE205" s="42">
        <f>IFERROR(LOOKUP(T205,打分卡!$F$9:$I$9,打分卡!$K$9:$N$9),1)</f>
        <v>1</v>
      </c>
      <c r="AF205" s="42">
        <f>IFERROR(LOOKUP(Q205,打分卡!$F$10:$J$10,打分卡!$K$10:$O$10),1)</f>
        <v>3</v>
      </c>
      <c r="AG205" s="42">
        <f>IFERROR(LOOKUP(R205,打分卡!$F$11:$J$11,打分卡!$K$11:$O$11),1)</f>
        <v>3</v>
      </c>
      <c r="AH205" s="42">
        <f>IFERROR(LOOKUP(U205,打分卡!$F$12:$J$12,打分卡!$K$12:$O$12),1)</f>
        <v>1</v>
      </c>
      <c r="AI205" s="42">
        <f>IFERROR(LOOKUP(X205,打分卡!$F$13:$J$13,打分卡!$K$13:$O$13),1)</f>
        <v>2</v>
      </c>
      <c r="AJ205" s="42">
        <f>IFERROR(LOOKUP(Y205,打分卡!$F$14:$J$14,打分卡!$K$14:$O$14),1)</f>
        <v>3</v>
      </c>
      <c r="AK205" s="42">
        <f>IFERROR(LOOKUP(W205,打分卡!$F$15:$J$15,打分卡!$K$15:$O$15),1)</f>
        <v>3</v>
      </c>
      <c r="AL205" s="45">
        <f t="shared" si="25"/>
        <v>3</v>
      </c>
      <c r="AM205" s="42">
        <f>IFERROR(LOOKUP(Z205,打分卡!$F$17:$H$17,打分卡!$K$17:$M$17),1)</f>
        <v>3</v>
      </c>
      <c r="AN205" s="46">
        <f>(打分卡!$D$7*AC205+打分卡!$D$8*AD205+打分卡!$D$9*AE205)/5</f>
        <v>18</v>
      </c>
      <c r="AO205" s="46">
        <f>(打分卡!$D$10*AF205+打分卡!$D$11*AG205)/5</f>
        <v>12</v>
      </c>
      <c r="AP205" s="46">
        <f>(打分卡!$D$12*AH205+打分卡!$D$13*AI205+打分卡!$D$14*AJ205+打分卡!$D$15*AK205)/5</f>
        <v>11.6</v>
      </c>
      <c r="AQ205" s="46">
        <f>(打分卡!$D$16*AL205+打分卡!$D$17*AM205)/5</f>
        <v>6</v>
      </c>
      <c r="AR205" s="48">
        <f t="shared" si="26"/>
        <v>47.6</v>
      </c>
      <c r="AS205" s="45" t="str">
        <f t="shared" si="27"/>
        <v>腰部</v>
      </c>
      <c r="AT205" s="45" t="str">
        <f t="shared" si="28"/>
        <v/>
      </c>
      <c r="AU205" s="45" t="str">
        <f t="shared" si="29"/>
        <v>拉·主攻：主推AI外呼+大促作战包</v>
      </c>
    </row>
    <row r="206" ht="15" customHeight="1" spans="1:47">
      <c r="A206" s="30" t="s">
        <v>797</v>
      </c>
      <c r="B206" s="31" t="s">
        <v>798</v>
      </c>
      <c r="C206" s="31" t="s">
        <v>239</v>
      </c>
      <c r="D206" s="31" t="s">
        <v>202</v>
      </c>
      <c r="E206" s="31" t="s">
        <v>197</v>
      </c>
      <c r="F206" s="30" t="s">
        <v>799</v>
      </c>
      <c r="G206" s="31">
        <v>11</v>
      </c>
      <c r="H206" s="31" t="s">
        <v>183</v>
      </c>
      <c r="I206" s="31" t="s">
        <v>184</v>
      </c>
      <c r="J206" s="33">
        <v>92000</v>
      </c>
      <c r="K206" s="33">
        <v>45900</v>
      </c>
      <c r="L206" s="33">
        <v>7300</v>
      </c>
      <c r="M206" s="33">
        <f t="shared" si="24"/>
        <v>145200</v>
      </c>
      <c r="N206" s="34">
        <f t="shared" si="30"/>
        <v>0.000761231307367587</v>
      </c>
      <c r="O206" s="35">
        <f>SUM($M$2:M206)</f>
        <v>151293800</v>
      </c>
      <c r="P206" s="34">
        <f t="shared" si="31"/>
        <v>0.793178906133679</v>
      </c>
      <c r="Q206" s="37">
        <v>9.4</v>
      </c>
      <c r="R206" s="31">
        <v>9</v>
      </c>
      <c r="S206" s="31">
        <v>1</v>
      </c>
      <c r="T206" s="31">
        <v>1</v>
      </c>
      <c r="U206" s="37">
        <v>32.3</v>
      </c>
      <c r="V206" s="31">
        <v>21</v>
      </c>
      <c r="W206" s="31">
        <v>0</v>
      </c>
      <c r="X206" s="38">
        <v>48</v>
      </c>
      <c r="Y206" s="31">
        <v>0</v>
      </c>
      <c r="Z206" s="31">
        <v>1</v>
      </c>
      <c r="AA206" s="31" t="s">
        <v>185</v>
      </c>
      <c r="AB206" s="31" t="s">
        <v>220</v>
      </c>
      <c r="AC206" s="41">
        <f>IFERROR(LOOKUP(M206,打分卡!$F$7:$J$7,打分卡!$K$7:$O$7),1)</f>
        <v>3</v>
      </c>
      <c r="AD206" s="41">
        <f>IFERROR(LOOKUP(S206,打分卡!$F$8:$J$8,打分卡!$K$8:$O$8),1)</f>
        <v>1</v>
      </c>
      <c r="AE206" s="41">
        <f>IFERROR(LOOKUP(T206,打分卡!$F$9:$I$9,打分卡!$K$9:$N$9),1)</f>
        <v>2</v>
      </c>
      <c r="AF206" s="41">
        <f>IFERROR(LOOKUP(Q206,打分卡!$F$10:$J$10,打分卡!$K$10:$O$10),1)</f>
        <v>2</v>
      </c>
      <c r="AG206" s="41">
        <f>IFERROR(LOOKUP(R206,打分卡!$F$11:$J$11,打分卡!$K$11:$O$11),1)</f>
        <v>4</v>
      </c>
      <c r="AH206" s="41">
        <f>IFERROR(LOOKUP(U206,打分卡!$F$12:$J$12,打分卡!$K$12:$O$12),1)</f>
        <v>3</v>
      </c>
      <c r="AI206" s="41">
        <f>IFERROR(LOOKUP(X206,打分卡!$F$13:$J$13,打分卡!$K$13:$O$13),1)</f>
        <v>3</v>
      </c>
      <c r="AJ206" s="41">
        <f>IFERROR(LOOKUP(Y206,打分卡!$F$14:$J$14,打分卡!$K$14:$O$14),1)</f>
        <v>1</v>
      </c>
      <c r="AK206" s="41">
        <f>IFERROR(LOOKUP(W206,打分卡!$F$15:$J$15,打分卡!$K$15:$O$15),1)</f>
        <v>1</v>
      </c>
      <c r="AL206" s="43">
        <f t="shared" si="25"/>
        <v>3</v>
      </c>
      <c r="AM206" s="41">
        <f>IFERROR(LOOKUP(Z206,打分卡!$F$17:$H$17,打分卡!$K$17:$M$17),1)</f>
        <v>3</v>
      </c>
      <c r="AN206" s="44">
        <f>(打分卡!$D$7*AC206+打分卡!$D$8*AD206+打分卡!$D$9*AE206)/5</f>
        <v>19.4</v>
      </c>
      <c r="AO206" s="44">
        <f>(打分卡!$D$10*AF206+打分卡!$D$11*AG206)/5</f>
        <v>12</v>
      </c>
      <c r="AP206" s="44">
        <f>(打分卡!$D$12*AH206+打分卡!$D$13*AI206+打分卡!$D$14*AJ206+打分卡!$D$15*AK206)/5</f>
        <v>14</v>
      </c>
      <c r="AQ206" s="44">
        <f>(打分卡!$D$16*AL206+打分卡!$D$17*AM206)/5</f>
        <v>6</v>
      </c>
      <c r="AR206" s="47">
        <f t="shared" si="26"/>
        <v>51.4</v>
      </c>
      <c r="AS206" s="43" t="str">
        <f t="shared" si="27"/>
        <v>腰部</v>
      </c>
      <c r="AT206" s="43" t="str">
        <f t="shared" si="28"/>
        <v/>
      </c>
      <c r="AU206" s="43" t="str">
        <f t="shared" si="29"/>
        <v>拉·主攻：主推AI外呼+大促作战包</v>
      </c>
    </row>
    <row r="207" ht="15" customHeight="1" spans="1:47">
      <c r="A207" s="20" t="s">
        <v>800</v>
      </c>
      <c r="B207" s="22" t="s">
        <v>801</v>
      </c>
      <c r="C207" s="22" t="s">
        <v>189</v>
      </c>
      <c r="D207" s="22" t="s">
        <v>202</v>
      </c>
      <c r="E207" s="22" t="s">
        <v>181</v>
      </c>
      <c r="F207" s="20" t="s">
        <v>802</v>
      </c>
      <c r="G207" s="22">
        <v>20</v>
      </c>
      <c r="H207" s="22" t="s">
        <v>301</v>
      </c>
      <c r="I207" s="22" t="s">
        <v>184</v>
      </c>
      <c r="J207" s="36">
        <v>71800</v>
      </c>
      <c r="K207" s="36">
        <v>32800</v>
      </c>
      <c r="L207" s="36">
        <v>40400</v>
      </c>
      <c r="M207" s="36">
        <f t="shared" si="24"/>
        <v>145000</v>
      </c>
      <c r="N207" s="34">
        <f t="shared" si="30"/>
        <v>0.000760182779396006</v>
      </c>
      <c r="O207" s="35">
        <f>SUM($M$2:M207)</f>
        <v>151438800</v>
      </c>
      <c r="P207" s="34">
        <f t="shared" si="31"/>
        <v>0.793939088913075</v>
      </c>
      <c r="Q207" s="39">
        <v>16.2</v>
      </c>
      <c r="R207" s="22">
        <v>6</v>
      </c>
      <c r="S207" s="22">
        <v>2</v>
      </c>
      <c r="T207" s="22">
        <v>0</v>
      </c>
      <c r="U207" s="39">
        <v>33.3</v>
      </c>
      <c r="V207" s="22">
        <v>17</v>
      </c>
      <c r="W207" s="22">
        <v>0</v>
      </c>
      <c r="X207" s="40">
        <v>75</v>
      </c>
      <c r="Y207" s="22">
        <v>0</v>
      </c>
      <c r="Z207" s="22">
        <v>1</v>
      </c>
      <c r="AA207" s="22" t="s">
        <v>185</v>
      </c>
      <c r="AB207" s="22" t="s">
        <v>220</v>
      </c>
      <c r="AC207" s="42">
        <f>IFERROR(LOOKUP(M207,打分卡!$F$7:$J$7,打分卡!$K$7:$O$7),1)</f>
        <v>3</v>
      </c>
      <c r="AD207" s="42">
        <f>IFERROR(LOOKUP(S207,打分卡!$F$8:$J$8,打分卡!$K$8:$O$8),1)</f>
        <v>2</v>
      </c>
      <c r="AE207" s="42">
        <f>IFERROR(LOOKUP(T207,打分卡!$F$9:$I$9,打分卡!$K$9:$N$9),1)</f>
        <v>1</v>
      </c>
      <c r="AF207" s="42">
        <f>IFERROR(LOOKUP(Q207,打分卡!$F$10:$J$10,打分卡!$K$10:$O$10),1)</f>
        <v>3</v>
      </c>
      <c r="AG207" s="42">
        <f>IFERROR(LOOKUP(R207,打分卡!$F$11:$J$11,打分卡!$K$11:$O$11),1)</f>
        <v>3</v>
      </c>
      <c r="AH207" s="42">
        <f>IFERROR(LOOKUP(U207,打分卡!$F$12:$J$12,打分卡!$K$12:$O$12),1)</f>
        <v>4</v>
      </c>
      <c r="AI207" s="42">
        <f>IFERROR(LOOKUP(X207,打分卡!$F$13:$J$13,打分卡!$K$13:$O$13),1)</f>
        <v>3</v>
      </c>
      <c r="AJ207" s="42">
        <f>IFERROR(LOOKUP(Y207,打分卡!$F$14:$J$14,打分卡!$K$14:$O$14),1)</f>
        <v>1</v>
      </c>
      <c r="AK207" s="42">
        <f>IFERROR(LOOKUP(W207,打分卡!$F$15:$J$15,打分卡!$K$15:$O$15),1)</f>
        <v>1</v>
      </c>
      <c r="AL207" s="45">
        <f t="shared" si="25"/>
        <v>3</v>
      </c>
      <c r="AM207" s="42">
        <f>IFERROR(LOOKUP(Z207,打分卡!$F$17:$H$17,打分卡!$K$17:$M$17),1)</f>
        <v>3</v>
      </c>
      <c r="AN207" s="46">
        <f>(打分卡!$D$7*AC207+打分卡!$D$8*AD207+打分卡!$D$9*AE207)/5</f>
        <v>19.6</v>
      </c>
      <c r="AO207" s="46">
        <f>(打分卡!$D$10*AF207+打分卡!$D$11*AG207)/5</f>
        <v>12</v>
      </c>
      <c r="AP207" s="46">
        <f>(打分卡!$D$12*AH207+打分卡!$D$13*AI207+打分卡!$D$14*AJ207+打分卡!$D$15*AK207)/5</f>
        <v>16.4</v>
      </c>
      <c r="AQ207" s="46">
        <f>(打分卡!$D$16*AL207+打分卡!$D$17*AM207)/5</f>
        <v>6</v>
      </c>
      <c r="AR207" s="48">
        <f t="shared" si="26"/>
        <v>54</v>
      </c>
      <c r="AS207" s="45" t="str">
        <f t="shared" si="27"/>
        <v>腰部</v>
      </c>
      <c r="AT207" s="45" t="str">
        <f t="shared" si="28"/>
        <v/>
      </c>
      <c r="AU207" s="45" t="str">
        <f t="shared" si="29"/>
        <v>拉·主攻：主推AI外呼+大促作战包</v>
      </c>
    </row>
    <row r="208" ht="15" customHeight="1" spans="1:47">
      <c r="A208" s="30" t="s">
        <v>803</v>
      </c>
      <c r="B208" s="31" t="s">
        <v>804</v>
      </c>
      <c r="C208" s="31" t="s">
        <v>223</v>
      </c>
      <c r="D208" s="31" t="s">
        <v>190</v>
      </c>
      <c r="E208" s="31" t="s">
        <v>197</v>
      </c>
      <c r="F208" s="30" t="s">
        <v>383</v>
      </c>
      <c r="G208" s="31">
        <v>12</v>
      </c>
      <c r="H208" s="31" t="s">
        <v>301</v>
      </c>
      <c r="I208" s="31" t="s">
        <v>302</v>
      </c>
      <c r="J208" s="33">
        <v>70700</v>
      </c>
      <c r="K208" s="33">
        <v>53800</v>
      </c>
      <c r="L208" s="33">
        <v>20400</v>
      </c>
      <c r="M208" s="33">
        <f t="shared" si="24"/>
        <v>144900</v>
      </c>
      <c r="N208" s="34">
        <f t="shared" si="30"/>
        <v>0.000759658515410216</v>
      </c>
      <c r="O208" s="35">
        <f>SUM($M$2:M208)</f>
        <v>151583700</v>
      </c>
      <c r="P208" s="34">
        <f t="shared" si="31"/>
        <v>0.794698747428485</v>
      </c>
      <c r="Q208" s="37">
        <v>11.8</v>
      </c>
      <c r="R208" s="31">
        <v>8</v>
      </c>
      <c r="S208" s="31">
        <v>2</v>
      </c>
      <c r="T208" s="31">
        <v>1</v>
      </c>
      <c r="U208" s="37">
        <v>2.1</v>
      </c>
      <c r="V208" s="31">
        <v>19</v>
      </c>
      <c r="W208" s="31">
        <v>3</v>
      </c>
      <c r="X208" s="38">
        <v>20</v>
      </c>
      <c r="Y208" s="31">
        <v>3</v>
      </c>
      <c r="Z208" s="31">
        <v>0</v>
      </c>
      <c r="AA208" s="31" t="s">
        <v>315</v>
      </c>
      <c r="AB208" s="31" t="s">
        <v>220</v>
      </c>
      <c r="AC208" s="41">
        <f>IFERROR(LOOKUP(M208,打分卡!$F$7:$J$7,打分卡!$K$7:$O$7),1)</f>
        <v>3</v>
      </c>
      <c r="AD208" s="41">
        <f>IFERROR(LOOKUP(S208,打分卡!$F$8:$J$8,打分卡!$K$8:$O$8),1)</f>
        <v>2</v>
      </c>
      <c r="AE208" s="41">
        <f>IFERROR(LOOKUP(T208,打分卡!$F$9:$I$9,打分卡!$K$9:$N$9),1)</f>
        <v>2</v>
      </c>
      <c r="AF208" s="41">
        <f>IFERROR(LOOKUP(Q208,打分卡!$F$10:$J$10,打分卡!$K$10:$O$10),1)</f>
        <v>3</v>
      </c>
      <c r="AG208" s="41">
        <f>IFERROR(LOOKUP(R208,打分卡!$F$11:$J$11,打分卡!$K$11:$O$11),1)</f>
        <v>3</v>
      </c>
      <c r="AH208" s="41">
        <f>IFERROR(LOOKUP(U208,打分卡!$F$12:$J$12,打分卡!$K$12:$O$12),1)</f>
        <v>1</v>
      </c>
      <c r="AI208" s="41">
        <f>IFERROR(LOOKUP(X208,打分卡!$F$13:$J$13,打分卡!$K$13:$O$13),1)</f>
        <v>2</v>
      </c>
      <c r="AJ208" s="41">
        <f>IFERROR(LOOKUP(Y208,打分卡!$F$14:$J$14,打分卡!$K$14:$O$14),1)</f>
        <v>4</v>
      </c>
      <c r="AK208" s="41">
        <f>IFERROR(LOOKUP(W208,打分卡!$F$15:$J$15,打分卡!$K$15:$O$15),1)</f>
        <v>3</v>
      </c>
      <c r="AL208" s="43">
        <f t="shared" si="25"/>
        <v>2</v>
      </c>
      <c r="AM208" s="41">
        <f>IFERROR(LOOKUP(Z208,打分卡!$F$17:$H$17,打分卡!$K$17:$M$17),1)</f>
        <v>1</v>
      </c>
      <c r="AN208" s="44">
        <f>(打分卡!$D$7*AC208+打分卡!$D$8*AD208+打分卡!$D$9*AE208)/5</f>
        <v>21</v>
      </c>
      <c r="AO208" s="44">
        <f>(打分卡!$D$10*AF208+打分卡!$D$11*AG208)/5</f>
        <v>12</v>
      </c>
      <c r="AP208" s="44">
        <f>(打分卡!$D$12*AH208+打分卡!$D$13*AI208+打分卡!$D$14*AJ208+打分卡!$D$15*AK208)/5</f>
        <v>12.8</v>
      </c>
      <c r="AQ208" s="44">
        <f>(打分卡!$D$16*AL208+打分卡!$D$17*AM208)/5</f>
        <v>3.2</v>
      </c>
      <c r="AR208" s="47">
        <f t="shared" si="26"/>
        <v>49</v>
      </c>
      <c r="AS208" s="43" t="str">
        <f t="shared" si="27"/>
        <v>腰部</v>
      </c>
      <c r="AT208" s="43" t="str">
        <f t="shared" si="28"/>
        <v/>
      </c>
      <c r="AU208" s="43" t="str">
        <f t="shared" si="29"/>
        <v>拉·主攻：主推AI外呼+大促作战包</v>
      </c>
    </row>
    <row r="209" ht="15" customHeight="1" spans="1:47">
      <c r="A209" s="20" t="s">
        <v>805</v>
      </c>
      <c r="B209" s="22" t="s">
        <v>806</v>
      </c>
      <c r="C209" s="22" t="s">
        <v>179</v>
      </c>
      <c r="D209" s="22" t="s">
        <v>196</v>
      </c>
      <c r="E209" s="22" t="s">
        <v>181</v>
      </c>
      <c r="F209" s="20" t="s">
        <v>505</v>
      </c>
      <c r="G209" s="22">
        <v>23</v>
      </c>
      <c r="H209" s="22" t="s">
        <v>301</v>
      </c>
      <c r="I209" s="22" t="s">
        <v>302</v>
      </c>
      <c r="J209" s="36">
        <v>83300</v>
      </c>
      <c r="K209" s="36">
        <v>43700</v>
      </c>
      <c r="L209" s="36">
        <v>17700</v>
      </c>
      <c r="M209" s="36">
        <f t="shared" si="24"/>
        <v>144700</v>
      </c>
      <c r="N209" s="34">
        <f t="shared" si="30"/>
        <v>0.000758609987438635</v>
      </c>
      <c r="O209" s="35">
        <f>SUM($M$2:M209)</f>
        <v>151728400</v>
      </c>
      <c r="P209" s="34">
        <f t="shared" si="31"/>
        <v>0.795457357415924</v>
      </c>
      <c r="Q209" s="39">
        <v>16.3</v>
      </c>
      <c r="R209" s="22">
        <v>7</v>
      </c>
      <c r="S209" s="22">
        <v>2</v>
      </c>
      <c r="T209" s="22">
        <v>2</v>
      </c>
      <c r="U209" s="39">
        <v>54.4</v>
      </c>
      <c r="V209" s="22">
        <v>14</v>
      </c>
      <c r="W209" s="22">
        <v>2</v>
      </c>
      <c r="X209" s="40">
        <v>15</v>
      </c>
      <c r="Y209" s="22">
        <v>2</v>
      </c>
      <c r="Z209" s="22">
        <v>0</v>
      </c>
      <c r="AA209" s="22" t="s">
        <v>315</v>
      </c>
      <c r="AB209" s="22" t="s">
        <v>220</v>
      </c>
      <c r="AC209" s="42">
        <f>IFERROR(LOOKUP(M209,打分卡!$F$7:$J$7,打分卡!$K$7:$O$7),1)</f>
        <v>3</v>
      </c>
      <c r="AD209" s="42">
        <f>IFERROR(LOOKUP(S209,打分卡!$F$8:$J$8,打分卡!$K$8:$O$8),1)</f>
        <v>2</v>
      </c>
      <c r="AE209" s="42">
        <f>IFERROR(LOOKUP(T209,打分卡!$F$9:$I$9,打分卡!$K$9:$N$9),1)</f>
        <v>3</v>
      </c>
      <c r="AF209" s="42">
        <f>IFERROR(LOOKUP(Q209,打分卡!$F$10:$J$10,打分卡!$K$10:$O$10),1)</f>
        <v>3</v>
      </c>
      <c r="AG209" s="42">
        <f>IFERROR(LOOKUP(R209,打分卡!$F$11:$J$11,打分卡!$K$11:$O$11),1)</f>
        <v>3</v>
      </c>
      <c r="AH209" s="42">
        <f>IFERROR(LOOKUP(U209,打分卡!$F$12:$J$12,打分卡!$K$12:$O$12),1)</f>
        <v>4</v>
      </c>
      <c r="AI209" s="42">
        <f>IFERROR(LOOKUP(X209,打分卡!$F$13:$J$13,打分卡!$K$13:$O$13),1)</f>
        <v>1</v>
      </c>
      <c r="AJ209" s="42">
        <f>IFERROR(LOOKUP(Y209,打分卡!$F$14:$J$14,打分卡!$K$14:$O$14),1)</f>
        <v>3</v>
      </c>
      <c r="AK209" s="42">
        <f>IFERROR(LOOKUP(W209,打分卡!$F$15:$J$15,打分卡!$K$15:$O$15),1)</f>
        <v>2</v>
      </c>
      <c r="AL209" s="45">
        <f t="shared" si="25"/>
        <v>2</v>
      </c>
      <c r="AM209" s="42">
        <f>IFERROR(LOOKUP(Z209,打分卡!$F$17:$H$17,打分卡!$K$17:$M$17),1)</f>
        <v>1</v>
      </c>
      <c r="AN209" s="46">
        <f>(打分卡!$D$7*AC209+打分卡!$D$8*AD209+打分卡!$D$9*AE209)/5</f>
        <v>22.4</v>
      </c>
      <c r="AO209" s="46">
        <f>(打分卡!$D$10*AF209+打分卡!$D$11*AG209)/5</f>
        <v>12</v>
      </c>
      <c r="AP209" s="46">
        <f>(打分卡!$D$12*AH209+打分卡!$D$13*AI209+打分卡!$D$14*AJ209+打分卡!$D$15*AK209)/5</f>
        <v>16.4</v>
      </c>
      <c r="AQ209" s="46">
        <f>(打分卡!$D$16*AL209+打分卡!$D$17*AM209)/5</f>
        <v>3.2</v>
      </c>
      <c r="AR209" s="48">
        <f t="shared" si="26"/>
        <v>54</v>
      </c>
      <c r="AS209" s="45" t="str">
        <f t="shared" si="27"/>
        <v>腰部</v>
      </c>
      <c r="AT209" s="45" t="str">
        <f t="shared" si="28"/>
        <v/>
      </c>
      <c r="AU209" s="45" t="str">
        <f t="shared" si="29"/>
        <v>拉·主攻：主推AI外呼+大促作战包</v>
      </c>
    </row>
    <row r="210" ht="15" customHeight="1" spans="1:47">
      <c r="A210" s="30" t="s">
        <v>807</v>
      </c>
      <c r="B210" s="31" t="s">
        <v>808</v>
      </c>
      <c r="C210" s="31" t="s">
        <v>218</v>
      </c>
      <c r="D210" s="31" t="s">
        <v>252</v>
      </c>
      <c r="E210" s="31" t="s">
        <v>181</v>
      </c>
      <c r="F210" s="30" t="s">
        <v>336</v>
      </c>
      <c r="G210" s="31">
        <v>18</v>
      </c>
      <c r="H210" s="31" t="s">
        <v>301</v>
      </c>
      <c r="I210" s="31" t="s">
        <v>302</v>
      </c>
      <c r="J210" s="33">
        <v>75000</v>
      </c>
      <c r="K210" s="33">
        <v>35500</v>
      </c>
      <c r="L210" s="33">
        <v>33000</v>
      </c>
      <c r="M210" s="33">
        <f t="shared" si="24"/>
        <v>143500</v>
      </c>
      <c r="N210" s="34">
        <f t="shared" si="30"/>
        <v>0.000752318819609151</v>
      </c>
      <c r="O210" s="35">
        <f>SUM($M$2:M210)</f>
        <v>151871900</v>
      </c>
      <c r="P210" s="34">
        <f t="shared" si="31"/>
        <v>0.796209676235533</v>
      </c>
      <c r="Q210" s="37">
        <v>22.3</v>
      </c>
      <c r="R210" s="31">
        <v>5</v>
      </c>
      <c r="S210" s="31">
        <v>2</v>
      </c>
      <c r="T210" s="31">
        <v>2</v>
      </c>
      <c r="U210" s="37">
        <v>4.4</v>
      </c>
      <c r="V210" s="31">
        <v>11</v>
      </c>
      <c r="W210" s="31">
        <v>4</v>
      </c>
      <c r="X210" s="38">
        <v>14</v>
      </c>
      <c r="Y210" s="31">
        <v>2</v>
      </c>
      <c r="Z210" s="31">
        <v>0</v>
      </c>
      <c r="AA210" s="31" t="s">
        <v>185</v>
      </c>
      <c r="AB210" s="31" t="s">
        <v>220</v>
      </c>
      <c r="AC210" s="41">
        <f>IFERROR(LOOKUP(M210,打分卡!$F$7:$J$7,打分卡!$K$7:$O$7),1)</f>
        <v>3</v>
      </c>
      <c r="AD210" s="41">
        <f>IFERROR(LOOKUP(S210,打分卡!$F$8:$J$8,打分卡!$K$8:$O$8),1)</f>
        <v>2</v>
      </c>
      <c r="AE210" s="41">
        <f>IFERROR(LOOKUP(T210,打分卡!$F$9:$I$9,打分卡!$K$9:$N$9),1)</f>
        <v>3</v>
      </c>
      <c r="AF210" s="41">
        <f>IFERROR(LOOKUP(Q210,打分卡!$F$10:$J$10,打分卡!$K$10:$O$10),1)</f>
        <v>3</v>
      </c>
      <c r="AG210" s="41">
        <f>IFERROR(LOOKUP(R210,打分卡!$F$11:$J$11,打分卡!$K$11:$O$11),1)</f>
        <v>3</v>
      </c>
      <c r="AH210" s="41">
        <f>IFERROR(LOOKUP(U210,打分卡!$F$12:$J$12,打分卡!$K$12:$O$12),1)</f>
        <v>2</v>
      </c>
      <c r="AI210" s="41">
        <f>IFERROR(LOOKUP(X210,打分卡!$F$13:$J$13,打分卡!$K$13:$O$13),1)</f>
        <v>1</v>
      </c>
      <c r="AJ210" s="41">
        <f>IFERROR(LOOKUP(Y210,打分卡!$F$14:$J$14,打分卡!$K$14:$O$14),1)</f>
        <v>3</v>
      </c>
      <c r="AK210" s="41">
        <f>IFERROR(LOOKUP(W210,打分卡!$F$15:$J$15,打分卡!$K$15:$O$15),1)</f>
        <v>3</v>
      </c>
      <c r="AL210" s="43">
        <f t="shared" si="25"/>
        <v>3</v>
      </c>
      <c r="AM210" s="41">
        <f>IFERROR(LOOKUP(Z210,打分卡!$F$17:$H$17,打分卡!$K$17:$M$17),1)</f>
        <v>1</v>
      </c>
      <c r="AN210" s="44">
        <f>(打分卡!$D$7*AC210+打分卡!$D$8*AD210+打分卡!$D$9*AE210)/5</f>
        <v>22.4</v>
      </c>
      <c r="AO210" s="44">
        <f>(打分卡!$D$10*AF210+打分卡!$D$11*AG210)/5</f>
        <v>12</v>
      </c>
      <c r="AP210" s="44">
        <f>(打分卡!$D$12*AH210+打分卡!$D$13*AI210+打分卡!$D$14*AJ210+打分卡!$D$15*AK210)/5</f>
        <v>12.4</v>
      </c>
      <c r="AQ210" s="44">
        <f>(打分卡!$D$16*AL210+打分卡!$D$17*AM210)/5</f>
        <v>4.4</v>
      </c>
      <c r="AR210" s="47">
        <f t="shared" si="26"/>
        <v>51.2</v>
      </c>
      <c r="AS210" s="43" t="str">
        <f t="shared" si="27"/>
        <v>腰部</v>
      </c>
      <c r="AT210" s="43" t="str">
        <f t="shared" si="28"/>
        <v/>
      </c>
      <c r="AU210" s="43" t="str">
        <f t="shared" si="29"/>
        <v>拉·主攻：主推AI外呼+大促作战包</v>
      </c>
    </row>
    <row r="211" ht="15" customHeight="1" spans="1:47">
      <c r="A211" s="20" t="s">
        <v>809</v>
      </c>
      <c r="B211" s="22" t="s">
        <v>810</v>
      </c>
      <c r="C211" s="22" t="s">
        <v>234</v>
      </c>
      <c r="D211" s="22" t="s">
        <v>202</v>
      </c>
      <c r="E211" s="22" t="s">
        <v>181</v>
      </c>
      <c r="F211" s="20" t="s">
        <v>811</v>
      </c>
      <c r="G211" s="22">
        <v>18</v>
      </c>
      <c r="H211" s="22" t="s">
        <v>301</v>
      </c>
      <c r="I211" s="22" t="s">
        <v>184</v>
      </c>
      <c r="J211" s="36">
        <v>83500</v>
      </c>
      <c r="K211" s="36">
        <v>52300</v>
      </c>
      <c r="L211" s="36">
        <v>7100</v>
      </c>
      <c r="M211" s="36">
        <f t="shared" si="24"/>
        <v>142900</v>
      </c>
      <c r="N211" s="34">
        <f t="shared" si="30"/>
        <v>0.000749173235694409</v>
      </c>
      <c r="O211" s="35">
        <f>SUM($M$2:M211)</f>
        <v>152014800</v>
      </c>
      <c r="P211" s="34">
        <f t="shared" si="31"/>
        <v>0.796958849471227</v>
      </c>
      <c r="Q211" s="39">
        <v>18.1</v>
      </c>
      <c r="R211" s="22">
        <v>1</v>
      </c>
      <c r="S211" s="22">
        <v>3</v>
      </c>
      <c r="T211" s="22">
        <v>0</v>
      </c>
      <c r="U211" s="39">
        <v>2</v>
      </c>
      <c r="V211" s="22">
        <v>19</v>
      </c>
      <c r="W211" s="22">
        <v>1</v>
      </c>
      <c r="X211" s="40">
        <v>78</v>
      </c>
      <c r="Y211" s="22">
        <v>0</v>
      </c>
      <c r="Z211" s="22">
        <v>1</v>
      </c>
      <c r="AA211" s="22" t="s">
        <v>185</v>
      </c>
      <c r="AB211" s="22" t="s">
        <v>220</v>
      </c>
      <c r="AC211" s="42">
        <f>IFERROR(LOOKUP(M211,打分卡!$F$7:$J$7,打分卡!$K$7:$O$7),1)</f>
        <v>3</v>
      </c>
      <c r="AD211" s="42">
        <f>IFERROR(LOOKUP(S211,打分卡!$F$8:$J$8,打分卡!$K$8:$O$8),1)</f>
        <v>3</v>
      </c>
      <c r="AE211" s="42">
        <f>IFERROR(LOOKUP(T211,打分卡!$F$9:$I$9,打分卡!$K$9:$N$9),1)</f>
        <v>1</v>
      </c>
      <c r="AF211" s="42">
        <f>IFERROR(LOOKUP(Q211,打分卡!$F$10:$J$10,打分卡!$K$10:$O$10),1)</f>
        <v>3</v>
      </c>
      <c r="AG211" s="42">
        <f>IFERROR(LOOKUP(R211,打分卡!$F$11:$J$11,打分卡!$K$11:$O$11),1)</f>
        <v>1</v>
      </c>
      <c r="AH211" s="42">
        <f>IFERROR(LOOKUP(U211,打分卡!$F$12:$J$12,打分卡!$K$12:$O$12),1)</f>
        <v>1</v>
      </c>
      <c r="AI211" s="42">
        <f>IFERROR(LOOKUP(X211,打分卡!$F$13:$J$13,打分卡!$K$13:$O$13),1)</f>
        <v>3</v>
      </c>
      <c r="AJ211" s="42">
        <f>IFERROR(LOOKUP(Y211,打分卡!$F$14:$J$14,打分卡!$K$14:$O$14),1)</f>
        <v>1</v>
      </c>
      <c r="AK211" s="42">
        <f>IFERROR(LOOKUP(W211,打分卡!$F$15:$J$15,打分卡!$K$15:$O$15),1)</f>
        <v>2</v>
      </c>
      <c r="AL211" s="45">
        <f t="shared" si="25"/>
        <v>3</v>
      </c>
      <c r="AM211" s="42">
        <f>IFERROR(LOOKUP(Z211,打分卡!$F$17:$H$17,打分卡!$K$17:$M$17),1)</f>
        <v>3</v>
      </c>
      <c r="AN211" s="46">
        <f>(打分卡!$D$7*AC211+打分卡!$D$8*AD211+打分卡!$D$9*AE211)/5</f>
        <v>21.2</v>
      </c>
      <c r="AO211" s="46">
        <f>(打分卡!$D$10*AF211+打分卡!$D$11*AG211)/5</f>
        <v>8</v>
      </c>
      <c r="AP211" s="46">
        <f>(打分卡!$D$12*AH211+打分卡!$D$13*AI211+打分卡!$D$14*AJ211+打分卡!$D$15*AK211)/5</f>
        <v>10</v>
      </c>
      <c r="AQ211" s="46">
        <f>(打分卡!$D$16*AL211+打分卡!$D$17*AM211)/5</f>
        <v>6</v>
      </c>
      <c r="AR211" s="48">
        <f t="shared" si="26"/>
        <v>45.2</v>
      </c>
      <c r="AS211" s="45" t="str">
        <f t="shared" si="27"/>
        <v>腰部</v>
      </c>
      <c r="AT211" s="45" t="str">
        <f t="shared" si="28"/>
        <v/>
      </c>
      <c r="AU211" s="45" t="str">
        <f t="shared" si="29"/>
        <v>拉·主攻：主推AI外呼+大促作战包</v>
      </c>
    </row>
    <row r="212" ht="15" customHeight="1" spans="1:47">
      <c r="A212" s="30" t="s">
        <v>812</v>
      </c>
      <c r="B212" s="31" t="s">
        <v>813</v>
      </c>
      <c r="C212" s="31" t="s">
        <v>218</v>
      </c>
      <c r="D212" s="31" t="s">
        <v>235</v>
      </c>
      <c r="E212" s="31" t="s">
        <v>181</v>
      </c>
      <c r="F212" s="30" t="s">
        <v>814</v>
      </c>
      <c r="G212" s="31">
        <v>14</v>
      </c>
      <c r="H212" s="31" t="s">
        <v>301</v>
      </c>
      <c r="I212" s="31" t="s">
        <v>302</v>
      </c>
      <c r="J212" s="33">
        <v>71600</v>
      </c>
      <c r="K212" s="33">
        <v>36600</v>
      </c>
      <c r="L212" s="33">
        <v>34700</v>
      </c>
      <c r="M212" s="33">
        <f t="shared" si="24"/>
        <v>142900</v>
      </c>
      <c r="N212" s="34">
        <f t="shared" si="30"/>
        <v>0.000749173235694409</v>
      </c>
      <c r="O212" s="35">
        <f>SUM($M$2:M212)</f>
        <v>152157700</v>
      </c>
      <c r="P212" s="34">
        <f t="shared" si="31"/>
        <v>0.797708022706922</v>
      </c>
      <c r="Q212" s="37">
        <v>22</v>
      </c>
      <c r="R212" s="31">
        <v>3</v>
      </c>
      <c r="S212" s="31">
        <v>2</v>
      </c>
      <c r="T212" s="31">
        <v>2</v>
      </c>
      <c r="U212" s="37">
        <v>6.4</v>
      </c>
      <c r="V212" s="31">
        <v>4</v>
      </c>
      <c r="W212" s="31">
        <v>4</v>
      </c>
      <c r="X212" s="38">
        <v>14</v>
      </c>
      <c r="Y212" s="31">
        <v>2</v>
      </c>
      <c r="Z212" s="31">
        <v>0</v>
      </c>
      <c r="AA212" s="31" t="s">
        <v>185</v>
      </c>
      <c r="AB212" s="31" t="s">
        <v>220</v>
      </c>
      <c r="AC212" s="41">
        <f>IFERROR(LOOKUP(M212,打分卡!$F$7:$J$7,打分卡!$K$7:$O$7),1)</f>
        <v>3</v>
      </c>
      <c r="AD212" s="41">
        <f>IFERROR(LOOKUP(S212,打分卡!$F$8:$J$8,打分卡!$K$8:$O$8),1)</f>
        <v>2</v>
      </c>
      <c r="AE212" s="41">
        <f>IFERROR(LOOKUP(T212,打分卡!$F$9:$I$9,打分卡!$K$9:$N$9),1)</f>
        <v>3</v>
      </c>
      <c r="AF212" s="41">
        <f>IFERROR(LOOKUP(Q212,打分卡!$F$10:$J$10,打分卡!$K$10:$O$10),1)</f>
        <v>3</v>
      </c>
      <c r="AG212" s="41">
        <f>IFERROR(LOOKUP(R212,打分卡!$F$11:$J$11,打分卡!$K$11:$O$11),1)</f>
        <v>2</v>
      </c>
      <c r="AH212" s="41">
        <f>IFERROR(LOOKUP(U212,打分卡!$F$12:$J$12,打分卡!$K$12:$O$12),1)</f>
        <v>2</v>
      </c>
      <c r="AI212" s="41">
        <f>IFERROR(LOOKUP(X212,打分卡!$F$13:$J$13,打分卡!$K$13:$O$13),1)</f>
        <v>1</v>
      </c>
      <c r="AJ212" s="41">
        <f>IFERROR(LOOKUP(Y212,打分卡!$F$14:$J$14,打分卡!$K$14:$O$14),1)</f>
        <v>3</v>
      </c>
      <c r="AK212" s="41">
        <f>IFERROR(LOOKUP(W212,打分卡!$F$15:$J$15,打分卡!$K$15:$O$15),1)</f>
        <v>3</v>
      </c>
      <c r="AL212" s="43">
        <f t="shared" si="25"/>
        <v>3</v>
      </c>
      <c r="AM212" s="41">
        <f>IFERROR(LOOKUP(Z212,打分卡!$F$17:$H$17,打分卡!$K$17:$M$17),1)</f>
        <v>1</v>
      </c>
      <c r="AN212" s="44">
        <f>(打分卡!$D$7*AC212+打分卡!$D$8*AD212+打分卡!$D$9*AE212)/5</f>
        <v>22.4</v>
      </c>
      <c r="AO212" s="44">
        <f>(打分卡!$D$10*AF212+打分卡!$D$11*AG212)/5</f>
        <v>10</v>
      </c>
      <c r="AP212" s="44">
        <f>(打分卡!$D$12*AH212+打分卡!$D$13*AI212+打分卡!$D$14*AJ212+打分卡!$D$15*AK212)/5</f>
        <v>12.4</v>
      </c>
      <c r="AQ212" s="44">
        <f>(打分卡!$D$16*AL212+打分卡!$D$17*AM212)/5</f>
        <v>4.4</v>
      </c>
      <c r="AR212" s="47">
        <f t="shared" si="26"/>
        <v>49.2</v>
      </c>
      <c r="AS212" s="43" t="str">
        <f t="shared" si="27"/>
        <v>腰部</v>
      </c>
      <c r="AT212" s="43" t="str">
        <f t="shared" si="28"/>
        <v/>
      </c>
      <c r="AU212" s="43" t="str">
        <f t="shared" si="29"/>
        <v>拉·主攻：主推AI外呼+大促作战包</v>
      </c>
    </row>
    <row r="213" ht="15" customHeight="1" spans="1:47">
      <c r="A213" s="20" t="s">
        <v>815</v>
      </c>
      <c r="B213" s="22" t="s">
        <v>816</v>
      </c>
      <c r="C213" s="22" t="s">
        <v>189</v>
      </c>
      <c r="D213" s="22" t="s">
        <v>202</v>
      </c>
      <c r="E213" s="22" t="s">
        <v>181</v>
      </c>
      <c r="F213" s="20" t="s">
        <v>817</v>
      </c>
      <c r="G213" s="22">
        <v>14</v>
      </c>
      <c r="H213" s="22" t="s">
        <v>301</v>
      </c>
      <c r="I213" s="22" t="s">
        <v>184</v>
      </c>
      <c r="J213" s="36">
        <v>81800</v>
      </c>
      <c r="K213" s="36">
        <v>45000</v>
      </c>
      <c r="L213" s="36">
        <v>15800</v>
      </c>
      <c r="M213" s="36">
        <f t="shared" si="24"/>
        <v>142600</v>
      </c>
      <c r="N213" s="34">
        <f t="shared" si="30"/>
        <v>0.000747600443737038</v>
      </c>
      <c r="O213" s="35">
        <f>SUM($M$2:M213)</f>
        <v>152300300</v>
      </c>
      <c r="P213" s="34">
        <f t="shared" si="31"/>
        <v>0.798455623150659</v>
      </c>
      <c r="Q213" s="39">
        <v>21.6</v>
      </c>
      <c r="R213" s="22">
        <v>6</v>
      </c>
      <c r="S213" s="22">
        <v>3</v>
      </c>
      <c r="T213" s="22">
        <v>0</v>
      </c>
      <c r="U213" s="39">
        <v>1.1</v>
      </c>
      <c r="V213" s="22">
        <v>14</v>
      </c>
      <c r="W213" s="22">
        <v>2</v>
      </c>
      <c r="X213" s="40">
        <v>67</v>
      </c>
      <c r="Y213" s="22">
        <v>3</v>
      </c>
      <c r="Z213" s="22">
        <v>1</v>
      </c>
      <c r="AA213" s="22" t="s">
        <v>199</v>
      </c>
      <c r="AB213" s="22" t="s">
        <v>220</v>
      </c>
      <c r="AC213" s="42">
        <f>IFERROR(LOOKUP(M213,打分卡!$F$7:$J$7,打分卡!$K$7:$O$7),1)</f>
        <v>3</v>
      </c>
      <c r="AD213" s="42">
        <f>IFERROR(LOOKUP(S213,打分卡!$F$8:$J$8,打分卡!$K$8:$O$8),1)</f>
        <v>3</v>
      </c>
      <c r="AE213" s="42">
        <f>IFERROR(LOOKUP(T213,打分卡!$F$9:$I$9,打分卡!$K$9:$N$9),1)</f>
        <v>1</v>
      </c>
      <c r="AF213" s="42">
        <f>IFERROR(LOOKUP(Q213,打分卡!$F$10:$J$10,打分卡!$K$10:$O$10),1)</f>
        <v>3</v>
      </c>
      <c r="AG213" s="42">
        <f>IFERROR(LOOKUP(R213,打分卡!$F$11:$J$11,打分卡!$K$11:$O$11),1)</f>
        <v>3</v>
      </c>
      <c r="AH213" s="42">
        <f>IFERROR(LOOKUP(U213,打分卡!$F$12:$J$12,打分卡!$K$12:$O$12),1)</f>
        <v>1</v>
      </c>
      <c r="AI213" s="42">
        <f>IFERROR(LOOKUP(X213,打分卡!$F$13:$J$13,打分卡!$K$13:$O$13),1)</f>
        <v>3</v>
      </c>
      <c r="AJ213" s="42">
        <f>IFERROR(LOOKUP(Y213,打分卡!$F$14:$J$14,打分卡!$K$14:$O$14),1)</f>
        <v>4</v>
      </c>
      <c r="AK213" s="42">
        <f>IFERROR(LOOKUP(W213,打分卡!$F$15:$J$15,打分卡!$K$15:$O$15),1)</f>
        <v>2</v>
      </c>
      <c r="AL213" s="45">
        <f t="shared" si="25"/>
        <v>5</v>
      </c>
      <c r="AM213" s="42">
        <f>IFERROR(LOOKUP(Z213,打分卡!$F$17:$H$17,打分卡!$K$17:$M$17),1)</f>
        <v>3</v>
      </c>
      <c r="AN213" s="46">
        <f>(打分卡!$D$7*AC213+打分卡!$D$8*AD213+打分卡!$D$9*AE213)/5</f>
        <v>21.2</v>
      </c>
      <c r="AO213" s="46">
        <f>(打分卡!$D$10*AF213+打分卡!$D$11*AG213)/5</f>
        <v>12</v>
      </c>
      <c r="AP213" s="46">
        <f>(打分卡!$D$12*AH213+打分卡!$D$13*AI213+打分卡!$D$14*AJ213+打分卡!$D$15*AK213)/5</f>
        <v>13.6</v>
      </c>
      <c r="AQ213" s="46">
        <f>(打分卡!$D$16*AL213+打分卡!$D$17*AM213)/5</f>
        <v>8.4</v>
      </c>
      <c r="AR213" s="48">
        <f t="shared" si="26"/>
        <v>55.2</v>
      </c>
      <c r="AS213" s="45" t="str">
        <f t="shared" si="27"/>
        <v>腰部</v>
      </c>
      <c r="AT213" s="45" t="str">
        <f t="shared" si="28"/>
        <v/>
      </c>
      <c r="AU213" s="45" t="str">
        <f t="shared" si="29"/>
        <v>拉·主攻：主推AI外呼+大促作战包</v>
      </c>
    </row>
    <row r="214" ht="15" customHeight="1" spans="1:47">
      <c r="A214" s="30" t="s">
        <v>818</v>
      </c>
      <c r="B214" s="31" t="s">
        <v>819</v>
      </c>
      <c r="C214" s="31" t="s">
        <v>209</v>
      </c>
      <c r="D214" s="31" t="s">
        <v>202</v>
      </c>
      <c r="E214" s="31" t="s">
        <v>181</v>
      </c>
      <c r="F214" s="30" t="s">
        <v>820</v>
      </c>
      <c r="G214" s="31">
        <v>11</v>
      </c>
      <c r="H214" s="31" t="s">
        <v>301</v>
      </c>
      <c r="I214" s="31" t="s">
        <v>184</v>
      </c>
      <c r="J214" s="33">
        <v>71300</v>
      </c>
      <c r="K214" s="33">
        <v>51100</v>
      </c>
      <c r="L214" s="33">
        <v>20100</v>
      </c>
      <c r="M214" s="33">
        <f t="shared" si="24"/>
        <v>142500</v>
      </c>
      <c r="N214" s="34">
        <f t="shared" si="30"/>
        <v>0.000747076179751247</v>
      </c>
      <c r="O214" s="35">
        <f>SUM($M$2:M214)</f>
        <v>152442800</v>
      </c>
      <c r="P214" s="34">
        <f t="shared" si="31"/>
        <v>0.79920269933041</v>
      </c>
      <c r="Q214" s="37">
        <v>22.4</v>
      </c>
      <c r="R214" s="31">
        <v>8</v>
      </c>
      <c r="S214" s="31">
        <v>1</v>
      </c>
      <c r="T214" s="31">
        <v>1</v>
      </c>
      <c r="U214" s="37">
        <v>66.4</v>
      </c>
      <c r="V214" s="31">
        <v>27</v>
      </c>
      <c r="W214" s="31">
        <v>1</v>
      </c>
      <c r="X214" s="38">
        <v>47</v>
      </c>
      <c r="Y214" s="31">
        <v>3</v>
      </c>
      <c r="Z214" s="31">
        <v>0</v>
      </c>
      <c r="AA214" s="31" t="s">
        <v>185</v>
      </c>
      <c r="AB214" s="31" t="s">
        <v>220</v>
      </c>
      <c r="AC214" s="41">
        <f>IFERROR(LOOKUP(M214,打分卡!$F$7:$J$7,打分卡!$K$7:$O$7),1)</f>
        <v>3</v>
      </c>
      <c r="AD214" s="41">
        <f>IFERROR(LOOKUP(S214,打分卡!$F$8:$J$8,打分卡!$K$8:$O$8),1)</f>
        <v>1</v>
      </c>
      <c r="AE214" s="41">
        <f>IFERROR(LOOKUP(T214,打分卡!$F$9:$I$9,打分卡!$K$9:$N$9),1)</f>
        <v>2</v>
      </c>
      <c r="AF214" s="41">
        <f>IFERROR(LOOKUP(Q214,打分卡!$F$10:$J$10,打分卡!$K$10:$O$10),1)</f>
        <v>3</v>
      </c>
      <c r="AG214" s="41">
        <f>IFERROR(LOOKUP(R214,打分卡!$F$11:$J$11,打分卡!$K$11:$O$11),1)</f>
        <v>3</v>
      </c>
      <c r="AH214" s="41">
        <f>IFERROR(LOOKUP(U214,打分卡!$F$12:$J$12,打分卡!$K$12:$O$12),1)</f>
        <v>4</v>
      </c>
      <c r="AI214" s="41">
        <f>IFERROR(LOOKUP(X214,打分卡!$F$13:$J$13,打分卡!$K$13:$O$13),1)</f>
        <v>3</v>
      </c>
      <c r="AJ214" s="41">
        <f>IFERROR(LOOKUP(Y214,打分卡!$F$14:$J$14,打分卡!$K$14:$O$14),1)</f>
        <v>4</v>
      </c>
      <c r="AK214" s="41">
        <f>IFERROR(LOOKUP(W214,打分卡!$F$15:$J$15,打分卡!$K$15:$O$15),1)</f>
        <v>2</v>
      </c>
      <c r="AL214" s="43">
        <f t="shared" si="25"/>
        <v>3</v>
      </c>
      <c r="AM214" s="41">
        <f>IFERROR(LOOKUP(Z214,打分卡!$F$17:$H$17,打分卡!$K$17:$M$17),1)</f>
        <v>1</v>
      </c>
      <c r="AN214" s="44">
        <f>(打分卡!$D$7*AC214+打分卡!$D$8*AD214+打分卡!$D$9*AE214)/5</f>
        <v>19.4</v>
      </c>
      <c r="AO214" s="44">
        <f>(打分卡!$D$10*AF214+打分卡!$D$11*AG214)/5</f>
        <v>12</v>
      </c>
      <c r="AP214" s="44">
        <f>(打分卡!$D$12*AH214+打分卡!$D$13*AI214+打分卡!$D$14*AJ214+打分卡!$D$15*AK214)/5</f>
        <v>20.8</v>
      </c>
      <c r="AQ214" s="44">
        <f>(打分卡!$D$16*AL214+打分卡!$D$17*AM214)/5</f>
        <v>4.4</v>
      </c>
      <c r="AR214" s="47">
        <f t="shared" si="26"/>
        <v>56.6</v>
      </c>
      <c r="AS214" s="43" t="str">
        <f t="shared" si="27"/>
        <v>腰部</v>
      </c>
      <c r="AT214" s="43" t="str">
        <f t="shared" si="28"/>
        <v/>
      </c>
      <c r="AU214" s="43" t="str">
        <f t="shared" si="29"/>
        <v>拉·主攻：主推AI外呼+大促作战包</v>
      </c>
    </row>
    <row r="215" ht="15" customHeight="1" spans="1:47">
      <c r="A215" s="20" t="s">
        <v>821</v>
      </c>
      <c r="B215" s="22" t="s">
        <v>822</v>
      </c>
      <c r="C215" s="22" t="s">
        <v>234</v>
      </c>
      <c r="D215" s="22" t="s">
        <v>202</v>
      </c>
      <c r="E215" s="22" t="s">
        <v>181</v>
      </c>
      <c r="F215" s="20" t="s">
        <v>314</v>
      </c>
      <c r="G215" s="22">
        <v>6</v>
      </c>
      <c r="H215" s="22" t="s">
        <v>301</v>
      </c>
      <c r="I215" s="22" t="s">
        <v>184</v>
      </c>
      <c r="J215" s="36">
        <v>64400</v>
      </c>
      <c r="K215" s="36">
        <v>36500</v>
      </c>
      <c r="L215" s="36">
        <v>41500</v>
      </c>
      <c r="M215" s="36">
        <f t="shared" si="24"/>
        <v>142400</v>
      </c>
      <c r="N215" s="34">
        <f t="shared" si="30"/>
        <v>0.000746551915765457</v>
      </c>
      <c r="O215" s="35">
        <f>SUM($M$2:M215)</f>
        <v>152585200</v>
      </c>
      <c r="P215" s="34">
        <f t="shared" si="31"/>
        <v>0.799949251246175</v>
      </c>
      <c r="Q215" s="39">
        <v>11.5</v>
      </c>
      <c r="R215" s="22">
        <v>3</v>
      </c>
      <c r="S215" s="22">
        <v>2</v>
      </c>
      <c r="T215" s="22">
        <v>2</v>
      </c>
      <c r="U215" s="39">
        <v>2</v>
      </c>
      <c r="V215" s="22">
        <v>23</v>
      </c>
      <c r="W215" s="22">
        <v>3</v>
      </c>
      <c r="X215" s="40">
        <v>57</v>
      </c>
      <c r="Y215" s="22">
        <v>1</v>
      </c>
      <c r="Z215" s="22">
        <v>0</v>
      </c>
      <c r="AA215" s="22" t="s">
        <v>185</v>
      </c>
      <c r="AB215" s="22" t="s">
        <v>220</v>
      </c>
      <c r="AC215" s="42">
        <f>IFERROR(LOOKUP(M215,打分卡!$F$7:$J$7,打分卡!$K$7:$O$7),1)</f>
        <v>3</v>
      </c>
      <c r="AD215" s="42">
        <f>IFERROR(LOOKUP(S215,打分卡!$F$8:$J$8,打分卡!$K$8:$O$8),1)</f>
        <v>2</v>
      </c>
      <c r="AE215" s="42">
        <f>IFERROR(LOOKUP(T215,打分卡!$F$9:$I$9,打分卡!$K$9:$N$9),1)</f>
        <v>3</v>
      </c>
      <c r="AF215" s="42">
        <f>IFERROR(LOOKUP(Q215,打分卡!$F$10:$J$10,打分卡!$K$10:$O$10),1)</f>
        <v>3</v>
      </c>
      <c r="AG215" s="42">
        <f>IFERROR(LOOKUP(R215,打分卡!$F$11:$J$11,打分卡!$K$11:$O$11),1)</f>
        <v>2</v>
      </c>
      <c r="AH215" s="42">
        <f>IFERROR(LOOKUP(U215,打分卡!$F$12:$J$12,打分卡!$K$12:$O$12),1)</f>
        <v>1</v>
      </c>
      <c r="AI215" s="42">
        <f>IFERROR(LOOKUP(X215,打分卡!$F$13:$J$13,打分卡!$K$13:$O$13),1)</f>
        <v>3</v>
      </c>
      <c r="AJ215" s="42">
        <f>IFERROR(LOOKUP(Y215,打分卡!$F$14:$J$14,打分卡!$K$14:$O$14),1)</f>
        <v>2</v>
      </c>
      <c r="AK215" s="42">
        <f>IFERROR(LOOKUP(W215,打分卡!$F$15:$J$15,打分卡!$K$15:$O$15),1)</f>
        <v>3</v>
      </c>
      <c r="AL215" s="45">
        <f t="shared" si="25"/>
        <v>3</v>
      </c>
      <c r="AM215" s="42">
        <f>IFERROR(LOOKUP(Z215,打分卡!$F$17:$H$17,打分卡!$K$17:$M$17),1)</f>
        <v>1</v>
      </c>
      <c r="AN215" s="46">
        <f>(打分卡!$D$7*AC215+打分卡!$D$8*AD215+打分卡!$D$9*AE215)/5</f>
        <v>22.4</v>
      </c>
      <c r="AO215" s="46">
        <f>(打分卡!$D$10*AF215+打分卡!$D$11*AG215)/5</f>
        <v>10</v>
      </c>
      <c r="AP215" s="46">
        <f>(打分卡!$D$12*AH215+打分卡!$D$13*AI215+打分卡!$D$14*AJ215+打分卡!$D$15*AK215)/5</f>
        <v>12</v>
      </c>
      <c r="AQ215" s="46">
        <f>(打分卡!$D$16*AL215+打分卡!$D$17*AM215)/5</f>
        <v>4.4</v>
      </c>
      <c r="AR215" s="48">
        <f t="shared" si="26"/>
        <v>48.8</v>
      </c>
      <c r="AS215" s="45" t="str">
        <f t="shared" si="27"/>
        <v>腰部</v>
      </c>
      <c r="AT215" s="45" t="str">
        <f t="shared" si="28"/>
        <v/>
      </c>
      <c r="AU215" s="45" t="str">
        <f t="shared" si="29"/>
        <v>拉·主攻：主推AI外呼+大促作战包</v>
      </c>
    </row>
    <row r="216" ht="15" customHeight="1" spans="1:47">
      <c r="A216" s="30" t="s">
        <v>823</v>
      </c>
      <c r="B216" s="31" t="s">
        <v>824</v>
      </c>
      <c r="C216" s="31" t="s">
        <v>189</v>
      </c>
      <c r="D216" s="31" t="s">
        <v>227</v>
      </c>
      <c r="E216" s="31" t="s">
        <v>197</v>
      </c>
      <c r="F216" s="30" t="s">
        <v>825</v>
      </c>
      <c r="G216" s="31">
        <v>17</v>
      </c>
      <c r="H216" s="31" t="s">
        <v>183</v>
      </c>
      <c r="I216" s="31" t="s">
        <v>302</v>
      </c>
      <c r="J216" s="33">
        <v>86900</v>
      </c>
      <c r="K216" s="33">
        <v>36900</v>
      </c>
      <c r="L216" s="33">
        <v>18600</v>
      </c>
      <c r="M216" s="33">
        <f t="shared" si="24"/>
        <v>142400</v>
      </c>
      <c r="N216" s="34">
        <f t="shared" si="30"/>
        <v>0.000746551915765457</v>
      </c>
      <c r="O216" s="35">
        <f>SUM($M$2:M216)</f>
        <v>152727600</v>
      </c>
      <c r="P216" s="34">
        <f t="shared" si="31"/>
        <v>0.800695803161941</v>
      </c>
      <c r="Q216" s="37">
        <v>21.8</v>
      </c>
      <c r="R216" s="31">
        <v>5</v>
      </c>
      <c r="S216" s="31">
        <v>3</v>
      </c>
      <c r="T216" s="31">
        <v>0</v>
      </c>
      <c r="U216" s="37">
        <v>31.7</v>
      </c>
      <c r="V216" s="31">
        <v>17</v>
      </c>
      <c r="W216" s="31">
        <v>2</v>
      </c>
      <c r="X216" s="38">
        <v>11</v>
      </c>
      <c r="Y216" s="31">
        <v>3</v>
      </c>
      <c r="Z216" s="31">
        <v>1</v>
      </c>
      <c r="AA216" s="31" t="s">
        <v>199</v>
      </c>
      <c r="AB216" s="31" t="s">
        <v>220</v>
      </c>
      <c r="AC216" s="41">
        <f>IFERROR(LOOKUP(M216,打分卡!$F$7:$J$7,打分卡!$K$7:$O$7),1)</f>
        <v>3</v>
      </c>
      <c r="AD216" s="41">
        <f>IFERROR(LOOKUP(S216,打分卡!$F$8:$J$8,打分卡!$K$8:$O$8),1)</f>
        <v>3</v>
      </c>
      <c r="AE216" s="41">
        <f>IFERROR(LOOKUP(T216,打分卡!$F$9:$I$9,打分卡!$K$9:$N$9),1)</f>
        <v>1</v>
      </c>
      <c r="AF216" s="41">
        <f>IFERROR(LOOKUP(Q216,打分卡!$F$10:$J$10,打分卡!$K$10:$O$10),1)</f>
        <v>3</v>
      </c>
      <c r="AG216" s="41">
        <f>IFERROR(LOOKUP(R216,打分卡!$F$11:$J$11,打分卡!$K$11:$O$11),1)</f>
        <v>3</v>
      </c>
      <c r="AH216" s="41">
        <f>IFERROR(LOOKUP(U216,打分卡!$F$12:$J$12,打分卡!$K$12:$O$12),1)</f>
        <v>3</v>
      </c>
      <c r="AI216" s="41">
        <f>IFERROR(LOOKUP(X216,打分卡!$F$13:$J$13,打分卡!$K$13:$O$13),1)</f>
        <v>1</v>
      </c>
      <c r="AJ216" s="41">
        <f>IFERROR(LOOKUP(Y216,打分卡!$F$14:$J$14,打分卡!$K$14:$O$14),1)</f>
        <v>4</v>
      </c>
      <c r="AK216" s="41">
        <f>IFERROR(LOOKUP(W216,打分卡!$F$15:$J$15,打分卡!$K$15:$O$15),1)</f>
        <v>2</v>
      </c>
      <c r="AL216" s="43">
        <f t="shared" si="25"/>
        <v>5</v>
      </c>
      <c r="AM216" s="41">
        <f>IFERROR(LOOKUP(Z216,打分卡!$F$17:$H$17,打分卡!$K$17:$M$17),1)</f>
        <v>3</v>
      </c>
      <c r="AN216" s="44">
        <f>(打分卡!$D$7*AC216+打分卡!$D$8*AD216+打分卡!$D$9*AE216)/5</f>
        <v>21.2</v>
      </c>
      <c r="AO216" s="44">
        <f>(打分卡!$D$10*AF216+打分卡!$D$11*AG216)/5</f>
        <v>12</v>
      </c>
      <c r="AP216" s="44">
        <f>(打分卡!$D$12*AH216+打分卡!$D$13*AI216+打分卡!$D$14*AJ216+打分卡!$D$15*AK216)/5</f>
        <v>15.2</v>
      </c>
      <c r="AQ216" s="44">
        <f>(打分卡!$D$16*AL216+打分卡!$D$17*AM216)/5</f>
        <v>8.4</v>
      </c>
      <c r="AR216" s="47">
        <f t="shared" si="26"/>
        <v>56.8</v>
      </c>
      <c r="AS216" s="43" t="str">
        <f t="shared" si="27"/>
        <v>腰部</v>
      </c>
      <c r="AT216" s="43" t="str">
        <f t="shared" si="28"/>
        <v/>
      </c>
      <c r="AU216" s="43" t="str">
        <f t="shared" si="29"/>
        <v>拉·主攻：主推AI外呼+大促作战包</v>
      </c>
    </row>
    <row r="217" ht="15" customHeight="1" spans="1:47">
      <c r="A217" s="20" t="s">
        <v>826</v>
      </c>
      <c r="B217" s="22" t="s">
        <v>827</v>
      </c>
      <c r="C217" s="22" t="s">
        <v>189</v>
      </c>
      <c r="D217" s="22" t="s">
        <v>202</v>
      </c>
      <c r="E217" s="22" t="s">
        <v>181</v>
      </c>
      <c r="F217" s="20" t="s">
        <v>828</v>
      </c>
      <c r="G217" s="22">
        <v>4</v>
      </c>
      <c r="H217" s="22" t="s">
        <v>183</v>
      </c>
      <c r="I217" s="22" t="s">
        <v>302</v>
      </c>
      <c r="J217" s="36">
        <v>65600</v>
      </c>
      <c r="K217" s="36">
        <v>48600</v>
      </c>
      <c r="L217" s="36">
        <v>27600</v>
      </c>
      <c r="M217" s="36">
        <f t="shared" si="24"/>
        <v>141800</v>
      </c>
      <c r="N217" s="34">
        <f t="shared" si="30"/>
        <v>0.000743406331850715</v>
      </c>
      <c r="O217" s="35">
        <f>SUM($M$2:M217)</f>
        <v>152869400</v>
      </c>
      <c r="P217" s="34">
        <f t="shared" si="31"/>
        <v>0.801439209493792</v>
      </c>
      <c r="Q217" s="39">
        <v>19.8</v>
      </c>
      <c r="R217" s="22">
        <v>6</v>
      </c>
      <c r="S217" s="22">
        <v>3</v>
      </c>
      <c r="T217" s="22">
        <v>1</v>
      </c>
      <c r="U217" s="39">
        <v>25.1</v>
      </c>
      <c r="V217" s="22">
        <v>19</v>
      </c>
      <c r="W217" s="22">
        <v>4</v>
      </c>
      <c r="X217" s="40">
        <v>30</v>
      </c>
      <c r="Y217" s="22">
        <v>3</v>
      </c>
      <c r="Z217" s="22">
        <v>1</v>
      </c>
      <c r="AA217" s="22" t="s">
        <v>185</v>
      </c>
      <c r="AB217" s="22" t="s">
        <v>220</v>
      </c>
      <c r="AC217" s="42">
        <f>IFERROR(LOOKUP(M217,打分卡!$F$7:$J$7,打分卡!$K$7:$O$7),1)</f>
        <v>3</v>
      </c>
      <c r="AD217" s="42">
        <f>IFERROR(LOOKUP(S217,打分卡!$F$8:$J$8,打分卡!$K$8:$O$8),1)</f>
        <v>3</v>
      </c>
      <c r="AE217" s="42">
        <f>IFERROR(LOOKUP(T217,打分卡!$F$9:$I$9,打分卡!$K$9:$N$9),1)</f>
        <v>2</v>
      </c>
      <c r="AF217" s="42">
        <f>IFERROR(LOOKUP(Q217,打分卡!$F$10:$J$10,打分卡!$K$10:$O$10),1)</f>
        <v>3</v>
      </c>
      <c r="AG217" s="42">
        <f>IFERROR(LOOKUP(R217,打分卡!$F$11:$J$11,打分卡!$K$11:$O$11),1)</f>
        <v>3</v>
      </c>
      <c r="AH217" s="42">
        <f>IFERROR(LOOKUP(U217,打分卡!$F$12:$J$12,打分卡!$K$12:$O$12),1)</f>
        <v>3</v>
      </c>
      <c r="AI217" s="42">
        <f>IFERROR(LOOKUP(X217,打分卡!$F$13:$J$13,打分卡!$K$13:$O$13),1)</f>
        <v>2</v>
      </c>
      <c r="AJ217" s="42">
        <f>IFERROR(LOOKUP(Y217,打分卡!$F$14:$J$14,打分卡!$K$14:$O$14),1)</f>
        <v>4</v>
      </c>
      <c r="AK217" s="42">
        <f>IFERROR(LOOKUP(W217,打分卡!$F$15:$J$15,打分卡!$K$15:$O$15),1)</f>
        <v>3</v>
      </c>
      <c r="AL217" s="45">
        <f t="shared" si="25"/>
        <v>3</v>
      </c>
      <c r="AM217" s="42">
        <f>IFERROR(LOOKUP(Z217,打分卡!$F$17:$H$17,打分卡!$K$17:$M$17),1)</f>
        <v>3</v>
      </c>
      <c r="AN217" s="46">
        <f>(打分卡!$D$7*AC217+打分卡!$D$8*AD217+打分卡!$D$9*AE217)/5</f>
        <v>22.6</v>
      </c>
      <c r="AO217" s="46">
        <f>(打分卡!$D$10*AF217+打分卡!$D$11*AG217)/5</f>
        <v>12</v>
      </c>
      <c r="AP217" s="46">
        <f>(打分卡!$D$12*AH217+打分卡!$D$13*AI217+打分卡!$D$14*AJ217+打分卡!$D$15*AK217)/5</f>
        <v>17.6</v>
      </c>
      <c r="AQ217" s="46">
        <f>(打分卡!$D$16*AL217+打分卡!$D$17*AM217)/5</f>
        <v>6</v>
      </c>
      <c r="AR217" s="48">
        <f t="shared" si="26"/>
        <v>58.2</v>
      </c>
      <c r="AS217" s="45" t="str">
        <f t="shared" si="27"/>
        <v>腰部</v>
      </c>
      <c r="AT217" s="45" t="str">
        <f t="shared" si="28"/>
        <v/>
      </c>
      <c r="AU217" s="45" t="str">
        <f t="shared" si="29"/>
        <v>拉·主攻：主推AI外呼+大促作战包</v>
      </c>
    </row>
    <row r="218" ht="15" customHeight="1" spans="1:47">
      <c r="A218" s="30" t="s">
        <v>829</v>
      </c>
      <c r="B218" s="31" t="s">
        <v>830</v>
      </c>
      <c r="C218" s="31" t="s">
        <v>234</v>
      </c>
      <c r="D218" s="31" t="s">
        <v>190</v>
      </c>
      <c r="E218" s="31" t="s">
        <v>181</v>
      </c>
      <c r="F218" s="30" t="s">
        <v>831</v>
      </c>
      <c r="G218" s="31">
        <v>17</v>
      </c>
      <c r="H218" s="31" t="s">
        <v>301</v>
      </c>
      <c r="I218" s="31" t="s">
        <v>184</v>
      </c>
      <c r="J218" s="33">
        <v>78600</v>
      </c>
      <c r="K218" s="33">
        <v>49000</v>
      </c>
      <c r="L218" s="33">
        <v>13600</v>
      </c>
      <c r="M218" s="33">
        <f t="shared" si="24"/>
        <v>141200</v>
      </c>
      <c r="N218" s="34">
        <f t="shared" si="30"/>
        <v>0.000740260747935973</v>
      </c>
      <c r="O218" s="35">
        <f>SUM($M$2:M218)</f>
        <v>153010600</v>
      </c>
      <c r="P218" s="34">
        <f t="shared" si="31"/>
        <v>0.802179470241728</v>
      </c>
      <c r="Q218" s="37">
        <v>14.7</v>
      </c>
      <c r="R218" s="31">
        <v>6</v>
      </c>
      <c r="S218" s="31">
        <v>3</v>
      </c>
      <c r="T218" s="31">
        <v>2</v>
      </c>
      <c r="U218" s="37">
        <v>9</v>
      </c>
      <c r="V218" s="31">
        <v>12</v>
      </c>
      <c r="W218" s="31">
        <v>2</v>
      </c>
      <c r="X218" s="38">
        <v>11</v>
      </c>
      <c r="Y218" s="31">
        <v>2</v>
      </c>
      <c r="Z218" s="31">
        <v>0</v>
      </c>
      <c r="AA218" s="31" t="s">
        <v>185</v>
      </c>
      <c r="AB218" s="31" t="s">
        <v>220</v>
      </c>
      <c r="AC218" s="41">
        <f>IFERROR(LOOKUP(M218,打分卡!$F$7:$J$7,打分卡!$K$7:$O$7),1)</f>
        <v>3</v>
      </c>
      <c r="AD218" s="41">
        <f>IFERROR(LOOKUP(S218,打分卡!$F$8:$J$8,打分卡!$K$8:$O$8),1)</f>
        <v>3</v>
      </c>
      <c r="AE218" s="41">
        <f>IFERROR(LOOKUP(T218,打分卡!$F$9:$I$9,打分卡!$K$9:$N$9),1)</f>
        <v>3</v>
      </c>
      <c r="AF218" s="41">
        <f>IFERROR(LOOKUP(Q218,打分卡!$F$10:$J$10,打分卡!$K$10:$O$10),1)</f>
        <v>3</v>
      </c>
      <c r="AG218" s="41">
        <f>IFERROR(LOOKUP(R218,打分卡!$F$11:$J$11,打分卡!$K$11:$O$11),1)</f>
        <v>3</v>
      </c>
      <c r="AH218" s="41">
        <f>IFERROR(LOOKUP(U218,打分卡!$F$12:$J$12,打分卡!$K$12:$O$12),1)</f>
        <v>2</v>
      </c>
      <c r="AI218" s="41">
        <f>IFERROR(LOOKUP(X218,打分卡!$F$13:$J$13,打分卡!$K$13:$O$13),1)</f>
        <v>1</v>
      </c>
      <c r="AJ218" s="41">
        <f>IFERROR(LOOKUP(Y218,打分卡!$F$14:$J$14,打分卡!$K$14:$O$14),1)</f>
        <v>3</v>
      </c>
      <c r="AK218" s="41">
        <f>IFERROR(LOOKUP(W218,打分卡!$F$15:$J$15,打分卡!$K$15:$O$15),1)</f>
        <v>2</v>
      </c>
      <c r="AL218" s="43">
        <f t="shared" si="25"/>
        <v>3</v>
      </c>
      <c r="AM218" s="41">
        <f>IFERROR(LOOKUP(Z218,打分卡!$F$17:$H$17,打分卡!$K$17:$M$17),1)</f>
        <v>1</v>
      </c>
      <c r="AN218" s="44">
        <f>(打分卡!$D$7*AC218+打分卡!$D$8*AD218+打分卡!$D$9*AE218)/5</f>
        <v>24</v>
      </c>
      <c r="AO218" s="44">
        <f>(打分卡!$D$10*AF218+打分卡!$D$11*AG218)/5</f>
        <v>12</v>
      </c>
      <c r="AP218" s="44">
        <f>(打分卡!$D$12*AH218+打分卡!$D$13*AI218+打分卡!$D$14*AJ218+打分卡!$D$15*AK218)/5</f>
        <v>11.6</v>
      </c>
      <c r="AQ218" s="44">
        <f>(打分卡!$D$16*AL218+打分卡!$D$17*AM218)/5</f>
        <v>4.4</v>
      </c>
      <c r="AR218" s="47">
        <f t="shared" si="26"/>
        <v>52</v>
      </c>
      <c r="AS218" s="43" t="str">
        <f t="shared" si="27"/>
        <v>腰部</v>
      </c>
      <c r="AT218" s="43" t="str">
        <f t="shared" si="28"/>
        <v/>
      </c>
      <c r="AU218" s="43" t="str">
        <f t="shared" si="29"/>
        <v>拉·主攻：主推AI外呼+大促作战包</v>
      </c>
    </row>
    <row r="219" ht="15" customHeight="1" spans="1:47">
      <c r="A219" s="20" t="s">
        <v>832</v>
      </c>
      <c r="B219" s="22" t="s">
        <v>833</v>
      </c>
      <c r="C219" s="22" t="s">
        <v>223</v>
      </c>
      <c r="D219" s="22" t="s">
        <v>180</v>
      </c>
      <c r="E219" s="22" t="s">
        <v>181</v>
      </c>
      <c r="F219" s="20" t="s">
        <v>834</v>
      </c>
      <c r="G219" s="22">
        <v>24</v>
      </c>
      <c r="H219" s="22" t="s">
        <v>301</v>
      </c>
      <c r="I219" s="22" t="s">
        <v>302</v>
      </c>
      <c r="J219" s="36">
        <v>77400</v>
      </c>
      <c r="K219" s="36">
        <v>30500</v>
      </c>
      <c r="L219" s="36">
        <v>33200</v>
      </c>
      <c r="M219" s="36">
        <f t="shared" si="24"/>
        <v>141100</v>
      </c>
      <c r="N219" s="34">
        <f t="shared" si="30"/>
        <v>0.000739736483950182</v>
      </c>
      <c r="O219" s="35">
        <f>SUM($M$2:M219)</f>
        <v>153151700</v>
      </c>
      <c r="P219" s="34">
        <f t="shared" si="31"/>
        <v>0.802919206725678</v>
      </c>
      <c r="Q219" s="39">
        <v>9.5</v>
      </c>
      <c r="R219" s="22">
        <v>10</v>
      </c>
      <c r="S219" s="22">
        <v>1</v>
      </c>
      <c r="T219" s="22">
        <v>2</v>
      </c>
      <c r="U219" s="39">
        <v>1.7</v>
      </c>
      <c r="V219" s="22">
        <v>27</v>
      </c>
      <c r="W219" s="22">
        <v>3</v>
      </c>
      <c r="X219" s="40">
        <v>37</v>
      </c>
      <c r="Y219" s="22">
        <v>1</v>
      </c>
      <c r="Z219" s="22">
        <v>1</v>
      </c>
      <c r="AA219" s="22" t="s">
        <v>199</v>
      </c>
      <c r="AB219" s="22" t="s">
        <v>220</v>
      </c>
      <c r="AC219" s="42">
        <f>IFERROR(LOOKUP(M219,打分卡!$F$7:$J$7,打分卡!$K$7:$O$7),1)</f>
        <v>3</v>
      </c>
      <c r="AD219" s="42">
        <f>IFERROR(LOOKUP(S219,打分卡!$F$8:$J$8,打分卡!$K$8:$O$8),1)</f>
        <v>1</v>
      </c>
      <c r="AE219" s="42">
        <f>IFERROR(LOOKUP(T219,打分卡!$F$9:$I$9,打分卡!$K$9:$N$9),1)</f>
        <v>3</v>
      </c>
      <c r="AF219" s="42">
        <f>IFERROR(LOOKUP(Q219,打分卡!$F$10:$J$10,打分卡!$K$10:$O$10),1)</f>
        <v>2</v>
      </c>
      <c r="AG219" s="42">
        <f>IFERROR(LOOKUP(R219,打分卡!$F$11:$J$11,打分卡!$K$11:$O$11),1)</f>
        <v>4</v>
      </c>
      <c r="AH219" s="42">
        <f>IFERROR(LOOKUP(U219,打分卡!$F$12:$J$12,打分卡!$K$12:$O$12),1)</f>
        <v>1</v>
      </c>
      <c r="AI219" s="42">
        <f>IFERROR(LOOKUP(X219,打分卡!$F$13:$J$13,打分卡!$K$13:$O$13),1)</f>
        <v>2</v>
      </c>
      <c r="AJ219" s="42">
        <f>IFERROR(LOOKUP(Y219,打分卡!$F$14:$J$14,打分卡!$K$14:$O$14),1)</f>
        <v>2</v>
      </c>
      <c r="AK219" s="42">
        <f>IFERROR(LOOKUP(W219,打分卡!$F$15:$J$15,打分卡!$K$15:$O$15),1)</f>
        <v>3</v>
      </c>
      <c r="AL219" s="45">
        <f t="shared" si="25"/>
        <v>5</v>
      </c>
      <c r="AM219" s="42">
        <f>IFERROR(LOOKUP(Z219,打分卡!$F$17:$H$17,打分卡!$K$17:$M$17),1)</f>
        <v>3</v>
      </c>
      <c r="AN219" s="46">
        <f>(打分卡!$D$7*AC219+打分卡!$D$8*AD219+打分卡!$D$9*AE219)/5</f>
        <v>20.8</v>
      </c>
      <c r="AO219" s="46">
        <f>(打分卡!$D$10*AF219+打分卡!$D$11*AG219)/5</f>
        <v>12</v>
      </c>
      <c r="AP219" s="46">
        <f>(打分卡!$D$12*AH219+打分卡!$D$13*AI219+打分卡!$D$14*AJ219+打分卡!$D$15*AK219)/5</f>
        <v>10.4</v>
      </c>
      <c r="AQ219" s="46">
        <f>(打分卡!$D$16*AL219+打分卡!$D$17*AM219)/5</f>
        <v>8.4</v>
      </c>
      <c r="AR219" s="48">
        <f t="shared" si="26"/>
        <v>51.6</v>
      </c>
      <c r="AS219" s="45" t="str">
        <f t="shared" si="27"/>
        <v>腰部</v>
      </c>
      <c r="AT219" s="45" t="str">
        <f t="shared" si="28"/>
        <v/>
      </c>
      <c r="AU219" s="45" t="str">
        <f t="shared" si="29"/>
        <v>拉·主攻：主推AI外呼+大促作战包</v>
      </c>
    </row>
    <row r="220" ht="15" customHeight="1" spans="1:47">
      <c r="A220" s="30" t="s">
        <v>835</v>
      </c>
      <c r="B220" s="31" t="s">
        <v>836</v>
      </c>
      <c r="C220" s="31" t="s">
        <v>239</v>
      </c>
      <c r="D220" s="31" t="s">
        <v>196</v>
      </c>
      <c r="E220" s="31" t="s">
        <v>181</v>
      </c>
      <c r="F220" s="30" t="s">
        <v>837</v>
      </c>
      <c r="G220" s="31">
        <v>3</v>
      </c>
      <c r="H220" s="31" t="s">
        <v>301</v>
      </c>
      <c r="I220" s="31" t="s">
        <v>184</v>
      </c>
      <c r="J220" s="33">
        <v>71300</v>
      </c>
      <c r="K220" s="33">
        <v>46400</v>
      </c>
      <c r="L220" s="33">
        <v>22800</v>
      </c>
      <c r="M220" s="33">
        <f t="shared" si="24"/>
        <v>140500</v>
      </c>
      <c r="N220" s="34">
        <f t="shared" si="30"/>
        <v>0.00073659090003544</v>
      </c>
      <c r="O220" s="35">
        <f>SUM($M$2:M220)</f>
        <v>153292200</v>
      </c>
      <c r="P220" s="34">
        <f t="shared" si="31"/>
        <v>0.803655797625713</v>
      </c>
      <c r="Q220" s="37">
        <v>18.4</v>
      </c>
      <c r="R220" s="31">
        <v>6</v>
      </c>
      <c r="S220" s="31">
        <v>2</v>
      </c>
      <c r="T220" s="31">
        <v>2</v>
      </c>
      <c r="U220" s="37">
        <v>11</v>
      </c>
      <c r="V220" s="31">
        <v>15</v>
      </c>
      <c r="W220" s="31">
        <v>2</v>
      </c>
      <c r="X220" s="38">
        <v>12</v>
      </c>
      <c r="Y220" s="31">
        <v>1</v>
      </c>
      <c r="Z220" s="31">
        <v>1</v>
      </c>
      <c r="AA220" s="31" t="s">
        <v>185</v>
      </c>
      <c r="AB220" s="31" t="s">
        <v>220</v>
      </c>
      <c r="AC220" s="41">
        <f>IFERROR(LOOKUP(M220,打分卡!$F$7:$J$7,打分卡!$K$7:$O$7),1)</f>
        <v>3</v>
      </c>
      <c r="AD220" s="41">
        <f>IFERROR(LOOKUP(S220,打分卡!$F$8:$J$8,打分卡!$K$8:$O$8),1)</f>
        <v>2</v>
      </c>
      <c r="AE220" s="41">
        <f>IFERROR(LOOKUP(T220,打分卡!$F$9:$I$9,打分卡!$K$9:$N$9),1)</f>
        <v>3</v>
      </c>
      <c r="AF220" s="41">
        <f>IFERROR(LOOKUP(Q220,打分卡!$F$10:$J$10,打分卡!$K$10:$O$10),1)</f>
        <v>3</v>
      </c>
      <c r="AG220" s="41">
        <f>IFERROR(LOOKUP(R220,打分卡!$F$11:$J$11,打分卡!$K$11:$O$11),1)</f>
        <v>3</v>
      </c>
      <c r="AH220" s="41">
        <f>IFERROR(LOOKUP(U220,打分卡!$F$12:$J$12,打分卡!$K$12:$O$12),1)</f>
        <v>3</v>
      </c>
      <c r="AI220" s="41">
        <f>IFERROR(LOOKUP(X220,打分卡!$F$13:$J$13,打分卡!$K$13:$O$13),1)</f>
        <v>1</v>
      </c>
      <c r="AJ220" s="41">
        <f>IFERROR(LOOKUP(Y220,打分卡!$F$14:$J$14,打分卡!$K$14:$O$14),1)</f>
        <v>2</v>
      </c>
      <c r="AK220" s="41">
        <f>IFERROR(LOOKUP(W220,打分卡!$F$15:$J$15,打分卡!$K$15:$O$15),1)</f>
        <v>2</v>
      </c>
      <c r="AL220" s="43">
        <f t="shared" si="25"/>
        <v>3</v>
      </c>
      <c r="AM220" s="41">
        <f>IFERROR(LOOKUP(Z220,打分卡!$F$17:$H$17,打分卡!$K$17:$M$17),1)</f>
        <v>3</v>
      </c>
      <c r="AN220" s="44">
        <f>(打分卡!$D$7*AC220+打分卡!$D$8*AD220+打分卡!$D$9*AE220)/5</f>
        <v>22.4</v>
      </c>
      <c r="AO220" s="44">
        <f>(打分卡!$D$10*AF220+打分卡!$D$11*AG220)/5</f>
        <v>12</v>
      </c>
      <c r="AP220" s="44">
        <f>(打分卡!$D$12*AH220+打分卡!$D$13*AI220+打分卡!$D$14*AJ220+打分卡!$D$15*AK220)/5</f>
        <v>12.8</v>
      </c>
      <c r="AQ220" s="44">
        <f>(打分卡!$D$16*AL220+打分卡!$D$17*AM220)/5</f>
        <v>6</v>
      </c>
      <c r="AR220" s="47">
        <f t="shared" si="26"/>
        <v>53.2</v>
      </c>
      <c r="AS220" s="43" t="str">
        <f t="shared" si="27"/>
        <v>腰部</v>
      </c>
      <c r="AT220" s="43" t="str">
        <f t="shared" si="28"/>
        <v/>
      </c>
      <c r="AU220" s="43" t="str">
        <f t="shared" si="29"/>
        <v>拉·主攻：主推AI外呼+大促作战包</v>
      </c>
    </row>
    <row r="221" ht="15" customHeight="1" spans="1:47">
      <c r="A221" s="20" t="s">
        <v>838</v>
      </c>
      <c r="B221" s="22" t="s">
        <v>839</v>
      </c>
      <c r="C221" s="22" t="s">
        <v>189</v>
      </c>
      <c r="D221" s="22" t="s">
        <v>227</v>
      </c>
      <c r="E221" s="22" t="s">
        <v>197</v>
      </c>
      <c r="F221" s="20" t="s">
        <v>840</v>
      </c>
      <c r="G221" s="22">
        <v>24</v>
      </c>
      <c r="H221" s="22" t="s">
        <v>301</v>
      </c>
      <c r="I221" s="22" t="s">
        <v>184</v>
      </c>
      <c r="J221" s="36">
        <v>68500</v>
      </c>
      <c r="K221" s="36">
        <v>30200</v>
      </c>
      <c r="L221" s="36">
        <v>41600</v>
      </c>
      <c r="M221" s="36">
        <f t="shared" si="24"/>
        <v>140300</v>
      </c>
      <c r="N221" s="34">
        <f t="shared" si="30"/>
        <v>0.00073554237206386</v>
      </c>
      <c r="O221" s="35">
        <f>SUM($M$2:M221)</f>
        <v>153432500</v>
      </c>
      <c r="P221" s="34">
        <f t="shared" si="31"/>
        <v>0.804391339997777</v>
      </c>
      <c r="Q221" s="39">
        <v>11</v>
      </c>
      <c r="R221" s="22">
        <v>8</v>
      </c>
      <c r="S221" s="22">
        <v>2</v>
      </c>
      <c r="T221" s="22">
        <v>2</v>
      </c>
      <c r="U221" s="39">
        <v>2.5</v>
      </c>
      <c r="V221" s="22">
        <v>8</v>
      </c>
      <c r="W221" s="22">
        <v>2</v>
      </c>
      <c r="X221" s="40">
        <v>19</v>
      </c>
      <c r="Y221" s="22">
        <v>1</v>
      </c>
      <c r="Z221" s="22">
        <v>1</v>
      </c>
      <c r="AA221" s="22" t="s">
        <v>199</v>
      </c>
      <c r="AB221" s="22" t="s">
        <v>220</v>
      </c>
      <c r="AC221" s="42">
        <f>IFERROR(LOOKUP(M221,打分卡!$F$7:$J$7,打分卡!$K$7:$O$7),1)</f>
        <v>3</v>
      </c>
      <c r="AD221" s="42">
        <f>IFERROR(LOOKUP(S221,打分卡!$F$8:$J$8,打分卡!$K$8:$O$8),1)</f>
        <v>2</v>
      </c>
      <c r="AE221" s="42">
        <f>IFERROR(LOOKUP(T221,打分卡!$F$9:$I$9,打分卡!$K$9:$N$9),1)</f>
        <v>3</v>
      </c>
      <c r="AF221" s="42">
        <f>IFERROR(LOOKUP(Q221,打分卡!$F$10:$J$10,打分卡!$K$10:$O$10),1)</f>
        <v>3</v>
      </c>
      <c r="AG221" s="42">
        <f>IFERROR(LOOKUP(R221,打分卡!$F$11:$J$11,打分卡!$K$11:$O$11),1)</f>
        <v>3</v>
      </c>
      <c r="AH221" s="42">
        <f>IFERROR(LOOKUP(U221,打分卡!$F$12:$J$12,打分卡!$K$12:$O$12),1)</f>
        <v>1</v>
      </c>
      <c r="AI221" s="42">
        <f>IFERROR(LOOKUP(X221,打分卡!$F$13:$J$13,打分卡!$K$13:$O$13),1)</f>
        <v>2</v>
      </c>
      <c r="AJ221" s="42">
        <f>IFERROR(LOOKUP(Y221,打分卡!$F$14:$J$14,打分卡!$K$14:$O$14),1)</f>
        <v>2</v>
      </c>
      <c r="AK221" s="42">
        <f>IFERROR(LOOKUP(W221,打分卡!$F$15:$J$15,打分卡!$K$15:$O$15),1)</f>
        <v>2</v>
      </c>
      <c r="AL221" s="45">
        <f t="shared" si="25"/>
        <v>5</v>
      </c>
      <c r="AM221" s="42">
        <f>IFERROR(LOOKUP(Z221,打分卡!$F$17:$H$17,打分卡!$K$17:$M$17),1)</f>
        <v>3</v>
      </c>
      <c r="AN221" s="46">
        <f>(打分卡!$D$7*AC221+打分卡!$D$8*AD221+打分卡!$D$9*AE221)/5</f>
        <v>22.4</v>
      </c>
      <c r="AO221" s="46">
        <f>(打分卡!$D$10*AF221+打分卡!$D$11*AG221)/5</f>
        <v>12</v>
      </c>
      <c r="AP221" s="46">
        <f>(打分卡!$D$12*AH221+打分卡!$D$13*AI221+打分卡!$D$14*AJ221+打分卡!$D$15*AK221)/5</f>
        <v>9.6</v>
      </c>
      <c r="AQ221" s="46">
        <f>(打分卡!$D$16*AL221+打分卡!$D$17*AM221)/5</f>
        <v>8.4</v>
      </c>
      <c r="AR221" s="48">
        <f t="shared" si="26"/>
        <v>52.4</v>
      </c>
      <c r="AS221" s="45" t="str">
        <f t="shared" si="27"/>
        <v>腰部</v>
      </c>
      <c r="AT221" s="45" t="str">
        <f t="shared" si="28"/>
        <v/>
      </c>
      <c r="AU221" s="45" t="str">
        <f t="shared" si="29"/>
        <v>拉·主攻：主推AI外呼+大促作战包</v>
      </c>
    </row>
    <row r="222" ht="15" customHeight="1" spans="1:47">
      <c r="A222" s="30" t="s">
        <v>841</v>
      </c>
      <c r="B222" s="31" t="s">
        <v>842</v>
      </c>
      <c r="C222" s="31" t="s">
        <v>209</v>
      </c>
      <c r="D222" s="31" t="s">
        <v>196</v>
      </c>
      <c r="E222" s="31" t="s">
        <v>181</v>
      </c>
      <c r="F222" s="30" t="s">
        <v>843</v>
      </c>
      <c r="G222" s="31">
        <v>20</v>
      </c>
      <c r="H222" s="31" t="s">
        <v>183</v>
      </c>
      <c r="I222" s="31" t="s">
        <v>302</v>
      </c>
      <c r="J222" s="33">
        <v>89400</v>
      </c>
      <c r="K222" s="33">
        <v>30600</v>
      </c>
      <c r="L222" s="33">
        <v>19900</v>
      </c>
      <c r="M222" s="33">
        <f t="shared" si="24"/>
        <v>139900</v>
      </c>
      <c r="N222" s="34">
        <f t="shared" si="30"/>
        <v>0.000733445316120698</v>
      </c>
      <c r="O222" s="35">
        <f>SUM($M$2:M222)</f>
        <v>153572400</v>
      </c>
      <c r="P222" s="34">
        <f t="shared" si="31"/>
        <v>0.805124785313898</v>
      </c>
      <c r="Q222" s="37">
        <v>16.3</v>
      </c>
      <c r="R222" s="31">
        <v>7</v>
      </c>
      <c r="S222" s="31">
        <v>2</v>
      </c>
      <c r="T222" s="31">
        <v>2</v>
      </c>
      <c r="U222" s="37">
        <v>71</v>
      </c>
      <c r="V222" s="31">
        <v>19</v>
      </c>
      <c r="W222" s="31">
        <v>3</v>
      </c>
      <c r="X222" s="38">
        <v>17</v>
      </c>
      <c r="Y222" s="31">
        <v>3</v>
      </c>
      <c r="Z222" s="31">
        <v>1</v>
      </c>
      <c r="AA222" s="31" t="s">
        <v>185</v>
      </c>
      <c r="AB222" s="31" t="s">
        <v>220</v>
      </c>
      <c r="AC222" s="41">
        <f>IFERROR(LOOKUP(M222,打分卡!$F$7:$J$7,打分卡!$K$7:$O$7),1)</f>
        <v>3</v>
      </c>
      <c r="AD222" s="41">
        <f>IFERROR(LOOKUP(S222,打分卡!$F$8:$J$8,打分卡!$K$8:$O$8),1)</f>
        <v>2</v>
      </c>
      <c r="AE222" s="41">
        <f>IFERROR(LOOKUP(T222,打分卡!$F$9:$I$9,打分卡!$K$9:$N$9),1)</f>
        <v>3</v>
      </c>
      <c r="AF222" s="41">
        <f>IFERROR(LOOKUP(Q222,打分卡!$F$10:$J$10,打分卡!$K$10:$O$10),1)</f>
        <v>3</v>
      </c>
      <c r="AG222" s="41">
        <f>IFERROR(LOOKUP(R222,打分卡!$F$11:$J$11,打分卡!$K$11:$O$11),1)</f>
        <v>3</v>
      </c>
      <c r="AH222" s="41">
        <f>IFERROR(LOOKUP(U222,打分卡!$F$12:$J$12,打分卡!$K$12:$O$12),1)</f>
        <v>5</v>
      </c>
      <c r="AI222" s="41">
        <f>IFERROR(LOOKUP(X222,打分卡!$F$13:$J$13,打分卡!$K$13:$O$13),1)</f>
        <v>1</v>
      </c>
      <c r="AJ222" s="41">
        <f>IFERROR(LOOKUP(Y222,打分卡!$F$14:$J$14,打分卡!$K$14:$O$14),1)</f>
        <v>4</v>
      </c>
      <c r="AK222" s="41">
        <f>IFERROR(LOOKUP(W222,打分卡!$F$15:$J$15,打分卡!$K$15:$O$15),1)</f>
        <v>3</v>
      </c>
      <c r="AL222" s="43">
        <f t="shared" si="25"/>
        <v>3</v>
      </c>
      <c r="AM222" s="41">
        <f>IFERROR(LOOKUP(Z222,打分卡!$F$17:$H$17,打分卡!$K$17:$M$17),1)</f>
        <v>3</v>
      </c>
      <c r="AN222" s="44">
        <f>(打分卡!$D$7*AC222+打分卡!$D$8*AD222+打分卡!$D$9*AE222)/5</f>
        <v>22.4</v>
      </c>
      <c r="AO222" s="44">
        <f>(打分卡!$D$10*AF222+打分卡!$D$11*AG222)/5</f>
        <v>12</v>
      </c>
      <c r="AP222" s="44">
        <f>(打分卡!$D$12*AH222+打分卡!$D$13*AI222+打分卡!$D$14*AJ222+打分卡!$D$15*AK222)/5</f>
        <v>20.8</v>
      </c>
      <c r="AQ222" s="44">
        <f>(打分卡!$D$16*AL222+打分卡!$D$17*AM222)/5</f>
        <v>6</v>
      </c>
      <c r="AR222" s="47">
        <f t="shared" si="26"/>
        <v>61.2</v>
      </c>
      <c r="AS222" s="43" t="str">
        <f t="shared" si="27"/>
        <v>腰部</v>
      </c>
      <c r="AT222" s="43" t="str">
        <f t="shared" si="28"/>
        <v/>
      </c>
      <c r="AU222" s="43" t="str">
        <f t="shared" si="29"/>
        <v>拉·主攻：主推AI外呼+大促作战包</v>
      </c>
    </row>
    <row r="223" ht="15" customHeight="1" spans="1:47">
      <c r="A223" s="20" t="s">
        <v>844</v>
      </c>
      <c r="B223" s="22" t="s">
        <v>845</v>
      </c>
      <c r="C223" s="22" t="s">
        <v>195</v>
      </c>
      <c r="D223" s="22" t="s">
        <v>190</v>
      </c>
      <c r="E223" s="22" t="s">
        <v>181</v>
      </c>
      <c r="F223" s="20" t="s">
        <v>846</v>
      </c>
      <c r="G223" s="22">
        <v>21</v>
      </c>
      <c r="H223" s="22" t="s">
        <v>301</v>
      </c>
      <c r="I223" s="22" t="s">
        <v>302</v>
      </c>
      <c r="J223" s="36">
        <v>74500</v>
      </c>
      <c r="K223" s="36">
        <v>55800</v>
      </c>
      <c r="L223" s="36">
        <v>9400</v>
      </c>
      <c r="M223" s="36">
        <f t="shared" si="24"/>
        <v>139700</v>
      </c>
      <c r="N223" s="34">
        <f t="shared" si="30"/>
        <v>0.000732396788149117</v>
      </c>
      <c r="O223" s="35">
        <f>SUM($M$2:M223)</f>
        <v>153712100</v>
      </c>
      <c r="P223" s="34">
        <f t="shared" si="31"/>
        <v>0.805857182102047</v>
      </c>
      <c r="Q223" s="39">
        <v>21.7</v>
      </c>
      <c r="R223" s="22">
        <v>5</v>
      </c>
      <c r="S223" s="22">
        <v>3</v>
      </c>
      <c r="T223" s="22">
        <v>1</v>
      </c>
      <c r="U223" s="39">
        <v>3.7</v>
      </c>
      <c r="V223" s="22">
        <v>29</v>
      </c>
      <c r="W223" s="22">
        <v>3</v>
      </c>
      <c r="X223" s="40">
        <v>70</v>
      </c>
      <c r="Y223" s="22">
        <v>0</v>
      </c>
      <c r="Z223" s="22">
        <v>0</v>
      </c>
      <c r="AA223" s="22" t="s">
        <v>199</v>
      </c>
      <c r="AB223" s="22" t="s">
        <v>220</v>
      </c>
      <c r="AC223" s="42">
        <f>IFERROR(LOOKUP(M223,打分卡!$F$7:$J$7,打分卡!$K$7:$O$7),1)</f>
        <v>3</v>
      </c>
      <c r="AD223" s="42">
        <f>IFERROR(LOOKUP(S223,打分卡!$F$8:$J$8,打分卡!$K$8:$O$8),1)</f>
        <v>3</v>
      </c>
      <c r="AE223" s="42">
        <f>IFERROR(LOOKUP(T223,打分卡!$F$9:$I$9,打分卡!$K$9:$N$9),1)</f>
        <v>2</v>
      </c>
      <c r="AF223" s="42">
        <f>IFERROR(LOOKUP(Q223,打分卡!$F$10:$J$10,打分卡!$K$10:$O$10),1)</f>
        <v>3</v>
      </c>
      <c r="AG223" s="42">
        <f>IFERROR(LOOKUP(R223,打分卡!$F$11:$J$11,打分卡!$K$11:$O$11),1)</f>
        <v>3</v>
      </c>
      <c r="AH223" s="42">
        <f>IFERROR(LOOKUP(U223,打分卡!$F$12:$J$12,打分卡!$K$12:$O$12),1)</f>
        <v>2</v>
      </c>
      <c r="AI223" s="42">
        <f>IFERROR(LOOKUP(X223,打分卡!$F$13:$J$13,打分卡!$K$13:$O$13),1)</f>
        <v>3</v>
      </c>
      <c r="AJ223" s="42">
        <f>IFERROR(LOOKUP(Y223,打分卡!$F$14:$J$14,打分卡!$K$14:$O$14),1)</f>
        <v>1</v>
      </c>
      <c r="AK223" s="42">
        <f>IFERROR(LOOKUP(W223,打分卡!$F$15:$J$15,打分卡!$K$15:$O$15),1)</f>
        <v>3</v>
      </c>
      <c r="AL223" s="45">
        <f t="shared" si="25"/>
        <v>5</v>
      </c>
      <c r="AM223" s="42">
        <f>IFERROR(LOOKUP(Z223,打分卡!$F$17:$H$17,打分卡!$K$17:$M$17),1)</f>
        <v>1</v>
      </c>
      <c r="AN223" s="46">
        <f>(打分卡!$D$7*AC223+打分卡!$D$8*AD223+打分卡!$D$9*AE223)/5</f>
        <v>22.6</v>
      </c>
      <c r="AO223" s="46">
        <f>(打分卡!$D$10*AF223+打分卡!$D$11*AG223)/5</f>
        <v>12</v>
      </c>
      <c r="AP223" s="46">
        <f>(打分卡!$D$12*AH223+打分卡!$D$13*AI223+打分卡!$D$14*AJ223+打分卡!$D$15*AK223)/5</f>
        <v>13.2</v>
      </c>
      <c r="AQ223" s="46">
        <f>(打分卡!$D$16*AL223+打分卡!$D$17*AM223)/5</f>
        <v>6.8</v>
      </c>
      <c r="AR223" s="48">
        <f t="shared" si="26"/>
        <v>54.6</v>
      </c>
      <c r="AS223" s="45" t="str">
        <f t="shared" si="27"/>
        <v>腰部</v>
      </c>
      <c r="AT223" s="45" t="str">
        <f t="shared" si="28"/>
        <v/>
      </c>
      <c r="AU223" s="45" t="str">
        <f t="shared" si="29"/>
        <v>拉·主攻：主推AI外呼+大促作战包</v>
      </c>
    </row>
    <row r="224" ht="15" customHeight="1" spans="1:47">
      <c r="A224" s="30" t="s">
        <v>847</v>
      </c>
      <c r="B224" s="31" t="s">
        <v>848</v>
      </c>
      <c r="C224" s="31" t="s">
        <v>218</v>
      </c>
      <c r="D224" s="31" t="s">
        <v>190</v>
      </c>
      <c r="E224" s="31" t="s">
        <v>181</v>
      </c>
      <c r="F224" s="30" t="s">
        <v>849</v>
      </c>
      <c r="G224" s="31">
        <v>16</v>
      </c>
      <c r="H224" s="31" t="s">
        <v>301</v>
      </c>
      <c r="I224" s="31" t="s">
        <v>302</v>
      </c>
      <c r="J224" s="33">
        <v>77200</v>
      </c>
      <c r="K224" s="33">
        <v>29900</v>
      </c>
      <c r="L224" s="33">
        <v>32000</v>
      </c>
      <c r="M224" s="33">
        <f t="shared" si="24"/>
        <v>139100</v>
      </c>
      <c r="N224" s="34">
        <f t="shared" si="30"/>
        <v>0.000729251204234375</v>
      </c>
      <c r="O224" s="35">
        <f>SUM($M$2:M224)</f>
        <v>153851200</v>
      </c>
      <c r="P224" s="34">
        <f t="shared" si="31"/>
        <v>0.806586433306281</v>
      </c>
      <c r="Q224" s="37">
        <v>18.8</v>
      </c>
      <c r="R224" s="31">
        <v>9</v>
      </c>
      <c r="S224" s="31">
        <v>2</v>
      </c>
      <c r="T224" s="31">
        <v>2</v>
      </c>
      <c r="U224" s="37">
        <v>1.8</v>
      </c>
      <c r="V224" s="31">
        <v>9</v>
      </c>
      <c r="W224" s="31">
        <v>4</v>
      </c>
      <c r="X224" s="38">
        <v>112</v>
      </c>
      <c r="Y224" s="31">
        <v>1</v>
      </c>
      <c r="Z224" s="31">
        <v>0</v>
      </c>
      <c r="AA224" s="31" t="s">
        <v>185</v>
      </c>
      <c r="AB224" s="31" t="s">
        <v>220</v>
      </c>
      <c r="AC224" s="41">
        <f>IFERROR(LOOKUP(M224,打分卡!$F$7:$J$7,打分卡!$K$7:$O$7),1)</f>
        <v>3</v>
      </c>
      <c r="AD224" s="41">
        <f>IFERROR(LOOKUP(S224,打分卡!$F$8:$J$8,打分卡!$K$8:$O$8),1)</f>
        <v>2</v>
      </c>
      <c r="AE224" s="41">
        <f>IFERROR(LOOKUP(T224,打分卡!$F$9:$I$9,打分卡!$K$9:$N$9),1)</f>
        <v>3</v>
      </c>
      <c r="AF224" s="41">
        <f>IFERROR(LOOKUP(Q224,打分卡!$F$10:$J$10,打分卡!$K$10:$O$10),1)</f>
        <v>3</v>
      </c>
      <c r="AG224" s="41">
        <f>IFERROR(LOOKUP(R224,打分卡!$F$11:$J$11,打分卡!$K$11:$O$11),1)</f>
        <v>4</v>
      </c>
      <c r="AH224" s="41">
        <f>IFERROR(LOOKUP(U224,打分卡!$F$12:$J$12,打分卡!$K$12:$O$12),1)</f>
        <v>1</v>
      </c>
      <c r="AI224" s="41">
        <f>IFERROR(LOOKUP(X224,打分卡!$F$13:$J$13,打分卡!$K$13:$O$13),1)</f>
        <v>4</v>
      </c>
      <c r="AJ224" s="41">
        <f>IFERROR(LOOKUP(Y224,打分卡!$F$14:$J$14,打分卡!$K$14:$O$14),1)</f>
        <v>2</v>
      </c>
      <c r="AK224" s="41">
        <f>IFERROR(LOOKUP(W224,打分卡!$F$15:$J$15,打分卡!$K$15:$O$15),1)</f>
        <v>3</v>
      </c>
      <c r="AL224" s="43">
        <f t="shared" si="25"/>
        <v>3</v>
      </c>
      <c r="AM224" s="41">
        <f>IFERROR(LOOKUP(Z224,打分卡!$F$17:$H$17,打分卡!$K$17:$M$17),1)</f>
        <v>1</v>
      </c>
      <c r="AN224" s="44">
        <f>(打分卡!$D$7*AC224+打分卡!$D$8*AD224+打分卡!$D$9*AE224)/5</f>
        <v>22.4</v>
      </c>
      <c r="AO224" s="44">
        <f>(打分卡!$D$10*AF224+打分卡!$D$11*AG224)/5</f>
        <v>14</v>
      </c>
      <c r="AP224" s="44">
        <f>(打分卡!$D$12*AH224+打分卡!$D$13*AI224+打分卡!$D$14*AJ224+打分卡!$D$15*AK224)/5</f>
        <v>13.6</v>
      </c>
      <c r="AQ224" s="44">
        <f>(打分卡!$D$16*AL224+打分卡!$D$17*AM224)/5</f>
        <v>4.4</v>
      </c>
      <c r="AR224" s="47">
        <f t="shared" si="26"/>
        <v>54.4</v>
      </c>
      <c r="AS224" s="43" t="str">
        <f t="shared" si="27"/>
        <v>腰部</v>
      </c>
      <c r="AT224" s="43" t="str">
        <f t="shared" si="28"/>
        <v/>
      </c>
      <c r="AU224" s="43" t="str">
        <f t="shared" si="29"/>
        <v>拉·主攻：主推AI外呼+大促作战包</v>
      </c>
    </row>
    <row r="225" ht="15" customHeight="1" spans="1:47">
      <c r="A225" s="20" t="s">
        <v>850</v>
      </c>
      <c r="B225" s="22" t="s">
        <v>851</v>
      </c>
      <c r="C225" s="22" t="s">
        <v>179</v>
      </c>
      <c r="D225" s="22" t="s">
        <v>227</v>
      </c>
      <c r="E225" s="22" t="s">
        <v>197</v>
      </c>
      <c r="F225" s="20" t="s">
        <v>852</v>
      </c>
      <c r="G225" s="22">
        <v>16</v>
      </c>
      <c r="H225" s="22" t="s">
        <v>183</v>
      </c>
      <c r="I225" s="22" t="s">
        <v>184</v>
      </c>
      <c r="J225" s="36">
        <v>76300</v>
      </c>
      <c r="K225" s="36">
        <v>31900</v>
      </c>
      <c r="L225" s="36">
        <v>30800</v>
      </c>
      <c r="M225" s="36">
        <f t="shared" si="24"/>
        <v>139000</v>
      </c>
      <c r="N225" s="34">
        <f t="shared" si="30"/>
        <v>0.000728726940248585</v>
      </c>
      <c r="O225" s="35">
        <f>SUM($M$2:M225)</f>
        <v>153990200</v>
      </c>
      <c r="P225" s="34">
        <f t="shared" si="31"/>
        <v>0.80731516024653</v>
      </c>
      <c r="Q225" s="39">
        <v>19.6</v>
      </c>
      <c r="R225" s="22">
        <v>2</v>
      </c>
      <c r="S225" s="22">
        <v>3</v>
      </c>
      <c r="T225" s="22">
        <v>0</v>
      </c>
      <c r="U225" s="39">
        <v>21.4</v>
      </c>
      <c r="V225" s="22">
        <v>14</v>
      </c>
      <c r="W225" s="22">
        <v>1</v>
      </c>
      <c r="X225" s="40">
        <v>58</v>
      </c>
      <c r="Y225" s="22">
        <v>1</v>
      </c>
      <c r="Z225" s="22">
        <v>1</v>
      </c>
      <c r="AA225" s="22" t="s">
        <v>185</v>
      </c>
      <c r="AB225" s="22" t="s">
        <v>220</v>
      </c>
      <c r="AC225" s="42">
        <f>IFERROR(LOOKUP(M225,打分卡!$F$7:$J$7,打分卡!$K$7:$O$7),1)</f>
        <v>3</v>
      </c>
      <c r="AD225" s="42">
        <f>IFERROR(LOOKUP(S225,打分卡!$F$8:$J$8,打分卡!$K$8:$O$8),1)</f>
        <v>3</v>
      </c>
      <c r="AE225" s="42">
        <f>IFERROR(LOOKUP(T225,打分卡!$F$9:$I$9,打分卡!$K$9:$N$9),1)</f>
        <v>1</v>
      </c>
      <c r="AF225" s="42">
        <f>IFERROR(LOOKUP(Q225,打分卡!$F$10:$J$10,打分卡!$K$10:$O$10),1)</f>
        <v>3</v>
      </c>
      <c r="AG225" s="42">
        <f>IFERROR(LOOKUP(R225,打分卡!$F$11:$J$11,打分卡!$K$11:$O$11),1)</f>
        <v>1</v>
      </c>
      <c r="AH225" s="42">
        <f>IFERROR(LOOKUP(U225,打分卡!$F$12:$J$12,打分卡!$K$12:$O$12),1)</f>
        <v>3</v>
      </c>
      <c r="AI225" s="42">
        <f>IFERROR(LOOKUP(X225,打分卡!$F$13:$J$13,打分卡!$K$13:$O$13),1)</f>
        <v>3</v>
      </c>
      <c r="AJ225" s="42">
        <f>IFERROR(LOOKUP(Y225,打分卡!$F$14:$J$14,打分卡!$K$14:$O$14),1)</f>
        <v>2</v>
      </c>
      <c r="AK225" s="42">
        <f>IFERROR(LOOKUP(W225,打分卡!$F$15:$J$15,打分卡!$K$15:$O$15),1)</f>
        <v>2</v>
      </c>
      <c r="AL225" s="45">
        <f t="shared" si="25"/>
        <v>3</v>
      </c>
      <c r="AM225" s="42">
        <f>IFERROR(LOOKUP(Z225,打分卡!$F$17:$H$17,打分卡!$K$17:$M$17),1)</f>
        <v>3</v>
      </c>
      <c r="AN225" s="46">
        <f>(打分卡!$D$7*AC225+打分卡!$D$8*AD225+打分卡!$D$9*AE225)/5</f>
        <v>21.2</v>
      </c>
      <c r="AO225" s="46">
        <f>(打分卡!$D$10*AF225+打分卡!$D$11*AG225)/5</f>
        <v>8</v>
      </c>
      <c r="AP225" s="46">
        <f>(打分卡!$D$12*AH225+打分卡!$D$13*AI225+打分卡!$D$14*AJ225+打分卡!$D$15*AK225)/5</f>
        <v>16</v>
      </c>
      <c r="AQ225" s="46">
        <f>(打分卡!$D$16*AL225+打分卡!$D$17*AM225)/5</f>
        <v>6</v>
      </c>
      <c r="AR225" s="48">
        <f t="shared" si="26"/>
        <v>51.2</v>
      </c>
      <c r="AS225" s="45" t="str">
        <f t="shared" si="27"/>
        <v>腰部</v>
      </c>
      <c r="AT225" s="45" t="str">
        <f t="shared" si="28"/>
        <v/>
      </c>
      <c r="AU225" s="45" t="str">
        <f t="shared" si="29"/>
        <v>拉·主攻：主推AI外呼+大促作战包</v>
      </c>
    </row>
    <row r="226" ht="15" customHeight="1" spans="1:47">
      <c r="A226" s="30" t="s">
        <v>853</v>
      </c>
      <c r="B226" s="31" t="s">
        <v>854</v>
      </c>
      <c r="C226" s="31" t="s">
        <v>195</v>
      </c>
      <c r="D226" s="31" t="s">
        <v>202</v>
      </c>
      <c r="E226" s="31" t="s">
        <v>181</v>
      </c>
      <c r="F226" s="30" t="s">
        <v>855</v>
      </c>
      <c r="G226" s="31">
        <v>20</v>
      </c>
      <c r="H226" s="31" t="s">
        <v>301</v>
      </c>
      <c r="I226" s="31" t="s">
        <v>302</v>
      </c>
      <c r="J226" s="33">
        <v>74700</v>
      </c>
      <c r="K226" s="33">
        <v>52800</v>
      </c>
      <c r="L226" s="33">
        <v>11100</v>
      </c>
      <c r="M226" s="33">
        <f t="shared" si="24"/>
        <v>138600</v>
      </c>
      <c r="N226" s="34">
        <f t="shared" si="30"/>
        <v>0.000726629884305424</v>
      </c>
      <c r="O226" s="35">
        <f>SUM($M$2:M226)</f>
        <v>154128800</v>
      </c>
      <c r="P226" s="34">
        <f t="shared" si="31"/>
        <v>0.808041790130835</v>
      </c>
      <c r="Q226" s="37">
        <v>21.4</v>
      </c>
      <c r="R226" s="31">
        <v>8</v>
      </c>
      <c r="S226" s="31">
        <v>3</v>
      </c>
      <c r="T226" s="31">
        <v>1</v>
      </c>
      <c r="U226" s="37">
        <v>22.1</v>
      </c>
      <c r="V226" s="31">
        <v>12</v>
      </c>
      <c r="W226" s="31">
        <v>2</v>
      </c>
      <c r="X226" s="38">
        <v>12</v>
      </c>
      <c r="Y226" s="31">
        <v>0</v>
      </c>
      <c r="Z226" s="31">
        <v>0</v>
      </c>
      <c r="AA226" s="31" t="s">
        <v>315</v>
      </c>
      <c r="AB226" s="31" t="s">
        <v>220</v>
      </c>
      <c r="AC226" s="41">
        <f>IFERROR(LOOKUP(M226,打分卡!$F$7:$J$7,打分卡!$K$7:$O$7),1)</f>
        <v>3</v>
      </c>
      <c r="AD226" s="41">
        <f>IFERROR(LOOKUP(S226,打分卡!$F$8:$J$8,打分卡!$K$8:$O$8),1)</f>
        <v>3</v>
      </c>
      <c r="AE226" s="41">
        <f>IFERROR(LOOKUP(T226,打分卡!$F$9:$I$9,打分卡!$K$9:$N$9),1)</f>
        <v>2</v>
      </c>
      <c r="AF226" s="41">
        <f>IFERROR(LOOKUP(Q226,打分卡!$F$10:$J$10,打分卡!$K$10:$O$10),1)</f>
        <v>3</v>
      </c>
      <c r="AG226" s="41">
        <f>IFERROR(LOOKUP(R226,打分卡!$F$11:$J$11,打分卡!$K$11:$O$11),1)</f>
        <v>3</v>
      </c>
      <c r="AH226" s="41">
        <f>IFERROR(LOOKUP(U226,打分卡!$F$12:$J$12,打分卡!$K$12:$O$12),1)</f>
        <v>3</v>
      </c>
      <c r="AI226" s="41">
        <f>IFERROR(LOOKUP(X226,打分卡!$F$13:$J$13,打分卡!$K$13:$O$13),1)</f>
        <v>1</v>
      </c>
      <c r="AJ226" s="41">
        <f>IFERROR(LOOKUP(Y226,打分卡!$F$14:$J$14,打分卡!$K$14:$O$14),1)</f>
        <v>1</v>
      </c>
      <c r="AK226" s="41">
        <f>IFERROR(LOOKUP(W226,打分卡!$F$15:$J$15,打分卡!$K$15:$O$15),1)</f>
        <v>2</v>
      </c>
      <c r="AL226" s="43">
        <f t="shared" si="25"/>
        <v>2</v>
      </c>
      <c r="AM226" s="41">
        <f>IFERROR(LOOKUP(Z226,打分卡!$F$17:$H$17,打分卡!$K$17:$M$17),1)</f>
        <v>1</v>
      </c>
      <c r="AN226" s="44">
        <f>(打分卡!$D$7*AC226+打分卡!$D$8*AD226+打分卡!$D$9*AE226)/5</f>
        <v>22.6</v>
      </c>
      <c r="AO226" s="44">
        <f>(打分卡!$D$10*AF226+打分卡!$D$11*AG226)/5</f>
        <v>12</v>
      </c>
      <c r="AP226" s="44">
        <f>(打分卡!$D$12*AH226+打分卡!$D$13*AI226+打分卡!$D$14*AJ226+打分卡!$D$15*AK226)/5</f>
        <v>11.6</v>
      </c>
      <c r="AQ226" s="44">
        <f>(打分卡!$D$16*AL226+打分卡!$D$17*AM226)/5</f>
        <v>3.2</v>
      </c>
      <c r="AR226" s="47">
        <f t="shared" si="26"/>
        <v>49.4</v>
      </c>
      <c r="AS226" s="43" t="str">
        <f t="shared" si="27"/>
        <v>腰部</v>
      </c>
      <c r="AT226" s="43" t="str">
        <f t="shared" si="28"/>
        <v/>
      </c>
      <c r="AU226" s="43" t="str">
        <f t="shared" si="29"/>
        <v>拉·主攻：主推AI外呼+大促作战包</v>
      </c>
    </row>
    <row r="227" ht="15" customHeight="1" spans="1:47">
      <c r="A227" s="20" t="s">
        <v>856</v>
      </c>
      <c r="B227" s="22" t="s">
        <v>857</v>
      </c>
      <c r="C227" s="22" t="s">
        <v>223</v>
      </c>
      <c r="D227" s="22" t="s">
        <v>202</v>
      </c>
      <c r="E227" s="22" t="s">
        <v>197</v>
      </c>
      <c r="F227" s="20" t="s">
        <v>274</v>
      </c>
      <c r="G227" s="22">
        <v>12</v>
      </c>
      <c r="H227" s="22" t="s">
        <v>301</v>
      </c>
      <c r="I227" s="22" t="s">
        <v>302</v>
      </c>
      <c r="J227" s="36">
        <v>81400</v>
      </c>
      <c r="K227" s="36">
        <v>45600</v>
      </c>
      <c r="L227" s="36">
        <v>11400</v>
      </c>
      <c r="M227" s="36">
        <f t="shared" si="24"/>
        <v>138400</v>
      </c>
      <c r="N227" s="34">
        <f t="shared" si="30"/>
        <v>0.000725581356333843</v>
      </c>
      <c r="O227" s="35">
        <f>SUM($M$2:M227)</f>
        <v>154267200</v>
      </c>
      <c r="P227" s="34">
        <f t="shared" si="31"/>
        <v>0.808767371487169</v>
      </c>
      <c r="Q227" s="39">
        <v>12.9</v>
      </c>
      <c r="R227" s="22">
        <v>4</v>
      </c>
      <c r="S227" s="22">
        <v>3</v>
      </c>
      <c r="T227" s="22">
        <v>1</v>
      </c>
      <c r="U227" s="39">
        <v>2.1</v>
      </c>
      <c r="V227" s="22">
        <v>16</v>
      </c>
      <c r="W227" s="22">
        <v>1</v>
      </c>
      <c r="X227" s="40">
        <v>29</v>
      </c>
      <c r="Y227" s="22">
        <v>3</v>
      </c>
      <c r="Z227" s="22">
        <v>0</v>
      </c>
      <c r="AA227" s="22" t="s">
        <v>185</v>
      </c>
      <c r="AB227" s="22" t="s">
        <v>220</v>
      </c>
      <c r="AC227" s="42">
        <f>IFERROR(LOOKUP(M227,打分卡!$F$7:$J$7,打分卡!$K$7:$O$7),1)</f>
        <v>3</v>
      </c>
      <c r="AD227" s="42">
        <f>IFERROR(LOOKUP(S227,打分卡!$F$8:$J$8,打分卡!$K$8:$O$8),1)</f>
        <v>3</v>
      </c>
      <c r="AE227" s="42">
        <f>IFERROR(LOOKUP(T227,打分卡!$F$9:$I$9,打分卡!$K$9:$N$9),1)</f>
        <v>2</v>
      </c>
      <c r="AF227" s="42">
        <f>IFERROR(LOOKUP(Q227,打分卡!$F$10:$J$10,打分卡!$K$10:$O$10),1)</f>
        <v>3</v>
      </c>
      <c r="AG227" s="42">
        <f>IFERROR(LOOKUP(R227,打分卡!$F$11:$J$11,打分卡!$K$11:$O$11),1)</f>
        <v>2</v>
      </c>
      <c r="AH227" s="42">
        <f>IFERROR(LOOKUP(U227,打分卡!$F$12:$J$12,打分卡!$K$12:$O$12),1)</f>
        <v>1</v>
      </c>
      <c r="AI227" s="42">
        <f>IFERROR(LOOKUP(X227,打分卡!$F$13:$J$13,打分卡!$K$13:$O$13),1)</f>
        <v>2</v>
      </c>
      <c r="AJ227" s="42">
        <f>IFERROR(LOOKUP(Y227,打分卡!$F$14:$J$14,打分卡!$K$14:$O$14),1)</f>
        <v>4</v>
      </c>
      <c r="AK227" s="42">
        <f>IFERROR(LOOKUP(W227,打分卡!$F$15:$J$15,打分卡!$K$15:$O$15),1)</f>
        <v>2</v>
      </c>
      <c r="AL227" s="45">
        <f t="shared" si="25"/>
        <v>3</v>
      </c>
      <c r="AM227" s="42">
        <f>IFERROR(LOOKUP(Z227,打分卡!$F$17:$H$17,打分卡!$K$17:$M$17),1)</f>
        <v>1</v>
      </c>
      <c r="AN227" s="46">
        <f>(打分卡!$D$7*AC227+打分卡!$D$8*AD227+打分卡!$D$9*AE227)/5</f>
        <v>22.6</v>
      </c>
      <c r="AO227" s="46">
        <f>(打分卡!$D$10*AF227+打分卡!$D$11*AG227)/5</f>
        <v>10</v>
      </c>
      <c r="AP227" s="46">
        <f>(打分卡!$D$12*AH227+打分卡!$D$13*AI227+打分卡!$D$14*AJ227+打分卡!$D$15*AK227)/5</f>
        <v>12</v>
      </c>
      <c r="AQ227" s="46">
        <f>(打分卡!$D$16*AL227+打分卡!$D$17*AM227)/5</f>
        <v>4.4</v>
      </c>
      <c r="AR227" s="48">
        <f t="shared" si="26"/>
        <v>49</v>
      </c>
      <c r="AS227" s="45" t="str">
        <f t="shared" si="27"/>
        <v>腰部</v>
      </c>
      <c r="AT227" s="45" t="str">
        <f t="shared" si="28"/>
        <v/>
      </c>
      <c r="AU227" s="45" t="str">
        <f t="shared" si="29"/>
        <v>拉·主攻：主推AI外呼+大促作战包</v>
      </c>
    </row>
    <row r="228" ht="15" customHeight="1" spans="1:47">
      <c r="A228" s="30" t="s">
        <v>858</v>
      </c>
      <c r="B228" s="31" t="s">
        <v>859</v>
      </c>
      <c r="C228" s="31" t="s">
        <v>179</v>
      </c>
      <c r="D228" s="31" t="s">
        <v>196</v>
      </c>
      <c r="E228" s="31" t="s">
        <v>181</v>
      </c>
      <c r="F228" s="30" t="s">
        <v>860</v>
      </c>
      <c r="G228" s="31">
        <v>3</v>
      </c>
      <c r="H228" s="31" t="s">
        <v>301</v>
      </c>
      <c r="I228" s="31" t="s">
        <v>184</v>
      </c>
      <c r="J228" s="33">
        <v>78200</v>
      </c>
      <c r="K228" s="33">
        <v>44500</v>
      </c>
      <c r="L228" s="33">
        <v>15400</v>
      </c>
      <c r="M228" s="33">
        <f t="shared" si="24"/>
        <v>138100</v>
      </c>
      <c r="N228" s="34">
        <f t="shared" si="30"/>
        <v>0.000724008564376472</v>
      </c>
      <c r="O228" s="35">
        <f>SUM($M$2:M228)</f>
        <v>154405300</v>
      </c>
      <c r="P228" s="34">
        <f t="shared" si="31"/>
        <v>0.809491380051546</v>
      </c>
      <c r="Q228" s="37">
        <v>21.2</v>
      </c>
      <c r="R228" s="31">
        <v>4</v>
      </c>
      <c r="S228" s="31">
        <v>2</v>
      </c>
      <c r="T228" s="31">
        <v>2</v>
      </c>
      <c r="U228" s="37">
        <v>24.2</v>
      </c>
      <c r="V228" s="31">
        <v>28</v>
      </c>
      <c r="W228" s="31">
        <v>4</v>
      </c>
      <c r="X228" s="38">
        <v>38</v>
      </c>
      <c r="Y228" s="31">
        <v>1</v>
      </c>
      <c r="Z228" s="31">
        <v>1</v>
      </c>
      <c r="AA228" s="31" t="s">
        <v>315</v>
      </c>
      <c r="AB228" s="31" t="s">
        <v>220</v>
      </c>
      <c r="AC228" s="41">
        <f>IFERROR(LOOKUP(M228,打分卡!$F$7:$J$7,打分卡!$K$7:$O$7),1)</f>
        <v>3</v>
      </c>
      <c r="AD228" s="41">
        <f>IFERROR(LOOKUP(S228,打分卡!$F$8:$J$8,打分卡!$K$8:$O$8),1)</f>
        <v>2</v>
      </c>
      <c r="AE228" s="41">
        <f>IFERROR(LOOKUP(T228,打分卡!$F$9:$I$9,打分卡!$K$9:$N$9),1)</f>
        <v>3</v>
      </c>
      <c r="AF228" s="41">
        <f>IFERROR(LOOKUP(Q228,打分卡!$F$10:$J$10,打分卡!$K$10:$O$10),1)</f>
        <v>3</v>
      </c>
      <c r="AG228" s="41">
        <f>IFERROR(LOOKUP(R228,打分卡!$F$11:$J$11,打分卡!$K$11:$O$11),1)</f>
        <v>2</v>
      </c>
      <c r="AH228" s="41">
        <f>IFERROR(LOOKUP(U228,打分卡!$F$12:$J$12,打分卡!$K$12:$O$12),1)</f>
        <v>3</v>
      </c>
      <c r="AI228" s="41">
        <f>IFERROR(LOOKUP(X228,打分卡!$F$13:$J$13,打分卡!$K$13:$O$13),1)</f>
        <v>2</v>
      </c>
      <c r="AJ228" s="41">
        <f>IFERROR(LOOKUP(Y228,打分卡!$F$14:$J$14,打分卡!$K$14:$O$14),1)</f>
        <v>2</v>
      </c>
      <c r="AK228" s="41">
        <f>IFERROR(LOOKUP(W228,打分卡!$F$15:$J$15,打分卡!$K$15:$O$15),1)</f>
        <v>3</v>
      </c>
      <c r="AL228" s="43">
        <f t="shared" si="25"/>
        <v>2</v>
      </c>
      <c r="AM228" s="41">
        <f>IFERROR(LOOKUP(Z228,打分卡!$F$17:$H$17,打分卡!$K$17:$M$17),1)</f>
        <v>3</v>
      </c>
      <c r="AN228" s="44">
        <f>(打分卡!$D$7*AC228+打分卡!$D$8*AD228+打分卡!$D$9*AE228)/5</f>
        <v>22.4</v>
      </c>
      <c r="AO228" s="44">
        <f>(打分卡!$D$10*AF228+打分卡!$D$11*AG228)/5</f>
        <v>10</v>
      </c>
      <c r="AP228" s="44">
        <f>(打分卡!$D$12*AH228+打分卡!$D$13*AI228+打分卡!$D$14*AJ228+打分卡!$D$15*AK228)/5</f>
        <v>15.2</v>
      </c>
      <c r="AQ228" s="44">
        <f>(打分卡!$D$16*AL228+打分卡!$D$17*AM228)/5</f>
        <v>4.8</v>
      </c>
      <c r="AR228" s="47">
        <f t="shared" si="26"/>
        <v>52.4</v>
      </c>
      <c r="AS228" s="43" t="str">
        <f t="shared" si="27"/>
        <v>腰部</v>
      </c>
      <c r="AT228" s="43" t="str">
        <f t="shared" si="28"/>
        <v/>
      </c>
      <c r="AU228" s="43" t="str">
        <f t="shared" si="29"/>
        <v>拉·主攻：主推AI外呼+大促作战包</v>
      </c>
    </row>
    <row r="229" ht="15" customHeight="1" spans="1:47">
      <c r="A229" s="20" t="s">
        <v>861</v>
      </c>
      <c r="B229" s="22" t="s">
        <v>862</v>
      </c>
      <c r="C229" s="22" t="s">
        <v>223</v>
      </c>
      <c r="D229" s="22" t="s">
        <v>202</v>
      </c>
      <c r="E229" s="22" t="s">
        <v>181</v>
      </c>
      <c r="F229" s="20" t="s">
        <v>863</v>
      </c>
      <c r="G229" s="22">
        <v>23</v>
      </c>
      <c r="H229" s="22" t="s">
        <v>301</v>
      </c>
      <c r="I229" s="22" t="s">
        <v>184</v>
      </c>
      <c r="J229" s="36">
        <v>84800</v>
      </c>
      <c r="K229" s="36">
        <v>45700</v>
      </c>
      <c r="L229" s="36">
        <v>6900</v>
      </c>
      <c r="M229" s="36">
        <f t="shared" si="24"/>
        <v>137400</v>
      </c>
      <c r="N229" s="34">
        <f t="shared" si="30"/>
        <v>0.000720338716475939</v>
      </c>
      <c r="O229" s="35">
        <f>SUM($M$2:M229)</f>
        <v>154542700</v>
      </c>
      <c r="P229" s="34">
        <f t="shared" si="31"/>
        <v>0.810211718768022</v>
      </c>
      <c r="Q229" s="39">
        <v>14.4</v>
      </c>
      <c r="R229" s="22">
        <v>10</v>
      </c>
      <c r="S229" s="22">
        <v>2</v>
      </c>
      <c r="T229" s="22">
        <v>1</v>
      </c>
      <c r="U229" s="39">
        <v>5</v>
      </c>
      <c r="V229" s="22">
        <v>22</v>
      </c>
      <c r="W229" s="22">
        <v>1</v>
      </c>
      <c r="X229" s="40">
        <v>24</v>
      </c>
      <c r="Y229" s="22">
        <v>0</v>
      </c>
      <c r="Z229" s="22">
        <v>0</v>
      </c>
      <c r="AA229" s="22" t="s">
        <v>185</v>
      </c>
      <c r="AB229" s="22" t="s">
        <v>220</v>
      </c>
      <c r="AC229" s="42">
        <f>IFERROR(LOOKUP(M229,打分卡!$F$7:$J$7,打分卡!$K$7:$O$7),1)</f>
        <v>3</v>
      </c>
      <c r="AD229" s="42">
        <f>IFERROR(LOOKUP(S229,打分卡!$F$8:$J$8,打分卡!$K$8:$O$8),1)</f>
        <v>2</v>
      </c>
      <c r="AE229" s="42">
        <f>IFERROR(LOOKUP(T229,打分卡!$F$9:$I$9,打分卡!$K$9:$N$9),1)</f>
        <v>2</v>
      </c>
      <c r="AF229" s="42">
        <f>IFERROR(LOOKUP(Q229,打分卡!$F$10:$J$10,打分卡!$K$10:$O$10),1)</f>
        <v>3</v>
      </c>
      <c r="AG229" s="42">
        <f>IFERROR(LOOKUP(R229,打分卡!$F$11:$J$11,打分卡!$K$11:$O$11),1)</f>
        <v>4</v>
      </c>
      <c r="AH229" s="42">
        <f>IFERROR(LOOKUP(U229,打分卡!$F$12:$J$12,打分卡!$K$12:$O$12),1)</f>
        <v>2</v>
      </c>
      <c r="AI229" s="42">
        <f>IFERROR(LOOKUP(X229,打分卡!$F$13:$J$13,打分卡!$K$13:$O$13),1)</f>
        <v>2</v>
      </c>
      <c r="AJ229" s="42">
        <f>IFERROR(LOOKUP(Y229,打分卡!$F$14:$J$14,打分卡!$K$14:$O$14),1)</f>
        <v>1</v>
      </c>
      <c r="AK229" s="42">
        <f>IFERROR(LOOKUP(W229,打分卡!$F$15:$J$15,打分卡!$K$15:$O$15),1)</f>
        <v>2</v>
      </c>
      <c r="AL229" s="45">
        <f t="shared" si="25"/>
        <v>3</v>
      </c>
      <c r="AM229" s="42">
        <f>IFERROR(LOOKUP(Z229,打分卡!$F$17:$H$17,打分卡!$K$17:$M$17),1)</f>
        <v>1</v>
      </c>
      <c r="AN229" s="46">
        <f>(打分卡!$D$7*AC229+打分卡!$D$8*AD229+打分卡!$D$9*AE229)/5</f>
        <v>21</v>
      </c>
      <c r="AO229" s="46">
        <f>(打分卡!$D$10*AF229+打分卡!$D$11*AG229)/5</f>
        <v>14</v>
      </c>
      <c r="AP229" s="46">
        <f>(打分卡!$D$12*AH229+打分卡!$D$13*AI229+打分卡!$D$14*AJ229+打分卡!$D$15*AK229)/5</f>
        <v>10.8</v>
      </c>
      <c r="AQ229" s="46">
        <f>(打分卡!$D$16*AL229+打分卡!$D$17*AM229)/5</f>
        <v>4.4</v>
      </c>
      <c r="AR229" s="48">
        <f t="shared" si="26"/>
        <v>50.2</v>
      </c>
      <c r="AS229" s="45" t="str">
        <f t="shared" si="27"/>
        <v>腰部</v>
      </c>
      <c r="AT229" s="45" t="str">
        <f t="shared" si="28"/>
        <v/>
      </c>
      <c r="AU229" s="45" t="str">
        <f t="shared" si="29"/>
        <v>拉·主攻：主推AI外呼+大促作战包</v>
      </c>
    </row>
    <row r="230" ht="15" customHeight="1" spans="1:47">
      <c r="A230" s="30" t="s">
        <v>864</v>
      </c>
      <c r="B230" s="31" t="s">
        <v>865</v>
      </c>
      <c r="C230" s="31" t="s">
        <v>209</v>
      </c>
      <c r="D230" s="31" t="s">
        <v>227</v>
      </c>
      <c r="E230" s="31" t="s">
        <v>181</v>
      </c>
      <c r="F230" s="30" t="s">
        <v>866</v>
      </c>
      <c r="G230" s="31">
        <v>19</v>
      </c>
      <c r="H230" s="31" t="s">
        <v>301</v>
      </c>
      <c r="I230" s="31" t="s">
        <v>302</v>
      </c>
      <c r="J230" s="33">
        <v>68500</v>
      </c>
      <c r="K230" s="33">
        <v>54000</v>
      </c>
      <c r="L230" s="33">
        <v>14800</v>
      </c>
      <c r="M230" s="33">
        <f t="shared" si="24"/>
        <v>137300</v>
      </c>
      <c r="N230" s="34">
        <f t="shared" si="30"/>
        <v>0.000719814452490149</v>
      </c>
      <c r="O230" s="35">
        <f>SUM($M$2:M230)</f>
        <v>154680000</v>
      </c>
      <c r="P230" s="34">
        <f t="shared" si="31"/>
        <v>0.810931533220512</v>
      </c>
      <c r="Q230" s="37">
        <v>18.1</v>
      </c>
      <c r="R230" s="31">
        <v>1</v>
      </c>
      <c r="S230" s="31">
        <v>2</v>
      </c>
      <c r="T230" s="31">
        <v>2</v>
      </c>
      <c r="U230" s="37">
        <v>1.3</v>
      </c>
      <c r="V230" s="31">
        <v>25</v>
      </c>
      <c r="W230" s="31">
        <v>1</v>
      </c>
      <c r="X230" s="38">
        <v>42</v>
      </c>
      <c r="Y230" s="31">
        <v>0</v>
      </c>
      <c r="Z230" s="31">
        <v>1</v>
      </c>
      <c r="AA230" s="31" t="s">
        <v>315</v>
      </c>
      <c r="AB230" s="31" t="s">
        <v>220</v>
      </c>
      <c r="AC230" s="41">
        <f>IFERROR(LOOKUP(M230,打分卡!$F$7:$J$7,打分卡!$K$7:$O$7),1)</f>
        <v>3</v>
      </c>
      <c r="AD230" s="41">
        <f>IFERROR(LOOKUP(S230,打分卡!$F$8:$J$8,打分卡!$K$8:$O$8),1)</f>
        <v>2</v>
      </c>
      <c r="AE230" s="41">
        <f>IFERROR(LOOKUP(T230,打分卡!$F$9:$I$9,打分卡!$K$9:$N$9),1)</f>
        <v>3</v>
      </c>
      <c r="AF230" s="41">
        <f>IFERROR(LOOKUP(Q230,打分卡!$F$10:$J$10,打分卡!$K$10:$O$10),1)</f>
        <v>3</v>
      </c>
      <c r="AG230" s="41">
        <f>IFERROR(LOOKUP(R230,打分卡!$F$11:$J$11,打分卡!$K$11:$O$11),1)</f>
        <v>1</v>
      </c>
      <c r="AH230" s="41">
        <f>IFERROR(LOOKUP(U230,打分卡!$F$12:$J$12,打分卡!$K$12:$O$12),1)</f>
        <v>1</v>
      </c>
      <c r="AI230" s="41">
        <f>IFERROR(LOOKUP(X230,打分卡!$F$13:$J$13,打分卡!$K$13:$O$13),1)</f>
        <v>3</v>
      </c>
      <c r="AJ230" s="41">
        <f>IFERROR(LOOKUP(Y230,打分卡!$F$14:$J$14,打分卡!$K$14:$O$14),1)</f>
        <v>1</v>
      </c>
      <c r="AK230" s="41">
        <f>IFERROR(LOOKUP(W230,打分卡!$F$15:$J$15,打分卡!$K$15:$O$15),1)</f>
        <v>2</v>
      </c>
      <c r="AL230" s="43">
        <f t="shared" si="25"/>
        <v>2</v>
      </c>
      <c r="AM230" s="41">
        <f>IFERROR(LOOKUP(Z230,打分卡!$F$17:$H$17,打分卡!$K$17:$M$17),1)</f>
        <v>3</v>
      </c>
      <c r="AN230" s="44">
        <f>(打分卡!$D$7*AC230+打分卡!$D$8*AD230+打分卡!$D$9*AE230)/5</f>
        <v>22.4</v>
      </c>
      <c r="AO230" s="44">
        <f>(打分卡!$D$10*AF230+打分卡!$D$11*AG230)/5</f>
        <v>8</v>
      </c>
      <c r="AP230" s="44">
        <f>(打分卡!$D$12*AH230+打分卡!$D$13*AI230+打分卡!$D$14*AJ230+打分卡!$D$15*AK230)/5</f>
        <v>10</v>
      </c>
      <c r="AQ230" s="44">
        <f>(打分卡!$D$16*AL230+打分卡!$D$17*AM230)/5</f>
        <v>4.8</v>
      </c>
      <c r="AR230" s="47">
        <f t="shared" si="26"/>
        <v>45.2</v>
      </c>
      <c r="AS230" s="43" t="str">
        <f t="shared" si="27"/>
        <v>腰部</v>
      </c>
      <c r="AT230" s="43" t="str">
        <f t="shared" si="28"/>
        <v/>
      </c>
      <c r="AU230" s="43" t="str">
        <f t="shared" si="29"/>
        <v>拉·主攻：主推AI外呼+大促作战包</v>
      </c>
    </row>
    <row r="231" ht="15" customHeight="1" spans="1:47">
      <c r="A231" s="20" t="s">
        <v>867</v>
      </c>
      <c r="B231" s="22" t="s">
        <v>868</v>
      </c>
      <c r="C231" s="22" t="s">
        <v>239</v>
      </c>
      <c r="D231" s="22" t="s">
        <v>190</v>
      </c>
      <c r="E231" s="22" t="s">
        <v>197</v>
      </c>
      <c r="F231" s="20" t="s">
        <v>869</v>
      </c>
      <c r="G231" s="22">
        <v>24</v>
      </c>
      <c r="H231" s="22" t="s">
        <v>301</v>
      </c>
      <c r="I231" s="22" t="s">
        <v>302</v>
      </c>
      <c r="J231" s="36">
        <v>69100</v>
      </c>
      <c r="K231" s="36">
        <v>29200</v>
      </c>
      <c r="L231" s="36">
        <v>38100</v>
      </c>
      <c r="M231" s="36">
        <f t="shared" si="24"/>
        <v>136400</v>
      </c>
      <c r="N231" s="34">
        <f t="shared" si="30"/>
        <v>0.000715096076618036</v>
      </c>
      <c r="O231" s="35">
        <f>SUM($M$2:M231)</f>
        <v>154816400</v>
      </c>
      <c r="P231" s="34">
        <f t="shared" si="31"/>
        <v>0.81164662929713</v>
      </c>
      <c r="Q231" s="39">
        <v>17.4</v>
      </c>
      <c r="R231" s="22">
        <v>9</v>
      </c>
      <c r="S231" s="22">
        <v>3</v>
      </c>
      <c r="T231" s="22">
        <v>1</v>
      </c>
      <c r="U231" s="39">
        <v>17.2</v>
      </c>
      <c r="V231" s="22">
        <v>14</v>
      </c>
      <c r="W231" s="22">
        <v>3</v>
      </c>
      <c r="X231" s="40">
        <v>14</v>
      </c>
      <c r="Y231" s="22">
        <v>1</v>
      </c>
      <c r="Z231" s="22">
        <v>0</v>
      </c>
      <c r="AA231" s="22" t="s">
        <v>185</v>
      </c>
      <c r="AB231" s="22" t="s">
        <v>220</v>
      </c>
      <c r="AC231" s="42">
        <f>IFERROR(LOOKUP(M231,打分卡!$F$7:$J$7,打分卡!$K$7:$O$7),1)</f>
        <v>3</v>
      </c>
      <c r="AD231" s="42">
        <f>IFERROR(LOOKUP(S231,打分卡!$F$8:$J$8,打分卡!$K$8:$O$8),1)</f>
        <v>3</v>
      </c>
      <c r="AE231" s="42">
        <f>IFERROR(LOOKUP(T231,打分卡!$F$9:$I$9,打分卡!$K$9:$N$9),1)</f>
        <v>2</v>
      </c>
      <c r="AF231" s="42">
        <f>IFERROR(LOOKUP(Q231,打分卡!$F$10:$J$10,打分卡!$K$10:$O$10),1)</f>
        <v>3</v>
      </c>
      <c r="AG231" s="42">
        <f>IFERROR(LOOKUP(R231,打分卡!$F$11:$J$11,打分卡!$K$11:$O$11),1)</f>
        <v>4</v>
      </c>
      <c r="AH231" s="42">
        <f>IFERROR(LOOKUP(U231,打分卡!$F$12:$J$12,打分卡!$K$12:$O$12),1)</f>
        <v>3</v>
      </c>
      <c r="AI231" s="42">
        <f>IFERROR(LOOKUP(X231,打分卡!$F$13:$J$13,打分卡!$K$13:$O$13),1)</f>
        <v>1</v>
      </c>
      <c r="AJ231" s="42">
        <f>IFERROR(LOOKUP(Y231,打分卡!$F$14:$J$14,打分卡!$K$14:$O$14),1)</f>
        <v>2</v>
      </c>
      <c r="AK231" s="42">
        <f>IFERROR(LOOKUP(W231,打分卡!$F$15:$J$15,打分卡!$K$15:$O$15),1)</f>
        <v>3</v>
      </c>
      <c r="AL231" s="45">
        <f t="shared" si="25"/>
        <v>3</v>
      </c>
      <c r="AM231" s="42">
        <f>IFERROR(LOOKUP(Z231,打分卡!$F$17:$H$17,打分卡!$K$17:$M$17),1)</f>
        <v>1</v>
      </c>
      <c r="AN231" s="46">
        <f>(打分卡!$D$7*AC231+打分卡!$D$8*AD231+打分卡!$D$9*AE231)/5</f>
        <v>22.6</v>
      </c>
      <c r="AO231" s="46">
        <f>(打分卡!$D$10*AF231+打分卡!$D$11*AG231)/5</f>
        <v>14</v>
      </c>
      <c r="AP231" s="46">
        <f>(打分卡!$D$12*AH231+打分卡!$D$13*AI231+打分卡!$D$14*AJ231+打分卡!$D$15*AK231)/5</f>
        <v>13.6</v>
      </c>
      <c r="AQ231" s="46">
        <f>(打分卡!$D$16*AL231+打分卡!$D$17*AM231)/5</f>
        <v>4.4</v>
      </c>
      <c r="AR231" s="48">
        <f t="shared" si="26"/>
        <v>54.6</v>
      </c>
      <c r="AS231" s="45" t="str">
        <f t="shared" si="27"/>
        <v>腰部</v>
      </c>
      <c r="AT231" s="45" t="str">
        <f t="shared" si="28"/>
        <v/>
      </c>
      <c r="AU231" s="45" t="str">
        <f t="shared" si="29"/>
        <v>拉·主攻：主推AI外呼+大促作战包</v>
      </c>
    </row>
    <row r="232" ht="15" customHeight="1" spans="1:47">
      <c r="A232" s="30" t="s">
        <v>870</v>
      </c>
      <c r="B232" s="31" t="s">
        <v>871</v>
      </c>
      <c r="C232" s="31" t="s">
        <v>223</v>
      </c>
      <c r="D232" s="31" t="s">
        <v>202</v>
      </c>
      <c r="E232" s="31" t="s">
        <v>181</v>
      </c>
      <c r="F232" s="30" t="s">
        <v>872</v>
      </c>
      <c r="G232" s="31">
        <v>18</v>
      </c>
      <c r="H232" s="31" t="s">
        <v>301</v>
      </c>
      <c r="I232" s="31" t="s">
        <v>302</v>
      </c>
      <c r="J232" s="33">
        <v>81200</v>
      </c>
      <c r="K232" s="33">
        <v>28500</v>
      </c>
      <c r="L232" s="33">
        <v>26700</v>
      </c>
      <c r="M232" s="33">
        <f t="shared" si="24"/>
        <v>136400</v>
      </c>
      <c r="N232" s="34">
        <f t="shared" si="30"/>
        <v>0.000715096076618036</v>
      </c>
      <c r="O232" s="35">
        <f>SUM($M$2:M232)</f>
        <v>154952800</v>
      </c>
      <c r="P232" s="34">
        <f t="shared" si="31"/>
        <v>0.812361725373748</v>
      </c>
      <c r="Q232" s="37">
        <v>8.7</v>
      </c>
      <c r="R232" s="31">
        <v>7</v>
      </c>
      <c r="S232" s="31">
        <v>3</v>
      </c>
      <c r="T232" s="31">
        <v>0</v>
      </c>
      <c r="U232" s="37">
        <v>3.6</v>
      </c>
      <c r="V232" s="31">
        <v>8</v>
      </c>
      <c r="W232" s="31">
        <v>0</v>
      </c>
      <c r="X232" s="38">
        <v>68</v>
      </c>
      <c r="Y232" s="31">
        <v>3</v>
      </c>
      <c r="Z232" s="31">
        <v>1</v>
      </c>
      <c r="AA232" s="31" t="s">
        <v>199</v>
      </c>
      <c r="AB232" s="31" t="s">
        <v>220</v>
      </c>
      <c r="AC232" s="41">
        <f>IFERROR(LOOKUP(M232,打分卡!$F$7:$J$7,打分卡!$K$7:$O$7),1)</f>
        <v>3</v>
      </c>
      <c r="AD232" s="41">
        <f>IFERROR(LOOKUP(S232,打分卡!$F$8:$J$8,打分卡!$K$8:$O$8),1)</f>
        <v>3</v>
      </c>
      <c r="AE232" s="41">
        <f>IFERROR(LOOKUP(T232,打分卡!$F$9:$I$9,打分卡!$K$9:$N$9),1)</f>
        <v>1</v>
      </c>
      <c r="AF232" s="41">
        <f>IFERROR(LOOKUP(Q232,打分卡!$F$10:$J$10,打分卡!$K$10:$O$10),1)</f>
        <v>2</v>
      </c>
      <c r="AG232" s="41">
        <f>IFERROR(LOOKUP(R232,打分卡!$F$11:$J$11,打分卡!$K$11:$O$11),1)</f>
        <v>3</v>
      </c>
      <c r="AH232" s="41">
        <f>IFERROR(LOOKUP(U232,打分卡!$F$12:$J$12,打分卡!$K$12:$O$12),1)</f>
        <v>2</v>
      </c>
      <c r="AI232" s="41">
        <f>IFERROR(LOOKUP(X232,打分卡!$F$13:$J$13,打分卡!$K$13:$O$13),1)</f>
        <v>3</v>
      </c>
      <c r="AJ232" s="41">
        <f>IFERROR(LOOKUP(Y232,打分卡!$F$14:$J$14,打分卡!$K$14:$O$14),1)</f>
        <v>4</v>
      </c>
      <c r="AK232" s="41">
        <f>IFERROR(LOOKUP(W232,打分卡!$F$15:$J$15,打分卡!$K$15:$O$15),1)</f>
        <v>1</v>
      </c>
      <c r="AL232" s="43">
        <f t="shared" si="25"/>
        <v>5</v>
      </c>
      <c r="AM232" s="41">
        <f>IFERROR(LOOKUP(Z232,打分卡!$F$17:$H$17,打分卡!$K$17:$M$17),1)</f>
        <v>3</v>
      </c>
      <c r="AN232" s="44">
        <f>(打分卡!$D$7*AC232+打分卡!$D$8*AD232+打分卡!$D$9*AE232)/5</f>
        <v>21.2</v>
      </c>
      <c r="AO232" s="44">
        <f>(打分卡!$D$10*AF232+打分卡!$D$11*AG232)/5</f>
        <v>10</v>
      </c>
      <c r="AP232" s="44">
        <f>(打分卡!$D$12*AH232+打分卡!$D$13*AI232+打分卡!$D$14*AJ232+打分卡!$D$15*AK232)/5</f>
        <v>15.2</v>
      </c>
      <c r="AQ232" s="44">
        <f>(打分卡!$D$16*AL232+打分卡!$D$17*AM232)/5</f>
        <v>8.4</v>
      </c>
      <c r="AR232" s="47">
        <f t="shared" si="26"/>
        <v>54.8</v>
      </c>
      <c r="AS232" s="43" t="str">
        <f t="shared" si="27"/>
        <v>腰部</v>
      </c>
      <c r="AT232" s="43" t="str">
        <f t="shared" si="28"/>
        <v/>
      </c>
      <c r="AU232" s="43" t="str">
        <f t="shared" si="29"/>
        <v>拉·主攻：主推AI外呼+大促作战包</v>
      </c>
    </row>
    <row r="233" ht="15" customHeight="1" spans="1:47">
      <c r="A233" s="20" t="s">
        <v>873</v>
      </c>
      <c r="B233" s="22" t="s">
        <v>874</v>
      </c>
      <c r="C233" s="22" t="s">
        <v>218</v>
      </c>
      <c r="D233" s="22" t="s">
        <v>196</v>
      </c>
      <c r="E233" s="22" t="s">
        <v>181</v>
      </c>
      <c r="F233" s="20" t="s">
        <v>720</v>
      </c>
      <c r="G233" s="22">
        <v>20</v>
      </c>
      <c r="H233" s="22" t="s">
        <v>301</v>
      </c>
      <c r="I233" s="22" t="s">
        <v>302</v>
      </c>
      <c r="J233" s="36">
        <v>73800</v>
      </c>
      <c r="K233" s="36">
        <v>33400</v>
      </c>
      <c r="L233" s="36">
        <v>28700</v>
      </c>
      <c r="M233" s="36">
        <f t="shared" si="24"/>
        <v>135900</v>
      </c>
      <c r="N233" s="34">
        <f t="shared" si="30"/>
        <v>0.000712474756689084</v>
      </c>
      <c r="O233" s="35">
        <f>SUM($M$2:M233)</f>
        <v>155088700</v>
      </c>
      <c r="P233" s="34">
        <f t="shared" si="31"/>
        <v>0.813074200130437</v>
      </c>
      <c r="Q233" s="39">
        <v>12.3</v>
      </c>
      <c r="R233" s="22">
        <v>1</v>
      </c>
      <c r="S233" s="22">
        <v>3</v>
      </c>
      <c r="T233" s="22">
        <v>0</v>
      </c>
      <c r="U233" s="39">
        <v>1.1</v>
      </c>
      <c r="V233" s="22">
        <v>22</v>
      </c>
      <c r="W233" s="22">
        <v>1</v>
      </c>
      <c r="X233" s="40">
        <v>94</v>
      </c>
      <c r="Y233" s="22">
        <v>0</v>
      </c>
      <c r="Z233" s="22">
        <v>0</v>
      </c>
      <c r="AA233" s="22" t="s">
        <v>185</v>
      </c>
      <c r="AB233" s="22" t="s">
        <v>220</v>
      </c>
      <c r="AC233" s="42">
        <f>IFERROR(LOOKUP(M233,打分卡!$F$7:$J$7,打分卡!$K$7:$O$7),1)</f>
        <v>3</v>
      </c>
      <c r="AD233" s="42">
        <f>IFERROR(LOOKUP(S233,打分卡!$F$8:$J$8,打分卡!$K$8:$O$8),1)</f>
        <v>3</v>
      </c>
      <c r="AE233" s="42">
        <f>IFERROR(LOOKUP(T233,打分卡!$F$9:$I$9,打分卡!$K$9:$N$9),1)</f>
        <v>1</v>
      </c>
      <c r="AF233" s="42">
        <f>IFERROR(LOOKUP(Q233,打分卡!$F$10:$J$10,打分卡!$K$10:$O$10),1)</f>
        <v>3</v>
      </c>
      <c r="AG233" s="42">
        <f>IFERROR(LOOKUP(R233,打分卡!$F$11:$J$11,打分卡!$K$11:$O$11),1)</f>
        <v>1</v>
      </c>
      <c r="AH233" s="42">
        <f>IFERROR(LOOKUP(U233,打分卡!$F$12:$J$12,打分卡!$K$12:$O$12),1)</f>
        <v>1</v>
      </c>
      <c r="AI233" s="42">
        <f>IFERROR(LOOKUP(X233,打分卡!$F$13:$J$13,打分卡!$K$13:$O$13),1)</f>
        <v>4</v>
      </c>
      <c r="AJ233" s="42">
        <f>IFERROR(LOOKUP(Y233,打分卡!$F$14:$J$14,打分卡!$K$14:$O$14),1)</f>
        <v>1</v>
      </c>
      <c r="AK233" s="42">
        <f>IFERROR(LOOKUP(W233,打分卡!$F$15:$J$15,打分卡!$K$15:$O$15),1)</f>
        <v>2</v>
      </c>
      <c r="AL233" s="45">
        <f t="shared" si="25"/>
        <v>3</v>
      </c>
      <c r="AM233" s="42">
        <f>IFERROR(LOOKUP(Z233,打分卡!$F$17:$H$17,打分卡!$K$17:$M$17),1)</f>
        <v>1</v>
      </c>
      <c r="AN233" s="46">
        <f>(打分卡!$D$7*AC233+打分卡!$D$8*AD233+打分卡!$D$9*AE233)/5</f>
        <v>21.2</v>
      </c>
      <c r="AO233" s="46">
        <f>(打分卡!$D$10*AF233+打分卡!$D$11*AG233)/5</f>
        <v>8</v>
      </c>
      <c r="AP233" s="46">
        <f>(打分卡!$D$12*AH233+打分卡!$D$13*AI233+打分卡!$D$14*AJ233+打分卡!$D$15*AK233)/5</f>
        <v>11.6</v>
      </c>
      <c r="AQ233" s="46">
        <f>(打分卡!$D$16*AL233+打分卡!$D$17*AM233)/5</f>
        <v>4.4</v>
      </c>
      <c r="AR233" s="48">
        <f t="shared" si="26"/>
        <v>45.2</v>
      </c>
      <c r="AS233" s="45" t="str">
        <f t="shared" si="27"/>
        <v>腰部</v>
      </c>
      <c r="AT233" s="45" t="str">
        <f t="shared" si="28"/>
        <v/>
      </c>
      <c r="AU233" s="45" t="str">
        <f t="shared" si="29"/>
        <v>拉·主攻：主推AI外呼+大促作战包</v>
      </c>
    </row>
    <row r="234" ht="15" customHeight="1" spans="1:47">
      <c r="A234" s="30" t="s">
        <v>875</v>
      </c>
      <c r="B234" s="31" t="s">
        <v>876</v>
      </c>
      <c r="C234" s="31" t="s">
        <v>189</v>
      </c>
      <c r="D234" s="31" t="s">
        <v>202</v>
      </c>
      <c r="E234" s="31" t="s">
        <v>197</v>
      </c>
      <c r="F234" s="30" t="s">
        <v>291</v>
      </c>
      <c r="G234" s="31">
        <v>20</v>
      </c>
      <c r="H234" s="31" t="s">
        <v>183</v>
      </c>
      <c r="I234" s="31" t="s">
        <v>302</v>
      </c>
      <c r="J234" s="33">
        <v>73900</v>
      </c>
      <c r="K234" s="33">
        <v>50700</v>
      </c>
      <c r="L234" s="33">
        <v>10800</v>
      </c>
      <c r="M234" s="33">
        <f t="shared" si="24"/>
        <v>135400</v>
      </c>
      <c r="N234" s="34">
        <f t="shared" si="30"/>
        <v>0.000709853436760132</v>
      </c>
      <c r="O234" s="35">
        <f>SUM($M$2:M234)</f>
        <v>155224100</v>
      </c>
      <c r="P234" s="34">
        <f t="shared" si="31"/>
        <v>0.813784053567197</v>
      </c>
      <c r="Q234" s="37">
        <v>8.8</v>
      </c>
      <c r="R234" s="31">
        <v>5</v>
      </c>
      <c r="S234" s="31">
        <v>2</v>
      </c>
      <c r="T234" s="31">
        <v>1</v>
      </c>
      <c r="U234" s="37">
        <v>29.5</v>
      </c>
      <c r="V234" s="31">
        <v>3</v>
      </c>
      <c r="W234" s="31">
        <v>1</v>
      </c>
      <c r="X234" s="38">
        <v>49</v>
      </c>
      <c r="Y234" s="31">
        <v>3</v>
      </c>
      <c r="Z234" s="31">
        <v>0</v>
      </c>
      <c r="AA234" s="31" t="s">
        <v>185</v>
      </c>
      <c r="AB234" s="31" t="s">
        <v>220</v>
      </c>
      <c r="AC234" s="41">
        <f>IFERROR(LOOKUP(M234,打分卡!$F$7:$J$7,打分卡!$K$7:$O$7),1)</f>
        <v>3</v>
      </c>
      <c r="AD234" s="41">
        <f>IFERROR(LOOKUP(S234,打分卡!$F$8:$J$8,打分卡!$K$8:$O$8),1)</f>
        <v>2</v>
      </c>
      <c r="AE234" s="41">
        <f>IFERROR(LOOKUP(T234,打分卡!$F$9:$I$9,打分卡!$K$9:$N$9),1)</f>
        <v>2</v>
      </c>
      <c r="AF234" s="41">
        <f>IFERROR(LOOKUP(Q234,打分卡!$F$10:$J$10,打分卡!$K$10:$O$10),1)</f>
        <v>2</v>
      </c>
      <c r="AG234" s="41">
        <f>IFERROR(LOOKUP(R234,打分卡!$F$11:$J$11,打分卡!$K$11:$O$11),1)</f>
        <v>3</v>
      </c>
      <c r="AH234" s="41">
        <f>IFERROR(LOOKUP(U234,打分卡!$F$12:$J$12,打分卡!$K$12:$O$12),1)</f>
        <v>3</v>
      </c>
      <c r="AI234" s="41">
        <f>IFERROR(LOOKUP(X234,打分卡!$F$13:$J$13,打分卡!$K$13:$O$13),1)</f>
        <v>3</v>
      </c>
      <c r="AJ234" s="41">
        <f>IFERROR(LOOKUP(Y234,打分卡!$F$14:$J$14,打分卡!$K$14:$O$14),1)</f>
        <v>4</v>
      </c>
      <c r="AK234" s="41">
        <f>IFERROR(LOOKUP(W234,打分卡!$F$15:$J$15,打分卡!$K$15:$O$15),1)</f>
        <v>2</v>
      </c>
      <c r="AL234" s="43">
        <f t="shared" si="25"/>
        <v>3</v>
      </c>
      <c r="AM234" s="41">
        <f>IFERROR(LOOKUP(Z234,打分卡!$F$17:$H$17,打分卡!$K$17:$M$17),1)</f>
        <v>1</v>
      </c>
      <c r="AN234" s="44">
        <f>(打分卡!$D$7*AC234+打分卡!$D$8*AD234+打分卡!$D$9*AE234)/5</f>
        <v>21</v>
      </c>
      <c r="AO234" s="44">
        <f>(打分卡!$D$10*AF234+打分卡!$D$11*AG234)/5</f>
        <v>10</v>
      </c>
      <c r="AP234" s="44">
        <f>(打分卡!$D$12*AH234+打分卡!$D$13*AI234+打分卡!$D$14*AJ234+打分卡!$D$15*AK234)/5</f>
        <v>18.4</v>
      </c>
      <c r="AQ234" s="44">
        <f>(打分卡!$D$16*AL234+打分卡!$D$17*AM234)/5</f>
        <v>4.4</v>
      </c>
      <c r="AR234" s="47">
        <f t="shared" si="26"/>
        <v>53.8</v>
      </c>
      <c r="AS234" s="43" t="str">
        <f t="shared" si="27"/>
        <v>腰部</v>
      </c>
      <c r="AT234" s="43" t="str">
        <f t="shared" si="28"/>
        <v/>
      </c>
      <c r="AU234" s="43" t="str">
        <f t="shared" si="29"/>
        <v>拉·主攻：主推AI外呼+大促作战包</v>
      </c>
    </row>
    <row r="235" ht="15" customHeight="1" spans="1:47">
      <c r="A235" s="20" t="s">
        <v>877</v>
      </c>
      <c r="B235" s="22" t="s">
        <v>878</v>
      </c>
      <c r="C235" s="22" t="s">
        <v>189</v>
      </c>
      <c r="D235" s="22" t="s">
        <v>235</v>
      </c>
      <c r="E235" s="22" t="s">
        <v>197</v>
      </c>
      <c r="F235" s="20" t="s">
        <v>879</v>
      </c>
      <c r="G235" s="22">
        <v>21</v>
      </c>
      <c r="H235" s="22" t="s">
        <v>183</v>
      </c>
      <c r="I235" s="22" t="s">
        <v>184</v>
      </c>
      <c r="J235" s="36">
        <v>85600</v>
      </c>
      <c r="K235" s="36">
        <v>41400</v>
      </c>
      <c r="L235" s="36">
        <v>6700</v>
      </c>
      <c r="M235" s="36">
        <f t="shared" si="24"/>
        <v>133700</v>
      </c>
      <c r="N235" s="34">
        <f t="shared" si="30"/>
        <v>0.000700940949001696</v>
      </c>
      <c r="O235" s="35">
        <f>SUM($M$2:M235)</f>
        <v>155357800</v>
      </c>
      <c r="P235" s="34">
        <f t="shared" si="31"/>
        <v>0.814484994516199</v>
      </c>
      <c r="Q235" s="39">
        <v>10.1</v>
      </c>
      <c r="R235" s="22">
        <v>6</v>
      </c>
      <c r="S235" s="22">
        <v>3</v>
      </c>
      <c r="T235" s="22">
        <v>1</v>
      </c>
      <c r="U235" s="39">
        <v>4.1</v>
      </c>
      <c r="V235" s="22">
        <v>14</v>
      </c>
      <c r="W235" s="22">
        <v>4</v>
      </c>
      <c r="X235" s="40">
        <v>22</v>
      </c>
      <c r="Y235" s="22">
        <v>0</v>
      </c>
      <c r="Z235" s="22">
        <v>0</v>
      </c>
      <c r="AA235" s="22" t="s">
        <v>185</v>
      </c>
      <c r="AB235" s="22" t="s">
        <v>220</v>
      </c>
      <c r="AC235" s="42">
        <f>IFERROR(LOOKUP(M235,打分卡!$F$7:$J$7,打分卡!$K$7:$O$7),1)</f>
        <v>3</v>
      </c>
      <c r="AD235" s="42">
        <f>IFERROR(LOOKUP(S235,打分卡!$F$8:$J$8,打分卡!$K$8:$O$8),1)</f>
        <v>3</v>
      </c>
      <c r="AE235" s="42">
        <f>IFERROR(LOOKUP(T235,打分卡!$F$9:$I$9,打分卡!$K$9:$N$9),1)</f>
        <v>2</v>
      </c>
      <c r="AF235" s="42">
        <f>IFERROR(LOOKUP(Q235,打分卡!$F$10:$J$10,打分卡!$K$10:$O$10),1)</f>
        <v>3</v>
      </c>
      <c r="AG235" s="42">
        <f>IFERROR(LOOKUP(R235,打分卡!$F$11:$J$11,打分卡!$K$11:$O$11),1)</f>
        <v>3</v>
      </c>
      <c r="AH235" s="42">
        <f>IFERROR(LOOKUP(U235,打分卡!$F$12:$J$12,打分卡!$K$12:$O$12),1)</f>
        <v>2</v>
      </c>
      <c r="AI235" s="42">
        <f>IFERROR(LOOKUP(X235,打分卡!$F$13:$J$13,打分卡!$K$13:$O$13),1)</f>
        <v>2</v>
      </c>
      <c r="AJ235" s="42">
        <f>IFERROR(LOOKUP(Y235,打分卡!$F$14:$J$14,打分卡!$K$14:$O$14),1)</f>
        <v>1</v>
      </c>
      <c r="AK235" s="42">
        <f>IFERROR(LOOKUP(W235,打分卡!$F$15:$J$15,打分卡!$K$15:$O$15),1)</f>
        <v>3</v>
      </c>
      <c r="AL235" s="45">
        <f t="shared" si="25"/>
        <v>3</v>
      </c>
      <c r="AM235" s="42">
        <f>IFERROR(LOOKUP(Z235,打分卡!$F$17:$H$17,打分卡!$K$17:$M$17),1)</f>
        <v>1</v>
      </c>
      <c r="AN235" s="46">
        <f>(打分卡!$D$7*AC235+打分卡!$D$8*AD235+打分卡!$D$9*AE235)/5</f>
        <v>22.6</v>
      </c>
      <c r="AO235" s="46">
        <f>(打分卡!$D$10*AF235+打分卡!$D$11*AG235)/5</f>
        <v>12</v>
      </c>
      <c r="AP235" s="46">
        <f>(打分卡!$D$12*AH235+打分卡!$D$13*AI235+打分卡!$D$14*AJ235+打分卡!$D$15*AK235)/5</f>
        <v>11.6</v>
      </c>
      <c r="AQ235" s="46">
        <f>(打分卡!$D$16*AL235+打分卡!$D$17*AM235)/5</f>
        <v>4.4</v>
      </c>
      <c r="AR235" s="48">
        <f t="shared" si="26"/>
        <v>50.6</v>
      </c>
      <c r="AS235" s="45" t="str">
        <f t="shared" si="27"/>
        <v>腰部</v>
      </c>
      <c r="AT235" s="45" t="str">
        <f t="shared" si="28"/>
        <v/>
      </c>
      <c r="AU235" s="45" t="str">
        <f t="shared" si="29"/>
        <v>拉·主攻：主推AI外呼+大促作战包</v>
      </c>
    </row>
    <row r="236" ht="15" customHeight="1" spans="1:47">
      <c r="A236" s="30" t="s">
        <v>880</v>
      </c>
      <c r="B236" s="31" t="s">
        <v>881</v>
      </c>
      <c r="C236" s="31" t="s">
        <v>218</v>
      </c>
      <c r="D236" s="31" t="s">
        <v>202</v>
      </c>
      <c r="E236" s="31" t="s">
        <v>197</v>
      </c>
      <c r="F236" s="30" t="s">
        <v>882</v>
      </c>
      <c r="G236" s="31">
        <v>12</v>
      </c>
      <c r="H236" s="31" t="s">
        <v>301</v>
      </c>
      <c r="I236" s="31" t="s">
        <v>302</v>
      </c>
      <c r="J236" s="33">
        <v>77800</v>
      </c>
      <c r="K236" s="33">
        <v>42300</v>
      </c>
      <c r="L236" s="33">
        <v>13500</v>
      </c>
      <c r="M236" s="33">
        <f t="shared" si="24"/>
        <v>133600</v>
      </c>
      <c r="N236" s="34">
        <f t="shared" si="30"/>
        <v>0.000700416685015906</v>
      </c>
      <c r="O236" s="35">
        <f>SUM($M$2:M236)</f>
        <v>155491400</v>
      </c>
      <c r="P236" s="34">
        <f t="shared" si="31"/>
        <v>0.815185411201215</v>
      </c>
      <c r="Q236" s="37">
        <v>17.2</v>
      </c>
      <c r="R236" s="31">
        <v>9</v>
      </c>
      <c r="S236" s="31">
        <v>3</v>
      </c>
      <c r="T236" s="31">
        <v>2</v>
      </c>
      <c r="U236" s="37">
        <v>1.7</v>
      </c>
      <c r="V236" s="31">
        <v>12</v>
      </c>
      <c r="W236" s="31">
        <v>4</v>
      </c>
      <c r="X236" s="38">
        <v>13</v>
      </c>
      <c r="Y236" s="31">
        <v>3</v>
      </c>
      <c r="Z236" s="31">
        <v>0</v>
      </c>
      <c r="AA236" s="31" t="s">
        <v>185</v>
      </c>
      <c r="AB236" s="31" t="s">
        <v>220</v>
      </c>
      <c r="AC236" s="41">
        <f>IFERROR(LOOKUP(M236,打分卡!$F$7:$J$7,打分卡!$K$7:$O$7),1)</f>
        <v>3</v>
      </c>
      <c r="AD236" s="41">
        <f>IFERROR(LOOKUP(S236,打分卡!$F$8:$J$8,打分卡!$K$8:$O$8),1)</f>
        <v>3</v>
      </c>
      <c r="AE236" s="41">
        <f>IFERROR(LOOKUP(T236,打分卡!$F$9:$I$9,打分卡!$K$9:$N$9),1)</f>
        <v>3</v>
      </c>
      <c r="AF236" s="41">
        <f>IFERROR(LOOKUP(Q236,打分卡!$F$10:$J$10,打分卡!$K$10:$O$10),1)</f>
        <v>3</v>
      </c>
      <c r="AG236" s="41">
        <f>IFERROR(LOOKUP(R236,打分卡!$F$11:$J$11,打分卡!$K$11:$O$11),1)</f>
        <v>4</v>
      </c>
      <c r="AH236" s="41">
        <f>IFERROR(LOOKUP(U236,打分卡!$F$12:$J$12,打分卡!$K$12:$O$12),1)</f>
        <v>1</v>
      </c>
      <c r="AI236" s="41">
        <f>IFERROR(LOOKUP(X236,打分卡!$F$13:$J$13,打分卡!$K$13:$O$13),1)</f>
        <v>1</v>
      </c>
      <c r="AJ236" s="41">
        <f>IFERROR(LOOKUP(Y236,打分卡!$F$14:$J$14,打分卡!$K$14:$O$14),1)</f>
        <v>4</v>
      </c>
      <c r="AK236" s="41">
        <f>IFERROR(LOOKUP(W236,打分卡!$F$15:$J$15,打分卡!$K$15:$O$15),1)</f>
        <v>3</v>
      </c>
      <c r="AL236" s="43">
        <f t="shared" si="25"/>
        <v>3</v>
      </c>
      <c r="AM236" s="41">
        <f>IFERROR(LOOKUP(Z236,打分卡!$F$17:$H$17,打分卡!$K$17:$M$17),1)</f>
        <v>1</v>
      </c>
      <c r="AN236" s="44">
        <f>(打分卡!$D$7*AC236+打分卡!$D$8*AD236+打分卡!$D$9*AE236)/5</f>
        <v>24</v>
      </c>
      <c r="AO236" s="44">
        <f>(打分卡!$D$10*AF236+打分卡!$D$11*AG236)/5</f>
        <v>14</v>
      </c>
      <c r="AP236" s="44">
        <f>(打分卡!$D$12*AH236+打分卡!$D$13*AI236+打分卡!$D$14*AJ236+打分卡!$D$15*AK236)/5</f>
        <v>11.2</v>
      </c>
      <c r="AQ236" s="44">
        <f>(打分卡!$D$16*AL236+打分卡!$D$17*AM236)/5</f>
        <v>4.4</v>
      </c>
      <c r="AR236" s="47">
        <f t="shared" si="26"/>
        <v>53.6</v>
      </c>
      <c r="AS236" s="43" t="str">
        <f t="shared" si="27"/>
        <v>腰部</v>
      </c>
      <c r="AT236" s="43" t="str">
        <f t="shared" si="28"/>
        <v/>
      </c>
      <c r="AU236" s="43" t="str">
        <f t="shared" si="29"/>
        <v>拉·主攻：主推AI外呼+大促作战包</v>
      </c>
    </row>
    <row r="237" ht="15" customHeight="1" spans="1:47">
      <c r="A237" s="20" t="s">
        <v>883</v>
      </c>
      <c r="B237" s="22" t="s">
        <v>884</v>
      </c>
      <c r="C237" s="22" t="s">
        <v>189</v>
      </c>
      <c r="D237" s="22" t="s">
        <v>235</v>
      </c>
      <c r="E237" s="22" t="s">
        <v>181</v>
      </c>
      <c r="F237" s="20" t="s">
        <v>885</v>
      </c>
      <c r="G237" s="22">
        <v>11</v>
      </c>
      <c r="H237" s="22" t="s">
        <v>301</v>
      </c>
      <c r="I237" s="22" t="s">
        <v>184</v>
      </c>
      <c r="J237" s="36">
        <v>70800</v>
      </c>
      <c r="K237" s="36">
        <v>41200</v>
      </c>
      <c r="L237" s="36">
        <v>21200</v>
      </c>
      <c r="M237" s="36">
        <f t="shared" si="24"/>
        <v>133200</v>
      </c>
      <c r="N237" s="34">
        <f t="shared" si="30"/>
        <v>0.000698319629072745</v>
      </c>
      <c r="O237" s="35">
        <f>SUM($M$2:M237)</f>
        <v>155624600</v>
      </c>
      <c r="P237" s="34">
        <f t="shared" si="31"/>
        <v>0.815883730830287</v>
      </c>
      <c r="Q237" s="39">
        <v>11.7</v>
      </c>
      <c r="R237" s="22">
        <v>7</v>
      </c>
      <c r="S237" s="22">
        <v>2</v>
      </c>
      <c r="T237" s="22">
        <v>0</v>
      </c>
      <c r="U237" s="39">
        <v>3.7</v>
      </c>
      <c r="V237" s="22">
        <v>10</v>
      </c>
      <c r="W237" s="22">
        <v>1</v>
      </c>
      <c r="X237" s="40">
        <v>10</v>
      </c>
      <c r="Y237" s="22">
        <v>1</v>
      </c>
      <c r="Z237" s="22">
        <v>0</v>
      </c>
      <c r="AA237" s="22" t="s">
        <v>199</v>
      </c>
      <c r="AB237" s="22" t="s">
        <v>220</v>
      </c>
      <c r="AC237" s="42">
        <f>IFERROR(LOOKUP(M237,打分卡!$F$7:$J$7,打分卡!$K$7:$O$7),1)</f>
        <v>3</v>
      </c>
      <c r="AD237" s="42">
        <f>IFERROR(LOOKUP(S237,打分卡!$F$8:$J$8,打分卡!$K$8:$O$8),1)</f>
        <v>2</v>
      </c>
      <c r="AE237" s="42">
        <f>IFERROR(LOOKUP(T237,打分卡!$F$9:$I$9,打分卡!$K$9:$N$9),1)</f>
        <v>1</v>
      </c>
      <c r="AF237" s="42">
        <f>IFERROR(LOOKUP(Q237,打分卡!$F$10:$J$10,打分卡!$K$10:$O$10),1)</f>
        <v>3</v>
      </c>
      <c r="AG237" s="42">
        <f>IFERROR(LOOKUP(R237,打分卡!$F$11:$J$11,打分卡!$K$11:$O$11),1)</f>
        <v>3</v>
      </c>
      <c r="AH237" s="42">
        <f>IFERROR(LOOKUP(U237,打分卡!$F$12:$J$12,打分卡!$K$12:$O$12),1)</f>
        <v>2</v>
      </c>
      <c r="AI237" s="42">
        <f>IFERROR(LOOKUP(X237,打分卡!$F$13:$J$13,打分卡!$K$13:$O$13),1)</f>
        <v>1</v>
      </c>
      <c r="AJ237" s="42">
        <f>IFERROR(LOOKUP(Y237,打分卡!$F$14:$J$14,打分卡!$K$14:$O$14),1)</f>
        <v>2</v>
      </c>
      <c r="AK237" s="42">
        <f>IFERROR(LOOKUP(W237,打分卡!$F$15:$J$15,打分卡!$K$15:$O$15),1)</f>
        <v>2</v>
      </c>
      <c r="AL237" s="45">
        <f t="shared" si="25"/>
        <v>5</v>
      </c>
      <c r="AM237" s="42">
        <f>IFERROR(LOOKUP(Z237,打分卡!$F$17:$H$17,打分卡!$K$17:$M$17),1)</f>
        <v>1</v>
      </c>
      <c r="AN237" s="46">
        <f>(打分卡!$D$7*AC237+打分卡!$D$8*AD237+打分卡!$D$9*AE237)/5</f>
        <v>19.6</v>
      </c>
      <c r="AO237" s="46">
        <f>(打分卡!$D$10*AF237+打分卡!$D$11*AG237)/5</f>
        <v>12</v>
      </c>
      <c r="AP237" s="46">
        <f>(打分卡!$D$12*AH237+打分卡!$D$13*AI237+打分卡!$D$14*AJ237+打分卡!$D$15*AK237)/5</f>
        <v>10.4</v>
      </c>
      <c r="AQ237" s="46">
        <f>(打分卡!$D$16*AL237+打分卡!$D$17*AM237)/5</f>
        <v>6.8</v>
      </c>
      <c r="AR237" s="48">
        <f t="shared" si="26"/>
        <v>48.8</v>
      </c>
      <c r="AS237" s="45" t="str">
        <f t="shared" si="27"/>
        <v>腰部</v>
      </c>
      <c r="AT237" s="45" t="str">
        <f t="shared" si="28"/>
        <v/>
      </c>
      <c r="AU237" s="45" t="str">
        <f t="shared" si="29"/>
        <v>拉·主攻：主推AI外呼+大促作战包</v>
      </c>
    </row>
    <row r="238" ht="15" customHeight="1" spans="1:47">
      <c r="A238" s="30" t="s">
        <v>886</v>
      </c>
      <c r="B238" s="31" t="s">
        <v>887</v>
      </c>
      <c r="C238" s="31" t="s">
        <v>179</v>
      </c>
      <c r="D238" s="31" t="s">
        <v>196</v>
      </c>
      <c r="E238" s="31" t="s">
        <v>197</v>
      </c>
      <c r="F238" s="30" t="s">
        <v>888</v>
      </c>
      <c r="G238" s="31">
        <v>11</v>
      </c>
      <c r="H238" s="31" t="s">
        <v>301</v>
      </c>
      <c r="I238" s="31" t="s">
        <v>302</v>
      </c>
      <c r="J238" s="33">
        <v>75700</v>
      </c>
      <c r="K238" s="33">
        <v>41400</v>
      </c>
      <c r="L238" s="33">
        <v>15900</v>
      </c>
      <c r="M238" s="33">
        <f t="shared" si="24"/>
        <v>133000</v>
      </c>
      <c r="N238" s="34">
        <f t="shared" si="30"/>
        <v>0.000697271101101164</v>
      </c>
      <c r="O238" s="35">
        <f>SUM($M$2:M238)</f>
        <v>155757600</v>
      </c>
      <c r="P238" s="34">
        <f t="shared" si="31"/>
        <v>0.816581001931388</v>
      </c>
      <c r="Q238" s="37">
        <v>15.9</v>
      </c>
      <c r="R238" s="31">
        <v>8</v>
      </c>
      <c r="S238" s="31">
        <v>1</v>
      </c>
      <c r="T238" s="31">
        <v>2</v>
      </c>
      <c r="U238" s="37">
        <v>7.4</v>
      </c>
      <c r="V238" s="31">
        <v>18</v>
      </c>
      <c r="W238" s="31">
        <v>0</v>
      </c>
      <c r="X238" s="38">
        <v>14</v>
      </c>
      <c r="Y238" s="31">
        <v>2</v>
      </c>
      <c r="Z238" s="31">
        <v>0</v>
      </c>
      <c r="AA238" s="31" t="s">
        <v>199</v>
      </c>
      <c r="AB238" s="31" t="s">
        <v>220</v>
      </c>
      <c r="AC238" s="41">
        <f>IFERROR(LOOKUP(M238,打分卡!$F$7:$J$7,打分卡!$K$7:$O$7),1)</f>
        <v>3</v>
      </c>
      <c r="AD238" s="41">
        <f>IFERROR(LOOKUP(S238,打分卡!$F$8:$J$8,打分卡!$K$8:$O$8),1)</f>
        <v>1</v>
      </c>
      <c r="AE238" s="41">
        <f>IFERROR(LOOKUP(T238,打分卡!$F$9:$I$9,打分卡!$K$9:$N$9),1)</f>
        <v>3</v>
      </c>
      <c r="AF238" s="41">
        <f>IFERROR(LOOKUP(Q238,打分卡!$F$10:$J$10,打分卡!$K$10:$O$10),1)</f>
        <v>3</v>
      </c>
      <c r="AG238" s="41">
        <f>IFERROR(LOOKUP(R238,打分卡!$F$11:$J$11,打分卡!$K$11:$O$11),1)</f>
        <v>3</v>
      </c>
      <c r="AH238" s="41">
        <f>IFERROR(LOOKUP(U238,打分卡!$F$12:$J$12,打分卡!$K$12:$O$12),1)</f>
        <v>2</v>
      </c>
      <c r="AI238" s="41">
        <f>IFERROR(LOOKUP(X238,打分卡!$F$13:$J$13,打分卡!$K$13:$O$13),1)</f>
        <v>1</v>
      </c>
      <c r="AJ238" s="41">
        <f>IFERROR(LOOKUP(Y238,打分卡!$F$14:$J$14,打分卡!$K$14:$O$14),1)</f>
        <v>3</v>
      </c>
      <c r="AK238" s="41">
        <f>IFERROR(LOOKUP(W238,打分卡!$F$15:$J$15,打分卡!$K$15:$O$15),1)</f>
        <v>1</v>
      </c>
      <c r="AL238" s="43">
        <f t="shared" si="25"/>
        <v>5</v>
      </c>
      <c r="AM238" s="41">
        <f>IFERROR(LOOKUP(Z238,打分卡!$F$17:$H$17,打分卡!$K$17:$M$17),1)</f>
        <v>1</v>
      </c>
      <c r="AN238" s="44">
        <f>(打分卡!$D$7*AC238+打分卡!$D$8*AD238+打分卡!$D$9*AE238)/5</f>
        <v>20.8</v>
      </c>
      <c r="AO238" s="44">
        <f>(打分卡!$D$10*AF238+打分卡!$D$11*AG238)/5</f>
        <v>12</v>
      </c>
      <c r="AP238" s="44">
        <f>(打分卡!$D$12*AH238+打分卡!$D$13*AI238+打分卡!$D$14*AJ238+打分卡!$D$15*AK238)/5</f>
        <v>10.8</v>
      </c>
      <c r="AQ238" s="44">
        <f>(打分卡!$D$16*AL238+打分卡!$D$17*AM238)/5</f>
        <v>6.8</v>
      </c>
      <c r="AR238" s="47">
        <f t="shared" si="26"/>
        <v>50.4</v>
      </c>
      <c r="AS238" s="43" t="str">
        <f t="shared" si="27"/>
        <v>腰部</v>
      </c>
      <c r="AT238" s="43" t="str">
        <f t="shared" si="28"/>
        <v/>
      </c>
      <c r="AU238" s="43" t="str">
        <f t="shared" si="29"/>
        <v>拉·主攻：主推AI外呼+大促作战包</v>
      </c>
    </row>
    <row r="239" ht="15" customHeight="1" spans="1:47">
      <c r="A239" s="20" t="s">
        <v>889</v>
      </c>
      <c r="B239" s="22" t="s">
        <v>890</v>
      </c>
      <c r="C239" s="22" t="s">
        <v>209</v>
      </c>
      <c r="D239" s="22" t="s">
        <v>235</v>
      </c>
      <c r="E239" s="22" t="s">
        <v>181</v>
      </c>
      <c r="F239" s="20" t="s">
        <v>555</v>
      </c>
      <c r="G239" s="22">
        <v>10</v>
      </c>
      <c r="H239" s="22" t="s">
        <v>301</v>
      </c>
      <c r="I239" s="22" t="s">
        <v>302</v>
      </c>
      <c r="J239" s="36">
        <v>77500</v>
      </c>
      <c r="K239" s="36">
        <v>34200</v>
      </c>
      <c r="L239" s="36">
        <v>21000</v>
      </c>
      <c r="M239" s="36">
        <f t="shared" si="24"/>
        <v>132700</v>
      </c>
      <c r="N239" s="34">
        <f t="shared" si="30"/>
        <v>0.000695698309143793</v>
      </c>
      <c r="O239" s="35">
        <f>SUM($M$2:M239)</f>
        <v>155890300</v>
      </c>
      <c r="P239" s="34">
        <f t="shared" si="31"/>
        <v>0.817276700240532</v>
      </c>
      <c r="Q239" s="39">
        <v>19.3</v>
      </c>
      <c r="R239" s="22">
        <v>8</v>
      </c>
      <c r="S239" s="22">
        <v>1</v>
      </c>
      <c r="T239" s="22">
        <v>2</v>
      </c>
      <c r="U239" s="39">
        <v>25.8</v>
      </c>
      <c r="V239" s="22">
        <v>12</v>
      </c>
      <c r="W239" s="22">
        <v>0</v>
      </c>
      <c r="X239" s="40">
        <v>89</v>
      </c>
      <c r="Y239" s="22">
        <v>2</v>
      </c>
      <c r="Z239" s="22">
        <v>1</v>
      </c>
      <c r="AA239" s="22" t="s">
        <v>315</v>
      </c>
      <c r="AB239" s="22" t="s">
        <v>220</v>
      </c>
      <c r="AC239" s="42">
        <f>IFERROR(LOOKUP(M239,打分卡!$F$7:$J$7,打分卡!$K$7:$O$7),1)</f>
        <v>3</v>
      </c>
      <c r="AD239" s="42">
        <f>IFERROR(LOOKUP(S239,打分卡!$F$8:$J$8,打分卡!$K$8:$O$8),1)</f>
        <v>1</v>
      </c>
      <c r="AE239" s="42">
        <f>IFERROR(LOOKUP(T239,打分卡!$F$9:$I$9,打分卡!$K$9:$N$9),1)</f>
        <v>3</v>
      </c>
      <c r="AF239" s="42">
        <f>IFERROR(LOOKUP(Q239,打分卡!$F$10:$J$10,打分卡!$K$10:$O$10),1)</f>
        <v>3</v>
      </c>
      <c r="AG239" s="42">
        <f>IFERROR(LOOKUP(R239,打分卡!$F$11:$J$11,打分卡!$K$11:$O$11),1)</f>
        <v>3</v>
      </c>
      <c r="AH239" s="42">
        <f>IFERROR(LOOKUP(U239,打分卡!$F$12:$J$12,打分卡!$K$12:$O$12),1)</f>
        <v>3</v>
      </c>
      <c r="AI239" s="42">
        <f>IFERROR(LOOKUP(X239,打分卡!$F$13:$J$13,打分卡!$K$13:$O$13),1)</f>
        <v>4</v>
      </c>
      <c r="AJ239" s="42">
        <f>IFERROR(LOOKUP(Y239,打分卡!$F$14:$J$14,打分卡!$K$14:$O$14),1)</f>
        <v>3</v>
      </c>
      <c r="AK239" s="42">
        <f>IFERROR(LOOKUP(W239,打分卡!$F$15:$J$15,打分卡!$K$15:$O$15),1)</f>
        <v>1</v>
      </c>
      <c r="AL239" s="45">
        <f t="shared" si="25"/>
        <v>2</v>
      </c>
      <c r="AM239" s="42">
        <f>IFERROR(LOOKUP(Z239,打分卡!$F$17:$H$17,打分卡!$K$17:$M$17),1)</f>
        <v>3</v>
      </c>
      <c r="AN239" s="46">
        <f>(打分卡!$D$7*AC239+打分卡!$D$8*AD239+打分卡!$D$9*AE239)/5</f>
        <v>20.8</v>
      </c>
      <c r="AO239" s="46">
        <f>(打分卡!$D$10*AF239+打分卡!$D$11*AG239)/5</f>
        <v>12</v>
      </c>
      <c r="AP239" s="46">
        <f>(打分卡!$D$12*AH239+打分卡!$D$13*AI239+打分卡!$D$14*AJ239+打分卡!$D$15*AK239)/5</f>
        <v>18</v>
      </c>
      <c r="AQ239" s="46">
        <f>(打分卡!$D$16*AL239+打分卡!$D$17*AM239)/5</f>
        <v>4.8</v>
      </c>
      <c r="AR239" s="48">
        <f t="shared" si="26"/>
        <v>55.6</v>
      </c>
      <c r="AS239" s="45" t="str">
        <f t="shared" si="27"/>
        <v>腰部</v>
      </c>
      <c r="AT239" s="45" t="str">
        <f t="shared" si="28"/>
        <v/>
      </c>
      <c r="AU239" s="45" t="str">
        <f t="shared" si="29"/>
        <v>拉·主攻：主推AI外呼+大促作战包</v>
      </c>
    </row>
    <row r="240" ht="15" customHeight="1" spans="1:47">
      <c r="A240" s="30" t="s">
        <v>891</v>
      </c>
      <c r="B240" s="31" t="s">
        <v>892</v>
      </c>
      <c r="C240" s="31" t="s">
        <v>239</v>
      </c>
      <c r="D240" s="31" t="s">
        <v>202</v>
      </c>
      <c r="E240" s="31" t="s">
        <v>181</v>
      </c>
      <c r="F240" s="30" t="s">
        <v>893</v>
      </c>
      <c r="G240" s="31">
        <v>8</v>
      </c>
      <c r="H240" s="31" t="s">
        <v>301</v>
      </c>
      <c r="I240" s="31" t="s">
        <v>302</v>
      </c>
      <c r="J240" s="33">
        <v>68000</v>
      </c>
      <c r="K240" s="33">
        <v>51800</v>
      </c>
      <c r="L240" s="33">
        <v>12500</v>
      </c>
      <c r="M240" s="33">
        <f t="shared" si="24"/>
        <v>132300</v>
      </c>
      <c r="N240" s="34">
        <f t="shared" si="30"/>
        <v>0.000693601253200632</v>
      </c>
      <c r="O240" s="35">
        <f>SUM($M$2:M240)</f>
        <v>156022600</v>
      </c>
      <c r="P240" s="34">
        <f t="shared" si="31"/>
        <v>0.817970301493733</v>
      </c>
      <c r="Q240" s="37">
        <v>12.2</v>
      </c>
      <c r="R240" s="31">
        <v>7</v>
      </c>
      <c r="S240" s="31">
        <v>2</v>
      </c>
      <c r="T240" s="31">
        <v>1</v>
      </c>
      <c r="U240" s="37">
        <v>3.5</v>
      </c>
      <c r="V240" s="31">
        <v>23</v>
      </c>
      <c r="W240" s="31">
        <v>0</v>
      </c>
      <c r="X240" s="38">
        <v>14</v>
      </c>
      <c r="Y240" s="31">
        <v>3</v>
      </c>
      <c r="Z240" s="31">
        <v>1</v>
      </c>
      <c r="AA240" s="31" t="s">
        <v>199</v>
      </c>
      <c r="AB240" s="31" t="s">
        <v>220</v>
      </c>
      <c r="AC240" s="41">
        <f>IFERROR(LOOKUP(M240,打分卡!$F$7:$J$7,打分卡!$K$7:$O$7),1)</f>
        <v>3</v>
      </c>
      <c r="AD240" s="41">
        <f>IFERROR(LOOKUP(S240,打分卡!$F$8:$J$8,打分卡!$K$8:$O$8),1)</f>
        <v>2</v>
      </c>
      <c r="AE240" s="41">
        <f>IFERROR(LOOKUP(T240,打分卡!$F$9:$I$9,打分卡!$K$9:$N$9),1)</f>
        <v>2</v>
      </c>
      <c r="AF240" s="41">
        <f>IFERROR(LOOKUP(Q240,打分卡!$F$10:$J$10,打分卡!$K$10:$O$10),1)</f>
        <v>3</v>
      </c>
      <c r="AG240" s="41">
        <f>IFERROR(LOOKUP(R240,打分卡!$F$11:$J$11,打分卡!$K$11:$O$11),1)</f>
        <v>3</v>
      </c>
      <c r="AH240" s="41">
        <f>IFERROR(LOOKUP(U240,打分卡!$F$12:$J$12,打分卡!$K$12:$O$12),1)</f>
        <v>2</v>
      </c>
      <c r="AI240" s="41">
        <f>IFERROR(LOOKUP(X240,打分卡!$F$13:$J$13,打分卡!$K$13:$O$13),1)</f>
        <v>1</v>
      </c>
      <c r="AJ240" s="41">
        <f>IFERROR(LOOKUP(Y240,打分卡!$F$14:$J$14,打分卡!$K$14:$O$14),1)</f>
        <v>4</v>
      </c>
      <c r="AK240" s="41">
        <f>IFERROR(LOOKUP(W240,打分卡!$F$15:$J$15,打分卡!$K$15:$O$15),1)</f>
        <v>1</v>
      </c>
      <c r="AL240" s="43">
        <f t="shared" si="25"/>
        <v>5</v>
      </c>
      <c r="AM240" s="41">
        <f>IFERROR(LOOKUP(Z240,打分卡!$F$17:$H$17,打分卡!$K$17:$M$17),1)</f>
        <v>3</v>
      </c>
      <c r="AN240" s="44">
        <f>(打分卡!$D$7*AC240+打分卡!$D$8*AD240+打分卡!$D$9*AE240)/5</f>
        <v>21</v>
      </c>
      <c r="AO240" s="44">
        <f>(打分卡!$D$10*AF240+打分卡!$D$11*AG240)/5</f>
        <v>12</v>
      </c>
      <c r="AP240" s="44">
        <f>(打分卡!$D$12*AH240+打分卡!$D$13*AI240+打分卡!$D$14*AJ240+打分卡!$D$15*AK240)/5</f>
        <v>12</v>
      </c>
      <c r="AQ240" s="44">
        <f>(打分卡!$D$16*AL240+打分卡!$D$17*AM240)/5</f>
        <v>8.4</v>
      </c>
      <c r="AR240" s="47">
        <f t="shared" si="26"/>
        <v>53.4</v>
      </c>
      <c r="AS240" s="43" t="str">
        <f t="shared" si="27"/>
        <v>腰部</v>
      </c>
      <c r="AT240" s="43" t="str">
        <f t="shared" si="28"/>
        <v/>
      </c>
      <c r="AU240" s="43" t="str">
        <f t="shared" si="29"/>
        <v>拉·主攻：主推AI外呼+大促作战包</v>
      </c>
    </row>
    <row r="241" ht="15" customHeight="1" spans="1:47">
      <c r="A241" s="20" t="s">
        <v>894</v>
      </c>
      <c r="B241" s="22" t="s">
        <v>895</v>
      </c>
      <c r="C241" s="22" t="s">
        <v>179</v>
      </c>
      <c r="D241" s="22" t="s">
        <v>202</v>
      </c>
      <c r="E241" s="22" t="s">
        <v>181</v>
      </c>
      <c r="F241" s="20" t="s">
        <v>896</v>
      </c>
      <c r="G241" s="22">
        <v>5</v>
      </c>
      <c r="H241" s="22" t="s">
        <v>301</v>
      </c>
      <c r="I241" s="22" t="s">
        <v>302</v>
      </c>
      <c r="J241" s="36">
        <v>59800</v>
      </c>
      <c r="K241" s="36">
        <v>35000</v>
      </c>
      <c r="L241" s="36">
        <v>37200</v>
      </c>
      <c r="M241" s="36">
        <f t="shared" si="24"/>
        <v>132000</v>
      </c>
      <c r="N241" s="34">
        <f t="shared" si="30"/>
        <v>0.000692028461243261</v>
      </c>
      <c r="O241" s="35">
        <f>SUM($M$2:M241)</f>
        <v>156154600</v>
      </c>
      <c r="P241" s="34">
        <f t="shared" si="31"/>
        <v>0.818662329954976</v>
      </c>
      <c r="Q241" s="39">
        <v>20.8</v>
      </c>
      <c r="R241" s="22">
        <v>9</v>
      </c>
      <c r="S241" s="22">
        <v>2</v>
      </c>
      <c r="T241" s="22">
        <v>2</v>
      </c>
      <c r="U241" s="39">
        <v>1.1</v>
      </c>
      <c r="V241" s="22">
        <v>23</v>
      </c>
      <c r="W241" s="22">
        <v>1</v>
      </c>
      <c r="X241" s="40">
        <v>24</v>
      </c>
      <c r="Y241" s="22">
        <v>1</v>
      </c>
      <c r="Z241" s="22">
        <v>0</v>
      </c>
      <c r="AA241" s="22" t="s">
        <v>315</v>
      </c>
      <c r="AB241" s="22" t="s">
        <v>220</v>
      </c>
      <c r="AC241" s="42">
        <f>IFERROR(LOOKUP(M241,打分卡!$F$7:$J$7,打分卡!$K$7:$O$7),1)</f>
        <v>3</v>
      </c>
      <c r="AD241" s="42">
        <f>IFERROR(LOOKUP(S241,打分卡!$F$8:$J$8,打分卡!$K$8:$O$8),1)</f>
        <v>2</v>
      </c>
      <c r="AE241" s="42">
        <f>IFERROR(LOOKUP(T241,打分卡!$F$9:$I$9,打分卡!$K$9:$N$9),1)</f>
        <v>3</v>
      </c>
      <c r="AF241" s="42">
        <f>IFERROR(LOOKUP(Q241,打分卡!$F$10:$J$10,打分卡!$K$10:$O$10),1)</f>
        <v>3</v>
      </c>
      <c r="AG241" s="42">
        <f>IFERROR(LOOKUP(R241,打分卡!$F$11:$J$11,打分卡!$K$11:$O$11),1)</f>
        <v>4</v>
      </c>
      <c r="AH241" s="42">
        <f>IFERROR(LOOKUP(U241,打分卡!$F$12:$J$12,打分卡!$K$12:$O$12),1)</f>
        <v>1</v>
      </c>
      <c r="AI241" s="42">
        <f>IFERROR(LOOKUP(X241,打分卡!$F$13:$J$13,打分卡!$K$13:$O$13),1)</f>
        <v>2</v>
      </c>
      <c r="AJ241" s="42">
        <f>IFERROR(LOOKUP(Y241,打分卡!$F$14:$J$14,打分卡!$K$14:$O$14),1)</f>
        <v>2</v>
      </c>
      <c r="AK241" s="42">
        <f>IFERROR(LOOKUP(W241,打分卡!$F$15:$J$15,打分卡!$K$15:$O$15),1)</f>
        <v>2</v>
      </c>
      <c r="AL241" s="45">
        <f t="shared" si="25"/>
        <v>2</v>
      </c>
      <c r="AM241" s="42">
        <f>IFERROR(LOOKUP(Z241,打分卡!$F$17:$H$17,打分卡!$K$17:$M$17),1)</f>
        <v>1</v>
      </c>
      <c r="AN241" s="46">
        <f>(打分卡!$D$7*AC241+打分卡!$D$8*AD241+打分卡!$D$9*AE241)/5</f>
        <v>22.4</v>
      </c>
      <c r="AO241" s="46">
        <f>(打分卡!$D$10*AF241+打分卡!$D$11*AG241)/5</f>
        <v>14</v>
      </c>
      <c r="AP241" s="46">
        <f>(打分卡!$D$12*AH241+打分卡!$D$13*AI241+打分卡!$D$14*AJ241+打分卡!$D$15*AK241)/5</f>
        <v>9.6</v>
      </c>
      <c r="AQ241" s="46">
        <f>(打分卡!$D$16*AL241+打分卡!$D$17*AM241)/5</f>
        <v>3.2</v>
      </c>
      <c r="AR241" s="48">
        <f t="shared" si="26"/>
        <v>49.2</v>
      </c>
      <c r="AS241" s="45" t="str">
        <f t="shared" si="27"/>
        <v>腰部</v>
      </c>
      <c r="AT241" s="45" t="str">
        <f t="shared" si="28"/>
        <v/>
      </c>
      <c r="AU241" s="45" t="str">
        <f t="shared" si="29"/>
        <v>拉·主攻：主推AI外呼+大促作战包</v>
      </c>
    </row>
    <row r="242" ht="15" customHeight="1" spans="1:47">
      <c r="A242" s="30" t="s">
        <v>897</v>
      </c>
      <c r="B242" s="31" t="s">
        <v>898</v>
      </c>
      <c r="C242" s="31" t="s">
        <v>189</v>
      </c>
      <c r="D242" s="31" t="s">
        <v>235</v>
      </c>
      <c r="E242" s="31" t="s">
        <v>197</v>
      </c>
      <c r="F242" s="30" t="s">
        <v>899</v>
      </c>
      <c r="G242" s="31">
        <v>9</v>
      </c>
      <c r="H242" s="31" t="s">
        <v>301</v>
      </c>
      <c r="I242" s="31" t="s">
        <v>184</v>
      </c>
      <c r="J242" s="33">
        <v>76600</v>
      </c>
      <c r="K242" s="33">
        <v>48400</v>
      </c>
      <c r="L242" s="33">
        <v>6800</v>
      </c>
      <c r="M242" s="33">
        <f t="shared" si="24"/>
        <v>131800</v>
      </c>
      <c r="N242" s="34">
        <f t="shared" si="30"/>
        <v>0.00069097993327168</v>
      </c>
      <c r="O242" s="35">
        <f>SUM($M$2:M242)</f>
        <v>156286400</v>
      </c>
      <c r="P242" s="34">
        <f t="shared" si="31"/>
        <v>0.819353309888248</v>
      </c>
      <c r="Q242" s="37">
        <v>13.1</v>
      </c>
      <c r="R242" s="31">
        <v>1</v>
      </c>
      <c r="S242" s="31">
        <v>1</v>
      </c>
      <c r="T242" s="31">
        <v>0</v>
      </c>
      <c r="U242" s="37">
        <v>77.4</v>
      </c>
      <c r="V242" s="31">
        <v>20</v>
      </c>
      <c r="W242" s="31">
        <v>1</v>
      </c>
      <c r="X242" s="38">
        <v>23</v>
      </c>
      <c r="Y242" s="31">
        <v>2</v>
      </c>
      <c r="Z242" s="31">
        <v>0</v>
      </c>
      <c r="AA242" s="31" t="s">
        <v>185</v>
      </c>
      <c r="AB242" s="31" t="s">
        <v>220</v>
      </c>
      <c r="AC242" s="41">
        <f>IFERROR(LOOKUP(M242,打分卡!$F$7:$J$7,打分卡!$K$7:$O$7),1)</f>
        <v>3</v>
      </c>
      <c r="AD242" s="41">
        <f>IFERROR(LOOKUP(S242,打分卡!$F$8:$J$8,打分卡!$K$8:$O$8),1)</f>
        <v>1</v>
      </c>
      <c r="AE242" s="41">
        <f>IFERROR(LOOKUP(T242,打分卡!$F$9:$I$9,打分卡!$K$9:$N$9),1)</f>
        <v>1</v>
      </c>
      <c r="AF242" s="41">
        <f>IFERROR(LOOKUP(Q242,打分卡!$F$10:$J$10,打分卡!$K$10:$O$10),1)</f>
        <v>3</v>
      </c>
      <c r="AG242" s="41">
        <f>IFERROR(LOOKUP(R242,打分卡!$F$11:$J$11,打分卡!$K$11:$O$11),1)</f>
        <v>1</v>
      </c>
      <c r="AH242" s="41">
        <f>IFERROR(LOOKUP(U242,打分卡!$F$12:$J$12,打分卡!$K$12:$O$12),1)</f>
        <v>5</v>
      </c>
      <c r="AI242" s="41">
        <f>IFERROR(LOOKUP(X242,打分卡!$F$13:$J$13,打分卡!$K$13:$O$13),1)</f>
        <v>2</v>
      </c>
      <c r="AJ242" s="41">
        <f>IFERROR(LOOKUP(Y242,打分卡!$F$14:$J$14,打分卡!$K$14:$O$14),1)</f>
        <v>3</v>
      </c>
      <c r="AK242" s="41">
        <f>IFERROR(LOOKUP(W242,打分卡!$F$15:$J$15,打分卡!$K$15:$O$15),1)</f>
        <v>2</v>
      </c>
      <c r="AL242" s="43">
        <f t="shared" si="25"/>
        <v>3</v>
      </c>
      <c r="AM242" s="41">
        <f>IFERROR(LOOKUP(Z242,打分卡!$F$17:$H$17,打分卡!$K$17:$M$17),1)</f>
        <v>1</v>
      </c>
      <c r="AN242" s="44">
        <f>(打分卡!$D$7*AC242+打分卡!$D$8*AD242+打分卡!$D$9*AE242)/5</f>
        <v>18</v>
      </c>
      <c r="AO242" s="44">
        <f>(打分卡!$D$10*AF242+打分卡!$D$11*AG242)/5</f>
        <v>8</v>
      </c>
      <c r="AP242" s="44">
        <f>(打分卡!$D$12*AH242+打分卡!$D$13*AI242+打分卡!$D$14*AJ242+打分卡!$D$15*AK242)/5</f>
        <v>20.4</v>
      </c>
      <c r="AQ242" s="44">
        <f>(打分卡!$D$16*AL242+打分卡!$D$17*AM242)/5</f>
        <v>4.4</v>
      </c>
      <c r="AR242" s="47">
        <f t="shared" si="26"/>
        <v>50.8</v>
      </c>
      <c r="AS242" s="43" t="str">
        <f t="shared" si="27"/>
        <v>腰部</v>
      </c>
      <c r="AT242" s="43" t="str">
        <f t="shared" si="28"/>
        <v/>
      </c>
      <c r="AU242" s="43" t="str">
        <f t="shared" si="29"/>
        <v>拉·主攻：主推AI外呼+大促作战包</v>
      </c>
    </row>
    <row r="243" ht="15" customHeight="1" spans="1:47">
      <c r="A243" s="20" t="s">
        <v>900</v>
      </c>
      <c r="B243" s="22" t="s">
        <v>901</v>
      </c>
      <c r="C243" s="22" t="s">
        <v>179</v>
      </c>
      <c r="D243" s="22" t="s">
        <v>190</v>
      </c>
      <c r="E243" s="22" t="s">
        <v>197</v>
      </c>
      <c r="F243" s="20" t="s">
        <v>902</v>
      </c>
      <c r="G243" s="22">
        <v>23</v>
      </c>
      <c r="H243" s="22" t="s">
        <v>301</v>
      </c>
      <c r="I243" s="22" t="s">
        <v>184</v>
      </c>
      <c r="J243" s="36">
        <v>82900</v>
      </c>
      <c r="K243" s="36">
        <v>41500</v>
      </c>
      <c r="L243" s="36">
        <v>6500</v>
      </c>
      <c r="M243" s="36">
        <f t="shared" si="24"/>
        <v>130900</v>
      </c>
      <c r="N243" s="34">
        <f t="shared" si="30"/>
        <v>0.000686261557399567</v>
      </c>
      <c r="O243" s="35">
        <f>SUM($M$2:M243)</f>
        <v>156417300</v>
      </c>
      <c r="P243" s="34">
        <f t="shared" si="31"/>
        <v>0.820039571445647</v>
      </c>
      <c r="Q243" s="39">
        <v>11.1</v>
      </c>
      <c r="R243" s="22">
        <v>4</v>
      </c>
      <c r="S243" s="22">
        <v>1</v>
      </c>
      <c r="T243" s="22">
        <v>0</v>
      </c>
      <c r="U243" s="39">
        <v>1.9</v>
      </c>
      <c r="V243" s="22">
        <v>24</v>
      </c>
      <c r="W243" s="22">
        <v>2</v>
      </c>
      <c r="X243" s="40">
        <v>41</v>
      </c>
      <c r="Y243" s="22">
        <v>3</v>
      </c>
      <c r="Z243" s="22">
        <v>0</v>
      </c>
      <c r="AA243" s="22" t="s">
        <v>199</v>
      </c>
      <c r="AB243" s="22" t="s">
        <v>220</v>
      </c>
      <c r="AC243" s="42">
        <f>IFERROR(LOOKUP(M243,打分卡!$F$7:$J$7,打分卡!$K$7:$O$7),1)</f>
        <v>3</v>
      </c>
      <c r="AD243" s="42">
        <f>IFERROR(LOOKUP(S243,打分卡!$F$8:$J$8,打分卡!$K$8:$O$8),1)</f>
        <v>1</v>
      </c>
      <c r="AE243" s="42">
        <f>IFERROR(LOOKUP(T243,打分卡!$F$9:$I$9,打分卡!$K$9:$N$9),1)</f>
        <v>1</v>
      </c>
      <c r="AF243" s="42">
        <f>IFERROR(LOOKUP(Q243,打分卡!$F$10:$J$10,打分卡!$K$10:$O$10),1)</f>
        <v>3</v>
      </c>
      <c r="AG243" s="42">
        <f>IFERROR(LOOKUP(R243,打分卡!$F$11:$J$11,打分卡!$K$11:$O$11),1)</f>
        <v>2</v>
      </c>
      <c r="AH243" s="42">
        <f>IFERROR(LOOKUP(U243,打分卡!$F$12:$J$12,打分卡!$K$12:$O$12),1)</f>
        <v>1</v>
      </c>
      <c r="AI243" s="42">
        <f>IFERROR(LOOKUP(X243,打分卡!$F$13:$J$13,打分卡!$K$13:$O$13),1)</f>
        <v>3</v>
      </c>
      <c r="AJ243" s="42">
        <f>IFERROR(LOOKUP(Y243,打分卡!$F$14:$J$14,打分卡!$K$14:$O$14),1)</f>
        <v>4</v>
      </c>
      <c r="AK243" s="42">
        <f>IFERROR(LOOKUP(W243,打分卡!$F$15:$J$15,打分卡!$K$15:$O$15),1)</f>
        <v>2</v>
      </c>
      <c r="AL243" s="45">
        <f t="shared" si="25"/>
        <v>5</v>
      </c>
      <c r="AM243" s="42">
        <f>IFERROR(LOOKUP(Z243,打分卡!$F$17:$H$17,打分卡!$K$17:$M$17),1)</f>
        <v>1</v>
      </c>
      <c r="AN243" s="46">
        <f>(打分卡!$D$7*AC243+打分卡!$D$8*AD243+打分卡!$D$9*AE243)/5</f>
        <v>18</v>
      </c>
      <c r="AO243" s="46">
        <f>(打分卡!$D$10*AF243+打分卡!$D$11*AG243)/5</f>
        <v>10</v>
      </c>
      <c r="AP243" s="46">
        <f>(打分卡!$D$12*AH243+打分卡!$D$13*AI243+打分卡!$D$14*AJ243+打分卡!$D$15*AK243)/5</f>
        <v>13.6</v>
      </c>
      <c r="AQ243" s="46">
        <f>(打分卡!$D$16*AL243+打分卡!$D$17*AM243)/5</f>
        <v>6.8</v>
      </c>
      <c r="AR243" s="48">
        <f t="shared" si="26"/>
        <v>48.4</v>
      </c>
      <c r="AS243" s="45" t="str">
        <f t="shared" si="27"/>
        <v>腰部</v>
      </c>
      <c r="AT243" s="45" t="str">
        <f t="shared" si="28"/>
        <v/>
      </c>
      <c r="AU243" s="45" t="str">
        <f t="shared" si="29"/>
        <v>拉·主攻：主推AI外呼+大促作战包</v>
      </c>
    </row>
    <row r="244" ht="15" customHeight="1" spans="1:47">
      <c r="A244" s="30" t="s">
        <v>903</v>
      </c>
      <c r="B244" s="31" t="s">
        <v>904</v>
      </c>
      <c r="C244" s="31" t="s">
        <v>218</v>
      </c>
      <c r="D244" s="31" t="s">
        <v>202</v>
      </c>
      <c r="E244" s="31" t="s">
        <v>181</v>
      </c>
      <c r="F244" s="30" t="s">
        <v>905</v>
      </c>
      <c r="G244" s="31">
        <v>9</v>
      </c>
      <c r="H244" s="31" t="s">
        <v>301</v>
      </c>
      <c r="I244" s="31" t="s">
        <v>302</v>
      </c>
      <c r="J244" s="33">
        <v>83200</v>
      </c>
      <c r="K244" s="33">
        <v>29100</v>
      </c>
      <c r="L244" s="33">
        <v>17700</v>
      </c>
      <c r="M244" s="33">
        <f t="shared" si="24"/>
        <v>130000</v>
      </c>
      <c r="N244" s="34">
        <f t="shared" si="30"/>
        <v>0.000681543181527454</v>
      </c>
      <c r="O244" s="35">
        <f>SUM($M$2:M244)</f>
        <v>156547300</v>
      </c>
      <c r="P244" s="34">
        <f t="shared" si="31"/>
        <v>0.820721114627175</v>
      </c>
      <c r="Q244" s="37">
        <v>10.7</v>
      </c>
      <c r="R244" s="31">
        <v>7</v>
      </c>
      <c r="S244" s="31">
        <v>1</v>
      </c>
      <c r="T244" s="31">
        <v>1</v>
      </c>
      <c r="U244" s="37">
        <v>2.5</v>
      </c>
      <c r="V244" s="31">
        <v>10</v>
      </c>
      <c r="W244" s="31">
        <v>0</v>
      </c>
      <c r="X244" s="38">
        <v>11</v>
      </c>
      <c r="Y244" s="31">
        <v>2</v>
      </c>
      <c r="Z244" s="31">
        <v>0</v>
      </c>
      <c r="AA244" s="31" t="s">
        <v>199</v>
      </c>
      <c r="AB244" s="31" t="s">
        <v>220</v>
      </c>
      <c r="AC244" s="41">
        <f>IFERROR(LOOKUP(M244,打分卡!$F$7:$J$7,打分卡!$K$7:$O$7),1)</f>
        <v>3</v>
      </c>
      <c r="AD244" s="41">
        <f>IFERROR(LOOKUP(S244,打分卡!$F$8:$J$8,打分卡!$K$8:$O$8),1)</f>
        <v>1</v>
      </c>
      <c r="AE244" s="41">
        <f>IFERROR(LOOKUP(T244,打分卡!$F$9:$I$9,打分卡!$K$9:$N$9),1)</f>
        <v>2</v>
      </c>
      <c r="AF244" s="41">
        <f>IFERROR(LOOKUP(Q244,打分卡!$F$10:$J$10,打分卡!$K$10:$O$10),1)</f>
        <v>3</v>
      </c>
      <c r="AG244" s="41">
        <f>IFERROR(LOOKUP(R244,打分卡!$F$11:$J$11,打分卡!$K$11:$O$11),1)</f>
        <v>3</v>
      </c>
      <c r="AH244" s="41">
        <f>IFERROR(LOOKUP(U244,打分卡!$F$12:$J$12,打分卡!$K$12:$O$12),1)</f>
        <v>1</v>
      </c>
      <c r="AI244" s="41">
        <f>IFERROR(LOOKUP(X244,打分卡!$F$13:$J$13,打分卡!$K$13:$O$13),1)</f>
        <v>1</v>
      </c>
      <c r="AJ244" s="41">
        <f>IFERROR(LOOKUP(Y244,打分卡!$F$14:$J$14,打分卡!$K$14:$O$14),1)</f>
        <v>3</v>
      </c>
      <c r="AK244" s="41">
        <f>IFERROR(LOOKUP(W244,打分卡!$F$15:$J$15,打分卡!$K$15:$O$15),1)</f>
        <v>1</v>
      </c>
      <c r="AL244" s="43">
        <f t="shared" si="25"/>
        <v>5</v>
      </c>
      <c r="AM244" s="41">
        <f>IFERROR(LOOKUP(Z244,打分卡!$F$17:$H$17,打分卡!$K$17:$M$17),1)</f>
        <v>1</v>
      </c>
      <c r="AN244" s="44">
        <f>(打分卡!$D$7*AC244+打分卡!$D$8*AD244+打分卡!$D$9*AE244)/5</f>
        <v>19.4</v>
      </c>
      <c r="AO244" s="44">
        <f>(打分卡!$D$10*AF244+打分卡!$D$11*AG244)/5</f>
        <v>12</v>
      </c>
      <c r="AP244" s="44">
        <f>(打分卡!$D$12*AH244+打分卡!$D$13*AI244+打分卡!$D$14*AJ244+打分卡!$D$15*AK244)/5</f>
        <v>8.4</v>
      </c>
      <c r="AQ244" s="44">
        <f>(打分卡!$D$16*AL244+打分卡!$D$17*AM244)/5</f>
        <v>6.8</v>
      </c>
      <c r="AR244" s="47">
        <f t="shared" si="26"/>
        <v>46.6</v>
      </c>
      <c r="AS244" s="43" t="str">
        <f t="shared" si="27"/>
        <v>腰部</v>
      </c>
      <c r="AT244" s="43" t="str">
        <f t="shared" si="28"/>
        <v/>
      </c>
      <c r="AU244" s="43" t="str">
        <f t="shared" si="29"/>
        <v>拉·主攻：主推AI外呼+大促作战包</v>
      </c>
    </row>
    <row r="245" ht="15" customHeight="1" spans="1:47">
      <c r="A245" s="20" t="s">
        <v>906</v>
      </c>
      <c r="B245" s="22" t="s">
        <v>907</v>
      </c>
      <c r="C245" s="22" t="s">
        <v>218</v>
      </c>
      <c r="D245" s="22" t="s">
        <v>202</v>
      </c>
      <c r="E245" s="22" t="s">
        <v>181</v>
      </c>
      <c r="F245" s="20" t="s">
        <v>908</v>
      </c>
      <c r="G245" s="22">
        <v>5</v>
      </c>
      <c r="H245" s="22" t="s">
        <v>301</v>
      </c>
      <c r="I245" s="22" t="s">
        <v>184</v>
      </c>
      <c r="J245" s="36">
        <v>80300</v>
      </c>
      <c r="K245" s="36">
        <v>33700</v>
      </c>
      <c r="L245" s="36">
        <v>15800</v>
      </c>
      <c r="M245" s="36">
        <f t="shared" si="24"/>
        <v>129800</v>
      </c>
      <c r="N245" s="34">
        <f t="shared" si="30"/>
        <v>0.000680494653555873</v>
      </c>
      <c r="O245" s="35">
        <f>SUM($M$2:M245)</f>
        <v>156677100</v>
      </c>
      <c r="P245" s="34">
        <f t="shared" si="31"/>
        <v>0.821401609280731</v>
      </c>
      <c r="Q245" s="39">
        <v>18.7</v>
      </c>
      <c r="R245" s="22">
        <v>9</v>
      </c>
      <c r="S245" s="22">
        <v>2</v>
      </c>
      <c r="T245" s="22">
        <v>2</v>
      </c>
      <c r="U245" s="39">
        <v>2.9</v>
      </c>
      <c r="V245" s="22">
        <v>10</v>
      </c>
      <c r="W245" s="22">
        <v>4</v>
      </c>
      <c r="X245" s="40">
        <v>20</v>
      </c>
      <c r="Y245" s="22">
        <v>0</v>
      </c>
      <c r="Z245" s="22">
        <v>1</v>
      </c>
      <c r="AA245" s="22" t="s">
        <v>185</v>
      </c>
      <c r="AB245" s="22" t="s">
        <v>220</v>
      </c>
      <c r="AC245" s="42">
        <f>IFERROR(LOOKUP(M245,打分卡!$F$7:$J$7,打分卡!$K$7:$O$7),1)</f>
        <v>3</v>
      </c>
      <c r="AD245" s="42">
        <f>IFERROR(LOOKUP(S245,打分卡!$F$8:$J$8,打分卡!$K$8:$O$8),1)</f>
        <v>2</v>
      </c>
      <c r="AE245" s="42">
        <f>IFERROR(LOOKUP(T245,打分卡!$F$9:$I$9,打分卡!$K$9:$N$9),1)</f>
        <v>3</v>
      </c>
      <c r="AF245" s="42">
        <f>IFERROR(LOOKUP(Q245,打分卡!$F$10:$J$10,打分卡!$K$10:$O$10),1)</f>
        <v>3</v>
      </c>
      <c r="AG245" s="42">
        <f>IFERROR(LOOKUP(R245,打分卡!$F$11:$J$11,打分卡!$K$11:$O$11),1)</f>
        <v>4</v>
      </c>
      <c r="AH245" s="42">
        <f>IFERROR(LOOKUP(U245,打分卡!$F$12:$J$12,打分卡!$K$12:$O$12),1)</f>
        <v>2</v>
      </c>
      <c r="AI245" s="42">
        <f>IFERROR(LOOKUP(X245,打分卡!$F$13:$J$13,打分卡!$K$13:$O$13),1)</f>
        <v>2</v>
      </c>
      <c r="AJ245" s="42">
        <f>IFERROR(LOOKUP(Y245,打分卡!$F$14:$J$14,打分卡!$K$14:$O$14),1)</f>
        <v>1</v>
      </c>
      <c r="AK245" s="42">
        <f>IFERROR(LOOKUP(W245,打分卡!$F$15:$J$15,打分卡!$K$15:$O$15),1)</f>
        <v>3</v>
      </c>
      <c r="AL245" s="45">
        <f t="shared" si="25"/>
        <v>3</v>
      </c>
      <c r="AM245" s="42">
        <f>IFERROR(LOOKUP(Z245,打分卡!$F$17:$H$17,打分卡!$K$17:$M$17),1)</f>
        <v>3</v>
      </c>
      <c r="AN245" s="46">
        <f>(打分卡!$D$7*AC245+打分卡!$D$8*AD245+打分卡!$D$9*AE245)/5</f>
        <v>22.4</v>
      </c>
      <c r="AO245" s="46">
        <f>(打分卡!$D$10*AF245+打分卡!$D$11*AG245)/5</f>
        <v>14</v>
      </c>
      <c r="AP245" s="46">
        <f>(打分卡!$D$12*AH245+打分卡!$D$13*AI245+打分卡!$D$14*AJ245+打分卡!$D$15*AK245)/5</f>
        <v>11.6</v>
      </c>
      <c r="AQ245" s="46">
        <f>(打分卡!$D$16*AL245+打分卡!$D$17*AM245)/5</f>
        <v>6</v>
      </c>
      <c r="AR245" s="48">
        <f t="shared" si="26"/>
        <v>54</v>
      </c>
      <c r="AS245" s="45" t="str">
        <f t="shared" si="27"/>
        <v>腰部</v>
      </c>
      <c r="AT245" s="45" t="str">
        <f t="shared" si="28"/>
        <v/>
      </c>
      <c r="AU245" s="45" t="str">
        <f t="shared" si="29"/>
        <v>拉·主攻：主推AI外呼+大促作战包</v>
      </c>
    </row>
    <row r="246" ht="15" customHeight="1" spans="1:47">
      <c r="A246" s="30" t="s">
        <v>909</v>
      </c>
      <c r="B246" s="31" t="s">
        <v>910</v>
      </c>
      <c r="C246" s="31" t="s">
        <v>179</v>
      </c>
      <c r="D246" s="31" t="s">
        <v>235</v>
      </c>
      <c r="E246" s="31" t="s">
        <v>181</v>
      </c>
      <c r="F246" s="30" t="s">
        <v>911</v>
      </c>
      <c r="G246" s="31">
        <v>6</v>
      </c>
      <c r="H246" s="31" t="s">
        <v>301</v>
      </c>
      <c r="I246" s="31" t="s">
        <v>184</v>
      </c>
      <c r="J246" s="33">
        <v>63200</v>
      </c>
      <c r="K246" s="33">
        <v>33300</v>
      </c>
      <c r="L246" s="33">
        <v>32500</v>
      </c>
      <c r="M246" s="33">
        <f t="shared" si="24"/>
        <v>129000</v>
      </c>
      <c r="N246" s="34">
        <f t="shared" si="30"/>
        <v>0.00067630054166955</v>
      </c>
      <c r="O246" s="35">
        <f>SUM($M$2:M246)</f>
        <v>156806100</v>
      </c>
      <c r="P246" s="34">
        <f t="shared" si="31"/>
        <v>0.8220779098224</v>
      </c>
      <c r="Q246" s="37">
        <v>9.1</v>
      </c>
      <c r="R246" s="31">
        <v>1</v>
      </c>
      <c r="S246" s="31">
        <v>1</v>
      </c>
      <c r="T246" s="31">
        <v>2</v>
      </c>
      <c r="U246" s="37">
        <v>13</v>
      </c>
      <c r="V246" s="31">
        <v>8</v>
      </c>
      <c r="W246" s="31">
        <v>1</v>
      </c>
      <c r="X246" s="38">
        <v>20</v>
      </c>
      <c r="Y246" s="31">
        <v>2</v>
      </c>
      <c r="Z246" s="31">
        <v>1</v>
      </c>
      <c r="AA246" s="31" t="s">
        <v>199</v>
      </c>
      <c r="AB246" s="31" t="s">
        <v>220</v>
      </c>
      <c r="AC246" s="41">
        <f>IFERROR(LOOKUP(M246,打分卡!$F$7:$J$7,打分卡!$K$7:$O$7),1)</f>
        <v>3</v>
      </c>
      <c r="AD246" s="41">
        <f>IFERROR(LOOKUP(S246,打分卡!$F$8:$J$8,打分卡!$K$8:$O$8),1)</f>
        <v>1</v>
      </c>
      <c r="AE246" s="41">
        <f>IFERROR(LOOKUP(T246,打分卡!$F$9:$I$9,打分卡!$K$9:$N$9),1)</f>
        <v>3</v>
      </c>
      <c r="AF246" s="41">
        <f>IFERROR(LOOKUP(Q246,打分卡!$F$10:$J$10,打分卡!$K$10:$O$10),1)</f>
        <v>2</v>
      </c>
      <c r="AG246" s="41">
        <f>IFERROR(LOOKUP(R246,打分卡!$F$11:$J$11,打分卡!$K$11:$O$11),1)</f>
        <v>1</v>
      </c>
      <c r="AH246" s="41">
        <f>IFERROR(LOOKUP(U246,打分卡!$F$12:$J$12,打分卡!$K$12:$O$12),1)</f>
        <v>3</v>
      </c>
      <c r="AI246" s="41">
        <f>IFERROR(LOOKUP(X246,打分卡!$F$13:$J$13,打分卡!$K$13:$O$13),1)</f>
        <v>2</v>
      </c>
      <c r="AJ246" s="41">
        <f>IFERROR(LOOKUP(Y246,打分卡!$F$14:$J$14,打分卡!$K$14:$O$14),1)</f>
        <v>3</v>
      </c>
      <c r="AK246" s="41">
        <f>IFERROR(LOOKUP(W246,打分卡!$F$15:$J$15,打分卡!$K$15:$O$15),1)</f>
        <v>2</v>
      </c>
      <c r="AL246" s="43">
        <f t="shared" si="25"/>
        <v>5</v>
      </c>
      <c r="AM246" s="41">
        <f>IFERROR(LOOKUP(Z246,打分卡!$F$17:$H$17,打分卡!$K$17:$M$17),1)</f>
        <v>3</v>
      </c>
      <c r="AN246" s="44">
        <f>(打分卡!$D$7*AC246+打分卡!$D$8*AD246+打分卡!$D$9*AE246)/5</f>
        <v>20.8</v>
      </c>
      <c r="AO246" s="44">
        <f>(打分卡!$D$10*AF246+打分卡!$D$11*AG246)/5</f>
        <v>6</v>
      </c>
      <c r="AP246" s="44">
        <f>(打分卡!$D$12*AH246+打分卡!$D$13*AI246+打分卡!$D$14*AJ246+打分卡!$D$15*AK246)/5</f>
        <v>15.6</v>
      </c>
      <c r="AQ246" s="44">
        <f>(打分卡!$D$16*AL246+打分卡!$D$17*AM246)/5</f>
        <v>8.4</v>
      </c>
      <c r="AR246" s="47">
        <f t="shared" si="26"/>
        <v>50.8</v>
      </c>
      <c r="AS246" s="43" t="str">
        <f t="shared" si="27"/>
        <v>腰部</v>
      </c>
      <c r="AT246" s="43" t="str">
        <f t="shared" si="28"/>
        <v/>
      </c>
      <c r="AU246" s="43" t="str">
        <f t="shared" si="29"/>
        <v>拉·主攻：主推AI外呼+大促作战包</v>
      </c>
    </row>
    <row r="247" ht="15" customHeight="1" spans="1:47">
      <c r="A247" s="20" t="s">
        <v>912</v>
      </c>
      <c r="B247" s="22" t="s">
        <v>913</v>
      </c>
      <c r="C247" s="22" t="s">
        <v>179</v>
      </c>
      <c r="D247" s="22" t="s">
        <v>196</v>
      </c>
      <c r="E247" s="22" t="s">
        <v>181</v>
      </c>
      <c r="F247" s="20" t="s">
        <v>914</v>
      </c>
      <c r="G247" s="22">
        <v>10</v>
      </c>
      <c r="H247" s="22" t="s">
        <v>301</v>
      </c>
      <c r="I247" s="22" t="s">
        <v>302</v>
      </c>
      <c r="J247" s="36">
        <v>62100</v>
      </c>
      <c r="K247" s="36">
        <v>46800</v>
      </c>
      <c r="L247" s="36">
        <v>20000</v>
      </c>
      <c r="M247" s="36">
        <f t="shared" si="24"/>
        <v>128900</v>
      </c>
      <c r="N247" s="34">
        <f t="shared" si="30"/>
        <v>0.00067577627768376</v>
      </c>
      <c r="O247" s="35">
        <f>SUM($M$2:M247)</f>
        <v>156935000</v>
      </c>
      <c r="P247" s="34">
        <f t="shared" si="31"/>
        <v>0.822753686100084</v>
      </c>
      <c r="Q247" s="39">
        <v>15.8</v>
      </c>
      <c r="R247" s="22">
        <v>9</v>
      </c>
      <c r="S247" s="22">
        <v>1</v>
      </c>
      <c r="T247" s="22">
        <v>1</v>
      </c>
      <c r="U247" s="39">
        <v>11.2</v>
      </c>
      <c r="V247" s="22">
        <v>27</v>
      </c>
      <c r="W247" s="22">
        <v>4</v>
      </c>
      <c r="X247" s="40">
        <v>61</v>
      </c>
      <c r="Y247" s="22">
        <v>0</v>
      </c>
      <c r="Z247" s="22">
        <v>0</v>
      </c>
      <c r="AA247" s="22" t="s">
        <v>315</v>
      </c>
      <c r="AB247" s="22" t="s">
        <v>220</v>
      </c>
      <c r="AC247" s="42">
        <f>IFERROR(LOOKUP(M247,打分卡!$F$7:$J$7,打分卡!$K$7:$O$7),1)</f>
        <v>3</v>
      </c>
      <c r="AD247" s="42">
        <f>IFERROR(LOOKUP(S247,打分卡!$F$8:$J$8,打分卡!$K$8:$O$8),1)</f>
        <v>1</v>
      </c>
      <c r="AE247" s="42">
        <f>IFERROR(LOOKUP(T247,打分卡!$F$9:$I$9,打分卡!$K$9:$N$9),1)</f>
        <v>2</v>
      </c>
      <c r="AF247" s="42">
        <f>IFERROR(LOOKUP(Q247,打分卡!$F$10:$J$10,打分卡!$K$10:$O$10),1)</f>
        <v>3</v>
      </c>
      <c r="AG247" s="42">
        <f>IFERROR(LOOKUP(R247,打分卡!$F$11:$J$11,打分卡!$K$11:$O$11),1)</f>
        <v>4</v>
      </c>
      <c r="AH247" s="42">
        <f>IFERROR(LOOKUP(U247,打分卡!$F$12:$J$12,打分卡!$K$12:$O$12),1)</f>
        <v>3</v>
      </c>
      <c r="AI247" s="42">
        <f>IFERROR(LOOKUP(X247,打分卡!$F$13:$J$13,打分卡!$K$13:$O$13),1)</f>
        <v>3</v>
      </c>
      <c r="AJ247" s="42">
        <f>IFERROR(LOOKUP(Y247,打分卡!$F$14:$J$14,打分卡!$K$14:$O$14),1)</f>
        <v>1</v>
      </c>
      <c r="AK247" s="42">
        <f>IFERROR(LOOKUP(W247,打分卡!$F$15:$J$15,打分卡!$K$15:$O$15),1)</f>
        <v>3</v>
      </c>
      <c r="AL247" s="45">
        <f t="shared" si="25"/>
        <v>2</v>
      </c>
      <c r="AM247" s="42">
        <f>IFERROR(LOOKUP(Z247,打分卡!$F$17:$H$17,打分卡!$K$17:$M$17),1)</f>
        <v>1</v>
      </c>
      <c r="AN247" s="46">
        <f>(打分卡!$D$7*AC247+打分卡!$D$8*AD247+打分卡!$D$9*AE247)/5</f>
        <v>19.4</v>
      </c>
      <c r="AO247" s="46">
        <f>(打分卡!$D$10*AF247+打分卡!$D$11*AG247)/5</f>
        <v>14</v>
      </c>
      <c r="AP247" s="46">
        <f>(打分卡!$D$12*AH247+打分卡!$D$13*AI247+打分卡!$D$14*AJ247+打分卡!$D$15*AK247)/5</f>
        <v>15.6</v>
      </c>
      <c r="AQ247" s="46">
        <f>(打分卡!$D$16*AL247+打分卡!$D$17*AM247)/5</f>
        <v>3.2</v>
      </c>
      <c r="AR247" s="48">
        <f t="shared" si="26"/>
        <v>52.2</v>
      </c>
      <c r="AS247" s="45" t="str">
        <f t="shared" si="27"/>
        <v>腰部</v>
      </c>
      <c r="AT247" s="45" t="str">
        <f t="shared" si="28"/>
        <v/>
      </c>
      <c r="AU247" s="45" t="str">
        <f t="shared" si="29"/>
        <v>拉·主攻：主推AI外呼+大促作战包</v>
      </c>
    </row>
    <row r="248" ht="15" customHeight="1" spans="1:47">
      <c r="A248" s="30" t="s">
        <v>915</v>
      </c>
      <c r="B248" s="31" t="s">
        <v>916</v>
      </c>
      <c r="C248" s="31" t="s">
        <v>179</v>
      </c>
      <c r="D248" s="31" t="s">
        <v>190</v>
      </c>
      <c r="E248" s="31" t="s">
        <v>181</v>
      </c>
      <c r="F248" s="30" t="s">
        <v>917</v>
      </c>
      <c r="G248" s="31">
        <v>20</v>
      </c>
      <c r="H248" s="31" t="s">
        <v>301</v>
      </c>
      <c r="I248" s="31" t="s">
        <v>302</v>
      </c>
      <c r="J248" s="33">
        <v>79400</v>
      </c>
      <c r="K248" s="33">
        <v>29700</v>
      </c>
      <c r="L248" s="33">
        <v>19000</v>
      </c>
      <c r="M248" s="33">
        <f t="shared" si="24"/>
        <v>128100</v>
      </c>
      <c r="N248" s="34">
        <f t="shared" si="30"/>
        <v>0.000671582165797437</v>
      </c>
      <c r="O248" s="35">
        <f>SUM($M$2:M248)</f>
        <v>157063100</v>
      </c>
      <c r="P248" s="34">
        <f t="shared" si="31"/>
        <v>0.823425268265882</v>
      </c>
      <c r="Q248" s="37">
        <v>16.2</v>
      </c>
      <c r="R248" s="31">
        <v>1</v>
      </c>
      <c r="S248" s="31">
        <v>3</v>
      </c>
      <c r="T248" s="31">
        <v>0</v>
      </c>
      <c r="U248" s="37">
        <v>49.1</v>
      </c>
      <c r="V248" s="31">
        <v>30</v>
      </c>
      <c r="W248" s="31">
        <v>4</v>
      </c>
      <c r="X248" s="38">
        <v>60</v>
      </c>
      <c r="Y248" s="31">
        <v>1</v>
      </c>
      <c r="Z248" s="31">
        <v>0</v>
      </c>
      <c r="AA248" s="31" t="s">
        <v>315</v>
      </c>
      <c r="AB248" s="31" t="s">
        <v>220</v>
      </c>
      <c r="AC248" s="41">
        <f>IFERROR(LOOKUP(M248,打分卡!$F$7:$J$7,打分卡!$K$7:$O$7),1)</f>
        <v>3</v>
      </c>
      <c r="AD248" s="41">
        <f>IFERROR(LOOKUP(S248,打分卡!$F$8:$J$8,打分卡!$K$8:$O$8),1)</f>
        <v>3</v>
      </c>
      <c r="AE248" s="41">
        <f>IFERROR(LOOKUP(T248,打分卡!$F$9:$I$9,打分卡!$K$9:$N$9),1)</f>
        <v>1</v>
      </c>
      <c r="AF248" s="41">
        <f>IFERROR(LOOKUP(Q248,打分卡!$F$10:$J$10,打分卡!$K$10:$O$10),1)</f>
        <v>3</v>
      </c>
      <c r="AG248" s="41">
        <f>IFERROR(LOOKUP(R248,打分卡!$F$11:$J$11,打分卡!$K$11:$O$11),1)</f>
        <v>1</v>
      </c>
      <c r="AH248" s="41">
        <f>IFERROR(LOOKUP(U248,打分卡!$F$12:$J$12,打分卡!$K$12:$O$12),1)</f>
        <v>4</v>
      </c>
      <c r="AI248" s="41">
        <f>IFERROR(LOOKUP(X248,打分卡!$F$13:$J$13,打分卡!$K$13:$O$13),1)</f>
        <v>3</v>
      </c>
      <c r="AJ248" s="41">
        <f>IFERROR(LOOKUP(Y248,打分卡!$F$14:$J$14,打分卡!$K$14:$O$14),1)</f>
        <v>2</v>
      </c>
      <c r="AK248" s="41">
        <f>IFERROR(LOOKUP(W248,打分卡!$F$15:$J$15,打分卡!$K$15:$O$15),1)</f>
        <v>3</v>
      </c>
      <c r="AL248" s="43">
        <f t="shared" si="25"/>
        <v>2</v>
      </c>
      <c r="AM248" s="41">
        <f>IFERROR(LOOKUP(Z248,打分卡!$F$17:$H$17,打分卡!$K$17:$M$17),1)</f>
        <v>1</v>
      </c>
      <c r="AN248" s="44">
        <f>(打分卡!$D$7*AC248+打分卡!$D$8*AD248+打分卡!$D$9*AE248)/5</f>
        <v>21.2</v>
      </c>
      <c r="AO248" s="44">
        <f>(打分卡!$D$10*AF248+打分卡!$D$11*AG248)/5</f>
        <v>8</v>
      </c>
      <c r="AP248" s="44">
        <f>(打分卡!$D$12*AH248+打分卡!$D$13*AI248+打分卡!$D$14*AJ248+打分卡!$D$15*AK248)/5</f>
        <v>19.2</v>
      </c>
      <c r="AQ248" s="44">
        <f>(打分卡!$D$16*AL248+打分卡!$D$17*AM248)/5</f>
        <v>3.2</v>
      </c>
      <c r="AR248" s="47">
        <f t="shared" si="26"/>
        <v>51.6</v>
      </c>
      <c r="AS248" s="43" t="str">
        <f t="shared" si="27"/>
        <v>腰部</v>
      </c>
      <c r="AT248" s="43" t="str">
        <f t="shared" si="28"/>
        <v/>
      </c>
      <c r="AU248" s="43" t="str">
        <f t="shared" si="29"/>
        <v>拉·主攻：主推AI外呼+大促作战包</v>
      </c>
    </row>
    <row r="249" ht="15" customHeight="1" spans="1:47">
      <c r="A249" s="20" t="s">
        <v>918</v>
      </c>
      <c r="B249" s="22" t="s">
        <v>919</v>
      </c>
      <c r="C249" s="22" t="s">
        <v>189</v>
      </c>
      <c r="D249" s="22" t="s">
        <v>202</v>
      </c>
      <c r="E249" s="22" t="s">
        <v>181</v>
      </c>
      <c r="F249" s="20" t="s">
        <v>920</v>
      </c>
      <c r="G249" s="22">
        <v>24</v>
      </c>
      <c r="H249" s="22" t="s">
        <v>301</v>
      </c>
      <c r="I249" s="22" t="s">
        <v>302</v>
      </c>
      <c r="J249" s="36">
        <v>58100</v>
      </c>
      <c r="K249" s="36">
        <v>30600</v>
      </c>
      <c r="L249" s="36">
        <v>39300</v>
      </c>
      <c r="M249" s="36">
        <f t="shared" si="24"/>
        <v>128000</v>
      </c>
      <c r="N249" s="34">
        <f t="shared" si="30"/>
        <v>0.000671057901811647</v>
      </c>
      <c r="O249" s="35">
        <f>SUM($M$2:M249)</f>
        <v>157191100</v>
      </c>
      <c r="P249" s="34">
        <f t="shared" si="31"/>
        <v>0.824096326167693</v>
      </c>
      <c r="Q249" s="39">
        <v>18.6</v>
      </c>
      <c r="R249" s="22">
        <v>5</v>
      </c>
      <c r="S249" s="22">
        <v>2</v>
      </c>
      <c r="T249" s="22">
        <v>1</v>
      </c>
      <c r="U249" s="39">
        <v>17.7</v>
      </c>
      <c r="V249" s="22">
        <v>20</v>
      </c>
      <c r="W249" s="22">
        <v>3</v>
      </c>
      <c r="X249" s="40">
        <v>94</v>
      </c>
      <c r="Y249" s="22">
        <v>0</v>
      </c>
      <c r="Z249" s="22">
        <v>0</v>
      </c>
      <c r="AA249" s="22" t="s">
        <v>185</v>
      </c>
      <c r="AB249" s="22" t="s">
        <v>220</v>
      </c>
      <c r="AC249" s="42">
        <f>IFERROR(LOOKUP(M249,打分卡!$F$7:$J$7,打分卡!$K$7:$O$7),1)</f>
        <v>3</v>
      </c>
      <c r="AD249" s="42">
        <f>IFERROR(LOOKUP(S249,打分卡!$F$8:$J$8,打分卡!$K$8:$O$8),1)</f>
        <v>2</v>
      </c>
      <c r="AE249" s="42">
        <f>IFERROR(LOOKUP(T249,打分卡!$F$9:$I$9,打分卡!$K$9:$N$9),1)</f>
        <v>2</v>
      </c>
      <c r="AF249" s="42">
        <f>IFERROR(LOOKUP(Q249,打分卡!$F$10:$J$10,打分卡!$K$10:$O$10),1)</f>
        <v>3</v>
      </c>
      <c r="AG249" s="42">
        <f>IFERROR(LOOKUP(R249,打分卡!$F$11:$J$11,打分卡!$K$11:$O$11),1)</f>
        <v>3</v>
      </c>
      <c r="AH249" s="42">
        <f>IFERROR(LOOKUP(U249,打分卡!$F$12:$J$12,打分卡!$K$12:$O$12),1)</f>
        <v>3</v>
      </c>
      <c r="AI249" s="42">
        <f>IFERROR(LOOKUP(X249,打分卡!$F$13:$J$13,打分卡!$K$13:$O$13),1)</f>
        <v>4</v>
      </c>
      <c r="AJ249" s="42">
        <f>IFERROR(LOOKUP(Y249,打分卡!$F$14:$J$14,打分卡!$K$14:$O$14),1)</f>
        <v>1</v>
      </c>
      <c r="AK249" s="42">
        <f>IFERROR(LOOKUP(W249,打分卡!$F$15:$J$15,打分卡!$K$15:$O$15),1)</f>
        <v>3</v>
      </c>
      <c r="AL249" s="45">
        <f t="shared" si="25"/>
        <v>3</v>
      </c>
      <c r="AM249" s="42">
        <f>IFERROR(LOOKUP(Z249,打分卡!$F$17:$H$17,打分卡!$K$17:$M$17),1)</f>
        <v>1</v>
      </c>
      <c r="AN249" s="46">
        <f>(打分卡!$D$7*AC249+打分卡!$D$8*AD249+打分卡!$D$9*AE249)/5</f>
        <v>21</v>
      </c>
      <c r="AO249" s="46">
        <f>(打分卡!$D$10*AF249+打分卡!$D$11*AG249)/5</f>
        <v>12</v>
      </c>
      <c r="AP249" s="46">
        <f>(打分卡!$D$12*AH249+打分卡!$D$13*AI249+打分卡!$D$14*AJ249+打分卡!$D$15*AK249)/5</f>
        <v>17.2</v>
      </c>
      <c r="AQ249" s="46">
        <f>(打分卡!$D$16*AL249+打分卡!$D$17*AM249)/5</f>
        <v>4.4</v>
      </c>
      <c r="AR249" s="48">
        <f t="shared" si="26"/>
        <v>54.6</v>
      </c>
      <c r="AS249" s="45" t="str">
        <f t="shared" si="27"/>
        <v>腰部</v>
      </c>
      <c r="AT249" s="45" t="str">
        <f t="shared" si="28"/>
        <v/>
      </c>
      <c r="AU249" s="45" t="str">
        <f t="shared" si="29"/>
        <v>拉·主攻：主推AI外呼+大促作战包</v>
      </c>
    </row>
    <row r="250" ht="15" customHeight="1" spans="1:47">
      <c r="A250" s="30" t="s">
        <v>921</v>
      </c>
      <c r="B250" s="31" t="s">
        <v>922</v>
      </c>
      <c r="C250" s="31" t="s">
        <v>234</v>
      </c>
      <c r="D250" s="31" t="s">
        <v>202</v>
      </c>
      <c r="E250" s="31" t="s">
        <v>181</v>
      </c>
      <c r="F250" s="30" t="s">
        <v>923</v>
      </c>
      <c r="G250" s="31">
        <v>23</v>
      </c>
      <c r="H250" s="31" t="s">
        <v>301</v>
      </c>
      <c r="I250" s="31" t="s">
        <v>302</v>
      </c>
      <c r="J250" s="33">
        <v>65800</v>
      </c>
      <c r="K250" s="33">
        <v>32400</v>
      </c>
      <c r="L250" s="33">
        <v>29600</v>
      </c>
      <c r="M250" s="33">
        <f t="shared" si="24"/>
        <v>127800</v>
      </c>
      <c r="N250" s="34">
        <f t="shared" si="30"/>
        <v>0.000670009373840066</v>
      </c>
      <c r="O250" s="35">
        <f>SUM($M$2:M250)</f>
        <v>157318900</v>
      </c>
      <c r="P250" s="34">
        <f t="shared" si="31"/>
        <v>0.824766335541533</v>
      </c>
      <c r="Q250" s="37">
        <v>14.1</v>
      </c>
      <c r="R250" s="31">
        <v>5</v>
      </c>
      <c r="S250" s="31">
        <v>3</v>
      </c>
      <c r="T250" s="31">
        <v>1</v>
      </c>
      <c r="U250" s="37">
        <v>60.8</v>
      </c>
      <c r="V250" s="31">
        <v>30</v>
      </c>
      <c r="W250" s="31">
        <v>3</v>
      </c>
      <c r="X250" s="38">
        <v>23</v>
      </c>
      <c r="Y250" s="31">
        <v>1</v>
      </c>
      <c r="Z250" s="31">
        <v>1</v>
      </c>
      <c r="AA250" s="31" t="s">
        <v>315</v>
      </c>
      <c r="AB250" s="31" t="s">
        <v>220</v>
      </c>
      <c r="AC250" s="41">
        <f>IFERROR(LOOKUP(M250,打分卡!$F$7:$J$7,打分卡!$K$7:$O$7),1)</f>
        <v>3</v>
      </c>
      <c r="AD250" s="41">
        <f>IFERROR(LOOKUP(S250,打分卡!$F$8:$J$8,打分卡!$K$8:$O$8),1)</f>
        <v>3</v>
      </c>
      <c r="AE250" s="41">
        <f>IFERROR(LOOKUP(T250,打分卡!$F$9:$I$9,打分卡!$K$9:$N$9),1)</f>
        <v>2</v>
      </c>
      <c r="AF250" s="41">
        <f>IFERROR(LOOKUP(Q250,打分卡!$F$10:$J$10,打分卡!$K$10:$O$10),1)</f>
        <v>3</v>
      </c>
      <c r="AG250" s="41">
        <f>IFERROR(LOOKUP(R250,打分卡!$F$11:$J$11,打分卡!$K$11:$O$11),1)</f>
        <v>3</v>
      </c>
      <c r="AH250" s="41">
        <f>IFERROR(LOOKUP(U250,打分卡!$F$12:$J$12,打分卡!$K$12:$O$12),1)</f>
        <v>4</v>
      </c>
      <c r="AI250" s="41">
        <f>IFERROR(LOOKUP(X250,打分卡!$F$13:$J$13,打分卡!$K$13:$O$13),1)</f>
        <v>2</v>
      </c>
      <c r="AJ250" s="41">
        <f>IFERROR(LOOKUP(Y250,打分卡!$F$14:$J$14,打分卡!$K$14:$O$14),1)</f>
        <v>2</v>
      </c>
      <c r="AK250" s="41">
        <f>IFERROR(LOOKUP(W250,打分卡!$F$15:$J$15,打分卡!$K$15:$O$15),1)</f>
        <v>3</v>
      </c>
      <c r="AL250" s="43">
        <f t="shared" si="25"/>
        <v>2</v>
      </c>
      <c r="AM250" s="41">
        <f>IFERROR(LOOKUP(Z250,打分卡!$F$17:$H$17,打分卡!$K$17:$M$17),1)</f>
        <v>3</v>
      </c>
      <c r="AN250" s="44">
        <f>(打分卡!$D$7*AC250+打分卡!$D$8*AD250+打分卡!$D$9*AE250)/5</f>
        <v>22.6</v>
      </c>
      <c r="AO250" s="44">
        <f>(打分卡!$D$10*AF250+打分卡!$D$11*AG250)/5</f>
        <v>12</v>
      </c>
      <c r="AP250" s="44">
        <f>(打分卡!$D$12*AH250+打分卡!$D$13*AI250+打分卡!$D$14*AJ250+打分卡!$D$15*AK250)/5</f>
        <v>17.6</v>
      </c>
      <c r="AQ250" s="44">
        <f>(打分卡!$D$16*AL250+打分卡!$D$17*AM250)/5</f>
        <v>4.8</v>
      </c>
      <c r="AR250" s="47">
        <f t="shared" si="26"/>
        <v>57</v>
      </c>
      <c r="AS250" s="43" t="str">
        <f t="shared" si="27"/>
        <v>腰部</v>
      </c>
      <c r="AT250" s="43" t="str">
        <f t="shared" si="28"/>
        <v/>
      </c>
      <c r="AU250" s="43" t="str">
        <f t="shared" si="29"/>
        <v>拉·主攻：主推AI外呼+大促作战包</v>
      </c>
    </row>
    <row r="251" ht="15" customHeight="1" spans="1:47">
      <c r="A251" s="20" t="s">
        <v>924</v>
      </c>
      <c r="B251" s="22" t="s">
        <v>925</v>
      </c>
      <c r="C251" s="22" t="s">
        <v>223</v>
      </c>
      <c r="D251" s="22" t="s">
        <v>202</v>
      </c>
      <c r="E251" s="22" t="s">
        <v>181</v>
      </c>
      <c r="F251" s="20" t="s">
        <v>926</v>
      </c>
      <c r="G251" s="22">
        <v>14</v>
      </c>
      <c r="H251" s="22" t="s">
        <v>301</v>
      </c>
      <c r="I251" s="22" t="s">
        <v>184</v>
      </c>
      <c r="J251" s="36">
        <v>66200</v>
      </c>
      <c r="K251" s="36">
        <v>38400</v>
      </c>
      <c r="L251" s="36">
        <v>23000</v>
      </c>
      <c r="M251" s="36">
        <f t="shared" si="24"/>
        <v>127600</v>
      </c>
      <c r="N251" s="34">
        <f t="shared" si="30"/>
        <v>0.000668960845868485</v>
      </c>
      <c r="O251" s="35">
        <f>SUM($M$2:M251)</f>
        <v>157446500</v>
      </c>
      <c r="P251" s="34">
        <f t="shared" si="31"/>
        <v>0.825435296387402</v>
      </c>
      <c r="Q251" s="39">
        <v>8.6</v>
      </c>
      <c r="R251" s="22">
        <v>1</v>
      </c>
      <c r="S251" s="22">
        <v>3</v>
      </c>
      <c r="T251" s="22">
        <v>0</v>
      </c>
      <c r="U251" s="39">
        <v>22</v>
      </c>
      <c r="V251" s="22">
        <v>12</v>
      </c>
      <c r="W251" s="22">
        <v>2</v>
      </c>
      <c r="X251" s="40">
        <v>48</v>
      </c>
      <c r="Y251" s="22">
        <v>1</v>
      </c>
      <c r="Z251" s="22">
        <v>0</v>
      </c>
      <c r="AA251" s="22" t="s">
        <v>315</v>
      </c>
      <c r="AB251" s="22" t="s">
        <v>220</v>
      </c>
      <c r="AC251" s="42">
        <f>IFERROR(LOOKUP(M251,打分卡!$F$7:$J$7,打分卡!$K$7:$O$7),1)</f>
        <v>3</v>
      </c>
      <c r="AD251" s="42">
        <f>IFERROR(LOOKUP(S251,打分卡!$F$8:$J$8,打分卡!$K$8:$O$8),1)</f>
        <v>3</v>
      </c>
      <c r="AE251" s="42">
        <f>IFERROR(LOOKUP(T251,打分卡!$F$9:$I$9,打分卡!$K$9:$N$9),1)</f>
        <v>1</v>
      </c>
      <c r="AF251" s="42">
        <f>IFERROR(LOOKUP(Q251,打分卡!$F$10:$J$10,打分卡!$K$10:$O$10),1)</f>
        <v>2</v>
      </c>
      <c r="AG251" s="42">
        <f>IFERROR(LOOKUP(R251,打分卡!$F$11:$J$11,打分卡!$K$11:$O$11),1)</f>
        <v>1</v>
      </c>
      <c r="AH251" s="42">
        <f>IFERROR(LOOKUP(U251,打分卡!$F$12:$J$12,打分卡!$K$12:$O$12),1)</f>
        <v>3</v>
      </c>
      <c r="AI251" s="42">
        <f>IFERROR(LOOKUP(X251,打分卡!$F$13:$J$13,打分卡!$K$13:$O$13),1)</f>
        <v>3</v>
      </c>
      <c r="AJ251" s="42">
        <f>IFERROR(LOOKUP(Y251,打分卡!$F$14:$J$14,打分卡!$K$14:$O$14),1)</f>
        <v>2</v>
      </c>
      <c r="AK251" s="42">
        <f>IFERROR(LOOKUP(W251,打分卡!$F$15:$J$15,打分卡!$K$15:$O$15),1)</f>
        <v>2</v>
      </c>
      <c r="AL251" s="45">
        <f t="shared" si="25"/>
        <v>2</v>
      </c>
      <c r="AM251" s="42">
        <f>IFERROR(LOOKUP(Z251,打分卡!$F$17:$H$17,打分卡!$K$17:$M$17),1)</f>
        <v>1</v>
      </c>
      <c r="AN251" s="46">
        <f>(打分卡!$D$7*AC251+打分卡!$D$8*AD251+打分卡!$D$9*AE251)/5</f>
        <v>21.2</v>
      </c>
      <c r="AO251" s="46">
        <f>(打分卡!$D$10*AF251+打分卡!$D$11*AG251)/5</f>
        <v>6</v>
      </c>
      <c r="AP251" s="46">
        <f>(打分卡!$D$12*AH251+打分卡!$D$13*AI251+打分卡!$D$14*AJ251+打分卡!$D$15*AK251)/5</f>
        <v>16</v>
      </c>
      <c r="AQ251" s="46">
        <f>(打分卡!$D$16*AL251+打分卡!$D$17*AM251)/5</f>
        <v>3.2</v>
      </c>
      <c r="AR251" s="48">
        <f t="shared" si="26"/>
        <v>46.4</v>
      </c>
      <c r="AS251" s="45" t="str">
        <f t="shared" si="27"/>
        <v>腰部</v>
      </c>
      <c r="AT251" s="45" t="str">
        <f t="shared" si="28"/>
        <v/>
      </c>
      <c r="AU251" s="45" t="str">
        <f t="shared" si="29"/>
        <v>拉·主攻：主推AI外呼+大促作战包</v>
      </c>
    </row>
    <row r="252" ht="15" customHeight="1" spans="1:47">
      <c r="A252" s="30" t="s">
        <v>927</v>
      </c>
      <c r="B252" s="31" t="s">
        <v>928</v>
      </c>
      <c r="C252" s="31" t="s">
        <v>179</v>
      </c>
      <c r="D252" s="31" t="s">
        <v>202</v>
      </c>
      <c r="E252" s="31" t="s">
        <v>197</v>
      </c>
      <c r="F252" s="30" t="s">
        <v>814</v>
      </c>
      <c r="G252" s="31">
        <v>14</v>
      </c>
      <c r="H252" s="31" t="s">
        <v>301</v>
      </c>
      <c r="I252" s="31" t="s">
        <v>302</v>
      </c>
      <c r="J252" s="33">
        <v>65900</v>
      </c>
      <c r="K252" s="33">
        <v>48500</v>
      </c>
      <c r="L252" s="33">
        <v>12800</v>
      </c>
      <c r="M252" s="33">
        <f t="shared" si="24"/>
        <v>127200</v>
      </c>
      <c r="N252" s="34">
        <f t="shared" si="30"/>
        <v>0.000666863789925324</v>
      </c>
      <c r="O252" s="35">
        <f>SUM($M$2:M252)</f>
        <v>157573700</v>
      </c>
      <c r="P252" s="34">
        <f t="shared" si="31"/>
        <v>0.826102160177327</v>
      </c>
      <c r="Q252" s="37">
        <v>20</v>
      </c>
      <c r="R252" s="31">
        <v>9</v>
      </c>
      <c r="S252" s="31">
        <v>2</v>
      </c>
      <c r="T252" s="31">
        <v>2</v>
      </c>
      <c r="U252" s="37">
        <v>54.8</v>
      </c>
      <c r="V252" s="31">
        <v>18</v>
      </c>
      <c r="W252" s="31">
        <v>4</v>
      </c>
      <c r="X252" s="38">
        <v>38</v>
      </c>
      <c r="Y252" s="31">
        <v>1</v>
      </c>
      <c r="Z252" s="31">
        <v>0</v>
      </c>
      <c r="AA252" s="31" t="s">
        <v>185</v>
      </c>
      <c r="AB252" s="31" t="s">
        <v>220</v>
      </c>
      <c r="AC252" s="41">
        <f>IFERROR(LOOKUP(M252,打分卡!$F$7:$J$7,打分卡!$K$7:$O$7),1)</f>
        <v>3</v>
      </c>
      <c r="AD252" s="41">
        <f>IFERROR(LOOKUP(S252,打分卡!$F$8:$J$8,打分卡!$K$8:$O$8),1)</f>
        <v>2</v>
      </c>
      <c r="AE252" s="41">
        <f>IFERROR(LOOKUP(T252,打分卡!$F$9:$I$9,打分卡!$K$9:$N$9),1)</f>
        <v>3</v>
      </c>
      <c r="AF252" s="41">
        <f>IFERROR(LOOKUP(Q252,打分卡!$F$10:$J$10,打分卡!$K$10:$O$10),1)</f>
        <v>3</v>
      </c>
      <c r="AG252" s="41">
        <f>IFERROR(LOOKUP(R252,打分卡!$F$11:$J$11,打分卡!$K$11:$O$11),1)</f>
        <v>4</v>
      </c>
      <c r="AH252" s="41">
        <f>IFERROR(LOOKUP(U252,打分卡!$F$12:$J$12,打分卡!$K$12:$O$12),1)</f>
        <v>4</v>
      </c>
      <c r="AI252" s="41">
        <f>IFERROR(LOOKUP(X252,打分卡!$F$13:$J$13,打分卡!$K$13:$O$13),1)</f>
        <v>2</v>
      </c>
      <c r="AJ252" s="41">
        <f>IFERROR(LOOKUP(Y252,打分卡!$F$14:$J$14,打分卡!$K$14:$O$14),1)</f>
        <v>2</v>
      </c>
      <c r="AK252" s="41">
        <f>IFERROR(LOOKUP(W252,打分卡!$F$15:$J$15,打分卡!$K$15:$O$15),1)</f>
        <v>3</v>
      </c>
      <c r="AL252" s="43">
        <f t="shared" si="25"/>
        <v>3</v>
      </c>
      <c r="AM252" s="41">
        <f>IFERROR(LOOKUP(Z252,打分卡!$F$17:$H$17,打分卡!$K$17:$M$17),1)</f>
        <v>1</v>
      </c>
      <c r="AN252" s="44">
        <f>(打分卡!$D$7*AC252+打分卡!$D$8*AD252+打分卡!$D$9*AE252)/5</f>
        <v>22.4</v>
      </c>
      <c r="AO252" s="44">
        <f>(打分卡!$D$10*AF252+打分卡!$D$11*AG252)/5</f>
        <v>14</v>
      </c>
      <c r="AP252" s="44">
        <f>(打分卡!$D$12*AH252+打分卡!$D$13*AI252+打分卡!$D$14*AJ252+打分卡!$D$15*AK252)/5</f>
        <v>17.6</v>
      </c>
      <c r="AQ252" s="44">
        <f>(打分卡!$D$16*AL252+打分卡!$D$17*AM252)/5</f>
        <v>4.4</v>
      </c>
      <c r="AR252" s="47">
        <f t="shared" si="26"/>
        <v>58.4</v>
      </c>
      <c r="AS252" s="43" t="str">
        <f t="shared" si="27"/>
        <v>腰部</v>
      </c>
      <c r="AT252" s="43" t="str">
        <f t="shared" si="28"/>
        <v/>
      </c>
      <c r="AU252" s="43" t="str">
        <f t="shared" si="29"/>
        <v>拉·主攻：主推AI外呼+大促作战包</v>
      </c>
    </row>
    <row r="253" ht="15" customHeight="1" spans="1:47">
      <c r="A253" s="20" t="s">
        <v>929</v>
      </c>
      <c r="B253" s="22" t="s">
        <v>930</v>
      </c>
      <c r="C253" s="22" t="s">
        <v>189</v>
      </c>
      <c r="D253" s="22" t="s">
        <v>202</v>
      </c>
      <c r="E253" s="22" t="s">
        <v>181</v>
      </c>
      <c r="F253" s="20" t="s">
        <v>931</v>
      </c>
      <c r="G253" s="22">
        <v>3</v>
      </c>
      <c r="H253" s="22" t="s">
        <v>642</v>
      </c>
      <c r="I253" s="22" t="s">
        <v>302</v>
      </c>
      <c r="J253" s="36">
        <v>80600</v>
      </c>
      <c r="K253" s="36">
        <v>32000</v>
      </c>
      <c r="L253" s="36">
        <v>14200</v>
      </c>
      <c r="M253" s="36">
        <f t="shared" si="24"/>
        <v>126800</v>
      </c>
      <c r="N253" s="34">
        <f t="shared" si="30"/>
        <v>0.000664766733982162</v>
      </c>
      <c r="O253" s="35">
        <f>SUM($M$2:M253)</f>
        <v>157700500</v>
      </c>
      <c r="P253" s="34">
        <f t="shared" si="31"/>
        <v>0.826766926911309</v>
      </c>
      <c r="Q253" s="39">
        <v>14.1</v>
      </c>
      <c r="R253" s="22">
        <v>2</v>
      </c>
      <c r="S253" s="22">
        <v>3</v>
      </c>
      <c r="T253" s="22">
        <v>2</v>
      </c>
      <c r="U253" s="39">
        <v>250</v>
      </c>
      <c r="V253" s="22">
        <v>30</v>
      </c>
      <c r="W253" s="22">
        <v>8</v>
      </c>
      <c r="X253" s="40">
        <v>731</v>
      </c>
      <c r="Y253" s="22">
        <v>3</v>
      </c>
      <c r="Z253" s="22">
        <v>0</v>
      </c>
      <c r="AA253" s="22" t="s">
        <v>199</v>
      </c>
      <c r="AB253" s="22" t="s">
        <v>220</v>
      </c>
      <c r="AC253" s="42">
        <f>IFERROR(LOOKUP(M253,打分卡!$F$7:$J$7,打分卡!$K$7:$O$7),1)</f>
        <v>3</v>
      </c>
      <c r="AD253" s="42">
        <f>IFERROR(LOOKUP(S253,打分卡!$F$8:$J$8,打分卡!$K$8:$O$8),1)</f>
        <v>3</v>
      </c>
      <c r="AE253" s="42">
        <f>IFERROR(LOOKUP(T253,打分卡!$F$9:$I$9,打分卡!$K$9:$N$9),1)</f>
        <v>3</v>
      </c>
      <c r="AF253" s="42">
        <f>IFERROR(LOOKUP(Q253,打分卡!$F$10:$J$10,打分卡!$K$10:$O$10),1)</f>
        <v>3</v>
      </c>
      <c r="AG253" s="42">
        <f>IFERROR(LOOKUP(R253,打分卡!$F$11:$J$11,打分卡!$K$11:$O$11),1)</f>
        <v>1</v>
      </c>
      <c r="AH253" s="42">
        <f>IFERROR(LOOKUP(U253,打分卡!$F$12:$J$12,打分卡!$K$12:$O$12),1)</f>
        <v>5</v>
      </c>
      <c r="AI253" s="42">
        <f>IFERROR(LOOKUP(X253,打分卡!$F$13:$J$13,打分卡!$K$13:$O$13),1)</f>
        <v>5</v>
      </c>
      <c r="AJ253" s="42">
        <f>IFERROR(LOOKUP(Y253,打分卡!$F$14:$J$14,打分卡!$K$14:$O$14),1)</f>
        <v>4</v>
      </c>
      <c r="AK253" s="42">
        <f>IFERROR(LOOKUP(W253,打分卡!$F$15:$J$15,打分卡!$K$15:$O$15),1)</f>
        <v>4</v>
      </c>
      <c r="AL253" s="45">
        <f t="shared" si="25"/>
        <v>5</v>
      </c>
      <c r="AM253" s="42">
        <f>IFERROR(LOOKUP(Z253,打分卡!$F$17:$H$17,打分卡!$K$17:$M$17),1)</f>
        <v>1</v>
      </c>
      <c r="AN253" s="46">
        <f>(打分卡!$D$7*AC253+打分卡!$D$8*AD253+打分卡!$D$9*AE253)/5</f>
        <v>24</v>
      </c>
      <c r="AO253" s="46">
        <f>(打分卡!$D$10*AF253+打分卡!$D$11*AG253)/5</f>
        <v>8</v>
      </c>
      <c r="AP253" s="46">
        <f>(打分卡!$D$12*AH253+打分卡!$D$13*AI253+打分卡!$D$14*AJ253+打分卡!$D$15*AK253)/5</f>
        <v>28</v>
      </c>
      <c r="AQ253" s="46">
        <f>(打分卡!$D$16*AL253+打分卡!$D$17*AM253)/5</f>
        <v>6.8</v>
      </c>
      <c r="AR253" s="48">
        <f t="shared" si="26"/>
        <v>66.8</v>
      </c>
      <c r="AS253" s="45" t="str">
        <f t="shared" si="27"/>
        <v>腰部</v>
      </c>
      <c r="AT253" s="45" t="str">
        <f t="shared" si="28"/>
        <v/>
      </c>
      <c r="AU253" s="45" t="str">
        <f t="shared" si="29"/>
        <v>拉·主攻：主推AI外呼+大促作战包</v>
      </c>
    </row>
    <row r="254" ht="15" customHeight="1" spans="1:47">
      <c r="A254" s="30" t="s">
        <v>932</v>
      </c>
      <c r="B254" s="31" t="s">
        <v>933</v>
      </c>
      <c r="C254" s="31" t="s">
        <v>179</v>
      </c>
      <c r="D254" s="31" t="s">
        <v>252</v>
      </c>
      <c r="E254" s="31" t="s">
        <v>181</v>
      </c>
      <c r="F254" s="30" t="s">
        <v>348</v>
      </c>
      <c r="G254" s="31">
        <v>23</v>
      </c>
      <c r="H254" s="31" t="s">
        <v>301</v>
      </c>
      <c r="I254" s="31" t="s">
        <v>184</v>
      </c>
      <c r="J254" s="33">
        <v>57300</v>
      </c>
      <c r="K254" s="33">
        <v>32500</v>
      </c>
      <c r="L254" s="33">
        <v>36700</v>
      </c>
      <c r="M254" s="33">
        <f t="shared" si="24"/>
        <v>126500</v>
      </c>
      <c r="N254" s="34">
        <f t="shared" si="30"/>
        <v>0.000663193942024791</v>
      </c>
      <c r="O254" s="35">
        <f>SUM($M$2:M254)</f>
        <v>157827000</v>
      </c>
      <c r="P254" s="34">
        <f t="shared" si="31"/>
        <v>0.827430120853334</v>
      </c>
      <c r="Q254" s="37">
        <v>14.4</v>
      </c>
      <c r="R254" s="31">
        <v>1</v>
      </c>
      <c r="S254" s="31">
        <v>1</v>
      </c>
      <c r="T254" s="31">
        <v>1</v>
      </c>
      <c r="U254" s="37">
        <v>9.6</v>
      </c>
      <c r="V254" s="31">
        <v>13</v>
      </c>
      <c r="W254" s="31">
        <v>0</v>
      </c>
      <c r="X254" s="38">
        <v>56</v>
      </c>
      <c r="Y254" s="31">
        <v>1</v>
      </c>
      <c r="Z254" s="31">
        <v>0</v>
      </c>
      <c r="AA254" s="31" t="s">
        <v>199</v>
      </c>
      <c r="AB254" s="31" t="s">
        <v>220</v>
      </c>
      <c r="AC254" s="41">
        <f>IFERROR(LOOKUP(M254,打分卡!$F$7:$J$7,打分卡!$K$7:$O$7),1)</f>
        <v>3</v>
      </c>
      <c r="AD254" s="41">
        <f>IFERROR(LOOKUP(S254,打分卡!$F$8:$J$8,打分卡!$K$8:$O$8),1)</f>
        <v>1</v>
      </c>
      <c r="AE254" s="41">
        <f>IFERROR(LOOKUP(T254,打分卡!$F$9:$I$9,打分卡!$K$9:$N$9),1)</f>
        <v>2</v>
      </c>
      <c r="AF254" s="41">
        <f>IFERROR(LOOKUP(Q254,打分卡!$F$10:$J$10,打分卡!$K$10:$O$10),1)</f>
        <v>3</v>
      </c>
      <c r="AG254" s="41">
        <f>IFERROR(LOOKUP(R254,打分卡!$F$11:$J$11,打分卡!$K$11:$O$11),1)</f>
        <v>1</v>
      </c>
      <c r="AH254" s="41">
        <f>IFERROR(LOOKUP(U254,打分卡!$F$12:$J$12,打分卡!$K$12:$O$12),1)</f>
        <v>2</v>
      </c>
      <c r="AI254" s="41">
        <f>IFERROR(LOOKUP(X254,打分卡!$F$13:$J$13,打分卡!$K$13:$O$13),1)</f>
        <v>3</v>
      </c>
      <c r="AJ254" s="41">
        <f>IFERROR(LOOKUP(Y254,打分卡!$F$14:$J$14,打分卡!$K$14:$O$14),1)</f>
        <v>2</v>
      </c>
      <c r="AK254" s="41">
        <f>IFERROR(LOOKUP(W254,打分卡!$F$15:$J$15,打分卡!$K$15:$O$15),1)</f>
        <v>1</v>
      </c>
      <c r="AL254" s="43">
        <f t="shared" si="25"/>
        <v>5</v>
      </c>
      <c r="AM254" s="41">
        <f>IFERROR(LOOKUP(Z254,打分卡!$F$17:$H$17,打分卡!$K$17:$M$17),1)</f>
        <v>1</v>
      </c>
      <c r="AN254" s="44">
        <f>(打分卡!$D$7*AC254+打分卡!$D$8*AD254+打分卡!$D$9*AE254)/5</f>
        <v>19.4</v>
      </c>
      <c r="AO254" s="44">
        <f>(打分卡!$D$10*AF254+打分卡!$D$11*AG254)/5</f>
        <v>8</v>
      </c>
      <c r="AP254" s="44">
        <f>(打分卡!$D$12*AH254+打分卡!$D$13*AI254+打分卡!$D$14*AJ254+打分卡!$D$15*AK254)/5</f>
        <v>12.8</v>
      </c>
      <c r="AQ254" s="44">
        <f>(打分卡!$D$16*AL254+打分卡!$D$17*AM254)/5</f>
        <v>6.8</v>
      </c>
      <c r="AR254" s="47">
        <f t="shared" si="26"/>
        <v>47</v>
      </c>
      <c r="AS254" s="43" t="str">
        <f t="shared" si="27"/>
        <v>腰部</v>
      </c>
      <c r="AT254" s="43" t="str">
        <f t="shared" si="28"/>
        <v/>
      </c>
      <c r="AU254" s="43" t="str">
        <f t="shared" si="29"/>
        <v>拉·主攻：主推AI外呼+大促作战包</v>
      </c>
    </row>
    <row r="255" ht="15" customHeight="1" spans="1:47">
      <c r="A255" s="20" t="s">
        <v>934</v>
      </c>
      <c r="B255" s="22" t="s">
        <v>935</v>
      </c>
      <c r="C255" s="22" t="s">
        <v>179</v>
      </c>
      <c r="D255" s="22" t="s">
        <v>196</v>
      </c>
      <c r="E255" s="22" t="s">
        <v>181</v>
      </c>
      <c r="F255" s="20" t="s">
        <v>620</v>
      </c>
      <c r="G255" s="22">
        <v>4</v>
      </c>
      <c r="H255" s="22" t="s">
        <v>301</v>
      </c>
      <c r="I255" s="22" t="s">
        <v>302</v>
      </c>
      <c r="J255" s="36">
        <v>71300</v>
      </c>
      <c r="K255" s="36">
        <v>47700</v>
      </c>
      <c r="L255" s="36">
        <v>7400</v>
      </c>
      <c r="M255" s="36">
        <f t="shared" si="24"/>
        <v>126400</v>
      </c>
      <c r="N255" s="34">
        <f t="shared" si="30"/>
        <v>0.000662669678039001</v>
      </c>
      <c r="O255" s="35">
        <f>SUM($M$2:M255)</f>
        <v>157953400</v>
      </c>
      <c r="P255" s="34">
        <f t="shared" si="31"/>
        <v>0.828092790531373</v>
      </c>
      <c r="Q255" s="39">
        <v>12.8</v>
      </c>
      <c r="R255" s="22">
        <v>5</v>
      </c>
      <c r="S255" s="22">
        <v>3</v>
      </c>
      <c r="T255" s="22">
        <v>1</v>
      </c>
      <c r="U255" s="39">
        <v>6.2</v>
      </c>
      <c r="V255" s="22">
        <v>24</v>
      </c>
      <c r="W255" s="22">
        <v>1</v>
      </c>
      <c r="X255" s="40">
        <v>11</v>
      </c>
      <c r="Y255" s="22">
        <v>2</v>
      </c>
      <c r="Z255" s="22">
        <v>1</v>
      </c>
      <c r="AA255" s="22" t="s">
        <v>199</v>
      </c>
      <c r="AB255" s="22" t="s">
        <v>220</v>
      </c>
      <c r="AC255" s="42">
        <f>IFERROR(LOOKUP(M255,打分卡!$F$7:$J$7,打分卡!$K$7:$O$7),1)</f>
        <v>3</v>
      </c>
      <c r="AD255" s="42">
        <f>IFERROR(LOOKUP(S255,打分卡!$F$8:$J$8,打分卡!$K$8:$O$8),1)</f>
        <v>3</v>
      </c>
      <c r="AE255" s="42">
        <f>IFERROR(LOOKUP(T255,打分卡!$F$9:$I$9,打分卡!$K$9:$N$9),1)</f>
        <v>2</v>
      </c>
      <c r="AF255" s="42">
        <f>IFERROR(LOOKUP(Q255,打分卡!$F$10:$J$10,打分卡!$K$10:$O$10),1)</f>
        <v>3</v>
      </c>
      <c r="AG255" s="42">
        <f>IFERROR(LOOKUP(R255,打分卡!$F$11:$J$11,打分卡!$K$11:$O$11),1)</f>
        <v>3</v>
      </c>
      <c r="AH255" s="42">
        <f>IFERROR(LOOKUP(U255,打分卡!$F$12:$J$12,打分卡!$K$12:$O$12),1)</f>
        <v>2</v>
      </c>
      <c r="AI255" s="42">
        <f>IFERROR(LOOKUP(X255,打分卡!$F$13:$J$13,打分卡!$K$13:$O$13),1)</f>
        <v>1</v>
      </c>
      <c r="AJ255" s="42">
        <f>IFERROR(LOOKUP(Y255,打分卡!$F$14:$J$14,打分卡!$K$14:$O$14),1)</f>
        <v>3</v>
      </c>
      <c r="AK255" s="42">
        <f>IFERROR(LOOKUP(W255,打分卡!$F$15:$J$15,打分卡!$K$15:$O$15),1)</f>
        <v>2</v>
      </c>
      <c r="AL255" s="45">
        <f t="shared" si="25"/>
        <v>5</v>
      </c>
      <c r="AM255" s="42">
        <f>IFERROR(LOOKUP(Z255,打分卡!$F$17:$H$17,打分卡!$K$17:$M$17),1)</f>
        <v>3</v>
      </c>
      <c r="AN255" s="46">
        <f>(打分卡!$D$7*AC255+打分卡!$D$8*AD255+打分卡!$D$9*AE255)/5</f>
        <v>22.6</v>
      </c>
      <c r="AO255" s="46">
        <f>(打分卡!$D$10*AF255+打分卡!$D$11*AG255)/5</f>
        <v>12</v>
      </c>
      <c r="AP255" s="46">
        <f>(打分卡!$D$12*AH255+打分卡!$D$13*AI255+打分卡!$D$14*AJ255+打分卡!$D$15*AK255)/5</f>
        <v>11.6</v>
      </c>
      <c r="AQ255" s="46">
        <f>(打分卡!$D$16*AL255+打分卡!$D$17*AM255)/5</f>
        <v>8.4</v>
      </c>
      <c r="AR255" s="48">
        <f t="shared" si="26"/>
        <v>54.6</v>
      </c>
      <c r="AS255" s="45" t="str">
        <f t="shared" si="27"/>
        <v>腰部</v>
      </c>
      <c r="AT255" s="45" t="str">
        <f t="shared" si="28"/>
        <v/>
      </c>
      <c r="AU255" s="45" t="str">
        <f t="shared" si="29"/>
        <v>拉·主攻：主推AI外呼+大促作战包</v>
      </c>
    </row>
    <row r="256" ht="15" customHeight="1" spans="1:47">
      <c r="A256" s="30" t="s">
        <v>936</v>
      </c>
      <c r="B256" s="31" t="s">
        <v>937</v>
      </c>
      <c r="C256" s="31" t="s">
        <v>189</v>
      </c>
      <c r="D256" s="31" t="s">
        <v>235</v>
      </c>
      <c r="E256" s="31" t="s">
        <v>197</v>
      </c>
      <c r="F256" s="30" t="s">
        <v>938</v>
      </c>
      <c r="G256" s="31">
        <v>8</v>
      </c>
      <c r="H256" s="31" t="s">
        <v>183</v>
      </c>
      <c r="I256" s="31" t="s">
        <v>302</v>
      </c>
      <c r="J256" s="33">
        <v>68000</v>
      </c>
      <c r="K256" s="33">
        <v>29100</v>
      </c>
      <c r="L256" s="33">
        <v>28600</v>
      </c>
      <c r="M256" s="33">
        <f t="shared" si="24"/>
        <v>125700</v>
      </c>
      <c r="N256" s="34">
        <f t="shared" si="30"/>
        <v>0.000658999830138469</v>
      </c>
      <c r="O256" s="35">
        <f>SUM($M$2:M256)</f>
        <v>158079100</v>
      </c>
      <c r="P256" s="34">
        <f t="shared" si="31"/>
        <v>0.828751790361511</v>
      </c>
      <c r="Q256" s="37">
        <v>9.1</v>
      </c>
      <c r="R256" s="31">
        <v>8</v>
      </c>
      <c r="S256" s="31">
        <v>1</v>
      </c>
      <c r="T256" s="31">
        <v>0</v>
      </c>
      <c r="U256" s="37">
        <v>12.3</v>
      </c>
      <c r="V256" s="31">
        <v>24</v>
      </c>
      <c r="W256" s="31">
        <v>4</v>
      </c>
      <c r="X256" s="38">
        <v>125</v>
      </c>
      <c r="Y256" s="31">
        <v>0</v>
      </c>
      <c r="Z256" s="31">
        <v>1</v>
      </c>
      <c r="AA256" s="31" t="s">
        <v>199</v>
      </c>
      <c r="AB256" s="31" t="s">
        <v>220</v>
      </c>
      <c r="AC256" s="41">
        <f>IFERROR(LOOKUP(M256,打分卡!$F$7:$J$7,打分卡!$K$7:$O$7),1)</f>
        <v>3</v>
      </c>
      <c r="AD256" s="41">
        <f>IFERROR(LOOKUP(S256,打分卡!$F$8:$J$8,打分卡!$K$8:$O$8),1)</f>
        <v>1</v>
      </c>
      <c r="AE256" s="41">
        <f>IFERROR(LOOKUP(T256,打分卡!$F$9:$I$9,打分卡!$K$9:$N$9),1)</f>
        <v>1</v>
      </c>
      <c r="AF256" s="41">
        <f>IFERROR(LOOKUP(Q256,打分卡!$F$10:$J$10,打分卡!$K$10:$O$10),1)</f>
        <v>2</v>
      </c>
      <c r="AG256" s="41">
        <f>IFERROR(LOOKUP(R256,打分卡!$F$11:$J$11,打分卡!$K$11:$O$11),1)</f>
        <v>3</v>
      </c>
      <c r="AH256" s="41">
        <f>IFERROR(LOOKUP(U256,打分卡!$F$12:$J$12,打分卡!$K$12:$O$12),1)</f>
        <v>3</v>
      </c>
      <c r="AI256" s="41">
        <f>IFERROR(LOOKUP(X256,打分卡!$F$13:$J$13,打分卡!$K$13:$O$13),1)</f>
        <v>4</v>
      </c>
      <c r="AJ256" s="41">
        <f>IFERROR(LOOKUP(Y256,打分卡!$F$14:$J$14,打分卡!$K$14:$O$14),1)</f>
        <v>1</v>
      </c>
      <c r="AK256" s="41">
        <f>IFERROR(LOOKUP(W256,打分卡!$F$15:$J$15,打分卡!$K$15:$O$15),1)</f>
        <v>3</v>
      </c>
      <c r="AL256" s="43">
        <f t="shared" si="25"/>
        <v>5</v>
      </c>
      <c r="AM256" s="41">
        <f>IFERROR(LOOKUP(Z256,打分卡!$F$17:$H$17,打分卡!$K$17:$M$17),1)</f>
        <v>3</v>
      </c>
      <c r="AN256" s="44">
        <f>(打分卡!$D$7*AC256+打分卡!$D$8*AD256+打分卡!$D$9*AE256)/5</f>
        <v>18</v>
      </c>
      <c r="AO256" s="44">
        <f>(打分卡!$D$10*AF256+打分卡!$D$11*AG256)/5</f>
        <v>10</v>
      </c>
      <c r="AP256" s="44">
        <f>(打分卡!$D$12*AH256+打分卡!$D$13*AI256+打分卡!$D$14*AJ256+打分卡!$D$15*AK256)/5</f>
        <v>17.2</v>
      </c>
      <c r="AQ256" s="44">
        <f>(打分卡!$D$16*AL256+打分卡!$D$17*AM256)/5</f>
        <v>8.4</v>
      </c>
      <c r="AR256" s="47">
        <f t="shared" si="26"/>
        <v>53.6</v>
      </c>
      <c r="AS256" s="43" t="str">
        <f t="shared" si="27"/>
        <v>腰部</v>
      </c>
      <c r="AT256" s="43" t="str">
        <f t="shared" si="28"/>
        <v/>
      </c>
      <c r="AU256" s="43" t="str">
        <f t="shared" si="29"/>
        <v>拉·主攻：主推AI外呼+大促作战包</v>
      </c>
    </row>
    <row r="257" ht="15" customHeight="1" spans="1:47">
      <c r="A257" s="20" t="s">
        <v>939</v>
      </c>
      <c r="B257" s="22" t="s">
        <v>940</v>
      </c>
      <c r="C257" s="22" t="s">
        <v>209</v>
      </c>
      <c r="D257" s="22" t="s">
        <v>196</v>
      </c>
      <c r="E257" s="22" t="s">
        <v>181</v>
      </c>
      <c r="F257" s="20" t="s">
        <v>941</v>
      </c>
      <c r="G257" s="22">
        <v>16</v>
      </c>
      <c r="H257" s="22" t="s">
        <v>301</v>
      </c>
      <c r="I257" s="22" t="s">
        <v>302</v>
      </c>
      <c r="J257" s="36">
        <v>66800</v>
      </c>
      <c r="K257" s="36">
        <v>44000</v>
      </c>
      <c r="L257" s="36">
        <v>14500</v>
      </c>
      <c r="M257" s="36">
        <f t="shared" si="24"/>
        <v>125300</v>
      </c>
      <c r="N257" s="34">
        <f t="shared" si="30"/>
        <v>0.000656902774195307</v>
      </c>
      <c r="O257" s="35">
        <f>SUM($M$2:M257)</f>
        <v>158204400</v>
      </c>
      <c r="P257" s="34">
        <f t="shared" si="31"/>
        <v>0.829408693135707</v>
      </c>
      <c r="Q257" s="39">
        <v>8.2</v>
      </c>
      <c r="R257" s="22">
        <v>4</v>
      </c>
      <c r="S257" s="22">
        <v>3</v>
      </c>
      <c r="T257" s="22">
        <v>2</v>
      </c>
      <c r="U257" s="39">
        <v>24.2</v>
      </c>
      <c r="V257" s="22">
        <v>7</v>
      </c>
      <c r="W257" s="22">
        <v>4</v>
      </c>
      <c r="X257" s="40">
        <v>14</v>
      </c>
      <c r="Y257" s="22">
        <v>0</v>
      </c>
      <c r="Z257" s="22">
        <v>1</v>
      </c>
      <c r="AA257" s="22" t="s">
        <v>315</v>
      </c>
      <c r="AB257" s="22" t="s">
        <v>220</v>
      </c>
      <c r="AC257" s="42">
        <f>IFERROR(LOOKUP(M257,打分卡!$F$7:$J$7,打分卡!$K$7:$O$7),1)</f>
        <v>3</v>
      </c>
      <c r="AD257" s="42">
        <f>IFERROR(LOOKUP(S257,打分卡!$F$8:$J$8,打分卡!$K$8:$O$8),1)</f>
        <v>3</v>
      </c>
      <c r="AE257" s="42">
        <f>IFERROR(LOOKUP(T257,打分卡!$F$9:$I$9,打分卡!$K$9:$N$9),1)</f>
        <v>3</v>
      </c>
      <c r="AF257" s="42">
        <f>IFERROR(LOOKUP(Q257,打分卡!$F$10:$J$10,打分卡!$K$10:$O$10),1)</f>
        <v>2</v>
      </c>
      <c r="AG257" s="42">
        <f>IFERROR(LOOKUP(R257,打分卡!$F$11:$J$11,打分卡!$K$11:$O$11),1)</f>
        <v>2</v>
      </c>
      <c r="AH257" s="42">
        <f>IFERROR(LOOKUP(U257,打分卡!$F$12:$J$12,打分卡!$K$12:$O$12),1)</f>
        <v>3</v>
      </c>
      <c r="AI257" s="42">
        <f>IFERROR(LOOKUP(X257,打分卡!$F$13:$J$13,打分卡!$K$13:$O$13),1)</f>
        <v>1</v>
      </c>
      <c r="AJ257" s="42">
        <f>IFERROR(LOOKUP(Y257,打分卡!$F$14:$J$14,打分卡!$K$14:$O$14),1)</f>
        <v>1</v>
      </c>
      <c r="AK257" s="42">
        <f>IFERROR(LOOKUP(W257,打分卡!$F$15:$J$15,打分卡!$K$15:$O$15),1)</f>
        <v>3</v>
      </c>
      <c r="AL257" s="45">
        <f t="shared" si="25"/>
        <v>2</v>
      </c>
      <c r="AM257" s="42">
        <f>IFERROR(LOOKUP(Z257,打分卡!$F$17:$H$17,打分卡!$K$17:$M$17),1)</f>
        <v>3</v>
      </c>
      <c r="AN257" s="46">
        <f>(打分卡!$D$7*AC257+打分卡!$D$8*AD257+打分卡!$D$9*AE257)/5</f>
        <v>24</v>
      </c>
      <c r="AO257" s="46">
        <f>(打分卡!$D$10*AF257+打分卡!$D$11*AG257)/5</f>
        <v>8</v>
      </c>
      <c r="AP257" s="46">
        <f>(打分卡!$D$12*AH257+打分卡!$D$13*AI257+打分卡!$D$14*AJ257+打分卡!$D$15*AK257)/5</f>
        <v>12.4</v>
      </c>
      <c r="AQ257" s="46">
        <f>(打分卡!$D$16*AL257+打分卡!$D$17*AM257)/5</f>
        <v>4.8</v>
      </c>
      <c r="AR257" s="48">
        <f t="shared" si="26"/>
        <v>49.2</v>
      </c>
      <c r="AS257" s="45" t="str">
        <f t="shared" si="27"/>
        <v>腰部</v>
      </c>
      <c r="AT257" s="45" t="str">
        <f t="shared" si="28"/>
        <v/>
      </c>
      <c r="AU257" s="45" t="str">
        <f t="shared" si="29"/>
        <v>拉·主攻：主推AI外呼+大促作战包</v>
      </c>
    </row>
    <row r="258" ht="15" customHeight="1" spans="1:47">
      <c r="A258" s="30" t="s">
        <v>942</v>
      </c>
      <c r="B258" s="31" t="s">
        <v>943</v>
      </c>
      <c r="C258" s="31" t="s">
        <v>189</v>
      </c>
      <c r="D258" s="31" t="s">
        <v>227</v>
      </c>
      <c r="E258" s="31" t="s">
        <v>181</v>
      </c>
      <c r="F258" s="30" t="s">
        <v>944</v>
      </c>
      <c r="G258" s="31">
        <v>12</v>
      </c>
      <c r="H258" s="31" t="s">
        <v>183</v>
      </c>
      <c r="I258" s="31" t="s">
        <v>302</v>
      </c>
      <c r="J258" s="33">
        <v>65000</v>
      </c>
      <c r="K258" s="33">
        <v>46800</v>
      </c>
      <c r="L258" s="33">
        <v>12900</v>
      </c>
      <c r="M258" s="33">
        <f t="shared" ref="M258:M321" si="32">SUM(J258:L258)</f>
        <v>124700</v>
      </c>
      <c r="N258" s="34">
        <f t="shared" si="30"/>
        <v>0.000653757190280565</v>
      </c>
      <c r="O258" s="35">
        <f>SUM($M$2:M258)</f>
        <v>158329100</v>
      </c>
      <c r="P258" s="34">
        <f t="shared" si="31"/>
        <v>0.830062450325987</v>
      </c>
      <c r="Q258" s="37">
        <v>8.8</v>
      </c>
      <c r="R258" s="31">
        <v>4</v>
      </c>
      <c r="S258" s="31">
        <v>1</v>
      </c>
      <c r="T258" s="31">
        <v>2</v>
      </c>
      <c r="U258" s="37">
        <v>1.8</v>
      </c>
      <c r="V258" s="31">
        <v>3</v>
      </c>
      <c r="W258" s="31">
        <v>3</v>
      </c>
      <c r="X258" s="38">
        <v>58</v>
      </c>
      <c r="Y258" s="31">
        <v>1</v>
      </c>
      <c r="Z258" s="31">
        <v>0</v>
      </c>
      <c r="AA258" s="31" t="s">
        <v>199</v>
      </c>
      <c r="AB258" s="31" t="s">
        <v>220</v>
      </c>
      <c r="AC258" s="41">
        <f>IFERROR(LOOKUP(M258,打分卡!$F$7:$J$7,打分卡!$K$7:$O$7),1)</f>
        <v>3</v>
      </c>
      <c r="AD258" s="41">
        <f>IFERROR(LOOKUP(S258,打分卡!$F$8:$J$8,打分卡!$K$8:$O$8),1)</f>
        <v>1</v>
      </c>
      <c r="AE258" s="41">
        <f>IFERROR(LOOKUP(T258,打分卡!$F$9:$I$9,打分卡!$K$9:$N$9),1)</f>
        <v>3</v>
      </c>
      <c r="AF258" s="41">
        <f>IFERROR(LOOKUP(Q258,打分卡!$F$10:$J$10,打分卡!$K$10:$O$10),1)</f>
        <v>2</v>
      </c>
      <c r="AG258" s="41">
        <f>IFERROR(LOOKUP(R258,打分卡!$F$11:$J$11,打分卡!$K$11:$O$11),1)</f>
        <v>2</v>
      </c>
      <c r="AH258" s="41">
        <f>IFERROR(LOOKUP(U258,打分卡!$F$12:$J$12,打分卡!$K$12:$O$12),1)</f>
        <v>1</v>
      </c>
      <c r="AI258" s="41">
        <f>IFERROR(LOOKUP(X258,打分卡!$F$13:$J$13,打分卡!$K$13:$O$13),1)</f>
        <v>3</v>
      </c>
      <c r="AJ258" s="41">
        <f>IFERROR(LOOKUP(Y258,打分卡!$F$14:$J$14,打分卡!$K$14:$O$14),1)</f>
        <v>2</v>
      </c>
      <c r="AK258" s="41">
        <f>IFERROR(LOOKUP(W258,打分卡!$F$15:$J$15,打分卡!$K$15:$O$15),1)</f>
        <v>3</v>
      </c>
      <c r="AL258" s="43">
        <f t="shared" ref="AL258:AL321" si="33">IF(AA258="连续下降",1,IF(AA258="下降",2,IF(AA258="上升",5,3)))</f>
        <v>5</v>
      </c>
      <c r="AM258" s="41">
        <f>IFERROR(LOOKUP(Z258,打分卡!$F$17:$H$17,打分卡!$K$17:$M$17),1)</f>
        <v>1</v>
      </c>
      <c r="AN258" s="44">
        <f>(打分卡!$D$7*AC258+打分卡!$D$8*AD258+打分卡!$D$9*AE258)/5</f>
        <v>20.8</v>
      </c>
      <c r="AO258" s="44">
        <f>(打分卡!$D$10*AF258+打分卡!$D$11*AG258)/5</f>
        <v>8</v>
      </c>
      <c r="AP258" s="44">
        <f>(打分卡!$D$12*AH258+打分卡!$D$13*AI258+打分卡!$D$14*AJ258+打分卡!$D$15*AK258)/5</f>
        <v>12</v>
      </c>
      <c r="AQ258" s="44">
        <f>(打分卡!$D$16*AL258+打分卡!$D$17*AM258)/5</f>
        <v>6.8</v>
      </c>
      <c r="AR258" s="47">
        <f t="shared" ref="AR258:AR321" si="34">IF(G258&lt;3,AP258/30*40+AO258+AP258+AQ258,AN258+AO258+AP258+AQ258)</f>
        <v>47.6</v>
      </c>
      <c r="AS258" s="43" t="str">
        <f t="shared" ref="AS258:AS321" si="35">IF(M258=0,IF(G258&lt;3,"新客观察期","未激活"),IF(AR258&gt;=90,"SKA",IF(AR258&gt;=75,"KA",IF(AR258&gt;=40,"腰部","基础长尾"))))</f>
        <v>腰部</v>
      </c>
      <c r="AT258" s="43" t="str">
        <f t="shared" ref="AT258:AT321" si="36">IF(AA258="连续下降","连续下降-预警","")</f>
        <v/>
      </c>
      <c r="AU258" s="43" t="str">
        <f t="shared" ref="AU258:AU321" si="37">IF(AS258="SKA","守·共创：卡片短信/AI外呼新场景POC",IF(AS258="KA","扩·深化：AI外呼场景深化+Push/企微补全",IF(AS258="腰部","拉·主攻：主推AI外呼+大促作战包",IF(AS258="新客观察期","培育：入门包+1v1场景教育",IF(AS258="基础长尾","激活：企微+Push低成本先跑","唤醒：短信模板+首充补贴")))))</f>
        <v>拉·主攻：主推AI外呼+大促作战包</v>
      </c>
    </row>
    <row r="259" ht="15" customHeight="1" spans="1:47">
      <c r="A259" s="20" t="s">
        <v>945</v>
      </c>
      <c r="B259" s="22" t="s">
        <v>946</v>
      </c>
      <c r="C259" s="22" t="s">
        <v>218</v>
      </c>
      <c r="D259" s="22" t="s">
        <v>202</v>
      </c>
      <c r="E259" s="22" t="s">
        <v>181</v>
      </c>
      <c r="F259" s="20" t="s">
        <v>947</v>
      </c>
      <c r="G259" s="22">
        <v>12</v>
      </c>
      <c r="H259" s="22" t="s">
        <v>301</v>
      </c>
      <c r="I259" s="22" t="s">
        <v>302</v>
      </c>
      <c r="J259" s="36">
        <v>77400</v>
      </c>
      <c r="K259" s="36">
        <v>31000</v>
      </c>
      <c r="L259" s="36">
        <v>16300</v>
      </c>
      <c r="M259" s="36">
        <f t="shared" si="32"/>
        <v>124700</v>
      </c>
      <c r="N259" s="34">
        <f t="shared" ref="N259:N322" si="38">M259/$M$2002</f>
        <v>0.000653757190280565</v>
      </c>
      <c r="O259" s="35">
        <f>SUM($M$2:M259)</f>
        <v>158453800</v>
      </c>
      <c r="P259" s="34">
        <f t="shared" ref="P259:P322" si="39">O259/$M$2002</f>
        <v>0.830716207516268</v>
      </c>
      <c r="Q259" s="39">
        <v>18.5</v>
      </c>
      <c r="R259" s="22">
        <v>5</v>
      </c>
      <c r="S259" s="22">
        <v>3</v>
      </c>
      <c r="T259" s="22">
        <v>1</v>
      </c>
      <c r="U259" s="39">
        <v>9.1</v>
      </c>
      <c r="V259" s="22">
        <v>9</v>
      </c>
      <c r="W259" s="22">
        <v>0</v>
      </c>
      <c r="X259" s="40">
        <v>18</v>
      </c>
      <c r="Y259" s="22">
        <v>3</v>
      </c>
      <c r="Z259" s="22">
        <v>0</v>
      </c>
      <c r="AA259" s="22" t="s">
        <v>185</v>
      </c>
      <c r="AB259" s="22" t="s">
        <v>220</v>
      </c>
      <c r="AC259" s="42">
        <f>IFERROR(LOOKUP(M259,打分卡!$F$7:$J$7,打分卡!$K$7:$O$7),1)</f>
        <v>3</v>
      </c>
      <c r="AD259" s="42">
        <f>IFERROR(LOOKUP(S259,打分卡!$F$8:$J$8,打分卡!$K$8:$O$8),1)</f>
        <v>3</v>
      </c>
      <c r="AE259" s="42">
        <f>IFERROR(LOOKUP(T259,打分卡!$F$9:$I$9,打分卡!$K$9:$N$9),1)</f>
        <v>2</v>
      </c>
      <c r="AF259" s="42">
        <f>IFERROR(LOOKUP(Q259,打分卡!$F$10:$J$10,打分卡!$K$10:$O$10),1)</f>
        <v>3</v>
      </c>
      <c r="AG259" s="42">
        <f>IFERROR(LOOKUP(R259,打分卡!$F$11:$J$11,打分卡!$K$11:$O$11),1)</f>
        <v>3</v>
      </c>
      <c r="AH259" s="42">
        <f>IFERROR(LOOKUP(U259,打分卡!$F$12:$J$12,打分卡!$K$12:$O$12),1)</f>
        <v>2</v>
      </c>
      <c r="AI259" s="42">
        <f>IFERROR(LOOKUP(X259,打分卡!$F$13:$J$13,打分卡!$K$13:$O$13),1)</f>
        <v>2</v>
      </c>
      <c r="AJ259" s="42">
        <f>IFERROR(LOOKUP(Y259,打分卡!$F$14:$J$14,打分卡!$K$14:$O$14),1)</f>
        <v>4</v>
      </c>
      <c r="AK259" s="42">
        <f>IFERROR(LOOKUP(W259,打分卡!$F$15:$J$15,打分卡!$K$15:$O$15),1)</f>
        <v>1</v>
      </c>
      <c r="AL259" s="45">
        <f t="shared" si="33"/>
        <v>3</v>
      </c>
      <c r="AM259" s="42">
        <f>IFERROR(LOOKUP(Z259,打分卡!$F$17:$H$17,打分卡!$K$17:$M$17),1)</f>
        <v>1</v>
      </c>
      <c r="AN259" s="46">
        <f>(打分卡!$D$7*AC259+打分卡!$D$8*AD259+打分卡!$D$9*AE259)/5</f>
        <v>22.6</v>
      </c>
      <c r="AO259" s="46">
        <f>(打分卡!$D$10*AF259+打分卡!$D$11*AG259)/5</f>
        <v>12</v>
      </c>
      <c r="AP259" s="46">
        <f>(打分卡!$D$12*AH259+打分卡!$D$13*AI259+打分卡!$D$14*AJ259+打分卡!$D$15*AK259)/5</f>
        <v>13.6</v>
      </c>
      <c r="AQ259" s="46">
        <f>(打分卡!$D$16*AL259+打分卡!$D$17*AM259)/5</f>
        <v>4.4</v>
      </c>
      <c r="AR259" s="48">
        <f t="shared" si="34"/>
        <v>52.6</v>
      </c>
      <c r="AS259" s="45" t="str">
        <f t="shared" si="35"/>
        <v>腰部</v>
      </c>
      <c r="AT259" s="45" t="str">
        <f t="shared" si="36"/>
        <v/>
      </c>
      <c r="AU259" s="45" t="str">
        <f t="shared" si="37"/>
        <v>拉·主攻：主推AI外呼+大促作战包</v>
      </c>
    </row>
    <row r="260" ht="15" customHeight="1" spans="1:47">
      <c r="A260" s="30" t="s">
        <v>948</v>
      </c>
      <c r="B260" s="31" t="s">
        <v>949</v>
      </c>
      <c r="C260" s="31" t="s">
        <v>189</v>
      </c>
      <c r="D260" s="31" t="s">
        <v>227</v>
      </c>
      <c r="E260" s="31" t="s">
        <v>181</v>
      </c>
      <c r="F260" s="30" t="s">
        <v>398</v>
      </c>
      <c r="G260" s="31">
        <v>14</v>
      </c>
      <c r="H260" s="31" t="s">
        <v>301</v>
      </c>
      <c r="I260" s="31" t="s">
        <v>302</v>
      </c>
      <c r="J260" s="33">
        <v>75300</v>
      </c>
      <c r="K260" s="33">
        <v>24900</v>
      </c>
      <c r="L260" s="33">
        <v>24300</v>
      </c>
      <c r="M260" s="33">
        <f t="shared" si="32"/>
        <v>124500</v>
      </c>
      <c r="N260" s="34">
        <f t="shared" si="38"/>
        <v>0.000652708662308984</v>
      </c>
      <c r="O260" s="35">
        <f>SUM($M$2:M260)</f>
        <v>158578300</v>
      </c>
      <c r="P260" s="34">
        <f t="shared" si="39"/>
        <v>0.831368916178577</v>
      </c>
      <c r="Q260" s="37">
        <v>12.9</v>
      </c>
      <c r="R260" s="31">
        <v>7</v>
      </c>
      <c r="S260" s="31">
        <v>1</v>
      </c>
      <c r="T260" s="31">
        <v>2</v>
      </c>
      <c r="U260" s="37">
        <v>27</v>
      </c>
      <c r="V260" s="31">
        <v>24</v>
      </c>
      <c r="W260" s="31">
        <v>1</v>
      </c>
      <c r="X260" s="38">
        <v>54</v>
      </c>
      <c r="Y260" s="31">
        <v>0</v>
      </c>
      <c r="Z260" s="31">
        <v>0</v>
      </c>
      <c r="AA260" s="31" t="s">
        <v>199</v>
      </c>
      <c r="AB260" s="31" t="s">
        <v>220</v>
      </c>
      <c r="AC260" s="41">
        <f>IFERROR(LOOKUP(M260,打分卡!$F$7:$J$7,打分卡!$K$7:$O$7),1)</f>
        <v>3</v>
      </c>
      <c r="AD260" s="41">
        <f>IFERROR(LOOKUP(S260,打分卡!$F$8:$J$8,打分卡!$K$8:$O$8),1)</f>
        <v>1</v>
      </c>
      <c r="AE260" s="41">
        <f>IFERROR(LOOKUP(T260,打分卡!$F$9:$I$9,打分卡!$K$9:$N$9),1)</f>
        <v>3</v>
      </c>
      <c r="AF260" s="41">
        <f>IFERROR(LOOKUP(Q260,打分卡!$F$10:$J$10,打分卡!$K$10:$O$10),1)</f>
        <v>3</v>
      </c>
      <c r="AG260" s="41">
        <f>IFERROR(LOOKUP(R260,打分卡!$F$11:$J$11,打分卡!$K$11:$O$11),1)</f>
        <v>3</v>
      </c>
      <c r="AH260" s="41">
        <f>IFERROR(LOOKUP(U260,打分卡!$F$12:$J$12,打分卡!$K$12:$O$12),1)</f>
        <v>3</v>
      </c>
      <c r="AI260" s="41">
        <f>IFERROR(LOOKUP(X260,打分卡!$F$13:$J$13,打分卡!$K$13:$O$13),1)</f>
        <v>3</v>
      </c>
      <c r="AJ260" s="41">
        <f>IFERROR(LOOKUP(Y260,打分卡!$F$14:$J$14,打分卡!$K$14:$O$14),1)</f>
        <v>1</v>
      </c>
      <c r="AK260" s="41">
        <f>IFERROR(LOOKUP(W260,打分卡!$F$15:$J$15,打分卡!$K$15:$O$15),1)</f>
        <v>2</v>
      </c>
      <c r="AL260" s="43">
        <f t="shared" si="33"/>
        <v>5</v>
      </c>
      <c r="AM260" s="41">
        <f>IFERROR(LOOKUP(Z260,打分卡!$F$17:$H$17,打分卡!$K$17:$M$17),1)</f>
        <v>1</v>
      </c>
      <c r="AN260" s="44">
        <f>(打分卡!$D$7*AC260+打分卡!$D$8*AD260+打分卡!$D$9*AE260)/5</f>
        <v>20.8</v>
      </c>
      <c r="AO260" s="44">
        <f>(打分卡!$D$10*AF260+打分卡!$D$11*AG260)/5</f>
        <v>12</v>
      </c>
      <c r="AP260" s="44">
        <f>(打分卡!$D$12*AH260+打分卡!$D$13*AI260+打分卡!$D$14*AJ260+打分卡!$D$15*AK260)/5</f>
        <v>14.8</v>
      </c>
      <c r="AQ260" s="44">
        <f>(打分卡!$D$16*AL260+打分卡!$D$17*AM260)/5</f>
        <v>6.8</v>
      </c>
      <c r="AR260" s="47">
        <f t="shared" si="34"/>
        <v>54.4</v>
      </c>
      <c r="AS260" s="43" t="str">
        <f t="shared" si="35"/>
        <v>腰部</v>
      </c>
      <c r="AT260" s="43" t="str">
        <f t="shared" si="36"/>
        <v/>
      </c>
      <c r="AU260" s="43" t="str">
        <f t="shared" si="37"/>
        <v>拉·主攻：主推AI外呼+大促作战包</v>
      </c>
    </row>
    <row r="261" ht="15" customHeight="1" spans="1:47">
      <c r="A261" s="20" t="s">
        <v>950</v>
      </c>
      <c r="B261" s="22" t="s">
        <v>951</v>
      </c>
      <c r="C261" s="22" t="s">
        <v>195</v>
      </c>
      <c r="D261" s="22" t="s">
        <v>196</v>
      </c>
      <c r="E261" s="22" t="s">
        <v>197</v>
      </c>
      <c r="F261" s="20" t="s">
        <v>502</v>
      </c>
      <c r="G261" s="22">
        <v>13</v>
      </c>
      <c r="H261" s="22" t="s">
        <v>301</v>
      </c>
      <c r="I261" s="22" t="s">
        <v>184</v>
      </c>
      <c r="J261" s="36">
        <v>72000</v>
      </c>
      <c r="K261" s="36">
        <v>37600</v>
      </c>
      <c r="L261" s="36">
        <v>14200</v>
      </c>
      <c r="M261" s="36">
        <f t="shared" si="32"/>
        <v>123800</v>
      </c>
      <c r="N261" s="34">
        <f t="shared" si="38"/>
        <v>0.000649038814408452</v>
      </c>
      <c r="O261" s="35">
        <f>SUM($M$2:M261)</f>
        <v>158702100</v>
      </c>
      <c r="P261" s="34">
        <f t="shared" si="39"/>
        <v>0.832017954992985</v>
      </c>
      <c r="Q261" s="39">
        <v>17.1</v>
      </c>
      <c r="R261" s="22">
        <v>6</v>
      </c>
      <c r="S261" s="22">
        <v>1</v>
      </c>
      <c r="T261" s="22">
        <v>0</v>
      </c>
      <c r="U261" s="39">
        <v>3.3</v>
      </c>
      <c r="V261" s="22">
        <v>13</v>
      </c>
      <c r="W261" s="22">
        <v>4</v>
      </c>
      <c r="X261" s="40">
        <v>56</v>
      </c>
      <c r="Y261" s="22">
        <v>2</v>
      </c>
      <c r="Z261" s="22">
        <v>1</v>
      </c>
      <c r="AA261" s="22" t="s">
        <v>315</v>
      </c>
      <c r="AB261" s="22" t="s">
        <v>220</v>
      </c>
      <c r="AC261" s="42">
        <f>IFERROR(LOOKUP(M261,打分卡!$F$7:$J$7,打分卡!$K$7:$O$7),1)</f>
        <v>3</v>
      </c>
      <c r="AD261" s="42">
        <f>IFERROR(LOOKUP(S261,打分卡!$F$8:$J$8,打分卡!$K$8:$O$8),1)</f>
        <v>1</v>
      </c>
      <c r="AE261" s="42">
        <f>IFERROR(LOOKUP(T261,打分卡!$F$9:$I$9,打分卡!$K$9:$N$9),1)</f>
        <v>1</v>
      </c>
      <c r="AF261" s="42">
        <f>IFERROR(LOOKUP(Q261,打分卡!$F$10:$J$10,打分卡!$K$10:$O$10),1)</f>
        <v>3</v>
      </c>
      <c r="AG261" s="42">
        <f>IFERROR(LOOKUP(R261,打分卡!$F$11:$J$11,打分卡!$K$11:$O$11),1)</f>
        <v>3</v>
      </c>
      <c r="AH261" s="42">
        <f>IFERROR(LOOKUP(U261,打分卡!$F$12:$J$12,打分卡!$K$12:$O$12),1)</f>
        <v>2</v>
      </c>
      <c r="AI261" s="42">
        <f>IFERROR(LOOKUP(X261,打分卡!$F$13:$J$13,打分卡!$K$13:$O$13),1)</f>
        <v>3</v>
      </c>
      <c r="AJ261" s="42">
        <f>IFERROR(LOOKUP(Y261,打分卡!$F$14:$J$14,打分卡!$K$14:$O$14),1)</f>
        <v>3</v>
      </c>
      <c r="AK261" s="42">
        <f>IFERROR(LOOKUP(W261,打分卡!$F$15:$J$15,打分卡!$K$15:$O$15),1)</f>
        <v>3</v>
      </c>
      <c r="AL261" s="45">
        <f t="shared" si="33"/>
        <v>2</v>
      </c>
      <c r="AM261" s="42">
        <f>IFERROR(LOOKUP(Z261,打分卡!$F$17:$H$17,打分卡!$K$17:$M$17),1)</f>
        <v>3</v>
      </c>
      <c r="AN261" s="46">
        <f>(打分卡!$D$7*AC261+打分卡!$D$8*AD261+打分卡!$D$9*AE261)/5</f>
        <v>18</v>
      </c>
      <c r="AO261" s="46">
        <f>(打分卡!$D$10*AF261+打分卡!$D$11*AG261)/5</f>
        <v>12</v>
      </c>
      <c r="AP261" s="46">
        <f>(打分卡!$D$12*AH261+打分卡!$D$13*AI261+打分卡!$D$14*AJ261+打分卡!$D$15*AK261)/5</f>
        <v>15.6</v>
      </c>
      <c r="AQ261" s="46">
        <f>(打分卡!$D$16*AL261+打分卡!$D$17*AM261)/5</f>
        <v>4.8</v>
      </c>
      <c r="AR261" s="48">
        <f t="shared" si="34"/>
        <v>50.4</v>
      </c>
      <c r="AS261" s="45" t="str">
        <f t="shared" si="35"/>
        <v>腰部</v>
      </c>
      <c r="AT261" s="45" t="str">
        <f t="shared" si="36"/>
        <v/>
      </c>
      <c r="AU261" s="45" t="str">
        <f t="shared" si="37"/>
        <v>拉·主攻：主推AI外呼+大促作战包</v>
      </c>
    </row>
    <row r="262" ht="15" customHeight="1" spans="1:47">
      <c r="A262" s="30" t="s">
        <v>952</v>
      </c>
      <c r="B262" s="31" t="s">
        <v>953</v>
      </c>
      <c r="C262" s="31" t="s">
        <v>223</v>
      </c>
      <c r="D262" s="31" t="s">
        <v>202</v>
      </c>
      <c r="E262" s="31" t="s">
        <v>197</v>
      </c>
      <c r="F262" s="30" t="s">
        <v>475</v>
      </c>
      <c r="G262" s="31">
        <v>8</v>
      </c>
      <c r="H262" s="31" t="s">
        <v>301</v>
      </c>
      <c r="I262" s="31" t="s">
        <v>302</v>
      </c>
      <c r="J262" s="33">
        <v>61900</v>
      </c>
      <c r="K262" s="33">
        <v>33800</v>
      </c>
      <c r="L262" s="33">
        <v>28000</v>
      </c>
      <c r="M262" s="33">
        <f t="shared" si="32"/>
        <v>123700</v>
      </c>
      <c r="N262" s="34">
        <f t="shared" si="38"/>
        <v>0.000648514550422662</v>
      </c>
      <c r="O262" s="35">
        <f>SUM($M$2:M262)</f>
        <v>158825800</v>
      </c>
      <c r="P262" s="34">
        <f t="shared" si="39"/>
        <v>0.832666469543408</v>
      </c>
      <c r="Q262" s="37">
        <v>9</v>
      </c>
      <c r="R262" s="31">
        <v>4</v>
      </c>
      <c r="S262" s="31">
        <v>3</v>
      </c>
      <c r="T262" s="31">
        <v>1</v>
      </c>
      <c r="U262" s="37">
        <v>10.4</v>
      </c>
      <c r="V262" s="31">
        <v>14</v>
      </c>
      <c r="W262" s="31">
        <v>2</v>
      </c>
      <c r="X262" s="38">
        <v>37</v>
      </c>
      <c r="Y262" s="31">
        <v>3</v>
      </c>
      <c r="Z262" s="31">
        <v>1</v>
      </c>
      <c r="AA262" s="31" t="s">
        <v>199</v>
      </c>
      <c r="AB262" s="31" t="s">
        <v>220</v>
      </c>
      <c r="AC262" s="41">
        <f>IFERROR(LOOKUP(M262,打分卡!$F$7:$J$7,打分卡!$K$7:$O$7),1)</f>
        <v>3</v>
      </c>
      <c r="AD262" s="41">
        <f>IFERROR(LOOKUP(S262,打分卡!$F$8:$J$8,打分卡!$K$8:$O$8),1)</f>
        <v>3</v>
      </c>
      <c r="AE262" s="41">
        <f>IFERROR(LOOKUP(T262,打分卡!$F$9:$I$9,打分卡!$K$9:$N$9),1)</f>
        <v>2</v>
      </c>
      <c r="AF262" s="41">
        <f>IFERROR(LOOKUP(Q262,打分卡!$F$10:$J$10,打分卡!$K$10:$O$10),1)</f>
        <v>2</v>
      </c>
      <c r="AG262" s="41">
        <f>IFERROR(LOOKUP(R262,打分卡!$F$11:$J$11,打分卡!$K$11:$O$11),1)</f>
        <v>2</v>
      </c>
      <c r="AH262" s="41">
        <f>IFERROR(LOOKUP(U262,打分卡!$F$12:$J$12,打分卡!$K$12:$O$12),1)</f>
        <v>2</v>
      </c>
      <c r="AI262" s="41">
        <f>IFERROR(LOOKUP(X262,打分卡!$F$13:$J$13,打分卡!$K$13:$O$13),1)</f>
        <v>2</v>
      </c>
      <c r="AJ262" s="41">
        <f>IFERROR(LOOKUP(Y262,打分卡!$F$14:$J$14,打分卡!$K$14:$O$14),1)</f>
        <v>4</v>
      </c>
      <c r="AK262" s="41">
        <f>IFERROR(LOOKUP(W262,打分卡!$F$15:$J$15,打分卡!$K$15:$O$15),1)</f>
        <v>2</v>
      </c>
      <c r="AL262" s="43">
        <f t="shared" si="33"/>
        <v>5</v>
      </c>
      <c r="AM262" s="41">
        <f>IFERROR(LOOKUP(Z262,打分卡!$F$17:$H$17,打分卡!$K$17:$M$17),1)</f>
        <v>3</v>
      </c>
      <c r="AN262" s="44">
        <f>(打分卡!$D$7*AC262+打分卡!$D$8*AD262+打分卡!$D$9*AE262)/5</f>
        <v>22.6</v>
      </c>
      <c r="AO262" s="44">
        <f>(打分卡!$D$10*AF262+打分卡!$D$11*AG262)/5</f>
        <v>8</v>
      </c>
      <c r="AP262" s="44">
        <f>(打分卡!$D$12*AH262+打分卡!$D$13*AI262+打分卡!$D$14*AJ262+打分卡!$D$15*AK262)/5</f>
        <v>14.4</v>
      </c>
      <c r="AQ262" s="44">
        <f>(打分卡!$D$16*AL262+打分卡!$D$17*AM262)/5</f>
        <v>8.4</v>
      </c>
      <c r="AR262" s="47">
        <f t="shared" si="34"/>
        <v>53.4</v>
      </c>
      <c r="AS262" s="43" t="str">
        <f t="shared" si="35"/>
        <v>腰部</v>
      </c>
      <c r="AT262" s="43" t="str">
        <f t="shared" si="36"/>
        <v/>
      </c>
      <c r="AU262" s="43" t="str">
        <f t="shared" si="37"/>
        <v>拉·主攻：主推AI外呼+大促作战包</v>
      </c>
    </row>
    <row r="263" ht="15" customHeight="1" spans="1:47">
      <c r="A263" s="20" t="s">
        <v>954</v>
      </c>
      <c r="B263" s="22" t="s">
        <v>955</v>
      </c>
      <c r="C263" s="22" t="s">
        <v>239</v>
      </c>
      <c r="D263" s="22" t="s">
        <v>196</v>
      </c>
      <c r="E263" s="22" t="s">
        <v>181</v>
      </c>
      <c r="F263" s="20" t="s">
        <v>956</v>
      </c>
      <c r="G263" s="22">
        <v>3</v>
      </c>
      <c r="H263" s="22" t="s">
        <v>301</v>
      </c>
      <c r="I263" s="22" t="s">
        <v>302</v>
      </c>
      <c r="J263" s="36">
        <v>58100</v>
      </c>
      <c r="K263" s="36">
        <v>29600</v>
      </c>
      <c r="L263" s="36">
        <v>34900</v>
      </c>
      <c r="M263" s="36">
        <f t="shared" si="32"/>
        <v>122600</v>
      </c>
      <c r="N263" s="34">
        <f t="shared" si="38"/>
        <v>0.000642747646578968</v>
      </c>
      <c r="O263" s="35">
        <f>SUM($M$2:M263)</f>
        <v>158948400</v>
      </c>
      <c r="P263" s="34">
        <f t="shared" si="39"/>
        <v>0.833309217189987</v>
      </c>
      <c r="Q263" s="39">
        <v>16</v>
      </c>
      <c r="R263" s="22">
        <v>2</v>
      </c>
      <c r="S263" s="22">
        <v>3</v>
      </c>
      <c r="T263" s="22">
        <v>1</v>
      </c>
      <c r="U263" s="39">
        <v>2.6</v>
      </c>
      <c r="V263" s="22">
        <v>20</v>
      </c>
      <c r="W263" s="22">
        <v>1</v>
      </c>
      <c r="X263" s="40">
        <v>106</v>
      </c>
      <c r="Y263" s="22">
        <v>0</v>
      </c>
      <c r="Z263" s="22">
        <v>1</v>
      </c>
      <c r="AA263" s="22" t="s">
        <v>199</v>
      </c>
      <c r="AB263" s="22" t="s">
        <v>220</v>
      </c>
      <c r="AC263" s="42">
        <f>IFERROR(LOOKUP(M263,打分卡!$F$7:$J$7,打分卡!$K$7:$O$7),1)</f>
        <v>3</v>
      </c>
      <c r="AD263" s="42">
        <f>IFERROR(LOOKUP(S263,打分卡!$F$8:$J$8,打分卡!$K$8:$O$8),1)</f>
        <v>3</v>
      </c>
      <c r="AE263" s="42">
        <f>IFERROR(LOOKUP(T263,打分卡!$F$9:$I$9,打分卡!$K$9:$N$9),1)</f>
        <v>2</v>
      </c>
      <c r="AF263" s="42">
        <f>IFERROR(LOOKUP(Q263,打分卡!$F$10:$J$10,打分卡!$K$10:$O$10),1)</f>
        <v>3</v>
      </c>
      <c r="AG263" s="42">
        <f>IFERROR(LOOKUP(R263,打分卡!$F$11:$J$11,打分卡!$K$11:$O$11),1)</f>
        <v>1</v>
      </c>
      <c r="AH263" s="42">
        <f>IFERROR(LOOKUP(U263,打分卡!$F$12:$J$12,打分卡!$K$12:$O$12),1)</f>
        <v>1</v>
      </c>
      <c r="AI263" s="42">
        <f>IFERROR(LOOKUP(X263,打分卡!$F$13:$J$13,打分卡!$K$13:$O$13),1)</f>
        <v>4</v>
      </c>
      <c r="AJ263" s="42">
        <f>IFERROR(LOOKUP(Y263,打分卡!$F$14:$J$14,打分卡!$K$14:$O$14),1)</f>
        <v>1</v>
      </c>
      <c r="AK263" s="42">
        <f>IFERROR(LOOKUP(W263,打分卡!$F$15:$J$15,打分卡!$K$15:$O$15),1)</f>
        <v>2</v>
      </c>
      <c r="AL263" s="45">
        <f t="shared" si="33"/>
        <v>5</v>
      </c>
      <c r="AM263" s="42">
        <f>IFERROR(LOOKUP(Z263,打分卡!$F$17:$H$17,打分卡!$K$17:$M$17),1)</f>
        <v>3</v>
      </c>
      <c r="AN263" s="46">
        <f>(打分卡!$D$7*AC263+打分卡!$D$8*AD263+打分卡!$D$9*AE263)/5</f>
        <v>22.6</v>
      </c>
      <c r="AO263" s="46">
        <f>(打分卡!$D$10*AF263+打分卡!$D$11*AG263)/5</f>
        <v>8</v>
      </c>
      <c r="AP263" s="46">
        <f>(打分卡!$D$12*AH263+打分卡!$D$13*AI263+打分卡!$D$14*AJ263+打分卡!$D$15*AK263)/5</f>
        <v>11.6</v>
      </c>
      <c r="AQ263" s="46">
        <f>(打分卡!$D$16*AL263+打分卡!$D$17*AM263)/5</f>
        <v>8.4</v>
      </c>
      <c r="AR263" s="48">
        <f t="shared" si="34"/>
        <v>50.6</v>
      </c>
      <c r="AS263" s="45" t="str">
        <f t="shared" si="35"/>
        <v>腰部</v>
      </c>
      <c r="AT263" s="45" t="str">
        <f t="shared" si="36"/>
        <v/>
      </c>
      <c r="AU263" s="45" t="str">
        <f t="shared" si="37"/>
        <v>拉·主攻：主推AI外呼+大促作战包</v>
      </c>
    </row>
    <row r="264" ht="15" customHeight="1" spans="1:47">
      <c r="A264" s="30" t="s">
        <v>957</v>
      </c>
      <c r="B264" s="31" t="s">
        <v>958</v>
      </c>
      <c r="C264" s="31" t="s">
        <v>234</v>
      </c>
      <c r="D264" s="31" t="s">
        <v>202</v>
      </c>
      <c r="E264" s="31" t="s">
        <v>181</v>
      </c>
      <c r="F264" s="30" t="s">
        <v>799</v>
      </c>
      <c r="G264" s="31">
        <v>11</v>
      </c>
      <c r="H264" s="31" t="s">
        <v>183</v>
      </c>
      <c r="I264" s="31" t="s">
        <v>302</v>
      </c>
      <c r="J264" s="33">
        <v>57100</v>
      </c>
      <c r="K264" s="33">
        <v>34100</v>
      </c>
      <c r="L264" s="33">
        <v>31300</v>
      </c>
      <c r="M264" s="33">
        <f t="shared" si="32"/>
        <v>122500</v>
      </c>
      <c r="N264" s="34">
        <f t="shared" si="38"/>
        <v>0.000642223382593177</v>
      </c>
      <c r="O264" s="35">
        <f>SUM($M$2:M264)</f>
        <v>159070900</v>
      </c>
      <c r="P264" s="34">
        <f t="shared" si="39"/>
        <v>0.83395144057258</v>
      </c>
      <c r="Q264" s="37">
        <v>9.8</v>
      </c>
      <c r="R264" s="31">
        <v>4</v>
      </c>
      <c r="S264" s="31">
        <v>1</v>
      </c>
      <c r="T264" s="31">
        <v>1</v>
      </c>
      <c r="U264" s="37">
        <v>4.1</v>
      </c>
      <c r="V264" s="31">
        <v>7</v>
      </c>
      <c r="W264" s="31">
        <v>2</v>
      </c>
      <c r="X264" s="38">
        <v>13</v>
      </c>
      <c r="Y264" s="31">
        <v>2</v>
      </c>
      <c r="Z264" s="31">
        <v>1</v>
      </c>
      <c r="AA264" s="31" t="s">
        <v>315</v>
      </c>
      <c r="AB264" s="31" t="s">
        <v>220</v>
      </c>
      <c r="AC264" s="41">
        <f>IFERROR(LOOKUP(M264,打分卡!$F$7:$J$7,打分卡!$K$7:$O$7),1)</f>
        <v>3</v>
      </c>
      <c r="AD264" s="41">
        <f>IFERROR(LOOKUP(S264,打分卡!$F$8:$J$8,打分卡!$K$8:$O$8),1)</f>
        <v>1</v>
      </c>
      <c r="AE264" s="41">
        <f>IFERROR(LOOKUP(T264,打分卡!$F$9:$I$9,打分卡!$K$9:$N$9),1)</f>
        <v>2</v>
      </c>
      <c r="AF264" s="41">
        <f>IFERROR(LOOKUP(Q264,打分卡!$F$10:$J$10,打分卡!$K$10:$O$10),1)</f>
        <v>3</v>
      </c>
      <c r="AG264" s="41">
        <f>IFERROR(LOOKUP(R264,打分卡!$F$11:$J$11,打分卡!$K$11:$O$11),1)</f>
        <v>2</v>
      </c>
      <c r="AH264" s="41">
        <f>IFERROR(LOOKUP(U264,打分卡!$F$12:$J$12,打分卡!$K$12:$O$12),1)</f>
        <v>2</v>
      </c>
      <c r="AI264" s="41">
        <f>IFERROR(LOOKUP(X264,打分卡!$F$13:$J$13,打分卡!$K$13:$O$13),1)</f>
        <v>1</v>
      </c>
      <c r="AJ264" s="41">
        <f>IFERROR(LOOKUP(Y264,打分卡!$F$14:$J$14,打分卡!$K$14:$O$14),1)</f>
        <v>3</v>
      </c>
      <c r="AK264" s="41">
        <f>IFERROR(LOOKUP(W264,打分卡!$F$15:$J$15,打分卡!$K$15:$O$15),1)</f>
        <v>2</v>
      </c>
      <c r="AL264" s="43">
        <f t="shared" si="33"/>
        <v>2</v>
      </c>
      <c r="AM264" s="41">
        <f>IFERROR(LOOKUP(Z264,打分卡!$F$17:$H$17,打分卡!$K$17:$M$17),1)</f>
        <v>3</v>
      </c>
      <c r="AN264" s="44">
        <f>(打分卡!$D$7*AC264+打分卡!$D$8*AD264+打分卡!$D$9*AE264)/5</f>
        <v>19.4</v>
      </c>
      <c r="AO264" s="44">
        <f>(打分卡!$D$10*AF264+打分卡!$D$11*AG264)/5</f>
        <v>10</v>
      </c>
      <c r="AP264" s="44">
        <f>(打分卡!$D$12*AH264+打分卡!$D$13*AI264+打分卡!$D$14*AJ264+打分卡!$D$15*AK264)/5</f>
        <v>11.6</v>
      </c>
      <c r="AQ264" s="44">
        <f>(打分卡!$D$16*AL264+打分卡!$D$17*AM264)/5</f>
        <v>4.8</v>
      </c>
      <c r="AR264" s="47">
        <f t="shared" si="34"/>
        <v>45.8</v>
      </c>
      <c r="AS264" s="43" t="str">
        <f t="shared" si="35"/>
        <v>腰部</v>
      </c>
      <c r="AT264" s="43" t="str">
        <f t="shared" si="36"/>
        <v/>
      </c>
      <c r="AU264" s="43" t="str">
        <f t="shared" si="37"/>
        <v>拉·主攻：主推AI外呼+大促作战包</v>
      </c>
    </row>
    <row r="265" ht="15" customHeight="1" spans="1:47">
      <c r="A265" s="20" t="s">
        <v>959</v>
      </c>
      <c r="B265" s="22" t="s">
        <v>960</v>
      </c>
      <c r="C265" s="22" t="s">
        <v>189</v>
      </c>
      <c r="D265" s="22" t="s">
        <v>235</v>
      </c>
      <c r="E265" s="22" t="s">
        <v>181</v>
      </c>
      <c r="F265" s="20" t="s">
        <v>885</v>
      </c>
      <c r="G265" s="22">
        <v>11</v>
      </c>
      <c r="H265" s="22" t="s">
        <v>301</v>
      </c>
      <c r="I265" s="22" t="s">
        <v>302</v>
      </c>
      <c r="J265" s="36">
        <v>62900</v>
      </c>
      <c r="K265" s="36">
        <v>26000</v>
      </c>
      <c r="L265" s="36">
        <v>32500</v>
      </c>
      <c r="M265" s="36">
        <f t="shared" si="32"/>
        <v>121400</v>
      </c>
      <c r="N265" s="34">
        <f t="shared" si="38"/>
        <v>0.000636456478749484</v>
      </c>
      <c r="O265" s="35">
        <f>SUM($M$2:M265)</f>
        <v>159192300</v>
      </c>
      <c r="P265" s="34">
        <f t="shared" si="39"/>
        <v>0.83458789705133</v>
      </c>
      <c r="Q265" s="39">
        <v>15.5</v>
      </c>
      <c r="R265" s="22">
        <v>7</v>
      </c>
      <c r="S265" s="22">
        <v>3</v>
      </c>
      <c r="T265" s="22">
        <v>0</v>
      </c>
      <c r="U265" s="39">
        <v>15</v>
      </c>
      <c r="V265" s="22">
        <v>16</v>
      </c>
      <c r="W265" s="22">
        <v>4</v>
      </c>
      <c r="X265" s="40">
        <v>20</v>
      </c>
      <c r="Y265" s="22">
        <v>0</v>
      </c>
      <c r="Z265" s="22">
        <v>1</v>
      </c>
      <c r="AA265" s="22" t="s">
        <v>199</v>
      </c>
      <c r="AB265" s="22" t="s">
        <v>220</v>
      </c>
      <c r="AC265" s="42">
        <f>IFERROR(LOOKUP(M265,打分卡!$F$7:$J$7,打分卡!$K$7:$O$7),1)</f>
        <v>3</v>
      </c>
      <c r="AD265" s="42">
        <f>IFERROR(LOOKUP(S265,打分卡!$F$8:$J$8,打分卡!$K$8:$O$8),1)</f>
        <v>3</v>
      </c>
      <c r="AE265" s="42">
        <f>IFERROR(LOOKUP(T265,打分卡!$F$9:$I$9,打分卡!$K$9:$N$9),1)</f>
        <v>1</v>
      </c>
      <c r="AF265" s="42">
        <f>IFERROR(LOOKUP(Q265,打分卡!$F$10:$J$10,打分卡!$K$10:$O$10),1)</f>
        <v>3</v>
      </c>
      <c r="AG265" s="42">
        <f>IFERROR(LOOKUP(R265,打分卡!$F$11:$J$11,打分卡!$K$11:$O$11),1)</f>
        <v>3</v>
      </c>
      <c r="AH265" s="42">
        <f>IFERROR(LOOKUP(U265,打分卡!$F$12:$J$12,打分卡!$K$12:$O$12),1)</f>
        <v>3</v>
      </c>
      <c r="AI265" s="42">
        <f>IFERROR(LOOKUP(X265,打分卡!$F$13:$J$13,打分卡!$K$13:$O$13),1)</f>
        <v>2</v>
      </c>
      <c r="AJ265" s="42">
        <f>IFERROR(LOOKUP(Y265,打分卡!$F$14:$J$14,打分卡!$K$14:$O$14),1)</f>
        <v>1</v>
      </c>
      <c r="AK265" s="42">
        <f>IFERROR(LOOKUP(W265,打分卡!$F$15:$J$15,打分卡!$K$15:$O$15),1)</f>
        <v>3</v>
      </c>
      <c r="AL265" s="45">
        <f t="shared" si="33"/>
        <v>5</v>
      </c>
      <c r="AM265" s="42">
        <f>IFERROR(LOOKUP(Z265,打分卡!$F$17:$H$17,打分卡!$K$17:$M$17),1)</f>
        <v>3</v>
      </c>
      <c r="AN265" s="46">
        <f>(打分卡!$D$7*AC265+打分卡!$D$8*AD265+打分卡!$D$9*AE265)/5</f>
        <v>21.2</v>
      </c>
      <c r="AO265" s="46">
        <f>(打分卡!$D$10*AF265+打分卡!$D$11*AG265)/5</f>
        <v>12</v>
      </c>
      <c r="AP265" s="46">
        <f>(打分卡!$D$12*AH265+打分卡!$D$13*AI265+打分卡!$D$14*AJ265+打分卡!$D$15*AK265)/5</f>
        <v>14</v>
      </c>
      <c r="AQ265" s="46">
        <f>(打分卡!$D$16*AL265+打分卡!$D$17*AM265)/5</f>
        <v>8.4</v>
      </c>
      <c r="AR265" s="48">
        <f t="shared" si="34"/>
        <v>55.6</v>
      </c>
      <c r="AS265" s="45" t="str">
        <f t="shared" si="35"/>
        <v>腰部</v>
      </c>
      <c r="AT265" s="45" t="str">
        <f t="shared" si="36"/>
        <v/>
      </c>
      <c r="AU265" s="45" t="str">
        <f t="shared" si="37"/>
        <v>拉·主攻：主推AI外呼+大促作战包</v>
      </c>
    </row>
    <row r="266" ht="15" customHeight="1" spans="1:47">
      <c r="A266" s="30" t="s">
        <v>961</v>
      </c>
      <c r="B266" s="31" t="s">
        <v>962</v>
      </c>
      <c r="C266" s="31" t="s">
        <v>234</v>
      </c>
      <c r="D266" s="31" t="s">
        <v>202</v>
      </c>
      <c r="E266" s="31" t="s">
        <v>181</v>
      </c>
      <c r="F266" s="30" t="s">
        <v>963</v>
      </c>
      <c r="G266" s="31">
        <v>17</v>
      </c>
      <c r="H266" s="31" t="s">
        <v>301</v>
      </c>
      <c r="I266" s="31" t="s">
        <v>302</v>
      </c>
      <c r="J266" s="33">
        <v>71800</v>
      </c>
      <c r="K266" s="33">
        <v>28000</v>
      </c>
      <c r="L266" s="33">
        <v>21400</v>
      </c>
      <c r="M266" s="33">
        <f t="shared" si="32"/>
        <v>121200</v>
      </c>
      <c r="N266" s="34">
        <f t="shared" si="38"/>
        <v>0.000635407950777903</v>
      </c>
      <c r="O266" s="35">
        <f>SUM($M$2:M266)</f>
        <v>159313500</v>
      </c>
      <c r="P266" s="34">
        <f t="shared" si="39"/>
        <v>0.835223305002108</v>
      </c>
      <c r="Q266" s="37">
        <v>10.1</v>
      </c>
      <c r="R266" s="31">
        <v>1</v>
      </c>
      <c r="S266" s="31">
        <v>2</v>
      </c>
      <c r="T266" s="31">
        <v>0</v>
      </c>
      <c r="U266" s="37">
        <v>7.2</v>
      </c>
      <c r="V266" s="31">
        <v>15</v>
      </c>
      <c r="W266" s="31">
        <v>3</v>
      </c>
      <c r="X266" s="38">
        <v>14</v>
      </c>
      <c r="Y266" s="31">
        <v>3</v>
      </c>
      <c r="Z266" s="31">
        <v>0</v>
      </c>
      <c r="AA266" s="31" t="s">
        <v>185</v>
      </c>
      <c r="AB266" s="31" t="s">
        <v>220</v>
      </c>
      <c r="AC266" s="41">
        <f>IFERROR(LOOKUP(M266,打分卡!$F$7:$J$7,打分卡!$K$7:$O$7),1)</f>
        <v>3</v>
      </c>
      <c r="AD266" s="41">
        <f>IFERROR(LOOKUP(S266,打分卡!$F$8:$J$8,打分卡!$K$8:$O$8),1)</f>
        <v>2</v>
      </c>
      <c r="AE266" s="41">
        <f>IFERROR(LOOKUP(T266,打分卡!$F$9:$I$9,打分卡!$K$9:$N$9),1)</f>
        <v>1</v>
      </c>
      <c r="AF266" s="41">
        <f>IFERROR(LOOKUP(Q266,打分卡!$F$10:$J$10,打分卡!$K$10:$O$10),1)</f>
        <v>3</v>
      </c>
      <c r="AG266" s="41">
        <f>IFERROR(LOOKUP(R266,打分卡!$F$11:$J$11,打分卡!$K$11:$O$11),1)</f>
        <v>1</v>
      </c>
      <c r="AH266" s="41">
        <f>IFERROR(LOOKUP(U266,打分卡!$F$12:$J$12,打分卡!$K$12:$O$12),1)</f>
        <v>2</v>
      </c>
      <c r="AI266" s="41">
        <f>IFERROR(LOOKUP(X266,打分卡!$F$13:$J$13,打分卡!$K$13:$O$13),1)</f>
        <v>1</v>
      </c>
      <c r="AJ266" s="41">
        <f>IFERROR(LOOKUP(Y266,打分卡!$F$14:$J$14,打分卡!$K$14:$O$14),1)</f>
        <v>4</v>
      </c>
      <c r="AK266" s="41">
        <f>IFERROR(LOOKUP(W266,打分卡!$F$15:$J$15,打分卡!$K$15:$O$15),1)</f>
        <v>3</v>
      </c>
      <c r="AL266" s="43">
        <f t="shared" si="33"/>
        <v>3</v>
      </c>
      <c r="AM266" s="41">
        <f>IFERROR(LOOKUP(Z266,打分卡!$F$17:$H$17,打分卡!$K$17:$M$17),1)</f>
        <v>1</v>
      </c>
      <c r="AN266" s="44">
        <f>(打分卡!$D$7*AC266+打分卡!$D$8*AD266+打分卡!$D$9*AE266)/5</f>
        <v>19.6</v>
      </c>
      <c r="AO266" s="44">
        <f>(打分卡!$D$10*AF266+打分卡!$D$11*AG266)/5</f>
        <v>8</v>
      </c>
      <c r="AP266" s="44">
        <f>(打分卡!$D$12*AH266+打分卡!$D$13*AI266+打分卡!$D$14*AJ266+打分卡!$D$15*AK266)/5</f>
        <v>13.6</v>
      </c>
      <c r="AQ266" s="44">
        <f>(打分卡!$D$16*AL266+打分卡!$D$17*AM266)/5</f>
        <v>4.4</v>
      </c>
      <c r="AR266" s="47">
        <f t="shared" si="34"/>
        <v>45.6</v>
      </c>
      <c r="AS266" s="43" t="str">
        <f t="shared" si="35"/>
        <v>腰部</v>
      </c>
      <c r="AT266" s="43" t="str">
        <f t="shared" si="36"/>
        <v/>
      </c>
      <c r="AU266" s="43" t="str">
        <f t="shared" si="37"/>
        <v>拉·主攻：主推AI外呼+大促作战包</v>
      </c>
    </row>
    <row r="267" ht="15" customHeight="1" spans="1:47">
      <c r="A267" s="20" t="s">
        <v>964</v>
      </c>
      <c r="B267" s="22" t="s">
        <v>965</v>
      </c>
      <c r="C267" s="22" t="s">
        <v>234</v>
      </c>
      <c r="D267" s="22" t="s">
        <v>202</v>
      </c>
      <c r="E267" s="22" t="s">
        <v>181</v>
      </c>
      <c r="F267" s="20" t="s">
        <v>575</v>
      </c>
      <c r="G267" s="22">
        <v>11</v>
      </c>
      <c r="H267" s="22" t="s">
        <v>183</v>
      </c>
      <c r="I267" s="22" t="s">
        <v>302</v>
      </c>
      <c r="J267" s="36">
        <v>55100</v>
      </c>
      <c r="K267" s="36">
        <v>26800</v>
      </c>
      <c r="L267" s="36">
        <v>38900</v>
      </c>
      <c r="M267" s="36">
        <f t="shared" si="32"/>
        <v>120800</v>
      </c>
      <c r="N267" s="34">
        <f t="shared" si="38"/>
        <v>0.000633310894834741</v>
      </c>
      <c r="O267" s="35">
        <f>SUM($M$2:M267)</f>
        <v>159434300</v>
      </c>
      <c r="P267" s="34">
        <f t="shared" si="39"/>
        <v>0.835856615896942</v>
      </c>
      <c r="Q267" s="39">
        <v>14.7</v>
      </c>
      <c r="R267" s="22">
        <v>10</v>
      </c>
      <c r="S267" s="22">
        <v>1</v>
      </c>
      <c r="T267" s="22">
        <v>2</v>
      </c>
      <c r="U267" s="39">
        <v>19.9</v>
      </c>
      <c r="V267" s="22">
        <v>30</v>
      </c>
      <c r="W267" s="22">
        <v>2</v>
      </c>
      <c r="X267" s="40">
        <v>44</v>
      </c>
      <c r="Y267" s="22">
        <v>0</v>
      </c>
      <c r="Z267" s="22">
        <v>1</v>
      </c>
      <c r="AA267" s="22" t="s">
        <v>199</v>
      </c>
      <c r="AB267" s="22" t="s">
        <v>220</v>
      </c>
      <c r="AC267" s="42">
        <f>IFERROR(LOOKUP(M267,打分卡!$F$7:$J$7,打分卡!$K$7:$O$7),1)</f>
        <v>3</v>
      </c>
      <c r="AD267" s="42">
        <f>IFERROR(LOOKUP(S267,打分卡!$F$8:$J$8,打分卡!$K$8:$O$8),1)</f>
        <v>1</v>
      </c>
      <c r="AE267" s="42">
        <f>IFERROR(LOOKUP(T267,打分卡!$F$9:$I$9,打分卡!$K$9:$N$9),1)</f>
        <v>3</v>
      </c>
      <c r="AF267" s="42">
        <f>IFERROR(LOOKUP(Q267,打分卡!$F$10:$J$10,打分卡!$K$10:$O$10),1)</f>
        <v>3</v>
      </c>
      <c r="AG267" s="42">
        <f>IFERROR(LOOKUP(R267,打分卡!$F$11:$J$11,打分卡!$K$11:$O$11),1)</f>
        <v>4</v>
      </c>
      <c r="AH267" s="42">
        <f>IFERROR(LOOKUP(U267,打分卡!$F$12:$J$12,打分卡!$K$12:$O$12),1)</f>
        <v>3</v>
      </c>
      <c r="AI267" s="42">
        <f>IFERROR(LOOKUP(X267,打分卡!$F$13:$J$13,打分卡!$K$13:$O$13),1)</f>
        <v>3</v>
      </c>
      <c r="AJ267" s="42">
        <f>IFERROR(LOOKUP(Y267,打分卡!$F$14:$J$14,打分卡!$K$14:$O$14),1)</f>
        <v>1</v>
      </c>
      <c r="AK267" s="42">
        <f>IFERROR(LOOKUP(W267,打分卡!$F$15:$J$15,打分卡!$K$15:$O$15),1)</f>
        <v>2</v>
      </c>
      <c r="AL267" s="45">
        <f t="shared" si="33"/>
        <v>5</v>
      </c>
      <c r="AM267" s="42">
        <f>IFERROR(LOOKUP(Z267,打分卡!$F$17:$H$17,打分卡!$K$17:$M$17),1)</f>
        <v>3</v>
      </c>
      <c r="AN267" s="46">
        <f>(打分卡!$D$7*AC267+打分卡!$D$8*AD267+打分卡!$D$9*AE267)/5</f>
        <v>20.8</v>
      </c>
      <c r="AO267" s="46">
        <f>(打分卡!$D$10*AF267+打分卡!$D$11*AG267)/5</f>
        <v>14</v>
      </c>
      <c r="AP267" s="46">
        <f>(打分卡!$D$12*AH267+打分卡!$D$13*AI267+打分卡!$D$14*AJ267+打分卡!$D$15*AK267)/5</f>
        <v>14.8</v>
      </c>
      <c r="AQ267" s="46">
        <f>(打分卡!$D$16*AL267+打分卡!$D$17*AM267)/5</f>
        <v>8.4</v>
      </c>
      <c r="AR267" s="48">
        <f t="shared" si="34"/>
        <v>58</v>
      </c>
      <c r="AS267" s="45" t="str">
        <f t="shared" si="35"/>
        <v>腰部</v>
      </c>
      <c r="AT267" s="45" t="str">
        <f t="shared" si="36"/>
        <v/>
      </c>
      <c r="AU267" s="45" t="str">
        <f t="shared" si="37"/>
        <v>拉·主攻：主推AI外呼+大促作战包</v>
      </c>
    </row>
    <row r="268" ht="15" customHeight="1" spans="1:47">
      <c r="A268" s="30" t="s">
        <v>966</v>
      </c>
      <c r="B268" s="31" t="s">
        <v>967</v>
      </c>
      <c r="C268" s="31" t="s">
        <v>209</v>
      </c>
      <c r="D268" s="31" t="s">
        <v>196</v>
      </c>
      <c r="E268" s="31" t="s">
        <v>197</v>
      </c>
      <c r="F268" s="30" t="s">
        <v>219</v>
      </c>
      <c r="G268" s="31">
        <v>16</v>
      </c>
      <c r="H268" s="31" t="s">
        <v>183</v>
      </c>
      <c r="I268" s="31" t="s">
        <v>184</v>
      </c>
      <c r="J268" s="33">
        <v>69700</v>
      </c>
      <c r="K268" s="33">
        <v>44900</v>
      </c>
      <c r="L268" s="33">
        <v>6100</v>
      </c>
      <c r="M268" s="33">
        <f t="shared" si="32"/>
        <v>120700</v>
      </c>
      <c r="N268" s="34">
        <f t="shared" si="38"/>
        <v>0.000632786630848951</v>
      </c>
      <c r="O268" s="35">
        <f>SUM($M$2:M268)</f>
        <v>159555000</v>
      </c>
      <c r="P268" s="34">
        <f t="shared" si="39"/>
        <v>0.836489402527791</v>
      </c>
      <c r="Q268" s="37">
        <v>13.6</v>
      </c>
      <c r="R268" s="31">
        <v>7</v>
      </c>
      <c r="S268" s="31">
        <v>2</v>
      </c>
      <c r="T268" s="31">
        <v>2</v>
      </c>
      <c r="U268" s="37">
        <v>2.7</v>
      </c>
      <c r="V268" s="31">
        <v>23</v>
      </c>
      <c r="W268" s="31">
        <v>1</v>
      </c>
      <c r="X268" s="38">
        <v>20</v>
      </c>
      <c r="Y268" s="31">
        <v>2</v>
      </c>
      <c r="Z268" s="31">
        <v>0</v>
      </c>
      <c r="AA268" s="31" t="s">
        <v>315</v>
      </c>
      <c r="AB268" s="31" t="s">
        <v>220</v>
      </c>
      <c r="AC268" s="41">
        <f>IFERROR(LOOKUP(M268,打分卡!$F$7:$J$7,打分卡!$K$7:$O$7),1)</f>
        <v>3</v>
      </c>
      <c r="AD268" s="41">
        <f>IFERROR(LOOKUP(S268,打分卡!$F$8:$J$8,打分卡!$K$8:$O$8),1)</f>
        <v>2</v>
      </c>
      <c r="AE268" s="41">
        <f>IFERROR(LOOKUP(T268,打分卡!$F$9:$I$9,打分卡!$K$9:$N$9),1)</f>
        <v>3</v>
      </c>
      <c r="AF268" s="41">
        <f>IFERROR(LOOKUP(Q268,打分卡!$F$10:$J$10,打分卡!$K$10:$O$10),1)</f>
        <v>3</v>
      </c>
      <c r="AG268" s="41">
        <f>IFERROR(LOOKUP(R268,打分卡!$F$11:$J$11,打分卡!$K$11:$O$11),1)</f>
        <v>3</v>
      </c>
      <c r="AH268" s="41">
        <f>IFERROR(LOOKUP(U268,打分卡!$F$12:$J$12,打分卡!$K$12:$O$12),1)</f>
        <v>1</v>
      </c>
      <c r="AI268" s="41">
        <f>IFERROR(LOOKUP(X268,打分卡!$F$13:$J$13,打分卡!$K$13:$O$13),1)</f>
        <v>2</v>
      </c>
      <c r="AJ268" s="41">
        <f>IFERROR(LOOKUP(Y268,打分卡!$F$14:$J$14,打分卡!$K$14:$O$14),1)</f>
        <v>3</v>
      </c>
      <c r="AK268" s="41">
        <f>IFERROR(LOOKUP(W268,打分卡!$F$15:$J$15,打分卡!$K$15:$O$15),1)</f>
        <v>2</v>
      </c>
      <c r="AL268" s="43">
        <f t="shared" si="33"/>
        <v>2</v>
      </c>
      <c r="AM268" s="41">
        <f>IFERROR(LOOKUP(Z268,打分卡!$F$17:$H$17,打分卡!$K$17:$M$17),1)</f>
        <v>1</v>
      </c>
      <c r="AN268" s="44">
        <f>(打分卡!$D$7*AC268+打分卡!$D$8*AD268+打分卡!$D$9*AE268)/5</f>
        <v>22.4</v>
      </c>
      <c r="AO268" s="44">
        <f>(打分卡!$D$10*AF268+打分卡!$D$11*AG268)/5</f>
        <v>12</v>
      </c>
      <c r="AP268" s="44">
        <f>(打分卡!$D$12*AH268+打分卡!$D$13*AI268+打分卡!$D$14*AJ268+打分卡!$D$15*AK268)/5</f>
        <v>10.8</v>
      </c>
      <c r="AQ268" s="44">
        <f>(打分卡!$D$16*AL268+打分卡!$D$17*AM268)/5</f>
        <v>3.2</v>
      </c>
      <c r="AR268" s="47">
        <f t="shared" si="34"/>
        <v>48.4</v>
      </c>
      <c r="AS268" s="43" t="str">
        <f t="shared" si="35"/>
        <v>腰部</v>
      </c>
      <c r="AT268" s="43" t="str">
        <f t="shared" si="36"/>
        <v/>
      </c>
      <c r="AU268" s="43" t="str">
        <f t="shared" si="37"/>
        <v>拉·主攻：主推AI外呼+大促作战包</v>
      </c>
    </row>
    <row r="269" ht="15" customHeight="1" spans="1:47">
      <c r="A269" s="20" t="s">
        <v>968</v>
      </c>
      <c r="B269" s="22" t="s">
        <v>969</v>
      </c>
      <c r="C269" s="22" t="s">
        <v>189</v>
      </c>
      <c r="D269" s="22" t="s">
        <v>252</v>
      </c>
      <c r="E269" s="22" t="s">
        <v>181</v>
      </c>
      <c r="F269" s="20" t="s">
        <v>243</v>
      </c>
      <c r="G269" s="22">
        <v>21</v>
      </c>
      <c r="H269" s="22" t="s">
        <v>301</v>
      </c>
      <c r="I269" s="22" t="s">
        <v>302</v>
      </c>
      <c r="J269" s="36">
        <v>55300</v>
      </c>
      <c r="K269" s="36">
        <v>44000</v>
      </c>
      <c r="L269" s="36">
        <v>21200</v>
      </c>
      <c r="M269" s="36">
        <f t="shared" si="32"/>
        <v>120500</v>
      </c>
      <c r="N269" s="34">
        <f t="shared" si="38"/>
        <v>0.00063173810287737</v>
      </c>
      <c r="O269" s="35">
        <f>SUM($M$2:M269)</f>
        <v>159675500</v>
      </c>
      <c r="P269" s="34">
        <f t="shared" si="39"/>
        <v>0.837121140630669</v>
      </c>
      <c r="Q269" s="39">
        <v>7.9</v>
      </c>
      <c r="R269" s="22">
        <v>1</v>
      </c>
      <c r="S269" s="22">
        <v>2</v>
      </c>
      <c r="T269" s="22">
        <v>1</v>
      </c>
      <c r="U269" s="39">
        <v>5.2</v>
      </c>
      <c r="V269" s="22">
        <v>7</v>
      </c>
      <c r="W269" s="22">
        <v>1</v>
      </c>
      <c r="X269" s="40">
        <v>42</v>
      </c>
      <c r="Y269" s="22">
        <v>3</v>
      </c>
      <c r="Z269" s="22">
        <v>1</v>
      </c>
      <c r="AA269" s="22" t="s">
        <v>315</v>
      </c>
      <c r="AB269" s="22" t="s">
        <v>220</v>
      </c>
      <c r="AC269" s="42">
        <f>IFERROR(LOOKUP(M269,打分卡!$F$7:$J$7,打分卡!$K$7:$O$7),1)</f>
        <v>3</v>
      </c>
      <c r="AD269" s="42">
        <f>IFERROR(LOOKUP(S269,打分卡!$F$8:$J$8,打分卡!$K$8:$O$8),1)</f>
        <v>2</v>
      </c>
      <c r="AE269" s="42">
        <f>IFERROR(LOOKUP(T269,打分卡!$F$9:$I$9,打分卡!$K$9:$N$9),1)</f>
        <v>2</v>
      </c>
      <c r="AF269" s="42">
        <f>IFERROR(LOOKUP(Q269,打分卡!$F$10:$J$10,打分卡!$K$10:$O$10),1)</f>
        <v>2</v>
      </c>
      <c r="AG269" s="42">
        <f>IFERROR(LOOKUP(R269,打分卡!$F$11:$J$11,打分卡!$K$11:$O$11),1)</f>
        <v>1</v>
      </c>
      <c r="AH269" s="42">
        <f>IFERROR(LOOKUP(U269,打分卡!$F$12:$J$12,打分卡!$K$12:$O$12),1)</f>
        <v>2</v>
      </c>
      <c r="AI269" s="42">
        <f>IFERROR(LOOKUP(X269,打分卡!$F$13:$J$13,打分卡!$K$13:$O$13),1)</f>
        <v>3</v>
      </c>
      <c r="AJ269" s="42">
        <f>IFERROR(LOOKUP(Y269,打分卡!$F$14:$J$14,打分卡!$K$14:$O$14),1)</f>
        <v>4</v>
      </c>
      <c r="AK269" s="42">
        <f>IFERROR(LOOKUP(W269,打分卡!$F$15:$J$15,打分卡!$K$15:$O$15),1)</f>
        <v>2</v>
      </c>
      <c r="AL269" s="45">
        <f t="shared" si="33"/>
        <v>2</v>
      </c>
      <c r="AM269" s="42">
        <f>IFERROR(LOOKUP(Z269,打分卡!$F$17:$H$17,打分卡!$K$17:$M$17),1)</f>
        <v>3</v>
      </c>
      <c r="AN269" s="46">
        <f>(打分卡!$D$7*AC269+打分卡!$D$8*AD269+打分卡!$D$9*AE269)/5</f>
        <v>21</v>
      </c>
      <c r="AO269" s="46">
        <f>(打分卡!$D$10*AF269+打分卡!$D$11*AG269)/5</f>
        <v>6</v>
      </c>
      <c r="AP269" s="46">
        <f>(打分卡!$D$12*AH269+打分卡!$D$13*AI269+打分卡!$D$14*AJ269+打分卡!$D$15*AK269)/5</f>
        <v>16</v>
      </c>
      <c r="AQ269" s="46">
        <f>(打分卡!$D$16*AL269+打分卡!$D$17*AM269)/5</f>
        <v>4.8</v>
      </c>
      <c r="AR269" s="48">
        <f t="shared" si="34"/>
        <v>47.8</v>
      </c>
      <c r="AS269" s="45" t="str">
        <f t="shared" si="35"/>
        <v>腰部</v>
      </c>
      <c r="AT269" s="45" t="str">
        <f t="shared" si="36"/>
        <v/>
      </c>
      <c r="AU269" s="45" t="str">
        <f t="shared" si="37"/>
        <v>拉·主攻：主推AI外呼+大促作战包</v>
      </c>
    </row>
    <row r="270" ht="15" customHeight="1" spans="1:47">
      <c r="A270" s="30" t="s">
        <v>970</v>
      </c>
      <c r="B270" s="31" t="s">
        <v>971</v>
      </c>
      <c r="C270" s="31" t="s">
        <v>218</v>
      </c>
      <c r="D270" s="31" t="s">
        <v>202</v>
      </c>
      <c r="E270" s="31" t="s">
        <v>197</v>
      </c>
      <c r="F270" s="30" t="s">
        <v>243</v>
      </c>
      <c r="G270" s="31">
        <v>21</v>
      </c>
      <c r="H270" s="31" t="s">
        <v>301</v>
      </c>
      <c r="I270" s="31" t="s">
        <v>184</v>
      </c>
      <c r="J270" s="33">
        <v>76900</v>
      </c>
      <c r="K270" s="33">
        <v>37500</v>
      </c>
      <c r="L270" s="33">
        <v>6000</v>
      </c>
      <c r="M270" s="33">
        <f t="shared" si="32"/>
        <v>120400</v>
      </c>
      <c r="N270" s="34">
        <f t="shared" si="38"/>
        <v>0.00063121383889158</v>
      </c>
      <c r="O270" s="35">
        <f>SUM($M$2:M270)</f>
        <v>159795900</v>
      </c>
      <c r="P270" s="34">
        <f t="shared" si="39"/>
        <v>0.83775235446956</v>
      </c>
      <c r="Q270" s="37">
        <v>12.8</v>
      </c>
      <c r="R270" s="31">
        <v>1</v>
      </c>
      <c r="S270" s="31">
        <v>2</v>
      </c>
      <c r="T270" s="31">
        <v>1</v>
      </c>
      <c r="U270" s="37">
        <v>9.3</v>
      </c>
      <c r="V270" s="31">
        <v>18</v>
      </c>
      <c r="W270" s="31">
        <v>1</v>
      </c>
      <c r="X270" s="38">
        <v>138</v>
      </c>
      <c r="Y270" s="31">
        <v>0</v>
      </c>
      <c r="Z270" s="31">
        <v>1</v>
      </c>
      <c r="AA270" s="31" t="s">
        <v>199</v>
      </c>
      <c r="AB270" s="31" t="s">
        <v>220</v>
      </c>
      <c r="AC270" s="41">
        <f>IFERROR(LOOKUP(M270,打分卡!$F$7:$J$7,打分卡!$K$7:$O$7),1)</f>
        <v>3</v>
      </c>
      <c r="AD270" s="41">
        <f>IFERROR(LOOKUP(S270,打分卡!$F$8:$J$8,打分卡!$K$8:$O$8),1)</f>
        <v>2</v>
      </c>
      <c r="AE270" s="41">
        <f>IFERROR(LOOKUP(T270,打分卡!$F$9:$I$9,打分卡!$K$9:$N$9),1)</f>
        <v>2</v>
      </c>
      <c r="AF270" s="41">
        <f>IFERROR(LOOKUP(Q270,打分卡!$F$10:$J$10,打分卡!$K$10:$O$10),1)</f>
        <v>3</v>
      </c>
      <c r="AG270" s="41">
        <f>IFERROR(LOOKUP(R270,打分卡!$F$11:$J$11,打分卡!$K$11:$O$11),1)</f>
        <v>1</v>
      </c>
      <c r="AH270" s="41">
        <f>IFERROR(LOOKUP(U270,打分卡!$F$12:$J$12,打分卡!$K$12:$O$12),1)</f>
        <v>2</v>
      </c>
      <c r="AI270" s="41">
        <f>IFERROR(LOOKUP(X270,打分卡!$F$13:$J$13,打分卡!$K$13:$O$13),1)</f>
        <v>4</v>
      </c>
      <c r="AJ270" s="41">
        <f>IFERROR(LOOKUP(Y270,打分卡!$F$14:$J$14,打分卡!$K$14:$O$14),1)</f>
        <v>1</v>
      </c>
      <c r="AK270" s="41">
        <f>IFERROR(LOOKUP(W270,打分卡!$F$15:$J$15,打分卡!$K$15:$O$15),1)</f>
        <v>2</v>
      </c>
      <c r="AL270" s="43">
        <f t="shared" si="33"/>
        <v>5</v>
      </c>
      <c r="AM270" s="41">
        <f>IFERROR(LOOKUP(Z270,打分卡!$F$17:$H$17,打分卡!$K$17:$M$17),1)</f>
        <v>3</v>
      </c>
      <c r="AN270" s="44">
        <f>(打分卡!$D$7*AC270+打分卡!$D$8*AD270+打分卡!$D$9*AE270)/5</f>
        <v>21</v>
      </c>
      <c r="AO270" s="44">
        <f>(打分卡!$D$10*AF270+打分卡!$D$11*AG270)/5</f>
        <v>8</v>
      </c>
      <c r="AP270" s="44">
        <f>(打分卡!$D$12*AH270+打分卡!$D$13*AI270+打分卡!$D$14*AJ270+打分卡!$D$15*AK270)/5</f>
        <v>14</v>
      </c>
      <c r="AQ270" s="44">
        <f>(打分卡!$D$16*AL270+打分卡!$D$17*AM270)/5</f>
        <v>8.4</v>
      </c>
      <c r="AR270" s="47">
        <f t="shared" si="34"/>
        <v>51.4</v>
      </c>
      <c r="AS270" s="43" t="str">
        <f t="shared" si="35"/>
        <v>腰部</v>
      </c>
      <c r="AT270" s="43" t="str">
        <f t="shared" si="36"/>
        <v/>
      </c>
      <c r="AU270" s="43" t="str">
        <f t="shared" si="37"/>
        <v>拉·主攻：主推AI外呼+大促作战包</v>
      </c>
    </row>
    <row r="271" ht="15" customHeight="1" spans="1:47">
      <c r="A271" s="20" t="s">
        <v>972</v>
      </c>
      <c r="B271" s="22" t="s">
        <v>973</v>
      </c>
      <c r="C271" s="22" t="s">
        <v>223</v>
      </c>
      <c r="D271" s="22" t="s">
        <v>252</v>
      </c>
      <c r="E271" s="22" t="s">
        <v>181</v>
      </c>
      <c r="F271" s="20" t="s">
        <v>974</v>
      </c>
      <c r="G271" s="22">
        <v>6</v>
      </c>
      <c r="H271" s="22" t="s">
        <v>301</v>
      </c>
      <c r="I271" s="22" t="s">
        <v>184</v>
      </c>
      <c r="J271" s="36">
        <v>77600</v>
      </c>
      <c r="K271" s="36">
        <v>36400</v>
      </c>
      <c r="L271" s="36">
        <v>6000</v>
      </c>
      <c r="M271" s="36">
        <f t="shared" si="32"/>
        <v>120000</v>
      </c>
      <c r="N271" s="34">
        <f t="shared" si="38"/>
        <v>0.000629116782948419</v>
      </c>
      <c r="O271" s="35">
        <f>SUM($M$2:M271)</f>
        <v>159915900</v>
      </c>
      <c r="P271" s="34">
        <f t="shared" si="39"/>
        <v>0.838381471252509</v>
      </c>
      <c r="Q271" s="39">
        <v>10.5</v>
      </c>
      <c r="R271" s="22">
        <v>10</v>
      </c>
      <c r="S271" s="22">
        <v>2</v>
      </c>
      <c r="T271" s="22">
        <v>2</v>
      </c>
      <c r="U271" s="39">
        <v>2.4</v>
      </c>
      <c r="V271" s="22">
        <v>30</v>
      </c>
      <c r="W271" s="22">
        <v>0</v>
      </c>
      <c r="X271" s="40">
        <v>67</v>
      </c>
      <c r="Y271" s="22">
        <v>3</v>
      </c>
      <c r="Z271" s="22">
        <v>0</v>
      </c>
      <c r="AA271" s="22" t="s">
        <v>185</v>
      </c>
      <c r="AB271" s="22" t="s">
        <v>220</v>
      </c>
      <c r="AC271" s="42">
        <f>IFERROR(LOOKUP(M271,打分卡!$F$7:$J$7,打分卡!$K$7:$O$7),1)</f>
        <v>3</v>
      </c>
      <c r="AD271" s="42">
        <f>IFERROR(LOOKUP(S271,打分卡!$F$8:$J$8,打分卡!$K$8:$O$8),1)</f>
        <v>2</v>
      </c>
      <c r="AE271" s="42">
        <f>IFERROR(LOOKUP(T271,打分卡!$F$9:$I$9,打分卡!$K$9:$N$9),1)</f>
        <v>3</v>
      </c>
      <c r="AF271" s="42">
        <f>IFERROR(LOOKUP(Q271,打分卡!$F$10:$J$10,打分卡!$K$10:$O$10),1)</f>
        <v>3</v>
      </c>
      <c r="AG271" s="42">
        <f>IFERROR(LOOKUP(R271,打分卡!$F$11:$J$11,打分卡!$K$11:$O$11),1)</f>
        <v>4</v>
      </c>
      <c r="AH271" s="42">
        <f>IFERROR(LOOKUP(U271,打分卡!$F$12:$J$12,打分卡!$K$12:$O$12),1)</f>
        <v>1</v>
      </c>
      <c r="AI271" s="42">
        <f>IFERROR(LOOKUP(X271,打分卡!$F$13:$J$13,打分卡!$K$13:$O$13),1)</f>
        <v>3</v>
      </c>
      <c r="AJ271" s="42">
        <f>IFERROR(LOOKUP(Y271,打分卡!$F$14:$J$14,打分卡!$K$14:$O$14),1)</f>
        <v>4</v>
      </c>
      <c r="AK271" s="42">
        <f>IFERROR(LOOKUP(W271,打分卡!$F$15:$J$15,打分卡!$K$15:$O$15),1)</f>
        <v>1</v>
      </c>
      <c r="AL271" s="45">
        <f t="shared" si="33"/>
        <v>3</v>
      </c>
      <c r="AM271" s="42">
        <f>IFERROR(LOOKUP(Z271,打分卡!$F$17:$H$17,打分卡!$K$17:$M$17),1)</f>
        <v>1</v>
      </c>
      <c r="AN271" s="46">
        <f>(打分卡!$D$7*AC271+打分卡!$D$8*AD271+打分卡!$D$9*AE271)/5</f>
        <v>22.4</v>
      </c>
      <c r="AO271" s="46">
        <f>(打分卡!$D$10*AF271+打分卡!$D$11*AG271)/5</f>
        <v>14</v>
      </c>
      <c r="AP271" s="46">
        <f>(打分卡!$D$12*AH271+打分卡!$D$13*AI271+打分卡!$D$14*AJ271+打分卡!$D$15*AK271)/5</f>
        <v>12.8</v>
      </c>
      <c r="AQ271" s="46">
        <f>(打分卡!$D$16*AL271+打分卡!$D$17*AM271)/5</f>
        <v>4.4</v>
      </c>
      <c r="AR271" s="48">
        <f t="shared" si="34"/>
        <v>53.6</v>
      </c>
      <c r="AS271" s="45" t="str">
        <f t="shared" si="35"/>
        <v>腰部</v>
      </c>
      <c r="AT271" s="45" t="str">
        <f t="shared" si="36"/>
        <v/>
      </c>
      <c r="AU271" s="45" t="str">
        <f t="shared" si="37"/>
        <v>拉·主攻：主推AI外呼+大促作战包</v>
      </c>
    </row>
    <row r="272" ht="15" customHeight="1" spans="1:47">
      <c r="A272" s="30" t="s">
        <v>975</v>
      </c>
      <c r="B272" s="31" t="s">
        <v>976</v>
      </c>
      <c r="C272" s="31" t="s">
        <v>189</v>
      </c>
      <c r="D272" s="31" t="s">
        <v>196</v>
      </c>
      <c r="E272" s="31" t="s">
        <v>181</v>
      </c>
      <c r="F272" s="30" t="s">
        <v>977</v>
      </c>
      <c r="G272" s="31">
        <v>4</v>
      </c>
      <c r="H272" s="31" t="s">
        <v>301</v>
      </c>
      <c r="I272" s="31" t="s">
        <v>302</v>
      </c>
      <c r="J272" s="33">
        <v>75500</v>
      </c>
      <c r="K272" s="33">
        <v>38100</v>
      </c>
      <c r="L272" s="33">
        <v>6000</v>
      </c>
      <c r="M272" s="33">
        <f t="shared" si="32"/>
        <v>119600</v>
      </c>
      <c r="N272" s="34">
        <f t="shared" si="38"/>
        <v>0.000627019727005257</v>
      </c>
      <c r="O272" s="35">
        <f>SUM($M$2:M272)</f>
        <v>160035500</v>
      </c>
      <c r="P272" s="34">
        <f t="shared" si="39"/>
        <v>0.839008490979514</v>
      </c>
      <c r="Q272" s="37">
        <v>11.6</v>
      </c>
      <c r="R272" s="31">
        <v>7</v>
      </c>
      <c r="S272" s="31">
        <v>2</v>
      </c>
      <c r="T272" s="31">
        <v>0</v>
      </c>
      <c r="U272" s="37">
        <v>32</v>
      </c>
      <c r="V272" s="31">
        <v>14</v>
      </c>
      <c r="W272" s="31">
        <v>2</v>
      </c>
      <c r="X272" s="38">
        <v>28</v>
      </c>
      <c r="Y272" s="31">
        <v>0</v>
      </c>
      <c r="Z272" s="31">
        <v>0</v>
      </c>
      <c r="AA272" s="31" t="s">
        <v>185</v>
      </c>
      <c r="AB272" s="31" t="s">
        <v>220</v>
      </c>
      <c r="AC272" s="41">
        <f>IFERROR(LOOKUP(M272,打分卡!$F$7:$J$7,打分卡!$K$7:$O$7),1)</f>
        <v>3</v>
      </c>
      <c r="AD272" s="41">
        <f>IFERROR(LOOKUP(S272,打分卡!$F$8:$J$8,打分卡!$K$8:$O$8),1)</f>
        <v>2</v>
      </c>
      <c r="AE272" s="41">
        <f>IFERROR(LOOKUP(T272,打分卡!$F$9:$I$9,打分卡!$K$9:$N$9),1)</f>
        <v>1</v>
      </c>
      <c r="AF272" s="41">
        <f>IFERROR(LOOKUP(Q272,打分卡!$F$10:$J$10,打分卡!$K$10:$O$10),1)</f>
        <v>3</v>
      </c>
      <c r="AG272" s="41">
        <f>IFERROR(LOOKUP(R272,打分卡!$F$11:$J$11,打分卡!$K$11:$O$11),1)</f>
        <v>3</v>
      </c>
      <c r="AH272" s="41">
        <f>IFERROR(LOOKUP(U272,打分卡!$F$12:$J$12,打分卡!$K$12:$O$12),1)</f>
        <v>3</v>
      </c>
      <c r="AI272" s="41">
        <f>IFERROR(LOOKUP(X272,打分卡!$F$13:$J$13,打分卡!$K$13:$O$13),1)</f>
        <v>2</v>
      </c>
      <c r="AJ272" s="41">
        <f>IFERROR(LOOKUP(Y272,打分卡!$F$14:$J$14,打分卡!$K$14:$O$14),1)</f>
        <v>1</v>
      </c>
      <c r="AK272" s="41">
        <f>IFERROR(LOOKUP(W272,打分卡!$F$15:$J$15,打分卡!$K$15:$O$15),1)</f>
        <v>2</v>
      </c>
      <c r="AL272" s="43">
        <f t="shared" si="33"/>
        <v>3</v>
      </c>
      <c r="AM272" s="41">
        <f>IFERROR(LOOKUP(Z272,打分卡!$F$17:$H$17,打分卡!$K$17:$M$17),1)</f>
        <v>1</v>
      </c>
      <c r="AN272" s="44">
        <f>(打分卡!$D$7*AC272+打分卡!$D$8*AD272+打分卡!$D$9*AE272)/5</f>
        <v>19.6</v>
      </c>
      <c r="AO272" s="44">
        <f>(打分卡!$D$10*AF272+打分卡!$D$11*AG272)/5</f>
        <v>12</v>
      </c>
      <c r="AP272" s="44">
        <f>(打分卡!$D$12*AH272+打分卡!$D$13*AI272+打分卡!$D$14*AJ272+打分卡!$D$15*AK272)/5</f>
        <v>13.2</v>
      </c>
      <c r="AQ272" s="44">
        <f>(打分卡!$D$16*AL272+打分卡!$D$17*AM272)/5</f>
        <v>4.4</v>
      </c>
      <c r="AR272" s="47">
        <f t="shared" si="34"/>
        <v>49.2</v>
      </c>
      <c r="AS272" s="43" t="str">
        <f t="shared" si="35"/>
        <v>腰部</v>
      </c>
      <c r="AT272" s="43" t="str">
        <f t="shared" si="36"/>
        <v/>
      </c>
      <c r="AU272" s="43" t="str">
        <f t="shared" si="37"/>
        <v>拉·主攻：主推AI外呼+大促作战包</v>
      </c>
    </row>
    <row r="273" ht="15" customHeight="1" spans="1:47">
      <c r="A273" s="20" t="s">
        <v>978</v>
      </c>
      <c r="B273" s="22" t="s">
        <v>979</v>
      </c>
      <c r="C273" s="22" t="s">
        <v>179</v>
      </c>
      <c r="D273" s="22" t="s">
        <v>180</v>
      </c>
      <c r="E273" s="22" t="s">
        <v>181</v>
      </c>
      <c r="F273" s="20" t="s">
        <v>751</v>
      </c>
      <c r="G273" s="22">
        <v>9</v>
      </c>
      <c r="H273" s="22" t="s">
        <v>301</v>
      </c>
      <c r="I273" s="22" t="s">
        <v>302</v>
      </c>
      <c r="J273" s="36">
        <v>74700</v>
      </c>
      <c r="K273" s="36">
        <v>33000</v>
      </c>
      <c r="L273" s="36">
        <v>11800</v>
      </c>
      <c r="M273" s="36">
        <f t="shared" si="32"/>
        <v>119500</v>
      </c>
      <c r="N273" s="34">
        <f t="shared" si="38"/>
        <v>0.000626495463019467</v>
      </c>
      <c r="O273" s="35">
        <f>SUM($M$2:M273)</f>
        <v>160155000</v>
      </c>
      <c r="P273" s="34">
        <f t="shared" si="39"/>
        <v>0.839634986442533</v>
      </c>
      <c r="Q273" s="39">
        <v>10.1</v>
      </c>
      <c r="R273" s="22">
        <v>9</v>
      </c>
      <c r="S273" s="22">
        <v>3</v>
      </c>
      <c r="T273" s="22">
        <v>1</v>
      </c>
      <c r="U273" s="39">
        <v>2.9</v>
      </c>
      <c r="V273" s="22">
        <v>13</v>
      </c>
      <c r="W273" s="22">
        <v>3</v>
      </c>
      <c r="X273" s="40">
        <v>39</v>
      </c>
      <c r="Y273" s="22">
        <v>3</v>
      </c>
      <c r="Z273" s="22">
        <v>0</v>
      </c>
      <c r="AA273" s="22" t="s">
        <v>185</v>
      </c>
      <c r="AB273" s="22" t="s">
        <v>220</v>
      </c>
      <c r="AC273" s="42">
        <f>IFERROR(LOOKUP(M273,打分卡!$F$7:$J$7,打分卡!$K$7:$O$7),1)</f>
        <v>3</v>
      </c>
      <c r="AD273" s="42">
        <f>IFERROR(LOOKUP(S273,打分卡!$F$8:$J$8,打分卡!$K$8:$O$8),1)</f>
        <v>3</v>
      </c>
      <c r="AE273" s="42">
        <f>IFERROR(LOOKUP(T273,打分卡!$F$9:$I$9,打分卡!$K$9:$N$9),1)</f>
        <v>2</v>
      </c>
      <c r="AF273" s="42">
        <f>IFERROR(LOOKUP(Q273,打分卡!$F$10:$J$10,打分卡!$K$10:$O$10),1)</f>
        <v>3</v>
      </c>
      <c r="AG273" s="42">
        <f>IFERROR(LOOKUP(R273,打分卡!$F$11:$J$11,打分卡!$K$11:$O$11),1)</f>
        <v>4</v>
      </c>
      <c r="AH273" s="42">
        <f>IFERROR(LOOKUP(U273,打分卡!$F$12:$J$12,打分卡!$K$12:$O$12),1)</f>
        <v>2</v>
      </c>
      <c r="AI273" s="42">
        <f>IFERROR(LOOKUP(X273,打分卡!$F$13:$J$13,打分卡!$K$13:$O$13),1)</f>
        <v>3</v>
      </c>
      <c r="AJ273" s="42">
        <f>IFERROR(LOOKUP(Y273,打分卡!$F$14:$J$14,打分卡!$K$14:$O$14),1)</f>
        <v>4</v>
      </c>
      <c r="AK273" s="42">
        <f>IFERROR(LOOKUP(W273,打分卡!$F$15:$J$15,打分卡!$K$15:$O$15),1)</f>
        <v>3</v>
      </c>
      <c r="AL273" s="45">
        <f t="shared" si="33"/>
        <v>3</v>
      </c>
      <c r="AM273" s="42">
        <f>IFERROR(LOOKUP(Z273,打分卡!$F$17:$H$17,打分卡!$K$17:$M$17),1)</f>
        <v>1</v>
      </c>
      <c r="AN273" s="46">
        <f>(打分卡!$D$7*AC273+打分卡!$D$8*AD273+打分卡!$D$9*AE273)/5</f>
        <v>22.6</v>
      </c>
      <c r="AO273" s="46">
        <f>(打分卡!$D$10*AF273+打分卡!$D$11*AG273)/5</f>
        <v>14</v>
      </c>
      <c r="AP273" s="46">
        <f>(打分卡!$D$12*AH273+打分卡!$D$13*AI273+打分卡!$D$14*AJ273+打分卡!$D$15*AK273)/5</f>
        <v>16.8</v>
      </c>
      <c r="AQ273" s="46">
        <f>(打分卡!$D$16*AL273+打分卡!$D$17*AM273)/5</f>
        <v>4.4</v>
      </c>
      <c r="AR273" s="48">
        <f t="shared" si="34"/>
        <v>57.8</v>
      </c>
      <c r="AS273" s="45" t="str">
        <f t="shared" si="35"/>
        <v>腰部</v>
      </c>
      <c r="AT273" s="45" t="str">
        <f t="shared" si="36"/>
        <v/>
      </c>
      <c r="AU273" s="45" t="str">
        <f t="shared" si="37"/>
        <v>拉·主攻：主推AI外呼+大促作战包</v>
      </c>
    </row>
    <row r="274" ht="15" customHeight="1" spans="1:47">
      <c r="A274" s="30" t="s">
        <v>980</v>
      </c>
      <c r="B274" s="31" t="s">
        <v>981</v>
      </c>
      <c r="C274" s="31" t="s">
        <v>234</v>
      </c>
      <c r="D274" s="31" t="s">
        <v>196</v>
      </c>
      <c r="E274" s="31" t="s">
        <v>181</v>
      </c>
      <c r="F274" s="30" t="s">
        <v>982</v>
      </c>
      <c r="G274" s="31">
        <v>22</v>
      </c>
      <c r="H274" s="31" t="s">
        <v>301</v>
      </c>
      <c r="I274" s="31" t="s">
        <v>184</v>
      </c>
      <c r="J274" s="33">
        <v>62600</v>
      </c>
      <c r="K274" s="33">
        <v>32100</v>
      </c>
      <c r="L274" s="33">
        <v>24500</v>
      </c>
      <c r="M274" s="33">
        <f t="shared" si="32"/>
        <v>119200</v>
      </c>
      <c r="N274" s="34">
        <f t="shared" si="38"/>
        <v>0.000624922671062096</v>
      </c>
      <c r="O274" s="35">
        <f>SUM($M$2:M274)</f>
        <v>160274200</v>
      </c>
      <c r="P274" s="34">
        <f t="shared" si="39"/>
        <v>0.840259909113595</v>
      </c>
      <c r="Q274" s="37">
        <v>8.2</v>
      </c>
      <c r="R274" s="31">
        <v>7</v>
      </c>
      <c r="S274" s="31">
        <v>2</v>
      </c>
      <c r="T274" s="31">
        <v>1</v>
      </c>
      <c r="U274" s="37">
        <v>1.3</v>
      </c>
      <c r="V274" s="31">
        <v>27</v>
      </c>
      <c r="W274" s="31">
        <v>0</v>
      </c>
      <c r="X274" s="38">
        <v>11</v>
      </c>
      <c r="Y274" s="31">
        <v>0</v>
      </c>
      <c r="Z274" s="31">
        <v>0</v>
      </c>
      <c r="AA274" s="31" t="s">
        <v>315</v>
      </c>
      <c r="AB274" s="31" t="s">
        <v>220</v>
      </c>
      <c r="AC274" s="41">
        <f>IFERROR(LOOKUP(M274,打分卡!$F$7:$J$7,打分卡!$K$7:$O$7),1)</f>
        <v>3</v>
      </c>
      <c r="AD274" s="41">
        <f>IFERROR(LOOKUP(S274,打分卡!$F$8:$J$8,打分卡!$K$8:$O$8),1)</f>
        <v>2</v>
      </c>
      <c r="AE274" s="41">
        <f>IFERROR(LOOKUP(T274,打分卡!$F$9:$I$9,打分卡!$K$9:$N$9),1)</f>
        <v>2</v>
      </c>
      <c r="AF274" s="41">
        <f>IFERROR(LOOKUP(Q274,打分卡!$F$10:$J$10,打分卡!$K$10:$O$10),1)</f>
        <v>2</v>
      </c>
      <c r="AG274" s="41">
        <f>IFERROR(LOOKUP(R274,打分卡!$F$11:$J$11,打分卡!$K$11:$O$11),1)</f>
        <v>3</v>
      </c>
      <c r="AH274" s="41">
        <f>IFERROR(LOOKUP(U274,打分卡!$F$12:$J$12,打分卡!$K$12:$O$12),1)</f>
        <v>1</v>
      </c>
      <c r="AI274" s="41">
        <f>IFERROR(LOOKUP(X274,打分卡!$F$13:$J$13,打分卡!$K$13:$O$13),1)</f>
        <v>1</v>
      </c>
      <c r="AJ274" s="41">
        <f>IFERROR(LOOKUP(Y274,打分卡!$F$14:$J$14,打分卡!$K$14:$O$14),1)</f>
        <v>1</v>
      </c>
      <c r="AK274" s="41">
        <f>IFERROR(LOOKUP(W274,打分卡!$F$15:$J$15,打分卡!$K$15:$O$15),1)</f>
        <v>1</v>
      </c>
      <c r="AL274" s="43">
        <f t="shared" si="33"/>
        <v>2</v>
      </c>
      <c r="AM274" s="41">
        <f>IFERROR(LOOKUP(Z274,打分卡!$F$17:$H$17,打分卡!$K$17:$M$17),1)</f>
        <v>1</v>
      </c>
      <c r="AN274" s="44">
        <f>(打分卡!$D$7*AC274+打分卡!$D$8*AD274+打分卡!$D$9*AE274)/5</f>
        <v>21</v>
      </c>
      <c r="AO274" s="44">
        <f>(打分卡!$D$10*AF274+打分卡!$D$11*AG274)/5</f>
        <v>10</v>
      </c>
      <c r="AP274" s="44">
        <f>(打分卡!$D$12*AH274+打分卡!$D$13*AI274+打分卡!$D$14*AJ274+打分卡!$D$15*AK274)/5</f>
        <v>6</v>
      </c>
      <c r="AQ274" s="44">
        <f>(打分卡!$D$16*AL274+打分卡!$D$17*AM274)/5</f>
        <v>3.2</v>
      </c>
      <c r="AR274" s="47">
        <f t="shared" si="34"/>
        <v>40.2</v>
      </c>
      <c r="AS274" s="43" t="str">
        <f t="shared" si="35"/>
        <v>腰部</v>
      </c>
      <c r="AT274" s="43" t="str">
        <f t="shared" si="36"/>
        <v/>
      </c>
      <c r="AU274" s="43" t="str">
        <f t="shared" si="37"/>
        <v>拉·主攻：主推AI外呼+大促作战包</v>
      </c>
    </row>
    <row r="275" ht="15" customHeight="1" spans="1:47">
      <c r="A275" s="20" t="s">
        <v>983</v>
      </c>
      <c r="B275" s="22" t="s">
        <v>984</v>
      </c>
      <c r="C275" s="22" t="s">
        <v>209</v>
      </c>
      <c r="D275" s="22" t="s">
        <v>196</v>
      </c>
      <c r="E275" s="22" t="s">
        <v>181</v>
      </c>
      <c r="F275" s="20" t="s">
        <v>834</v>
      </c>
      <c r="G275" s="22">
        <v>24</v>
      </c>
      <c r="H275" s="22" t="s">
        <v>301</v>
      </c>
      <c r="I275" s="22" t="s">
        <v>184</v>
      </c>
      <c r="J275" s="36">
        <v>62700</v>
      </c>
      <c r="K275" s="36">
        <v>44200</v>
      </c>
      <c r="L275" s="36">
        <v>12300</v>
      </c>
      <c r="M275" s="36">
        <f t="shared" si="32"/>
        <v>119200</v>
      </c>
      <c r="N275" s="34">
        <f t="shared" si="38"/>
        <v>0.000624922671062096</v>
      </c>
      <c r="O275" s="35">
        <f>SUM($M$2:M275)</f>
        <v>160393400</v>
      </c>
      <c r="P275" s="34">
        <f t="shared" si="39"/>
        <v>0.840884831784658</v>
      </c>
      <c r="Q275" s="39">
        <v>9.1</v>
      </c>
      <c r="R275" s="22">
        <v>3</v>
      </c>
      <c r="S275" s="22">
        <v>1</v>
      </c>
      <c r="T275" s="22">
        <v>0</v>
      </c>
      <c r="U275" s="39">
        <v>23.6</v>
      </c>
      <c r="V275" s="22">
        <v>18</v>
      </c>
      <c r="W275" s="22">
        <v>4</v>
      </c>
      <c r="X275" s="40">
        <v>104</v>
      </c>
      <c r="Y275" s="22">
        <v>1</v>
      </c>
      <c r="Z275" s="22">
        <v>0</v>
      </c>
      <c r="AA275" s="22" t="s">
        <v>315</v>
      </c>
      <c r="AB275" s="22" t="s">
        <v>220</v>
      </c>
      <c r="AC275" s="42">
        <f>IFERROR(LOOKUP(M275,打分卡!$F$7:$J$7,打分卡!$K$7:$O$7),1)</f>
        <v>3</v>
      </c>
      <c r="AD275" s="42">
        <f>IFERROR(LOOKUP(S275,打分卡!$F$8:$J$8,打分卡!$K$8:$O$8),1)</f>
        <v>1</v>
      </c>
      <c r="AE275" s="42">
        <f>IFERROR(LOOKUP(T275,打分卡!$F$9:$I$9,打分卡!$K$9:$N$9),1)</f>
        <v>1</v>
      </c>
      <c r="AF275" s="42">
        <f>IFERROR(LOOKUP(Q275,打分卡!$F$10:$J$10,打分卡!$K$10:$O$10),1)</f>
        <v>2</v>
      </c>
      <c r="AG275" s="42">
        <f>IFERROR(LOOKUP(R275,打分卡!$F$11:$J$11,打分卡!$K$11:$O$11),1)</f>
        <v>2</v>
      </c>
      <c r="AH275" s="42">
        <f>IFERROR(LOOKUP(U275,打分卡!$F$12:$J$12,打分卡!$K$12:$O$12),1)</f>
        <v>3</v>
      </c>
      <c r="AI275" s="42">
        <f>IFERROR(LOOKUP(X275,打分卡!$F$13:$J$13,打分卡!$K$13:$O$13),1)</f>
        <v>4</v>
      </c>
      <c r="AJ275" s="42">
        <f>IFERROR(LOOKUP(Y275,打分卡!$F$14:$J$14,打分卡!$K$14:$O$14),1)</f>
        <v>2</v>
      </c>
      <c r="AK275" s="42">
        <f>IFERROR(LOOKUP(W275,打分卡!$F$15:$J$15,打分卡!$K$15:$O$15),1)</f>
        <v>3</v>
      </c>
      <c r="AL275" s="45">
        <f t="shared" si="33"/>
        <v>2</v>
      </c>
      <c r="AM275" s="42">
        <f>IFERROR(LOOKUP(Z275,打分卡!$F$17:$H$17,打分卡!$K$17:$M$17),1)</f>
        <v>1</v>
      </c>
      <c r="AN275" s="46">
        <f>(打分卡!$D$7*AC275+打分卡!$D$8*AD275+打分卡!$D$9*AE275)/5</f>
        <v>18</v>
      </c>
      <c r="AO275" s="46">
        <f>(打分卡!$D$10*AF275+打分卡!$D$11*AG275)/5</f>
        <v>8</v>
      </c>
      <c r="AP275" s="46">
        <f>(打分卡!$D$12*AH275+打分卡!$D$13*AI275+打分卡!$D$14*AJ275+打分卡!$D$15*AK275)/5</f>
        <v>18.4</v>
      </c>
      <c r="AQ275" s="46">
        <f>(打分卡!$D$16*AL275+打分卡!$D$17*AM275)/5</f>
        <v>3.2</v>
      </c>
      <c r="AR275" s="48">
        <f t="shared" si="34"/>
        <v>47.6</v>
      </c>
      <c r="AS275" s="45" t="str">
        <f t="shared" si="35"/>
        <v>腰部</v>
      </c>
      <c r="AT275" s="45" t="str">
        <f t="shared" si="36"/>
        <v/>
      </c>
      <c r="AU275" s="45" t="str">
        <f t="shared" si="37"/>
        <v>拉·主攻：主推AI外呼+大促作战包</v>
      </c>
    </row>
    <row r="276" ht="15" customHeight="1" spans="1:47">
      <c r="A276" s="30" t="s">
        <v>985</v>
      </c>
      <c r="B276" s="31" t="s">
        <v>986</v>
      </c>
      <c r="C276" s="31" t="s">
        <v>189</v>
      </c>
      <c r="D276" s="31" t="s">
        <v>196</v>
      </c>
      <c r="E276" s="31" t="s">
        <v>197</v>
      </c>
      <c r="F276" s="30" t="s">
        <v>987</v>
      </c>
      <c r="G276" s="31">
        <v>18</v>
      </c>
      <c r="H276" s="31" t="s">
        <v>301</v>
      </c>
      <c r="I276" s="31" t="s">
        <v>184</v>
      </c>
      <c r="J276" s="33">
        <v>65500</v>
      </c>
      <c r="K276" s="33">
        <v>34800</v>
      </c>
      <c r="L276" s="33">
        <v>18500</v>
      </c>
      <c r="M276" s="33">
        <f t="shared" si="32"/>
        <v>118800</v>
      </c>
      <c r="N276" s="34">
        <f t="shared" si="38"/>
        <v>0.000622825615118935</v>
      </c>
      <c r="O276" s="35">
        <f>SUM($M$2:M276)</f>
        <v>160512200</v>
      </c>
      <c r="P276" s="34">
        <f t="shared" si="39"/>
        <v>0.841507657399776</v>
      </c>
      <c r="Q276" s="37">
        <v>12.4</v>
      </c>
      <c r="R276" s="31">
        <v>3</v>
      </c>
      <c r="S276" s="31">
        <v>1</v>
      </c>
      <c r="T276" s="31">
        <v>0</v>
      </c>
      <c r="U276" s="37">
        <v>5.5</v>
      </c>
      <c r="V276" s="31">
        <v>6</v>
      </c>
      <c r="W276" s="31">
        <v>4</v>
      </c>
      <c r="X276" s="38">
        <v>49</v>
      </c>
      <c r="Y276" s="31">
        <v>1</v>
      </c>
      <c r="Z276" s="31">
        <v>0</v>
      </c>
      <c r="AA276" s="31" t="s">
        <v>199</v>
      </c>
      <c r="AB276" s="31" t="s">
        <v>220</v>
      </c>
      <c r="AC276" s="41">
        <f>IFERROR(LOOKUP(M276,打分卡!$F$7:$J$7,打分卡!$K$7:$O$7),1)</f>
        <v>3</v>
      </c>
      <c r="AD276" s="41">
        <f>IFERROR(LOOKUP(S276,打分卡!$F$8:$J$8,打分卡!$K$8:$O$8),1)</f>
        <v>1</v>
      </c>
      <c r="AE276" s="41">
        <f>IFERROR(LOOKUP(T276,打分卡!$F$9:$I$9,打分卡!$K$9:$N$9),1)</f>
        <v>1</v>
      </c>
      <c r="AF276" s="41">
        <f>IFERROR(LOOKUP(Q276,打分卡!$F$10:$J$10,打分卡!$K$10:$O$10),1)</f>
        <v>3</v>
      </c>
      <c r="AG276" s="41">
        <f>IFERROR(LOOKUP(R276,打分卡!$F$11:$J$11,打分卡!$K$11:$O$11),1)</f>
        <v>2</v>
      </c>
      <c r="AH276" s="41">
        <f>IFERROR(LOOKUP(U276,打分卡!$F$12:$J$12,打分卡!$K$12:$O$12),1)</f>
        <v>2</v>
      </c>
      <c r="AI276" s="41">
        <f>IFERROR(LOOKUP(X276,打分卡!$F$13:$J$13,打分卡!$K$13:$O$13),1)</f>
        <v>3</v>
      </c>
      <c r="AJ276" s="41">
        <f>IFERROR(LOOKUP(Y276,打分卡!$F$14:$J$14,打分卡!$K$14:$O$14),1)</f>
        <v>2</v>
      </c>
      <c r="AK276" s="41">
        <f>IFERROR(LOOKUP(W276,打分卡!$F$15:$J$15,打分卡!$K$15:$O$15),1)</f>
        <v>3</v>
      </c>
      <c r="AL276" s="43">
        <f t="shared" si="33"/>
        <v>5</v>
      </c>
      <c r="AM276" s="41">
        <f>IFERROR(LOOKUP(Z276,打分卡!$F$17:$H$17,打分卡!$K$17:$M$17),1)</f>
        <v>1</v>
      </c>
      <c r="AN276" s="44">
        <f>(打分卡!$D$7*AC276+打分卡!$D$8*AD276+打分卡!$D$9*AE276)/5</f>
        <v>18</v>
      </c>
      <c r="AO276" s="44">
        <f>(打分卡!$D$10*AF276+打分卡!$D$11*AG276)/5</f>
        <v>10</v>
      </c>
      <c r="AP276" s="44">
        <f>(打分卡!$D$12*AH276+打分卡!$D$13*AI276+打分卡!$D$14*AJ276+打分卡!$D$15*AK276)/5</f>
        <v>14.4</v>
      </c>
      <c r="AQ276" s="44">
        <f>(打分卡!$D$16*AL276+打分卡!$D$17*AM276)/5</f>
        <v>6.8</v>
      </c>
      <c r="AR276" s="47">
        <f t="shared" si="34"/>
        <v>49.2</v>
      </c>
      <c r="AS276" s="43" t="str">
        <f t="shared" si="35"/>
        <v>腰部</v>
      </c>
      <c r="AT276" s="43" t="str">
        <f t="shared" si="36"/>
        <v/>
      </c>
      <c r="AU276" s="43" t="str">
        <f t="shared" si="37"/>
        <v>拉·主攻：主推AI外呼+大促作战包</v>
      </c>
    </row>
    <row r="277" ht="15" customHeight="1" spans="1:47">
      <c r="A277" s="20" t="s">
        <v>988</v>
      </c>
      <c r="B277" s="22" t="s">
        <v>989</v>
      </c>
      <c r="C277" s="22" t="s">
        <v>179</v>
      </c>
      <c r="D277" s="22" t="s">
        <v>202</v>
      </c>
      <c r="E277" s="22" t="s">
        <v>197</v>
      </c>
      <c r="F277" s="20" t="s">
        <v>990</v>
      </c>
      <c r="G277" s="22">
        <v>16</v>
      </c>
      <c r="H277" s="22" t="s">
        <v>301</v>
      </c>
      <c r="I277" s="22" t="s">
        <v>184</v>
      </c>
      <c r="J277" s="36">
        <v>60900</v>
      </c>
      <c r="K277" s="36">
        <v>37800</v>
      </c>
      <c r="L277" s="36">
        <v>19700</v>
      </c>
      <c r="M277" s="36">
        <f t="shared" si="32"/>
        <v>118400</v>
      </c>
      <c r="N277" s="34">
        <f t="shared" si="38"/>
        <v>0.000620728559175773</v>
      </c>
      <c r="O277" s="35">
        <f>SUM($M$2:M277)</f>
        <v>160630600</v>
      </c>
      <c r="P277" s="34">
        <f t="shared" si="39"/>
        <v>0.842128385958952</v>
      </c>
      <c r="Q277" s="39">
        <v>7.8</v>
      </c>
      <c r="R277" s="22">
        <v>8</v>
      </c>
      <c r="S277" s="22">
        <v>1</v>
      </c>
      <c r="T277" s="22">
        <v>1</v>
      </c>
      <c r="U277" s="39">
        <v>25.1</v>
      </c>
      <c r="V277" s="22">
        <v>6</v>
      </c>
      <c r="W277" s="22">
        <v>4</v>
      </c>
      <c r="X277" s="40">
        <v>52</v>
      </c>
      <c r="Y277" s="22">
        <v>0</v>
      </c>
      <c r="Z277" s="22">
        <v>0</v>
      </c>
      <c r="AA277" s="22" t="s">
        <v>199</v>
      </c>
      <c r="AB277" s="22" t="s">
        <v>220</v>
      </c>
      <c r="AC277" s="42">
        <f>IFERROR(LOOKUP(M277,打分卡!$F$7:$J$7,打分卡!$K$7:$O$7),1)</f>
        <v>3</v>
      </c>
      <c r="AD277" s="42">
        <f>IFERROR(LOOKUP(S277,打分卡!$F$8:$J$8,打分卡!$K$8:$O$8),1)</f>
        <v>1</v>
      </c>
      <c r="AE277" s="42">
        <f>IFERROR(LOOKUP(T277,打分卡!$F$9:$I$9,打分卡!$K$9:$N$9),1)</f>
        <v>2</v>
      </c>
      <c r="AF277" s="42">
        <f>IFERROR(LOOKUP(Q277,打分卡!$F$10:$J$10,打分卡!$K$10:$O$10),1)</f>
        <v>2</v>
      </c>
      <c r="AG277" s="42">
        <f>IFERROR(LOOKUP(R277,打分卡!$F$11:$J$11,打分卡!$K$11:$O$11),1)</f>
        <v>3</v>
      </c>
      <c r="AH277" s="42">
        <f>IFERROR(LOOKUP(U277,打分卡!$F$12:$J$12,打分卡!$K$12:$O$12),1)</f>
        <v>3</v>
      </c>
      <c r="AI277" s="42">
        <f>IFERROR(LOOKUP(X277,打分卡!$F$13:$J$13,打分卡!$K$13:$O$13),1)</f>
        <v>3</v>
      </c>
      <c r="AJ277" s="42">
        <f>IFERROR(LOOKUP(Y277,打分卡!$F$14:$J$14,打分卡!$K$14:$O$14),1)</f>
        <v>1</v>
      </c>
      <c r="AK277" s="42">
        <f>IFERROR(LOOKUP(W277,打分卡!$F$15:$J$15,打分卡!$K$15:$O$15),1)</f>
        <v>3</v>
      </c>
      <c r="AL277" s="45">
        <f t="shared" si="33"/>
        <v>5</v>
      </c>
      <c r="AM277" s="42">
        <f>IFERROR(LOOKUP(Z277,打分卡!$F$17:$H$17,打分卡!$K$17:$M$17),1)</f>
        <v>1</v>
      </c>
      <c r="AN277" s="46">
        <f>(打分卡!$D$7*AC277+打分卡!$D$8*AD277+打分卡!$D$9*AE277)/5</f>
        <v>19.4</v>
      </c>
      <c r="AO277" s="46">
        <f>(打分卡!$D$10*AF277+打分卡!$D$11*AG277)/5</f>
        <v>10</v>
      </c>
      <c r="AP277" s="46">
        <f>(打分卡!$D$12*AH277+打分卡!$D$13*AI277+打分卡!$D$14*AJ277+打分卡!$D$15*AK277)/5</f>
        <v>15.6</v>
      </c>
      <c r="AQ277" s="46">
        <f>(打分卡!$D$16*AL277+打分卡!$D$17*AM277)/5</f>
        <v>6.8</v>
      </c>
      <c r="AR277" s="48">
        <f t="shared" si="34"/>
        <v>51.8</v>
      </c>
      <c r="AS277" s="45" t="str">
        <f t="shared" si="35"/>
        <v>腰部</v>
      </c>
      <c r="AT277" s="45" t="str">
        <f t="shared" si="36"/>
        <v/>
      </c>
      <c r="AU277" s="45" t="str">
        <f t="shared" si="37"/>
        <v>拉·主攻：主推AI外呼+大促作战包</v>
      </c>
    </row>
    <row r="278" ht="15" customHeight="1" spans="1:47">
      <c r="A278" s="30" t="s">
        <v>991</v>
      </c>
      <c r="B278" s="31" t="s">
        <v>992</v>
      </c>
      <c r="C278" s="31" t="s">
        <v>218</v>
      </c>
      <c r="D278" s="31" t="s">
        <v>190</v>
      </c>
      <c r="E278" s="31" t="s">
        <v>181</v>
      </c>
      <c r="F278" s="30" t="s">
        <v>993</v>
      </c>
      <c r="G278" s="31">
        <v>7</v>
      </c>
      <c r="H278" s="31" t="s">
        <v>301</v>
      </c>
      <c r="I278" s="31" t="s">
        <v>302</v>
      </c>
      <c r="J278" s="33">
        <v>61000</v>
      </c>
      <c r="K278" s="33">
        <v>26200</v>
      </c>
      <c r="L278" s="33">
        <v>31000</v>
      </c>
      <c r="M278" s="33">
        <f t="shared" si="32"/>
        <v>118200</v>
      </c>
      <c r="N278" s="34">
        <f t="shared" si="38"/>
        <v>0.000619680031204192</v>
      </c>
      <c r="O278" s="35">
        <f>SUM($M$2:M278)</f>
        <v>160748800</v>
      </c>
      <c r="P278" s="34">
        <f t="shared" si="39"/>
        <v>0.842748065990156</v>
      </c>
      <c r="Q278" s="37">
        <v>12.6</v>
      </c>
      <c r="R278" s="31">
        <v>3</v>
      </c>
      <c r="S278" s="31">
        <v>2</v>
      </c>
      <c r="T278" s="31">
        <v>1</v>
      </c>
      <c r="U278" s="37">
        <v>77.8</v>
      </c>
      <c r="V278" s="31">
        <v>22</v>
      </c>
      <c r="W278" s="31">
        <v>4</v>
      </c>
      <c r="X278" s="38">
        <v>71</v>
      </c>
      <c r="Y278" s="31">
        <v>1</v>
      </c>
      <c r="Z278" s="31">
        <v>0</v>
      </c>
      <c r="AA278" s="31" t="s">
        <v>199</v>
      </c>
      <c r="AB278" s="31" t="s">
        <v>220</v>
      </c>
      <c r="AC278" s="41">
        <f>IFERROR(LOOKUP(M278,打分卡!$F$7:$J$7,打分卡!$K$7:$O$7),1)</f>
        <v>3</v>
      </c>
      <c r="AD278" s="41">
        <f>IFERROR(LOOKUP(S278,打分卡!$F$8:$J$8,打分卡!$K$8:$O$8),1)</f>
        <v>2</v>
      </c>
      <c r="AE278" s="41">
        <f>IFERROR(LOOKUP(T278,打分卡!$F$9:$I$9,打分卡!$K$9:$N$9),1)</f>
        <v>2</v>
      </c>
      <c r="AF278" s="41">
        <f>IFERROR(LOOKUP(Q278,打分卡!$F$10:$J$10,打分卡!$K$10:$O$10),1)</f>
        <v>3</v>
      </c>
      <c r="AG278" s="41">
        <f>IFERROR(LOOKUP(R278,打分卡!$F$11:$J$11,打分卡!$K$11:$O$11),1)</f>
        <v>2</v>
      </c>
      <c r="AH278" s="41">
        <f>IFERROR(LOOKUP(U278,打分卡!$F$12:$J$12,打分卡!$K$12:$O$12),1)</f>
        <v>5</v>
      </c>
      <c r="AI278" s="41">
        <f>IFERROR(LOOKUP(X278,打分卡!$F$13:$J$13,打分卡!$K$13:$O$13),1)</f>
        <v>3</v>
      </c>
      <c r="AJ278" s="41">
        <f>IFERROR(LOOKUP(Y278,打分卡!$F$14:$J$14,打分卡!$K$14:$O$14),1)</f>
        <v>2</v>
      </c>
      <c r="AK278" s="41">
        <f>IFERROR(LOOKUP(W278,打分卡!$F$15:$J$15,打分卡!$K$15:$O$15),1)</f>
        <v>3</v>
      </c>
      <c r="AL278" s="43">
        <f t="shared" si="33"/>
        <v>5</v>
      </c>
      <c r="AM278" s="41">
        <f>IFERROR(LOOKUP(Z278,打分卡!$F$17:$H$17,打分卡!$K$17:$M$17),1)</f>
        <v>1</v>
      </c>
      <c r="AN278" s="44">
        <f>(打分卡!$D$7*AC278+打分卡!$D$8*AD278+打分卡!$D$9*AE278)/5</f>
        <v>21</v>
      </c>
      <c r="AO278" s="44">
        <f>(打分卡!$D$10*AF278+打分卡!$D$11*AG278)/5</f>
        <v>10</v>
      </c>
      <c r="AP278" s="44">
        <f>(打分卡!$D$12*AH278+打分卡!$D$13*AI278+打分卡!$D$14*AJ278+打分卡!$D$15*AK278)/5</f>
        <v>21.6</v>
      </c>
      <c r="AQ278" s="44">
        <f>(打分卡!$D$16*AL278+打分卡!$D$17*AM278)/5</f>
        <v>6.8</v>
      </c>
      <c r="AR278" s="47">
        <f t="shared" si="34"/>
        <v>59.4</v>
      </c>
      <c r="AS278" s="43" t="str">
        <f t="shared" si="35"/>
        <v>腰部</v>
      </c>
      <c r="AT278" s="43" t="str">
        <f t="shared" si="36"/>
        <v/>
      </c>
      <c r="AU278" s="43" t="str">
        <f t="shared" si="37"/>
        <v>拉·主攻：主推AI外呼+大促作战包</v>
      </c>
    </row>
    <row r="279" ht="15" customHeight="1" spans="1:47">
      <c r="A279" s="20" t="s">
        <v>994</v>
      </c>
      <c r="B279" s="22" t="s">
        <v>995</v>
      </c>
      <c r="C279" s="22" t="s">
        <v>218</v>
      </c>
      <c r="D279" s="22" t="s">
        <v>196</v>
      </c>
      <c r="E279" s="22" t="s">
        <v>181</v>
      </c>
      <c r="F279" s="20" t="s">
        <v>996</v>
      </c>
      <c r="G279" s="22">
        <v>5</v>
      </c>
      <c r="H279" s="22" t="s">
        <v>301</v>
      </c>
      <c r="I279" s="22" t="s">
        <v>302</v>
      </c>
      <c r="J279" s="36">
        <v>71600</v>
      </c>
      <c r="K279" s="36">
        <v>39900</v>
      </c>
      <c r="L279" s="36">
        <v>5900</v>
      </c>
      <c r="M279" s="36">
        <f t="shared" si="32"/>
        <v>117400</v>
      </c>
      <c r="N279" s="34">
        <f t="shared" si="38"/>
        <v>0.00061548591931787</v>
      </c>
      <c r="O279" s="35">
        <f>SUM($M$2:M279)</f>
        <v>160866200</v>
      </c>
      <c r="P279" s="34">
        <f t="shared" si="39"/>
        <v>0.843363551909474</v>
      </c>
      <c r="Q279" s="39">
        <v>17.9</v>
      </c>
      <c r="R279" s="22">
        <v>2</v>
      </c>
      <c r="S279" s="22">
        <v>1</v>
      </c>
      <c r="T279" s="22">
        <v>2</v>
      </c>
      <c r="U279" s="39">
        <v>2.8</v>
      </c>
      <c r="V279" s="22">
        <v>7</v>
      </c>
      <c r="W279" s="22">
        <v>1</v>
      </c>
      <c r="X279" s="40">
        <v>40</v>
      </c>
      <c r="Y279" s="22">
        <v>1</v>
      </c>
      <c r="Z279" s="22">
        <v>0</v>
      </c>
      <c r="AA279" s="22" t="s">
        <v>315</v>
      </c>
      <c r="AB279" s="22" t="s">
        <v>220</v>
      </c>
      <c r="AC279" s="42">
        <f>IFERROR(LOOKUP(M279,打分卡!$F$7:$J$7,打分卡!$K$7:$O$7),1)</f>
        <v>3</v>
      </c>
      <c r="AD279" s="42">
        <f>IFERROR(LOOKUP(S279,打分卡!$F$8:$J$8,打分卡!$K$8:$O$8),1)</f>
        <v>1</v>
      </c>
      <c r="AE279" s="42">
        <f>IFERROR(LOOKUP(T279,打分卡!$F$9:$I$9,打分卡!$K$9:$N$9),1)</f>
        <v>3</v>
      </c>
      <c r="AF279" s="42">
        <f>IFERROR(LOOKUP(Q279,打分卡!$F$10:$J$10,打分卡!$K$10:$O$10),1)</f>
        <v>3</v>
      </c>
      <c r="AG279" s="42">
        <f>IFERROR(LOOKUP(R279,打分卡!$F$11:$J$11,打分卡!$K$11:$O$11),1)</f>
        <v>1</v>
      </c>
      <c r="AH279" s="42">
        <f>IFERROR(LOOKUP(U279,打分卡!$F$12:$J$12,打分卡!$K$12:$O$12),1)</f>
        <v>2</v>
      </c>
      <c r="AI279" s="42">
        <f>IFERROR(LOOKUP(X279,打分卡!$F$13:$J$13,打分卡!$K$13:$O$13),1)</f>
        <v>3</v>
      </c>
      <c r="AJ279" s="42">
        <f>IFERROR(LOOKUP(Y279,打分卡!$F$14:$J$14,打分卡!$K$14:$O$14),1)</f>
        <v>2</v>
      </c>
      <c r="AK279" s="42">
        <f>IFERROR(LOOKUP(W279,打分卡!$F$15:$J$15,打分卡!$K$15:$O$15),1)</f>
        <v>2</v>
      </c>
      <c r="AL279" s="45">
        <f t="shared" si="33"/>
        <v>2</v>
      </c>
      <c r="AM279" s="42">
        <f>IFERROR(LOOKUP(Z279,打分卡!$F$17:$H$17,打分卡!$K$17:$M$17),1)</f>
        <v>1</v>
      </c>
      <c r="AN279" s="46">
        <f>(打分卡!$D$7*AC279+打分卡!$D$8*AD279+打分卡!$D$9*AE279)/5</f>
        <v>20.8</v>
      </c>
      <c r="AO279" s="46">
        <f>(打分卡!$D$10*AF279+打分卡!$D$11*AG279)/5</f>
        <v>8</v>
      </c>
      <c r="AP279" s="46">
        <f>(打分卡!$D$12*AH279+打分卡!$D$13*AI279+打分卡!$D$14*AJ279+打分卡!$D$15*AK279)/5</f>
        <v>13.6</v>
      </c>
      <c r="AQ279" s="46">
        <f>(打分卡!$D$16*AL279+打分卡!$D$17*AM279)/5</f>
        <v>3.2</v>
      </c>
      <c r="AR279" s="48">
        <f t="shared" si="34"/>
        <v>45.6</v>
      </c>
      <c r="AS279" s="45" t="str">
        <f t="shared" si="35"/>
        <v>腰部</v>
      </c>
      <c r="AT279" s="45" t="str">
        <f t="shared" si="36"/>
        <v/>
      </c>
      <c r="AU279" s="45" t="str">
        <f t="shared" si="37"/>
        <v>拉·主攻：主推AI外呼+大促作战包</v>
      </c>
    </row>
    <row r="280" ht="15" customHeight="1" spans="1:47">
      <c r="A280" s="30" t="s">
        <v>997</v>
      </c>
      <c r="B280" s="31" t="s">
        <v>998</v>
      </c>
      <c r="C280" s="31" t="s">
        <v>239</v>
      </c>
      <c r="D280" s="31" t="s">
        <v>202</v>
      </c>
      <c r="E280" s="31" t="s">
        <v>181</v>
      </c>
      <c r="F280" s="30" t="s">
        <v>415</v>
      </c>
      <c r="G280" s="31">
        <v>18</v>
      </c>
      <c r="H280" s="31" t="s">
        <v>301</v>
      </c>
      <c r="I280" s="31" t="s">
        <v>184</v>
      </c>
      <c r="J280" s="33">
        <v>67200</v>
      </c>
      <c r="K280" s="33">
        <v>33900</v>
      </c>
      <c r="L280" s="33">
        <v>16100</v>
      </c>
      <c r="M280" s="33">
        <f t="shared" si="32"/>
        <v>117200</v>
      </c>
      <c r="N280" s="34">
        <f t="shared" si="38"/>
        <v>0.000614437391346289</v>
      </c>
      <c r="O280" s="35">
        <f>SUM($M$2:M280)</f>
        <v>160983400</v>
      </c>
      <c r="P280" s="34">
        <f t="shared" si="39"/>
        <v>0.843977989300821</v>
      </c>
      <c r="Q280" s="37">
        <v>12.5</v>
      </c>
      <c r="R280" s="31">
        <v>9</v>
      </c>
      <c r="S280" s="31">
        <v>2</v>
      </c>
      <c r="T280" s="31">
        <v>2</v>
      </c>
      <c r="U280" s="37">
        <v>2.9</v>
      </c>
      <c r="V280" s="31">
        <v>14</v>
      </c>
      <c r="W280" s="31">
        <v>0</v>
      </c>
      <c r="X280" s="38">
        <v>89</v>
      </c>
      <c r="Y280" s="31">
        <v>1</v>
      </c>
      <c r="Z280" s="31">
        <v>0</v>
      </c>
      <c r="AA280" s="31" t="s">
        <v>199</v>
      </c>
      <c r="AB280" s="31" t="s">
        <v>220</v>
      </c>
      <c r="AC280" s="41">
        <f>IFERROR(LOOKUP(M280,打分卡!$F$7:$J$7,打分卡!$K$7:$O$7),1)</f>
        <v>3</v>
      </c>
      <c r="AD280" s="41">
        <f>IFERROR(LOOKUP(S280,打分卡!$F$8:$J$8,打分卡!$K$8:$O$8),1)</f>
        <v>2</v>
      </c>
      <c r="AE280" s="41">
        <f>IFERROR(LOOKUP(T280,打分卡!$F$9:$I$9,打分卡!$K$9:$N$9),1)</f>
        <v>3</v>
      </c>
      <c r="AF280" s="41">
        <f>IFERROR(LOOKUP(Q280,打分卡!$F$10:$J$10,打分卡!$K$10:$O$10),1)</f>
        <v>3</v>
      </c>
      <c r="AG280" s="41">
        <f>IFERROR(LOOKUP(R280,打分卡!$F$11:$J$11,打分卡!$K$11:$O$11),1)</f>
        <v>4</v>
      </c>
      <c r="AH280" s="41">
        <f>IFERROR(LOOKUP(U280,打分卡!$F$12:$J$12,打分卡!$K$12:$O$12),1)</f>
        <v>2</v>
      </c>
      <c r="AI280" s="41">
        <f>IFERROR(LOOKUP(X280,打分卡!$F$13:$J$13,打分卡!$K$13:$O$13),1)</f>
        <v>4</v>
      </c>
      <c r="AJ280" s="41">
        <f>IFERROR(LOOKUP(Y280,打分卡!$F$14:$J$14,打分卡!$K$14:$O$14),1)</f>
        <v>2</v>
      </c>
      <c r="AK280" s="41">
        <f>IFERROR(LOOKUP(W280,打分卡!$F$15:$J$15,打分卡!$K$15:$O$15),1)</f>
        <v>1</v>
      </c>
      <c r="AL280" s="43">
        <f t="shared" si="33"/>
        <v>5</v>
      </c>
      <c r="AM280" s="41">
        <f>IFERROR(LOOKUP(Z280,打分卡!$F$17:$H$17,打分卡!$K$17:$M$17),1)</f>
        <v>1</v>
      </c>
      <c r="AN280" s="44">
        <f>(打分卡!$D$7*AC280+打分卡!$D$8*AD280+打分卡!$D$9*AE280)/5</f>
        <v>22.4</v>
      </c>
      <c r="AO280" s="44">
        <f>(打分卡!$D$10*AF280+打分卡!$D$11*AG280)/5</f>
        <v>14</v>
      </c>
      <c r="AP280" s="44">
        <f>(打分卡!$D$12*AH280+打分卡!$D$13*AI280+打分卡!$D$14*AJ280+打分卡!$D$15*AK280)/5</f>
        <v>14.4</v>
      </c>
      <c r="AQ280" s="44">
        <f>(打分卡!$D$16*AL280+打分卡!$D$17*AM280)/5</f>
        <v>6.8</v>
      </c>
      <c r="AR280" s="47">
        <f t="shared" si="34"/>
        <v>57.6</v>
      </c>
      <c r="AS280" s="43" t="str">
        <f t="shared" si="35"/>
        <v>腰部</v>
      </c>
      <c r="AT280" s="43" t="str">
        <f t="shared" si="36"/>
        <v/>
      </c>
      <c r="AU280" s="43" t="str">
        <f t="shared" si="37"/>
        <v>拉·主攻：主推AI外呼+大促作战包</v>
      </c>
    </row>
    <row r="281" ht="15" customHeight="1" spans="1:47">
      <c r="A281" s="20" t="s">
        <v>999</v>
      </c>
      <c r="B281" s="22" t="s">
        <v>1000</v>
      </c>
      <c r="C281" s="22" t="s">
        <v>223</v>
      </c>
      <c r="D281" s="22" t="s">
        <v>202</v>
      </c>
      <c r="E281" s="22" t="s">
        <v>181</v>
      </c>
      <c r="F281" s="20" t="s">
        <v>1001</v>
      </c>
      <c r="G281" s="22">
        <v>7</v>
      </c>
      <c r="H281" s="22" t="s">
        <v>183</v>
      </c>
      <c r="I281" s="22" t="s">
        <v>302</v>
      </c>
      <c r="J281" s="36">
        <v>60400</v>
      </c>
      <c r="K281" s="36">
        <v>32700</v>
      </c>
      <c r="L281" s="36">
        <v>23800</v>
      </c>
      <c r="M281" s="36">
        <f t="shared" si="32"/>
        <v>116900</v>
      </c>
      <c r="N281" s="34">
        <f t="shared" si="38"/>
        <v>0.000612864599388918</v>
      </c>
      <c r="O281" s="35">
        <f>SUM($M$2:M281)</f>
        <v>161100300</v>
      </c>
      <c r="P281" s="34">
        <f t="shared" si="39"/>
        <v>0.844590853900209</v>
      </c>
      <c r="Q281" s="39">
        <v>13.8</v>
      </c>
      <c r="R281" s="22">
        <v>2</v>
      </c>
      <c r="S281" s="22">
        <v>1</v>
      </c>
      <c r="T281" s="22">
        <v>1</v>
      </c>
      <c r="U281" s="39">
        <v>14</v>
      </c>
      <c r="V281" s="22">
        <v>18</v>
      </c>
      <c r="W281" s="22">
        <v>1</v>
      </c>
      <c r="X281" s="40">
        <v>20</v>
      </c>
      <c r="Y281" s="22">
        <v>3</v>
      </c>
      <c r="Z281" s="22">
        <v>1</v>
      </c>
      <c r="AA281" s="22" t="s">
        <v>199</v>
      </c>
      <c r="AB281" s="22" t="s">
        <v>220</v>
      </c>
      <c r="AC281" s="42">
        <f>IFERROR(LOOKUP(M281,打分卡!$F$7:$J$7,打分卡!$K$7:$O$7),1)</f>
        <v>3</v>
      </c>
      <c r="AD281" s="42">
        <f>IFERROR(LOOKUP(S281,打分卡!$F$8:$J$8,打分卡!$K$8:$O$8),1)</f>
        <v>1</v>
      </c>
      <c r="AE281" s="42">
        <f>IFERROR(LOOKUP(T281,打分卡!$F$9:$I$9,打分卡!$K$9:$N$9),1)</f>
        <v>2</v>
      </c>
      <c r="AF281" s="42">
        <f>IFERROR(LOOKUP(Q281,打分卡!$F$10:$J$10,打分卡!$K$10:$O$10),1)</f>
        <v>3</v>
      </c>
      <c r="AG281" s="42">
        <f>IFERROR(LOOKUP(R281,打分卡!$F$11:$J$11,打分卡!$K$11:$O$11),1)</f>
        <v>1</v>
      </c>
      <c r="AH281" s="42">
        <f>IFERROR(LOOKUP(U281,打分卡!$F$12:$J$12,打分卡!$K$12:$O$12),1)</f>
        <v>3</v>
      </c>
      <c r="AI281" s="42">
        <f>IFERROR(LOOKUP(X281,打分卡!$F$13:$J$13,打分卡!$K$13:$O$13),1)</f>
        <v>2</v>
      </c>
      <c r="AJ281" s="42">
        <f>IFERROR(LOOKUP(Y281,打分卡!$F$14:$J$14,打分卡!$K$14:$O$14),1)</f>
        <v>4</v>
      </c>
      <c r="AK281" s="42">
        <f>IFERROR(LOOKUP(W281,打分卡!$F$15:$J$15,打分卡!$K$15:$O$15),1)</f>
        <v>2</v>
      </c>
      <c r="AL281" s="45">
        <f t="shared" si="33"/>
        <v>5</v>
      </c>
      <c r="AM281" s="42">
        <f>IFERROR(LOOKUP(Z281,打分卡!$F$17:$H$17,打分卡!$K$17:$M$17),1)</f>
        <v>3</v>
      </c>
      <c r="AN281" s="46">
        <f>(打分卡!$D$7*AC281+打分卡!$D$8*AD281+打分卡!$D$9*AE281)/5</f>
        <v>19.4</v>
      </c>
      <c r="AO281" s="46">
        <f>(打分卡!$D$10*AF281+打分卡!$D$11*AG281)/5</f>
        <v>8</v>
      </c>
      <c r="AP281" s="46">
        <f>(打分卡!$D$12*AH281+打分卡!$D$13*AI281+打分卡!$D$14*AJ281+打分卡!$D$15*AK281)/5</f>
        <v>16.8</v>
      </c>
      <c r="AQ281" s="46">
        <f>(打分卡!$D$16*AL281+打分卡!$D$17*AM281)/5</f>
        <v>8.4</v>
      </c>
      <c r="AR281" s="48">
        <f t="shared" si="34"/>
        <v>52.6</v>
      </c>
      <c r="AS281" s="45" t="str">
        <f t="shared" si="35"/>
        <v>腰部</v>
      </c>
      <c r="AT281" s="45" t="str">
        <f t="shared" si="36"/>
        <v/>
      </c>
      <c r="AU281" s="45" t="str">
        <f t="shared" si="37"/>
        <v>拉·主攻：主推AI外呼+大促作战包</v>
      </c>
    </row>
    <row r="282" ht="15" customHeight="1" spans="1:47">
      <c r="A282" s="30" t="s">
        <v>1002</v>
      </c>
      <c r="B282" s="31" t="s">
        <v>1003</v>
      </c>
      <c r="C282" s="31" t="s">
        <v>195</v>
      </c>
      <c r="D282" s="31" t="s">
        <v>196</v>
      </c>
      <c r="E282" s="31" t="s">
        <v>181</v>
      </c>
      <c r="F282" s="30" t="s">
        <v>1004</v>
      </c>
      <c r="G282" s="31">
        <v>7</v>
      </c>
      <c r="H282" s="31" t="s">
        <v>301</v>
      </c>
      <c r="I282" s="31" t="s">
        <v>302</v>
      </c>
      <c r="J282" s="33">
        <v>65400</v>
      </c>
      <c r="K282" s="33">
        <v>30100</v>
      </c>
      <c r="L282" s="33">
        <v>21200</v>
      </c>
      <c r="M282" s="33">
        <f t="shared" si="32"/>
        <v>116700</v>
      </c>
      <c r="N282" s="34">
        <f t="shared" si="38"/>
        <v>0.000611816071417337</v>
      </c>
      <c r="O282" s="35">
        <f>SUM($M$2:M282)</f>
        <v>161217000</v>
      </c>
      <c r="P282" s="34">
        <f t="shared" si="39"/>
        <v>0.845202669971627</v>
      </c>
      <c r="Q282" s="37">
        <v>14</v>
      </c>
      <c r="R282" s="31">
        <v>1</v>
      </c>
      <c r="S282" s="31">
        <v>2</v>
      </c>
      <c r="T282" s="31">
        <v>2</v>
      </c>
      <c r="U282" s="37">
        <v>3.7</v>
      </c>
      <c r="V282" s="31">
        <v>9</v>
      </c>
      <c r="W282" s="31">
        <v>3</v>
      </c>
      <c r="X282" s="38">
        <v>27</v>
      </c>
      <c r="Y282" s="31">
        <v>2</v>
      </c>
      <c r="Z282" s="31">
        <v>0</v>
      </c>
      <c r="AA282" s="31" t="s">
        <v>185</v>
      </c>
      <c r="AB282" s="31" t="s">
        <v>220</v>
      </c>
      <c r="AC282" s="41">
        <f>IFERROR(LOOKUP(M282,打分卡!$F$7:$J$7,打分卡!$K$7:$O$7),1)</f>
        <v>3</v>
      </c>
      <c r="AD282" s="41">
        <f>IFERROR(LOOKUP(S282,打分卡!$F$8:$J$8,打分卡!$K$8:$O$8),1)</f>
        <v>2</v>
      </c>
      <c r="AE282" s="41">
        <f>IFERROR(LOOKUP(T282,打分卡!$F$9:$I$9,打分卡!$K$9:$N$9),1)</f>
        <v>3</v>
      </c>
      <c r="AF282" s="41">
        <f>IFERROR(LOOKUP(Q282,打分卡!$F$10:$J$10,打分卡!$K$10:$O$10),1)</f>
        <v>3</v>
      </c>
      <c r="AG282" s="41">
        <f>IFERROR(LOOKUP(R282,打分卡!$F$11:$J$11,打分卡!$K$11:$O$11),1)</f>
        <v>1</v>
      </c>
      <c r="AH282" s="41">
        <f>IFERROR(LOOKUP(U282,打分卡!$F$12:$J$12,打分卡!$K$12:$O$12),1)</f>
        <v>2</v>
      </c>
      <c r="AI282" s="41">
        <f>IFERROR(LOOKUP(X282,打分卡!$F$13:$J$13,打分卡!$K$13:$O$13),1)</f>
        <v>2</v>
      </c>
      <c r="AJ282" s="41">
        <f>IFERROR(LOOKUP(Y282,打分卡!$F$14:$J$14,打分卡!$K$14:$O$14),1)</f>
        <v>3</v>
      </c>
      <c r="AK282" s="41">
        <f>IFERROR(LOOKUP(W282,打分卡!$F$15:$J$15,打分卡!$K$15:$O$15),1)</f>
        <v>3</v>
      </c>
      <c r="AL282" s="43">
        <f t="shared" si="33"/>
        <v>3</v>
      </c>
      <c r="AM282" s="41">
        <f>IFERROR(LOOKUP(Z282,打分卡!$F$17:$H$17,打分卡!$K$17:$M$17),1)</f>
        <v>1</v>
      </c>
      <c r="AN282" s="44">
        <f>(打分卡!$D$7*AC282+打分卡!$D$8*AD282+打分卡!$D$9*AE282)/5</f>
        <v>22.4</v>
      </c>
      <c r="AO282" s="44">
        <f>(打分卡!$D$10*AF282+打分卡!$D$11*AG282)/5</f>
        <v>8</v>
      </c>
      <c r="AP282" s="44">
        <f>(打分卡!$D$12*AH282+打分卡!$D$13*AI282+打分卡!$D$14*AJ282+打分卡!$D$15*AK282)/5</f>
        <v>14</v>
      </c>
      <c r="AQ282" s="44">
        <f>(打分卡!$D$16*AL282+打分卡!$D$17*AM282)/5</f>
        <v>4.4</v>
      </c>
      <c r="AR282" s="47">
        <f t="shared" si="34"/>
        <v>48.8</v>
      </c>
      <c r="AS282" s="43" t="str">
        <f t="shared" si="35"/>
        <v>腰部</v>
      </c>
      <c r="AT282" s="43" t="str">
        <f t="shared" si="36"/>
        <v/>
      </c>
      <c r="AU282" s="43" t="str">
        <f t="shared" si="37"/>
        <v>拉·主攻：主推AI外呼+大促作战包</v>
      </c>
    </row>
    <row r="283" ht="15" customHeight="1" spans="1:47">
      <c r="A283" s="20" t="s">
        <v>1005</v>
      </c>
      <c r="B283" s="22" t="s">
        <v>1006</v>
      </c>
      <c r="C283" s="22" t="s">
        <v>189</v>
      </c>
      <c r="D283" s="22" t="s">
        <v>190</v>
      </c>
      <c r="E283" s="22" t="s">
        <v>181</v>
      </c>
      <c r="F283" s="20" t="s">
        <v>1007</v>
      </c>
      <c r="G283" s="22">
        <v>8</v>
      </c>
      <c r="H283" s="22" t="s">
        <v>301</v>
      </c>
      <c r="I283" s="22" t="s">
        <v>184</v>
      </c>
      <c r="J283" s="36">
        <v>58600</v>
      </c>
      <c r="K283" s="36">
        <v>30400</v>
      </c>
      <c r="L283" s="36">
        <v>27500</v>
      </c>
      <c r="M283" s="36">
        <f t="shared" si="32"/>
        <v>116500</v>
      </c>
      <c r="N283" s="34">
        <f t="shared" si="38"/>
        <v>0.000610767543445757</v>
      </c>
      <c r="O283" s="35">
        <f>SUM($M$2:M283)</f>
        <v>161333500</v>
      </c>
      <c r="P283" s="34">
        <f t="shared" si="39"/>
        <v>0.845813437515073</v>
      </c>
      <c r="Q283" s="39">
        <v>13</v>
      </c>
      <c r="R283" s="22">
        <v>5</v>
      </c>
      <c r="S283" s="22">
        <v>3</v>
      </c>
      <c r="T283" s="22">
        <v>0</v>
      </c>
      <c r="U283" s="39">
        <v>11.2</v>
      </c>
      <c r="V283" s="22">
        <v>7</v>
      </c>
      <c r="W283" s="22">
        <v>2</v>
      </c>
      <c r="X283" s="40">
        <v>24</v>
      </c>
      <c r="Y283" s="22">
        <v>2</v>
      </c>
      <c r="Z283" s="22">
        <v>1</v>
      </c>
      <c r="AA283" s="22" t="s">
        <v>199</v>
      </c>
      <c r="AB283" s="22" t="s">
        <v>220</v>
      </c>
      <c r="AC283" s="42">
        <f>IFERROR(LOOKUP(M283,打分卡!$F$7:$J$7,打分卡!$K$7:$O$7),1)</f>
        <v>3</v>
      </c>
      <c r="AD283" s="42">
        <f>IFERROR(LOOKUP(S283,打分卡!$F$8:$J$8,打分卡!$K$8:$O$8),1)</f>
        <v>3</v>
      </c>
      <c r="AE283" s="42">
        <f>IFERROR(LOOKUP(T283,打分卡!$F$9:$I$9,打分卡!$K$9:$N$9),1)</f>
        <v>1</v>
      </c>
      <c r="AF283" s="42">
        <f>IFERROR(LOOKUP(Q283,打分卡!$F$10:$J$10,打分卡!$K$10:$O$10),1)</f>
        <v>3</v>
      </c>
      <c r="AG283" s="42">
        <f>IFERROR(LOOKUP(R283,打分卡!$F$11:$J$11,打分卡!$K$11:$O$11),1)</f>
        <v>3</v>
      </c>
      <c r="AH283" s="42">
        <f>IFERROR(LOOKUP(U283,打分卡!$F$12:$J$12,打分卡!$K$12:$O$12),1)</f>
        <v>3</v>
      </c>
      <c r="AI283" s="42">
        <f>IFERROR(LOOKUP(X283,打分卡!$F$13:$J$13,打分卡!$K$13:$O$13),1)</f>
        <v>2</v>
      </c>
      <c r="AJ283" s="42">
        <f>IFERROR(LOOKUP(Y283,打分卡!$F$14:$J$14,打分卡!$K$14:$O$14),1)</f>
        <v>3</v>
      </c>
      <c r="AK283" s="42">
        <f>IFERROR(LOOKUP(W283,打分卡!$F$15:$J$15,打分卡!$K$15:$O$15),1)</f>
        <v>2</v>
      </c>
      <c r="AL283" s="45">
        <f t="shared" si="33"/>
        <v>5</v>
      </c>
      <c r="AM283" s="42">
        <f>IFERROR(LOOKUP(Z283,打分卡!$F$17:$H$17,打分卡!$K$17:$M$17),1)</f>
        <v>3</v>
      </c>
      <c r="AN283" s="46">
        <f>(打分卡!$D$7*AC283+打分卡!$D$8*AD283+打分卡!$D$9*AE283)/5</f>
        <v>21.2</v>
      </c>
      <c r="AO283" s="46">
        <f>(打分卡!$D$10*AF283+打分卡!$D$11*AG283)/5</f>
        <v>12</v>
      </c>
      <c r="AP283" s="46">
        <f>(打分卡!$D$12*AH283+打分卡!$D$13*AI283+打分卡!$D$14*AJ283+打分卡!$D$15*AK283)/5</f>
        <v>15.6</v>
      </c>
      <c r="AQ283" s="46">
        <f>(打分卡!$D$16*AL283+打分卡!$D$17*AM283)/5</f>
        <v>8.4</v>
      </c>
      <c r="AR283" s="48">
        <f t="shared" si="34"/>
        <v>57.2</v>
      </c>
      <c r="AS283" s="45" t="str">
        <f t="shared" si="35"/>
        <v>腰部</v>
      </c>
      <c r="AT283" s="45" t="str">
        <f t="shared" si="36"/>
        <v/>
      </c>
      <c r="AU283" s="45" t="str">
        <f t="shared" si="37"/>
        <v>拉·主攻：主推AI外呼+大促作战包</v>
      </c>
    </row>
    <row r="284" ht="15" customHeight="1" spans="1:47">
      <c r="A284" s="30" t="s">
        <v>1008</v>
      </c>
      <c r="B284" s="31" t="s">
        <v>1009</v>
      </c>
      <c r="C284" s="31" t="s">
        <v>239</v>
      </c>
      <c r="D284" s="31" t="s">
        <v>196</v>
      </c>
      <c r="E284" s="31" t="s">
        <v>197</v>
      </c>
      <c r="F284" s="30" t="s">
        <v>1010</v>
      </c>
      <c r="G284" s="31">
        <v>20</v>
      </c>
      <c r="H284" s="31" t="s">
        <v>301</v>
      </c>
      <c r="I284" s="31" t="s">
        <v>302</v>
      </c>
      <c r="J284" s="33">
        <v>63700</v>
      </c>
      <c r="K284" s="33">
        <v>29600</v>
      </c>
      <c r="L284" s="33">
        <v>22900</v>
      </c>
      <c r="M284" s="33">
        <f t="shared" si="32"/>
        <v>116200</v>
      </c>
      <c r="N284" s="34">
        <f t="shared" si="38"/>
        <v>0.000609194751488385</v>
      </c>
      <c r="O284" s="35">
        <f>SUM($M$2:M284)</f>
        <v>161449700</v>
      </c>
      <c r="P284" s="34">
        <f t="shared" si="39"/>
        <v>0.846422632266561</v>
      </c>
      <c r="Q284" s="37">
        <v>10.3</v>
      </c>
      <c r="R284" s="31">
        <v>7</v>
      </c>
      <c r="S284" s="31">
        <v>3</v>
      </c>
      <c r="T284" s="31">
        <v>2</v>
      </c>
      <c r="U284" s="37">
        <v>2</v>
      </c>
      <c r="V284" s="31">
        <v>9</v>
      </c>
      <c r="W284" s="31">
        <v>1</v>
      </c>
      <c r="X284" s="38">
        <v>36</v>
      </c>
      <c r="Y284" s="31">
        <v>2</v>
      </c>
      <c r="Z284" s="31">
        <v>0</v>
      </c>
      <c r="AA284" s="31" t="s">
        <v>315</v>
      </c>
      <c r="AB284" s="31" t="s">
        <v>220</v>
      </c>
      <c r="AC284" s="41">
        <f>IFERROR(LOOKUP(M284,打分卡!$F$7:$J$7,打分卡!$K$7:$O$7),1)</f>
        <v>3</v>
      </c>
      <c r="AD284" s="41">
        <f>IFERROR(LOOKUP(S284,打分卡!$F$8:$J$8,打分卡!$K$8:$O$8),1)</f>
        <v>3</v>
      </c>
      <c r="AE284" s="41">
        <f>IFERROR(LOOKUP(T284,打分卡!$F$9:$I$9,打分卡!$K$9:$N$9),1)</f>
        <v>3</v>
      </c>
      <c r="AF284" s="41">
        <f>IFERROR(LOOKUP(Q284,打分卡!$F$10:$J$10,打分卡!$K$10:$O$10),1)</f>
        <v>3</v>
      </c>
      <c r="AG284" s="41">
        <f>IFERROR(LOOKUP(R284,打分卡!$F$11:$J$11,打分卡!$K$11:$O$11),1)</f>
        <v>3</v>
      </c>
      <c r="AH284" s="41">
        <f>IFERROR(LOOKUP(U284,打分卡!$F$12:$J$12,打分卡!$K$12:$O$12),1)</f>
        <v>1</v>
      </c>
      <c r="AI284" s="41">
        <f>IFERROR(LOOKUP(X284,打分卡!$F$13:$J$13,打分卡!$K$13:$O$13),1)</f>
        <v>2</v>
      </c>
      <c r="AJ284" s="41">
        <f>IFERROR(LOOKUP(Y284,打分卡!$F$14:$J$14,打分卡!$K$14:$O$14),1)</f>
        <v>3</v>
      </c>
      <c r="AK284" s="41">
        <f>IFERROR(LOOKUP(W284,打分卡!$F$15:$J$15,打分卡!$K$15:$O$15),1)</f>
        <v>2</v>
      </c>
      <c r="AL284" s="43">
        <f t="shared" si="33"/>
        <v>2</v>
      </c>
      <c r="AM284" s="41">
        <f>IFERROR(LOOKUP(Z284,打分卡!$F$17:$H$17,打分卡!$K$17:$M$17),1)</f>
        <v>1</v>
      </c>
      <c r="AN284" s="44">
        <f>(打分卡!$D$7*AC284+打分卡!$D$8*AD284+打分卡!$D$9*AE284)/5</f>
        <v>24</v>
      </c>
      <c r="AO284" s="44">
        <f>(打分卡!$D$10*AF284+打分卡!$D$11*AG284)/5</f>
        <v>12</v>
      </c>
      <c r="AP284" s="44">
        <f>(打分卡!$D$12*AH284+打分卡!$D$13*AI284+打分卡!$D$14*AJ284+打分卡!$D$15*AK284)/5</f>
        <v>10.8</v>
      </c>
      <c r="AQ284" s="44">
        <f>(打分卡!$D$16*AL284+打分卡!$D$17*AM284)/5</f>
        <v>3.2</v>
      </c>
      <c r="AR284" s="47">
        <f t="shared" si="34"/>
        <v>50</v>
      </c>
      <c r="AS284" s="43" t="str">
        <f t="shared" si="35"/>
        <v>腰部</v>
      </c>
      <c r="AT284" s="43" t="str">
        <f t="shared" si="36"/>
        <v/>
      </c>
      <c r="AU284" s="43" t="str">
        <f t="shared" si="37"/>
        <v>拉·主攻：主推AI外呼+大促作战包</v>
      </c>
    </row>
    <row r="285" ht="15" customHeight="1" spans="1:47">
      <c r="A285" s="20" t="s">
        <v>1011</v>
      </c>
      <c r="B285" s="22" t="s">
        <v>1012</v>
      </c>
      <c r="C285" s="22" t="s">
        <v>179</v>
      </c>
      <c r="D285" s="22" t="s">
        <v>227</v>
      </c>
      <c r="E285" s="22" t="s">
        <v>181</v>
      </c>
      <c r="F285" s="20" t="s">
        <v>1013</v>
      </c>
      <c r="G285" s="22">
        <v>4</v>
      </c>
      <c r="H285" s="22" t="s">
        <v>183</v>
      </c>
      <c r="I285" s="22" t="s">
        <v>184</v>
      </c>
      <c r="J285" s="36">
        <v>63700</v>
      </c>
      <c r="K285" s="36">
        <v>33000</v>
      </c>
      <c r="L285" s="36">
        <v>19300</v>
      </c>
      <c r="M285" s="36">
        <f t="shared" si="32"/>
        <v>116000</v>
      </c>
      <c r="N285" s="34">
        <f t="shared" si="38"/>
        <v>0.000608146223516805</v>
      </c>
      <c r="O285" s="35">
        <f>SUM($M$2:M285)</f>
        <v>161565700</v>
      </c>
      <c r="P285" s="34">
        <f t="shared" si="39"/>
        <v>0.847030778490078</v>
      </c>
      <c r="Q285" s="39">
        <v>7</v>
      </c>
      <c r="R285" s="22">
        <v>9</v>
      </c>
      <c r="S285" s="22">
        <v>2</v>
      </c>
      <c r="T285" s="22">
        <v>2</v>
      </c>
      <c r="U285" s="39">
        <v>5</v>
      </c>
      <c r="V285" s="22">
        <v>12</v>
      </c>
      <c r="W285" s="22">
        <v>0</v>
      </c>
      <c r="X285" s="40">
        <v>76</v>
      </c>
      <c r="Y285" s="22">
        <v>1</v>
      </c>
      <c r="Z285" s="22">
        <v>0</v>
      </c>
      <c r="AA285" s="22" t="s">
        <v>199</v>
      </c>
      <c r="AB285" s="22" t="s">
        <v>220</v>
      </c>
      <c r="AC285" s="42">
        <f>IFERROR(LOOKUP(M285,打分卡!$F$7:$J$7,打分卡!$K$7:$O$7),1)</f>
        <v>3</v>
      </c>
      <c r="AD285" s="42">
        <f>IFERROR(LOOKUP(S285,打分卡!$F$8:$J$8,打分卡!$K$8:$O$8),1)</f>
        <v>2</v>
      </c>
      <c r="AE285" s="42">
        <f>IFERROR(LOOKUP(T285,打分卡!$F$9:$I$9,打分卡!$K$9:$N$9),1)</f>
        <v>3</v>
      </c>
      <c r="AF285" s="42">
        <f>IFERROR(LOOKUP(Q285,打分卡!$F$10:$J$10,打分卡!$K$10:$O$10),1)</f>
        <v>2</v>
      </c>
      <c r="AG285" s="42">
        <f>IFERROR(LOOKUP(R285,打分卡!$F$11:$J$11,打分卡!$K$11:$O$11),1)</f>
        <v>4</v>
      </c>
      <c r="AH285" s="42">
        <f>IFERROR(LOOKUP(U285,打分卡!$F$12:$J$12,打分卡!$K$12:$O$12),1)</f>
        <v>2</v>
      </c>
      <c r="AI285" s="42">
        <f>IFERROR(LOOKUP(X285,打分卡!$F$13:$J$13,打分卡!$K$13:$O$13),1)</f>
        <v>3</v>
      </c>
      <c r="AJ285" s="42">
        <f>IFERROR(LOOKUP(Y285,打分卡!$F$14:$J$14,打分卡!$K$14:$O$14),1)</f>
        <v>2</v>
      </c>
      <c r="AK285" s="42">
        <f>IFERROR(LOOKUP(W285,打分卡!$F$15:$J$15,打分卡!$K$15:$O$15),1)</f>
        <v>1</v>
      </c>
      <c r="AL285" s="45">
        <f t="shared" si="33"/>
        <v>5</v>
      </c>
      <c r="AM285" s="42">
        <f>IFERROR(LOOKUP(Z285,打分卡!$F$17:$H$17,打分卡!$K$17:$M$17),1)</f>
        <v>1</v>
      </c>
      <c r="AN285" s="46">
        <f>(打分卡!$D$7*AC285+打分卡!$D$8*AD285+打分卡!$D$9*AE285)/5</f>
        <v>22.4</v>
      </c>
      <c r="AO285" s="46">
        <f>(打分卡!$D$10*AF285+打分卡!$D$11*AG285)/5</f>
        <v>12</v>
      </c>
      <c r="AP285" s="46">
        <f>(打分卡!$D$12*AH285+打分卡!$D$13*AI285+打分卡!$D$14*AJ285+打分卡!$D$15*AK285)/5</f>
        <v>12.8</v>
      </c>
      <c r="AQ285" s="46">
        <f>(打分卡!$D$16*AL285+打分卡!$D$17*AM285)/5</f>
        <v>6.8</v>
      </c>
      <c r="AR285" s="48">
        <f t="shared" si="34"/>
        <v>54</v>
      </c>
      <c r="AS285" s="45" t="str">
        <f t="shared" si="35"/>
        <v>腰部</v>
      </c>
      <c r="AT285" s="45" t="str">
        <f t="shared" si="36"/>
        <v/>
      </c>
      <c r="AU285" s="45" t="str">
        <f t="shared" si="37"/>
        <v>拉·主攻：主推AI外呼+大促作战包</v>
      </c>
    </row>
    <row r="286" ht="15" customHeight="1" spans="1:47">
      <c r="A286" s="30" t="s">
        <v>1014</v>
      </c>
      <c r="B286" s="31" t="s">
        <v>1015</v>
      </c>
      <c r="C286" s="31" t="s">
        <v>189</v>
      </c>
      <c r="D286" s="31" t="s">
        <v>202</v>
      </c>
      <c r="E286" s="31" t="s">
        <v>181</v>
      </c>
      <c r="F286" s="30" t="s">
        <v>1016</v>
      </c>
      <c r="G286" s="31">
        <v>19</v>
      </c>
      <c r="H286" s="31" t="s">
        <v>301</v>
      </c>
      <c r="I286" s="31" t="s">
        <v>184</v>
      </c>
      <c r="J286" s="33">
        <v>64200</v>
      </c>
      <c r="K286" s="33">
        <v>42100</v>
      </c>
      <c r="L286" s="33">
        <v>8800</v>
      </c>
      <c r="M286" s="33">
        <f t="shared" si="32"/>
        <v>115100</v>
      </c>
      <c r="N286" s="34">
        <f t="shared" si="38"/>
        <v>0.000603427847644692</v>
      </c>
      <c r="O286" s="35">
        <f>SUM($M$2:M286)</f>
        <v>161680800</v>
      </c>
      <c r="P286" s="34">
        <f t="shared" si="39"/>
        <v>0.847634206337722</v>
      </c>
      <c r="Q286" s="37">
        <v>13.3</v>
      </c>
      <c r="R286" s="31">
        <v>1</v>
      </c>
      <c r="S286" s="31">
        <v>1</v>
      </c>
      <c r="T286" s="31">
        <v>2</v>
      </c>
      <c r="U286" s="37">
        <v>5.9</v>
      </c>
      <c r="V286" s="31">
        <v>29</v>
      </c>
      <c r="W286" s="31">
        <v>1</v>
      </c>
      <c r="X286" s="38">
        <v>39</v>
      </c>
      <c r="Y286" s="31">
        <v>0</v>
      </c>
      <c r="Z286" s="31">
        <v>1</v>
      </c>
      <c r="AA286" s="31" t="s">
        <v>199</v>
      </c>
      <c r="AB286" s="31" t="s">
        <v>220</v>
      </c>
      <c r="AC286" s="41">
        <f>IFERROR(LOOKUP(M286,打分卡!$F$7:$J$7,打分卡!$K$7:$O$7),1)</f>
        <v>3</v>
      </c>
      <c r="AD286" s="41">
        <f>IFERROR(LOOKUP(S286,打分卡!$F$8:$J$8,打分卡!$K$8:$O$8),1)</f>
        <v>1</v>
      </c>
      <c r="AE286" s="41">
        <f>IFERROR(LOOKUP(T286,打分卡!$F$9:$I$9,打分卡!$K$9:$N$9),1)</f>
        <v>3</v>
      </c>
      <c r="AF286" s="41">
        <f>IFERROR(LOOKUP(Q286,打分卡!$F$10:$J$10,打分卡!$K$10:$O$10),1)</f>
        <v>3</v>
      </c>
      <c r="AG286" s="41">
        <f>IFERROR(LOOKUP(R286,打分卡!$F$11:$J$11,打分卡!$K$11:$O$11),1)</f>
        <v>1</v>
      </c>
      <c r="AH286" s="41">
        <f>IFERROR(LOOKUP(U286,打分卡!$F$12:$J$12,打分卡!$K$12:$O$12),1)</f>
        <v>2</v>
      </c>
      <c r="AI286" s="41">
        <f>IFERROR(LOOKUP(X286,打分卡!$F$13:$J$13,打分卡!$K$13:$O$13),1)</f>
        <v>3</v>
      </c>
      <c r="AJ286" s="41">
        <f>IFERROR(LOOKUP(Y286,打分卡!$F$14:$J$14,打分卡!$K$14:$O$14),1)</f>
        <v>1</v>
      </c>
      <c r="AK286" s="41">
        <f>IFERROR(LOOKUP(W286,打分卡!$F$15:$J$15,打分卡!$K$15:$O$15),1)</f>
        <v>2</v>
      </c>
      <c r="AL286" s="43">
        <f t="shared" si="33"/>
        <v>5</v>
      </c>
      <c r="AM286" s="41">
        <f>IFERROR(LOOKUP(Z286,打分卡!$F$17:$H$17,打分卡!$K$17:$M$17),1)</f>
        <v>3</v>
      </c>
      <c r="AN286" s="44">
        <f>(打分卡!$D$7*AC286+打分卡!$D$8*AD286+打分卡!$D$9*AE286)/5</f>
        <v>20.8</v>
      </c>
      <c r="AO286" s="44">
        <f>(打分卡!$D$10*AF286+打分卡!$D$11*AG286)/5</f>
        <v>8</v>
      </c>
      <c r="AP286" s="44">
        <f>(打分卡!$D$12*AH286+打分卡!$D$13*AI286+打分卡!$D$14*AJ286+打分卡!$D$15*AK286)/5</f>
        <v>12.4</v>
      </c>
      <c r="AQ286" s="44">
        <f>(打分卡!$D$16*AL286+打分卡!$D$17*AM286)/5</f>
        <v>8.4</v>
      </c>
      <c r="AR286" s="47">
        <f t="shared" si="34"/>
        <v>49.6</v>
      </c>
      <c r="AS286" s="43" t="str">
        <f t="shared" si="35"/>
        <v>腰部</v>
      </c>
      <c r="AT286" s="43" t="str">
        <f t="shared" si="36"/>
        <v/>
      </c>
      <c r="AU286" s="43" t="str">
        <f t="shared" si="37"/>
        <v>拉·主攻：主推AI外呼+大促作战包</v>
      </c>
    </row>
    <row r="287" ht="15" customHeight="1" spans="1:47">
      <c r="A287" s="20" t="s">
        <v>1017</v>
      </c>
      <c r="B287" s="22" t="s">
        <v>1018</v>
      </c>
      <c r="C287" s="22" t="s">
        <v>223</v>
      </c>
      <c r="D287" s="22" t="s">
        <v>227</v>
      </c>
      <c r="E287" s="22" t="s">
        <v>181</v>
      </c>
      <c r="F287" s="20" t="s">
        <v>1019</v>
      </c>
      <c r="G287" s="22">
        <v>12</v>
      </c>
      <c r="H287" s="22" t="s">
        <v>301</v>
      </c>
      <c r="I287" s="22" t="s">
        <v>302</v>
      </c>
      <c r="J287" s="36">
        <v>54800</v>
      </c>
      <c r="K287" s="36">
        <v>34700</v>
      </c>
      <c r="L287" s="36">
        <v>25400</v>
      </c>
      <c r="M287" s="36">
        <f t="shared" si="32"/>
        <v>114900</v>
      </c>
      <c r="N287" s="34">
        <f t="shared" si="38"/>
        <v>0.000602379319673111</v>
      </c>
      <c r="O287" s="35">
        <f>SUM($M$2:M287)</f>
        <v>161795700</v>
      </c>
      <c r="P287" s="34">
        <f t="shared" si="39"/>
        <v>0.848236585657396</v>
      </c>
      <c r="Q287" s="39">
        <v>14.5</v>
      </c>
      <c r="R287" s="22">
        <v>3</v>
      </c>
      <c r="S287" s="22">
        <v>2</v>
      </c>
      <c r="T287" s="22">
        <v>1</v>
      </c>
      <c r="U287" s="39">
        <v>46.9</v>
      </c>
      <c r="V287" s="22">
        <v>28</v>
      </c>
      <c r="W287" s="22">
        <v>4</v>
      </c>
      <c r="X287" s="40">
        <v>40</v>
      </c>
      <c r="Y287" s="22">
        <v>3</v>
      </c>
      <c r="Z287" s="22">
        <v>0</v>
      </c>
      <c r="AA287" s="22" t="s">
        <v>185</v>
      </c>
      <c r="AB287" s="22" t="s">
        <v>220</v>
      </c>
      <c r="AC287" s="42">
        <f>IFERROR(LOOKUP(M287,打分卡!$F$7:$J$7,打分卡!$K$7:$O$7),1)</f>
        <v>3</v>
      </c>
      <c r="AD287" s="42">
        <f>IFERROR(LOOKUP(S287,打分卡!$F$8:$J$8,打分卡!$K$8:$O$8),1)</f>
        <v>2</v>
      </c>
      <c r="AE287" s="42">
        <f>IFERROR(LOOKUP(T287,打分卡!$F$9:$I$9,打分卡!$K$9:$N$9),1)</f>
        <v>2</v>
      </c>
      <c r="AF287" s="42">
        <f>IFERROR(LOOKUP(Q287,打分卡!$F$10:$J$10,打分卡!$K$10:$O$10),1)</f>
        <v>3</v>
      </c>
      <c r="AG287" s="42">
        <f>IFERROR(LOOKUP(R287,打分卡!$F$11:$J$11,打分卡!$K$11:$O$11),1)</f>
        <v>2</v>
      </c>
      <c r="AH287" s="42">
        <f>IFERROR(LOOKUP(U287,打分卡!$F$12:$J$12,打分卡!$K$12:$O$12),1)</f>
        <v>4</v>
      </c>
      <c r="AI287" s="42">
        <f>IFERROR(LOOKUP(X287,打分卡!$F$13:$J$13,打分卡!$K$13:$O$13),1)</f>
        <v>3</v>
      </c>
      <c r="AJ287" s="42">
        <f>IFERROR(LOOKUP(Y287,打分卡!$F$14:$J$14,打分卡!$K$14:$O$14),1)</f>
        <v>4</v>
      </c>
      <c r="AK287" s="42">
        <f>IFERROR(LOOKUP(W287,打分卡!$F$15:$J$15,打分卡!$K$15:$O$15),1)</f>
        <v>3</v>
      </c>
      <c r="AL287" s="45">
        <f t="shared" si="33"/>
        <v>3</v>
      </c>
      <c r="AM287" s="42">
        <f>IFERROR(LOOKUP(Z287,打分卡!$F$17:$H$17,打分卡!$K$17:$M$17),1)</f>
        <v>1</v>
      </c>
      <c r="AN287" s="46">
        <f>(打分卡!$D$7*AC287+打分卡!$D$8*AD287+打分卡!$D$9*AE287)/5</f>
        <v>21</v>
      </c>
      <c r="AO287" s="46">
        <f>(打分卡!$D$10*AF287+打分卡!$D$11*AG287)/5</f>
        <v>10</v>
      </c>
      <c r="AP287" s="46">
        <f>(打分卡!$D$12*AH287+打分卡!$D$13*AI287+打分卡!$D$14*AJ287+打分卡!$D$15*AK287)/5</f>
        <v>21.6</v>
      </c>
      <c r="AQ287" s="46">
        <f>(打分卡!$D$16*AL287+打分卡!$D$17*AM287)/5</f>
        <v>4.4</v>
      </c>
      <c r="AR287" s="48">
        <f t="shared" si="34"/>
        <v>57</v>
      </c>
      <c r="AS287" s="45" t="str">
        <f t="shared" si="35"/>
        <v>腰部</v>
      </c>
      <c r="AT287" s="45" t="str">
        <f t="shared" si="36"/>
        <v/>
      </c>
      <c r="AU287" s="45" t="str">
        <f t="shared" si="37"/>
        <v>拉·主攻：主推AI外呼+大促作战包</v>
      </c>
    </row>
    <row r="288" ht="15" customHeight="1" spans="1:47">
      <c r="A288" s="30" t="s">
        <v>1020</v>
      </c>
      <c r="B288" s="31" t="s">
        <v>1021</v>
      </c>
      <c r="C288" s="31" t="s">
        <v>209</v>
      </c>
      <c r="D288" s="31" t="s">
        <v>202</v>
      </c>
      <c r="E288" s="31" t="s">
        <v>181</v>
      </c>
      <c r="F288" s="30" t="s">
        <v>1022</v>
      </c>
      <c r="G288" s="31">
        <v>15</v>
      </c>
      <c r="H288" s="31" t="s">
        <v>301</v>
      </c>
      <c r="I288" s="31" t="s">
        <v>302</v>
      </c>
      <c r="J288" s="33">
        <v>64300</v>
      </c>
      <c r="K288" s="33">
        <v>34400</v>
      </c>
      <c r="L288" s="33">
        <v>15600</v>
      </c>
      <c r="M288" s="33">
        <f t="shared" si="32"/>
        <v>114300</v>
      </c>
      <c r="N288" s="34">
        <f t="shared" si="38"/>
        <v>0.000599233735758369</v>
      </c>
      <c r="O288" s="35">
        <f>SUM($M$2:M288)</f>
        <v>161910000</v>
      </c>
      <c r="P288" s="34">
        <f t="shared" si="39"/>
        <v>0.848835819393154</v>
      </c>
      <c r="Q288" s="37">
        <v>13.1</v>
      </c>
      <c r="R288" s="31">
        <v>6</v>
      </c>
      <c r="S288" s="31">
        <v>1</v>
      </c>
      <c r="T288" s="31">
        <v>0</v>
      </c>
      <c r="U288" s="37">
        <v>6.9</v>
      </c>
      <c r="V288" s="31">
        <v>9</v>
      </c>
      <c r="W288" s="31">
        <v>4</v>
      </c>
      <c r="X288" s="38">
        <v>144</v>
      </c>
      <c r="Y288" s="31">
        <v>3</v>
      </c>
      <c r="Z288" s="31">
        <v>1</v>
      </c>
      <c r="AA288" s="31" t="s">
        <v>199</v>
      </c>
      <c r="AB288" s="31" t="s">
        <v>220</v>
      </c>
      <c r="AC288" s="41">
        <f>IFERROR(LOOKUP(M288,打分卡!$F$7:$J$7,打分卡!$K$7:$O$7),1)</f>
        <v>3</v>
      </c>
      <c r="AD288" s="41">
        <f>IFERROR(LOOKUP(S288,打分卡!$F$8:$J$8,打分卡!$K$8:$O$8),1)</f>
        <v>1</v>
      </c>
      <c r="AE288" s="41">
        <f>IFERROR(LOOKUP(T288,打分卡!$F$9:$I$9,打分卡!$K$9:$N$9),1)</f>
        <v>1</v>
      </c>
      <c r="AF288" s="41">
        <f>IFERROR(LOOKUP(Q288,打分卡!$F$10:$J$10,打分卡!$K$10:$O$10),1)</f>
        <v>3</v>
      </c>
      <c r="AG288" s="41">
        <f>IFERROR(LOOKUP(R288,打分卡!$F$11:$J$11,打分卡!$K$11:$O$11),1)</f>
        <v>3</v>
      </c>
      <c r="AH288" s="41">
        <f>IFERROR(LOOKUP(U288,打分卡!$F$12:$J$12,打分卡!$K$12:$O$12),1)</f>
        <v>2</v>
      </c>
      <c r="AI288" s="41">
        <f>IFERROR(LOOKUP(X288,打分卡!$F$13:$J$13,打分卡!$K$13:$O$13),1)</f>
        <v>4</v>
      </c>
      <c r="AJ288" s="41">
        <f>IFERROR(LOOKUP(Y288,打分卡!$F$14:$J$14,打分卡!$K$14:$O$14),1)</f>
        <v>4</v>
      </c>
      <c r="AK288" s="41">
        <f>IFERROR(LOOKUP(W288,打分卡!$F$15:$J$15,打分卡!$K$15:$O$15),1)</f>
        <v>3</v>
      </c>
      <c r="AL288" s="43">
        <f t="shared" si="33"/>
        <v>5</v>
      </c>
      <c r="AM288" s="41">
        <f>IFERROR(LOOKUP(Z288,打分卡!$F$17:$H$17,打分卡!$K$17:$M$17),1)</f>
        <v>3</v>
      </c>
      <c r="AN288" s="44">
        <f>(打分卡!$D$7*AC288+打分卡!$D$8*AD288+打分卡!$D$9*AE288)/5</f>
        <v>18</v>
      </c>
      <c r="AO288" s="44">
        <f>(打分卡!$D$10*AF288+打分卡!$D$11*AG288)/5</f>
        <v>12</v>
      </c>
      <c r="AP288" s="44">
        <f>(打分卡!$D$12*AH288+打分卡!$D$13*AI288+打分卡!$D$14*AJ288+打分卡!$D$15*AK288)/5</f>
        <v>18.4</v>
      </c>
      <c r="AQ288" s="44">
        <f>(打分卡!$D$16*AL288+打分卡!$D$17*AM288)/5</f>
        <v>8.4</v>
      </c>
      <c r="AR288" s="47">
        <f t="shared" si="34"/>
        <v>56.8</v>
      </c>
      <c r="AS288" s="43" t="str">
        <f t="shared" si="35"/>
        <v>腰部</v>
      </c>
      <c r="AT288" s="43" t="str">
        <f t="shared" si="36"/>
        <v/>
      </c>
      <c r="AU288" s="43" t="str">
        <f t="shared" si="37"/>
        <v>拉·主攻：主推AI外呼+大促作战包</v>
      </c>
    </row>
    <row r="289" ht="15" customHeight="1" spans="1:47">
      <c r="A289" s="20" t="s">
        <v>1023</v>
      </c>
      <c r="B289" s="22" t="s">
        <v>1024</v>
      </c>
      <c r="C289" s="22" t="s">
        <v>189</v>
      </c>
      <c r="D289" s="22" t="s">
        <v>227</v>
      </c>
      <c r="E289" s="22" t="s">
        <v>197</v>
      </c>
      <c r="F289" s="20" t="s">
        <v>1025</v>
      </c>
      <c r="G289" s="22">
        <v>10</v>
      </c>
      <c r="H289" s="22" t="s">
        <v>301</v>
      </c>
      <c r="I289" s="22" t="s">
        <v>184</v>
      </c>
      <c r="J289" s="36">
        <v>63600</v>
      </c>
      <c r="K289" s="36">
        <v>38000</v>
      </c>
      <c r="L289" s="36">
        <v>12500</v>
      </c>
      <c r="M289" s="36">
        <f t="shared" si="32"/>
        <v>114100</v>
      </c>
      <c r="N289" s="34">
        <f t="shared" si="38"/>
        <v>0.000598185207786788</v>
      </c>
      <c r="O289" s="35">
        <f>SUM($M$2:M289)</f>
        <v>162024100</v>
      </c>
      <c r="P289" s="34">
        <f t="shared" si="39"/>
        <v>0.849434004600941</v>
      </c>
      <c r="Q289" s="39">
        <v>8</v>
      </c>
      <c r="R289" s="22">
        <v>2</v>
      </c>
      <c r="S289" s="22">
        <v>1</v>
      </c>
      <c r="T289" s="22">
        <v>0</v>
      </c>
      <c r="U289" s="39">
        <v>47.7</v>
      </c>
      <c r="V289" s="22">
        <v>19</v>
      </c>
      <c r="W289" s="22">
        <v>3</v>
      </c>
      <c r="X289" s="40">
        <v>93</v>
      </c>
      <c r="Y289" s="22">
        <v>0</v>
      </c>
      <c r="Z289" s="22">
        <v>0</v>
      </c>
      <c r="AA289" s="22" t="s">
        <v>185</v>
      </c>
      <c r="AB289" s="22" t="s">
        <v>220</v>
      </c>
      <c r="AC289" s="42">
        <f>IFERROR(LOOKUP(M289,打分卡!$F$7:$J$7,打分卡!$K$7:$O$7),1)</f>
        <v>3</v>
      </c>
      <c r="AD289" s="42">
        <f>IFERROR(LOOKUP(S289,打分卡!$F$8:$J$8,打分卡!$K$8:$O$8),1)</f>
        <v>1</v>
      </c>
      <c r="AE289" s="42">
        <f>IFERROR(LOOKUP(T289,打分卡!$F$9:$I$9,打分卡!$K$9:$N$9),1)</f>
        <v>1</v>
      </c>
      <c r="AF289" s="42">
        <f>IFERROR(LOOKUP(Q289,打分卡!$F$10:$J$10,打分卡!$K$10:$O$10),1)</f>
        <v>2</v>
      </c>
      <c r="AG289" s="42">
        <f>IFERROR(LOOKUP(R289,打分卡!$F$11:$J$11,打分卡!$K$11:$O$11),1)</f>
        <v>1</v>
      </c>
      <c r="AH289" s="42">
        <f>IFERROR(LOOKUP(U289,打分卡!$F$12:$J$12,打分卡!$K$12:$O$12),1)</f>
        <v>4</v>
      </c>
      <c r="AI289" s="42">
        <f>IFERROR(LOOKUP(X289,打分卡!$F$13:$J$13,打分卡!$K$13:$O$13),1)</f>
        <v>4</v>
      </c>
      <c r="AJ289" s="42">
        <f>IFERROR(LOOKUP(Y289,打分卡!$F$14:$J$14,打分卡!$K$14:$O$14),1)</f>
        <v>1</v>
      </c>
      <c r="AK289" s="42">
        <f>IFERROR(LOOKUP(W289,打分卡!$F$15:$J$15,打分卡!$K$15:$O$15),1)</f>
        <v>3</v>
      </c>
      <c r="AL289" s="45">
        <f t="shared" si="33"/>
        <v>3</v>
      </c>
      <c r="AM289" s="42">
        <f>IFERROR(LOOKUP(Z289,打分卡!$F$17:$H$17,打分卡!$K$17:$M$17),1)</f>
        <v>1</v>
      </c>
      <c r="AN289" s="46">
        <f>(打分卡!$D$7*AC289+打分卡!$D$8*AD289+打分卡!$D$9*AE289)/5</f>
        <v>18</v>
      </c>
      <c r="AO289" s="46">
        <f>(打分卡!$D$10*AF289+打分卡!$D$11*AG289)/5</f>
        <v>6</v>
      </c>
      <c r="AP289" s="46">
        <f>(打分卡!$D$12*AH289+打分卡!$D$13*AI289+打分卡!$D$14*AJ289+打分卡!$D$15*AK289)/5</f>
        <v>19.6</v>
      </c>
      <c r="AQ289" s="46">
        <f>(打分卡!$D$16*AL289+打分卡!$D$17*AM289)/5</f>
        <v>4.4</v>
      </c>
      <c r="AR289" s="48">
        <f t="shared" si="34"/>
        <v>48</v>
      </c>
      <c r="AS289" s="45" t="str">
        <f t="shared" si="35"/>
        <v>腰部</v>
      </c>
      <c r="AT289" s="45" t="str">
        <f t="shared" si="36"/>
        <v/>
      </c>
      <c r="AU289" s="45" t="str">
        <f t="shared" si="37"/>
        <v>拉·主攻：主推AI外呼+大促作战包</v>
      </c>
    </row>
    <row r="290" ht="15" customHeight="1" spans="1:47">
      <c r="A290" s="30" t="s">
        <v>1026</v>
      </c>
      <c r="B290" s="31" t="s">
        <v>1027</v>
      </c>
      <c r="C290" s="31" t="s">
        <v>179</v>
      </c>
      <c r="D290" s="31" t="s">
        <v>180</v>
      </c>
      <c r="E290" s="31" t="s">
        <v>181</v>
      </c>
      <c r="F290" s="30" t="s">
        <v>1028</v>
      </c>
      <c r="G290" s="31">
        <v>18</v>
      </c>
      <c r="H290" s="31" t="s">
        <v>301</v>
      </c>
      <c r="I290" s="31" t="s">
        <v>184</v>
      </c>
      <c r="J290" s="33">
        <v>58600</v>
      </c>
      <c r="K290" s="33">
        <v>32500</v>
      </c>
      <c r="L290" s="33">
        <v>22000</v>
      </c>
      <c r="M290" s="33">
        <f t="shared" si="32"/>
        <v>113100</v>
      </c>
      <c r="N290" s="34">
        <f t="shared" si="38"/>
        <v>0.000592942567928885</v>
      </c>
      <c r="O290" s="35">
        <f>SUM($M$2:M290)</f>
        <v>162137200</v>
      </c>
      <c r="P290" s="34">
        <f t="shared" si="39"/>
        <v>0.85002694716887</v>
      </c>
      <c r="Q290" s="37">
        <v>14.2</v>
      </c>
      <c r="R290" s="31">
        <v>1</v>
      </c>
      <c r="S290" s="31">
        <v>2</v>
      </c>
      <c r="T290" s="31">
        <v>1</v>
      </c>
      <c r="U290" s="37">
        <v>47.4</v>
      </c>
      <c r="V290" s="31">
        <v>5</v>
      </c>
      <c r="W290" s="31">
        <v>4</v>
      </c>
      <c r="X290" s="38">
        <v>135</v>
      </c>
      <c r="Y290" s="31">
        <v>1</v>
      </c>
      <c r="Z290" s="31">
        <v>1</v>
      </c>
      <c r="AA290" s="31" t="s">
        <v>199</v>
      </c>
      <c r="AB290" s="31" t="s">
        <v>220</v>
      </c>
      <c r="AC290" s="41">
        <f>IFERROR(LOOKUP(M290,打分卡!$F$7:$J$7,打分卡!$K$7:$O$7),1)</f>
        <v>3</v>
      </c>
      <c r="AD290" s="41">
        <f>IFERROR(LOOKUP(S290,打分卡!$F$8:$J$8,打分卡!$K$8:$O$8),1)</f>
        <v>2</v>
      </c>
      <c r="AE290" s="41">
        <f>IFERROR(LOOKUP(T290,打分卡!$F$9:$I$9,打分卡!$K$9:$N$9),1)</f>
        <v>2</v>
      </c>
      <c r="AF290" s="41">
        <f>IFERROR(LOOKUP(Q290,打分卡!$F$10:$J$10,打分卡!$K$10:$O$10),1)</f>
        <v>3</v>
      </c>
      <c r="AG290" s="41">
        <f>IFERROR(LOOKUP(R290,打分卡!$F$11:$J$11,打分卡!$K$11:$O$11),1)</f>
        <v>1</v>
      </c>
      <c r="AH290" s="41">
        <f>IFERROR(LOOKUP(U290,打分卡!$F$12:$J$12,打分卡!$K$12:$O$12),1)</f>
        <v>4</v>
      </c>
      <c r="AI290" s="41">
        <f>IFERROR(LOOKUP(X290,打分卡!$F$13:$J$13,打分卡!$K$13:$O$13),1)</f>
        <v>4</v>
      </c>
      <c r="AJ290" s="41">
        <f>IFERROR(LOOKUP(Y290,打分卡!$F$14:$J$14,打分卡!$K$14:$O$14),1)</f>
        <v>2</v>
      </c>
      <c r="AK290" s="41">
        <f>IFERROR(LOOKUP(W290,打分卡!$F$15:$J$15,打分卡!$K$15:$O$15),1)</f>
        <v>3</v>
      </c>
      <c r="AL290" s="43">
        <f t="shared" si="33"/>
        <v>5</v>
      </c>
      <c r="AM290" s="41">
        <f>IFERROR(LOOKUP(Z290,打分卡!$F$17:$H$17,打分卡!$K$17:$M$17),1)</f>
        <v>3</v>
      </c>
      <c r="AN290" s="44">
        <f>(打分卡!$D$7*AC290+打分卡!$D$8*AD290+打分卡!$D$9*AE290)/5</f>
        <v>21</v>
      </c>
      <c r="AO290" s="44">
        <f>(打分卡!$D$10*AF290+打分卡!$D$11*AG290)/5</f>
        <v>8</v>
      </c>
      <c r="AP290" s="44">
        <f>(打分卡!$D$12*AH290+打分卡!$D$13*AI290+打分卡!$D$14*AJ290+打分卡!$D$15*AK290)/5</f>
        <v>20.8</v>
      </c>
      <c r="AQ290" s="44">
        <f>(打分卡!$D$16*AL290+打分卡!$D$17*AM290)/5</f>
        <v>8.4</v>
      </c>
      <c r="AR290" s="47">
        <f t="shared" si="34"/>
        <v>58.2</v>
      </c>
      <c r="AS290" s="43" t="str">
        <f t="shared" si="35"/>
        <v>腰部</v>
      </c>
      <c r="AT290" s="43" t="str">
        <f t="shared" si="36"/>
        <v/>
      </c>
      <c r="AU290" s="43" t="str">
        <f t="shared" si="37"/>
        <v>拉·主攻：主推AI外呼+大促作战包</v>
      </c>
    </row>
    <row r="291" ht="15" customHeight="1" spans="1:47">
      <c r="A291" s="20" t="s">
        <v>1029</v>
      </c>
      <c r="B291" s="22" t="s">
        <v>1030</v>
      </c>
      <c r="C291" s="22" t="s">
        <v>209</v>
      </c>
      <c r="D291" s="22" t="s">
        <v>202</v>
      </c>
      <c r="E291" s="22" t="s">
        <v>181</v>
      </c>
      <c r="F291" s="20" t="s">
        <v>1031</v>
      </c>
      <c r="G291" s="22">
        <v>9</v>
      </c>
      <c r="H291" s="22" t="s">
        <v>301</v>
      </c>
      <c r="I291" s="22" t="s">
        <v>184</v>
      </c>
      <c r="J291" s="36">
        <v>57000</v>
      </c>
      <c r="K291" s="36">
        <v>42200</v>
      </c>
      <c r="L291" s="36">
        <v>12800</v>
      </c>
      <c r="M291" s="36">
        <f t="shared" si="32"/>
        <v>112000</v>
      </c>
      <c r="N291" s="34">
        <f t="shared" si="38"/>
        <v>0.000587175664085191</v>
      </c>
      <c r="O291" s="35">
        <f>SUM($M$2:M291)</f>
        <v>162249200</v>
      </c>
      <c r="P291" s="34">
        <f t="shared" si="39"/>
        <v>0.850614122832955</v>
      </c>
      <c r="Q291" s="39">
        <v>14.3</v>
      </c>
      <c r="R291" s="22">
        <v>3</v>
      </c>
      <c r="S291" s="22">
        <v>1</v>
      </c>
      <c r="T291" s="22">
        <v>0</v>
      </c>
      <c r="U291" s="39">
        <v>1.3</v>
      </c>
      <c r="V291" s="22">
        <v>13</v>
      </c>
      <c r="W291" s="22">
        <v>4</v>
      </c>
      <c r="X291" s="40">
        <v>30</v>
      </c>
      <c r="Y291" s="22">
        <v>2</v>
      </c>
      <c r="Z291" s="22">
        <v>1</v>
      </c>
      <c r="AA291" s="22" t="s">
        <v>199</v>
      </c>
      <c r="AB291" s="22" t="s">
        <v>220</v>
      </c>
      <c r="AC291" s="42">
        <f>IFERROR(LOOKUP(M291,打分卡!$F$7:$J$7,打分卡!$K$7:$O$7),1)</f>
        <v>3</v>
      </c>
      <c r="AD291" s="42">
        <f>IFERROR(LOOKUP(S291,打分卡!$F$8:$J$8,打分卡!$K$8:$O$8),1)</f>
        <v>1</v>
      </c>
      <c r="AE291" s="42">
        <f>IFERROR(LOOKUP(T291,打分卡!$F$9:$I$9,打分卡!$K$9:$N$9),1)</f>
        <v>1</v>
      </c>
      <c r="AF291" s="42">
        <f>IFERROR(LOOKUP(Q291,打分卡!$F$10:$J$10,打分卡!$K$10:$O$10),1)</f>
        <v>3</v>
      </c>
      <c r="AG291" s="42">
        <f>IFERROR(LOOKUP(R291,打分卡!$F$11:$J$11,打分卡!$K$11:$O$11),1)</f>
        <v>2</v>
      </c>
      <c r="AH291" s="42">
        <f>IFERROR(LOOKUP(U291,打分卡!$F$12:$J$12,打分卡!$K$12:$O$12),1)</f>
        <v>1</v>
      </c>
      <c r="AI291" s="42">
        <f>IFERROR(LOOKUP(X291,打分卡!$F$13:$J$13,打分卡!$K$13:$O$13),1)</f>
        <v>2</v>
      </c>
      <c r="AJ291" s="42">
        <f>IFERROR(LOOKUP(Y291,打分卡!$F$14:$J$14,打分卡!$K$14:$O$14),1)</f>
        <v>3</v>
      </c>
      <c r="AK291" s="42">
        <f>IFERROR(LOOKUP(W291,打分卡!$F$15:$J$15,打分卡!$K$15:$O$15),1)</f>
        <v>3</v>
      </c>
      <c r="AL291" s="45">
        <f t="shared" si="33"/>
        <v>5</v>
      </c>
      <c r="AM291" s="42">
        <f>IFERROR(LOOKUP(Z291,打分卡!$F$17:$H$17,打分卡!$K$17:$M$17),1)</f>
        <v>3</v>
      </c>
      <c r="AN291" s="46">
        <f>(打分卡!$D$7*AC291+打分卡!$D$8*AD291+打分卡!$D$9*AE291)/5</f>
        <v>18</v>
      </c>
      <c r="AO291" s="46">
        <f>(打分卡!$D$10*AF291+打分卡!$D$11*AG291)/5</f>
        <v>10</v>
      </c>
      <c r="AP291" s="46">
        <f>(打分卡!$D$12*AH291+打分卡!$D$13*AI291+打分卡!$D$14*AJ291+打分卡!$D$15*AK291)/5</f>
        <v>11.6</v>
      </c>
      <c r="AQ291" s="46">
        <f>(打分卡!$D$16*AL291+打分卡!$D$17*AM291)/5</f>
        <v>8.4</v>
      </c>
      <c r="AR291" s="48">
        <f t="shared" si="34"/>
        <v>48</v>
      </c>
      <c r="AS291" s="45" t="str">
        <f t="shared" si="35"/>
        <v>腰部</v>
      </c>
      <c r="AT291" s="45" t="str">
        <f t="shared" si="36"/>
        <v/>
      </c>
      <c r="AU291" s="45" t="str">
        <f t="shared" si="37"/>
        <v>拉·主攻：主推AI外呼+大促作战包</v>
      </c>
    </row>
    <row r="292" ht="15" customHeight="1" spans="1:47">
      <c r="A292" s="30" t="s">
        <v>1032</v>
      </c>
      <c r="B292" s="31" t="s">
        <v>1033</v>
      </c>
      <c r="C292" s="31" t="s">
        <v>239</v>
      </c>
      <c r="D292" s="31" t="s">
        <v>235</v>
      </c>
      <c r="E292" s="31" t="s">
        <v>197</v>
      </c>
      <c r="F292" s="30" t="s">
        <v>488</v>
      </c>
      <c r="G292" s="31">
        <v>9</v>
      </c>
      <c r="H292" s="31" t="s">
        <v>301</v>
      </c>
      <c r="I292" s="31" t="s">
        <v>184</v>
      </c>
      <c r="J292" s="33">
        <v>68700</v>
      </c>
      <c r="K292" s="33">
        <v>37300</v>
      </c>
      <c r="L292" s="33">
        <v>5600</v>
      </c>
      <c r="M292" s="33">
        <f t="shared" si="32"/>
        <v>111600</v>
      </c>
      <c r="N292" s="34">
        <f t="shared" si="38"/>
        <v>0.000585078608142029</v>
      </c>
      <c r="O292" s="35">
        <f>SUM($M$2:M292)</f>
        <v>162360800</v>
      </c>
      <c r="P292" s="34">
        <f t="shared" si="39"/>
        <v>0.851199201441097</v>
      </c>
      <c r="Q292" s="37">
        <v>7.7</v>
      </c>
      <c r="R292" s="31">
        <v>6</v>
      </c>
      <c r="S292" s="31">
        <v>1</v>
      </c>
      <c r="T292" s="31">
        <v>0</v>
      </c>
      <c r="U292" s="37">
        <v>47.3</v>
      </c>
      <c r="V292" s="31">
        <v>22</v>
      </c>
      <c r="W292" s="31">
        <v>3</v>
      </c>
      <c r="X292" s="38">
        <v>64</v>
      </c>
      <c r="Y292" s="31">
        <v>2</v>
      </c>
      <c r="Z292" s="31">
        <v>0</v>
      </c>
      <c r="AA292" s="31" t="s">
        <v>185</v>
      </c>
      <c r="AB292" s="31" t="s">
        <v>220</v>
      </c>
      <c r="AC292" s="41">
        <f>IFERROR(LOOKUP(M292,打分卡!$F$7:$J$7,打分卡!$K$7:$O$7),1)</f>
        <v>3</v>
      </c>
      <c r="AD292" s="41">
        <f>IFERROR(LOOKUP(S292,打分卡!$F$8:$J$8,打分卡!$K$8:$O$8),1)</f>
        <v>1</v>
      </c>
      <c r="AE292" s="41">
        <f>IFERROR(LOOKUP(T292,打分卡!$F$9:$I$9,打分卡!$K$9:$N$9),1)</f>
        <v>1</v>
      </c>
      <c r="AF292" s="41">
        <f>IFERROR(LOOKUP(Q292,打分卡!$F$10:$J$10,打分卡!$K$10:$O$10),1)</f>
        <v>2</v>
      </c>
      <c r="AG292" s="41">
        <f>IFERROR(LOOKUP(R292,打分卡!$F$11:$J$11,打分卡!$K$11:$O$11),1)</f>
        <v>3</v>
      </c>
      <c r="AH292" s="41">
        <f>IFERROR(LOOKUP(U292,打分卡!$F$12:$J$12,打分卡!$K$12:$O$12),1)</f>
        <v>4</v>
      </c>
      <c r="AI292" s="41">
        <f>IFERROR(LOOKUP(X292,打分卡!$F$13:$J$13,打分卡!$K$13:$O$13),1)</f>
        <v>3</v>
      </c>
      <c r="AJ292" s="41">
        <f>IFERROR(LOOKUP(Y292,打分卡!$F$14:$J$14,打分卡!$K$14:$O$14),1)</f>
        <v>3</v>
      </c>
      <c r="AK292" s="41">
        <f>IFERROR(LOOKUP(W292,打分卡!$F$15:$J$15,打分卡!$K$15:$O$15),1)</f>
        <v>3</v>
      </c>
      <c r="AL292" s="43">
        <f t="shared" si="33"/>
        <v>3</v>
      </c>
      <c r="AM292" s="41">
        <f>IFERROR(LOOKUP(Z292,打分卡!$F$17:$H$17,打分卡!$K$17:$M$17),1)</f>
        <v>1</v>
      </c>
      <c r="AN292" s="44">
        <f>(打分卡!$D$7*AC292+打分卡!$D$8*AD292+打分卡!$D$9*AE292)/5</f>
        <v>18</v>
      </c>
      <c r="AO292" s="44">
        <f>(打分卡!$D$10*AF292+打分卡!$D$11*AG292)/5</f>
        <v>10</v>
      </c>
      <c r="AP292" s="44">
        <f>(打分卡!$D$12*AH292+打分卡!$D$13*AI292+打分卡!$D$14*AJ292+打分卡!$D$15*AK292)/5</f>
        <v>20.4</v>
      </c>
      <c r="AQ292" s="44">
        <f>(打分卡!$D$16*AL292+打分卡!$D$17*AM292)/5</f>
        <v>4.4</v>
      </c>
      <c r="AR292" s="47">
        <f t="shared" si="34"/>
        <v>52.8</v>
      </c>
      <c r="AS292" s="43" t="str">
        <f t="shared" si="35"/>
        <v>腰部</v>
      </c>
      <c r="AT292" s="43" t="str">
        <f t="shared" si="36"/>
        <v/>
      </c>
      <c r="AU292" s="43" t="str">
        <f t="shared" si="37"/>
        <v>拉·主攻：主推AI外呼+大促作战包</v>
      </c>
    </row>
    <row r="293" ht="15" customHeight="1" spans="1:47">
      <c r="A293" s="20" t="s">
        <v>1034</v>
      </c>
      <c r="B293" s="22" t="s">
        <v>1035</v>
      </c>
      <c r="C293" s="22" t="s">
        <v>189</v>
      </c>
      <c r="D293" s="22" t="s">
        <v>227</v>
      </c>
      <c r="E293" s="22" t="s">
        <v>181</v>
      </c>
      <c r="F293" s="20" t="s">
        <v>731</v>
      </c>
      <c r="G293" s="22">
        <v>21</v>
      </c>
      <c r="H293" s="22" t="s">
        <v>301</v>
      </c>
      <c r="I293" s="22" t="s">
        <v>184</v>
      </c>
      <c r="J293" s="36">
        <v>62900</v>
      </c>
      <c r="K293" s="36">
        <v>25500</v>
      </c>
      <c r="L293" s="36">
        <v>22500</v>
      </c>
      <c r="M293" s="36">
        <f t="shared" si="32"/>
        <v>110900</v>
      </c>
      <c r="N293" s="34">
        <f t="shared" si="38"/>
        <v>0.000581408760241497</v>
      </c>
      <c r="O293" s="35">
        <f>SUM($M$2:M293)</f>
        <v>162471700</v>
      </c>
      <c r="P293" s="34">
        <f t="shared" si="39"/>
        <v>0.851780610201338</v>
      </c>
      <c r="Q293" s="39">
        <v>11.3</v>
      </c>
      <c r="R293" s="22">
        <v>2</v>
      </c>
      <c r="S293" s="22">
        <v>1</v>
      </c>
      <c r="T293" s="22">
        <v>1</v>
      </c>
      <c r="U293" s="39">
        <v>3.6</v>
      </c>
      <c r="V293" s="22">
        <v>18</v>
      </c>
      <c r="W293" s="22">
        <v>1</v>
      </c>
      <c r="X293" s="40">
        <v>32</v>
      </c>
      <c r="Y293" s="22">
        <v>2</v>
      </c>
      <c r="Z293" s="22">
        <v>1</v>
      </c>
      <c r="AA293" s="22" t="s">
        <v>199</v>
      </c>
      <c r="AB293" s="22" t="s">
        <v>220</v>
      </c>
      <c r="AC293" s="42">
        <f>IFERROR(LOOKUP(M293,打分卡!$F$7:$J$7,打分卡!$K$7:$O$7),1)</f>
        <v>3</v>
      </c>
      <c r="AD293" s="42">
        <f>IFERROR(LOOKUP(S293,打分卡!$F$8:$J$8,打分卡!$K$8:$O$8),1)</f>
        <v>1</v>
      </c>
      <c r="AE293" s="42">
        <f>IFERROR(LOOKUP(T293,打分卡!$F$9:$I$9,打分卡!$K$9:$N$9),1)</f>
        <v>2</v>
      </c>
      <c r="AF293" s="42">
        <f>IFERROR(LOOKUP(Q293,打分卡!$F$10:$J$10,打分卡!$K$10:$O$10),1)</f>
        <v>3</v>
      </c>
      <c r="AG293" s="42">
        <f>IFERROR(LOOKUP(R293,打分卡!$F$11:$J$11,打分卡!$K$11:$O$11),1)</f>
        <v>1</v>
      </c>
      <c r="AH293" s="42">
        <f>IFERROR(LOOKUP(U293,打分卡!$F$12:$J$12,打分卡!$K$12:$O$12),1)</f>
        <v>2</v>
      </c>
      <c r="AI293" s="42">
        <f>IFERROR(LOOKUP(X293,打分卡!$F$13:$J$13,打分卡!$K$13:$O$13),1)</f>
        <v>2</v>
      </c>
      <c r="AJ293" s="42">
        <f>IFERROR(LOOKUP(Y293,打分卡!$F$14:$J$14,打分卡!$K$14:$O$14),1)</f>
        <v>3</v>
      </c>
      <c r="AK293" s="42">
        <f>IFERROR(LOOKUP(W293,打分卡!$F$15:$J$15,打分卡!$K$15:$O$15),1)</f>
        <v>2</v>
      </c>
      <c r="AL293" s="45">
        <f t="shared" si="33"/>
        <v>5</v>
      </c>
      <c r="AM293" s="42">
        <f>IFERROR(LOOKUP(Z293,打分卡!$F$17:$H$17,打分卡!$K$17:$M$17),1)</f>
        <v>3</v>
      </c>
      <c r="AN293" s="46">
        <f>(打分卡!$D$7*AC293+打分卡!$D$8*AD293+打分卡!$D$9*AE293)/5</f>
        <v>19.4</v>
      </c>
      <c r="AO293" s="46">
        <f>(打分卡!$D$10*AF293+打分卡!$D$11*AG293)/5</f>
        <v>8</v>
      </c>
      <c r="AP293" s="46">
        <f>(打分卡!$D$12*AH293+打分卡!$D$13*AI293+打分卡!$D$14*AJ293+打分卡!$D$15*AK293)/5</f>
        <v>13.2</v>
      </c>
      <c r="AQ293" s="46">
        <f>(打分卡!$D$16*AL293+打分卡!$D$17*AM293)/5</f>
        <v>8.4</v>
      </c>
      <c r="AR293" s="48">
        <f t="shared" si="34"/>
        <v>49</v>
      </c>
      <c r="AS293" s="45" t="str">
        <f t="shared" si="35"/>
        <v>腰部</v>
      </c>
      <c r="AT293" s="45" t="str">
        <f t="shared" si="36"/>
        <v/>
      </c>
      <c r="AU293" s="45" t="str">
        <f t="shared" si="37"/>
        <v>拉·主攻：主推AI外呼+大促作战包</v>
      </c>
    </row>
    <row r="294" ht="15" customHeight="1" spans="1:47">
      <c r="A294" s="30" t="s">
        <v>1036</v>
      </c>
      <c r="B294" s="31" t="s">
        <v>1037</v>
      </c>
      <c r="C294" s="31" t="s">
        <v>239</v>
      </c>
      <c r="D294" s="31" t="s">
        <v>202</v>
      </c>
      <c r="E294" s="31" t="s">
        <v>197</v>
      </c>
      <c r="F294" s="30" t="s">
        <v>993</v>
      </c>
      <c r="G294" s="31">
        <v>7</v>
      </c>
      <c r="H294" s="31" t="s">
        <v>301</v>
      </c>
      <c r="I294" s="31" t="s">
        <v>302</v>
      </c>
      <c r="J294" s="33">
        <v>55200</v>
      </c>
      <c r="K294" s="33">
        <v>25900</v>
      </c>
      <c r="L294" s="33">
        <v>29700</v>
      </c>
      <c r="M294" s="33">
        <f t="shared" si="32"/>
        <v>110800</v>
      </c>
      <c r="N294" s="34">
        <f t="shared" si="38"/>
        <v>0.000580884496255707</v>
      </c>
      <c r="O294" s="35">
        <f>SUM($M$2:M294)</f>
        <v>162582500</v>
      </c>
      <c r="P294" s="34">
        <f t="shared" si="39"/>
        <v>0.852361494697594</v>
      </c>
      <c r="Q294" s="37">
        <v>16.6</v>
      </c>
      <c r="R294" s="31">
        <v>1</v>
      </c>
      <c r="S294" s="31">
        <v>1</v>
      </c>
      <c r="T294" s="31">
        <v>0</v>
      </c>
      <c r="U294" s="37">
        <v>67.4</v>
      </c>
      <c r="V294" s="31">
        <v>30</v>
      </c>
      <c r="W294" s="31">
        <v>1</v>
      </c>
      <c r="X294" s="38">
        <v>22</v>
      </c>
      <c r="Y294" s="31">
        <v>0</v>
      </c>
      <c r="Z294" s="31">
        <v>0</v>
      </c>
      <c r="AA294" s="31" t="s">
        <v>185</v>
      </c>
      <c r="AB294" s="31" t="s">
        <v>220</v>
      </c>
      <c r="AC294" s="41">
        <f>IFERROR(LOOKUP(M294,打分卡!$F$7:$J$7,打分卡!$K$7:$O$7),1)</f>
        <v>3</v>
      </c>
      <c r="AD294" s="41">
        <f>IFERROR(LOOKUP(S294,打分卡!$F$8:$J$8,打分卡!$K$8:$O$8),1)</f>
        <v>1</v>
      </c>
      <c r="AE294" s="41">
        <f>IFERROR(LOOKUP(T294,打分卡!$F$9:$I$9,打分卡!$K$9:$N$9),1)</f>
        <v>1</v>
      </c>
      <c r="AF294" s="41">
        <f>IFERROR(LOOKUP(Q294,打分卡!$F$10:$J$10,打分卡!$K$10:$O$10),1)</f>
        <v>3</v>
      </c>
      <c r="AG294" s="41">
        <f>IFERROR(LOOKUP(R294,打分卡!$F$11:$J$11,打分卡!$K$11:$O$11),1)</f>
        <v>1</v>
      </c>
      <c r="AH294" s="41">
        <f>IFERROR(LOOKUP(U294,打分卡!$F$12:$J$12,打分卡!$K$12:$O$12),1)</f>
        <v>4</v>
      </c>
      <c r="AI294" s="41">
        <f>IFERROR(LOOKUP(X294,打分卡!$F$13:$J$13,打分卡!$K$13:$O$13),1)</f>
        <v>2</v>
      </c>
      <c r="AJ294" s="41">
        <f>IFERROR(LOOKUP(Y294,打分卡!$F$14:$J$14,打分卡!$K$14:$O$14),1)</f>
        <v>1</v>
      </c>
      <c r="AK294" s="41">
        <f>IFERROR(LOOKUP(W294,打分卡!$F$15:$J$15,打分卡!$K$15:$O$15),1)</f>
        <v>2</v>
      </c>
      <c r="AL294" s="43">
        <f t="shared" si="33"/>
        <v>3</v>
      </c>
      <c r="AM294" s="41">
        <f>IFERROR(LOOKUP(Z294,打分卡!$F$17:$H$17,打分卡!$K$17:$M$17),1)</f>
        <v>1</v>
      </c>
      <c r="AN294" s="44">
        <f>(打分卡!$D$7*AC294+打分卡!$D$8*AD294+打分卡!$D$9*AE294)/5</f>
        <v>18</v>
      </c>
      <c r="AO294" s="44">
        <f>(打分卡!$D$10*AF294+打分卡!$D$11*AG294)/5</f>
        <v>8</v>
      </c>
      <c r="AP294" s="44">
        <f>(打分卡!$D$12*AH294+打分卡!$D$13*AI294+打分卡!$D$14*AJ294+打分卡!$D$15*AK294)/5</f>
        <v>15.6</v>
      </c>
      <c r="AQ294" s="44">
        <f>(打分卡!$D$16*AL294+打分卡!$D$17*AM294)/5</f>
        <v>4.4</v>
      </c>
      <c r="AR294" s="47">
        <f t="shared" si="34"/>
        <v>46</v>
      </c>
      <c r="AS294" s="43" t="str">
        <f t="shared" si="35"/>
        <v>腰部</v>
      </c>
      <c r="AT294" s="43" t="str">
        <f t="shared" si="36"/>
        <v/>
      </c>
      <c r="AU294" s="43" t="str">
        <f t="shared" si="37"/>
        <v>拉·主攻：主推AI外呼+大促作战包</v>
      </c>
    </row>
    <row r="295" ht="15" customHeight="1" spans="1:47">
      <c r="A295" s="20" t="s">
        <v>1038</v>
      </c>
      <c r="B295" s="22" t="s">
        <v>1039</v>
      </c>
      <c r="C295" s="22" t="s">
        <v>189</v>
      </c>
      <c r="D295" s="22" t="s">
        <v>202</v>
      </c>
      <c r="E295" s="22" t="s">
        <v>181</v>
      </c>
      <c r="F295" s="20" t="s">
        <v>1040</v>
      </c>
      <c r="G295" s="22">
        <v>23</v>
      </c>
      <c r="H295" s="22" t="s">
        <v>301</v>
      </c>
      <c r="I295" s="22" t="s">
        <v>184</v>
      </c>
      <c r="J295" s="36">
        <v>56800</v>
      </c>
      <c r="K295" s="36">
        <v>40200</v>
      </c>
      <c r="L295" s="36">
        <v>13000</v>
      </c>
      <c r="M295" s="36">
        <f t="shared" si="32"/>
        <v>110000</v>
      </c>
      <c r="N295" s="34">
        <f t="shared" si="38"/>
        <v>0.000576690384369384</v>
      </c>
      <c r="O295" s="35">
        <f>SUM($M$2:M295)</f>
        <v>162692500</v>
      </c>
      <c r="P295" s="34">
        <f t="shared" si="39"/>
        <v>0.852938185081963</v>
      </c>
      <c r="Q295" s="39">
        <v>14</v>
      </c>
      <c r="R295" s="22">
        <v>6</v>
      </c>
      <c r="S295" s="22">
        <v>3</v>
      </c>
      <c r="T295" s="22">
        <v>1</v>
      </c>
      <c r="U295" s="39">
        <v>9.5</v>
      </c>
      <c r="V295" s="22">
        <v>15</v>
      </c>
      <c r="W295" s="22">
        <v>2</v>
      </c>
      <c r="X295" s="40">
        <v>20</v>
      </c>
      <c r="Y295" s="22">
        <v>1</v>
      </c>
      <c r="Z295" s="22">
        <v>1</v>
      </c>
      <c r="AA295" s="22" t="s">
        <v>185</v>
      </c>
      <c r="AB295" s="22" t="s">
        <v>220</v>
      </c>
      <c r="AC295" s="42">
        <f>IFERROR(LOOKUP(M295,打分卡!$F$7:$J$7,打分卡!$K$7:$O$7),1)</f>
        <v>3</v>
      </c>
      <c r="AD295" s="42">
        <f>IFERROR(LOOKUP(S295,打分卡!$F$8:$J$8,打分卡!$K$8:$O$8),1)</f>
        <v>3</v>
      </c>
      <c r="AE295" s="42">
        <f>IFERROR(LOOKUP(T295,打分卡!$F$9:$I$9,打分卡!$K$9:$N$9),1)</f>
        <v>2</v>
      </c>
      <c r="AF295" s="42">
        <f>IFERROR(LOOKUP(Q295,打分卡!$F$10:$J$10,打分卡!$K$10:$O$10),1)</f>
        <v>3</v>
      </c>
      <c r="AG295" s="42">
        <f>IFERROR(LOOKUP(R295,打分卡!$F$11:$J$11,打分卡!$K$11:$O$11),1)</f>
        <v>3</v>
      </c>
      <c r="AH295" s="42">
        <f>IFERROR(LOOKUP(U295,打分卡!$F$12:$J$12,打分卡!$K$12:$O$12),1)</f>
        <v>2</v>
      </c>
      <c r="AI295" s="42">
        <f>IFERROR(LOOKUP(X295,打分卡!$F$13:$J$13,打分卡!$K$13:$O$13),1)</f>
        <v>2</v>
      </c>
      <c r="AJ295" s="42">
        <f>IFERROR(LOOKUP(Y295,打分卡!$F$14:$J$14,打分卡!$K$14:$O$14),1)</f>
        <v>2</v>
      </c>
      <c r="AK295" s="42">
        <f>IFERROR(LOOKUP(W295,打分卡!$F$15:$J$15,打分卡!$K$15:$O$15),1)</f>
        <v>2</v>
      </c>
      <c r="AL295" s="45">
        <f t="shared" si="33"/>
        <v>3</v>
      </c>
      <c r="AM295" s="42">
        <f>IFERROR(LOOKUP(Z295,打分卡!$F$17:$H$17,打分卡!$K$17:$M$17),1)</f>
        <v>3</v>
      </c>
      <c r="AN295" s="46">
        <f>(打分卡!$D$7*AC295+打分卡!$D$8*AD295+打分卡!$D$9*AE295)/5</f>
        <v>22.6</v>
      </c>
      <c r="AO295" s="46">
        <f>(打分卡!$D$10*AF295+打分卡!$D$11*AG295)/5</f>
        <v>12</v>
      </c>
      <c r="AP295" s="46">
        <f>(打分卡!$D$12*AH295+打分卡!$D$13*AI295+打分卡!$D$14*AJ295+打分卡!$D$15*AK295)/5</f>
        <v>12</v>
      </c>
      <c r="AQ295" s="46">
        <f>(打分卡!$D$16*AL295+打分卡!$D$17*AM295)/5</f>
        <v>6</v>
      </c>
      <c r="AR295" s="48">
        <f t="shared" si="34"/>
        <v>52.6</v>
      </c>
      <c r="AS295" s="45" t="str">
        <f t="shared" si="35"/>
        <v>腰部</v>
      </c>
      <c r="AT295" s="45" t="str">
        <f t="shared" si="36"/>
        <v/>
      </c>
      <c r="AU295" s="45" t="str">
        <f t="shared" si="37"/>
        <v>拉·主攻：主推AI外呼+大促作战包</v>
      </c>
    </row>
    <row r="296" ht="15" customHeight="1" spans="1:47">
      <c r="A296" s="30" t="s">
        <v>1041</v>
      </c>
      <c r="B296" s="31" t="s">
        <v>1042</v>
      </c>
      <c r="C296" s="31" t="s">
        <v>218</v>
      </c>
      <c r="D296" s="31" t="s">
        <v>180</v>
      </c>
      <c r="E296" s="31" t="s">
        <v>197</v>
      </c>
      <c r="F296" s="30" t="s">
        <v>1043</v>
      </c>
      <c r="G296" s="31">
        <v>23</v>
      </c>
      <c r="H296" s="31" t="s">
        <v>183</v>
      </c>
      <c r="I296" s="31" t="s">
        <v>302</v>
      </c>
      <c r="J296" s="33">
        <v>55100</v>
      </c>
      <c r="K296" s="33">
        <v>37200</v>
      </c>
      <c r="L296" s="33">
        <v>17700</v>
      </c>
      <c r="M296" s="33">
        <f t="shared" si="32"/>
        <v>110000</v>
      </c>
      <c r="N296" s="34">
        <f t="shared" si="38"/>
        <v>0.000576690384369384</v>
      </c>
      <c r="O296" s="35">
        <f>SUM($M$2:M296)</f>
        <v>162802500</v>
      </c>
      <c r="P296" s="34">
        <f t="shared" si="39"/>
        <v>0.853514875466333</v>
      </c>
      <c r="Q296" s="37">
        <v>12.3</v>
      </c>
      <c r="R296" s="31">
        <v>1</v>
      </c>
      <c r="S296" s="31">
        <v>2</v>
      </c>
      <c r="T296" s="31">
        <v>1</v>
      </c>
      <c r="U296" s="37">
        <v>2.2</v>
      </c>
      <c r="V296" s="31">
        <v>23</v>
      </c>
      <c r="W296" s="31">
        <v>1</v>
      </c>
      <c r="X296" s="38">
        <v>20</v>
      </c>
      <c r="Y296" s="31">
        <v>1</v>
      </c>
      <c r="Z296" s="31">
        <v>1</v>
      </c>
      <c r="AA296" s="31" t="s">
        <v>315</v>
      </c>
      <c r="AB296" s="31" t="s">
        <v>220</v>
      </c>
      <c r="AC296" s="41">
        <f>IFERROR(LOOKUP(M296,打分卡!$F$7:$J$7,打分卡!$K$7:$O$7),1)</f>
        <v>3</v>
      </c>
      <c r="AD296" s="41">
        <f>IFERROR(LOOKUP(S296,打分卡!$F$8:$J$8,打分卡!$K$8:$O$8),1)</f>
        <v>2</v>
      </c>
      <c r="AE296" s="41">
        <f>IFERROR(LOOKUP(T296,打分卡!$F$9:$I$9,打分卡!$K$9:$N$9),1)</f>
        <v>2</v>
      </c>
      <c r="AF296" s="41">
        <f>IFERROR(LOOKUP(Q296,打分卡!$F$10:$J$10,打分卡!$K$10:$O$10),1)</f>
        <v>3</v>
      </c>
      <c r="AG296" s="41">
        <f>IFERROR(LOOKUP(R296,打分卡!$F$11:$J$11,打分卡!$K$11:$O$11),1)</f>
        <v>1</v>
      </c>
      <c r="AH296" s="41">
        <f>IFERROR(LOOKUP(U296,打分卡!$F$12:$J$12,打分卡!$K$12:$O$12),1)</f>
        <v>1</v>
      </c>
      <c r="AI296" s="41">
        <f>IFERROR(LOOKUP(X296,打分卡!$F$13:$J$13,打分卡!$K$13:$O$13),1)</f>
        <v>2</v>
      </c>
      <c r="AJ296" s="41">
        <f>IFERROR(LOOKUP(Y296,打分卡!$F$14:$J$14,打分卡!$K$14:$O$14),1)</f>
        <v>2</v>
      </c>
      <c r="AK296" s="41">
        <f>IFERROR(LOOKUP(W296,打分卡!$F$15:$J$15,打分卡!$K$15:$O$15),1)</f>
        <v>2</v>
      </c>
      <c r="AL296" s="43">
        <f t="shared" si="33"/>
        <v>2</v>
      </c>
      <c r="AM296" s="41">
        <f>IFERROR(LOOKUP(Z296,打分卡!$F$17:$H$17,打分卡!$K$17:$M$17),1)</f>
        <v>3</v>
      </c>
      <c r="AN296" s="44">
        <f>(打分卡!$D$7*AC296+打分卡!$D$8*AD296+打分卡!$D$9*AE296)/5</f>
        <v>21</v>
      </c>
      <c r="AO296" s="44">
        <f>(打分卡!$D$10*AF296+打分卡!$D$11*AG296)/5</f>
        <v>8</v>
      </c>
      <c r="AP296" s="44">
        <f>(打分卡!$D$12*AH296+打分卡!$D$13*AI296+打分卡!$D$14*AJ296+打分卡!$D$15*AK296)/5</f>
        <v>9.6</v>
      </c>
      <c r="AQ296" s="44">
        <f>(打分卡!$D$16*AL296+打分卡!$D$17*AM296)/5</f>
        <v>4.8</v>
      </c>
      <c r="AR296" s="47">
        <f t="shared" si="34"/>
        <v>43.4</v>
      </c>
      <c r="AS296" s="43" t="str">
        <f t="shared" si="35"/>
        <v>腰部</v>
      </c>
      <c r="AT296" s="43" t="str">
        <f t="shared" si="36"/>
        <v/>
      </c>
      <c r="AU296" s="43" t="str">
        <f t="shared" si="37"/>
        <v>拉·主攻：主推AI外呼+大促作战包</v>
      </c>
    </row>
    <row r="297" ht="15" customHeight="1" spans="1:47">
      <c r="A297" s="20" t="s">
        <v>1044</v>
      </c>
      <c r="B297" s="22" t="s">
        <v>1045</v>
      </c>
      <c r="C297" s="22" t="s">
        <v>239</v>
      </c>
      <c r="D297" s="22" t="s">
        <v>190</v>
      </c>
      <c r="E297" s="22" t="s">
        <v>181</v>
      </c>
      <c r="F297" s="20" t="s">
        <v>1046</v>
      </c>
      <c r="G297" s="22">
        <v>23</v>
      </c>
      <c r="H297" s="22" t="s">
        <v>301</v>
      </c>
      <c r="I297" s="22" t="s">
        <v>302</v>
      </c>
      <c r="J297" s="36">
        <v>60700</v>
      </c>
      <c r="K297" s="36">
        <v>33500</v>
      </c>
      <c r="L297" s="36">
        <v>15200</v>
      </c>
      <c r="M297" s="36">
        <f t="shared" si="32"/>
        <v>109400</v>
      </c>
      <c r="N297" s="34">
        <f t="shared" si="38"/>
        <v>0.000573544800454642</v>
      </c>
      <c r="O297" s="35">
        <f>SUM($M$2:M297)</f>
        <v>162911900</v>
      </c>
      <c r="P297" s="34">
        <f t="shared" si="39"/>
        <v>0.854088420266787</v>
      </c>
      <c r="Q297" s="39">
        <v>16.3</v>
      </c>
      <c r="R297" s="22">
        <v>7</v>
      </c>
      <c r="S297" s="22">
        <v>1</v>
      </c>
      <c r="T297" s="22">
        <v>0</v>
      </c>
      <c r="U297" s="39">
        <v>47.5</v>
      </c>
      <c r="V297" s="22">
        <v>9</v>
      </c>
      <c r="W297" s="22">
        <v>0</v>
      </c>
      <c r="X297" s="40">
        <v>14</v>
      </c>
      <c r="Y297" s="22">
        <v>0</v>
      </c>
      <c r="Z297" s="22">
        <v>0</v>
      </c>
      <c r="AA297" s="22" t="s">
        <v>185</v>
      </c>
      <c r="AB297" s="22" t="s">
        <v>220</v>
      </c>
      <c r="AC297" s="42">
        <f>IFERROR(LOOKUP(M297,打分卡!$F$7:$J$7,打分卡!$K$7:$O$7),1)</f>
        <v>3</v>
      </c>
      <c r="AD297" s="42">
        <f>IFERROR(LOOKUP(S297,打分卡!$F$8:$J$8,打分卡!$K$8:$O$8),1)</f>
        <v>1</v>
      </c>
      <c r="AE297" s="42">
        <f>IFERROR(LOOKUP(T297,打分卡!$F$9:$I$9,打分卡!$K$9:$N$9),1)</f>
        <v>1</v>
      </c>
      <c r="AF297" s="42">
        <f>IFERROR(LOOKUP(Q297,打分卡!$F$10:$J$10,打分卡!$K$10:$O$10),1)</f>
        <v>3</v>
      </c>
      <c r="AG297" s="42">
        <f>IFERROR(LOOKUP(R297,打分卡!$F$11:$J$11,打分卡!$K$11:$O$11),1)</f>
        <v>3</v>
      </c>
      <c r="AH297" s="42">
        <f>IFERROR(LOOKUP(U297,打分卡!$F$12:$J$12,打分卡!$K$12:$O$12),1)</f>
        <v>4</v>
      </c>
      <c r="AI297" s="42">
        <f>IFERROR(LOOKUP(X297,打分卡!$F$13:$J$13,打分卡!$K$13:$O$13),1)</f>
        <v>1</v>
      </c>
      <c r="AJ297" s="42">
        <f>IFERROR(LOOKUP(Y297,打分卡!$F$14:$J$14,打分卡!$K$14:$O$14),1)</f>
        <v>1</v>
      </c>
      <c r="AK297" s="42">
        <f>IFERROR(LOOKUP(W297,打分卡!$F$15:$J$15,打分卡!$K$15:$O$15),1)</f>
        <v>1</v>
      </c>
      <c r="AL297" s="45">
        <f t="shared" si="33"/>
        <v>3</v>
      </c>
      <c r="AM297" s="42">
        <f>IFERROR(LOOKUP(Z297,打分卡!$F$17:$H$17,打分卡!$K$17:$M$17),1)</f>
        <v>1</v>
      </c>
      <c r="AN297" s="46">
        <f>(打分卡!$D$7*AC297+打分卡!$D$8*AD297+打分卡!$D$9*AE297)/5</f>
        <v>18</v>
      </c>
      <c r="AO297" s="46">
        <f>(打分卡!$D$10*AF297+打分卡!$D$11*AG297)/5</f>
        <v>12</v>
      </c>
      <c r="AP297" s="46">
        <f>(打分卡!$D$12*AH297+打分卡!$D$13*AI297+打分卡!$D$14*AJ297+打分卡!$D$15*AK297)/5</f>
        <v>13.2</v>
      </c>
      <c r="AQ297" s="46">
        <f>(打分卡!$D$16*AL297+打分卡!$D$17*AM297)/5</f>
        <v>4.4</v>
      </c>
      <c r="AR297" s="48">
        <f t="shared" si="34"/>
        <v>47.6</v>
      </c>
      <c r="AS297" s="45" t="str">
        <f t="shared" si="35"/>
        <v>腰部</v>
      </c>
      <c r="AT297" s="45" t="str">
        <f t="shared" si="36"/>
        <v/>
      </c>
      <c r="AU297" s="45" t="str">
        <f t="shared" si="37"/>
        <v>拉·主攻：主推AI外呼+大促作战包</v>
      </c>
    </row>
    <row r="298" ht="15" customHeight="1" spans="1:47">
      <c r="A298" s="30" t="s">
        <v>1047</v>
      </c>
      <c r="B298" s="31" t="s">
        <v>1048</v>
      </c>
      <c r="C298" s="31" t="s">
        <v>179</v>
      </c>
      <c r="D298" s="31" t="s">
        <v>196</v>
      </c>
      <c r="E298" s="31" t="s">
        <v>181</v>
      </c>
      <c r="F298" s="30" t="s">
        <v>1049</v>
      </c>
      <c r="G298" s="31">
        <v>14</v>
      </c>
      <c r="H298" s="31" t="s">
        <v>301</v>
      </c>
      <c r="I298" s="31" t="s">
        <v>184</v>
      </c>
      <c r="J298" s="33">
        <v>52600</v>
      </c>
      <c r="K298" s="33">
        <v>39400</v>
      </c>
      <c r="L298" s="33">
        <v>17100</v>
      </c>
      <c r="M298" s="33">
        <f t="shared" si="32"/>
        <v>109100</v>
      </c>
      <c r="N298" s="34">
        <f t="shared" si="38"/>
        <v>0.000571972008497271</v>
      </c>
      <c r="O298" s="35">
        <f>SUM($M$2:M298)</f>
        <v>163021000</v>
      </c>
      <c r="P298" s="34">
        <f t="shared" si="39"/>
        <v>0.854660392275285</v>
      </c>
      <c r="Q298" s="37">
        <v>9</v>
      </c>
      <c r="R298" s="31">
        <v>6</v>
      </c>
      <c r="S298" s="31">
        <v>1</v>
      </c>
      <c r="T298" s="31">
        <v>2</v>
      </c>
      <c r="U298" s="37">
        <v>5.8</v>
      </c>
      <c r="V298" s="31">
        <v>10</v>
      </c>
      <c r="W298" s="31">
        <v>2</v>
      </c>
      <c r="X298" s="38">
        <v>133</v>
      </c>
      <c r="Y298" s="31">
        <v>2</v>
      </c>
      <c r="Z298" s="31">
        <v>1</v>
      </c>
      <c r="AA298" s="31" t="s">
        <v>315</v>
      </c>
      <c r="AB298" s="31" t="s">
        <v>220</v>
      </c>
      <c r="AC298" s="41">
        <f>IFERROR(LOOKUP(M298,打分卡!$F$7:$J$7,打分卡!$K$7:$O$7),1)</f>
        <v>3</v>
      </c>
      <c r="AD298" s="41">
        <f>IFERROR(LOOKUP(S298,打分卡!$F$8:$J$8,打分卡!$K$8:$O$8),1)</f>
        <v>1</v>
      </c>
      <c r="AE298" s="41">
        <f>IFERROR(LOOKUP(T298,打分卡!$F$9:$I$9,打分卡!$K$9:$N$9),1)</f>
        <v>3</v>
      </c>
      <c r="AF298" s="41">
        <f>IFERROR(LOOKUP(Q298,打分卡!$F$10:$J$10,打分卡!$K$10:$O$10),1)</f>
        <v>2</v>
      </c>
      <c r="AG298" s="41">
        <f>IFERROR(LOOKUP(R298,打分卡!$F$11:$J$11,打分卡!$K$11:$O$11),1)</f>
        <v>3</v>
      </c>
      <c r="AH298" s="41">
        <f>IFERROR(LOOKUP(U298,打分卡!$F$12:$J$12,打分卡!$K$12:$O$12),1)</f>
        <v>2</v>
      </c>
      <c r="AI298" s="41">
        <f>IFERROR(LOOKUP(X298,打分卡!$F$13:$J$13,打分卡!$K$13:$O$13),1)</f>
        <v>4</v>
      </c>
      <c r="AJ298" s="41">
        <f>IFERROR(LOOKUP(Y298,打分卡!$F$14:$J$14,打分卡!$K$14:$O$14),1)</f>
        <v>3</v>
      </c>
      <c r="AK298" s="41">
        <f>IFERROR(LOOKUP(W298,打分卡!$F$15:$J$15,打分卡!$K$15:$O$15),1)</f>
        <v>2</v>
      </c>
      <c r="AL298" s="43">
        <f t="shared" si="33"/>
        <v>2</v>
      </c>
      <c r="AM298" s="41">
        <f>IFERROR(LOOKUP(Z298,打分卡!$F$17:$H$17,打分卡!$K$17:$M$17),1)</f>
        <v>3</v>
      </c>
      <c r="AN298" s="44">
        <f>(打分卡!$D$7*AC298+打分卡!$D$8*AD298+打分卡!$D$9*AE298)/5</f>
        <v>20.8</v>
      </c>
      <c r="AO298" s="44">
        <f>(打分卡!$D$10*AF298+打分卡!$D$11*AG298)/5</f>
        <v>10</v>
      </c>
      <c r="AP298" s="44">
        <f>(打分卡!$D$12*AH298+打分卡!$D$13*AI298+打分卡!$D$14*AJ298+打分卡!$D$15*AK298)/5</f>
        <v>16.4</v>
      </c>
      <c r="AQ298" s="44">
        <f>(打分卡!$D$16*AL298+打分卡!$D$17*AM298)/5</f>
        <v>4.8</v>
      </c>
      <c r="AR298" s="47">
        <f t="shared" si="34"/>
        <v>52</v>
      </c>
      <c r="AS298" s="43" t="str">
        <f t="shared" si="35"/>
        <v>腰部</v>
      </c>
      <c r="AT298" s="43" t="str">
        <f t="shared" si="36"/>
        <v/>
      </c>
      <c r="AU298" s="43" t="str">
        <f t="shared" si="37"/>
        <v>拉·主攻：主推AI外呼+大促作战包</v>
      </c>
    </row>
    <row r="299" ht="15" customHeight="1" spans="1:47">
      <c r="A299" s="20" t="s">
        <v>1050</v>
      </c>
      <c r="B299" s="22" t="s">
        <v>1051</v>
      </c>
      <c r="C299" s="22" t="s">
        <v>189</v>
      </c>
      <c r="D299" s="22" t="s">
        <v>190</v>
      </c>
      <c r="E299" s="22" t="s">
        <v>181</v>
      </c>
      <c r="F299" s="20" t="s">
        <v>852</v>
      </c>
      <c r="G299" s="22">
        <v>16</v>
      </c>
      <c r="H299" s="22" t="s">
        <v>301</v>
      </c>
      <c r="I299" s="22" t="s">
        <v>184</v>
      </c>
      <c r="J299" s="36">
        <v>59000</v>
      </c>
      <c r="K299" s="36">
        <v>30800</v>
      </c>
      <c r="L299" s="36">
        <v>19100</v>
      </c>
      <c r="M299" s="36">
        <f t="shared" si="32"/>
        <v>108900</v>
      </c>
      <c r="N299" s="34">
        <f t="shared" si="38"/>
        <v>0.00057092348052569</v>
      </c>
      <c r="O299" s="35">
        <f>SUM($M$2:M299)</f>
        <v>163129900</v>
      </c>
      <c r="P299" s="34">
        <f t="shared" si="39"/>
        <v>0.85523131575581</v>
      </c>
      <c r="Q299" s="39">
        <v>15.4</v>
      </c>
      <c r="R299" s="22">
        <v>2</v>
      </c>
      <c r="S299" s="22">
        <v>2</v>
      </c>
      <c r="T299" s="22">
        <v>2</v>
      </c>
      <c r="U299" s="39">
        <v>29.3</v>
      </c>
      <c r="V299" s="22">
        <v>16</v>
      </c>
      <c r="W299" s="22">
        <v>0</v>
      </c>
      <c r="X299" s="40">
        <v>19</v>
      </c>
      <c r="Y299" s="22">
        <v>1</v>
      </c>
      <c r="Z299" s="22">
        <v>0</v>
      </c>
      <c r="AA299" s="22" t="s">
        <v>185</v>
      </c>
      <c r="AB299" s="22" t="s">
        <v>220</v>
      </c>
      <c r="AC299" s="42">
        <f>IFERROR(LOOKUP(M299,打分卡!$F$7:$J$7,打分卡!$K$7:$O$7),1)</f>
        <v>3</v>
      </c>
      <c r="AD299" s="42">
        <f>IFERROR(LOOKUP(S299,打分卡!$F$8:$J$8,打分卡!$K$8:$O$8),1)</f>
        <v>2</v>
      </c>
      <c r="AE299" s="42">
        <f>IFERROR(LOOKUP(T299,打分卡!$F$9:$I$9,打分卡!$K$9:$N$9),1)</f>
        <v>3</v>
      </c>
      <c r="AF299" s="42">
        <f>IFERROR(LOOKUP(Q299,打分卡!$F$10:$J$10,打分卡!$K$10:$O$10),1)</f>
        <v>3</v>
      </c>
      <c r="AG299" s="42">
        <f>IFERROR(LOOKUP(R299,打分卡!$F$11:$J$11,打分卡!$K$11:$O$11),1)</f>
        <v>1</v>
      </c>
      <c r="AH299" s="42">
        <f>IFERROR(LOOKUP(U299,打分卡!$F$12:$J$12,打分卡!$K$12:$O$12),1)</f>
        <v>3</v>
      </c>
      <c r="AI299" s="42">
        <f>IFERROR(LOOKUP(X299,打分卡!$F$13:$J$13,打分卡!$K$13:$O$13),1)</f>
        <v>2</v>
      </c>
      <c r="AJ299" s="42">
        <f>IFERROR(LOOKUP(Y299,打分卡!$F$14:$J$14,打分卡!$K$14:$O$14),1)</f>
        <v>2</v>
      </c>
      <c r="AK299" s="42">
        <f>IFERROR(LOOKUP(W299,打分卡!$F$15:$J$15,打分卡!$K$15:$O$15),1)</f>
        <v>1</v>
      </c>
      <c r="AL299" s="45">
        <f t="shared" si="33"/>
        <v>3</v>
      </c>
      <c r="AM299" s="42">
        <f>IFERROR(LOOKUP(Z299,打分卡!$F$17:$H$17,打分卡!$K$17:$M$17),1)</f>
        <v>1</v>
      </c>
      <c r="AN299" s="46">
        <f>(打分卡!$D$7*AC299+打分卡!$D$8*AD299+打分卡!$D$9*AE299)/5</f>
        <v>22.4</v>
      </c>
      <c r="AO299" s="46">
        <f>(打分卡!$D$10*AF299+打分卡!$D$11*AG299)/5</f>
        <v>8</v>
      </c>
      <c r="AP299" s="46">
        <f>(打分卡!$D$12*AH299+打分卡!$D$13*AI299+打分卡!$D$14*AJ299+打分卡!$D$15*AK299)/5</f>
        <v>13.6</v>
      </c>
      <c r="AQ299" s="46">
        <f>(打分卡!$D$16*AL299+打分卡!$D$17*AM299)/5</f>
        <v>4.4</v>
      </c>
      <c r="AR299" s="48">
        <f t="shared" si="34"/>
        <v>48.4</v>
      </c>
      <c r="AS299" s="45" t="str">
        <f t="shared" si="35"/>
        <v>腰部</v>
      </c>
      <c r="AT299" s="45" t="str">
        <f t="shared" si="36"/>
        <v/>
      </c>
      <c r="AU299" s="45" t="str">
        <f t="shared" si="37"/>
        <v>拉·主攻：主推AI外呼+大促作战包</v>
      </c>
    </row>
    <row r="300" ht="15" customHeight="1" spans="1:47">
      <c r="A300" s="30" t="s">
        <v>1052</v>
      </c>
      <c r="B300" s="31" t="s">
        <v>1053</v>
      </c>
      <c r="C300" s="31" t="s">
        <v>189</v>
      </c>
      <c r="D300" s="31" t="s">
        <v>196</v>
      </c>
      <c r="E300" s="31" t="s">
        <v>181</v>
      </c>
      <c r="F300" s="30" t="s">
        <v>914</v>
      </c>
      <c r="G300" s="31">
        <v>10</v>
      </c>
      <c r="H300" s="31" t="s">
        <v>301</v>
      </c>
      <c r="I300" s="31" t="s">
        <v>302</v>
      </c>
      <c r="J300" s="33">
        <v>65100</v>
      </c>
      <c r="K300" s="33">
        <v>26000</v>
      </c>
      <c r="L300" s="33">
        <v>17500</v>
      </c>
      <c r="M300" s="33">
        <f t="shared" si="32"/>
        <v>108600</v>
      </c>
      <c r="N300" s="34">
        <f t="shared" si="38"/>
        <v>0.000569350688568319</v>
      </c>
      <c r="O300" s="35">
        <f>SUM($M$2:M300)</f>
        <v>163238500</v>
      </c>
      <c r="P300" s="34">
        <f t="shared" si="39"/>
        <v>0.855800666444379</v>
      </c>
      <c r="Q300" s="37">
        <v>17.1</v>
      </c>
      <c r="R300" s="31">
        <v>7</v>
      </c>
      <c r="S300" s="31">
        <v>1</v>
      </c>
      <c r="T300" s="31">
        <v>0</v>
      </c>
      <c r="U300" s="37">
        <v>2.2</v>
      </c>
      <c r="V300" s="31">
        <v>10</v>
      </c>
      <c r="W300" s="31">
        <v>3</v>
      </c>
      <c r="X300" s="38">
        <v>26</v>
      </c>
      <c r="Y300" s="31">
        <v>3</v>
      </c>
      <c r="Z300" s="31">
        <v>1</v>
      </c>
      <c r="AA300" s="31" t="s">
        <v>185</v>
      </c>
      <c r="AB300" s="31" t="s">
        <v>220</v>
      </c>
      <c r="AC300" s="41">
        <f>IFERROR(LOOKUP(M300,打分卡!$F$7:$J$7,打分卡!$K$7:$O$7),1)</f>
        <v>3</v>
      </c>
      <c r="AD300" s="41">
        <f>IFERROR(LOOKUP(S300,打分卡!$F$8:$J$8,打分卡!$K$8:$O$8),1)</f>
        <v>1</v>
      </c>
      <c r="AE300" s="41">
        <f>IFERROR(LOOKUP(T300,打分卡!$F$9:$I$9,打分卡!$K$9:$N$9),1)</f>
        <v>1</v>
      </c>
      <c r="AF300" s="41">
        <f>IFERROR(LOOKUP(Q300,打分卡!$F$10:$J$10,打分卡!$K$10:$O$10),1)</f>
        <v>3</v>
      </c>
      <c r="AG300" s="41">
        <f>IFERROR(LOOKUP(R300,打分卡!$F$11:$J$11,打分卡!$K$11:$O$11),1)</f>
        <v>3</v>
      </c>
      <c r="AH300" s="41">
        <f>IFERROR(LOOKUP(U300,打分卡!$F$12:$J$12,打分卡!$K$12:$O$12),1)</f>
        <v>1</v>
      </c>
      <c r="AI300" s="41">
        <f>IFERROR(LOOKUP(X300,打分卡!$F$13:$J$13,打分卡!$K$13:$O$13),1)</f>
        <v>2</v>
      </c>
      <c r="AJ300" s="41">
        <f>IFERROR(LOOKUP(Y300,打分卡!$F$14:$J$14,打分卡!$K$14:$O$14),1)</f>
        <v>4</v>
      </c>
      <c r="AK300" s="41">
        <f>IFERROR(LOOKUP(W300,打分卡!$F$15:$J$15,打分卡!$K$15:$O$15),1)</f>
        <v>3</v>
      </c>
      <c r="AL300" s="43">
        <f t="shared" si="33"/>
        <v>3</v>
      </c>
      <c r="AM300" s="41">
        <f>IFERROR(LOOKUP(Z300,打分卡!$F$17:$H$17,打分卡!$K$17:$M$17),1)</f>
        <v>3</v>
      </c>
      <c r="AN300" s="44">
        <f>(打分卡!$D$7*AC300+打分卡!$D$8*AD300+打分卡!$D$9*AE300)/5</f>
        <v>18</v>
      </c>
      <c r="AO300" s="44">
        <f>(打分卡!$D$10*AF300+打分卡!$D$11*AG300)/5</f>
        <v>12</v>
      </c>
      <c r="AP300" s="44">
        <f>(打分卡!$D$12*AH300+打分卡!$D$13*AI300+打分卡!$D$14*AJ300+打分卡!$D$15*AK300)/5</f>
        <v>12.8</v>
      </c>
      <c r="AQ300" s="44">
        <f>(打分卡!$D$16*AL300+打分卡!$D$17*AM300)/5</f>
        <v>6</v>
      </c>
      <c r="AR300" s="47">
        <f t="shared" si="34"/>
        <v>48.8</v>
      </c>
      <c r="AS300" s="43" t="str">
        <f t="shared" si="35"/>
        <v>腰部</v>
      </c>
      <c r="AT300" s="43" t="str">
        <f t="shared" si="36"/>
        <v/>
      </c>
      <c r="AU300" s="43" t="str">
        <f t="shared" si="37"/>
        <v>拉·主攻：主推AI外呼+大促作战包</v>
      </c>
    </row>
    <row r="301" ht="15" customHeight="1" spans="1:47">
      <c r="A301" s="20" t="s">
        <v>1054</v>
      </c>
      <c r="B301" s="22" t="s">
        <v>1055</v>
      </c>
      <c r="C301" s="22" t="s">
        <v>189</v>
      </c>
      <c r="D301" s="22" t="s">
        <v>190</v>
      </c>
      <c r="E301" s="22" t="s">
        <v>181</v>
      </c>
      <c r="F301" s="20" t="s">
        <v>1056</v>
      </c>
      <c r="G301" s="22">
        <v>10</v>
      </c>
      <c r="H301" s="22" t="s">
        <v>301</v>
      </c>
      <c r="I301" s="22" t="s">
        <v>302</v>
      </c>
      <c r="J301" s="36">
        <v>70400</v>
      </c>
      <c r="K301" s="36">
        <v>32700</v>
      </c>
      <c r="L301" s="36">
        <v>5400</v>
      </c>
      <c r="M301" s="36">
        <f t="shared" si="32"/>
        <v>108500</v>
      </c>
      <c r="N301" s="34">
        <f t="shared" si="38"/>
        <v>0.000568826424582529</v>
      </c>
      <c r="O301" s="35">
        <f>SUM($M$2:M301)</f>
        <v>163347000</v>
      </c>
      <c r="P301" s="34">
        <f t="shared" si="39"/>
        <v>0.856369492868961</v>
      </c>
      <c r="Q301" s="39">
        <v>14.1</v>
      </c>
      <c r="R301" s="22">
        <v>8</v>
      </c>
      <c r="S301" s="22">
        <v>2</v>
      </c>
      <c r="T301" s="22">
        <v>0</v>
      </c>
      <c r="U301" s="39">
        <v>4.4</v>
      </c>
      <c r="V301" s="22">
        <v>27</v>
      </c>
      <c r="W301" s="22">
        <v>1</v>
      </c>
      <c r="X301" s="40">
        <v>66</v>
      </c>
      <c r="Y301" s="22">
        <v>0</v>
      </c>
      <c r="Z301" s="22">
        <v>1</v>
      </c>
      <c r="AA301" s="22" t="s">
        <v>185</v>
      </c>
      <c r="AB301" s="22" t="s">
        <v>220</v>
      </c>
      <c r="AC301" s="42">
        <f>IFERROR(LOOKUP(M301,打分卡!$F$7:$J$7,打分卡!$K$7:$O$7),1)</f>
        <v>3</v>
      </c>
      <c r="AD301" s="42">
        <f>IFERROR(LOOKUP(S301,打分卡!$F$8:$J$8,打分卡!$K$8:$O$8),1)</f>
        <v>2</v>
      </c>
      <c r="AE301" s="42">
        <f>IFERROR(LOOKUP(T301,打分卡!$F$9:$I$9,打分卡!$K$9:$N$9),1)</f>
        <v>1</v>
      </c>
      <c r="AF301" s="42">
        <f>IFERROR(LOOKUP(Q301,打分卡!$F$10:$J$10,打分卡!$K$10:$O$10),1)</f>
        <v>3</v>
      </c>
      <c r="AG301" s="42">
        <f>IFERROR(LOOKUP(R301,打分卡!$F$11:$J$11,打分卡!$K$11:$O$11),1)</f>
        <v>3</v>
      </c>
      <c r="AH301" s="42">
        <f>IFERROR(LOOKUP(U301,打分卡!$F$12:$J$12,打分卡!$K$12:$O$12),1)</f>
        <v>2</v>
      </c>
      <c r="AI301" s="42">
        <f>IFERROR(LOOKUP(X301,打分卡!$F$13:$J$13,打分卡!$K$13:$O$13),1)</f>
        <v>3</v>
      </c>
      <c r="AJ301" s="42">
        <f>IFERROR(LOOKUP(Y301,打分卡!$F$14:$J$14,打分卡!$K$14:$O$14),1)</f>
        <v>1</v>
      </c>
      <c r="AK301" s="42">
        <f>IFERROR(LOOKUP(W301,打分卡!$F$15:$J$15,打分卡!$K$15:$O$15),1)</f>
        <v>2</v>
      </c>
      <c r="AL301" s="45">
        <f t="shared" si="33"/>
        <v>3</v>
      </c>
      <c r="AM301" s="42">
        <f>IFERROR(LOOKUP(Z301,打分卡!$F$17:$H$17,打分卡!$K$17:$M$17),1)</f>
        <v>3</v>
      </c>
      <c r="AN301" s="46">
        <f>(打分卡!$D$7*AC301+打分卡!$D$8*AD301+打分卡!$D$9*AE301)/5</f>
        <v>19.6</v>
      </c>
      <c r="AO301" s="46">
        <f>(打分卡!$D$10*AF301+打分卡!$D$11*AG301)/5</f>
        <v>12</v>
      </c>
      <c r="AP301" s="46">
        <f>(打分卡!$D$12*AH301+打分卡!$D$13*AI301+打分卡!$D$14*AJ301+打分卡!$D$15*AK301)/5</f>
        <v>12.4</v>
      </c>
      <c r="AQ301" s="46">
        <f>(打分卡!$D$16*AL301+打分卡!$D$17*AM301)/5</f>
        <v>6</v>
      </c>
      <c r="AR301" s="48">
        <f t="shared" si="34"/>
        <v>50</v>
      </c>
      <c r="AS301" s="45" t="str">
        <f t="shared" si="35"/>
        <v>腰部</v>
      </c>
      <c r="AT301" s="45" t="str">
        <f t="shared" si="36"/>
        <v/>
      </c>
      <c r="AU301" s="45" t="str">
        <f t="shared" si="37"/>
        <v>拉·主攻：主推AI外呼+大促作战包</v>
      </c>
    </row>
    <row r="302" ht="15" customHeight="1" spans="1:47">
      <c r="A302" s="30" t="s">
        <v>1057</v>
      </c>
      <c r="B302" s="31" t="s">
        <v>1058</v>
      </c>
      <c r="C302" s="31" t="s">
        <v>223</v>
      </c>
      <c r="D302" s="31" t="s">
        <v>202</v>
      </c>
      <c r="E302" s="31" t="s">
        <v>181</v>
      </c>
      <c r="F302" s="30" t="s">
        <v>687</v>
      </c>
      <c r="G302" s="31">
        <v>23</v>
      </c>
      <c r="H302" s="31" t="s">
        <v>301</v>
      </c>
      <c r="I302" s="31" t="s">
        <v>184</v>
      </c>
      <c r="J302" s="33">
        <v>63500</v>
      </c>
      <c r="K302" s="33">
        <v>28700</v>
      </c>
      <c r="L302" s="33">
        <v>16300</v>
      </c>
      <c r="M302" s="33">
        <f t="shared" si="32"/>
        <v>108500</v>
      </c>
      <c r="N302" s="34">
        <f t="shared" si="38"/>
        <v>0.000568826424582529</v>
      </c>
      <c r="O302" s="35">
        <f>SUM($M$2:M302)</f>
        <v>163455500</v>
      </c>
      <c r="P302" s="34">
        <f t="shared" si="39"/>
        <v>0.856938319293544</v>
      </c>
      <c r="Q302" s="37">
        <v>11.5</v>
      </c>
      <c r="R302" s="31">
        <v>3</v>
      </c>
      <c r="S302" s="31">
        <v>3</v>
      </c>
      <c r="T302" s="31">
        <v>0</v>
      </c>
      <c r="U302" s="37">
        <v>29</v>
      </c>
      <c r="V302" s="31">
        <v>25</v>
      </c>
      <c r="W302" s="31">
        <v>0</v>
      </c>
      <c r="X302" s="38">
        <v>54</v>
      </c>
      <c r="Y302" s="31">
        <v>0</v>
      </c>
      <c r="Z302" s="31">
        <v>1</v>
      </c>
      <c r="AA302" s="31" t="s">
        <v>315</v>
      </c>
      <c r="AB302" s="31" t="s">
        <v>220</v>
      </c>
      <c r="AC302" s="41">
        <f>IFERROR(LOOKUP(M302,打分卡!$F$7:$J$7,打分卡!$K$7:$O$7),1)</f>
        <v>3</v>
      </c>
      <c r="AD302" s="41">
        <f>IFERROR(LOOKUP(S302,打分卡!$F$8:$J$8,打分卡!$K$8:$O$8),1)</f>
        <v>3</v>
      </c>
      <c r="AE302" s="41">
        <f>IFERROR(LOOKUP(T302,打分卡!$F$9:$I$9,打分卡!$K$9:$N$9),1)</f>
        <v>1</v>
      </c>
      <c r="AF302" s="41">
        <f>IFERROR(LOOKUP(Q302,打分卡!$F$10:$J$10,打分卡!$K$10:$O$10),1)</f>
        <v>3</v>
      </c>
      <c r="AG302" s="41">
        <f>IFERROR(LOOKUP(R302,打分卡!$F$11:$J$11,打分卡!$K$11:$O$11),1)</f>
        <v>2</v>
      </c>
      <c r="AH302" s="41">
        <f>IFERROR(LOOKUP(U302,打分卡!$F$12:$J$12,打分卡!$K$12:$O$12),1)</f>
        <v>3</v>
      </c>
      <c r="AI302" s="41">
        <f>IFERROR(LOOKUP(X302,打分卡!$F$13:$J$13,打分卡!$K$13:$O$13),1)</f>
        <v>3</v>
      </c>
      <c r="AJ302" s="41">
        <f>IFERROR(LOOKUP(Y302,打分卡!$F$14:$J$14,打分卡!$K$14:$O$14),1)</f>
        <v>1</v>
      </c>
      <c r="AK302" s="41">
        <f>IFERROR(LOOKUP(W302,打分卡!$F$15:$J$15,打分卡!$K$15:$O$15),1)</f>
        <v>1</v>
      </c>
      <c r="AL302" s="43">
        <f t="shared" si="33"/>
        <v>2</v>
      </c>
      <c r="AM302" s="41">
        <f>IFERROR(LOOKUP(Z302,打分卡!$F$17:$H$17,打分卡!$K$17:$M$17),1)</f>
        <v>3</v>
      </c>
      <c r="AN302" s="44">
        <f>(打分卡!$D$7*AC302+打分卡!$D$8*AD302+打分卡!$D$9*AE302)/5</f>
        <v>21.2</v>
      </c>
      <c r="AO302" s="44">
        <f>(打分卡!$D$10*AF302+打分卡!$D$11*AG302)/5</f>
        <v>10</v>
      </c>
      <c r="AP302" s="44">
        <f>(打分卡!$D$12*AH302+打分卡!$D$13*AI302+打分卡!$D$14*AJ302+打分卡!$D$15*AK302)/5</f>
        <v>14</v>
      </c>
      <c r="AQ302" s="44">
        <f>(打分卡!$D$16*AL302+打分卡!$D$17*AM302)/5</f>
        <v>4.8</v>
      </c>
      <c r="AR302" s="47">
        <f t="shared" si="34"/>
        <v>50</v>
      </c>
      <c r="AS302" s="43" t="str">
        <f t="shared" si="35"/>
        <v>腰部</v>
      </c>
      <c r="AT302" s="43" t="str">
        <f t="shared" si="36"/>
        <v/>
      </c>
      <c r="AU302" s="43" t="str">
        <f t="shared" si="37"/>
        <v>拉·主攻：主推AI外呼+大促作战包</v>
      </c>
    </row>
    <row r="303" ht="15" customHeight="1" spans="1:47">
      <c r="A303" s="20" t="s">
        <v>1059</v>
      </c>
      <c r="B303" s="22" t="s">
        <v>1060</v>
      </c>
      <c r="C303" s="22" t="s">
        <v>218</v>
      </c>
      <c r="D303" s="22" t="s">
        <v>202</v>
      </c>
      <c r="E303" s="22" t="s">
        <v>197</v>
      </c>
      <c r="F303" s="20" t="s">
        <v>1061</v>
      </c>
      <c r="G303" s="22">
        <v>10</v>
      </c>
      <c r="H303" s="22" t="s">
        <v>301</v>
      </c>
      <c r="I303" s="22" t="s">
        <v>184</v>
      </c>
      <c r="J303" s="36">
        <v>59700</v>
      </c>
      <c r="K303" s="36">
        <v>41000</v>
      </c>
      <c r="L303" s="36">
        <v>7300</v>
      </c>
      <c r="M303" s="36">
        <f t="shared" si="32"/>
        <v>108000</v>
      </c>
      <c r="N303" s="34">
        <f t="shared" si="38"/>
        <v>0.000566205104653577</v>
      </c>
      <c r="O303" s="35">
        <f>SUM($M$2:M303)</f>
        <v>163563500</v>
      </c>
      <c r="P303" s="34">
        <f t="shared" si="39"/>
        <v>0.857504524398197</v>
      </c>
      <c r="Q303" s="39">
        <v>14.3</v>
      </c>
      <c r="R303" s="22">
        <v>5</v>
      </c>
      <c r="S303" s="22">
        <v>1</v>
      </c>
      <c r="T303" s="22">
        <v>2</v>
      </c>
      <c r="U303" s="39">
        <v>60.5</v>
      </c>
      <c r="V303" s="22">
        <v>7</v>
      </c>
      <c r="W303" s="22">
        <v>0</v>
      </c>
      <c r="X303" s="40">
        <v>82</v>
      </c>
      <c r="Y303" s="22">
        <v>0</v>
      </c>
      <c r="Z303" s="22">
        <v>0</v>
      </c>
      <c r="AA303" s="22" t="s">
        <v>185</v>
      </c>
      <c r="AB303" s="22" t="s">
        <v>220</v>
      </c>
      <c r="AC303" s="42">
        <f>IFERROR(LOOKUP(M303,打分卡!$F$7:$J$7,打分卡!$K$7:$O$7),1)</f>
        <v>3</v>
      </c>
      <c r="AD303" s="42">
        <f>IFERROR(LOOKUP(S303,打分卡!$F$8:$J$8,打分卡!$K$8:$O$8),1)</f>
        <v>1</v>
      </c>
      <c r="AE303" s="42">
        <f>IFERROR(LOOKUP(T303,打分卡!$F$9:$I$9,打分卡!$K$9:$N$9),1)</f>
        <v>3</v>
      </c>
      <c r="AF303" s="42">
        <f>IFERROR(LOOKUP(Q303,打分卡!$F$10:$J$10,打分卡!$K$10:$O$10),1)</f>
        <v>3</v>
      </c>
      <c r="AG303" s="42">
        <f>IFERROR(LOOKUP(R303,打分卡!$F$11:$J$11,打分卡!$K$11:$O$11),1)</f>
        <v>3</v>
      </c>
      <c r="AH303" s="42">
        <f>IFERROR(LOOKUP(U303,打分卡!$F$12:$J$12,打分卡!$K$12:$O$12),1)</f>
        <v>4</v>
      </c>
      <c r="AI303" s="42">
        <f>IFERROR(LOOKUP(X303,打分卡!$F$13:$J$13,打分卡!$K$13:$O$13),1)</f>
        <v>4</v>
      </c>
      <c r="AJ303" s="42">
        <f>IFERROR(LOOKUP(Y303,打分卡!$F$14:$J$14,打分卡!$K$14:$O$14),1)</f>
        <v>1</v>
      </c>
      <c r="AK303" s="42">
        <f>IFERROR(LOOKUP(W303,打分卡!$F$15:$J$15,打分卡!$K$15:$O$15),1)</f>
        <v>1</v>
      </c>
      <c r="AL303" s="45">
        <f t="shared" si="33"/>
        <v>3</v>
      </c>
      <c r="AM303" s="42">
        <f>IFERROR(LOOKUP(Z303,打分卡!$F$17:$H$17,打分卡!$K$17:$M$17),1)</f>
        <v>1</v>
      </c>
      <c r="AN303" s="46">
        <f>(打分卡!$D$7*AC303+打分卡!$D$8*AD303+打分卡!$D$9*AE303)/5</f>
        <v>20.8</v>
      </c>
      <c r="AO303" s="46">
        <f>(打分卡!$D$10*AF303+打分卡!$D$11*AG303)/5</f>
        <v>12</v>
      </c>
      <c r="AP303" s="46">
        <f>(打分卡!$D$12*AH303+打分卡!$D$13*AI303+打分卡!$D$14*AJ303+打分卡!$D$15*AK303)/5</f>
        <v>18</v>
      </c>
      <c r="AQ303" s="46">
        <f>(打分卡!$D$16*AL303+打分卡!$D$17*AM303)/5</f>
        <v>4.4</v>
      </c>
      <c r="AR303" s="48">
        <f t="shared" si="34"/>
        <v>55.2</v>
      </c>
      <c r="AS303" s="45" t="str">
        <f t="shared" si="35"/>
        <v>腰部</v>
      </c>
      <c r="AT303" s="45" t="str">
        <f t="shared" si="36"/>
        <v/>
      </c>
      <c r="AU303" s="45" t="str">
        <f t="shared" si="37"/>
        <v>拉·主攻：主推AI外呼+大促作战包</v>
      </c>
    </row>
    <row r="304" ht="15" customHeight="1" spans="1:47">
      <c r="A304" s="30" t="s">
        <v>1062</v>
      </c>
      <c r="B304" s="31" t="s">
        <v>1063</v>
      </c>
      <c r="C304" s="31" t="s">
        <v>189</v>
      </c>
      <c r="D304" s="31" t="s">
        <v>235</v>
      </c>
      <c r="E304" s="31" t="s">
        <v>197</v>
      </c>
      <c r="F304" s="30" t="s">
        <v>1064</v>
      </c>
      <c r="G304" s="31">
        <v>1</v>
      </c>
      <c r="H304" s="31" t="s">
        <v>642</v>
      </c>
      <c r="I304" s="31" t="s">
        <v>302</v>
      </c>
      <c r="J304" s="33">
        <v>57500</v>
      </c>
      <c r="K304" s="33">
        <v>27700</v>
      </c>
      <c r="L304" s="33">
        <v>22800</v>
      </c>
      <c r="M304" s="33">
        <f t="shared" si="32"/>
        <v>108000</v>
      </c>
      <c r="N304" s="34">
        <f t="shared" si="38"/>
        <v>0.000566205104653577</v>
      </c>
      <c r="O304" s="35">
        <f>SUM($M$2:M304)</f>
        <v>163671500</v>
      </c>
      <c r="P304" s="34">
        <f t="shared" si="39"/>
        <v>0.858070729502851</v>
      </c>
      <c r="Q304" s="37">
        <v>16.2</v>
      </c>
      <c r="R304" s="31">
        <v>3</v>
      </c>
      <c r="S304" s="31">
        <v>1</v>
      </c>
      <c r="T304" s="31">
        <v>1</v>
      </c>
      <c r="U304" s="37">
        <v>462</v>
      </c>
      <c r="V304" s="31">
        <v>27</v>
      </c>
      <c r="W304" s="31">
        <v>9</v>
      </c>
      <c r="X304" s="38">
        <v>733</v>
      </c>
      <c r="Y304" s="31">
        <v>4</v>
      </c>
      <c r="Z304" s="31">
        <v>0</v>
      </c>
      <c r="AA304" s="31" t="s">
        <v>199</v>
      </c>
      <c r="AB304" s="31" t="s">
        <v>220</v>
      </c>
      <c r="AC304" s="41">
        <f>IFERROR(LOOKUP(M304,打分卡!$F$7:$J$7,打分卡!$K$7:$O$7),1)</f>
        <v>3</v>
      </c>
      <c r="AD304" s="41">
        <f>IFERROR(LOOKUP(S304,打分卡!$F$8:$J$8,打分卡!$K$8:$O$8),1)</f>
        <v>1</v>
      </c>
      <c r="AE304" s="41">
        <f>IFERROR(LOOKUP(T304,打分卡!$F$9:$I$9,打分卡!$K$9:$N$9),1)</f>
        <v>2</v>
      </c>
      <c r="AF304" s="41">
        <f>IFERROR(LOOKUP(Q304,打分卡!$F$10:$J$10,打分卡!$K$10:$O$10),1)</f>
        <v>3</v>
      </c>
      <c r="AG304" s="41">
        <f>IFERROR(LOOKUP(R304,打分卡!$F$11:$J$11,打分卡!$K$11:$O$11),1)</f>
        <v>2</v>
      </c>
      <c r="AH304" s="41">
        <f>IFERROR(LOOKUP(U304,打分卡!$F$12:$J$12,打分卡!$K$12:$O$12),1)</f>
        <v>5</v>
      </c>
      <c r="AI304" s="41">
        <f>IFERROR(LOOKUP(X304,打分卡!$F$13:$J$13,打分卡!$K$13:$O$13),1)</f>
        <v>5</v>
      </c>
      <c r="AJ304" s="41">
        <f>IFERROR(LOOKUP(Y304,打分卡!$F$14:$J$14,打分卡!$K$14:$O$14),1)</f>
        <v>4</v>
      </c>
      <c r="AK304" s="41">
        <f>IFERROR(LOOKUP(W304,打分卡!$F$15:$J$15,打分卡!$K$15:$O$15),1)</f>
        <v>4</v>
      </c>
      <c r="AL304" s="43">
        <f t="shared" si="33"/>
        <v>5</v>
      </c>
      <c r="AM304" s="41">
        <f>IFERROR(LOOKUP(Z304,打分卡!$F$17:$H$17,打分卡!$K$17:$M$17),1)</f>
        <v>1</v>
      </c>
      <c r="AN304" s="44">
        <f>(打分卡!$D$7*AC304+打分卡!$D$8*AD304+打分卡!$D$9*AE304)/5</f>
        <v>19.4</v>
      </c>
      <c r="AO304" s="44">
        <f>(打分卡!$D$10*AF304+打分卡!$D$11*AG304)/5</f>
        <v>10</v>
      </c>
      <c r="AP304" s="44">
        <f>(打分卡!$D$12*AH304+打分卡!$D$13*AI304+打分卡!$D$14*AJ304+打分卡!$D$15*AK304)/5</f>
        <v>28</v>
      </c>
      <c r="AQ304" s="44">
        <f>(打分卡!$D$16*AL304+打分卡!$D$17*AM304)/5</f>
        <v>6.8</v>
      </c>
      <c r="AR304" s="47">
        <f t="shared" si="34"/>
        <v>82.1333333333333</v>
      </c>
      <c r="AS304" s="43" t="str">
        <f t="shared" si="35"/>
        <v>KA</v>
      </c>
      <c r="AT304" s="43" t="str">
        <f t="shared" si="36"/>
        <v/>
      </c>
      <c r="AU304" s="43" t="str">
        <f t="shared" si="37"/>
        <v>扩·深化：AI外呼场景深化+Push/企微补全</v>
      </c>
    </row>
    <row r="305" ht="15" customHeight="1" spans="1:47">
      <c r="A305" s="20" t="s">
        <v>1065</v>
      </c>
      <c r="B305" s="22" t="s">
        <v>1066</v>
      </c>
      <c r="C305" s="22" t="s">
        <v>234</v>
      </c>
      <c r="D305" s="22" t="s">
        <v>202</v>
      </c>
      <c r="E305" s="22" t="s">
        <v>181</v>
      </c>
      <c r="F305" s="20" t="s">
        <v>1067</v>
      </c>
      <c r="G305" s="22">
        <v>13</v>
      </c>
      <c r="H305" s="22" t="s">
        <v>301</v>
      </c>
      <c r="I305" s="22" t="s">
        <v>184</v>
      </c>
      <c r="J305" s="36">
        <v>64200</v>
      </c>
      <c r="K305" s="36">
        <v>26600</v>
      </c>
      <c r="L305" s="36">
        <v>15900</v>
      </c>
      <c r="M305" s="36">
        <f t="shared" si="32"/>
        <v>106700</v>
      </c>
      <c r="N305" s="34">
        <f t="shared" si="38"/>
        <v>0.000559389672838302</v>
      </c>
      <c r="O305" s="35">
        <f>SUM($M$2:M305)</f>
        <v>163778200</v>
      </c>
      <c r="P305" s="34">
        <f t="shared" si="39"/>
        <v>0.858630119175689</v>
      </c>
      <c r="Q305" s="39">
        <v>12.1</v>
      </c>
      <c r="R305" s="22">
        <v>10</v>
      </c>
      <c r="S305" s="22">
        <v>2</v>
      </c>
      <c r="T305" s="22">
        <v>2</v>
      </c>
      <c r="U305" s="39">
        <v>10.5</v>
      </c>
      <c r="V305" s="22">
        <v>25</v>
      </c>
      <c r="W305" s="22">
        <v>0</v>
      </c>
      <c r="X305" s="40">
        <v>26</v>
      </c>
      <c r="Y305" s="22">
        <v>0</v>
      </c>
      <c r="Z305" s="22">
        <v>0</v>
      </c>
      <c r="AA305" s="22" t="s">
        <v>185</v>
      </c>
      <c r="AB305" s="22" t="s">
        <v>220</v>
      </c>
      <c r="AC305" s="42">
        <f>IFERROR(LOOKUP(M305,打分卡!$F$7:$J$7,打分卡!$K$7:$O$7),1)</f>
        <v>3</v>
      </c>
      <c r="AD305" s="42">
        <f>IFERROR(LOOKUP(S305,打分卡!$F$8:$J$8,打分卡!$K$8:$O$8),1)</f>
        <v>2</v>
      </c>
      <c r="AE305" s="42">
        <f>IFERROR(LOOKUP(T305,打分卡!$F$9:$I$9,打分卡!$K$9:$N$9),1)</f>
        <v>3</v>
      </c>
      <c r="AF305" s="42">
        <f>IFERROR(LOOKUP(Q305,打分卡!$F$10:$J$10,打分卡!$K$10:$O$10),1)</f>
        <v>3</v>
      </c>
      <c r="AG305" s="42">
        <f>IFERROR(LOOKUP(R305,打分卡!$F$11:$J$11,打分卡!$K$11:$O$11),1)</f>
        <v>4</v>
      </c>
      <c r="AH305" s="42">
        <f>IFERROR(LOOKUP(U305,打分卡!$F$12:$J$12,打分卡!$K$12:$O$12),1)</f>
        <v>3</v>
      </c>
      <c r="AI305" s="42">
        <f>IFERROR(LOOKUP(X305,打分卡!$F$13:$J$13,打分卡!$K$13:$O$13),1)</f>
        <v>2</v>
      </c>
      <c r="AJ305" s="42">
        <f>IFERROR(LOOKUP(Y305,打分卡!$F$14:$J$14,打分卡!$K$14:$O$14),1)</f>
        <v>1</v>
      </c>
      <c r="AK305" s="42">
        <f>IFERROR(LOOKUP(W305,打分卡!$F$15:$J$15,打分卡!$K$15:$O$15),1)</f>
        <v>1</v>
      </c>
      <c r="AL305" s="45">
        <f t="shared" si="33"/>
        <v>3</v>
      </c>
      <c r="AM305" s="42">
        <f>IFERROR(LOOKUP(Z305,打分卡!$F$17:$H$17,打分卡!$K$17:$M$17),1)</f>
        <v>1</v>
      </c>
      <c r="AN305" s="46">
        <f>(打分卡!$D$7*AC305+打分卡!$D$8*AD305+打分卡!$D$9*AE305)/5</f>
        <v>22.4</v>
      </c>
      <c r="AO305" s="46">
        <f>(打分卡!$D$10*AF305+打分卡!$D$11*AG305)/5</f>
        <v>14</v>
      </c>
      <c r="AP305" s="46">
        <f>(打分卡!$D$12*AH305+打分卡!$D$13*AI305+打分卡!$D$14*AJ305+打分卡!$D$15*AK305)/5</f>
        <v>12.4</v>
      </c>
      <c r="AQ305" s="46">
        <f>(打分卡!$D$16*AL305+打分卡!$D$17*AM305)/5</f>
        <v>4.4</v>
      </c>
      <c r="AR305" s="48">
        <f t="shared" si="34"/>
        <v>53.2</v>
      </c>
      <c r="AS305" s="45" t="str">
        <f t="shared" si="35"/>
        <v>腰部</v>
      </c>
      <c r="AT305" s="45" t="str">
        <f t="shared" si="36"/>
        <v/>
      </c>
      <c r="AU305" s="45" t="str">
        <f t="shared" si="37"/>
        <v>拉·主攻：主推AI外呼+大促作战包</v>
      </c>
    </row>
    <row r="306" ht="15" customHeight="1" spans="1:47">
      <c r="A306" s="30" t="s">
        <v>1068</v>
      </c>
      <c r="B306" s="31" t="s">
        <v>1069</v>
      </c>
      <c r="C306" s="31" t="s">
        <v>218</v>
      </c>
      <c r="D306" s="31" t="s">
        <v>190</v>
      </c>
      <c r="E306" s="31" t="s">
        <v>197</v>
      </c>
      <c r="F306" s="30" t="s">
        <v>369</v>
      </c>
      <c r="G306" s="31">
        <v>14</v>
      </c>
      <c r="H306" s="31" t="s">
        <v>301</v>
      </c>
      <c r="I306" s="31" t="s">
        <v>302</v>
      </c>
      <c r="J306" s="33">
        <v>56800</v>
      </c>
      <c r="K306" s="33">
        <v>40000</v>
      </c>
      <c r="L306" s="33">
        <v>9800</v>
      </c>
      <c r="M306" s="33">
        <f t="shared" si="32"/>
        <v>106600</v>
      </c>
      <c r="N306" s="34">
        <f t="shared" si="38"/>
        <v>0.000558865408852512</v>
      </c>
      <c r="O306" s="35">
        <f>SUM($M$2:M306)</f>
        <v>163884800</v>
      </c>
      <c r="P306" s="34">
        <f t="shared" si="39"/>
        <v>0.859188984584542</v>
      </c>
      <c r="Q306" s="37">
        <v>12.2</v>
      </c>
      <c r="R306" s="31">
        <v>2</v>
      </c>
      <c r="S306" s="31">
        <v>2</v>
      </c>
      <c r="T306" s="31">
        <v>0</v>
      </c>
      <c r="U306" s="37">
        <v>30.5</v>
      </c>
      <c r="V306" s="31">
        <v>28</v>
      </c>
      <c r="W306" s="31">
        <v>3</v>
      </c>
      <c r="X306" s="38">
        <v>13</v>
      </c>
      <c r="Y306" s="31">
        <v>2</v>
      </c>
      <c r="Z306" s="31">
        <v>1</v>
      </c>
      <c r="AA306" s="31" t="s">
        <v>199</v>
      </c>
      <c r="AB306" s="31" t="s">
        <v>220</v>
      </c>
      <c r="AC306" s="41">
        <f>IFERROR(LOOKUP(M306,打分卡!$F$7:$J$7,打分卡!$K$7:$O$7),1)</f>
        <v>3</v>
      </c>
      <c r="AD306" s="41">
        <f>IFERROR(LOOKUP(S306,打分卡!$F$8:$J$8,打分卡!$K$8:$O$8),1)</f>
        <v>2</v>
      </c>
      <c r="AE306" s="41">
        <f>IFERROR(LOOKUP(T306,打分卡!$F$9:$I$9,打分卡!$K$9:$N$9),1)</f>
        <v>1</v>
      </c>
      <c r="AF306" s="41">
        <f>IFERROR(LOOKUP(Q306,打分卡!$F$10:$J$10,打分卡!$K$10:$O$10),1)</f>
        <v>3</v>
      </c>
      <c r="AG306" s="41">
        <f>IFERROR(LOOKUP(R306,打分卡!$F$11:$J$11,打分卡!$K$11:$O$11),1)</f>
        <v>1</v>
      </c>
      <c r="AH306" s="41">
        <f>IFERROR(LOOKUP(U306,打分卡!$F$12:$J$12,打分卡!$K$12:$O$12),1)</f>
        <v>3</v>
      </c>
      <c r="AI306" s="41">
        <f>IFERROR(LOOKUP(X306,打分卡!$F$13:$J$13,打分卡!$K$13:$O$13),1)</f>
        <v>1</v>
      </c>
      <c r="AJ306" s="41">
        <f>IFERROR(LOOKUP(Y306,打分卡!$F$14:$J$14,打分卡!$K$14:$O$14),1)</f>
        <v>3</v>
      </c>
      <c r="AK306" s="41">
        <f>IFERROR(LOOKUP(W306,打分卡!$F$15:$J$15,打分卡!$K$15:$O$15),1)</f>
        <v>3</v>
      </c>
      <c r="AL306" s="43">
        <f t="shared" si="33"/>
        <v>5</v>
      </c>
      <c r="AM306" s="41">
        <f>IFERROR(LOOKUP(Z306,打分卡!$F$17:$H$17,打分卡!$K$17:$M$17),1)</f>
        <v>3</v>
      </c>
      <c r="AN306" s="44">
        <f>(打分卡!$D$7*AC306+打分卡!$D$8*AD306+打分卡!$D$9*AE306)/5</f>
        <v>19.6</v>
      </c>
      <c r="AO306" s="44">
        <f>(打分卡!$D$10*AF306+打分卡!$D$11*AG306)/5</f>
        <v>8</v>
      </c>
      <c r="AP306" s="44">
        <f>(打分卡!$D$12*AH306+打分卡!$D$13*AI306+打分卡!$D$14*AJ306+打分卡!$D$15*AK306)/5</f>
        <v>14.8</v>
      </c>
      <c r="AQ306" s="44">
        <f>(打分卡!$D$16*AL306+打分卡!$D$17*AM306)/5</f>
        <v>8.4</v>
      </c>
      <c r="AR306" s="47">
        <f t="shared" si="34"/>
        <v>50.8</v>
      </c>
      <c r="AS306" s="43" t="str">
        <f t="shared" si="35"/>
        <v>腰部</v>
      </c>
      <c r="AT306" s="43" t="str">
        <f t="shared" si="36"/>
        <v/>
      </c>
      <c r="AU306" s="43" t="str">
        <f t="shared" si="37"/>
        <v>拉·主攻：主推AI外呼+大促作战包</v>
      </c>
    </row>
    <row r="307" ht="15" customHeight="1" spans="1:47">
      <c r="A307" s="20" t="s">
        <v>1070</v>
      </c>
      <c r="B307" s="22" t="s">
        <v>1071</v>
      </c>
      <c r="C307" s="22" t="s">
        <v>234</v>
      </c>
      <c r="D307" s="22" t="s">
        <v>190</v>
      </c>
      <c r="E307" s="22" t="s">
        <v>181</v>
      </c>
      <c r="F307" s="20" t="s">
        <v>1072</v>
      </c>
      <c r="G307" s="22">
        <v>13</v>
      </c>
      <c r="H307" s="22" t="s">
        <v>301</v>
      </c>
      <c r="I307" s="22" t="s">
        <v>184</v>
      </c>
      <c r="J307" s="36">
        <v>64100</v>
      </c>
      <c r="K307" s="36">
        <v>31700</v>
      </c>
      <c r="L307" s="36">
        <v>10500</v>
      </c>
      <c r="M307" s="36">
        <f t="shared" si="32"/>
        <v>106300</v>
      </c>
      <c r="N307" s="34">
        <f t="shared" si="38"/>
        <v>0.000557292616895141</v>
      </c>
      <c r="O307" s="35">
        <f>SUM($M$2:M307)</f>
        <v>163991100</v>
      </c>
      <c r="P307" s="34">
        <f t="shared" si="39"/>
        <v>0.859746277201437</v>
      </c>
      <c r="Q307" s="39">
        <v>15</v>
      </c>
      <c r="R307" s="22">
        <v>7</v>
      </c>
      <c r="S307" s="22">
        <v>2</v>
      </c>
      <c r="T307" s="22">
        <v>1</v>
      </c>
      <c r="U307" s="39">
        <v>6.7</v>
      </c>
      <c r="V307" s="22">
        <v>16</v>
      </c>
      <c r="W307" s="22">
        <v>0</v>
      </c>
      <c r="X307" s="40">
        <v>57</v>
      </c>
      <c r="Y307" s="22">
        <v>0</v>
      </c>
      <c r="Z307" s="22">
        <v>1</v>
      </c>
      <c r="AA307" s="22" t="s">
        <v>185</v>
      </c>
      <c r="AB307" s="22" t="s">
        <v>220</v>
      </c>
      <c r="AC307" s="42">
        <f>IFERROR(LOOKUP(M307,打分卡!$F$7:$J$7,打分卡!$K$7:$O$7),1)</f>
        <v>3</v>
      </c>
      <c r="AD307" s="42">
        <f>IFERROR(LOOKUP(S307,打分卡!$F$8:$J$8,打分卡!$K$8:$O$8),1)</f>
        <v>2</v>
      </c>
      <c r="AE307" s="42">
        <f>IFERROR(LOOKUP(T307,打分卡!$F$9:$I$9,打分卡!$K$9:$N$9),1)</f>
        <v>2</v>
      </c>
      <c r="AF307" s="42">
        <f>IFERROR(LOOKUP(Q307,打分卡!$F$10:$J$10,打分卡!$K$10:$O$10),1)</f>
        <v>3</v>
      </c>
      <c r="AG307" s="42">
        <f>IFERROR(LOOKUP(R307,打分卡!$F$11:$J$11,打分卡!$K$11:$O$11),1)</f>
        <v>3</v>
      </c>
      <c r="AH307" s="42">
        <f>IFERROR(LOOKUP(U307,打分卡!$F$12:$J$12,打分卡!$K$12:$O$12),1)</f>
        <v>2</v>
      </c>
      <c r="AI307" s="42">
        <f>IFERROR(LOOKUP(X307,打分卡!$F$13:$J$13,打分卡!$K$13:$O$13),1)</f>
        <v>3</v>
      </c>
      <c r="AJ307" s="42">
        <f>IFERROR(LOOKUP(Y307,打分卡!$F$14:$J$14,打分卡!$K$14:$O$14),1)</f>
        <v>1</v>
      </c>
      <c r="AK307" s="42">
        <f>IFERROR(LOOKUP(W307,打分卡!$F$15:$J$15,打分卡!$K$15:$O$15),1)</f>
        <v>1</v>
      </c>
      <c r="AL307" s="45">
        <f t="shared" si="33"/>
        <v>3</v>
      </c>
      <c r="AM307" s="42">
        <f>IFERROR(LOOKUP(Z307,打分卡!$F$17:$H$17,打分卡!$K$17:$M$17),1)</f>
        <v>3</v>
      </c>
      <c r="AN307" s="46">
        <f>(打分卡!$D$7*AC307+打分卡!$D$8*AD307+打分卡!$D$9*AE307)/5</f>
        <v>21</v>
      </c>
      <c r="AO307" s="46">
        <f>(打分卡!$D$10*AF307+打分卡!$D$11*AG307)/5</f>
        <v>12</v>
      </c>
      <c r="AP307" s="46">
        <f>(打分卡!$D$12*AH307+打分卡!$D$13*AI307+打分卡!$D$14*AJ307+打分卡!$D$15*AK307)/5</f>
        <v>11.6</v>
      </c>
      <c r="AQ307" s="46">
        <f>(打分卡!$D$16*AL307+打分卡!$D$17*AM307)/5</f>
        <v>6</v>
      </c>
      <c r="AR307" s="48">
        <f t="shared" si="34"/>
        <v>50.6</v>
      </c>
      <c r="AS307" s="45" t="str">
        <f t="shared" si="35"/>
        <v>腰部</v>
      </c>
      <c r="AT307" s="45" t="str">
        <f t="shared" si="36"/>
        <v/>
      </c>
      <c r="AU307" s="45" t="str">
        <f t="shared" si="37"/>
        <v>拉·主攻：主推AI外呼+大促作战包</v>
      </c>
    </row>
    <row r="308" ht="15" customHeight="1" spans="1:47">
      <c r="A308" s="30" t="s">
        <v>1073</v>
      </c>
      <c r="B308" s="31" t="s">
        <v>1074</v>
      </c>
      <c r="C308" s="31" t="s">
        <v>239</v>
      </c>
      <c r="D308" s="31" t="s">
        <v>202</v>
      </c>
      <c r="E308" s="31" t="s">
        <v>181</v>
      </c>
      <c r="F308" s="30" t="s">
        <v>348</v>
      </c>
      <c r="G308" s="31">
        <v>23</v>
      </c>
      <c r="H308" s="31" t="s">
        <v>183</v>
      </c>
      <c r="I308" s="31" t="s">
        <v>302</v>
      </c>
      <c r="J308" s="33">
        <v>68500</v>
      </c>
      <c r="K308" s="33">
        <v>32200</v>
      </c>
      <c r="L308" s="33">
        <v>5300</v>
      </c>
      <c r="M308" s="33">
        <f t="shared" si="32"/>
        <v>106000</v>
      </c>
      <c r="N308" s="34">
        <f t="shared" si="38"/>
        <v>0.00055571982493777</v>
      </c>
      <c r="O308" s="35">
        <f>SUM($M$2:M308)</f>
        <v>164097100</v>
      </c>
      <c r="P308" s="34">
        <f t="shared" si="39"/>
        <v>0.860301997026375</v>
      </c>
      <c r="Q308" s="37">
        <v>7.5</v>
      </c>
      <c r="R308" s="31">
        <v>4</v>
      </c>
      <c r="S308" s="31">
        <v>1</v>
      </c>
      <c r="T308" s="31">
        <v>1</v>
      </c>
      <c r="U308" s="37">
        <v>3.2</v>
      </c>
      <c r="V308" s="31">
        <v>15</v>
      </c>
      <c r="W308" s="31">
        <v>4</v>
      </c>
      <c r="X308" s="38">
        <v>121</v>
      </c>
      <c r="Y308" s="31">
        <v>2</v>
      </c>
      <c r="Z308" s="31">
        <v>1</v>
      </c>
      <c r="AA308" s="31" t="s">
        <v>315</v>
      </c>
      <c r="AB308" s="31" t="s">
        <v>220</v>
      </c>
      <c r="AC308" s="41">
        <f>IFERROR(LOOKUP(M308,打分卡!$F$7:$J$7,打分卡!$K$7:$O$7),1)</f>
        <v>3</v>
      </c>
      <c r="AD308" s="41">
        <f>IFERROR(LOOKUP(S308,打分卡!$F$8:$J$8,打分卡!$K$8:$O$8),1)</f>
        <v>1</v>
      </c>
      <c r="AE308" s="41">
        <f>IFERROR(LOOKUP(T308,打分卡!$F$9:$I$9,打分卡!$K$9:$N$9),1)</f>
        <v>2</v>
      </c>
      <c r="AF308" s="41">
        <f>IFERROR(LOOKUP(Q308,打分卡!$F$10:$J$10,打分卡!$K$10:$O$10),1)</f>
        <v>2</v>
      </c>
      <c r="AG308" s="41">
        <f>IFERROR(LOOKUP(R308,打分卡!$F$11:$J$11,打分卡!$K$11:$O$11),1)</f>
        <v>2</v>
      </c>
      <c r="AH308" s="41">
        <f>IFERROR(LOOKUP(U308,打分卡!$F$12:$J$12,打分卡!$K$12:$O$12),1)</f>
        <v>2</v>
      </c>
      <c r="AI308" s="41">
        <f>IFERROR(LOOKUP(X308,打分卡!$F$13:$J$13,打分卡!$K$13:$O$13),1)</f>
        <v>4</v>
      </c>
      <c r="AJ308" s="41">
        <f>IFERROR(LOOKUP(Y308,打分卡!$F$14:$J$14,打分卡!$K$14:$O$14),1)</f>
        <v>3</v>
      </c>
      <c r="AK308" s="41">
        <f>IFERROR(LOOKUP(W308,打分卡!$F$15:$J$15,打分卡!$K$15:$O$15),1)</f>
        <v>3</v>
      </c>
      <c r="AL308" s="43">
        <f t="shared" si="33"/>
        <v>2</v>
      </c>
      <c r="AM308" s="41">
        <f>IFERROR(LOOKUP(Z308,打分卡!$F$17:$H$17,打分卡!$K$17:$M$17),1)</f>
        <v>3</v>
      </c>
      <c r="AN308" s="44">
        <f>(打分卡!$D$7*AC308+打分卡!$D$8*AD308+打分卡!$D$9*AE308)/5</f>
        <v>19.4</v>
      </c>
      <c r="AO308" s="44">
        <f>(打分卡!$D$10*AF308+打分卡!$D$11*AG308)/5</f>
        <v>8</v>
      </c>
      <c r="AP308" s="44">
        <f>(打分卡!$D$12*AH308+打分卡!$D$13*AI308+打分卡!$D$14*AJ308+打分卡!$D$15*AK308)/5</f>
        <v>17.2</v>
      </c>
      <c r="AQ308" s="44">
        <f>(打分卡!$D$16*AL308+打分卡!$D$17*AM308)/5</f>
        <v>4.8</v>
      </c>
      <c r="AR308" s="47">
        <f t="shared" si="34"/>
        <v>49.4</v>
      </c>
      <c r="AS308" s="43" t="str">
        <f t="shared" si="35"/>
        <v>腰部</v>
      </c>
      <c r="AT308" s="43" t="str">
        <f t="shared" si="36"/>
        <v/>
      </c>
      <c r="AU308" s="43" t="str">
        <f t="shared" si="37"/>
        <v>拉·主攻：主推AI外呼+大促作战包</v>
      </c>
    </row>
    <row r="309" ht="15" customHeight="1" spans="1:47">
      <c r="A309" s="20" t="s">
        <v>1075</v>
      </c>
      <c r="B309" s="22" t="s">
        <v>1076</v>
      </c>
      <c r="C309" s="22" t="s">
        <v>195</v>
      </c>
      <c r="D309" s="22" t="s">
        <v>202</v>
      </c>
      <c r="E309" s="22" t="s">
        <v>181</v>
      </c>
      <c r="F309" s="20" t="s">
        <v>699</v>
      </c>
      <c r="G309" s="22">
        <v>10</v>
      </c>
      <c r="H309" s="22" t="s">
        <v>301</v>
      </c>
      <c r="I309" s="22" t="s">
        <v>302</v>
      </c>
      <c r="J309" s="36">
        <v>61900</v>
      </c>
      <c r="K309" s="36">
        <v>22400</v>
      </c>
      <c r="L309" s="36">
        <v>21400</v>
      </c>
      <c r="M309" s="36">
        <f t="shared" si="32"/>
        <v>105700</v>
      </c>
      <c r="N309" s="34">
        <f t="shared" si="38"/>
        <v>0.000554147032980399</v>
      </c>
      <c r="O309" s="35">
        <f>SUM($M$2:M309)</f>
        <v>164202800</v>
      </c>
      <c r="P309" s="34">
        <f t="shared" si="39"/>
        <v>0.860856144059355</v>
      </c>
      <c r="Q309" s="39">
        <v>13.8</v>
      </c>
      <c r="R309" s="22">
        <v>7</v>
      </c>
      <c r="S309" s="22">
        <v>1</v>
      </c>
      <c r="T309" s="22">
        <v>0</v>
      </c>
      <c r="U309" s="39">
        <v>6.5</v>
      </c>
      <c r="V309" s="22">
        <v>3</v>
      </c>
      <c r="W309" s="22">
        <v>3</v>
      </c>
      <c r="X309" s="40">
        <v>117</v>
      </c>
      <c r="Y309" s="22">
        <v>0</v>
      </c>
      <c r="Z309" s="22">
        <v>1</v>
      </c>
      <c r="AA309" s="22" t="s">
        <v>185</v>
      </c>
      <c r="AB309" s="22" t="s">
        <v>220</v>
      </c>
      <c r="AC309" s="42">
        <f>IFERROR(LOOKUP(M309,打分卡!$F$7:$J$7,打分卡!$K$7:$O$7),1)</f>
        <v>3</v>
      </c>
      <c r="AD309" s="42">
        <f>IFERROR(LOOKUP(S309,打分卡!$F$8:$J$8,打分卡!$K$8:$O$8),1)</f>
        <v>1</v>
      </c>
      <c r="AE309" s="42">
        <f>IFERROR(LOOKUP(T309,打分卡!$F$9:$I$9,打分卡!$K$9:$N$9),1)</f>
        <v>1</v>
      </c>
      <c r="AF309" s="42">
        <f>IFERROR(LOOKUP(Q309,打分卡!$F$10:$J$10,打分卡!$K$10:$O$10),1)</f>
        <v>3</v>
      </c>
      <c r="AG309" s="42">
        <f>IFERROR(LOOKUP(R309,打分卡!$F$11:$J$11,打分卡!$K$11:$O$11),1)</f>
        <v>3</v>
      </c>
      <c r="AH309" s="42">
        <f>IFERROR(LOOKUP(U309,打分卡!$F$12:$J$12,打分卡!$K$12:$O$12),1)</f>
        <v>2</v>
      </c>
      <c r="AI309" s="42">
        <f>IFERROR(LOOKUP(X309,打分卡!$F$13:$J$13,打分卡!$K$13:$O$13),1)</f>
        <v>4</v>
      </c>
      <c r="AJ309" s="42">
        <f>IFERROR(LOOKUP(Y309,打分卡!$F$14:$J$14,打分卡!$K$14:$O$14),1)</f>
        <v>1</v>
      </c>
      <c r="AK309" s="42">
        <f>IFERROR(LOOKUP(W309,打分卡!$F$15:$J$15,打分卡!$K$15:$O$15),1)</f>
        <v>3</v>
      </c>
      <c r="AL309" s="45">
        <f t="shared" si="33"/>
        <v>3</v>
      </c>
      <c r="AM309" s="42">
        <f>IFERROR(LOOKUP(Z309,打分卡!$F$17:$H$17,打分卡!$K$17:$M$17),1)</f>
        <v>3</v>
      </c>
      <c r="AN309" s="46">
        <f>(打分卡!$D$7*AC309+打分卡!$D$8*AD309+打分卡!$D$9*AE309)/5</f>
        <v>18</v>
      </c>
      <c r="AO309" s="46">
        <f>(打分卡!$D$10*AF309+打分卡!$D$11*AG309)/5</f>
        <v>12</v>
      </c>
      <c r="AP309" s="46">
        <f>(打分卡!$D$12*AH309+打分卡!$D$13*AI309+打分卡!$D$14*AJ309+打分卡!$D$15*AK309)/5</f>
        <v>14.8</v>
      </c>
      <c r="AQ309" s="46">
        <f>(打分卡!$D$16*AL309+打分卡!$D$17*AM309)/5</f>
        <v>6</v>
      </c>
      <c r="AR309" s="48">
        <f t="shared" si="34"/>
        <v>50.8</v>
      </c>
      <c r="AS309" s="45" t="str">
        <f t="shared" si="35"/>
        <v>腰部</v>
      </c>
      <c r="AT309" s="45" t="str">
        <f t="shared" si="36"/>
        <v/>
      </c>
      <c r="AU309" s="45" t="str">
        <f t="shared" si="37"/>
        <v>拉·主攻：主推AI外呼+大促作战包</v>
      </c>
    </row>
    <row r="310" ht="15" customHeight="1" spans="1:47">
      <c r="A310" s="30" t="s">
        <v>1077</v>
      </c>
      <c r="B310" s="31" t="s">
        <v>1078</v>
      </c>
      <c r="C310" s="31" t="s">
        <v>195</v>
      </c>
      <c r="D310" s="31" t="s">
        <v>227</v>
      </c>
      <c r="E310" s="31" t="s">
        <v>197</v>
      </c>
      <c r="F310" s="30" t="s">
        <v>1079</v>
      </c>
      <c r="G310" s="31">
        <v>9</v>
      </c>
      <c r="H310" s="31" t="s">
        <v>301</v>
      </c>
      <c r="I310" s="31" t="s">
        <v>302</v>
      </c>
      <c r="J310" s="33">
        <v>67700</v>
      </c>
      <c r="K310" s="33">
        <v>21900</v>
      </c>
      <c r="L310" s="33">
        <v>16100</v>
      </c>
      <c r="M310" s="33">
        <f t="shared" si="32"/>
        <v>105700</v>
      </c>
      <c r="N310" s="34">
        <f t="shared" si="38"/>
        <v>0.000554147032980399</v>
      </c>
      <c r="O310" s="35">
        <f>SUM($M$2:M310)</f>
        <v>164308500</v>
      </c>
      <c r="P310" s="34">
        <f t="shared" si="39"/>
        <v>0.861410291092335</v>
      </c>
      <c r="Q310" s="37">
        <v>9.8</v>
      </c>
      <c r="R310" s="31">
        <v>9</v>
      </c>
      <c r="S310" s="31">
        <v>3</v>
      </c>
      <c r="T310" s="31">
        <v>1</v>
      </c>
      <c r="U310" s="37">
        <v>3.7</v>
      </c>
      <c r="V310" s="31">
        <v>17</v>
      </c>
      <c r="W310" s="31">
        <v>1</v>
      </c>
      <c r="X310" s="38">
        <v>107</v>
      </c>
      <c r="Y310" s="31">
        <v>1</v>
      </c>
      <c r="Z310" s="31">
        <v>0</v>
      </c>
      <c r="AA310" s="31" t="s">
        <v>199</v>
      </c>
      <c r="AB310" s="31" t="s">
        <v>220</v>
      </c>
      <c r="AC310" s="41">
        <f>IFERROR(LOOKUP(M310,打分卡!$F$7:$J$7,打分卡!$K$7:$O$7),1)</f>
        <v>3</v>
      </c>
      <c r="AD310" s="41">
        <f>IFERROR(LOOKUP(S310,打分卡!$F$8:$J$8,打分卡!$K$8:$O$8),1)</f>
        <v>3</v>
      </c>
      <c r="AE310" s="41">
        <f>IFERROR(LOOKUP(T310,打分卡!$F$9:$I$9,打分卡!$K$9:$N$9),1)</f>
        <v>2</v>
      </c>
      <c r="AF310" s="41">
        <f>IFERROR(LOOKUP(Q310,打分卡!$F$10:$J$10,打分卡!$K$10:$O$10),1)</f>
        <v>3</v>
      </c>
      <c r="AG310" s="41">
        <f>IFERROR(LOOKUP(R310,打分卡!$F$11:$J$11,打分卡!$K$11:$O$11),1)</f>
        <v>4</v>
      </c>
      <c r="AH310" s="41">
        <f>IFERROR(LOOKUP(U310,打分卡!$F$12:$J$12,打分卡!$K$12:$O$12),1)</f>
        <v>2</v>
      </c>
      <c r="AI310" s="41">
        <f>IFERROR(LOOKUP(X310,打分卡!$F$13:$J$13,打分卡!$K$13:$O$13),1)</f>
        <v>4</v>
      </c>
      <c r="AJ310" s="41">
        <f>IFERROR(LOOKUP(Y310,打分卡!$F$14:$J$14,打分卡!$K$14:$O$14),1)</f>
        <v>2</v>
      </c>
      <c r="AK310" s="41">
        <f>IFERROR(LOOKUP(W310,打分卡!$F$15:$J$15,打分卡!$K$15:$O$15),1)</f>
        <v>2</v>
      </c>
      <c r="AL310" s="43">
        <f t="shared" si="33"/>
        <v>5</v>
      </c>
      <c r="AM310" s="41">
        <f>IFERROR(LOOKUP(Z310,打分卡!$F$17:$H$17,打分卡!$K$17:$M$17),1)</f>
        <v>1</v>
      </c>
      <c r="AN310" s="44">
        <f>(打分卡!$D$7*AC310+打分卡!$D$8*AD310+打分卡!$D$9*AE310)/5</f>
        <v>22.6</v>
      </c>
      <c r="AO310" s="44">
        <f>(打分卡!$D$10*AF310+打分卡!$D$11*AG310)/5</f>
        <v>14</v>
      </c>
      <c r="AP310" s="44">
        <f>(打分卡!$D$12*AH310+打分卡!$D$13*AI310+打分卡!$D$14*AJ310+打分卡!$D$15*AK310)/5</f>
        <v>15.2</v>
      </c>
      <c r="AQ310" s="44">
        <f>(打分卡!$D$16*AL310+打分卡!$D$17*AM310)/5</f>
        <v>6.8</v>
      </c>
      <c r="AR310" s="47">
        <f t="shared" si="34"/>
        <v>58.6</v>
      </c>
      <c r="AS310" s="43" t="str">
        <f t="shared" si="35"/>
        <v>腰部</v>
      </c>
      <c r="AT310" s="43" t="str">
        <f t="shared" si="36"/>
        <v/>
      </c>
      <c r="AU310" s="43" t="str">
        <f t="shared" si="37"/>
        <v>拉·主攻：主推AI外呼+大促作战包</v>
      </c>
    </row>
    <row r="311" ht="15" customHeight="1" spans="1:47">
      <c r="A311" s="20" t="s">
        <v>1080</v>
      </c>
      <c r="B311" s="22" t="s">
        <v>1081</v>
      </c>
      <c r="C311" s="22" t="s">
        <v>189</v>
      </c>
      <c r="D311" s="22" t="s">
        <v>252</v>
      </c>
      <c r="E311" s="22" t="s">
        <v>197</v>
      </c>
      <c r="F311" s="20" t="s">
        <v>652</v>
      </c>
      <c r="G311" s="22">
        <v>19</v>
      </c>
      <c r="H311" s="22" t="s">
        <v>301</v>
      </c>
      <c r="I311" s="22" t="s">
        <v>184</v>
      </c>
      <c r="J311" s="36">
        <v>57700</v>
      </c>
      <c r="K311" s="36">
        <v>29000</v>
      </c>
      <c r="L311" s="36">
        <v>18800</v>
      </c>
      <c r="M311" s="36">
        <f t="shared" si="32"/>
        <v>105500</v>
      </c>
      <c r="N311" s="34">
        <f t="shared" si="38"/>
        <v>0.000553098505008818</v>
      </c>
      <c r="O311" s="35">
        <f>SUM($M$2:M311)</f>
        <v>164414000</v>
      </c>
      <c r="P311" s="34">
        <f t="shared" si="39"/>
        <v>0.861963389597344</v>
      </c>
      <c r="Q311" s="39">
        <v>15.8</v>
      </c>
      <c r="R311" s="22">
        <v>9</v>
      </c>
      <c r="S311" s="22">
        <v>1</v>
      </c>
      <c r="T311" s="22">
        <v>1</v>
      </c>
      <c r="U311" s="39">
        <v>32.7</v>
      </c>
      <c r="V311" s="22">
        <v>17</v>
      </c>
      <c r="W311" s="22">
        <v>0</v>
      </c>
      <c r="X311" s="40">
        <v>14</v>
      </c>
      <c r="Y311" s="22">
        <v>2</v>
      </c>
      <c r="Z311" s="22">
        <v>0</v>
      </c>
      <c r="AA311" s="22" t="s">
        <v>199</v>
      </c>
      <c r="AB311" s="22" t="s">
        <v>220</v>
      </c>
      <c r="AC311" s="42">
        <f>IFERROR(LOOKUP(M311,打分卡!$F$7:$J$7,打分卡!$K$7:$O$7),1)</f>
        <v>3</v>
      </c>
      <c r="AD311" s="42">
        <f>IFERROR(LOOKUP(S311,打分卡!$F$8:$J$8,打分卡!$K$8:$O$8),1)</f>
        <v>1</v>
      </c>
      <c r="AE311" s="42">
        <f>IFERROR(LOOKUP(T311,打分卡!$F$9:$I$9,打分卡!$K$9:$N$9),1)</f>
        <v>2</v>
      </c>
      <c r="AF311" s="42">
        <f>IFERROR(LOOKUP(Q311,打分卡!$F$10:$J$10,打分卡!$K$10:$O$10),1)</f>
        <v>3</v>
      </c>
      <c r="AG311" s="42">
        <f>IFERROR(LOOKUP(R311,打分卡!$F$11:$J$11,打分卡!$K$11:$O$11),1)</f>
        <v>4</v>
      </c>
      <c r="AH311" s="42">
        <f>IFERROR(LOOKUP(U311,打分卡!$F$12:$J$12,打分卡!$K$12:$O$12),1)</f>
        <v>3</v>
      </c>
      <c r="AI311" s="42">
        <f>IFERROR(LOOKUP(X311,打分卡!$F$13:$J$13,打分卡!$K$13:$O$13),1)</f>
        <v>1</v>
      </c>
      <c r="AJ311" s="42">
        <f>IFERROR(LOOKUP(Y311,打分卡!$F$14:$J$14,打分卡!$K$14:$O$14),1)</f>
        <v>3</v>
      </c>
      <c r="AK311" s="42">
        <f>IFERROR(LOOKUP(W311,打分卡!$F$15:$J$15,打分卡!$K$15:$O$15),1)</f>
        <v>1</v>
      </c>
      <c r="AL311" s="45">
        <f t="shared" si="33"/>
        <v>5</v>
      </c>
      <c r="AM311" s="42">
        <f>IFERROR(LOOKUP(Z311,打分卡!$F$17:$H$17,打分卡!$K$17:$M$17),1)</f>
        <v>1</v>
      </c>
      <c r="AN311" s="46">
        <f>(打分卡!$D$7*AC311+打分卡!$D$8*AD311+打分卡!$D$9*AE311)/5</f>
        <v>19.4</v>
      </c>
      <c r="AO311" s="46">
        <f>(打分卡!$D$10*AF311+打分卡!$D$11*AG311)/5</f>
        <v>14</v>
      </c>
      <c r="AP311" s="46">
        <f>(打分卡!$D$12*AH311+打分卡!$D$13*AI311+打分卡!$D$14*AJ311+打分卡!$D$15*AK311)/5</f>
        <v>13.2</v>
      </c>
      <c r="AQ311" s="46">
        <f>(打分卡!$D$16*AL311+打分卡!$D$17*AM311)/5</f>
        <v>6.8</v>
      </c>
      <c r="AR311" s="48">
        <f t="shared" si="34"/>
        <v>53.4</v>
      </c>
      <c r="AS311" s="45" t="str">
        <f t="shared" si="35"/>
        <v>腰部</v>
      </c>
      <c r="AT311" s="45" t="str">
        <f t="shared" si="36"/>
        <v/>
      </c>
      <c r="AU311" s="45" t="str">
        <f t="shared" si="37"/>
        <v>拉·主攻：主推AI外呼+大促作战包</v>
      </c>
    </row>
    <row r="312" ht="15" customHeight="1" spans="1:47">
      <c r="A312" s="30" t="s">
        <v>1082</v>
      </c>
      <c r="B312" s="31" t="s">
        <v>1083</v>
      </c>
      <c r="C312" s="31" t="s">
        <v>234</v>
      </c>
      <c r="D312" s="31" t="s">
        <v>227</v>
      </c>
      <c r="E312" s="31" t="s">
        <v>181</v>
      </c>
      <c r="F312" s="30" t="s">
        <v>1072</v>
      </c>
      <c r="G312" s="31">
        <v>13</v>
      </c>
      <c r="H312" s="31" t="s">
        <v>301</v>
      </c>
      <c r="I312" s="31" t="s">
        <v>302</v>
      </c>
      <c r="J312" s="33">
        <v>67700</v>
      </c>
      <c r="K312" s="33">
        <v>31800</v>
      </c>
      <c r="L312" s="33">
        <v>5200</v>
      </c>
      <c r="M312" s="33">
        <f t="shared" si="32"/>
        <v>104700</v>
      </c>
      <c r="N312" s="34">
        <f t="shared" si="38"/>
        <v>0.000548904393122495</v>
      </c>
      <c r="O312" s="35">
        <f>SUM($M$2:M312)</f>
        <v>164518700</v>
      </c>
      <c r="P312" s="34">
        <f t="shared" si="39"/>
        <v>0.862512293990467</v>
      </c>
      <c r="Q312" s="37">
        <v>6.9</v>
      </c>
      <c r="R312" s="31">
        <v>9</v>
      </c>
      <c r="S312" s="31">
        <v>3</v>
      </c>
      <c r="T312" s="31">
        <v>1</v>
      </c>
      <c r="U312" s="37">
        <v>64.2</v>
      </c>
      <c r="V312" s="31">
        <v>21</v>
      </c>
      <c r="W312" s="31">
        <v>3</v>
      </c>
      <c r="X312" s="38">
        <v>108</v>
      </c>
      <c r="Y312" s="31">
        <v>1</v>
      </c>
      <c r="Z312" s="31">
        <v>1</v>
      </c>
      <c r="AA312" s="31" t="s">
        <v>315</v>
      </c>
      <c r="AB312" s="31" t="s">
        <v>220</v>
      </c>
      <c r="AC312" s="41">
        <f>IFERROR(LOOKUP(M312,打分卡!$F$7:$J$7,打分卡!$K$7:$O$7),1)</f>
        <v>3</v>
      </c>
      <c r="AD312" s="41">
        <f>IFERROR(LOOKUP(S312,打分卡!$F$8:$J$8,打分卡!$K$8:$O$8),1)</f>
        <v>3</v>
      </c>
      <c r="AE312" s="41">
        <f>IFERROR(LOOKUP(T312,打分卡!$F$9:$I$9,打分卡!$K$9:$N$9),1)</f>
        <v>2</v>
      </c>
      <c r="AF312" s="41">
        <f>IFERROR(LOOKUP(Q312,打分卡!$F$10:$J$10,打分卡!$K$10:$O$10),1)</f>
        <v>2</v>
      </c>
      <c r="AG312" s="41">
        <f>IFERROR(LOOKUP(R312,打分卡!$F$11:$J$11,打分卡!$K$11:$O$11),1)</f>
        <v>4</v>
      </c>
      <c r="AH312" s="41">
        <f>IFERROR(LOOKUP(U312,打分卡!$F$12:$J$12,打分卡!$K$12:$O$12),1)</f>
        <v>4</v>
      </c>
      <c r="AI312" s="41">
        <f>IFERROR(LOOKUP(X312,打分卡!$F$13:$J$13,打分卡!$K$13:$O$13),1)</f>
        <v>4</v>
      </c>
      <c r="AJ312" s="41">
        <f>IFERROR(LOOKUP(Y312,打分卡!$F$14:$J$14,打分卡!$K$14:$O$14),1)</f>
        <v>2</v>
      </c>
      <c r="AK312" s="41">
        <f>IFERROR(LOOKUP(W312,打分卡!$F$15:$J$15,打分卡!$K$15:$O$15),1)</f>
        <v>3</v>
      </c>
      <c r="AL312" s="43">
        <f t="shared" si="33"/>
        <v>2</v>
      </c>
      <c r="AM312" s="41">
        <f>IFERROR(LOOKUP(Z312,打分卡!$F$17:$H$17,打分卡!$K$17:$M$17),1)</f>
        <v>3</v>
      </c>
      <c r="AN312" s="44">
        <f>(打分卡!$D$7*AC312+打分卡!$D$8*AD312+打分卡!$D$9*AE312)/5</f>
        <v>22.6</v>
      </c>
      <c r="AO312" s="44">
        <f>(打分卡!$D$10*AF312+打分卡!$D$11*AG312)/5</f>
        <v>12</v>
      </c>
      <c r="AP312" s="44">
        <f>(打分卡!$D$12*AH312+打分卡!$D$13*AI312+打分卡!$D$14*AJ312+打分卡!$D$15*AK312)/5</f>
        <v>20.8</v>
      </c>
      <c r="AQ312" s="44">
        <f>(打分卡!$D$16*AL312+打分卡!$D$17*AM312)/5</f>
        <v>4.8</v>
      </c>
      <c r="AR312" s="47">
        <f t="shared" si="34"/>
        <v>60.2</v>
      </c>
      <c r="AS312" s="43" t="str">
        <f t="shared" si="35"/>
        <v>腰部</v>
      </c>
      <c r="AT312" s="43" t="str">
        <f t="shared" si="36"/>
        <v/>
      </c>
      <c r="AU312" s="43" t="str">
        <f t="shared" si="37"/>
        <v>拉·主攻：主推AI外呼+大促作战包</v>
      </c>
    </row>
    <row r="313" ht="15" customHeight="1" spans="1:47">
      <c r="A313" s="20" t="s">
        <v>1084</v>
      </c>
      <c r="B313" s="22" t="s">
        <v>1085</v>
      </c>
      <c r="C313" s="22" t="s">
        <v>179</v>
      </c>
      <c r="D313" s="22" t="s">
        <v>196</v>
      </c>
      <c r="E313" s="22" t="s">
        <v>181</v>
      </c>
      <c r="F313" s="20" t="s">
        <v>944</v>
      </c>
      <c r="G313" s="22">
        <v>12</v>
      </c>
      <c r="H313" s="22" t="s">
        <v>301</v>
      </c>
      <c r="I313" s="22" t="s">
        <v>184</v>
      </c>
      <c r="J313" s="36">
        <v>55600</v>
      </c>
      <c r="K313" s="36">
        <v>32800</v>
      </c>
      <c r="L313" s="36">
        <v>15500</v>
      </c>
      <c r="M313" s="36">
        <f t="shared" si="32"/>
        <v>103900</v>
      </c>
      <c r="N313" s="34">
        <f t="shared" si="38"/>
        <v>0.000544710281236172</v>
      </c>
      <c r="O313" s="35">
        <f>SUM($M$2:M313)</f>
        <v>164622600</v>
      </c>
      <c r="P313" s="34">
        <f t="shared" si="39"/>
        <v>0.863057004271703</v>
      </c>
      <c r="Q313" s="39">
        <v>11.2</v>
      </c>
      <c r="R313" s="22">
        <v>4</v>
      </c>
      <c r="S313" s="22">
        <v>2</v>
      </c>
      <c r="T313" s="22">
        <v>2</v>
      </c>
      <c r="U313" s="39">
        <v>4.7</v>
      </c>
      <c r="V313" s="22">
        <v>27</v>
      </c>
      <c r="W313" s="22">
        <v>2</v>
      </c>
      <c r="X313" s="40">
        <v>44</v>
      </c>
      <c r="Y313" s="22">
        <v>3</v>
      </c>
      <c r="Z313" s="22">
        <v>0</v>
      </c>
      <c r="AA313" s="22" t="s">
        <v>185</v>
      </c>
      <c r="AB313" s="22" t="s">
        <v>220</v>
      </c>
      <c r="AC313" s="42">
        <f>IFERROR(LOOKUP(M313,打分卡!$F$7:$J$7,打分卡!$K$7:$O$7),1)</f>
        <v>3</v>
      </c>
      <c r="AD313" s="42">
        <f>IFERROR(LOOKUP(S313,打分卡!$F$8:$J$8,打分卡!$K$8:$O$8),1)</f>
        <v>2</v>
      </c>
      <c r="AE313" s="42">
        <f>IFERROR(LOOKUP(T313,打分卡!$F$9:$I$9,打分卡!$K$9:$N$9),1)</f>
        <v>3</v>
      </c>
      <c r="AF313" s="42">
        <f>IFERROR(LOOKUP(Q313,打分卡!$F$10:$J$10,打分卡!$K$10:$O$10),1)</f>
        <v>3</v>
      </c>
      <c r="AG313" s="42">
        <f>IFERROR(LOOKUP(R313,打分卡!$F$11:$J$11,打分卡!$K$11:$O$11),1)</f>
        <v>2</v>
      </c>
      <c r="AH313" s="42">
        <f>IFERROR(LOOKUP(U313,打分卡!$F$12:$J$12,打分卡!$K$12:$O$12),1)</f>
        <v>2</v>
      </c>
      <c r="AI313" s="42">
        <f>IFERROR(LOOKUP(X313,打分卡!$F$13:$J$13,打分卡!$K$13:$O$13),1)</f>
        <v>3</v>
      </c>
      <c r="AJ313" s="42">
        <f>IFERROR(LOOKUP(Y313,打分卡!$F$14:$J$14,打分卡!$K$14:$O$14),1)</f>
        <v>4</v>
      </c>
      <c r="AK313" s="42">
        <f>IFERROR(LOOKUP(W313,打分卡!$F$15:$J$15,打分卡!$K$15:$O$15),1)</f>
        <v>2</v>
      </c>
      <c r="AL313" s="45">
        <f t="shared" si="33"/>
        <v>3</v>
      </c>
      <c r="AM313" s="42">
        <f>IFERROR(LOOKUP(Z313,打分卡!$F$17:$H$17,打分卡!$K$17:$M$17),1)</f>
        <v>1</v>
      </c>
      <c r="AN313" s="46">
        <f>(打分卡!$D$7*AC313+打分卡!$D$8*AD313+打分卡!$D$9*AE313)/5</f>
        <v>22.4</v>
      </c>
      <c r="AO313" s="46">
        <f>(打分卡!$D$10*AF313+打分卡!$D$11*AG313)/5</f>
        <v>10</v>
      </c>
      <c r="AP313" s="46">
        <f>(打分卡!$D$12*AH313+打分卡!$D$13*AI313+打分卡!$D$14*AJ313+打分卡!$D$15*AK313)/5</f>
        <v>16</v>
      </c>
      <c r="AQ313" s="46">
        <f>(打分卡!$D$16*AL313+打分卡!$D$17*AM313)/5</f>
        <v>4.4</v>
      </c>
      <c r="AR313" s="48">
        <f t="shared" si="34"/>
        <v>52.8</v>
      </c>
      <c r="AS313" s="45" t="str">
        <f t="shared" si="35"/>
        <v>腰部</v>
      </c>
      <c r="AT313" s="45" t="str">
        <f t="shared" si="36"/>
        <v/>
      </c>
      <c r="AU313" s="45" t="str">
        <f t="shared" si="37"/>
        <v>拉·主攻：主推AI外呼+大促作战包</v>
      </c>
    </row>
    <row r="314" ht="15" customHeight="1" spans="1:47">
      <c r="A314" s="30" t="s">
        <v>1086</v>
      </c>
      <c r="B314" s="31" t="s">
        <v>1087</v>
      </c>
      <c r="C314" s="31" t="s">
        <v>209</v>
      </c>
      <c r="D314" s="31" t="s">
        <v>202</v>
      </c>
      <c r="E314" s="31" t="s">
        <v>197</v>
      </c>
      <c r="F314" s="30" t="s">
        <v>1088</v>
      </c>
      <c r="G314" s="31">
        <v>24</v>
      </c>
      <c r="H314" s="31" t="s">
        <v>301</v>
      </c>
      <c r="I314" s="31" t="s">
        <v>184</v>
      </c>
      <c r="J314" s="33">
        <v>65900</v>
      </c>
      <c r="K314" s="33">
        <v>32500</v>
      </c>
      <c r="L314" s="33">
        <v>5200</v>
      </c>
      <c r="M314" s="33">
        <f t="shared" si="32"/>
        <v>103600</v>
      </c>
      <c r="N314" s="34">
        <f t="shared" si="38"/>
        <v>0.000543137489278801</v>
      </c>
      <c r="O314" s="35">
        <f>SUM($M$2:M314)</f>
        <v>164726200</v>
      </c>
      <c r="P314" s="34">
        <f t="shared" si="39"/>
        <v>0.863600141760982</v>
      </c>
      <c r="Q314" s="37">
        <v>9.6</v>
      </c>
      <c r="R314" s="31">
        <v>1</v>
      </c>
      <c r="S314" s="31">
        <v>2</v>
      </c>
      <c r="T314" s="31">
        <v>0</v>
      </c>
      <c r="U314" s="37">
        <v>40.9</v>
      </c>
      <c r="V314" s="31">
        <v>12</v>
      </c>
      <c r="W314" s="31">
        <v>3</v>
      </c>
      <c r="X314" s="38">
        <v>38</v>
      </c>
      <c r="Y314" s="31">
        <v>3</v>
      </c>
      <c r="Z314" s="31">
        <v>0</v>
      </c>
      <c r="AA314" s="31" t="s">
        <v>185</v>
      </c>
      <c r="AB314" s="31" t="s">
        <v>220</v>
      </c>
      <c r="AC314" s="41">
        <f>IFERROR(LOOKUP(M314,打分卡!$F$7:$J$7,打分卡!$K$7:$O$7),1)</f>
        <v>3</v>
      </c>
      <c r="AD314" s="41">
        <f>IFERROR(LOOKUP(S314,打分卡!$F$8:$J$8,打分卡!$K$8:$O$8),1)</f>
        <v>2</v>
      </c>
      <c r="AE314" s="41">
        <f>IFERROR(LOOKUP(T314,打分卡!$F$9:$I$9,打分卡!$K$9:$N$9),1)</f>
        <v>1</v>
      </c>
      <c r="AF314" s="41">
        <f>IFERROR(LOOKUP(Q314,打分卡!$F$10:$J$10,打分卡!$K$10:$O$10),1)</f>
        <v>2</v>
      </c>
      <c r="AG314" s="41">
        <f>IFERROR(LOOKUP(R314,打分卡!$F$11:$J$11,打分卡!$K$11:$O$11),1)</f>
        <v>1</v>
      </c>
      <c r="AH314" s="41">
        <f>IFERROR(LOOKUP(U314,打分卡!$F$12:$J$12,打分卡!$K$12:$O$12),1)</f>
        <v>4</v>
      </c>
      <c r="AI314" s="41">
        <f>IFERROR(LOOKUP(X314,打分卡!$F$13:$J$13,打分卡!$K$13:$O$13),1)</f>
        <v>2</v>
      </c>
      <c r="AJ314" s="41">
        <f>IFERROR(LOOKUP(Y314,打分卡!$F$14:$J$14,打分卡!$K$14:$O$14),1)</f>
        <v>4</v>
      </c>
      <c r="AK314" s="41">
        <f>IFERROR(LOOKUP(W314,打分卡!$F$15:$J$15,打分卡!$K$15:$O$15),1)</f>
        <v>3</v>
      </c>
      <c r="AL314" s="43">
        <f t="shared" si="33"/>
        <v>3</v>
      </c>
      <c r="AM314" s="41">
        <f>IFERROR(LOOKUP(Z314,打分卡!$F$17:$H$17,打分卡!$K$17:$M$17),1)</f>
        <v>1</v>
      </c>
      <c r="AN314" s="44">
        <f>(打分卡!$D$7*AC314+打分卡!$D$8*AD314+打分卡!$D$9*AE314)/5</f>
        <v>19.6</v>
      </c>
      <c r="AO314" s="44">
        <f>(打分卡!$D$10*AF314+打分卡!$D$11*AG314)/5</f>
        <v>6</v>
      </c>
      <c r="AP314" s="44">
        <f>(打分卡!$D$12*AH314+打分卡!$D$13*AI314+打分卡!$D$14*AJ314+打分卡!$D$15*AK314)/5</f>
        <v>20</v>
      </c>
      <c r="AQ314" s="44">
        <f>(打分卡!$D$16*AL314+打分卡!$D$17*AM314)/5</f>
        <v>4.4</v>
      </c>
      <c r="AR314" s="47">
        <f t="shared" si="34"/>
        <v>50</v>
      </c>
      <c r="AS314" s="43" t="str">
        <f t="shared" si="35"/>
        <v>腰部</v>
      </c>
      <c r="AT314" s="43" t="str">
        <f t="shared" si="36"/>
        <v/>
      </c>
      <c r="AU314" s="43" t="str">
        <f t="shared" si="37"/>
        <v>拉·主攻：主推AI外呼+大促作战包</v>
      </c>
    </row>
    <row r="315" ht="15" customHeight="1" spans="1:47">
      <c r="A315" s="20" t="s">
        <v>1089</v>
      </c>
      <c r="B315" s="22" t="s">
        <v>1090</v>
      </c>
      <c r="C315" s="22" t="s">
        <v>179</v>
      </c>
      <c r="D315" s="22" t="s">
        <v>190</v>
      </c>
      <c r="E315" s="22" t="s">
        <v>197</v>
      </c>
      <c r="F315" s="20" t="s">
        <v>324</v>
      </c>
      <c r="G315" s="22">
        <v>24</v>
      </c>
      <c r="H315" s="22" t="s">
        <v>301</v>
      </c>
      <c r="I315" s="22" t="s">
        <v>184</v>
      </c>
      <c r="J315" s="36">
        <v>67000</v>
      </c>
      <c r="K315" s="36">
        <v>31000</v>
      </c>
      <c r="L315" s="36">
        <v>5200</v>
      </c>
      <c r="M315" s="36">
        <f t="shared" si="32"/>
        <v>103200</v>
      </c>
      <c r="N315" s="34">
        <f t="shared" si="38"/>
        <v>0.00054104043333564</v>
      </c>
      <c r="O315" s="35">
        <f>SUM($M$2:M315)</f>
        <v>164829400</v>
      </c>
      <c r="P315" s="34">
        <f t="shared" si="39"/>
        <v>0.864141182194317</v>
      </c>
      <c r="Q315" s="39">
        <v>6.6</v>
      </c>
      <c r="R315" s="22">
        <v>4</v>
      </c>
      <c r="S315" s="22">
        <v>2</v>
      </c>
      <c r="T315" s="22">
        <v>0</v>
      </c>
      <c r="U315" s="39">
        <v>30.4</v>
      </c>
      <c r="V315" s="22">
        <v>16</v>
      </c>
      <c r="W315" s="22">
        <v>1</v>
      </c>
      <c r="X315" s="40">
        <v>88</v>
      </c>
      <c r="Y315" s="22">
        <v>1</v>
      </c>
      <c r="Z315" s="22">
        <v>0</v>
      </c>
      <c r="AA315" s="22" t="s">
        <v>315</v>
      </c>
      <c r="AB315" s="22" t="s">
        <v>220</v>
      </c>
      <c r="AC315" s="42">
        <f>IFERROR(LOOKUP(M315,打分卡!$F$7:$J$7,打分卡!$K$7:$O$7),1)</f>
        <v>3</v>
      </c>
      <c r="AD315" s="42">
        <f>IFERROR(LOOKUP(S315,打分卡!$F$8:$J$8,打分卡!$K$8:$O$8),1)</f>
        <v>2</v>
      </c>
      <c r="AE315" s="42">
        <f>IFERROR(LOOKUP(T315,打分卡!$F$9:$I$9,打分卡!$K$9:$N$9),1)</f>
        <v>1</v>
      </c>
      <c r="AF315" s="42">
        <f>IFERROR(LOOKUP(Q315,打分卡!$F$10:$J$10,打分卡!$K$10:$O$10),1)</f>
        <v>2</v>
      </c>
      <c r="AG315" s="42">
        <f>IFERROR(LOOKUP(R315,打分卡!$F$11:$J$11,打分卡!$K$11:$O$11),1)</f>
        <v>2</v>
      </c>
      <c r="AH315" s="42">
        <f>IFERROR(LOOKUP(U315,打分卡!$F$12:$J$12,打分卡!$K$12:$O$12),1)</f>
        <v>3</v>
      </c>
      <c r="AI315" s="42">
        <f>IFERROR(LOOKUP(X315,打分卡!$F$13:$J$13,打分卡!$K$13:$O$13),1)</f>
        <v>4</v>
      </c>
      <c r="AJ315" s="42">
        <f>IFERROR(LOOKUP(Y315,打分卡!$F$14:$J$14,打分卡!$K$14:$O$14),1)</f>
        <v>2</v>
      </c>
      <c r="AK315" s="42">
        <f>IFERROR(LOOKUP(W315,打分卡!$F$15:$J$15,打分卡!$K$15:$O$15),1)</f>
        <v>2</v>
      </c>
      <c r="AL315" s="45">
        <f t="shared" si="33"/>
        <v>2</v>
      </c>
      <c r="AM315" s="42">
        <f>IFERROR(LOOKUP(Z315,打分卡!$F$17:$H$17,打分卡!$K$17:$M$17),1)</f>
        <v>1</v>
      </c>
      <c r="AN315" s="46">
        <f>(打分卡!$D$7*AC315+打分卡!$D$8*AD315+打分卡!$D$9*AE315)/5</f>
        <v>19.6</v>
      </c>
      <c r="AO315" s="46">
        <f>(打分卡!$D$10*AF315+打分卡!$D$11*AG315)/5</f>
        <v>8</v>
      </c>
      <c r="AP315" s="46">
        <f>(打分卡!$D$12*AH315+打分卡!$D$13*AI315+打分卡!$D$14*AJ315+打分卡!$D$15*AK315)/5</f>
        <v>17.6</v>
      </c>
      <c r="AQ315" s="46">
        <f>(打分卡!$D$16*AL315+打分卡!$D$17*AM315)/5</f>
        <v>3.2</v>
      </c>
      <c r="AR315" s="48">
        <f t="shared" si="34"/>
        <v>48.4</v>
      </c>
      <c r="AS315" s="45" t="str">
        <f t="shared" si="35"/>
        <v>腰部</v>
      </c>
      <c r="AT315" s="45" t="str">
        <f t="shared" si="36"/>
        <v/>
      </c>
      <c r="AU315" s="45" t="str">
        <f t="shared" si="37"/>
        <v>拉·主攻：主推AI外呼+大促作战包</v>
      </c>
    </row>
    <row r="316" ht="15" customHeight="1" spans="1:47">
      <c r="A316" s="30" t="s">
        <v>1091</v>
      </c>
      <c r="B316" s="31" t="s">
        <v>1092</v>
      </c>
      <c r="C316" s="31" t="s">
        <v>239</v>
      </c>
      <c r="D316" s="31" t="s">
        <v>202</v>
      </c>
      <c r="E316" s="31" t="s">
        <v>181</v>
      </c>
      <c r="F316" s="30" t="s">
        <v>664</v>
      </c>
      <c r="G316" s="31">
        <v>21</v>
      </c>
      <c r="H316" s="31" t="s">
        <v>183</v>
      </c>
      <c r="I316" s="31" t="s">
        <v>184</v>
      </c>
      <c r="J316" s="33">
        <v>54700</v>
      </c>
      <c r="K316" s="33">
        <v>40100</v>
      </c>
      <c r="L316" s="33">
        <v>7500</v>
      </c>
      <c r="M316" s="33">
        <f t="shared" si="32"/>
        <v>102300</v>
      </c>
      <c r="N316" s="34">
        <f t="shared" si="38"/>
        <v>0.000536322057463527</v>
      </c>
      <c r="O316" s="35">
        <f>SUM($M$2:M316)</f>
        <v>164931700</v>
      </c>
      <c r="P316" s="34">
        <f t="shared" si="39"/>
        <v>0.864677504251781</v>
      </c>
      <c r="Q316" s="37">
        <v>13.4</v>
      </c>
      <c r="R316" s="31">
        <v>8</v>
      </c>
      <c r="S316" s="31">
        <v>2</v>
      </c>
      <c r="T316" s="31">
        <v>2</v>
      </c>
      <c r="U316" s="37">
        <v>4.3</v>
      </c>
      <c r="V316" s="31">
        <v>16</v>
      </c>
      <c r="W316" s="31">
        <v>0</v>
      </c>
      <c r="X316" s="38">
        <v>81</v>
      </c>
      <c r="Y316" s="31">
        <v>3</v>
      </c>
      <c r="Z316" s="31">
        <v>0</v>
      </c>
      <c r="AA316" s="31" t="s">
        <v>185</v>
      </c>
      <c r="AB316" s="31" t="s">
        <v>220</v>
      </c>
      <c r="AC316" s="41">
        <f>IFERROR(LOOKUP(M316,打分卡!$F$7:$J$7,打分卡!$K$7:$O$7),1)</f>
        <v>3</v>
      </c>
      <c r="AD316" s="41">
        <f>IFERROR(LOOKUP(S316,打分卡!$F$8:$J$8,打分卡!$K$8:$O$8),1)</f>
        <v>2</v>
      </c>
      <c r="AE316" s="41">
        <f>IFERROR(LOOKUP(T316,打分卡!$F$9:$I$9,打分卡!$K$9:$N$9),1)</f>
        <v>3</v>
      </c>
      <c r="AF316" s="41">
        <f>IFERROR(LOOKUP(Q316,打分卡!$F$10:$J$10,打分卡!$K$10:$O$10),1)</f>
        <v>3</v>
      </c>
      <c r="AG316" s="41">
        <f>IFERROR(LOOKUP(R316,打分卡!$F$11:$J$11,打分卡!$K$11:$O$11),1)</f>
        <v>3</v>
      </c>
      <c r="AH316" s="41">
        <f>IFERROR(LOOKUP(U316,打分卡!$F$12:$J$12,打分卡!$K$12:$O$12),1)</f>
        <v>2</v>
      </c>
      <c r="AI316" s="41">
        <f>IFERROR(LOOKUP(X316,打分卡!$F$13:$J$13,打分卡!$K$13:$O$13),1)</f>
        <v>3</v>
      </c>
      <c r="AJ316" s="41">
        <f>IFERROR(LOOKUP(Y316,打分卡!$F$14:$J$14,打分卡!$K$14:$O$14),1)</f>
        <v>4</v>
      </c>
      <c r="AK316" s="41">
        <f>IFERROR(LOOKUP(W316,打分卡!$F$15:$J$15,打分卡!$K$15:$O$15),1)</f>
        <v>1</v>
      </c>
      <c r="AL316" s="43">
        <f t="shared" si="33"/>
        <v>3</v>
      </c>
      <c r="AM316" s="41">
        <f>IFERROR(LOOKUP(Z316,打分卡!$F$17:$H$17,打分卡!$K$17:$M$17),1)</f>
        <v>1</v>
      </c>
      <c r="AN316" s="44">
        <f>(打分卡!$D$7*AC316+打分卡!$D$8*AD316+打分卡!$D$9*AE316)/5</f>
        <v>22.4</v>
      </c>
      <c r="AO316" s="44">
        <f>(打分卡!$D$10*AF316+打分卡!$D$11*AG316)/5</f>
        <v>12</v>
      </c>
      <c r="AP316" s="44">
        <f>(打分卡!$D$12*AH316+打分卡!$D$13*AI316+打分卡!$D$14*AJ316+打分卡!$D$15*AK316)/5</f>
        <v>15.2</v>
      </c>
      <c r="AQ316" s="44">
        <f>(打分卡!$D$16*AL316+打分卡!$D$17*AM316)/5</f>
        <v>4.4</v>
      </c>
      <c r="AR316" s="47">
        <f t="shared" si="34"/>
        <v>54</v>
      </c>
      <c r="AS316" s="43" t="str">
        <f t="shared" si="35"/>
        <v>腰部</v>
      </c>
      <c r="AT316" s="43" t="str">
        <f t="shared" si="36"/>
        <v/>
      </c>
      <c r="AU316" s="43" t="str">
        <f t="shared" si="37"/>
        <v>拉·主攻：主推AI外呼+大促作战包</v>
      </c>
    </row>
    <row r="317" ht="15" customHeight="1" spans="1:47">
      <c r="A317" s="20" t="s">
        <v>1093</v>
      </c>
      <c r="B317" s="22" t="s">
        <v>1094</v>
      </c>
      <c r="C317" s="22" t="s">
        <v>195</v>
      </c>
      <c r="D317" s="22" t="s">
        <v>202</v>
      </c>
      <c r="E317" s="22" t="s">
        <v>197</v>
      </c>
      <c r="F317" s="20" t="s">
        <v>1095</v>
      </c>
      <c r="G317" s="22">
        <v>22</v>
      </c>
      <c r="H317" s="22" t="s">
        <v>301</v>
      </c>
      <c r="I317" s="22" t="s">
        <v>302</v>
      </c>
      <c r="J317" s="36">
        <v>65300</v>
      </c>
      <c r="K317" s="36">
        <v>29500</v>
      </c>
      <c r="L317" s="36">
        <v>7400</v>
      </c>
      <c r="M317" s="36">
        <f t="shared" si="32"/>
        <v>102200</v>
      </c>
      <c r="N317" s="34">
        <f t="shared" si="38"/>
        <v>0.000535797793477737</v>
      </c>
      <c r="O317" s="35">
        <f>SUM($M$2:M317)</f>
        <v>165033900</v>
      </c>
      <c r="P317" s="34">
        <f t="shared" si="39"/>
        <v>0.865213302045259</v>
      </c>
      <c r="Q317" s="39">
        <v>6.9</v>
      </c>
      <c r="R317" s="22">
        <v>10</v>
      </c>
      <c r="S317" s="22">
        <v>3</v>
      </c>
      <c r="T317" s="22">
        <v>1</v>
      </c>
      <c r="U317" s="39">
        <v>19.2</v>
      </c>
      <c r="V317" s="22">
        <v>22</v>
      </c>
      <c r="W317" s="22">
        <v>2</v>
      </c>
      <c r="X317" s="40">
        <v>59</v>
      </c>
      <c r="Y317" s="22">
        <v>2</v>
      </c>
      <c r="Z317" s="22">
        <v>1</v>
      </c>
      <c r="AA317" s="22" t="s">
        <v>199</v>
      </c>
      <c r="AB317" s="22" t="s">
        <v>220</v>
      </c>
      <c r="AC317" s="42">
        <f>IFERROR(LOOKUP(M317,打分卡!$F$7:$J$7,打分卡!$K$7:$O$7),1)</f>
        <v>3</v>
      </c>
      <c r="AD317" s="42">
        <f>IFERROR(LOOKUP(S317,打分卡!$F$8:$J$8,打分卡!$K$8:$O$8),1)</f>
        <v>3</v>
      </c>
      <c r="AE317" s="42">
        <f>IFERROR(LOOKUP(T317,打分卡!$F$9:$I$9,打分卡!$K$9:$N$9),1)</f>
        <v>2</v>
      </c>
      <c r="AF317" s="42">
        <f>IFERROR(LOOKUP(Q317,打分卡!$F$10:$J$10,打分卡!$K$10:$O$10),1)</f>
        <v>2</v>
      </c>
      <c r="AG317" s="42">
        <f>IFERROR(LOOKUP(R317,打分卡!$F$11:$J$11,打分卡!$K$11:$O$11),1)</f>
        <v>4</v>
      </c>
      <c r="AH317" s="42">
        <f>IFERROR(LOOKUP(U317,打分卡!$F$12:$J$12,打分卡!$K$12:$O$12),1)</f>
        <v>3</v>
      </c>
      <c r="AI317" s="42">
        <f>IFERROR(LOOKUP(X317,打分卡!$F$13:$J$13,打分卡!$K$13:$O$13),1)</f>
        <v>3</v>
      </c>
      <c r="AJ317" s="42">
        <f>IFERROR(LOOKUP(Y317,打分卡!$F$14:$J$14,打分卡!$K$14:$O$14),1)</f>
        <v>3</v>
      </c>
      <c r="AK317" s="42">
        <f>IFERROR(LOOKUP(W317,打分卡!$F$15:$J$15,打分卡!$K$15:$O$15),1)</f>
        <v>2</v>
      </c>
      <c r="AL317" s="45">
        <f t="shared" si="33"/>
        <v>5</v>
      </c>
      <c r="AM317" s="42">
        <f>IFERROR(LOOKUP(Z317,打分卡!$F$17:$H$17,打分卡!$K$17:$M$17),1)</f>
        <v>3</v>
      </c>
      <c r="AN317" s="46">
        <f>(打分卡!$D$7*AC317+打分卡!$D$8*AD317+打分卡!$D$9*AE317)/5</f>
        <v>22.6</v>
      </c>
      <c r="AO317" s="46">
        <f>(打分卡!$D$10*AF317+打分卡!$D$11*AG317)/5</f>
        <v>12</v>
      </c>
      <c r="AP317" s="46">
        <f>(打分卡!$D$12*AH317+打分卡!$D$13*AI317+打分卡!$D$14*AJ317+打分卡!$D$15*AK317)/5</f>
        <v>17.2</v>
      </c>
      <c r="AQ317" s="46">
        <f>(打分卡!$D$16*AL317+打分卡!$D$17*AM317)/5</f>
        <v>8.4</v>
      </c>
      <c r="AR317" s="48">
        <f t="shared" si="34"/>
        <v>60.2</v>
      </c>
      <c r="AS317" s="45" t="str">
        <f t="shared" si="35"/>
        <v>腰部</v>
      </c>
      <c r="AT317" s="45" t="str">
        <f t="shared" si="36"/>
        <v/>
      </c>
      <c r="AU317" s="45" t="str">
        <f t="shared" si="37"/>
        <v>拉·主攻：主推AI外呼+大促作战包</v>
      </c>
    </row>
    <row r="318" ht="15" customHeight="1" spans="1:47">
      <c r="A318" s="30" t="s">
        <v>1096</v>
      </c>
      <c r="B318" s="31" t="s">
        <v>1097</v>
      </c>
      <c r="C318" s="31" t="s">
        <v>195</v>
      </c>
      <c r="D318" s="31" t="s">
        <v>202</v>
      </c>
      <c r="E318" s="31" t="s">
        <v>181</v>
      </c>
      <c r="F318" s="30" t="s">
        <v>781</v>
      </c>
      <c r="G318" s="31">
        <v>21</v>
      </c>
      <c r="H318" s="31" t="s">
        <v>301</v>
      </c>
      <c r="I318" s="31" t="s">
        <v>302</v>
      </c>
      <c r="J318" s="33">
        <v>50800</v>
      </c>
      <c r="K318" s="33">
        <v>24700</v>
      </c>
      <c r="L318" s="33">
        <v>26200</v>
      </c>
      <c r="M318" s="33">
        <f t="shared" si="32"/>
        <v>101700</v>
      </c>
      <c r="N318" s="34">
        <f t="shared" si="38"/>
        <v>0.000533176473548785</v>
      </c>
      <c r="O318" s="35">
        <f>SUM($M$2:M318)</f>
        <v>165135600</v>
      </c>
      <c r="P318" s="34">
        <f t="shared" si="39"/>
        <v>0.865746478518807</v>
      </c>
      <c r="Q318" s="37">
        <v>7.3</v>
      </c>
      <c r="R318" s="31">
        <v>7</v>
      </c>
      <c r="S318" s="31">
        <v>2</v>
      </c>
      <c r="T318" s="31">
        <v>0</v>
      </c>
      <c r="U318" s="37">
        <v>34.5</v>
      </c>
      <c r="V318" s="31">
        <v>24</v>
      </c>
      <c r="W318" s="31">
        <v>1</v>
      </c>
      <c r="X318" s="38">
        <v>14</v>
      </c>
      <c r="Y318" s="31">
        <v>3</v>
      </c>
      <c r="Z318" s="31">
        <v>0</v>
      </c>
      <c r="AA318" s="31" t="s">
        <v>315</v>
      </c>
      <c r="AB318" s="31" t="s">
        <v>220</v>
      </c>
      <c r="AC318" s="41">
        <f>IFERROR(LOOKUP(M318,打分卡!$F$7:$J$7,打分卡!$K$7:$O$7),1)</f>
        <v>3</v>
      </c>
      <c r="AD318" s="41">
        <f>IFERROR(LOOKUP(S318,打分卡!$F$8:$J$8,打分卡!$K$8:$O$8),1)</f>
        <v>2</v>
      </c>
      <c r="AE318" s="41">
        <f>IFERROR(LOOKUP(T318,打分卡!$F$9:$I$9,打分卡!$K$9:$N$9),1)</f>
        <v>1</v>
      </c>
      <c r="AF318" s="41">
        <f>IFERROR(LOOKUP(Q318,打分卡!$F$10:$J$10,打分卡!$K$10:$O$10),1)</f>
        <v>2</v>
      </c>
      <c r="AG318" s="41">
        <f>IFERROR(LOOKUP(R318,打分卡!$F$11:$J$11,打分卡!$K$11:$O$11),1)</f>
        <v>3</v>
      </c>
      <c r="AH318" s="41">
        <f>IFERROR(LOOKUP(U318,打分卡!$F$12:$J$12,打分卡!$K$12:$O$12),1)</f>
        <v>4</v>
      </c>
      <c r="AI318" s="41">
        <f>IFERROR(LOOKUP(X318,打分卡!$F$13:$J$13,打分卡!$K$13:$O$13),1)</f>
        <v>1</v>
      </c>
      <c r="AJ318" s="41">
        <f>IFERROR(LOOKUP(Y318,打分卡!$F$14:$J$14,打分卡!$K$14:$O$14),1)</f>
        <v>4</v>
      </c>
      <c r="AK318" s="41">
        <f>IFERROR(LOOKUP(W318,打分卡!$F$15:$J$15,打分卡!$K$15:$O$15),1)</f>
        <v>2</v>
      </c>
      <c r="AL318" s="43">
        <f t="shared" si="33"/>
        <v>2</v>
      </c>
      <c r="AM318" s="41">
        <f>IFERROR(LOOKUP(Z318,打分卡!$F$17:$H$17,打分卡!$K$17:$M$17),1)</f>
        <v>1</v>
      </c>
      <c r="AN318" s="44">
        <f>(打分卡!$D$7*AC318+打分卡!$D$8*AD318+打分卡!$D$9*AE318)/5</f>
        <v>19.6</v>
      </c>
      <c r="AO318" s="44">
        <f>(打分卡!$D$10*AF318+打分卡!$D$11*AG318)/5</f>
        <v>10</v>
      </c>
      <c r="AP318" s="44">
        <f>(打分卡!$D$12*AH318+打分卡!$D$13*AI318+打分卡!$D$14*AJ318+打分卡!$D$15*AK318)/5</f>
        <v>17.6</v>
      </c>
      <c r="AQ318" s="44">
        <f>(打分卡!$D$16*AL318+打分卡!$D$17*AM318)/5</f>
        <v>3.2</v>
      </c>
      <c r="AR318" s="47">
        <f t="shared" si="34"/>
        <v>50.4</v>
      </c>
      <c r="AS318" s="43" t="str">
        <f t="shared" si="35"/>
        <v>腰部</v>
      </c>
      <c r="AT318" s="43" t="str">
        <f t="shared" si="36"/>
        <v/>
      </c>
      <c r="AU318" s="43" t="str">
        <f t="shared" si="37"/>
        <v>拉·主攻：主推AI外呼+大促作战包</v>
      </c>
    </row>
    <row r="319" ht="15" customHeight="1" spans="1:47">
      <c r="A319" s="20" t="s">
        <v>1098</v>
      </c>
      <c r="B319" s="22" t="s">
        <v>1099</v>
      </c>
      <c r="C319" s="22" t="s">
        <v>239</v>
      </c>
      <c r="D319" s="22" t="s">
        <v>202</v>
      </c>
      <c r="E319" s="22" t="s">
        <v>197</v>
      </c>
      <c r="F319" s="20" t="s">
        <v>790</v>
      </c>
      <c r="G319" s="22">
        <v>16</v>
      </c>
      <c r="H319" s="22" t="s">
        <v>301</v>
      </c>
      <c r="I319" s="22" t="s">
        <v>302</v>
      </c>
      <c r="J319" s="36">
        <v>55200</v>
      </c>
      <c r="K319" s="36">
        <v>30000</v>
      </c>
      <c r="L319" s="36">
        <v>16200</v>
      </c>
      <c r="M319" s="36">
        <f t="shared" si="32"/>
        <v>101400</v>
      </c>
      <c r="N319" s="34">
        <f t="shared" si="38"/>
        <v>0.000531603681591414</v>
      </c>
      <c r="O319" s="35">
        <f>SUM($M$2:M319)</f>
        <v>165237000</v>
      </c>
      <c r="P319" s="34">
        <f t="shared" si="39"/>
        <v>0.866278082200399</v>
      </c>
      <c r="Q319" s="39">
        <v>9.4</v>
      </c>
      <c r="R319" s="22">
        <v>6</v>
      </c>
      <c r="S319" s="22">
        <v>1</v>
      </c>
      <c r="T319" s="22">
        <v>2</v>
      </c>
      <c r="U319" s="39">
        <v>2</v>
      </c>
      <c r="V319" s="22">
        <v>19</v>
      </c>
      <c r="W319" s="22">
        <v>1</v>
      </c>
      <c r="X319" s="40">
        <v>111</v>
      </c>
      <c r="Y319" s="22">
        <v>1</v>
      </c>
      <c r="Z319" s="22">
        <v>1</v>
      </c>
      <c r="AA319" s="22" t="s">
        <v>315</v>
      </c>
      <c r="AB319" s="22" t="s">
        <v>220</v>
      </c>
      <c r="AC319" s="42">
        <f>IFERROR(LOOKUP(M319,打分卡!$F$7:$J$7,打分卡!$K$7:$O$7),1)</f>
        <v>3</v>
      </c>
      <c r="AD319" s="42">
        <f>IFERROR(LOOKUP(S319,打分卡!$F$8:$J$8,打分卡!$K$8:$O$8),1)</f>
        <v>1</v>
      </c>
      <c r="AE319" s="42">
        <f>IFERROR(LOOKUP(T319,打分卡!$F$9:$I$9,打分卡!$K$9:$N$9),1)</f>
        <v>3</v>
      </c>
      <c r="AF319" s="42">
        <f>IFERROR(LOOKUP(Q319,打分卡!$F$10:$J$10,打分卡!$K$10:$O$10),1)</f>
        <v>2</v>
      </c>
      <c r="AG319" s="42">
        <f>IFERROR(LOOKUP(R319,打分卡!$F$11:$J$11,打分卡!$K$11:$O$11),1)</f>
        <v>3</v>
      </c>
      <c r="AH319" s="42">
        <f>IFERROR(LOOKUP(U319,打分卡!$F$12:$J$12,打分卡!$K$12:$O$12),1)</f>
        <v>1</v>
      </c>
      <c r="AI319" s="42">
        <f>IFERROR(LOOKUP(X319,打分卡!$F$13:$J$13,打分卡!$K$13:$O$13),1)</f>
        <v>4</v>
      </c>
      <c r="AJ319" s="42">
        <f>IFERROR(LOOKUP(Y319,打分卡!$F$14:$J$14,打分卡!$K$14:$O$14),1)</f>
        <v>2</v>
      </c>
      <c r="AK319" s="42">
        <f>IFERROR(LOOKUP(W319,打分卡!$F$15:$J$15,打分卡!$K$15:$O$15),1)</f>
        <v>2</v>
      </c>
      <c r="AL319" s="45">
        <f t="shared" si="33"/>
        <v>2</v>
      </c>
      <c r="AM319" s="42">
        <f>IFERROR(LOOKUP(Z319,打分卡!$F$17:$H$17,打分卡!$K$17:$M$17),1)</f>
        <v>3</v>
      </c>
      <c r="AN319" s="46">
        <f>(打分卡!$D$7*AC319+打分卡!$D$8*AD319+打分卡!$D$9*AE319)/5</f>
        <v>20.8</v>
      </c>
      <c r="AO319" s="46">
        <f>(打分卡!$D$10*AF319+打分卡!$D$11*AG319)/5</f>
        <v>10</v>
      </c>
      <c r="AP319" s="46">
        <f>(打分卡!$D$12*AH319+打分卡!$D$13*AI319+打分卡!$D$14*AJ319+打分卡!$D$15*AK319)/5</f>
        <v>12.8</v>
      </c>
      <c r="AQ319" s="46">
        <f>(打分卡!$D$16*AL319+打分卡!$D$17*AM319)/5</f>
        <v>4.8</v>
      </c>
      <c r="AR319" s="48">
        <f t="shared" si="34"/>
        <v>48.4</v>
      </c>
      <c r="AS319" s="45" t="str">
        <f t="shared" si="35"/>
        <v>腰部</v>
      </c>
      <c r="AT319" s="45" t="str">
        <f t="shared" si="36"/>
        <v/>
      </c>
      <c r="AU319" s="45" t="str">
        <f t="shared" si="37"/>
        <v>拉·主攻：主推AI外呼+大促作战包</v>
      </c>
    </row>
    <row r="320" ht="15" customHeight="1" spans="1:47">
      <c r="A320" s="30" t="s">
        <v>1100</v>
      </c>
      <c r="B320" s="31" t="s">
        <v>1101</v>
      </c>
      <c r="C320" s="31" t="s">
        <v>223</v>
      </c>
      <c r="D320" s="31" t="s">
        <v>227</v>
      </c>
      <c r="E320" s="31" t="s">
        <v>197</v>
      </c>
      <c r="F320" s="30" t="s">
        <v>1102</v>
      </c>
      <c r="G320" s="31">
        <v>3</v>
      </c>
      <c r="H320" s="31" t="s">
        <v>301</v>
      </c>
      <c r="I320" s="31" t="s">
        <v>302</v>
      </c>
      <c r="J320" s="33">
        <v>58900</v>
      </c>
      <c r="K320" s="33">
        <v>32500</v>
      </c>
      <c r="L320" s="33">
        <v>9600</v>
      </c>
      <c r="M320" s="33">
        <f t="shared" si="32"/>
        <v>101000</v>
      </c>
      <c r="N320" s="34">
        <f t="shared" si="38"/>
        <v>0.000529506625648252</v>
      </c>
      <c r="O320" s="35">
        <f>SUM($M$2:M320)</f>
        <v>165338000</v>
      </c>
      <c r="P320" s="34">
        <f t="shared" si="39"/>
        <v>0.866807588826047</v>
      </c>
      <c r="Q320" s="37">
        <v>9.8</v>
      </c>
      <c r="R320" s="31">
        <v>3</v>
      </c>
      <c r="S320" s="31">
        <v>3</v>
      </c>
      <c r="T320" s="31">
        <v>1</v>
      </c>
      <c r="U320" s="37">
        <v>12.2</v>
      </c>
      <c r="V320" s="31">
        <v>5</v>
      </c>
      <c r="W320" s="31">
        <v>2</v>
      </c>
      <c r="X320" s="38">
        <v>18</v>
      </c>
      <c r="Y320" s="31">
        <v>2</v>
      </c>
      <c r="Z320" s="31">
        <v>1</v>
      </c>
      <c r="AA320" s="31" t="s">
        <v>199</v>
      </c>
      <c r="AB320" s="31" t="s">
        <v>220</v>
      </c>
      <c r="AC320" s="41">
        <f>IFERROR(LOOKUP(M320,打分卡!$F$7:$J$7,打分卡!$K$7:$O$7),1)</f>
        <v>3</v>
      </c>
      <c r="AD320" s="41">
        <f>IFERROR(LOOKUP(S320,打分卡!$F$8:$J$8,打分卡!$K$8:$O$8),1)</f>
        <v>3</v>
      </c>
      <c r="AE320" s="41">
        <f>IFERROR(LOOKUP(T320,打分卡!$F$9:$I$9,打分卡!$K$9:$N$9),1)</f>
        <v>2</v>
      </c>
      <c r="AF320" s="41">
        <f>IFERROR(LOOKUP(Q320,打分卡!$F$10:$J$10,打分卡!$K$10:$O$10),1)</f>
        <v>3</v>
      </c>
      <c r="AG320" s="41">
        <f>IFERROR(LOOKUP(R320,打分卡!$F$11:$J$11,打分卡!$K$11:$O$11),1)</f>
        <v>2</v>
      </c>
      <c r="AH320" s="41">
        <f>IFERROR(LOOKUP(U320,打分卡!$F$12:$J$12,打分卡!$K$12:$O$12),1)</f>
        <v>3</v>
      </c>
      <c r="AI320" s="41">
        <f>IFERROR(LOOKUP(X320,打分卡!$F$13:$J$13,打分卡!$K$13:$O$13),1)</f>
        <v>2</v>
      </c>
      <c r="AJ320" s="41">
        <f>IFERROR(LOOKUP(Y320,打分卡!$F$14:$J$14,打分卡!$K$14:$O$14),1)</f>
        <v>3</v>
      </c>
      <c r="AK320" s="41">
        <f>IFERROR(LOOKUP(W320,打分卡!$F$15:$J$15,打分卡!$K$15:$O$15),1)</f>
        <v>2</v>
      </c>
      <c r="AL320" s="43">
        <f t="shared" si="33"/>
        <v>5</v>
      </c>
      <c r="AM320" s="41">
        <f>IFERROR(LOOKUP(Z320,打分卡!$F$17:$H$17,打分卡!$K$17:$M$17),1)</f>
        <v>3</v>
      </c>
      <c r="AN320" s="44">
        <f>(打分卡!$D$7*AC320+打分卡!$D$8*AD320+打分卡!$D$9*AE320)/5</f>
        <v>22.6</v>
      </c>
      <c r="AO320" s="44">
        <f>(打分卡!$D$10*AF320+打分卡!$D$11*AG320)/5</f>
        <v>10</v>
      </c>
      <c r="AP320" s="44">
        <f>(打分卡!$D$12*AH320+打分卡!$D$13*AI320+打分卡!$D$14*AJ320+打分卡!$D$15*AK320)/5</f>
        <v>15.6</v>
      </c>
      <c r="AQ320" s="44">
        <f>(打分卡!$D$16*AL320+打分卡!$D$17*AM320)/5</f>
        <v>8.4</v>
      </c>
      <c r="AR320" s="47">
        <f t="shared" si="34"/>
        <v>56.6</v>
      </c>
      <c r="AS320" s="43" t="str">
        <f t="shared" si="35"/>
        <v>腰部</v>
      </c>
      <c r="AT320" s="43" t="str">
        <f t="shared" si="36"/>
        <v/>
      </c>
      <c r="AU320" s="43" t="str">
        <f t="shared" si="37"/>
        <v>拉·主攻：主推AI外呼+大促作战包</v>
      </c>
    </row>
    <row r="321" ht="15" customHeight="1" spans="1:47">
      <c r="A321" s="20" t="s">
        <v>1103</v>
      </c>
      <c r="B321" s="22" t="s">
        <v>1104</v>
      </c>
      <c r="C321" s="22" t="s">
        <v>223</v>
      </c>
      <c r="D321" s="22" t="s">
        <v>190</v>
      </c>
      <c r="E321" s="22" t="s">
        <v>181</v>
      </c>
      <c r="F321" s="20" t="s">
        <v>478</v>
      </c>
      <c r="G321" s="22">
        <v>18</v>
      </c>
      <c r="H321" s="22" t="s">
        <v>301</v>
      </c>
      <c r="I321" s="22" t="s">
        <v>302</v>
      </c>
      <c r="J321" s="36">
        <v>48600</v>
      </c>
      <c r="K321" s="36">
        <v>34100</v>
      </c>
      <c r="L321" s="36">
        <v>18300</v>
      </c>
      <c r="M321" s="36">
        <f t="shared" si="32"/>
        <v>101000</v>
      </c>
      <c r="N321" s="34">
        <f t="shared" si="38"/>
        <v>0.000529506625648252</v>
      </c>
      <c r="O321" s="35">
        <f>SUM($M$2:M321)</f>
        <v>165439000</v>
      </c>
      <c r="P321" s="34">
        <f t="shared" si="39"/>
        <v>0.867337095451695</v>
      </c>
      <c r="Q321" s="39">
        <v>9.8</v>
      </c>
      <c r="R321" s="22">
        <v>4</v>
      </c>
      <c r="S321" s="22">
        <v>1</v>
      </c>
      <c r="T321" s="22">
        <v>0</v>
      </c>
      <c r="U321" s="39">
        <v>2.4</v>
      </c>
      <c r="V321" s="22">
        <v>12</v>
      </c>
      <c r="W321" s="22">
        <v>1</v>
      </c>
      <c r="X321" s="40">
        <v>30</v>
      </c>
      <c r="Y321" s="22">
        <v>2</v>
      </c>
      <c r="Z321" s="22">
        <v>1</v>
      </c>
      <c r="AA321" s="22" t="s">
        <v>185</v>
      </c>
      <c r="AB321" s="22" t="s">
        <v>220</v>
      </c>
      <c r="AC321" s="42">
        <f>IFERROR(LOOKUP(M321,打分卡!$F$7:$J$7,打分卡!$K$7:$O$7),1)</f>
        <v>3</v>
      </c>
      <c r="AD321" s="42">
        <f>IFERROR(LOOKUP(S321,打分卡!$F$8:$J$8,打分卡!$K$8:$O$8),1)</f>
        <v>1</v>
      </c>
      <c r="AE321" s="42">
        <f>IFERROR(LOOKUP(T321,打分卡!$F$9:$I$9,打分卡!$K$9:$N$9),1)</f>
        <v>1</v>
      </c>
      <c r="AF321" s="42">
        <f>IFERROR(LOOKUP(Q321,打分卡!$F$10:$J$10,打分卡!$K$10:$O$10),1)</f>
        <v>3</v>
      </c>
      <c r="AG321" s="42">
        <f>IFERROR(LOOKUP(R321,打分卡!$F$11:$J$11,打分卡!$K$11:$O$11),1)</f>
        <v>2</v>
      </c>
      <c r="AH321" s="42">
        <f>IFERROR(LOOKUP(U321,打分卡!$F$12:$J$12,打分卡!$K$12:$O$12),1)</f>
        <v>1</v>
      </c>
      <c r="AI321" s="42">
        <f>IFERROR(LOOKUP(X321,打分卡!$F$13:$J$13,打分卡!$K$13:$O$13),1)</f>
        <v>2</v>
      </c>
      <c r="AJ321" s="42">
        <f>IFERROR(LOOKUP(Y321,打分卡!$F$14:$J$14,打分卡!$K$14:$O$14),1)</f>
        <v>3</v>
      </c>
      <c r="AK321" s="42">
        <f>IFERROR(LOOKUP(W321,打分卡!$F$15:$J$15,打分卡!$K$15:$O$15),1)</f>
        <v>2</v>
      </c>
      <c r="AL321" s="45">
        <f t="shared" si="33"/>
        <v>3</v>
      </c>
      <c r="AM321" s="42">
        <f>IFERROR(LOOKUP(Z321,打分卡!$F$17:$H$17,打分卡!$K$17:$M$17),1)</f>
        <v>3</v>
      </c>
      <c r="AN321" s="46">
        <f>(打分卡!$D$7*AC321+打分卡!$D$8*AD321+打分卡!$D$9*AE321)/5</f>
        <v>18</v>
      </c>
      <c r="AO321" s="46">
        <f>(打分卡!$D$10*AF321+打分卡!$D$11*AG321)/5</f>
        <v>10</v>
      </c>
      <c r="AP321" s="46">
        <f>(打分卡!$D$12*AH321+打分卡!$D$13*AI321+打分卡!$D$14*AJ321+打分卡!$D$15*AK321)/5</f>
        <v>10.8</v>
      </c>
      <c r="AQ321" s="46">
        <f>(打分卡!$D$16*AL321+打分卡!$D$17*AM321)/5</f>
        <v>6</v>
      </c>
      <c r="AR321" s="48">
        <f t="shared" si="34"/>
        <v>44.8</v>
      </c>
      <c r="AS321" s="45" t="str">
        <f t="shared" si="35"/>
        <v>腰部</v>
      </c>
      <c r="AT321" s="45" t="str">
        <f t="shared" si="36"/>
        <v/>
      </c>
      <c r="AU321" s="45" t="str">
        <f t="shared" si="37"/>
        <v>拉·主攻：主推AI外呼+大促作战包</v>
      </c>
    </row>
    <row r="322" ht="15" customHeight="1" spans="1:47">
      <c r="A322" s="30" t="s">
        <v>1105</v>
      </c>
      <c r="B322" s="31" t="s">
        <v>1106</v>
      </c>
      <c r="C322" s="31" t="s">
        <v>189</v>
      </c>
      <c r="D322" s="31" t="s">
        <v>202</v>
      </c>
      <c r="E322" s="31" t="s">
        <v>181</v>
      </c>
      <c r="F322" s="30" t="s">
        <v>1107</v>
      </c>
      <c r="G322" s="31">
        <v>10</v>
      </c>
      <c r="H322" s="31" t="s">
        <v>301</v>
      </c>
      <c r="I322" s="31" t="s">
        <v>302</v>
      </c>
      <c r="J322" s="33">
        <v>64400</v>
      </c>
      <c r="K322" s="33">
        <v>21500</v>
      </c>
      <c r="L322" s="33">
        <v>15000</v>
      </c>
      <c r="M322" s="33">
        <f t="shared" ref="M322:M385" si="40">SUM(J322:L322)</f>
        <v>100900</v>
      </c>
      <c r="N322" s="34">
        <f t="shared" si="38"/>
        <v>0.000528982361662462</v>
      </c>
      <c r="O322" s="35">
        <f>SUM($M$2:M322)</f>
        <v>165539900</v>
      </c>
      <c r="P322" s="34">
        <f t="shared" si="39"/>
        <v>0.867866077813358</v>
      </c>
      <c r="Q322" s="37">
        <v>14.5</v>
      </c>
      <c r="R322" s="31">
        <v>6</v>
      </c>
      <c r="S322" s="31">
        <v>2</v>
      </c>
      <c r="T322" s="31">
        <v>1</v>
      </c>
      <c r="U322" s="37">
        <v>3.4</v>
      </c>
      <c r="V322" s="31">
        <v>25</v>
      </c>
      <c r="W322" s="31">
        <v>4</v>
      </c>
      <c r="X322" s="38">
        <v>11</v>
      </c>
      <c r="Y322" s="31">
        <v>3</v>
      </c>
      <c r="Z322" s="31">
        <v>0</v>
      </c>
      <c r="AA322" s="31" t="s">
        <v>185</v>
      </c>
      <c r="AB322" s="31" t="s">
        <v>220</v>
      </c>
      <c r="AC322" s="41">
        <f>IFERROR(LOOKUP(M322,打分卡!$F$7:$J$7,打分卡!$K$7:$O$7),1)</f>
        <v>3</v>
      </c>
      <c r="AD322" s="41">
        <f>IFERROR(LOOKUP(S322,打分卡!$F$8:$J$8,打分卡!$K$8:$O$8),1)</f>
        <v>2</v>
      </c>
      <c r="AE322" s="41">
        <f>IFERROR(LOOKUP(T322,打分卡!$F$9:$I$9,打分卡!$K$9:$N$9),1)</f>
        <v>2</v>
      </c>
      <c r="AF322" s="41">
        <f>IFERROR(LOOKUP(Q322,打分卡!$F$10:$J$10,打分卡!$K$10:$O$10),1)</f>
        <v>3</v>
      </c>
      <c r="AG322" s="41">
        <f>IFERROR(LOOKUP(R322,打分卡!$F$11:$J$11,打分卡!$K$11:$O$11),1)</f>
        <v>3</v>
      </c>
      <c r="AH322" s="41">
        <f>IFERROR(LOOKUP(U322,打分卡!$F$12:$J$12,打分卡!$K$12:$O$12),1)</f>
        <v>2</v>
      </c>
      <c r="AI322" s="41">
        <f>IFERROR(LOOKUP(X322,打分卡!$F$13:$J$13,打分卡!$K$13:$O$13),1)</f>
        <v>1</v>
      </c>
      <c r="AJ322" s="41">
        <f>IFERROR(LOOKUP(Y322,打分卡!$F$14:$J$14,打分卡!$K$14:$O$14),1)</f>
        <v>4</v>
      </c>
      <c r="AK322" s="41">
        <f>IFERROR(LOOKUP(W322,打分卡!$F$15:$J$15,打分卡!$K$15:$O$15),1)</f>
        <v>3</v>
      </c>
      <c r="AL322" s="43">
        <f t="shared" ref="AL322:AL385" si="41">IF(AA322="连续下降",1,IF(AA322="下降",2,IF(AA322="上升",5,3)))</f>
        <v>3</v>
      </c>
      <c r="AM322" s="41">
        <f>IFERROR(LOOKUP(Z322,打分卡!$F$17:$H$17,打分卡!$K$17:$M$17),1)</f>
        <v>1</v>
      </c>
      <c r="AN322" s="44">
        <f>(打分卡!$D$7*AC322+打分卡!$D$8*AD322+打分卡!$D$9*AE322)/5</f>
        <v>21</v>
      </c>
      <c r="AO322" s="44">
        <f>(打分卡!$D$10*AF322+打分卡!$D$11*AG322)/5</f>
        <v>12</v>
      </c>
      <c r="AP322" s="44">
        <f>(打分卡!$D$12*AH322+打分卡!$D$13*AI322+打分卡!$D$14*AJ322+打分卡!$D$15*AK322)/5</f>
        <v>13.6</v>
      </c>
      <c r="AQ322" s="44">
        <f>(打分卡!$D$16*AL322+打分卡!$D$17*AM322)/5</f>
        <v>4.4</v>
      </c>
      <c r="AR322" s="47">
        <f t="shared" ref="AR322:AR385" si="42">IF(G322&lt;3,AP322/30*40+AO322+AP322+AQ322,AN322+AO322+AP322+AQ322)</f>
        <v>51</v>
      </c>
      <c r="AS322" s="43" t="str">
        <f t="shared" ref="AS322:AS385" si="43">IF(M322=0,IF(G322&lt;3,"新客观察期","未激活"),IF(AR322&gt;=90,"SKA",IF(AR322&gt;=75,"KA",IF(AR322&gt;=40,"腰部","基础长尾"))))</f>
        <v>腰部</v>
      </c>
      <c r="AT322" s="43" t="str">
        <f t="shared" ref="AT322:AT385" si="44">IF(AA322="连续下降","连续下降-预警","")</f>
        <v/>
      </c>
      <c r="AU322" s="43" t="str">
        <f t="shared" ref="AU322:AU385" si="45">IF(AS322="SKA","守·共创：卡片短信/AI外呼新场景POC",IF(AS322="KA","扩·深化：AI外呼场景深化+Push/企微补全",IF(AS322="腰部","拉·主攻：主推AI外呼+大促作战包",IF(AS322="新客观察期","培育：入门包+1v1场景教育",IF(AS322="基础长尾","激活：企微+Push低成本先跑","唤醒：短信模板+首充补贴")))))</f>
        <v>拉·主攻：主推AI外呼+大促作战包</v>
      </c>
    </row>
    <row r="323" ht="15" customHeight="1" spans="1:47">
      <c r="A323" s="20" t="s">
        <v>1108</v>
      </c>
      <c r="B323" s="22" t="s">
        <v>1109</v>
      </c>
      <c r="C323" s="22" t="s">
        <v>218</v>
      </c>
      <c r="D323" s="22" t="s">
        <v>235</v>
      </c>
      <c r="E323" s="22" t="s">
        <v>181</v>
      </c>
      <c r="F323" s="20" t="s">
        <v>702</v>
      </c>
      <c r="G323" s="22">
        <v>10</v>
      </c>
      <c r="H323" s="22" t="s">
        <v>301</v>
      </c>
      <c r="I323" s="22" t="s">
        <v>184</v>
      </c>
      <c r="J323" s="36">
        <v>63500</v>
      </c>
      <c r="K323" s="36">
        <v>31800</v>
      </c>
      <c r="L323" s="36">
        <v>5000</v>
      </c>
      <c r="M323" s="36">
        <f t="shared" si="40"/>
        <v>100300</v>
      </c>
      <c r="N323" s="34">
        <f t="shared" ref="N323:N386" si="46">M323/$M$2002</f>
        <v>0.00052583677774772</v>
      </c>
      <c r="O323" s="35">
        <f>SUM($M$2:M323)</f>
        <v>165640200</v>
      </c>
      <c r="P323" s="34">
        <f t="shared" ref="P323:P386" si="47">O323/$M$2002</f>
        <v>0.868391914591106</v>
      </c>
      <c r="Q323" s="39">
        <v>11.4</v>
      </c>
      <c r="R323" s="22">
        <v>4</v>
      </c>
      <c r="S323" s="22">
        <v>3</v>
      </c>
      <c r="T323" s="22">
        <v>1</v>
      </c>
      <c r="U323" s="39">
        <v>51.7</v>
      </c>
      <c r="V323" s="22">
        <v>28</v>
      </c>
      <c r="W323" s="22">
        <v>1</v>
      </c>
      <c r="X323" s="40">
        <v>17</v>
      </c>
      <c r="Y323" s="22">
        <v>3</v>
      </c>
      <c r="Z323" s="22">
        <v>0</v>
      </c>
      <c r="AA323" s="22" t="s">
        <v>315</v>
      </c>
      <c r="AB323" s="22" t="s">
        <v>220</v>
      </c>
      <c r="AC323" s="42">
        <f>IFERROR(LOOKUP(M323,打分卡!$F$7:$J$7,打分卡!$K$7:$O$7),1)</f>
        <v>3</v>
      </c>
      <c r="AD323" s="42">
        <f>IFERROR(LOOKUP(S323,打分卡!$F$8:$J$8,打分卡!$K$8:$O$8),1)</f>
        <v>3</v>
      </c>
      <c r="AE323" s="42">
        <f>IFERROR(LOOKUP(T323,打分卡!$F$9:$I$9,打分卡!$K$9:$N$9),1)</f>
        <v>2</v>
      </c>
      <c r="AF323" s="42">
        <f>IFERROR(LOOKUP(Q323,打分卡!$F$10:$J$10,打分卡!$K$10:$O$10),1)</f>
        <v>3</v>
      </c>
      <c r="AG323" s="42">
        <f>IFERROR(LOOKUP(R323,打分卡!$F$11:$J$11,打分卡!$K$11:$O$11),1)</f>
        <v>2</v>
      </c>
      <c r="AH323" s="42">
        <f>IFERROR(LOOKUP(U323,打分卡!$F$12:$J$12,打分卡!$K$12:$O$12),1)</f>
        <v>4</v>
      </c>
      <c r="AI323" s="42">
        <f>IFERROR(LOOKUP(X323,打分卡!$F$13:$J$13,打分卡!$K$13:$O$13),1)</f>
        <v>1</v>
      </c>
      <c r="AJ323" s="42">
        <f>IFERROR(LOOKUP(Y323,打分卡!$F$14:$J$14,打分卡!$K$14:$O$14),1)</f>
        <v>4</v>
      </c>
      <c r="AK323" s="42">
        <f>IFERROR(LOOKUP(W323,打分卡!$F$15:$J$15,打分卡!$K$15:$O$15),1)</f>
        <v>2</v>
      </c>
      <c r="AL323" s="45">
        <f t="shared" si="41"/>
        <v>2</v>
      </c>
      <c r="AM323" s="42">
        <f>IFERROR(LOOKUP(Z323,打分卡!$F$17:$H$17,打分卡!$K$17:$M$17),1)</f>
        <v>1</v>
      </c>
      <c r="AN323" s="46">
        <f>(打分卡!$D$7*AC323+打分卡!$D$8*AD323+打分卡!$D$9*AE323)/5</f>
        <v>22.6</v>
      </c>
      <c r="AO323" s="46">
        <f>(打分卡!$D$10*AF323+打分卡!$D$11*AG323)/5</f>
        <v>10</v>
      </c>
      <c r="AP323" s="46">
        <f>(打分卡!$D$12*AH323+打分卡!$D$13*AI323+打分卡!$D$14*AJ323+打分卡!$D$15*AK323)/5</f>
        <v>17.6</v>
      </c>
      <c r="AQ323" s="46">
        <f>(打分卡!$D$16*AL323+打分卡!$D$17*AM323)/5</f>
        <v>3.2</v>
      </c>
      <c r="AR323" s="48">
        <f t="shared" si="42"/>
        <v>53.4</v>
      </c>
      <c r="AS323" s="45" t="str">
        <f t="shared" si="43"/>
        <v>腰部</v>
      </c>
      <c r="AT323" s="45" t="str">
        <f t="shared" si="44"/>
        <v/>
      </c>
      <c r="AU323" s="45" t="str">
        <f t="shared" si="45"/>
        <v>拉·主攻：主推AI外呼+大促作战包</v>
      </c>
    </row>
    <row r="324" ht="15" customHeight="1" spans="1:47">
      <c r="A324" s="30" t="s">
        <v>1110</v>
      </c>
      <c r="B324" s="31" t="s">
        <v>1111</v>
      </c>
      <c r="C324" s="31" t="s">
        <v>218</v>
      </c>
      <c r="D324" s="31" t="s">
        <v>252</v>
      </c>
      <c r="E324" s="31" t="s">
        <v>181</v>
      </c>
      <c r="F324" s="30" t="s">
        <v>661</v>
      </c>
      <c r="G324" s="31">
        <v>16</v>
      </c>
      <c r="H324" s="31" t="s">
        <v>183</v>
      </c>
      <c r="I324" s="31" t="s">
        <v>302</v>
      </c>
      <c r="J324" s="33">
        <v>58800</v>
      </c>
      <c r="K324" s="33">
        <v>29600</v>
      </c>
      <c r="L324" s="33">
        <v>11900</v>
      </c>
      <c r="M324" s="33">
        <f t="shared" si="40"/>
        <v>100300</v>
      </c>
      <c r="N324" s="34">
        <f t="shared" si="46"/>
        <v>0.00052583677774772</v>
      </c>
      <c r="O324" s="35">
        <f>SUM($M$2:M324)</f>
        <v>165740500</v>
      </c>
      <c r="P324" s="34">
        <f t="shared" si="47"/>
        <v>0.868917751368853</v>
      </c>
      <c r="Q324" s="37">
        <v>6.4</v>
      </c>
      <c r="R324" s="31">
        <v>3</v>
      </c>
      <c r="S324" s="31">
        <v>1</v>
      </c>
      <c r="T324" s="31">
        <v>2</v>
      </c>
      <c r="U324" s="37">
        <v>11.5</v>
      </c>
      <c r="V324" s="31">
        <v>22</v>
      </c>
      <c r="W324" s="31">
        <v>2</v>
      </c>
      <c r="X324" s="38">
        <v>82</v>
      </c>
      <c r="Y324" s="31">
        <v>3</v>
      </c>
      <c r="Z324" s="31">
        <v>1</v>
      </c>
      <c r="AA324" s="31" t="s">
        <v>199</v>
      </c>
      <c r="AB324" s="31" t="s">
        <v>220</v>
      </c>
      <c r="AC324" s="41">
        <f>IFERROR(LOOKUP(M324,打分卡!$F$7:$J$7,打分卡!$K$7:$O$7),1)</f>
        <v>3</v>
      </c>
      <c r="AD324" s="41">
        <f>IFERROR(LOOKUP(S324,打分卡!$F$8:$J$8,打分卡!$K$8:$O$8),1)</f>
        <v>1</v>
      </c>
      <c r="AE324" s="41">
        <f>IFERROR(LOOKUP(T324,打分卡!$F$9:$I$9,打分卡!$K$9:$N$9),1)</f>
        <v>3</v>
      </c>
      <c r="AF324" s="41">
        <f>IFERROR(LOOKUP(Q324,打分卡!$F$10:$J$10,打分卡!$K$10:$O$10),1)</f>
        <v>2</v>
      </c>
      <c r="AG324" s="41">
        <f>IFERROR(LOOKUP(R324,打分卡!$F$11:$J$11,打分卡!$K$11:$O$11),1)</f>
        <v>2</v>
      </c>
      <c r="AH324" s="41">
        <f>IFERROR(LOOKUP(U324,打分卡!$F$12:$J$12,打分卡!$K$12:$O$12),1)</f>
        <v>3</v>
      </c>
      <c r="AI324" s="41">
        <f>IFERROR(LOOKUP(X324,打分卡!$F$13:$J$13,打分卡!$K$13:$O$13),1)</f>
        <v>4</v>
      </c>
      <c r="AJ324" s="41">
        <f>IFERROR(LOOKUP(Y324,打分卡!$F$14:$J$14,打分卡!$K$14:$O$14),1)</f>
        <v>4</v>
      </c>
      <c r="AK324" s="41">
        <f>IFERROR(LOOKUP(W324,打分卡!$F$15:$J$15,打分卡!$K$15:$O$15),1)</f>
        <v>2</v>
      </c>
      <c r="AL324" s="43">
        <f t="shared" si="41"/>
        <v>5</v>
      </c>
      <c r="AM324" s="41">
        <f>IFERROR(LOOKUP(Z324,打分卡!$F$17:$H$17,打分卡!$K$17:$M$17),1)</f>
        <v>3</v>
      </c>
      <c r="AN324" s="44">
        <f>(打分卡!$D$7*AC324+打分卡!$D$8*AD324+打分卡!$D$9*AE324)/5</f>
        <v>20.8</v>
      </c>
      <c r="AO324" s="44">
        <f>(打分卡!$D$10*AF324+打分卡!$D$11*AG324)/5</f>
        <v>8</v>
      </c>
      <c r="AP324" s="44">
        <f>(打分卡!$D$12*AH324+打分卡!$D$13*AI324+打分卡!$D$14*AJ324+打分卡!$D$15*AK324)/5</f>
        <v>20</v>
      </c>
      <c r="AQ324" s="44">
        <f>(打分卡!$D$16*AL324+打分卡!$D$17*AM324)/5</f>
        <v>8.4</v>
      </c>
      <c r="AR324" s="47">
        <f t="shared" si="42"/>
        <v>57.2</v>
      </c>
      <c r="AS324" s="43" t="str">
        <f t="shared" si="43"/>
        <v>腰部</v>
      </c>
      <c r="AT324" s="43" t="str">
        <f t="shared" si="44"/>
        <v/>
      </c>
      <c r="AU324" s="43" t="str">
        <f t="shared" si="45"/>
        <v>拉·主攻：主推AI外呼+大促作战包</v>
      </c>
    </row>
    <row r="325" ht="15" customHeight="1" spans="1:47">
      <c r="A325" s="20" t="s">
        <v>1112</v>
      </c>
      <c r="B325" s="22" t="s">
        <v>1113</v>
      </c>
      <c r="C325" s="22" t="s">
        <v>195</v>
      </c>
      <c r="D325" s="22" t="s">
        <v>202</v>
      </c>
      <c r="E325" s="22" t="s">
        <v>197</v>
      </c>
      <c r="F325" s="20" t="s">
        <v>1088</v>
      </c>
      <c r="G325" s="22">
        <v>24</v>
      </c>
      <c r="H325" s="22" t="s">
        <v>301</v>
      </c>
      <c r="I325" s="22" t="s">
        <v>184</v>
      </c>
      <c r="J325" s="36">
        <v>50000</v>
      </c>
      <c r="K325" s="36">
        <v>30100</v>
      </c>
      <c r="L325" s="36">
        <v>20200</v>
      </c>
      <c r="M325" s="36">
        <f t="shared" si="40"/>
        <v>100300</v>
      </c>
      <c r="N325" s="34">
        <f t="shared" si="46"/>
        <v>0.00052583677774772</v>
      </c>
      <c r="O325" s="35">
        <f>SUM($M$2:M325)</f>
        <v>165840800</v>
      </c>
      <c r="P325" s="34">
        <f t="shared" si="47"/>
        <v>0.869443588146601</v>
      </c>
      <c r="Q325" s="39">
        <v>7.1</v>
      </c>
      <c r="R325" s="22">
        <v>8</v>
      </c>
      <c r="S325" s="22">
        <v>3</v>
      </c>
      <c r="T325" s="22">
        <v>0</v>
      </c>
      <c r="U325" s="39">
        <v>23.8</v>
      </c>
      <c r="V325" s="22">
        <v>28</v>
      </c>
      <c r="W325" s="22">
        <v>3</v>
      </c>
      <c r="X325" s="40">
        <v>51</v>
      </c>
      <c r="Y325" s="22">
        <v>2</v>
      </c>
      <c r="Z325" s="22">
        <v>1</v>
      </c>
      <c r="AA325" s="22" t="s">
        <v>199</v>
      </c>
      <c r="AB325" s="22" t="s">
        <v>220</v>
      </c>
      <c r="AC325" s="42">
        <f>IFERROR(LOOKUP(M325,打分卡!$F$7:$J$7,打分卡!$K$7:$O$7),1)</f>
        <v>3</v>
      </c>
      <c r="AD325" s="42">
        <f>IFERROR(LOOKUP(S325,打分卡!$F$8:$J$8,打分卡!$K$8:$O$8),1)</f>
        <v>3</v>
      </c>
      <c r="AE325" s="42">
        <f>IFERROR(LOOKUP(T325,打分卡!$F$9:$I$9,打分卡!$K$9:$N$9),1)</f>
        <v>1</v>
      </c>
      <c r="AF325" s="42">
        <f>IFERROR(LOOKUP(Q325,打分卡!$F$10:$J$10,打分卡!$K$10:$O$10),1)</f>
        <v>2</v>
      </c>
      <c r="AG325" s="42">
        <f>IFERROR(LOOKUP(R325,打分卡!$F$11:$J$11,打分卡!$K$11:$O$11),1)</f>
        <v>3</v>
      </c>
      <c r="AH325" s="42">
        <f>IFERROR(LOOKUP(U325,打分卡!$F$12:$J$12,打分卡!$K$12:$O$12),1)</f>
        <v>3</v>
      </c>
      <c r="AI325" s="42">
        <f>IFERROR(LOOKUP(X325,打分卡!$F$13:$J$13,打分卡!$K$13:$O$13),1)</f>
        <v>3</v>
      </c>
      <c r="AJ325" s="42">
        <f>IFERROR(LOOKUP(Y325,打分卡!$F$14:$J$14,打分卡!$K$14:$O$14),1)</f>
        <v>3</v>
      </c>
      <c r="AK325" s="42">
        <f>IFERROR(LOOKUP(W325,打分卡!$F$15:$J$15,打分卡!$K$15:$O$15),1)</f>
        <v>3</v>
      </c>
      <c r="AL325" s="45">
        <f t="shared" si="41"/>
        <v>5</v>
      </c>
      <c r="AM325" s="42">
        <f>IFERROR(LOOKUP(Z325,打分卡!$F$17:$H$17,打分卡!$K$17:$M$17),1)</f>
        <v>3</v>
      </c>
      <c r="AN325" s="46">
        <f>(打分卡!$D$7*AC325+打分卡!$D$8*AD325+打分卡!$D$9*AE325)/5</f>
        <v>21.2</v>
      </c>
      <c r="AO325" s="46">
        <f>(打分卡!$D$10*AF325+打分卡!$D$11*AG325)/5</f>
        <v>10</v>
      </c>
      <c r="AP325" s="46">
        <f>(打分卡!$D$12*AH325+打分卡!$D$13*AI325+打分卡!$D$14*AJ325+打分卡!$D$15*AK325)/5</f>
        <v>18</v>
      </c>
      <c r="AQ325" s="46">
        <f>(打分卡!$D$16*AL325+打分卡!$D$17*AM325)/5</f>
        <v>8.4</v>
      </c>
      <c r="AR325" s="48">
        <f t="shared" si="42"/>
        <v>57.6</v>
      </c>
      <c r="AS325" s="45" t="str">
        <f t="shared" si="43"/>
        <v>腰部</v>
      </c>
      <c r="AT325" s="45" t="str">
        <f t="shared" si="44"/>
        <v/>
      </c>
      <c r="AU325" s="45" t="str">
        <f t="shared" si="45"/>
        <v>拉·主攻：主推AI外呼+大促作战包</v>
      </c>
    </row>
    <row r="326" ht="15" customHeight="1" spans="1:47">
      <c r="A326" s="30" t="s">
        <v>1114</v>
      </c>
      <c r="B326" s="31" t="s">
        <v>1115</v>
      </c>
      <c r="C326" s="31" t="s">
        <v>179</v>
      </c>
      <c r="D326" s="31" t="s">
        <v>190</v>
      </c>
      <c r="E326" s="31" t="s">
        <v>197</v>
      </c>
      <c r="F326" s="30" t="s">
        <v>687</v>
      </c>
      <c r="G326" s="31">
        <v>23</v>
      </c>
      <c r="H326" s="31" t="s">
        <v>183</v>
      </c>
      <c r="I326" s="31" t="s">
        <v>302</v>
      </c>
      <c r="J326" s="33">
        <v>50100</v>
      </c>
      <c r="K326" s="33">
        <v>37600</v>
      </c>
      <c r="L326" s="33">
        <v>12000</v>
      </c>
      <c r="M326" s="33">
        <f t="shared" si="40"/>
        <v>99700</v>
      </c>
      <c r="N326" s="34">
        <f t="shared" si="46"/>
        <v>0.000522691193832978</v>
      </c>
      <c r="O326" s="35">
        <f>SUM($M$2:M326)</f>
        <v>165940500</v>
      </c>
      <c r="P326" s="34">
        <f t="shared" si="47"/>
        <v>0.869966279340434</v>
      </c>
      <c r="Q326" s="37">
        <v>14.6</v>
      </c>
      <c r="R326" s="31">
        <v>10</v>
      </c>
      <c r="S326" s="31">
        <v>2</v>
      </c>
      <c r="T326" s="31">
        <v>2</v>
      </c>
      <c r="U326" s="37">
        <v>2.8</v>
      </c>
      <c r="V326" s="31">
        <v>8</v>
      </c>
      <c r="W326" s="31">
        <v>1</v>
      </c>
      <c r="X326" s="38">
        <v>128</v>
      </c>
      <c r="Y326" s="31">
        <v>0</v>
      </c>
      <c r="Z326" s="31">
        <v>1</v>
      </c>
      <c r="AA326" s="31" t="s">
        <v>185</v>
      </c>
      <c r="AB326" s="31" t="s">
        <v>220</v>
      </c>
      <c r="AC326" s="41">
        <f>IFERROR(LOOKUP(M326,打分卡!$F$7:$J$7,打分卡!$K$7:$O$7),1)</f>
        <v>3</v>
      </c>
      <c r="AD326" s="41">
        <f>IFERROR(LOOKUP(S326,打分卡!$F$8:$J$8,打分卡!$K$8:$O$8),1)</f>
        <v>2</v>
      </c>
      <c r="AE326" s="41">
        <f>IFERROR(LOOKUP(T326,打分卡!$F$9:$I$9,打分卡!$K$9:$N$9),1)</f>
        <v>3</v>
      </c>
      <c r="AF326" s="41">
        <f>IFERROR(LOOKUP(Q326,打分卡!$F$10:$J$10,打分卡!$K$10:$O$10),1)</f>
        <v>3</v>
      </c>
      <c r="AG326" s="41">
        <f>IFERROR(LOOKUP(R326,打分卡!$F$11:$J$11,打分卡!$K$11:$O$11),1)</f>
        <v>4</v>
      </c>
      <c r="AH326" s="41">
        <f>IFERROR(LOOKUP(U326,打分卡!$F$12:$J$12,打分卡!$K$12:$O$12),1)</f>
        <v>2</v>
      </c>
      <c r="AI326" s="41">
        <f>IFERROR(LOOKUP(X326,打分卡!$F$13:$J$13,打分卡!$K$13:$O$13),1)</f>
        <v>4</v>
      </c>
      <c r="AJ326" s="41">
        <f>IFERROR(LOOKUP(Y326,打分卡!$F$14:$J$14,打分卡!$K$14:$O$14),1)</f>
        <v>1</v>
      </c>
      <c r="AK326" s="41">
        <f>IFERROR(LOOKUP(W326,打分卡!$F$15:$J$15,打分卡!$K$15:$O$15),1)</f>
        <v>2</v>
      </c>
      <c r="AL326" s="43">
        <f t="shared" si="41"/>
        <v>3</v>
      </c>
      <c r="AM326" s="41">
        <f>IFERROR(LOOKUP(Z326,打分卡!$F$17:$H$17,打分卡!$K$17:$M$17),1)</f>
        <v>3</v>
      </c>
      <c r="AN326" s="44">
        <f>(打分卡!$D$7*AC326+打分卡!$D$8*AD326+打分卡!$D$9*AE326)/5</f>
        <v>22.4</v>
      </c>
      <c r="AO326" s="44">
        <f>(打分卡!$D$10*AF326+打分卡!$D$11*AG326)/5</f>
        <v>14</v>
      </c>
      <c r="AP326" s="44">
        <f>(打分卡!$D$12*AH326+打分卡!$D$13*AI326+打分卡!$D$14*AJ326+打分卡!$D$15*AK326)/5</f>
        <v>14</v>
      </c>
      <c r="AQ326" s="44">
        <f>(打分卡!$D$16*AL326+打分卡!$D$17*AM326)/5</f>
        <v>6</v>
      </c>
      <c r="AR326" s="47">
        <f t="shared" si="42"/>
        <v>56.4</v>
      </c>
      <c r="AS326" s="43" t="str">
        <f t="shared" si="43"/>
        <v>腰部</v>
      </c>
      <c r="AT326" s="43" t="str">
        <f t="shared" si="44"/>
        <v/>
      </c>
      <c r="AU326" s="43" t="str">
        <f t="shared" si="45"/>
        <v>拉·主攻：主推AI外呼+大促作战包</v>
      </c>
    </row>
    <row r="327" ht="15" customHeight="1" spans="1:47">
      <c r="A327" s="20" t="s">
        <v>1116</v>
      </c>
      <c r="B327" s="22" t="s">
        <v>1117</v>
      </c>
      <c r="C327" s="22" t="s">
        <v>179</v>
      </c>
      <c r="D327" s="22" t="s">
        <v>190</v>
      </c>
      <c r="E327" s="22" t="s">
        <v>197</v>
      </c>
      <c r="F327" s="20" t="s">
        <v>502</v>
      </c>
      <c r="G327" s="22">
        <v>13</v>
      </c>
      <c r="H327" s="22" t="s">
        <v>183</v>
      </c>
      <c r="I327" s="22" t="s">
        <v>184</v>
      </c>
      <c r="J327" s="36">
        <v>58600</v>
      </c>
      <c r="K327" s="36">
        <v>22700</v>
      </c>
      <c r="L327" s="36">
        <v>18300</v>
      </c>
      <c r="M327" s="36">
        <f t="shared" si="40"/>
        <v>99600</v>
      </c>
      <c r="N327" s="34">
        <f t="shared" si="46"/>
        <v>0.000522166929847188</v>
      </c>
      <c r="O327" s="35">
        <f>SUM($M$2:M327)</f>
        <v>166040100</v>
      </c>
      <c r="P327" s="34">
        <f t="shared" si="47"/>
        <v>0.870488446270281</v>
      </c>
      <c r="Q327" s="39">
        <v>14.5</v>
      </c>
      <c r="R327" s="22">
        <v>1</v>
      </c>
      <c r="S327" s="22">
        <v>1</v>
      </c>
      <c r="T327" s="22">
        <v>0</v>
      </c>
      <c r="U327" s="39">
        <v>1</v>
      </c>
      <c r="V327" s="22">
        <v>27</v>
      </c>
      <c r="W327" s="22">
        <v>4</v>
      </c>
      <c r="X327" s="40">
        <v>72</v>
      </c>
      <c r="Y327" s="22">
        <v>1</v>
      </c>
      <c r="Z327" s="22">
        <v>1</v>
      </c>
      <c r="AA327" s="22" t="s">
        <v>315</v>
      </c>
      <c r="AB327" s="22" t="s">
        <v>220</v>
      </c>
      <c r="AC327" s="42">
        <f>IFERROR(LOOKUP(M327,打分卡!$F$7:$J$7,打分卡!$K$7:$O$7),1)</f>
        <v>3</v>
      </c>
      <c r="AD327" s="42">
        <f>IFERROR(LOOKUP(S327,打分卡!$F$8:$J$8,打分卡!$K$8:$O$8),1)</f>
        <v>1</v>
      </c>
      <c r="AE327" s="42">
        <f>IFERROR(LOOKUP(T327,打分卡!$F$9:$I$9,打分卡!$K$9:$N$9),1)</f>
        <v>1</v>
      </c>
      <c r="AF327" s="42">
        <f>IFERROR(LOOKUP(Q327,打分卡!$F$10:$J$10,打分卡!$K$10:$O$10),1)</f>
        <v>3</v>
      </c>
      <c r="AG327" s="42">
        <f>IFERROR(LOOKUP(R327,打分卡!$F$11:$J$11,打分卡!$K$11:$O$11),1)</f>
        <v>1</v>
      </c>
      <c r="AH327" s="42">
        <f>IFERROR(LOOKUP(U327,打分卡!$F$12:$J$12,打分卡!$K$12:$O$12),1)</f>
        <v>1</v>
      </c>
      <c r="AI327" s="42">
        <f>IFERROR(LOOKUP(X327,打分卡!$F$13:$J$13,打分卡!$K$13:$O$13),1)</f>
        <v>3</v>
      </c>
      <c r="AJ327" s="42">
        <f>IFERROR(LOOKUP(Y327,打分卡!$F$14:$J$14,打分卡!$K$14:$O$14),1)</f>
        <v>2</v>
      </c>
      <c r="AK327" s="42">
        <f>IFERROR(LOOKUP(W327,打分卡!$F$15:$J$15,打分卡!$K$15:$O$15),1)</f>
        <v>3</v>
      </c>
      <c r="AL327" s="45">
        <f t="shared" si="41"/>
        <v>2</v>
      </c>
      <c r="AM327" s="42">
        <f>IFERROR(LOOKUP(Z327,打分卡!$F$17:$H$17,打分卡!$K$17:$M$17),1)</f>
        <v>3</v>
      </c>
      <c r="AN327" s="46">
        <f>(打分卡!$D$7*AC327+打分卡!$D$8*AD327+打分卡!$D$9*AE327)/5</f>
        <v>18</v>
      </c>
      <c r="AO327" s="46">
        <f>(打分卡!$D$10*AF327+打分卡!$D$11*AG327)/5</f>
        <v>8</v>
      </c>
      <c r="AP327" s="46">
        <f>(打分卡!$D$12*AH327+打分卡!$D$13*AI327+打分卡!$D$14*AJ327+打分卡!$D$15*AK327)/5</f>
        <v>12</v>
      </c>
      <c r="AQ327" s="46">
        <f>(打分卡!$D$16*AL327+打分卡!$D$17*AM327)/5</f>
        <v>4.8</v>
      </c>
      <c r="AR327" s="48">
        <f t="shared" si="42"/>
        <v>42.8</v>
      </c>
      <c r="AS327" s="45" t="str">
        <f t="shared" si="43"/>
        <v>腰部</v>
      </c>
      <c r="AT327" s="45" t="str">
        <f t="shared" si="44"/>
        <v/>
      </c>
      <c r="AU327" s="45" t="str">
        <f t="shared" si="45"/>
        <v>拉·主攻：主推AI外呼+大促作战包</v>
      </c>
    </row>
    <row r="328" ht="15" customHeight="1" spans="1:47">
      <c r="A328" s="30" t="s">
        <v>1118</v>
      </c>
      <c r="B328" s="31" t="s">
        <v>1119</v>
      </c>
      <c r="C328" s="31" t="s">
        <v>223</v>
      </c>
      <c r="D328" s="31" t="s">
        <v>235</v>
      </c>
      <c r="E328" s="31" t="s">
        <v>181</v>
      </c>
      <c r="F328" s="30" t="s">
        <v>1120</v>
      </c>
      <c r="G328" s="31">
        <v>1</v>
      </c>
      <c r="H328" s="31" t="s">
        <v>642</v>
      </c>
      <c r="I328" s="31" t="s">
        <v>184</v>
      </c>
      <c r="J328" s="33">
        <v>58600</v>
      </c>
      <c r="K328" s="33">
        <v>27300</v>
      </c>
      <c r="L328" s="33">
        <v>13000</v>
      </c>
      <c r="M328" s="33">
        <f t="shared" si="40"/>
        <v>98900</v>
      </c>
      <c r="N328" s="34">
        <f t="shared" si="46"/>
        <v>0.000518497081946655</v>
      </c>
      <c r="O328" s="35">
        <f>SUM($M$2:M328)</f>
        <v>166139000</v>
      </c>
      <c r="P328" s="34">
        <f t="shared" si="47"/>
        <v>0.871006943352228</v>
      </c>
      <c r="Q328" s="37">
        <v>8.4</v>
      </c>
      <c r="R328" s="31">
        <v>4</v>
      </c>
      <c r="S328" s="31">
        <v>3</v>
      </c>
      <c r="T328" s="31">
        <v>2</v>
      </c>
      <c r="U328" s="37">
        <v>424</v>
      </c>
      <c r="V328" s="31">
        <v>25</v>
      </c>
      <c r="W328" s="31">
        <v>25</v>
      </c>
      <c r="X328" s="38">
        <v>683</v>
      </c>
      <c r="Y328" s="31">
        <v>4</v>
      </c>
      <c r="Z328" s="31">
        <v>0</v>
      </c>
      <c r="AA328" s="31" t="s">
        <v>199</v>
      </c>
      <c r="AB328" s="31" t="s">
        <v>220</v>
      </c>
      <c r="AC328" s="41">
        <f>IFERROR(LOOKUP(M328,打分卡!$F$7:$J$7,打分卡!$K$7:$O$7),1)</f>
        <v>3</v>
      </c>
      <c r="AD328" s="41">
        <f>IFERROR(LOOKUP(S328,打分卡!$F$8:$J$8,打分卡!$K$8:$O$8),1)</f>
        <v>3</v>
      </c>
      <c r="AE328" s="41">
        <f>IFERROR(LOOKUP(T328,打分卡!$F$9:$I$9,打分卡!$K$9:$N$9),1)</f>
        <v>3</v>
      </c>
      <c r="AF328" s="41">
        <f>IFERROR(LOOKUP(Q328,打分卡!$F$10:$J$10,打分卡!$K$10:$O$10),1)</f>
        <v>2</v>
      </c>
      <c r="AG328" s="41">
        <f>IFERROR(LOOKUP(R328,打分卡!$F$11:$J$11,打分卡!$K$11:$O$11),1)</f>
        <v>2</v>
      </c>
      <c r="AH328" s="41">
        <f>IFERROR(LOOKUP(U328,打分卡!$F$12:$J$12,打分卡!$K$12:$O$12),1)</f>
        <v>5</v>
      </c>
      <c r="AI328" s="41">
        <f>IFERROR(LOOKUP(X328,打分卡!$F$13:$J$13,打分卡!$K$13:$O$13),1)</f>
        <v>5</v>
      </c>
      <c r="AJ328" s="41">
        <f>IFERROR(LOOKUP(Y328,打分卡!$F$14:$J$14,打分卡!$K$14:$O$14),1)</f>
        <v>4</v>
      </c>
      <c r="AK328" s="41">
        <f>IFERROR(LOOKUP(W328,打分卡!$F$15:$J$15,打分卡!$K$15:$O$15),1)</f>
        <v>5</v>
      </c>
      <c r="AL328" s="43">
        <f t="shared" si="41"/>
        <v>5</v>
      </c>
      <c r="AM328" s="41">
        <f>IFERROR(LOOKUP(Z328,打分卡!$F$17:$H$17,打分卡!$K$17:$M$17),1)</f>
        <v>1</v>
      </c>
      <c r="AN328" s="44">
        <f>(打分卡!$D$7*AC328+打分卡!$D$8*AD328+打分卡!$D$9*AE328)/5</f>
        <v>24</v>
      </c>
      <c r="AO328" s="44">
        <f>(打分卡!$D$10*AF328+打分卡!$D$11*AG328)/5</f>
        <v>8</v>
      </c>
      <c r="AP328" s="44">
        <f>(打分卡!$D$12*AH328+打分卡!$D$13*AI328+打分卡!$D$14*AJ328+打分卡!$D$15*AK328)/5</f>
        <v>28.8</v>
      </c>
      <c r="AQ328" s="44">
        <f>(打分卡!$D$16*AL328+打分卡!$D$17*AM328)/5</f>
        <v>6.8</v>
      </c>
      <c r="AR328" s="47">
        <f t="shared" si="42"/>
        <v>82</v>
      </c>
      <c r="AS328" s="43" t="str">
        <f t="shared" si="43"/>
        <v>KA</v>
      </c>
      <c r="AT328" s="43" t="str">
        <f t="shared" si="44"/>
        <v/>
      </c>
      <c r="AU328" s="43" t="str">
        <f t="shared" si="45"/>
        <v>扩·深化：AI外呼场景深化+Push/企微补全</v>
      </c>
    </row>
    <row r="329" ht="15" customHeight="1" spans="1:47">
      <c r="A329" s="20" t="s">
        <v>1121</v>
      </c>
      <c r="B329" s="22" t="s">
        <v>1122</v>
      </c>
      <c r="C329" s="22" t="s">
        <v>189</v>
      </c>
      <c r="D329" s="22" t="s">
        <v>196</v>
      </c>
      <c r="E329" s="22" t="s">
        <v>181</v>
      </c>
      <c r="F329" s="20" t="s">
        <v>1123</v>
      </c>
      <c r="G329" s="22">
        <v>19</v>
      </c>
      <c r="H329" s="22" t="s">
        <v>301</v>
      </c>
      <c r="I329" s="22" t="s">
        <v>184</v>
      </c>
      <c r="J329" s="36">
        <v>60800</v>
      </c>
      <c r="K329" s="36">
        <v>20800</v>
      </c>
      <c r="L329" s="36">
        <v>16700</v>
      </c>
      <c r="M329" s="36">
        <f t="shared" si="40"/>
        <v>98300</v>
      </c>
      <c r="N329" s="34">
        <f t="shared" si="46"/>
        <v>0.000515351498031913</v>
      </c>
      <c r="O329" s="35">
        <f>SUM($M$2:M329)</f>
        <v>166237300</v>
      </c>
      <c r="P329" s="34">
        <f t="shared" si="47"/>
        <v>0.87152229485026</v>
      </c>
      <c r="Q329" s="39">
        <v>12.7</v>
      </c>
      <c r="R329" s="22">
        <v>5</v>
      </c>
      <c r="S329" s="22">
        <v>3</v>
      </c>
      <c r="T329" s="22">
        <v>2</v>
      </c>
      <c r="U329" s="39">
        <v>57.6</v>
      </c>
      <c r="V329" s="22">
        <v>18</v>
      </c>
      <c r="W329" s="22">
        <v>0</v>
      </c>
      <c r="X329" s="40">
        <v>39</v>
      </c>
      <c r="Y329" s="22">
        <v>2</v>
      </c>
      <c r="Z329" s="22">
        <v>0</v>
      </c>
      <c r="AA329" s="22" t="s">
        <v>185</v>
      </c>
      <c r="AB329" s="22" t="s">
        <v>220</v>
      </c>
      <c r="AC329" s="42">
        <f>IFERROR(LOOKUP(M329,打分卡!$F$7:$J$7,打分卡!$K$7:$O$7),1)</f>
        <v>3</v>
      </c>
      <c r="AD329" s="42">
        <f>IFERROR(LOOKUP(S329,打分卡!$F$8:$J$8,打分卡!$K$8:$O$8),1)</f>
        <v>3</v>
      </c>
      <c r="AE329" s="42">
        <f>IFERROR(LOOKUP(T329,打分卡!$F$9:$I$9,打分卡!$K$9:$N$9),1)</f>
        <v>3</v>
      </c>
      <c r="AF329" s="42">
        <f>IFERROR(LOOKUP(Q329,打分卡!$F$10:$J$10,打分卡!$K$10:$O$10),1)</f>
        <v>3</v>
      </c>
      <c r="AG329" s="42">
        <f>IFERROR(LOOKUP(R329,打分卡!$F$11:$J$11,打分卡!$K$11:$O$11),1)</f>
        <v>3</v>
      </c>
      <c r="AH329" s="42">
        <f>IFERROR(LOOKUP(U329,打分卡!$F$12:$J$12,打分卡!$K$12:$O$12),1)</f>
        <v>4</v>
      </c>
      <c r="AI329" s="42">
        <f>IFERROR(LOOKUP(X329,打分卡!$F$13:$J$13,打分卡!$K$13:$O$13),1)</f>
        <v>3</v>
      </c>
      <c r="AJ329" s="42">
        <f>IFERROR(LOOKUP(Y329,打分卡!$F$14:$J$14,打分卡!$K$14:$O$14),1)</f>
        <v>3</v>
      </c>
      <c r="AK329" s="42">
        <f>IFERROR(LOOKUP(W329,打分卡!$F$15:$J$15,打分卡!$K$15:$O$15),1)</f>
        <v>1</v>
      </c>
      <c r="AL329" s="45">
        <f t="shared" si="41"/>
        <v>3</v>
      </c>
      <c r="AM329" s="42">
        <f>IFERROR(LOOKUP(Z329,打分卡!$F$17:$H$17,打分卡!$K$17:$M$17),1)</f>
        <v>1</v>
      </c>
      <c r="AN329" s="46">
        <f>(打分卡!$D$7*AC329+打分卡!$D$8*AD329+打分卡!$D$9*AE329)/5</f>
        <v>24</v>
      </c>
      <c r="AO329" s="46">
        <f>(打分卡!$D$10*AF329+打分卡!$D$11*AG329)/5</f>
        <v>12</v>
      </c>
      <c r="AP329" s="46">
        <f>(打分卡!$D$12*AH329+打分卡!$D$13*AI329+打分卡!$D$14*AJ329+打分卡!$D$15*AK329)/5</f>
        <v>18.8</v>
      </c>
      <c r="AQ329" s="46">
        <f>(打分卡!$D$16*AL329+打分卡!$D$17*AM329)/5</f>
        <v>4.4</v>
      </c>
      <c r="AR329" s="48">
        <f t="shared" si="42"/>
        <v>59.2</v>
      </c>
      <c r="AS329" s="45" t="str">
        <f t="shared" si="43"/>
        <v>腰部</v>
      </c>
      <c r="AT329" s="45" t="str">
        <f t="shared" si="44"/>
        <v/>
      </c>
      <c r="AU329" s="45" t="str">
        <f t="shared" si="45"/>
        <v>拉·主攻：主推AI外呼+大促作战包</v>
      </c>
    </row>
    <row r="330" ht="15" customHeight="1" spans="1:47">
      <c r="A330" s="30" t="s">
        <v>1124</v>
      </c>
      <c r="B330" s="31" t="s">
        <v>1125</v>
      </c>
      <c r="C330" s="31" t="s">
        <v>195</v>
      </c>
      <c r="D330" s="31" t="s">
        <v>190</v>
      </c>
      <c r="E330" s="31" t="s">
        <v>181</v>
      </c>
      <c r="F330" s="30" t="s">
        <v>1126</v>
      </c>
      <c r="G330" s="31">
        <v>7</v>
      </c>
      <c r="H330" s="31" t="s">
        <v>301</v>
      </c>
      <c r="I330" s="31" t="s">
        <v>302</v>
      </c>
      <c r="J330" s="33">
        <v>50900</v>
      </c>
      <c r="K330" s="33">
        <v>29600</v>
      </c>
      <c r="L330" s="33">
        <v>17100</v>
      </c>
      <c r="M330" s="33">
        <f t="shared" si="40"/>
        <v>97600</v>
      </c>
      <c r="N330" s="34">
        <f t="shared" si="46"/>
        <v>0.000511681650131381</v>
      </c>
      <c r="O330" s="35">
        <f>SUM($M$2:M330)</f>
        <v>166334900</v>
      </c>
      <c r="P330" s="34">
        <f t="shared" si="47"/>
        <v>0.872033976500391</v>
      </c>
      <c r="Q330" s="37">
        <v>13.2</v>
      </c>
      <c r="R330" s="31">
        <v>4</v>
      </c>
      <c r="S330" s="31">
        <v>1</v>
      </c>
      <c r="T330" s="31">
        <v>1</v>
      </c>
      <c r="U330" s="37">
        <v>29.9</v>
      </c>
      <c r="V330" s="31">
        <v>30</v>
      </c>
      <c r="W330" s="31">
        <v>1</v>
      </c>
      <c r="X330" s="38">
        <v>46</v>
      </c>
      <c r="Y330" s="31">
        <v>2</v>
      </c>
      <c r="Z330" s="31">
        <v>0</v>
      </c>
      <c r="AA330" s="31" t="s">
        <v>185</v>
      </c>
      <c r="AB330" s="31" t="s">
        <v>220</v>
      </c>
      <c r="AC330" s="41">
        <f>IFERROR(LOOKUP(M330,打分卡!$F$7:$J$7,打分卡!$K$7:$O$7),1)</f>
        <v>3</v>
      </c>
      <c r="AD330" s="41">
        <f>IFERROR(LOOKUP(S330,打分卡!$F$8:$J$8,打分卡!$K$8:$O$8),1)</f>
        <v>1</v>
      </c>
      <c r="AE330" s="41">
        <f>IFERROR(LOOKUP(T330,打分卡!$F$9:$I$9,打分卡!$K$9:$N$9),1)</f>
        <v>2</v>
      </c>
      <c r="AF330" s="41">
        <f>IFERROR(LOOKUP(Q330,打分卡!$F$10:$J$10,打分卡!$K$10:$O$10),1)</f>
        <v>3</v>
      </c>
      <c r="AG330" s="41">
        <f>IFERROR(LOOKUP(R330,打分卡!$F$11:$J$11,打分卡!$K$11:$O$11),1)</f>
        <v>2</v>
      </c>
      <c r="AH330" s="41">
        <f>IFERROR(LOOKUP(U330,打分卡!$F$12:$J$12,打分卡!$K$12:$O$12),1)</f>
        <v>3</v>
      </c>
      <c r="AI330" s="41">
        <f>IFERROR(LOOKUP(X330,打分卡!$F$13:$J$13,打分卡!$K$13:$O$13),1)</f>
        <v>3</v>
      </c>
      <c r="AJ330" s="41">
        <f>IFERROR(LOOKUP(Y330,打分卡!$F$14:$J$14,打分卡!$K$14:$O$14),1)</f>
        <v>3</v>
      </c>
      <c r="AK330" s="41">
        <f>IFERROR(LOOKUP(W330,打分卡!$F$15:$J$15,打分卡!$K$15:$O$15),1)</f>
        <v>2</v>
      </c>
      <c r="AL330" s="43">
        <f t="shared" si="41"/>
        <v>3</v>
      </c>
      <c r="AM330" s="41">
        <f>IFERROR(LOOKUP(Z330,打分卡!$F$17:$H$17,打分卡!$K$17:$M$17),1)</f>
        <v>1</v>
      </c>
      <c r="AN330" s="44">
        <f>(打分卡!$D$7*AC330+打分卡!$D$8*AD330+打分卡!$D$9*AE330)/5</f>
        <v>19.4</v>
      </c>
      <c r="AO330" s="44">
        <f>(打分卡!$D$10*AF330+打分卡!$D$11*AG330)/5</f>
        <v>10</v>
      </c>
      <c r="AP330" s="44">
        <f>(打分卡!$D$12*AH330+打分卡!$D$13*AI330+打分卡!$D$14*AJ330+打分卡!$D$15*AK330)/5</f>
        <v>17.2</v>
      </c>
      <c r="AQ330" s="44">
        <f>(打分卡!$D$16*AL330+打分卡!$D$17*AM330)/5</f>
        <v>4.4</v>
      </c>
      <c r="AR330" s="47">
        <f t="shared" si="42"/>
        <v>51</v>
      </c>
      <c r="AS330" s="43" t="str">
        <f t="shared" si="43"/>
        <v>腰部</v>
      </c>
      <c r="AT330" s="43" t="str">
        <f t="shared" si="44"/>
        <v/>
      </c>
      <c r="AU330" s="43" t="str">
        <f t="shared" si="45"/>
        <v>拉·主攻：主推AI外呼+大促作战包</v>
      </c>
    </row>
    <row r="331" ht="15" customHeight="1" spans="1:47">
      <c r="A331" s="20" t="s">
        <v>1127</v>
      </c>
      <c r="B331" s="22" t="s">
        <v>1128</v>
      </c>
      <c r="C331" s="22" t="s">
        <v>239</v>
      </c>
      <c r="D331" s="22" t="s">
        <v>202</v>
      </c>
      <c r="E331" s="22" t="s">
        <v>197</v>
      </c>
      <c r="F331" s="20" t="s">
        <v>1129</v>
      </c>
      <c r="G331" s="22">
        <v>8</v>
      </c>
      <c r="H331" s="22" t="s">
        <v>301</v>
      </c>
      <c r="I331" s="22" t="s">
        <v>302</v>
      </c>
      <c r="J331" s="36">
        <v>48600</v>
      </c>
      <c r="K331" s="36">
        <v>34800</v>
      </c>
      <c r="L331" s="36">
        <v>14100</v>
      </c>
      <c r="M331" s="36">
        <f t="shared" si="40"/>
        <v>97500</v>
      </c>
      <c r="N331" s="34">
        <f t="shared" si="46"/>
        <v>0.00051115738614559</v>
      </c>
      <c r="O331" s="35">
        <f>SUM($M$2:M331)</f>
        <v>166432400</v>
      </c>
      <c r="P331" s="34">
        <f t="shared" si="47"/>
        <v>0.872545133886537</v>
      </c>
      <c r="Q331" s="39">
        <v>12.2</v>
      </c>
      <c r="R331" s="22">
        <v>6</v>
      </c>
      <c r="S331" s="22">
        <v>1</v>
      </c>
      <c r="T331" s="22">
        <v>0</v>
      </c>
      <c r="U331" s="39">
        <v>7.4</v>
      </c>
      <c r="V331" s="22">
        <v>9</v>
      </c>
      <c r="W331" s="22">
        <v>3</v>
      </c>
      <c r="X331" s="40">
        <v>13</v>
      </c>
      <c r="Y331" s="22">
        <v>3</v>
      </c>
      <c r="Z331" s="22">
        <v>1</v>
      </c>
      <c r="AA331" s="22" t="s">
        <v>199</v>
      </c>
      <c r="AB331" s="22" t="s">
        <v>220</v>
      </c>
      <c r="AC331" s="42">
        <f>IFERROR(LOOKUP(M331,打分卡!$F$7:$J$7,打分卡!$K$7:$O$7),1)</f>
        <v>3</v>
      </c>
      <c r="AD331" s="42">
        <f>IFERROR(LOOKUP(S331,打分卡!$F$8:$J$8,打分卡!$K$8:$O$8),1)</f>
        <v>1</v>
      </c>
      <c r="AE331" s="42">
        <f>IFERROR(LOOKUP(T331,打分卡!$F$9:$I$9,打分卡!$K$9:$N$9),1)</f>
        <v>1</v>
      </c>
      <c r="AF331" s="42">
        <f>IFERROR(LOOKUP(Q331,打分卡!$F$10:$J$10,打分卡!$K$10:$O$10),1)</f>
        <v>3</v>
      </c>
      <c r="AG331" s="42">
        <f>IFERROR(LOOKUP(R331,打分卡!$F$11:$J$11,打分卡!$K$11:$O$11),1)</f>
        <v>3</v>
      </c>
      <c r="AH331" s="42">
        <f>IFERROR(LOOKUP(U331,打分卡!$F$12:$J$12,打分卡!$K$12:$O$12),1)</f>
        <v>2</v>
      </c>
      <c r="AI331" s="42">
        <f>IFERROR(LOOKUP(X331,打分卡!$F$13:$J$13,打分卡!$K$13:$O$13),1)</f>
        <v>1</v>
      </c>
      <c r="AJ331" s="42">
        <f>IFERROR(LOOKUP(Y331,打分卡!$F$14:$J$14,打分卡!$K$14:$O$14),1)</f>
        <v>4</v>
      </c>
      <c r="AK331" s="42">
        <f>IFERROR(LOOKUP(W331,打分卡!$F$15:$J$15,打分卡!$K$15:$O$15),1)</f>
        <v>3</v>
      </c>
      <c r="AL331" s="45">
        <f t="shared" si="41"/>
        <v>5</v>
      </c>
      <c r="AM331" s="42">
        <f>IFERROR(LOOKUP(Z331,打分卡!$F$17:$H$17,打分卡!$K$17:$M$17),1)</f>
        <v>3</v>
      </c>
      <c r="AN331" s="46">
        <f>(打分卡!$D$7*AC331+打分卡!$D$8*AD331+打分卡!$D$9*AE331)/5</f>
        <v>18</v>
      </c>
      <c r="AO331" s="46">
        <f>(打分卡!$D$10*AF331+打分卡!$D$11*AG331)/5</f>
        <v>12</v>
      </c>
      <c r="AP331" s="46">
        <f>(打分卡!$D$12*AH331+打分卡!$D$13*AI331+打分卡!$D$14*AJ331+打分卡!$D$15*AK331)/5</f>
        <v>13.6</v>
      </c>
      <c r="AQ331" s="46">
        <f>(打分卡!$D$16*AL331+打分卡!$D$17*AM331)/5</f>
        <v>8.4</v>
      </c>
      <c r="AR331" s="48">
        <f t="shared" si="42"/>
        <v>52</v>
      </c>
      <c r="AS331" s="45" t="str">
        <f t="shared" si="43"/>
        <v>腰部</v>
      </c>
      <c r="AT331" s="45" t="str">
        <f t="shared" si="44"/>
        <v/>
      </c>
      <c r="AU331" s="45" t="str">
        <f t="shared" si="45"/>
        <v>拉·主攻：主推AI外呼+大促作战包</v>
      </c>
    </row>
    <row r="332" ht="15" customHeight="1" spans="1:47">
      <c r="A332" s="30" t="s">
        <v>1130</v>
      </c>
      <c r="B332" s="31" t="s">
        <v>1131</v>
      </c>
      <c r="C332" s="31" t="s">
        <v>189</v>
      </c>
      <c r="D332" s="31" t="s">
        <v>235</v>
      </c>
      <c r="E332" s="31" t="s">
        <v>181</v>
      </c>
      <c r="F332" s="30" t="s">
        <v>1132</v>
      </c>
      <c r="G332" s="31">
        <v>6</v>
      </c>
      <c r="H332" s="31" t="s">
        <v>301</v>
      </c>
      <c r="I332" s="31" t="s">
        <v>302</v>
      </c>
      <c r="J332" s="33">
        <v>46200</v>
      </c>
      <c r="K332" s="33">
        <v>36200</v>
      </c>
      <c r="L332" s="33">
        <v>14700</v>
      </c>
      <c r="M332" s="33">
        <f t="shared" si="40"/>
        <v>97100</v>
      </c>
      <c r="N332" s="34">
        <f t="shared" si="46"/>
        <v>0.000509060330202429</v>
      </c>
      <c r="O332" s="35">
        <f>SUM($M$2:M332)</f>
        <v>166529500</v>
      </c>
      <c r="P332" s="34">
        <f t="shared" si="47"/>
        <v>0.873054194216739</v>
      </c>
      <c r="Q332" s="37">
        <v>9.3</v>
      </c>
      <c r="R332" s="31">
        <v>8</v>
      </c>
      <c r="S332" s="31">
        <v>3</v>
      </c>
      <c r="T332" s="31">
        <v>2</v>
      </c>
      <c r="U332" s="37">
        <v>77.8</v>
      </c>
      <c r="V332" s="31">
        <v>28</v>
      </c>
      <c r="W332" s="31">
        <v>2</v>
      </c>
      <c r="X332" s="38">
        <v>32</v>
      </c>
      <c r="Y332" s="31">
        <v>3</v>
      </c>
      <c r="Z332" s="31">
        <v>0</v>
      </c>
      <c r="AA332" s="31" t="s">
        <v>185</v>
      </c>
      <c r="AB332" s="31" t="s">
        <v>220</v>
      </c>
      <c r="AC332" s="41">
        <f>IFERROR(LOOKUP(M332,打分卡!$F$7:$J$7,打分卡!$K$7:$O$7),1)</f>
        <v>3</v>
      </c>
      <c r="AD332" s="41">
        <f>IFERROR(LOOKUP(S332,打分卡!$F$8:$J$8,打分卡!$K$8:$O$8),1)</f>
        <v>3</v>
      </c>
      <c r="AE332" s="41">
        <f>IFERROR(LOOKUP(T332,打分卡!$F$9:$I$9,打分卡!$K$9:$N$9),1)</f>
        <v>3</v>
      </c>
      <c r="AF332" s="41">
        <f>IFERROR(LOOKUP(Q332,打分卡!$F$10:$J$10,打分卡!$K$10:$O$10),1)</f>
        <v>2</v>
      </c>
      <c r="AG332" s="41">
        <f>IFERROR(LOOKUP(R332,打分卡!$F$11:$J$11,打分卡!$K$11:$O$11),1)</f>
        <v>3</v>
      </c>
      <c r="AH332" s="41">
        <f>IFERROR(LOOKUP(U332,打分卡!$F$12:$J$12,打分卡!$K$12:$O$12),1)</f>
        <v>5</v>
      </c>
      <c r="AI332" s="41">
        <f>IFERROR(LOOKUP(X332,打分卡!$F$13:$J$13,打分卡!$K$13:$O$13),1)</f>
        <v>2</v>
      </c>
      <c r="AJ332" s="41">
        <f>IFERROR(LOOKUP(Y332,打分卡!$F$14:$J$14,打分卡!$K$14:$O$14),1)</f>
        <v>4</v>
      </c>
      <c r="AK332" s="41">
        <f>IFERROR(LOOKUP(W332,打分卡!$F$15:$J$15,打分卡!$K$15:$O$15),1)</f>
        <v>2</v>
      </c>
      <c r="AL332" s="43">
        <f t="shared" si="41"/>
        <v>3</v>
      </c>
      <c r="AM332" s="41">
        <f>IFERROR(LOOKUP(Z332,打分卡!$F$17:$H$17,打分卡!$K$17:$M$17),1)</f>
        <v>1</v>
      </c>
      <c r="AN332" s="44">
        <f>(打分卡!$D$7*AC332+打分卡!$D$8*AD332+打分卡!$D$9*AE332)/5</f>
        <v>24</v>
      </c>
      <c r="AO332" s="44">
        <f>(打分卡!$D$10*AF332+打分卡!$D$11*AG332)/5</f>
        <v>10</v>
      </c>
      <c r="AP332" s="44">
        <f>(打分卡!$D$12*AH332+打分卡!$D$13*AI332+打分卡!$D$14*AJ332+打分卡!$D$15*AK332)/5</f>
        <v>21.6</v>
      </c>
      <c r="AQ332" s="44">
        <f>(打分卡!$D$16*AL332+打分卡!$D$17*AM332)/5</f>
        <v>4.4</v>
      </c>
      <c r="AR332" s="47">
        <f t="shared" si="42"/>
        <v>60</v>
      </c>
      <c r="AS332" s="43" t="str">
        <f t="shared" si="43"/>
        <v>腰部</v>
      </c>
      <c r="AT332" s="43" t="str">
        <f t="shared" si="44"/>
        <v/>
      </c>
      <c r="AU332" s="43" t="str">
        <f t="shared" si="45"/>
        <v>拉·主攻：主推AI外呼+大促作战包</v>
      </c>
    </row>
    <row r="333" ht="15" customHeight="1" spans="1:47">
      <c r="A333" s="20" t="s">
        <v>1133</v>
      </c>
      <c r="B333" s="22" t="s">
        <v>1134</v>
      </c>
      <c r="C333" s="22" t="s">
        <v>239</v>
      </c>
      <c r="D333" s="22" t="s">
        <v>202</v>
      </c>
      <c r="E333" s="22" t="s">
        <v>181</v>
      </c>
      <c r="F333" s="20" t="s">
        <v>1135</v>
      </c>
      <c r="G333" s="22">
        <v>5</v>
      </c>
      <c r="H333" s="22" t="s">
        <v>301</v>
      </c>
      <c r="I333" s="22" t="s">
        <v>184</v>
      </c>
      <c r="J333" s="36">
        <v>54500</v>
      </c>
      <c r="K333" s="36">
        <v>31200</v>
      </c>
      <c r="L333" s="36">
        <v>11300</v>
      </c>
      <c r="M333" s="36">
        <f t="shared" si="40"/>
        <v>97000</v>
      </c>
      <c r="N333" s="34">
        <f t="shared" si="46"/>
        <v>0.000508536066216638</v>
      </c>
      <c r="O333" s="35">
        <f>SUM($M$2:M333)</f>
        <v>166626500</v>
      </c>
      <c r="P333" s="34">
        <f t="shared" si="47"/>
        <v>0.873562730282956</v>
      </c>
      <c r="Q333" s="39">
        <v>11.8</v>
      </c>
      <c r="R333" s="22">
        <v>8</v>
      </c>
      <c r="S333" s="22">
        <v>2</v>
      </c>
      <c r="T333" s="22">
        <v>0</v>
      </c>
      <c r="U333" s="39">
        <v>68</v>
      </c>
      <c r="V333" s="22">
        <v>16</v>
      </c>
      <c r="W333" s="22">
        <v>1</v>
      </c>
      <c r="X333" s="40">
        <v>55</v>
      </c>
      <c r="Y333" s="22">
        <v>2</v>
      </c>
      <c r="Z333" s="22">
        <v>1</v>
      </c>
      <c r="AA333" s="22" t="s">
        <v>185</v>
      </c>
      <c r="AB333" s="22" t="s">
        <v>220</v>
      </c>
      <c r="AC333" s="42">
        <f>IFERROR(LOOKUP(M333,打分卡!$F$7:$J$7,打分卡!$K$7:$O$7),1)</f>
        <v>3</v>
      </c>
      <c r="AD333" s="42">
        <f>IFERROR(LOOKUP(S333,打分卡!$F$8:$J$8,打分卡!$K$8:$O$8),1)</f>
        <v>2</v>
      </c>
      <c r="AE333" s="42">
        <f>IFERROR(LOOKUP(T333,打分卡!$F$9:$I$9,打分卡!$K$9:$N$9),1)</f>
        <v>1</v>
      </c>
      <c r="AF333" s="42">
        <f>IFERROR(LOOKUP(Q333,打分卡!$F$10:$J$10,打分卡!$K$10:$O$10),1)</f>
        <v>3</v>
      </c>
      <c r="AG333" s="42">
        <f>IFERROR(LOOKUP(R333,打分卡!$F$11:$J$11,打分卡!$K$11:$O$11),1)</f>
        <v>3</v>
      </c>
      <c r="AH333" s="42">
        <f>IFERROR(LOOKUP(U333,打分卡!$F$12:$J$12,打分卡!$K$12:$O$12),1)</f>
        <v>4</v>
      </c>
      <c r="AI333" s="42">
        <f>IFERROR(LOOKUP(X333,打分卡!$F$13:$J$13,打分卡!$K$13:$O$13),1)</f>
        <v>3</v>
      </c>
      <c r="AJ333" s="42">
        <f>IFERROR(LOOKUP(Y333,打分卡!$F$14:$J$14,打分卡!$K$14:$O$14),1)</f>
        <v>3</v>
      </c>
      <c r="AK333" s="42">
        <f>IFERROR(LOOKUP(W333,打分卡!$F$15:$J$15,打分卡!$K$15:$O$15),1)</f>
        <v>2</v>
      </c>
      <c r="AL333" s="45">
        <f t="shared" si="41"/>
        <v>3</v>
      </c>
      <c r="AM333" s="42">
        <f>IFERROR(LOOKUP(Z333,打分卡!$F$17:$H$17,打分卡!$K$17:$M$17),1)</f>
        <v>3</v>
      </c>
      <c r="AN333" s="46">
        <f>(打分卡!$D$7*AC333+打分卡!$D$8*AD333+打分卡!$D$9*AE333)/5</f>
        <v>19.6</v>
      </c>
      <c r="AO333" s="46">
        <f>(打分卡!$D$10*AF333+打分卡!$D$11*AG333)/5</f>
        <v>12</v>
      </c>
      <c r="AP333" s="46">
        <f>(打分卡!$D$12*AH333+打分卡!$D$13*AI333+打分卡!$D$14*AJ333+打分卡!$D$15*AK333)/5</f>
        <v>19.6</v>
      </c>
      <c r="AQ333" s="46">
        <f>(打分卡!$D$16*AL333+打分卡!$D$17*AM333)/5</f>
        <v>6</v>
      </c>
      <c r="AR333" s="48">
        <f t="shared" si="42"/>
        <v>57.2</v>
      </c>
      <c r="AS333" s="45" t="str">
        <f t="shared" si="43"/>
        <v>腰部</v>
      </c>
      <c r="AT333" s="45" t="str">
        <f t="shared" si="44"/>
        <v/>
      </c>
      <c r="AU333" s="45" t="str">
        <f t="shared" si="45"/>
        <v>拉·主攻：主推AI外呼+大促作战包</v>
      </c>
    </row>
    <row r="334" ht="15" customHeight="1" spans="1:47">
      <c r="A334" s="30" t="s">
        <v>1136</v>
      </c>
      <c r="B334" s="31" t="s">
        <v>1137</v>
      </c>
      <c r="C334" s="31" t="s">
        <v>195</v>
      </c>
      <c r="D334" s="31" t="s">
        <v>202</v>
      </c>
      <c r="E334" s="31" t="s">
        <v>181</v>
      </c>
      <c r="F334" s="30" t="s">
        <v>1138</v>
      </c>
      <c r="G334" s="31">
        <v>15</v>
      </c>
      <c r="H334" s="31" t="s">
        <v>301</v>
      </c>
      <c r="I334" s="31" t="s">
        <v>184</v>
      </c>
      <c r="J334" s="33">
        <v>46900</v>
      </c>
      <c r="K334" s="33">
        <v>27700</v>
      </c>
      <c r="L334" s="33">
        <v>22100</v>
      </c>
      <c r="M334" s="33">
        <f t="shared" si="40"/>
        <v>96700</v>
      </c>
      <c r="N334" s="34">
        <f t="shared" si="46"/>
        <v>0.000506963274259267</v>
      </c>
      <c r="O334" s="35">
        <f>SUM($M$2:M334)</f>
        <v>166723200</v>
      </c>
      <c r="P334" s="34">
        <f t="shared" si="47"/>
        <v>0.874069693557215</v>
      </c>
      <c r="Q334" s="37">
        <v>10.2</v>
      </c>
      <c r="R334" s="31">
        <v>7</v>
      </c>
      <c r="S334" s="31">
        <v>2</v>
      </c>
      <c r="T334" s="31">
        <v>1</v>
      </c>
      <c r="U334" s="37">
        <v>77.3</v>
      </c>
      <c r="V334" s="31">
        <v>15</v>
      </c>
      <c r="W334" s="31">
        <v>3</v>
      </c>
      <c r="X334" s="38">
        <v>36</v>
      </c>
      <c r="Y334" s="31">
        <v>1</v>
      </c>
      <c r="Z334" s="31">
        <v>1</v>
      </c>
      <c r="AA334" s="31" t="s">
        <v>199</v>
      </c>
      <c r="AB334" s="31" t="s">
        <v>220</v>
      </c>
      <c r="AC334" s="41">
        <f>IFERROR(LOOKUP(M334,打分卡!$F$7:$J$7,打分卡!$K$7:$O$7),1)</f>
        <v>3</v>
      </c>
      <c r="AD334" s="41">
        <f>IFERROR(LOOKUP(S334,打分卡!$F$8:$J$8,打分卡!$K$8:$O$8),1)</f>
        <v>2</v>
      </c>
      <c r="AE334" s="41">
        <f>IFERROR(LOOKUP(T334,打分卡!$F$9:$I$9,打分卡!$K$9:$N$9),1)</f>
        <v>2</v>
      </c>
      <c r="AF334" s="41">
        <f>IFERROR(LOOKUP(Q334,打分卡!$F$10:$J$10,打分卡!$K$10:$O$10),1)</f>
        <v>3</v>
      </c>
      <c r="AG334" s="41">
        <f>IFERROR(LOOKUP(R334,打分卡!$F$11:$J$11,打分卡!$K$11:$O$11),1)</f>
        <v>3</v>
      </c>
      <c r="AH334" s="41">
        <f>IFERROR(LOOKUP(U334,打分卡!$F$12:$J$12,打分卡!$K$12:$O$12),1)</f>
        <v>5</v>
      </c>
      <c r="AI334" s="41">
        <f>IFERROR(LOOKUP(X334,打分卡!$F$13:$J$13,打分卡!$K$13:$O$13),1)</f>
        <v>2</v>
      </c>
      <c r="AJ334" s="41">
        <f>IFERROR(LOOKUP(Y334,打分卡!$F$14:$J$14,打分卡!$K$14:$O$14),1)</f>
        <v>2</v>
      </c>
      <c r="AK334" s="41">
        <f>IFERROR(LOOKUP(W334,打分卡!$F$15:$J$15,打分卡!$K$15:$O$15),1)</f>
        <v>3</v>
      </c>
      <c r="AL334" s="43">
        <f t="shared" si="41"/>
        <v>5</v>
      </c>
      <c r="AM334" s="41">
        <f>IFERROR(LOOKUP(Z334,打分卡!$F$17:$H$17,打分卡!$K$17:$M$17),1)</f>
        <v>3</v>
      </c>
      <c r="AN334" s="44">
        <f>(打分卡!$D$7*AC334+打分卡!$D$8*AD334+打分卡!$D$9*AE334)/5</f>
        <v>21</v>
      </c>
      <c r="AO334" s="44">
        <f>(打分卡!$D$10*AF334+打分卡!$D$11*AG334)/5</f>
        <v>12</v>
      </c>
      <c r="AP334" s="44">
        <f>(打分卡!$D$12*AH334+打分卡!$D$13*AI334+打分卡!$D$14*AJ334+打分卡!$D$15*AK334)/5</f>
        <v>20</v>
      </c>
      <c r="AQ334" s="44">
        <f>(打分卡!$D$16*AL334+打分卡!$D$17*AM334)/5</f>
        <v>8.4</v>
      </c>
      <c r="AR334" s="47">
        <f t="shared" si="42"/>
        <v>61.4</v>
      </c>
      <c r="AS334" s="43" t="str">
        <f t="shared" si="43"/>
        <v>腰部</v>
      </c>
      <c r="AT334" s="43" t="str">
        <f t="shared" si="44"/>
        <v/>
      </c>
      <c r="AU334" s="43" t="str">
        <f t="shared" si="45"/>
        <v>拉·主攻：主推AI外呼+大促作战包</v>
      </c>
    </row>
    <row r="335" ht="15" customHeight="1" spans="1:47">
      <c r="A335" s="20" t="s">
        <v>1139</v>
      </c>
      <c r="B335" s="22" t="s">
        <v>1140</v>
      </c>
      <c r="C335" s="22" t="s">
        <v>179</v>
      </c>
      <c r="D335" s="22" t="s">
        <v>235</v>
      </c>
      <c r="E335" s="22" t="s">
        <v>197</v>
      </c>
      <c r="F335" s="20" t="s">
        <v>1138</v>
      </c>
      <c r="G335" s="22">
        <v>15</v>
      </c>
      <c r="H335" s="22" t="s">
        <v>301</v>
      </c>
      <c r="I335" s="22" t="s">
        <v>302</v>
      </c>
      <c r="J335" s="36">
        <v>59700</v>
      </c>
      <c r="K335" s="36">
        <v>31800</v>
      </c>
      <c r="L335" s="36">
        <v>4800</v>
      </c>
      <c r="M335" s="36">
        <f t="shared" si="40"/>
        <v>96300</v>
      </c>
      <c r="N335" s="34">
        <f t="shared" si="46"/>
        <v>0.000504866218316106</v>
      </c>
      <c r="O335" s="35">
        <f>SUM($M$2:M335)</f>
        <v>166819500</v>
      </c>
      <c r="P335" s="34">
        <f t="shared" si="47"/>
        <v>0.874574559775531</v>
      </c>
      <c r="Q335" s="39">
        <v>12.1</v>
      </c>
      <c r="R335" s="22">
        <v>7</v>
      </c>
      <c r="S335" s="22">
        <v>2</v>
      </c>
      <c r="T335" s="22">
        <v>0</v>
      </c>
      <c r="U335" s="39">
        <v>1.5</v>
      </c>
      <c r="V335" s="22">
        <v>20</v>
      </c>
      <c r="W335" s="22">
        <v>4</v>
      </c>
      <c r="X335" s="40">
        <v>73</v>
      </c>
      <c r="Y335" s="22">
        <v>3</v>
      </c>
      <c r="Z335" s="22">
        <v>1</v>
      </c>
      <c r="AA335" s="22" t="s">
        <v>199</v>
      </c>
      <c r="AB335" s="22" t="s">
        <v>220</v>
      </c>
      <c r="AC335" s="42">
        <f>IFERROR(LOOKUP(M335,打分卡!$F$7:$J$7,打分卡!$K$7:$O$7),1)</f>
        <v>3</v>
      </c>
      <c r="AD335" s="42">
        <f>IFERROR(LOOKUP(S335,打分卡!$F$8:$J$8,打分卡!$K$8:$O$8),1)</f>
        <v>2</v>
      </c>
      <c r="AE335" s="42">
        <f>IFERROR(LOOKUP(T335,打分卡!$F$9:$I$9,打分卡!$K$9:$N$9),1)</f>
        <v>1</v>
      </c>
      <c r="AF335" s="42">
        <f>IFERROR(LOOKUP(Q335,打分卡!$F$10:$J$10,打分卡!$K$10:$O$10),1)</f>
        <v>3</v>
      </c>
      <c r="AG335" s="42">
        <f>IFERROR(LOOKUP(R335,打分卡!$F$11:$J$11,打分卡!$K$11:$O$11),1)</f>
        <v>3</v>
      </c>
      <c r="AH335" s="42">
        <f>IFERROR(LOOKUP(U335,打分卡!$F$12:$J$12,打分卡!$K$12:$O$12),1)</f>
        <v>1</v>
      </c>
      <c r="AI335" s="42">
        <f>IFERROR(LOOKUP(X335,打分卡!$F$13:$J$13,打分卡!$K$13:$O$13),1)</f>
        <v>3</v>
      </c>
      <c r="AJ335" s="42">
        <f>IFERROR(LOOKUP(Y335,打分卡!$F$14:$J$14,打分卡!$K$14:$O$14),1)</f>
        <v>4</v>
      </c>
      <c r="AK335" s="42">
        <f>IFERROR(LOOKUP(W335,打分卡!$F$15:$J$15,打分卡!$K$15:$O$15),1)</f>
        <v>3</v>
      </c>
      <c r="AL335" s="45">
        <f t="shared" si="41"/>
        <v>5</v>
      </c>
      <c r="AM335" s="42">
        <f>IFERROR(LOOKUP(Z335,打分卡!$F$17:$H$17,打分卡!$K$17:$M$17),1)</f>
        <v>3</v>
      </c>
      <c r="AN335" s="46">
        <f>(打分卡!$D$7*AC335+打分卡!$D$8*AD335+打分卡!$D$9*AE335)/5</f>
        <v>19.6</v>
      </c>
      <c r="AO335" s="46">
        <f>(打分卡!$D$10*AF335+打分卡!$D$11*AG335)/5</f>
        <v>12</v>
      </c>
      <c r="AP335" s="46">
        <f>(打分卡!$D$12*AH335+打分卡!$D$13*AI335+打分卡!$D$14*AJ335+打分卡!$D$15*AK335)/5</f>
        <v>14.4</v>
      </c>
      <c r="AQ335" s="46">
        <f>(打分卡!$D$16*AL335+打分卡!$D$17*AM335)/5</f>
        <v>8.4</v>
      </c>
      <c r="AR335" s="48">
        <f t="shared" si="42"/>
        <v>54.4</v>
      </c>
      <c r="AS335" s="45" t="str">
        <f t="shared" si="43"/>
        <v>腰部</v>
      </c>
      <c r="AT335" s="45" t="str">
        <f t="shared" si="44"/>
        <v/>
      </c>
      <c r="AU335" s="45" t="str">
        <f t="shared" si="45"/>
        <v>拉·主攻：主推AI外呼+大促作战包</v>
      </c>
    </row>
    <row r="336" ht="15" customHeight="1" spans="1:47">
      <c r="A336" s="30" t="s">
        <v>1141</v>
      </c>
      <c r="B336" s="31" t="s">
        <v>1142</v>
      </c>
      <c r="C336" s="31" t="s">
        <v>239</v>
      </c>
      <c r="D336" s="31" t="s">
        <v>227</v>
      </c>
      <c r="E336" s="31" t="s">
        <v>181</v>
      </c>
      <c r="F336" s="30" t="s">
        <v>1143</v>
      </c>
      <c r="G336" s="31">
        <v>6</v>
      </c>
      <c r="H336" s="31" t="s">
        <v>183</v>
      </c>
      <c r="I336" s="31" t="s">
        <v>302</v>
      </c>
      <c r="J336" s="33">
        <v>53400</v>
      </c>
      <c r="K336" s="33">
        <v>35500</v>
      </c>
      <c r="L336" s="33">
        <v>7200</v>
      </c>
      <c r="M336" s="33">
        <f t="shared" si="40"/>
        <v>96100</v>
      </c>
      <c r="N336" s="34">
        <f t="shared" si="46"/>
        <v>0.000503817690344525</v>
      </c>
      <c r="O336" s="35">
        <f>SUM($M$2:M336)</f>
        <v>166915600</v>
      </c>
      <c r="P336" s="34">
        <f t="shared" si="47"/>
        <v>0.875078377465876</v>
      </c>
      <c r="Q336" s="37">
        <v>13.6</v>
      </c>
      <c r="R336" s="31">
        <v>10</v>
      </c>
      <c r="S336" s="31">
        <v>3</v>
      </c>
      <c r="T336" s="31">
        <v>1</v>
      </c>
      <c r="U336" s="37">
        <v>12.4</v>
      </c>
      <c r="V336" s="31">
        <v>18</v>
      </c>
      <c r="W336" s="31">
        <v>2</v>
      </c>
      <c r="X336" s="38">
        <v>43</v>
      </c>
      <c r="Y336" s="31">
        <v>1</v>
      </c>
      <c r="Z336" s="31">
        <v>0</v>
      </c>
      <c r="AA336" s="31" t="s">
        <v>199</v>
      </c>
      <c r="AB336" s="31" t="s">
        <v>220</v>
      </c>
      <c r="AC336" s="41">
        <f>IFERROR(LOOKUP(M336,打分卡!$F$7:$J$7,打分卡!$K$7:$O$7),1)</f>
        <v>3</v>
      </c>
      <c r="AD336" s="41">
        <f>IFERROR(LOOKUP(S336,打分卡!$F$8:$J$8,打分卡!$K$8:$O$8),1)</f>
        <v>3</v>
      </c>
      <c r="AE336" s="41">
        <f>IFERROR(LOOKUP(T336,打分卡!$F$9:$I$9,打分卡!$K$9:$N$9),1)</f>
        <v>2</v>
      </c>
      <c r="AF336" s="41">
        <f>IFERROR(LOOKUP(Q336,打分卡!$F$10:$J$10,打分卡!$K$10:$O$10),1)</f>
        <v>3</v>
      </c>
      <c r="AG336" s="41">
        <f>IFERROR(LOOKUP(R336,打分卡!$F$11:$J$11,打分卡!$K$11:$O$11),1)</f>
        <v>4</v>
      </c>
      <c r="AH336" s="41">
        <f>IFERROR(LOOKUP(U336,打分卡!$F$12:$J$12,打分卡!$K$12:$O$12),1)</f>
        <v>3</v>
      </c>
      <c r="AI336" s="41">
        <f>IFERROR(LOOKUP(X336,打分卡!$F$13:$J$13,打分卡!$K$13:$O$13),1)</f>
        <v>3</v>
      </c>
      <c r="AJ336" s="41">
        <f>IFERROR(LOOKUP(Y336,打分卡!$F$14:$J$14,打分卡!$K$14:$O$14),1)</f>
        <v>2</v>
      </c>
      <c r="AK336" s="41">
        <f>IFERROR(LOOKUP(W336,打分卡!$F$15:$J$15,打分卡!$K$15:$O$15),1)</f>
        <v>2</v>
      </c>
      <c r="AL336" s="43">
        <f t="shared" si="41"/>
        <v>5</v>
      </c>
      <c r="AM336" s="41">
        <f>IFERROR(LOOKUP(Z336,打分卡!$F$17:$H$17,打分卡!$K$17:$M$17),1)</f>
        <v>1</v>
      </c>
      <c r="AN336" s="44">
        <f>(打分卡!$D$7*AC336+打分卡!$D$8*AD336+打分卡!$D$9*AE336)/5</f>
        <v>22.6</v>
      </c>
      <c r="AO336" s="44">
        <f>(打分卡!$D$10*AF336+打分卡!$D$11*AG336)/5</f>
        <v>14</v>
      </c>
      <c r="AP336" s="44">
        <f>(打分卡!$D$12*AH336+打分卡!$D$13*AI336+打分卡!$D$14*AJ336+打分卡!$D$15*AK336)/5</f>
        <v>16</v>
      </c>
      <c r="AQ336" s="44">
        <f>(打分卡!$D$16*AL336+打分卡!$D$17*AM336)/5</f>
        <v>6.8</v>
      </c>
      <c r="AR336" s="47">
        <f t="shared" si="42"/>
        <v>59.4</v>
      </c>
      <c r="AS336" s="43" t="str">
        <f t="shared" si="43"/>
        <v>腰部</v>
      </c>
      <c r="AT336" s="43" t="str">
        <f t="shared" si="44"/>
        <v/>
      </c>
      <c r="AU336" s="43" t="str">
        <f t="shared" si="45"/>
        <v>拉·主攻：主推AI外呼+大促作战包</v>
      </c>
    </row>
    <row r="337" ht="15" customHeight="1" spans="1:47">
      <c r="A337" s="20" t="s">
        <v>1144</v>
      </c>
      <c r="B337" s="22" t="s">
        <v>1145</v>
      </c>
      <c r="C337" s="22" t="s">
        <v>179</v>
      </c>
      <c r="D337" s="22" t="s">
        <v>190</v>
      </c>
      <c r="E337" s="22" t="s">
        <v>197</v>
      </c>
      <c r="F337" s="20" t="s">
        <v>1146</v>
      </c>
      <c r="G337" s="22">
        <v>3</v>
      </c>
      <c r="H337" s="22" t="s">
        <v>183</v>
      </c>
      <c r="I337" s="22" t="s">
        <v>302</v>
      </c>
      <c r="J337" s="36">
        <v>53900</v>
      </c>
      <c r="K337" s="36">
        <v>31400</v>
      </c>
      <c r="L337" s="36">
        <v>10700</v>
      </c>
      <c r="M337" s="36">
        <f t="shared" si="40"/>
        <v>96000</v>
      </c>
      <c r="N337" s="34">
        <f t="shared" si="46"/>
        <v>0.000503293426358735</v>
      </c>
      <c r="O337" s="35">
        <f>SUM($M$2:M337)</f>
        <v>167011600</v>
      </c>
      <c r="P337" s="34">
        <f t="shared" si="47"/>
        <v>0.875581670892234</v>
      </c>
      <c r="Q337" s="39">
        <v>6.2</v>
      </c>
      <c r="R337" s="22">
        <v>2</v>
      </c>
      <c r="S337" s="22">
        <v>1</v>
      </c>
      <c r="T337" s="22">
        <v>0</v>
      </c>
      <c r="U337" s="39">
        <v>1.9</v>
      </c>
      <c r="V337" s="22">
        <v>21</v>
      </c>
      <c r="W337" s="22">
        <v>0</v>
      </c>
      <c r="X337" s="40">
        <v>10</v>
      </c>
      <c r="Y337" s="22">
        <v>1</v>
      </c>
      <c r="Z337" s="22">
        <v>1</v>
      </c>
      <c r="AA337" s="22" t="s">
        <v>185</v>
      </c>
      <c r="AB337" s="22" t="s">
        <v>220</v>
      </c>
      <c r="AC337" s="42">
        <f>IFERROR(LOOKUP(M337,打分卡!$F$7:$J$7,打分卡!$K$7:$O$7),1)</f>
        <v>3</v>
      </c>
      <c r="AD337" s="42">
        <f>IFERROR(LOOKUP(S337,打分卡!$F$8:$J$8,打分卡!$K$8:$O$8),1)</f>
        <v>1</v>
      </c>
      <c r="AE337" s="42">
        <f>IFERROR(LOOKUP(T337,打分卡!$F$9:$I$9,打分卡!$K$9:$N$9),1)</f>
        <v>1</v>
      </c>
      <c r="AF337" s="42">
        <f>IFERROR(LOOKUP(Q337,打分卡!$F$10:$J$10,打分卡!$K$10:$O$10),1)</f>
        <v>2</v>
      </c>
      <c r="AG337" s="42">
        <f>IFERROR(LOOKUP(R337,打分卡!$F$11:$J$11,打分卡!$K$11:$O$11),1)</f>
        <v>1</v>
      </c>
      <c r="AH337" s="42">
        <f>IFERROR(LOOKUP(U337,打分卡!$F$12:$J$12,打分卡!$K$12:$O$12),1)</f>
        <v>1</v>
      </c>
      <c r="AI337" s="42">
        <f>IFERROR(LOOKUP(X337,打分卡!$F$13:$J$13,打分卡!$K$13:$O$13),1)</f>
        <v>1</v>
      </c>
      <c r="AJ337" s="42">
        <f>IFERROR(LOOKUP(Y337,打分卡!$F$14:$J$14,打分卡!$K$14:$O$14),1)</f>
        <v>2</v>
      </c>
      <c r="AK337" s="42">
        <f>IFERROR(LOOKUP(W337,打分卡!$F$15:$J$15,打分卡!$K$15:$O$15),1)</f>
        <v>1</v>
      </c>
      <c r="AL337" s="45">
        <f t="shared" si="41"/>
        <v>3</v>
      </c>
      <c r="AM337" s="42">
        <f>IFERROR(LOOKUP(Z337,打分卡!$F$17:$H$17,打分卡!$K$17:$M$17),1)</f>
        <v>3</v>
      </c>
      <c r="AN337" s="46">
        <f>(打分卡!$D$7*AC337+打分卡!$D$8*AD337+打分卡!$D$9*AE337)/5</f>
        <v>18</v>
      </c>
      <c r="AO337" s="46">
        <f>(打分卡!$D$10*AF337+打分卡!$D$11*AG337)/5</f>
        <v>6</v>
      </c>
      <c r="AP337" s="46">
        <f>(打分卡!$D$12*AH337+打分卡!$D$13*AI337+打分卡!$D$14*AJ337+打分卡!$D$15*AK337)/5</f>
        <v>7.2</v>
      </c>
      <c r="AQ337" s="46">
        <f>(打分卡!$D$16*AL337+打分卡!$D$17*AM337)/5</f>
        <v>6</v>
      </c>
      <c r="AR337" s="48">
        <f t="shared" si="42"/>
        <v>37.2</v>
      </c>
      <c r="AS337" s="45" t="str">
        <f t="shared" si="43"/>
        <v>基础长尾</v>
      </c>
      <c r="AT337" s="45" t="str">
        <f t="shared" si="44"/>
        <v/>
      </c>
      <c r="AU337" s="45" t="str">
        <f t="shared" si="45"/>
        <v>激活：企微+Push低成本先跑</v>
      </c>
    </row>
    <row r="338" ht="15" customHeight="1" spans="1:47">
      <c r="A338" s="30" t="s">
        <v>1147</v>
      </c>
      <c r="B338" s="31" t="s">
        <v>1148</v>
      </c>
      <c r="C338" s="31" t="s">
        <v>239</v>
      </c>
      <c r="D338" s="31" t="s">
        <v>202</v>
      </c>
      <c r="E338" s="31" t="s">
        <v>181</v>
      </c>
      <c r="F338" s="30" t="s">
        <v>1149</v>
      </c>
      <c r="G338" s="31">
        <v>24</v>
      </c>
      <c r="H338" s="31" t="s">
        <v>301</v>
      </c>
      <c r="I338" s="31" t="s">
        <v>302</v>
      </c>
      <c r="J338" s="33">
        <v>61900</v>
      </c>
      <c r="K338" s="33">
        <v>28900</v>
      </c>
      <c r="L338" s="33">
        <v>4800</v>
      </c>
      <c r="M338" s="33">
        <f t="shared" si="40"/>
        <v>95600</v>
      </c>
      <c r="N338" s="34">
        <f t="shared" si="46"/>
        <v>0.000501196370415574</v>
      </c>
      <c r="O338" s="35">
        <f>SUM($M$2:M338)</f>
        <v>167107200</v>
      </c>
      <c r="P338" s="34">
        <f t="shared" si="47"/>
        <v>0.87608286726265</v>
      </c>
      <c r="Q338" s="37">
        <v>9.5</v>
      </c>
      <c r="R338" s="31">
        <v>9</v>
      </c>
      <c r="S338" s="31">
        <v>1</v>
      </c>
      <c r="T338" s="31">
        <v>0</v>
      </c>
      <c r="U338" s="37">
        <v>2</v>
      </c>
      <c r="V338" s="31">
        <v>26</v>
      </c>
      <c r="W338" s="31">
        <v>2</v>
      </c>
      <c r="X338" s="38">
        <v>14</v>
      </c>
      <c r="Y338" s="31">
        <v>0</v>
      </c>
      <c r="Z338" s="31">
        <v>1</v>
      </c>
      <c r="AA338" s="31" t="s">
        <v>185</v>
      </c>
      <c r="AB338" s="31" t="s">
        <v>220</v>
      </c>
      <c r="AC338" s="41">
        <f>IFERROR(LOOKUP(M338,打分卡!$F$7:$J$7,打分卡!$K$7:$O$7),1)</f>
        <v>3</v>
      </c>
      <c r="AD338" s="41">
        <f>IFERROR(LOOKUP(S338,打分卡!$F$8:$J$8,打分卡!$K$8:$O$8),1)</f>
        <v>1</v>
      </c>
      <c r="AE338" s="41">
        <f>IFERROR(LOOKUP(T338,打分卡!$F$9:$I$9,打分卡!$K$9:$N$9),1)</f>
        <v>1</v>
      </c>
      <c r="AF338" s="41">
        <f>IFERROR(LOOKUP(Q338,打分卡!$F$10:$J$10,打分卡!$K$10:$O$10),1)</f>
        <v>2</v>
      </c>
      <c r="AG338" s="41">
        <f>IFERROR(LOOKUP(R338,打分卡!$F$11:$J$11,打分卡!$K$11:$O$11),1)</f>
        <v>4</v>
      </c>
      <c r="AH338" s="41">
        <f>IFERROR(LOOKUP(U338,打分卡!$F$12:$J$12,打分卡!$K$12:$O$12),1)</f>
        <v>1</v>
      </c>
      <c r="AI338" s="41">
        <f>IFERROR(LOOKUP(X338,打分卡!$F$13:$J$13,打分卡!$K$13:$O$13),1)</f>
        <v>1</v>
      </c>
      <c r="AJ338" s="41">
        <f>IFERROR(LOOKUP(Y338,打分卡!$F$14:$J$14,打分卡!$K$14:$O$14),1)</f>
        <v>1</v>
      </c>
      <c r="AK338" s="41">
        <f>IFERROR(LOOKUP(W338,打分卡!$F$15:$J$15,打分卡!$K$15:$O$15),1)</f>
        <v>2</v>
      </c>
      <c r="AL338" s="43">
        <f t="shared" si="41"/>
        <v>3</v>
      </c>
      <c r="AM338" s="41">
        <f>IFERROR(LOOKUP(Z338,打分卡!$F$17:$H$17,打分卡!$K$17:$M$17),1)</f>
        <v>3</v>
      </c>
      <c r="AN338" s="44">
        <f>(打分卡!$D$7*AC338+打分卡!$D$8*AD338+打分卡!$D$9*AE338)/5</f>
        <v>18</v>
      </c>
      <c r="AO338" s="44">
        <f>(打分卡!$D$10*AF338+打分卡!$D$11*AG338)/5</f>
        <v>12</v>
      </c>
      <c r="AP338" s="44">
        <f>(打分卡!$D$12*AH338+打分卡!$D$13*AI338+打分卡!$D$14*AJ338+打分卡!$D$15*AK338)/5</f>
        <v>6.8</v>
      </c>
      <c r="AQ338" s="44">
        <f>(打分卡!$D$16*AL338+打分卡!$D$17*AM338)/5</f>
        <v>6</v>
      </c>
      <c r="AR338" s="47">
        <f t="shared" si="42"/>
        <v>42.8</v>
      </c>
      <c r="AS338" s="43" t="str">
        <f t="shared" si="43"/>
        <v>腰部</v>
      </c>
      <c r="AT338" s="43" t="str">
        <f t="shared" si="44"/>
        <v/>
      </c>
      <c r="AU338" s="43" t="str">
        <f t="shared" si="45"/>
        <v>拉·主攻：主推AI外呼+大促作战包</v>
      </c>
    </row>
    <row r="339" ht="15" customHeight="1" spans="1:47">
      <c r="A339" s="20" t="s">
        <v>1150</v>
      </c>
      <c r="B339" s="22" t="s">
        <v>1151</v>
      </c>
      <c r="C339" s="22" t="s">
        <v>189</v>
      </c>
      <c r="D339" s="22" t="s">
        <v>235</v>
      </c>
      <c r="E339" s="22" t="s">
        <v>181</v>
      </c>
      <c r="F339" s="20" t="s">
        <v>684</v>
      </c>
      <c r="G339" s="22">
        <v>8</v>
      </c>
      <c r="H339" s="22" t="s">
        <v>301</v>
      </c>
      <c r="I339" s="22" t="s">
        <v>302</v>
      </c>
      <c r="J339" s="36">
        <v>52000</v>
      </c>
      <c r="K339" s="36">
        <v>28500</v>
      </c>
      <c r="L339" s="36">
        <v>14800</v>
      </c>
      <c r="M339" s="36">
        <f t="shared" si="40"/>
        <v>95300</v>
      </c>
      <c r="N339" s="34">
        <f t="shared" si="46"/>
        <v>0.000499623578458202</v>
      </c>
      <c r="O339" s="35">
        <f>SUM($M$2:M339)</f>
        <v>167202500</v>
      </c>
      <c r="P339" s="34">
        <f t="shared" si="47"/>
        <v>0.876582490841108</v>
      </c>
      <c r="Q339" s="39">
        <v>9.1</v>
      </c>
      <c r="R339" s="22">
        <v>3</v>
      </c>
      <c r="S339" s="22">
        <v>1</v>
      </c>
      <c r="T339" s="22">
        <v>0</v>
      </c>
      <c r="U339" s="39">
        <v>3.5</v>
      </c>
      <c r="V339" s="22">
        <v>24</v>
      </c>
      <c r="W339" s="22">
        <v>2</v>
      </c>
      <c r="X339" s="40">
        <v>41</v>
      </c>
      <c r="Y339" s="22">
        <v>3</v>
      </c>
      <c r="Z339" s="22">
        <v>1</v>
      </c>
      <c r="AA339" s="22" t="s">
        <v>199</v>
      </c>
      <c r="AB339" s="22" t="s">
        <v>220</v>
      </c>
      <c r="AC339" s="42">
        <f>IFERROR(LOOKUP(M339,打分卡!$F$7:$J$7,打分卡!$K$7:$O$7),1)</f>
        <v>3</v>
      </c>
      <c r="AD339" s="42">
        <f>IFERROR(LOOKUP(S339,打分卡!$F$8:$J$8,打分卡!$K$8:$O$8),1)</f>
        <v>1</v>
      </c>
      <c r="AE339" s="42">
        <f>IFERROR(LOOKUP(T339,打分卡!$F$9:$I$9,打分卡!$K$9:$N$9),1)</f>
        <v>1</v>
      </c>
      <c r="AF339" s="42">
        <f>IFERROR(LOOKUP(Q339,打分卡!$F$10:$J$10,打分卡!$K$10:$O$10),1)</f>
        <v>2</v>
      </c>
      <c r="AG339" s="42">
        <f>IFERROR(LOOKUP(R339,打分卡!$F$11:$J$11,打分卡!$K$11:$O$11),1)</f>
        <v>2</v>
      </c>
      <c r="AH339" s="42">
        <f>IFERROR(LOOKUP(U339,打分卡!$F$12:$J$12,打分卡!$K$12:$O$12),1)</f>
        <v>2</v>
      </c>
      <c r="AI339" s="42">
        <f>IFERROR(LOOKUP(X339,打分卡!$F$13:$J$13,打分卡!$K$13:$O$13),1)</f>
        <v>3</v>
      </c>
      <c r="AJ339" s="42">
        <f>IFERROR(LOOKUP(Y339,打分卡!$F$14:$J$14,打分卡!$K$14:$O$14),1)</f>
        <v>4</v>
      </c>
      <c r="AK339" s="42">
        <f>IFERROR(LOOKUP(W339,打分卡!$F$15:$J$15,打分卡!$K$15:$O$15),1)</f>
        <v>2</v>
      </c>
      <c r="AL339" s="45">
        <f t="shared" si="41"/>
        <v>5</v>
      </c>
      <c r="AM339" s="42">
        <f>IFERROR(LOOKUP(Z339,打分卡!$F$17:$H$17,打分卡!$K$17:$M$17),1)</f>
        <v>3</v>
      </c>
      <c r="AN339" s="46">
        <f>(打分卡!$D$7*AC339+打分卡!$D$8*AD339+打分卡!$D$9*AE339)/5</f>
        <v>18</v>
      </c>
      <c r="AO339" s="46">
        <f>(打分卡!$D$10*AF339+打分卡!$D$11*AG339)/5</f>
        <v>8</v>
      </c>
      <c r="AP339" s="46">
        <f>(打分卡!$D$12*AH339+打分卡!$D$13*AI339+打分卡!$D$14*AJ339+打分卡!$D$15*AK339)/5</f>
        <v>16</v>
      </c>
      <c r="AQ339" s="46">
        <f>(打分卡!$D$16*AL339+打分卡!$D$17*AM339)/5</f>
        <v>8.4</v>
      </c>
      <c r="AR339" s="48">
        <f t="shared" si="42"/>
        <v>50.4</v>
      </c>
      <c r="AS339" s="45" t="str">
        <f t="shared" si="43"/>
        <v>腰部</v>
      </c>
      <c r="AT339" s="45" t="str">
        <f t="shared" si="44"/>
        <v/>
      </c>
      <c r="AU339" s="45" t="str">
        <f t="shared" si="45"/>
        <v>拉·主攻：主推AI外呼+大促作战包</v>
      </c>
    </row>
    <row r="340" ht="15" customHeight="1" spans="1:47">
      <c r="A340" s="30" t="s">
        <v>1152</v>
      </c>
      <c r="B340" s="31" t="s">
        <v>1153</v>
      </c>
      <c r="C340" s="31" t="s">
        <v>189</v>
      </c>
      <c r="D340" s="31" t="s">
        <v>235</v>
      </c>
      <c r="E340" s="31" t="s">
        <v>197</v>
      </c>
      <c r="F340" s="30" t="s">
        <v>1154</v>
      </c>
      <c r="G340" s="31">
        <v>6</v>
      </c>
      <c r="H340" s="31" t="s">
        <v>301</v>
      </c>
      <c r="I340" s="31" t="s">
        <v>184</v>
      </c>
      <c r="J340" s="33">
        <v>57600</v>
      </c>
      <c r="K340" s="33">
        <v>25000</v>
      </c>
      <c r="L340" s="33">
        <v>12700</v>
      </c>
      <c r="M340" s="33">
        <f t="shared" si="40"/>
        <v>95300</v>
      </c>
      <c r="N340" s="34">
        <f t="shared" si="46"/>
        <v>0.000499623578458202</v>
      </c>
      <c r="O340" s="35">
        <f>SUM($M$2:M340)</f>
        <v>167297800</v>
      </c>
      <c r="P340" s="34">
        <f t="shared" si="47"/>
        <v>0.877082114419566</v>
      </c>
      <c r="Q340" s="37">
        <v>9.8</v>
      </c>
      <c r="R340" s="31">
        <v>7</v>
      </c>
      <c r="S340" s="31">
        <v>3</v>
      </c>
      <c r="T340" s="31">
        <v>2</v>
      </c>
      <c r="U340" s="37">
        <v>9.2</v>
      </c>
      <c r="V340" s="31">
        <v>30</v>
      </c>
      <c r="W340" s="31">
        <v>4</v>
      </c>
      <c r="X340" s="38">
        <v>17</v>
      </c>
      <c r="Y340" s="31">
        <v>1</v>
      </c>
      <c r="Z340" s="31">
        <v>1</v>
      </c>
      <c r="AA340" s="31" t="s">
        <v>315</v>
      </c>
      <c r="AB340" s="31" t="s">
        <v>220</v>
      </c>
      <c r="AC340" s="41">
        <f>IFERROR(LOOKUP(M340,打分卡!$F$7:$J$7,打分卡!$K$7:$O$7),1)</f>
        <v>3</v>
      </c>
      <c r="AD340" s="41">
        <f>IFERROR(LOOKUP(S340,打分卡!$F$8:$J$8,打分卡!$K$8:$O$8),1)</f>
        <v>3</v>
      </c>
      <c r="AE340" s="41">
        <f>IFERROR(LOOKUP(T340,打分卡!$F$9:$I$9,打分卡!$K$9:$N$9),1)</f>
        <v>3</v>
      </c>
      <c r="AF340" s="41">
        <f>IFERROR(LOOKUP(Q340,打分卡!$F$10:$J$10,打分卡!$K$10:$O$10),1)</f>
        <v>3</v>
      </c>
      <c r="AG340" s="41">
        <f>IFERROR(LOOKUP(R340,打分卡!$F$11:$J$11,打分卡!$K$11:$O$11),1)</f>
        <v>3</v>
      </c>
      <c r="AH340" s="41">
        <f>IFERROR(LOOKUP(U340,打分卡!$F$12:$J$12,打分卡!$K$12:$O$12),1)</f>
        <v>2</v>
      </c>
      <c r="AI340" s="41">
        <f>IFERROR(LOOKUP(X340,打分卡!$F$13:$J$13,打分卡!$K$13:$O$13),1)</f>
        <v>1</v>
      </c>
      <c r="AJ340" s="41">
        <f>IFERROR(LOOKUP(Y340,打分卡!$F$14:$J$14,打分卡!$K$14:$O$14),1)</f>
        <v>2</v>
      </c>
      <c r="AK340" s="41">
        <f>IFERROR(LOOKUP(W340,打分卡!$F$15:$J$15,打分卡!$K$15:$O$15),1)</f>
        <v>3</v>
      </c>
      <c r="AL340" s="43">
        <f t="shared" si="41"/>
        <v>2</v>
      </c>
      <c r="AM340" s="41">
        <f>IFERROR(LOOKUP(Z340,打分卡!$F$17:$H$17,打分卡!$K$17:$M$17),1)</f>
        <v>3</v>
      </c>
      <c r="AN340" s="44">
        <f>(打分卡!$D$7*AC340+打分卡!$D$8*AD340+打分卡!$D$9*AE340)/5</f>
        <v>24</v>
      </c>
      <c r="AO340" s="44">
        <f>(打分卡!$D$10*AF340+打分卡!$D$11*AG340)/5</f>
        <v>12</v>
      </c>
      <c r="AP340" s="44">
        <f>(打分卡!$D$12*AH340+打分卡!$D$13*AI340+打分卡!$D$14*AJ340+打分卡!$D$15*AK340)/5</f>
        <v>11.2</v>
      </c>
      <c r="AQ340" s="44">
        <f>(打分卡!$D$16*AL340+打分卡!$D$17*AM340)/5</f>
        <v>4.8</v>
      </c>
      <c r="AR340" s="47">
        <f t="shared" si="42"/>
        <v>52</v>
      </c>
      <c r="AS340" s="43" t="str">
        <f t="shared" si="43"/>
        <v>腰部</v>
      </c>
      <c r="AT340" s="43" t="str">
        <f t="shared" si="44"/>
        <v/>
      </c>
      <c r="AU340" s="43" t="str">
        <f t="shared" si="45"/>
        <v>拉·主攻：主推AI外呼+大促作战包</v>
      </c>
    </row>
    <row r="341" ht="15" customHeight="1" spans="1:47">
      <c r="A341" s="20" t="s">
        <v>1155</v>
      </c>
      <c r="B341" s="22" t="s">
        <v>1156</v>
      </c>
      <c r="C341" s="22" t="s">
        <v>189</v>
      </c>
      <c r="D341" s="22" t="s">
        <v>235</v>
      </c>
      <c r="E341" s="22" t="s">
        <v>181</v>
      </c>
      <c r="F341" s="20" t="s">
        <v>469</v>
      </c>
      <c r="G341" s="22">
        <v>7</v>
      </c>
      <c r="H341" s="22" t="s">
        <v>301</v>
      </c>
      <c r="I341" s="22" t="s">
        <v>184</v>
      </c>
      <c r="J341" s="36">
        <v>57800</v>
      </c>
      <c r="K341" s="36">
        <v>23900</v>
      </c>
      <c r="L341" s="36">
        <v>13100</v>
      </c>
      <c r="M341" s="36">
        <f t="shared" si="40"/>
        <v>94800</v>
      </c>
      <c r="N341" s="34">
        <f t="shared" si="46"/>
        <v>0.000497002258529251</v>
      </c>
      <c r="O341" s="35">
        <f>SUM($M$2:M341)</f>
        <v>167392600</v>
      </c>
      <c r="P341" s="34">
        <f t="shared" si="47"/>
        <v>0.877579116678096</v>
      </c>
      <c r="Q341" s="39">
        <v>7.3</v>
      </c>
      <c r="R341" s="22">
        <v>5</v>
      </c>
      <c r="S341" s="22">
        <v>1</v>
      </c>
      <c r="T341" s="22">
        <v>1</v>
      </c>
      <c r="U341" s="39">
        <v>47.7</v>
      </c>
      <c r="V341" s="22">
        <v>11</v>
      </c>
      <c r="W341" s="22">
        <v>3</v>
      </c>
      <c r="X341" s="40">
        <v>41</v>
      </c>
      <c r="Y341" s="22">
        <v>3</v>
      </c>
      <c r="Z341" s="22">
        <v>1</v>
      </c>
      <c r="AA341" s="22" t="s">
        <v>199</v>
      </c>
      <c r="AB341" s="22" t="s">
        <v>220</v>
      </c>
      <c r="AC341" s="42">
        <f>IFERROR(LOOKUP(M341,打分卡!$F$7:$J$7,打分卡!$K$7:$O$7),1)</f>
        <v>3</v>
      </c>
      <c r="AD341" s="42">
        <f>IFERROR(LOOKUP(S341,打分卡!$F$8:$J$8,打分卡!$K$8:$O$8),1)</f>
        <v>1</v>
      </c>
      <c r="AE341" s="42">
        <f>IFERROR(LOOKUP(T341,打分卡!$F$9:$I$9,打分卡!$K$9:$N$9),1)</f>
        <v>2</v>
      </c>
      <c r="AF341" s="42">
        <f>IFERROR(LOOKUP(Q341,打分卡!$F$10:$J$10,打分卡!$K$10:$O$10),1)</f>
        <v>2</v>
      </c>
      <c r="AG341" s="42">
        <f>IFERROR(LOOKUP(R341,打分卡!$F$11:$J$11,打分卡!$K$11:$O$11),1)</f>
        <v>3</v>
      </c>
      <c r="AH341" s="42">
        <f>IFERROR(LOOKUP(U341,打分卡!$F$12:$J$12,打分卡!$K$12:$O$12),1)</f>
        <v>4</v>
      </c>
      <c r="AI341" s="42">
        <f>IFERROR(LOOKUP(X341,打分卡!$F$13:$J$13,打分卡!$K$13:$O$13),1)</f>
        <v>3</v>
      </c>
      <c r="AJ341" s="42">
        <f>IFERROR(LOOKUP(Y341,打分卡!$F$14:$J$14,打分卡!$K$14:$O$14),1)</f>
        <v>4</v>
      </c>
      <c r="AK341" s="42">
        <f>IFERROR(LOOKUP(W341,打分卡!$F$15:$J$15,打分卡!$K$15:$O$15),1)</f>
        <v>3</v>
      </c>
      <c r="AL341" s="45">
        <f t="shared" si="41"/>
        <v>5</v>
      </c>
      <c r="AM341" s="42">
        <f>IFERROR(LOOKUP(Z341,打分卡!$F$17:$H$17,打分卡!$K$17:$M$17),1)</f>
        <v>3</v>
      </c>
      <c r="AN341" s="46">
        <f>(打分卡!$D$7*AC341+打分卡!$D$8*AD341+打分卡!$D$9*AE341)/5</f>
        <v>19.4</v>
      </c>
      <c r="AO341" s="46">
        <f>(打分卡!$D$10*AF341+打分卡!$D$11*AG341)/5</f>
        <v>10</v>
      </c>
      <c r="AP341" s="46">
        <f>(打分卡!$D$12*AH341+打分卡!$D$13*AI341+打分卡!$D$14*AJ341+打分卡!$D$15*AK341)/5</f>
        <v>21.6</v>
      </c>
      <c r="AQ341" s="46">
        <f>(打分卡!$D$16*AL341+打分卡!$D$17*AM341)/5</f>
        <v>8.4</v>
      </c>
      <c r="AR341" s="48">
        <f t="shared" si="42"/>
        <v>59.4</v>
      </c>
      <c r="AS341" s="45" t="str">
        <f t="shared" si="43"/>
        <v>腰部</v>
      </c>
      <c r="AT341" s="45" t="str">
        <f t="shared" si="44"/>
        <v/>
      </c>
      <c r="AU341" s="45" t="str">
        <f t="shared" si="45"/>
        <v>拉·主攻：主推AI外呼+大促作战包</v>
      </c>
    </row>
    <row r="342" ht="15" customHeight="1" spans="1:47">
      <c r="A342" s="30" t="s">
        <v>1157</v>
      </c>
      <c r="B342" s="31" t="s">
        <v>1158</v>
      </c>
      <c r="C342" s="31" t="s">
        <v>218</v>
      </c>
      <c r="D342" s="31" t="s">
        <v>235</v>
      </c>
      <c r="E342" s="31" t="s">
        <v>181</v>
      </c>
      <c r="F342" s="30" t="s">
        <v>1159</v>
      </c>
      <c r="G342" s="31">
        <v>20</v>
      </c>
      <c r="H342" s="31" t="s">
        <v>301</v>
      </c>
      <c r="I342" s="31" t="s">
        <v>184</v>
      </c>
      <c r="J342" s="33">
        <v>49000</v>
      </c>
      <c r="K342" s="33">
        <v>32300</v>
      </c>
      <c r="L342" s="33">
        <v>13400</v>
      </c>
      <c r="M342" s="33">
        <f t="shared" si="40"/>
        <v>94700</v>
      </c>
      <c r="N342" s="34">
        <f t="shared" si="46"/>
        <v>0.00049647799454346</v>
      </c>
      <c r="O342" s="35">
        <f>SUM($M$2:M342)</f>
        <v>167487300</v>
      </c>
      <c r="P342" s="34">
        <f t="shared" si="47"/>
        <v>0.878075594672639</v>
      </c>
      <c r="Q342" s="37">
        <v>11.5</v>
      </c>
      <c r="R342" s="31">
        <v>7</v>
      </c>
      <c r="S342" s="31">
        <v>1</v>
      </c>
      <c r="T342" s="31">
        <v>2</v>
      </c>
      <c r="U342" s="37">
        <v>5.1</v>
      </c>
      <c r="V342" s="31">
        <v>22</v>
      </c>
      <c r="W342" s="31">
        <v>4</v>
      </c>
      <c r="X342" s="38">
        <v>18</v>
      </c>
      <c r="Y342" s="31">
        <v>2</v>
      </c>
      <c r="Z342" s="31">
        <v>1</v>
      </c>
      <c r="AA342" s="31" t="s">
        <v>199</v>
      </c>
      <c r="AB342" s="31" t="s">
        <v>220</v>
      </c>
      <c r="AC342" s="41">
        <f>IFERROR(LOOKUP(M342,打分卡!$F$7:$J$7,打分卡!$K$7:$O$7),1)</f>
        <v>3</v>
      </c>
      <c r="AD342" s="41">
        <f>IFERROR(LOOKUP(S342,打分卡!$F$8:$J$8,打分卡!$K$8:$O$8),1)</f>
        <v>1</v>
      </c>
      <c r="AE342" s="41">
        <f>IFERROR(LOOKUP(T342,打分卡!$F$9:$I$9,打分卡!$K$9:$N$9),1)</f>
        <v>3</v>
      </c>
      <c r="AF342" s="41">
        <f>IFERROR(LOOKUP(Q342,打分卡!$F$10:$J$10,打分卡!$K$10:$O$10),1)</f>
        <v>3</v>
      </c>
      <c r="AG342" s="41">
        <f>IFERROR(LOOKUP(R342,打分卡!$F$11:$J$11,打分卡!$K$11:$O$11),1)</f>
        <v>3</v>
      </c>
      <c r="AH342" s="41">
        <f>IFERROR(LOOKUP(U342,打分卡!$F$12:$J$12,打分卡!$K$12:$O$12),1)</f>
        <v>2</v>
      </c>
      <c r="AI342" s="41">
        <f>IFERROR(LOOKUP(X342,打分卡!$F$13:$J$13,打分卡!$K$13:$O$13),1)</f>
        <v>2</v>
      </c>
      <c r="AJ342" s="41">
        <f>IFERROR(LOOKUP(Y342,打分卡!$F$14:$J$14,打分卡!$K$14:$O$14),1)</f>
        <v>3</v>
      </c>
      <c r="AK342" s="41">
        <f>IFERROR(LOOKUP(W342,打分卡!$F$15:$J$15,打分卡!$K$15:$O$15),1)</f>
        <v>3</v>
      </c>
      <c r="AL342" s="43">
        <f t="shared" si="41"/>
        <v>5</v>
      </c>
      <c r="AM342" s="41">
        <f>IFERROR(LOOKUP(Z342,打分卡!$F$17:$H$17,打分卡!$K$17:$M$17),1)</f>
        <v>3</v>
      </c>
      <c r="AN342" s="44">
        <f>(打分卡!$D$7*AC342+打分卡!$D$8*AD342+打分卡!$D$9*AE342)/5</f>
        <v>20.8</v>
      </c>
      <c r="AO342" s="44">
        <f>(打分卡!$D$10*AF342+打分卡!$D$11*AG342)/5</f>
        <v>12</v>
      </c>
      <c r="AP342" s="44">
        <f>(打分卡!$D$12*AH342+打分卡!$D$13*AI342+打分卡!$D$14*AJ342+打分卡!$D$15*AK342)/5</f>
        <v>14</v>
      </c>
      <c r="AQ342" s="44">
        <f>(打分卡!$D$16*AL342+打分卡!$D$17*AM342)/5</f>
        <v>8.4</v>
      </c>
      <c r="AR342" s="47">
        <f t="shared" si="42"/>
        <v>55.2</v>
      </c>
      <c r="AS342" s="43" t="str">
        <f t="shared" si="43"/>
        <v>腰部</v>
      </c>
      <c r="AT342" s="43" t="str">
        <f t="shared" si="44"/>
        <v/>
      </c>
      <c r="AU342" s="43" t="str">
        <f t="shared" si="45"/>
        <v>拉·主攻：主推AI外呼+大促作战包</v>
      </c>
    </row>
    <row r="343" ht="15" customHeight="1" spans="1:47">
      <c r="A343" s="20" t="s">
        <v>1160</v>
      </c>
      <c r="B343" s="22" t="s">
        <v>1161</v>
      </c>
      <c r="C343" s="22" t="s">
        <v>189</v>
      </c>
      <c r="D343" s="22" t="s">
        <v>227</v>
      </c>
      <c r="E343" s="22" t="s">
        <v>181</v>
      </c>
      <c r="F343" s="20" t="s">
        <v>737</v>
      </c>
      <c r="G343" s="22">
        <v>14</v>
      </c>
      <c r="H343" s="22" t="s">
        <v>301</v>
      </c>
      <c r="I343" s="22" t="s">
        <v>302</v>
      </c>
      <c r="J343" s="36">
        <v>45600</v>
      </c>
      <c r="K343" s="36">
        <v>24400</v>
      </c>
      <c r="L343" s="36">
        <v>24400</v>
      </c>
      <c r="M343" s="36">
        <f t="shared" si="40"/>
        <v>94400</v>
      </c>
      <c r="N343" s="34">
        <f t="shared" si="46"/>
        <v>0.000494905202586089</v>
      </c>
      <c r="O343" s="35">
        <f>SUM($M$2:M343)</f>
        <v>167581700</v>
      </c>
      <c r="P343" s="34">
        <f t="shared" si="47"/>
        <v>0.878570499875225</v>
      </c>
      <c r="Q343" s="39">
        <v>8.9</v>
      </c>
      <c r="R343" s="22">
        <v>1</v>
      </c>
      <c r="S343" s="22">
        <v>1</v>
      </c>
      <c r="T343" s="22">
        <v>0</v>
      </c>
      <c r="U343" s="39">
        <v>23.1</v>
      </c>
      <c r="V343" s="22">
        <v>30</v>
      </c>
      <c r="W343" s="22">
        <v>3</v>
      </c>
      <c r="X343" s="40">
        <v>58</v>
      </c>
      <c r="Y343" s="22">
        <v>3</v>
      </c>
      <c r="Z343" s="22">
        <v>0</v>
      </c>
      <c r="AA343" s="22" t="s">
        <v>185</v>
      </c>
      <c r="AB343" s="22" t="s">
        <v>220</v>
      </c>
      <c r="AC343" s="42">
        <f>IFERROR(LOOKUP(M343,打分卡!$F$7:$J$7,打分卡!$K$7:$O$7),1)</f>
        <v>3</v>
      </c>
      <c r="AD343" s="42">
        <f>IFERROR(LOOKUP(S343,打分卡!$F$8:$J$8,打分卡!$K$8:$O$8),1)</f>
        <v>1</v>
      </c>
      <c r="AE343" s="42">
        <f>IFERROR(LOOKUP(T343,打分卡!$F$9:$I$9,打分卡!$K$9:$N$9),1)</f>
        <v>1</v>
      </c>
      <c r="AF343" s="42">
        <f>IFERROR(LOOKUP(Q343,打分卡!$F$10:$J$10,打分卡!$K$10:$O$10),1)</f>
        <v>2</v>
      </c>
      <c r="AG343" s="42">
        <f>IFERROR(LOOKUP(R343,打分卡!$F$11:$J$11,打分卡!$K$11:$O$11),1)</f>
        <v>1</v>
      </c>
      <c r="AH343" s="42">
        <f>IFERROR(LOOKUP(U343,打分卡!$F$12:$J$12,打分卡!$K$12:$O$12),1)</f>
        <v>3</v>
      </c>
      <c r="AI343" s="42">
        <f>IFERROR(LOOKUP(X343,打分卡!$F$13:$J$13,打分卡!$K$13:$O$13),1)</f>
        <v>3</v>
      </c>
      <c r="AJ343" s="42">
        <f>IFERROR(LOOKUP(Y343,打分卡!$F$14:$J$14,打分卡!$K$14:$O$14),1)</f>
        <v>4</v>
      </c>
      <c r="AK343" s="42">
        <f>IFERROR(LOOKUP(W343,打分卡!$F$15:$J$15,打分卡!$K$15:$O$15),1)</f>
        <v>3</v>
      </c>
      <c r="AL343" s="45">
        <f t="shared" si="41"/>
        <v>3</v>
      </c>
      <c r="AM343" s="42">
        <f>IFERROR(LOOKUP(Z343,打分卡!$F$17:$H$17,打分卡!$K$17:$M$17),1)</f>
        <v>1</v>
      </c>
      <c r="AN343" s="46">
        <f>(打分卡!$D$7*AC343+打分卡!$D$8*AD343+打分卡!$D$9*AE343)/5</f>
        <v>18</v>
      </c>
      <c r="AO343" s="46">
        <f>(打分卡!$D$10*AF343+打分卡!$D$11*AG343)/5</f>
        <v>6</v>
      </c>
      <c r="AP343" s="46">
        <f>(打分卡!$D$12*AH343+打分卡!$D$13*AI343+打分卡!$D$14*AJ343+打分卡!$D$15*AK343)/5</f>
        <v>19.2</v>
      </c>
      <c r="AQ343" s="46">
        <f>(打分卡!$D$16*AL343+打分卡!$D$17*AM343)/5</f>
        <v>4.4</v>
      </c>
      <c r="AR343" s="48">
        <f t="shared" si="42"/>
        <v>47.6</v>
      </c>
      <c r="AS343" s="45" t="str">
        <f t="shared" si="43"/>
        <v>腰部</v>
      </c>
      <c r="AT343" s="45" t="str">
        <f t="shared" si="44"/>
        <v/>
      </c>
      <c r="AU343" s="45" t="str">
        <f t="shared" si="45"/>
        <v>拉·主攻：主推AI外呼+大促作战包</v>
      </c>
    </row>
    <row r="344" ht="15" customHeight="1" spans="1:47">
      <c r="A344" s="30" t="s">
        <v>1162</v>
      </c>
      <c r="B344" s="31" t="s">
        <v>1163</v>
      </c>
      <c r="C344" s="31" t="s">
        <v>195</v>
      </c>
      <c r="D344" s="31" t="s">
        <v>202</v>
      </c>
      <c r="E344" s="31" t="s">
        <v>181</v>
      </c>
      <c r="F344" s="30" t="s">
        <v>615</v>
      </c>
      <c r="G344" s="31">
        <v>14</v>
      </c>
      <c r="H344" s="31" t="s">
        <v>301</v>
      </c>
      <c r="I344" s="31" t="s">
        <v>302</v>
      </c>
      <c r="J344" s="33">
        <v>56800</v>
      </c>
      <c r="K344" s="33">
        <v>20100</v>
      </c>
      <c r="L344" s="33">
        <v>17400</v>
      </c>
      <c r="M344" s="33">
        <f t="shared" si="40"/>
        <v>94300</v>
      </c>
      <c r="N344" s="34">
        <f t="shared" si="46"/>
        <v>0.000494380938600299</v>
      </c>
      <c r="O344" s="35">
        <f>SUM($M$2:M344)</f>
        <v>167676000</v>
      </c>
      <c r="P344" s="34">
        <f t="shared" si="47"/>
        <v>0.879064880813825</v>
      </c>
      <c r="Q344" s="37">
        <v>6.6</v>
      </c>
      <c r="R344" s="31">
        <v>6</v>
      </c>
      <c r="S344" s="31">
        <v>3</v>
      </c>
      <c r="T344" s="31">
        <v>1</v>
      </c>
      <c r="U344" s="37">
        <v>74.3</v>
      </c>
      <c r="V344" s="31">
        <v>29</v>
      </c>
      <c r="W344" s="31">
        <v>3</v>
      </c>
      <c r="X344" s="38">
        <v>13</v>
      </c>
      <c r="Y344" s="31">
        <v>1</v>
      </c>
      <c r="Z344" s="31">
        <v>0</v>
      </c>
      <c r="AA344" s="31" t="s">
        <v>315</v>
      </c>
      <c r="AB344" s="31" t="s">
        <v>220</v>
      </c>
      <c r="AC344" s="41">
        <f>IFERROR(LOOKUP(M344,打分卡!$F$7:$J$7,打分卡!$K$7:$O$7),1)</f>
        <v>3</v>
      </c>
      <c r="AD344" s="41">
        <f>IFERROR(LOOKUP(S344,打分卡!$F$8:$J$8,打分卡!$K$8:$O$8),1)</f>
        <v>3</v>
      </c>
      <c r="AE344" s="41">
        <f>IFERROR(LOOKUP(T344,打分卡!$F$9:$I$9,打分卡!$K$9:$N$9),1)</f>
        <v>2</v>
      </c>
      <c r="AF344" s="41">
        <f>IFERROR(LOOKUP(Q344,打分卡!$F$10:$J$10,打分卡!$K$10:$O$10),1)</f>
        <v>2</v>
      </c>
      <c r="AG344" s="41">
        <f>IFERROR(LOOKUP(R344,打分卡!$F$11:$J$11,打分卡!$K$11:$O$11),1)</f>
        <v>3</v>
      </c>
      <c r="AH344" s="41">
        <f>IFERROR(LOOKUP(U344,打分卡!$F$12:$J$12,打分卡!$K$12:$O$12),1)</f>
        <v>5</v>
      </c>
      <c r="AI344" s="41">
        <f>IFERROR(LOOKUP(X344,打分卡!$F$13:$J$13,打分卡!$K$13:$O$13),1)</f>
        <v>1</v>
      </c>
      <c r="AJ344" s="41">
        <f>IFERROR(LOOKUP(Y344,打分卡!$F$14:$J$14,打分卡!$K$14:$O$14),1)</f>
        <v>2</v>
      </c>
      <c r="AK344" s="41">
        <f>IFERROR(LOOKUP(W344,打分卡!$F$15:$J$15,打分卡!$K$15:$O$15),1)</f>
        <v>3</v>
      </c>
      <c r="AL344" s="43">
        <f t="shared" si="41"/>
        <v>2</v>
      </c>
      <c r="AM344" s="41">
        <f>IFERROR(LOOKUP(Z344,打分卡!$F$17:$H$17,打分卡!$K$17:$M$17),1)</f>
        <v>1</v>
      </c>
      <c r="AN344" s="44">
        <f>(打分卡!$D$7*AC344+打分卡!$D$8*AD344+打分卡!$D$9*AE344)/5</f>
        <v>22.6</v>
      </c>
      <c r="AO344" s="44">
        <f>(打分卡!$D$10*AF344+打分卡!$D$11*AG344)/5</f>
        <v>10</v>
      </c>
      <c r="AP344" s="44">
        <f>(打分卡!$D$12*AH344+打分卡!$D$13*AI344+打分卡!$D$14*AJ344+打分卡!$D$15*AK344)/5</f>
        <v>18.4</v>
      </c>
      <c r="AQ344" s="44">
        <f>(打分卡!$D$16*AL344+打分卡!$D$17*AM344)/5</f>
        <v>3.2</v>
      </c>
      <c r="AR344" s="47">
        <f t="shared" si="42"/>
        <v>54.2</v>
      </c>
      <c r="AS344" s="43" t="str">
        <f t="shared" si="43"/>
        <v>腰部</v>
      </c>
      <c r="AT344" s="43" t="str">
        <f t="shared" si="44"/>
        <v/>
      </c>
      <c r="AU344" s="43" t="str">
        <f t="shared" si="45"/>
        <v>拉·主攻：主推AI外呼+大促作战包</v>
      </c>
    </row>
    <row r="345" ht="15" customHeight="1" spans="1:47">
      <c r="A345" s="20" t="s">
        <v>1164</v>
      </c>
      <c r="B345" s="22" t="s">
        <v>1165</v>
      </c>
      <c r="C345" s="22" t="s">
        <v>179</v>
      </c>
      <c r="D345" s="22" t="s">
        <v>202</v>
      </c>
      <c r="E345" s="22" t="s">
        <v>181</v>
      </c>
      <c r="F345" s="20" t="s">
        <v>1166</v>
      </c>
      <c r="G345" s="22">
        <v>3</v>
      </c>
      <c r="H345" s="22" t="s">
        <v>301</v>
      </c>
      <c r="I345" s="22" t="s">
        <v>302</v>
      </c>
      <c r="J345" s="36">
        <v>60900</v>
      </c>
      <c r="K345" s="36">
        <v>27400</v>
      </c>
      <c r="L345" s="36">
        <v>5700</v>
      </c>
      <c r="M345" s="36">
        <f t="shared" si="40"/>
        <v>94000</v>
      </c>
      <c r="N345" s="34">
        <f t="shared" si="46"/>
        <v>0.000492808146642928</v>
      </c>
      <c r="O345" s="35">
        <f>SUM($M$2:M345)</f>
        <v>167770000</v>
      </c>
      <c r="P345" s="34">
        <f t="shared" si="47"/>
        <v>0.879557688960468</v>
      </c>
      <c r="Q345" s="39">
        <v>12.2</v>
      </c>
      <c r="R345" s="22">
        <v>8</v>
      </c>
      <c r="S345" s="22">
        <v>2</v>
      </c>
      <c r="T345" s="22">
        <v>0</v>
      </c>
      <c r="U345" s="39">
        <v>69</v>
      </c>
      <c r="V345" s="22">
        <v>19</v>
      </c>
      <c r="W345" s="22">
        <v>1</v>
      </c>
      <c r="X345" s="40">
        <v>117</v>
      </c>
      <c r="Y345" s="22">
        <v>2</v>
      </c>
      <c r="Z345" s="22">
        <v>1</v>
      </c>
      <c r="AA345" s="22" t="s">
        <v>199</v>
      </c>
      <c r="AB345" s="22" t="s">
        <v>220</v>
      </c>
      <c r="AC345" s="42">
        <f>IFERROR(LOOKUP(M345,打分卡!$F$7:$J$7,打分卡!$K$7:$O$7),1)</f>
        <v>3</v>
      </c>
      <c r="AD345" s="42">
        <f>IFERROR(LOOKUP(S345,打分卡!$F$8:$J$8,打分卡!$K$8:$O$8),1)</f>
        <v>2</v>
      </c>
      <c r="AE345" s="42">
        <f>IFERROR(LOOKUP(T345,打分卡!$F$9:$I$9,打分卡!$K$9:$N$9),1)</f>
        <v>1</v>
      </c>
      <c r="AF345" s="42">
        <f>IFERROR(LOOKUP(Q345,打分卡!$F$10:$J$10,打分卡!$K$10:$O$10),1)</f>
        <v>3</v>
      </c>
      <c r="AG345" s="42">
        <f>IFERROR(LOOKUP(R345,打分卡!$F$11:$J$11,打分卡!$K$11:$O$11),1)</f>
        <v>3</v>
      </c>
      <c r="AH345" s="42">
        <f>IFERROR(LOOKUP(U345,打分卡!$F$12:$J$12,打分卡!$K$12:$O$12),1)</f>
        <v>5</v>
      </c>
      <c r="AI345" s="42">
        <f>IFERROR(LOOKUP(X345,打分卡!$F$13:$J$13,打分卡!$K$13:$O$13),1)</f>
        <v>4</v>
      </c>
      <c r="AJ345" s="42">
        <f>IFERROR(LOOKUP(Y345,打分卡!$F$14:$J$14,打分卡!$K$14:$O$14),1)</f>
        <v>3</v>
      </c>
      <c r="AK345" s="42">
        <f>IFERROR(LOOKUP(W345,打分卡!$F$15:$J$15,打分卡!$K$15:$O$15),1)</f>
        <v>2</v>
      </c>
      <c r="AL345" s="45">
        <f t="shared" si="41"/>
        <v>5</v>
      </c>
      <c r="AM345" s="42">
        <f>IFERROR(LOOKUP(Z345,打分卡!$F$17:$H$17,打分卡!$K$17:$M$17),1)</f>
        <v>3</v>
      </c>
      <c r="AN345" s="46">
        <f>(打分卡!$D$7*AC345+打分卡!$D$8*AD345+打分卡!$D$9*AE345)/5</f>
        <v>19.6</v>
      </c>
      <c r="AO345" s="46">
        <f>(打分卡!$D$10*AF345+打分卡!$D$11*AG345)/5</f>
        <v>12</v>
      </c>
      <c r="AP345" s="46">
        <f>(打分卡!$D$12*AH345+打分卡!$D$13*AI345+打分卡!$D$14*AJ345+打分卡!$D$15*AK345)/5</f>
        <v>23.6</v>
      </c>
      <c r="AQ345" s="46">
        <f>(打分卡!$D$16*AL345+打分卡!$D$17*AM345)/5</f>
        <v>8.4</v>
      </c>
      <c r="AR345" s="48">
        <f t="shared" si="42"/>
        <v>63.6</v>
      </c>
      <c r="AS345" s="45" t="str">
        <f t="shared" si="43"/>
        <v>腰部</v>
      </c>
      <c r="AT345" s="45" t="str">
        <f t="shared" si="44"/>
        <v/>
      </c>
      <c r="AU345" s="45" t="str">
        <f t="shared" si="45"/>
        <v>拉·主攻：主推AI外呼+大促作战包</v>
      </c>
    </row>
    <row r="346" ht="15" customHeight="1" spans="1:47">
      <c r="A346" s="30" t="s">
        <v>1167</v>
      </c>
      <c r="B346" s="31" t="s">
        <v>1168</v>
      </c>
      <c r="C346" s="31" t="s">
        <v>239</v>
      </c>
      <c r="D346" s="31" t="s">
        <v>202</v>
      </c>
      <c r="E346" s="31" t="s">
        <v>181</v>
      </c>
      <c r="F346" s="30" t="s">
        <v>723</v>
      </c>
      <c r="G346" s="31">
        <v>16</v>
      </c>
      <c r="H346" s="31" t="s">
        <v>301</v>
      </c>
      <c r="I346" s="31" t="s">
        <v>302</v>
      </c>
      <c r="J346" s="33">
        <v>59400</v>
      </c>
      <c r="K346" s="33">
        <v>19700</v>
      </c>
      <c r="L346" s="33">
        <v>14500</v>
      </c>
      <c r="M346" s="33">
        <f t="shared" si="40"/>
        <v>93600</v>
      </c>
      <c r="N346" s="34">
        <f t="shared" si="46"/>
        <v>0.000490711090699767</v>
      </c>
      <c r="O346" s="35">
        <f>SUM($M$2:M346)</f>
        <v>167863600</v>
      </c>
      <c r="P346" s="34">
        <f t="shared" si="47"/>
        <v>0.880048400051168</v>
      </c>
      <c r="Q346" s="37">
        <v>13.1</v>
      </c>
      <c r="R346" s="31">
        <v>8</v>
      </c>
      <c r="S346" s="31">
        <v>1</v>
      </c>
      <c r="T346" s="31">
        <v>0</v>
      </c>
      <c r="U346" s="37">
        <v>4</v>
      </c>
      <c r="V346" s="31">
        <v>25</v>
      </c>
      <c r="W346" s="31">
        <v>4</v>
      </c>
      <c r="X346" s="38">
        <v>39</v>
      </c>
      <c r="Y346" s="31">
        <v>1</v>
      </c>
      <c r="Z346" s="31">
        <v>1</v>
      </c>
      <c r="AA346" s="31" t="s">
        <v>185</v>
      </c>
      <c r="AB346" s="31" t="s">
        <v>220</v>
      </c>
      <c r="AC346" s="41">
        <f>IFERROR(LOOKUP(M346,打分卡!$F$7:$J$7,打分卡!$K$7:$O$7),1)</f>
        <v>2</v>
      </c>
      <c r="AD346" s="41">
        <f>IFERROR(LOOKUP(S346,打分卡!$F$8:$J$8,打分卡!$K$8:$O$8),1)</f>
        <v>1</v>
      </c>
      <c r="AE346" s="41">
        <f>IFERROR(LOOKUP(T346,打分卡!$F$9:$I$9,打分卡!$K$9:$N$9),1)</f>
        <v>1</v>
      </c>
      <c r="AF346" s="41">
        <f>IFERROR(LOOKUP(Q346,打分卡!$F$10:$J$10,打分卡!$K$10:$O$10),1)</f>
        <v>3</v>
      </c>
      <c r="AG346" s="41">
        <f>IFERROR(LOOKUP(R346,打分卡!$F$11:$J$11,打分卡!$K$11:$O$11),1)</f>
        <v>3</v>
      </c>
      <c r="AH346" s="41">
        <f>IFERROR(LOOKUP(U346,打分卡!$F$12:$J$12,打分卡!$K$12:$O$12),1)</f>
        <v>2</v>
      </c>
      <c r="AI346" s="41">
        <f>IFERROR(LOOKUP(X346,打分卡!$F$13:$J$13,打分卡!$K$13:$O$13),1)</f>
        <v>3</v>
      </c>
      <c r="AJ346" s="41">
        <f>IFERROR(LOOKUP(Y346,打分卡!$F$14:$J$14,打分卡!$K$14:$O$14),1)</f>
        <v>2</v>
      </c>
      <c r="AK346" s="41">
        <f>IFERROR(LOOKUP(W346,打分卡!$F$15:$J$15,打分卡!$K$15:$O$15),1)</f>
        <v>3</v>
      </c>
      <c r="AL346" s="43">
        <f t="shared" si="41"/>
        <v>3</v>
      </c>
      <c r="AM346" s="41">
        <f>IFERROR(LOOKUP(Z346,打分卡!$F$17:$H$17,打分卡!$K$17:$M$17),1)</f>
        <v>3</v>
      </c>
      <c r="AN346" s="44">
        <f>(打分卡!$D$7*AC346+打分卡!$D$8*AD346+打分卡!$D$9*AE346)/5</f>
        <v>13</v>
      </c>
      <c r="AO346" s="44">
        <f>(打分卡!$D$10*AF346+打分卡!$D$11*AG346)/5</f>
        <v>12</v>
      </c>
      <c r="AP346" s="44">
        <f>(打分卡!$D$12*AH346+打分卡!$D$13*AI346+打分卡!$D$14*AJ346+打分卡!$D$15*AK346)/5</f>
        <v>14.4</v>
      </c>
      <c r="AQ346" s="44">
        <f>(打分卡!$D$16*AL346+打分卡!$D$17*AM346)/5</f>
        <v>6</v>
      </c>
      <c r="AR346" s="47">
        <f t="shared" si="42"/>
        <v>45.4</v>
      </c>
      <c r="AS346" s="43" t="str">
        <f t="shared" si="43"/>
        <v>腰部</v>
      </c>
      <c r="AT346" s="43" t="str">
        <f t="shared" si="44"/>
        <v/>
      </c>
      <c r="AU346" s="43" t="str">
        <f t="shared" si="45"/>
        <v>拉·主攻：主推AI外呼+大促作战包</v>
      </c>
    </row>
    <row r="347" ht="15" customHeight="1" spans="1:47">
      <c r="A347" s="20" t="s">
        <v>1169</v>
      </c>
      <c r="B347" s="22" t="s">
        <v>1170</v>
      </c>
      <c r="C347" s="22" t="s">
        <v>179</v>
      </c>
      <c r="D347" s="22" t="s">
        <v>202</v>
      </c>
      <c r="E347" s="22" t="s">
        <v>181</v>
      </c>
      <c r="F347" s="20" t="s">
        <v>931</v>
      </c>
      <c r="G347" s="22">
        <v>3</v>
      </c>
      <c r="H347" s="22" t="s">
        <v>301</v>
      </c>
      <c r="I347" s="22" t="s">
        <v>184</v>
      </c>
      <c r="J347" s="36">
        <v>43500</v>
      </c>
      <c r="K347" s="36">
        <v>20700</v>
      </c>
      <c r="L347" s="36">
        <v>29100</v>
      </c>
      <c r="M347" s="36">
        <f t="shared" si="40"/>
        <v>93300</v>
      </c>
      <c r="N347" s="34">
        <f t="shared" si="46"/>
        <v>0.000489138298742396</v>
      </c>
      <c r="O347" s="35">
        <f>SUM($M$2:M347)</f>
        <v>167956900</v>
      </c>
      <c r="P347" s="34">
        <f t="shared" si="47"/>
        <v>0.880537538349911</v>
      </c>
      <c r="Q347" s="39">
        <v>6.9</v>
      </c>
      <c r="R347" s="22">
        <v>9</v>
      </c>
      <c r="S347" s="22">
        <v>2</v>
      </c>
      <c r="T347" s="22">
        <v>0</v>
      </c>
      <c r="U347" s="39">
        <v>8.3</v>
      </c>
      <c r="V347" s="22">
        <v>6</v>
      </c>
      <c r="W347" s="22">
        <v>4</v>
      </c>
      <c r="X347" s="40">
        <v>78</v>
      </c>
      <c r="Y347" s="22">
        <v>3</v>
      </c>
      <c r="Z347" s="22">
        <v>1</v>
      </c>
      <c r="AA347" s="22" t="s">
        <v>199</v>
      </c>
      <c r="AB347" s="22" t="s">
        <v>220</v>
      </c>
      <c r="AC347" s="42">
        <f>IFERROR(LOOKUP(M347,打分卡!$F$7:$J$7,打分卡!$K$7:$O$7),1)</f>
        <v>2</v>
      </c>
      <c r="AD347" s="42">
        <f>IFERROR(LOOKUP(S347,打分卡!$F$8:$J$8,打分卡!$K$8:$O$8),1)</f>
        <v>2</v>
      </c>
      <c r="AE347" s="42">
        <f>IFERROR(LOOKUP(T347,打分卡!$F$9:$I$9,打分卡!$K$9:$N$9),1)</f>
        <v>1</v>
      </c>
      <c r="AF347" s="42">
        <f>IFERROR(LOOKUP(Q347,打分卡!$F$10:$J$10,打分卡!$K$10:$O$10),1)</f>
        <v>2</v>
      </c>
      <c r="AG347" s="42">
        <f>IFERROR(LOOKUP(R347,打分卡!$F$11:$J$11,打分卡!$K$11:$O$11),1)</f>
        <v>4</v>
      </c>
      <c r="AH347" s="42">
        <f>IFERROR(LOOKUP(U347,打分卡!$F$12:$J$12,打分卡!$K$12:$O$12),1)</f>
        <v>2</v>
      </c>
      <c r="AI347" s="42">
        <f>IFERROR(LOOKUP(X347,打分卡!$F$13:$J$13,打分卡!$K$13:$O$13),1)</f>
        <v>3</v>
      </c>
      <c r="AJ347" s="42">
        <f>IFERROR(LOOKUP(Y347,打分卡!$F$14:$J$14,打分卡!$K$14:$O$14),1)</f>
        <v>4</v>
      </c>
      <c r="AK347" s="42">
        <f>IFERROR(LOOKUP(W347,打分卡!$F$15:$J$15,打分卡!$K$15:$O$15),1)</f>
        <v>3</v>
      </c>
      <c r="AL347" s="45">
        <f t="shared" si="41"/>
        <v>5</v>
      </c>
      <c r="AM347" s="42">
        <f>IFERROR(LOOKUP(Z347,打分卡!$F$17:$H$17,打分卡!$K$17:$M$17),1)</f>
        <v>3</v>
      </c>
      <c r="AN347" s="46">
        <f>(打分卡!$D$7*AC347+打分卡!$D$8*AD347+打分卡!$D$9*AE347)/5</f>
        <v>14.6</v>
      </c>
      <c r="AO347" s="46">
        <f>(打分卡!$D$10*AF347+打分卡!$D$11*AG347)/5</f>
        <v>12</v>
      </c>
      <c r="AP347" s="46">
        <f>(打分卡!$D$12*AH347+打分卡!$D$13*AI347+打分卡!$D$14*AJ347+打分卡!$D$15*AK347)/5</f>
        <v>16.8</v>
      </c>
      <c r="AQ347" s="46">
        <f>(打分卡!$D$16*AL347+打分卡!$D$17*AM347)/5</f>
        <v>8.4</v>
      </c>
      <c r="AR347" s="48">
        <f t="shared" si="42"/>
        <v>51.8</v>
      </c>
      <c r="AS347" s="45" t="str">
        <f t="shared" si="43"/>
        <v>腰部</v>
      </c>
      <c r="AT347" s="45" t="str">
        <f t="shared" si="44"/>
        <v/>
      </c>
      <c r="AU347" s="45" t="str">
        <f t="shared" si="45"/>
        <v>拉·主攻：主推AI外呼+大促作战包</v>
      </c>
    </row>
    <row r="348" ht="15" customHeight="1" spans="1:47">
      <c r="A348" s="30" t="s">
        <v>1171</v>
      </c>
      <c r="B348" s="31" t="s">
        <v>1172</v>
      </c>
      <c r="C348" s="31" t="s">
        <v>223</v>
      </c>
      <c r="D348" s="31" t="s">
        <v>196</v>
      </c>
      <c r="E348" s="31" t="s">
        <v>197</v>
      </c>
      <c r="F348" s="30" t="s">
        <v>1095</v>
      </c>
      <c r="G348" s="31">
        <v>22</v>
      </c>
      <c r="H348" s="31" t="s">
        <v>301</v>
      </c>
      <c r="I348" s="31" t="s">
        <v>302</v>
      </c>
      <c r="J348" s="33">
        <v>42400</v>
      </c>
      <c r="K348" s="33">
        <v>19100</v>
      </c>
      <c r="L348" s="33">
        <v>30400</v>
      </c>
      <c r="M348" s="33">
        <f t="shared" si="40"/>
        <v>91900</v>
      </c>
      <c r="N348" s="34">
        <f t="shared" si="46"/>
        <v>0.000481798602941331</v>
      </c>
      <c r="O348" s="35">
        <f>SUM($M$2:M348)</f>
        <v>168048800</v>
      </c>
      <c r="P348" s="34">
        <f t="shared" si="47"/>
        <v>0.881019336952852</v>
      </c>
      <c r="Q348" s="37">
        <v>9</v>
      </c>
      <c r="R348" s="31">
        <v>10</v>
      </c>
      <c r="S348" s="31">
        <v>1</v>
      </c>
      <c r="T348" s="31">
        <v>1</v>
      </c>
      <c r="U348" s="37">
        <v>79</v>
      </c>
      <c r="V348" s="31">
        <v>26</v>
      </c>
      <c r="W348" s="31">
        <v>1</v>
      </c>
      <c r="X348" s="38">
        <v>57</v>
      </c>
      <c r="Y348" s="31">
        <v>3</v>
      </c>
      <c r="Z348" s="31">
        <v>0</v>
      </c>
      <c r="AA348" s="31" t="s">
        <v>199</v>
      </c>
      <c r="AB348" s="31" t="s">
        <v>220</v>
      </c>
      <c r="AC348" s="41">
        <f>IFERROR(LOOKUP(M348,打分卡!$F$7:$J$7,打分卡!$K$7:$O$7),1)</f>
        <v>2</v>
      </c>
      <c r="AD348" s="41">
        <f>IFERROR(LOOKUP(S348,打分卡!$F$8:$J$8,打分卡!$K$8:$O$8),1)</f>
        <v>1</v>
      </c>
      <c r="AE348" s="41">
        <f>IFERROR(LOOKUP(T348,打分卡!$F$9:$I$9,打分卡!$K$9:$N$9),1)</f>
        <v>2</v>
      </c>
      <c r="AF348" s="41">
        <f>IFERROR(LOOKUP(Q348,打分卡!$F$10:$J$10,打分卡!$K$10:$O$10),1)</f>
        <v>2</v>
      </c>
      <c r="AG348" s="41">
        <f>IFERROR(LOOKUP(R348,打分卡!$F$11:$J$11,打分卡!$K$11:$O$11),1)</f>
        <v>4</v>
      </c>
      <c r="AH348" s="41">
        <f>IFERROR(LOOKUP(U348,打分卡!$F$12:$J$12,打分卡!$K$12:$O$12),1)</f>
        <v>5</v>
      </c>
      <c r="AI348" s="41">
        <f>IFERROR(LOOKUP(X348,打分卡!$F$13:$J$13,打分卡!$K$13:$O$13),1)</f>
        <v>3</v>
      </c>
      <c r="AJ348" s="41">
        <f>IFERROR(LOOKUP(Y348,打分卡!$F$14:$J$14,打分卡!$K$14:$O$14),1)</f>
        <v>4</v>
      </c>
      <c r="AK348" s="41">
        <f>IFERROR(LOOKUP(W348,打分卡!$F$15:$J$15,打分卡!$K$15:$O$15),1)</f>
        <v>2</v>
      </c>
      <c r="AL348" s="43">
        <f t="shared" si="41"/>
        <v>5</v>
      </c>
      <c r="AM348" s="41">
        <f>IFERROR(LOOKUP(Z348,打分卡!$F$17:$H$17,打分卡!$K$17:$M$17),1)</f>
        <v>1</v>
      </c>
      <c r="AN348" s="44">
        <f>(打分卡!$D$7*AC348+打分卡!$D$8*AD348+打分卡!$D$9*AE348)/5</f>
        <v>14.4</v>
      </c>
      <c r="AO348" s="44">
        <f>(打分卡!$D$10*AF348+打分卡!$D$11*AG348)/5</f>
        <v>12</v>
      </c>
      <c r="AP348" s="44">
        <f>(打分卡!$D$12*AH348+打分卡!$D$13*AI348+打分卡!$D$14*AJ348+打分卡!$D$15*AK348)/5</f>
        <v>23.2</v>
      </c>
      <c r="AQ348" s="44">
        <f>(打分卡!$D$16*AL348+打分卡!$D$17*AM348)/5</f>
        <v>6.8</v>
      </c>
      <c r="AR348" s="47">
        <f t="shared" si="42"/>
        <v>56.4</v>
      </c>
      <c r="AS348" s="43" t="str">
        <f t="shared" si="43"/>
        <v>腰部</v>
      </c>
      <c r="AT348" s="43" t="str">
        <f t="shared" si="44"/>
        <v/>
      </c>
      <c r="AU348" s="43" t="str">
        <f t="shared" si="45"/>
        <v>拉·主攻：主推AI外呼+大促作战包</v>
      </c>
    </row>
    <row r="349" ht="15" customHeight="1" spans="1:47">
      <c r="A349" s="20" t="s">
        <v>1173</v>
      </c>
      <c r="B349" s="22" t="s">
        <v>1174</v>
      </c>
      <c r="C349" s="22" t="s">
        <v>189</v>
      </c>
      <c r="D349" s="22" t="s">
        <v>227</v>
      </c>
      <c r="E349" s="22" t="s">
        <v>181</v>
      </c>
      <c r="F349" s="20" t="s">
        <v>1175</v>
      </c>
      <c r="G349" s="22">
        <v>15</v>
      </c>
      <c r="H349" s="22" t="s">
        <v>301</v>
      </c>
      <c r="I349" s="22" t="s">
        <v>302</v>
      </c>
      <c r="J349" s="36">
        <v>48200</v>
      </c>
      <c r="K349" s="36">
        <v>24200</v>
      </c>
      <c r="L349" s="36">
        <v>19300</v>
      </c>
      <c r="M349" s="36">
        <f t="shared" si="40"/>
        <v>91700</v>
      </c>
      <c r="N349" s="34">
        <f t="shared" si="46"/>
        <v>0.00048075007496975</v>
      </c>
      <c r="O349" s="35">
        <f>SUM($M$2:M349)</f>
        <v>168140500</v>
      </c>
      <c r="P349" s="34">
        <f t="shared" si="47"/>
        <v>0.881500087027822</v>
      </c>
      <c r="Q349" s="39">
        <v>11.6</v>
      </c>
      <c r="R349" s="22">
        <v>7</v>
      </c>
      <c r="S349" s="22">
        <v>2</v>
      </c>
      <c r="T349" s="22">
        <v>2</v>
      </c>
      <c r="U349" s="39">
        <v>1.2</v>
      </c>
      <c r="V349" s="22">
        <v>14</v>
      </c>
      <c r="W349" s="22">
        <v>1</v>
      </c>
      <c r="X349" s="40">
        <v>15</v>
      </c>
      <c r="Y349" s="22">
        <v>2</v>
      </c>
      <c r="Z349" s="22">
        <v>0</v>
      </c>
      <c r="AA349" s="22" t="s">
        <v>315</v>
      </c>
      <c r="AB349" s="22" t="s">
        <v>220</v>
      </c>
      <c r="AC349" s="42">
        <f>IFERROR(LOOKUP(M349,打分卡!$F$7:$J$7,打分卡!$K$7:$O$7),1)</f>
        <v>2</v>
      </c>
      <c r="AD349" s="42">
        <f>IFERROR(LOOKUP(S349,打分卡!$F$8:$J$8,打分卡!$K$8:$O$8),1)</f>
        <v>2</v>
      </c>
      <c r="AE349" s="42">
        <f>IFERROR(LOOKUP(T349,打分卡!$F$9:$I$9,打分卡!$K$9:$N$9),1)</f>
        <v>3</v>
      </c>
      <c r="AF349" s="42">
        <f>IFERROR(LOOKUP(Q349,打分卡!$F$10:$J$10,打分卡!$K$10:$O$10),1)</f>
        <v>3</v>
      </c>
      <c r="AG349" s="42">
        <f>IFERROR(LOOKUP(R349,打分卡!$F$11:$J$11,打分卡!$K$11:$O$11),1)</f>
        <v>3</v>
      </c>
      <c r="AH349" s="42">
        <f>IFERROR(LOOKUP(U349,打分卡!$F$12:$J$12,打分卡!$K$12:$O$12),1)</f>
        <v>1</v>
      </c>
      <c r="AI349" s="42">
        <f>IFERROR(LOOKUP(X349,打分卡!$F$13:$J$13,打分卡!$K$13:$O$13),1)</f>
        <v>1</v>
      </c>
      <c r="AJ349" s="42">
        <f>IFERROR(LOOKUP(Y349,打分卡!$F$14:$J$14,打分卡!$K$14:$O$14),1)</f>
        <v>3</v>
      </c>
      <c r="AK349" s="42">
        <f>IFERROR(LOOKUP(W349,打分卡!$F$15:$J$15,打分卡!$K$15:$O$15),1)</f>
        <v>2</v>
      </c>
      <c r="AL349" s="45">
        <f t="shared" si="41"/>
        <v>2</v>
      </c>
      <c r="AM349" s="42">
        <f>IFERROR(LOOKUP(Z349,打分卡!$F$17:$H$17,打分卡!$K$17:$M$17),1)</f>
        <v>1</v>
      </c>
      <c r="AN349" s="46">
        <f>(打分卡!$D$7*AC349+打分卡!$D$8*AD349+打分卡!$D$9*AE349)/5</f>
        <v>17.4</v>
      </c>
      <c r="AO349" s="46">
        <f>(打分卡!$D$10*AF349+打分卡!$D$11*AG349)/5</f>
        <v>12</v>
      </c>
      <c r="AP349" s="46">
        <f>(打分卡!$D$12*AH349+打分卡!$D$13*AI349+打分卡!$D$14*AJ349+打分卡!$D$15*AK349)/5</f>
        <v>9.2</v>
      </c>
      <c r="AQ349" s="46">
        <f>(打分卡!$D$16*AL349+打分卡!$D$17*AM349)/5</f>
        <v>3.2</v>
      </c>
      <c r="AR349" s="48">
        <f t="shared" si="42"/>
        <v>41.8</v>
      </c>
      <c r="AS349" s="45" t="str">
        <f t="shared" si="43"/>
        <v>腰部</v>
      </c>
      <c r="AT349" s="45" t="str">
        <f t="shared" si="44"/>
        <v/>
      </c>
      <c r="AU349" s="45" t="str">
        <f t="shared" si="45"/>
        <v>拉·主攻：主推AI外呼+大促作战包</v>
      </c>
    </row>
    <row r="350" ht="15" customHeight="1" spans="1:47">
      <c r="A350" s="30" t="s">
        <v>1176</v>
      </c>
      <c r="B350" s="31" t="s">
        <v>1177</v>
      </c>
      <c r="C350" s="31" t="s">
        <v>209</v>
      </c>
      <c r="D350" s="31" t="s">
        <v>180</v>
      </c>
      <c r="E350" s="31" t="s">
        <v>181</v>
      </c>
      <c r="F350" s="30" t="s">
        <v>1178</v>
      </c>
      <c r="G350" s="31">
        <v>23</v>
      </c>
      <c r="H350" s="31" t="s">
        <v>301</v>
      </c>
      <c r="I350" s="31" t="s">
        <v>302</v>
      </c>
      <c r="J350" s="33">
        <v>51600</v>
      </c>
      <c r="K350" s="33">
        <v>21100</v>
      </c>
      <c r="L350" s="33">
        <v>18700</v>
      </c>
      <c r="M350" s="33">
        <f t="shared" si="40"/>
        <v>91400</v>
      </c>
      <c r="N350" s="34">
        <f t="shared" si="46"/>
        <v>0.000479177283012379</v>
      </c>
      <c r="O350" s="35">
        <f>SUM($M$2:M350)</f>
        <v>168231900</v>
      </c>
      <c r="P350" s="34">
        <f t="shared" si="47"/>
        <v>0.881979264310834</v>
      </c>
      <c r="Q350" s="37">
        <v>9.3</v>
      </c>
      <c r="R350" s="31">
        <v>1</v>
      </c>
      <c r="S350" s="31">
        <v>3</v>
      </c>
      <c r="T350" s="31">
        <v>2</v>
      </c>
      <c r="U350" s="37">
        <v>53</v>
      </c>
      <c r="V350" s="31">
        <v>9</v>
      </c>
      <c r="W350" s="31">
        <v>4</v>
      </c>
      <c r="X350" s="38">
        <v>44</v>
      </c>
      <c r="Y350" s="31">
        <v>3</v>
      </c>
      <c r="Z350" s="31">
        <v>0</v>
      </c>
      <c r="AA350" s="31" t="s">
        <v>185</v>
      </c>
      <c r="AB350" s="31" t="s">
        <v>220</v>
      </c>
      <c r="AC350" s="41">
        <f>IFERROR(LOOKUP(M350,打分卡!$F$7:$J$7,打分卡!$K$7:$O$7),1)</f>
        <v>2</v>
      </c>
      <c r="AD350" s="41">
        <f>IFERROR(LOOKUP(S350,打分卡!$F$8:$J$8,打分卡!$K$8:$O$8),1)</f>
        <v>3</v>
      </c>
      <c r="AE350" s="41">
        <f>IFERROR(LOOKUP(T350,打分卡!$F$9:$I$9,打分卡!$K$9:$N$9),1)</f>
        <v>3</v>
      </c>
      <c r="AF350" s="41">
        <f>IFERROR(LOOKUP(Q350,打分卡!$F$10:$J$10,打分卡!$K$10:$O$10),1)</f>
        <v>2</v>
      </c>
      <c r="AG350" s="41">
        <f>IFERROR(LOOKUP(R350,打分卡!$F$11:$J$11,打分卡!$K$11:$O$11),1)</f>
        <v>1</v>
      </c>
      <c r="AH350" s="41">
        <f>IFERROR(LOOKUP(U350,打分卡!$F$12:$J$12,打分卡!$K$12:$O$12),1)</f>
        <v>4</v>
      </c>
      <c r="AI350" s="41">
        <f>IFERROR(LOOKUP(X350,打分卡!$F$13:$J$13,打分卡!$K$13:$O$13),1)</f>
        <v>3</v>
      </c>
      <c r="AJ350" s="41">
        <f>IFERROR(LOOKUP(Y350,打分卡!$F$14:$J$14,打分卡!$K$14:$O$14),1)</f>
        <v>4</v>
      </c>
      <c r="AK350" s="41">
        <f>IFERROR(LOOKUP(W350,打分卡!$F$15:$J$15,打分卡!$K$15:$O$15),1)</f>
        <v>3</v>
      </c>
      <c r="AL350" s="43">
        <f t="shared" si="41"/>
        <v>3</v>
      </c>
      <c r="AM350" s="41">
        <f>IFERROR(LOOKUP(Z350,打分卡!$F$17:$H$17,打分卡!$K$17:$M$17),1)</f>
        <v>1</v>
      </c>
      <c r="AN350" s="44">
        <f>(打分卡!$D$7*AC350+打分卡!$D$8*AD350+打分卡!$D$9*AE350)/5</f>
        <v>19</v>
      </c>
      <c r="AO350" s="44">
        <f>(打分卡!$D$10*AF350+打分卡!$D$11*AG350)/5</f>
        <v>6</v>
      </c>
      <c r="AP350" s="44">
        <f>(打分卡!$D$12*AH350+打分卡!$D$13*AI350+打分卡!$D$14*AJ350+打分卡!$D$15*AK350)/5</f>
        <v>21.6</v>
      </c>
      <c r="AQ350" s="44">
        <f>(打分卡!$D$16*AL350+打分卡!$D$17*AM350)/5</f>
        <v>4.4</v>
      </c>
      <c r="AR350" s="47">
        <f t="shared" si="42"/>
        <v>51</v>
      </c>
      <c r="AS350" s="43" t="str">
        <f t="shared" si="43"/>
        <v>腰部</v>
      </c>
      <c r="AT350" s="43" t="str">
        <f t="shared" si="44"/>
        <v/>
      </c>
      <c r="AU350" s="43" t="str">
        <f t="shared" si="45"/>
        <v>拉·主攻：主推AI外呼+大促作战包</v>
      </c>
    </row>
    <row r="351" ht="15" customHeight="1" spans="1:47">
      <c r="A351" s="20" t="s">
        <v>1179</v>
      </c>
      <c r="B351" s="22" t="s">
        <v>1180</v>
      </c>
      <c r="C351" s="22" t="s">
        <v>239</v>
      </c>
      <c r="D351" s="22" t="s">
        <v>202</v>
      </c>
      <c r="E351" s="22" t="s">
        <v>197</v>
      </c>
      <c r="F351" s="20" t="s">
        <v>547</v>
      </c>
      <c r="G351" s="22">
        <v>20</v>
      </c>
      <c r="H351" s="22" t="s">
        <v>301</v>
      </c>
      <c r="I351" s="22" t="s">
        <v>302</v>
      </c>
      <c r="J351" s="36">
        <v>51200</v>
      </c>
      <c r="K351" s="36">
        <v>23100</v>
      </c>
      <c r="L351" s="36">
        <v>17000</v>
      </c>
      <c r="M351" s="36">
        <f t="shared" si="40"/>
        <v>91300</v>
      </c>
      <c r="N351" s="34">
        <f t="shared" si="46"/>
        <v>0.000478653019026589</v>
      </c>
      <c r="O351" s="35">
        <f>SUM($M$2:M351)</f>
        <v>168323200</v>
      </c>
      <c r="P351" s="34">
        <f t="shared" si="47"/>
        <v>0.882457917329861</v>
      </c>
      <c r="Q351" s="39">
        <v>6.7</v>
      </c>
      <c r="R351" s="22">
        <v>10</v>
      </c>
      <c r="S351" s="22">
        <v>2</v>
      </c>
      <c r="T351" s="22">
        <v>1</v>
      </c>
      <c r="U351" s="39">
        <v>14.8</v>
      </c>
      <c r="V351" s="22">
        <v>7</v>
      </c>
      <c r="W351" s="22">
        <v>1</v>
      </c>
      <c r="X351" s="40">
        <v>18</v>
      </c>
      <c r="Y351" s="22">
        <v>3</v>
      </c>
      <c r="Z351" s="22">
        <v>0</v>
      </c>
      <c r="AA351" s="22" t="s">
        <v>199</v>
      </c>
      <c r="AB351" s="22" t="s">
        <v>220</v>
      </c>
      <c r="AC351" s="42">
        <f>IFERROR(LOOKUP(M351,打分卡!$F$7:$J$7,打分卡!$K$7:$O$7),1)</f>
        <v>2</v>
      </c>
      <c r="AD351" s="42">
        <f>IFERROR(LOOKUP(S351,打分卡!$F$8:$J$8,打分卡!$K$8:$O$8),1)</f>
        <v>2</v>
      </c>
      <c r="AE351" s="42">
        <f>IFERROR(LOOKUP(T351,打分卡!$F$9:$I$9,打分卡!$K$9:$N$9),1)</f>
        <v>2</v>
      </c>
      <c r="AF351" s="42">
        <f>IFERROR(LOOKUP(Q351,打分卡!$F$10:$J$10,打分卡!$K$10:$O$10),1)</f>
        <v>2</v>
      </c>
      <c r="AG351" s="42">
        <f>IFERROR(LOOKUP(R351,打分卡!$F$11:$J$11,打分卡!$K$11:$O$11),1)</f>
        <v>4</v>
      </c>
      <c r="AH351" s="42">
        <f>IFERROR(LOOKUP(U351,打分卡!$F$12:$J$12,打分卡!$K$12:$O$12),1)</f>
        <v>3</v>
      </c>
      <c r="AI351" s="42">
        <f>IFERROR(LOOKUP(X351,打分卡!$F$13:$J$13,打分卡!$K$13:$O$13),1)</f>
        <v>2</v>
      </c>
      <c r="AJ351" s="42">
        <f>IFERROR(LOOKUP(Y351,打分卡!$F$14:$J$14,打分卡!$K$14:$O$14),1)</f>
        <v>4</v>
      </c>
      <c r="AK351" s="42">
        <f>IFERROR(LOOKUP(W351,打分卡!$F$15:$J$15,打分卡!$K$15:$O$15),1)</f>
        <v>2</v>
      </c>
      <c r="AL351" s="45">
        <f t="shared" si="41"/>
        <v>5</v>
      </c>
      <c r="AM351" s="42">
        <f>IFERROR(LOOKUP(Z351,打分卡!$F$17:$H$17,打分卡!$K$17:$M$17),1)</f>
        <v>1</v>
      </c>
      <c r="AN351" s="46">
        <f>(打分卡!$D$7*AC351+打分卡!$D$8*AD351+打分卡!$D$9*AE351)/5</f>
        <v>16</v>
      </c>
      <c r="AO351" s="46">
        <f>(打分卡!$D$10*AF351+打分卡!$D$11*AG351)/5</f>
        <v>12</v>
      </c>
      <c r="AP351" s="46">
        <f>(打分卡!$D$12*AH351+打分卡!$D$13*AI351+打分卡!$D$14*AJ351+打分卡!$D$15*AK351)/5</f>
        <v>16.8</v>
      </c>
      <c r="AQ351" s="46">
        <f>(打分卡!$D$16*AL351+打分卡!$D$17*AM351)/5</f>
        <v>6.8</v>
      </c>
      <c r="AR351" s="48">
        <f t="shared" si="42"/>
        <v>51.6</v>
      </c>
      <c r="AS351" s="45" t="str">
        <f t="shared" si="43"/>
        <v>腰部</v>
      </c>
      <c r="AT351" s="45" t="str">
        <f t="shared" si="44"/>
        <v/>
      </c>
      <c r="AU351" s="45" t="str">
        <f t="shared" si="45"/>
        <v>拉·主攻：主推AI外呼+大促作战包</v>
      </c>
    </row>
    <row r="352" ht="15" customHeight="1" spans="1:47">
      <c r="A352" s="30" t="s">
        <v>1181</v>
      </c>
      <c r="B352" s="31" t="s">
        <v>1182</v>
      </c>
      <c r="C352" s="31" t="s">
        <v>189</v>
      </c>
      <c r="D352" s="31" t="s">
        <v>235</v>
      </c>
      <c r="E352" s="31" t="s">
        <v>197</v>
      </c>
      <c r="F352" s="30" t="s">
        <v>1183</v>
      </c>
      <c r="G352" s="31">
        <v>16</v>
      </c>
      <c r="H352" s="31" t="s">
        <v>301</v>
      </c>
      <c r="I352" s="31" t="s">
        <v>302</v>
      </c>
      <c r="J352" s="33">
        <v>44300</v>
      </c>
      <c r="K352" s="33">
        <v>34100</v>
      </c>
      <c r="L352" s="33">
        <v>12300</v>
      </c>
      <c r="M352" s="33">
        <f t="shared" si="40"/>
        <v>90700</v>
      </c>
      <c r="N352" s="34">
        <f t="shared" si="46"/>
        <v>0.000475507435111846</v>
      </c>
      <c r="O352" s="35">
        <f>SUM($M$2:M352)</f>
        <v>168413900</v>
      </c>
      <c r="P352" s="34">
        <f t="shared" si="47"/>
        <v>0.882933424764972</v>
      </c>
      <c r="Q352" s="37">
        <v>7.3</v>
      </c>
      <c r="R352" s="31">
        <v>10</v>
      </c>
      <c r="S352" s="31">
        <v>1</v>
      </c>
      <c r="T352" s="31">
        <v>2</v>
      </c>
      <c r="U352" s="37">
        <v>32.1</v>
      </c>
      <c r="V352" s="31">
        <v>26</v>
      </c>
      <c r="W352" s="31">
        <v>2</v>
      </c>
      <c r="X352" s="38">
        <v>14</v>
      </c>
      <c r="Y352" s="31">
        <v>1</v>
      </c>
      <c r="Z352" s="31">
        <v>0</v>
      </c>
      <c r="AA352" s="31" t="s">
        <v>315</v>
      </c>
      <c r="AB352" s="31" t="s">
        <v>220</v>
      </c>
      <c r="AC352" s="41">
        <f>IFERROR(LOOKUP(M352,打分卡!$F$7:$J$7,打分卡!$K$7:$O$7),1)</f>
        <v>2</v>
      </c>
      <c r="AD352" s="41">
        <f>IFERROR(LOOKUP(S352,打分卡!$F$8:$J$8,打分卡!$K$8:$O$8),1)</f>
        <v>1</v>
      </c>
      <c r="AE352" s="41">
        <f>IFERROR(LOOKUP(T352,打分卡!$F$9:$I$9,打分卡!$K$9:$N$9),1)</f>
        <v>3</v>
      </c>
      <c r="AF352" s="41">
        <f>IFERROR(LOOKUP(Q352,打分卡!$F$10:$J$10,打分卡!$K$10:$O$10),1)</f>
        <v>2</v>
      </c>
      <c r="AG352" s="41">
        <f>IFERROR(LOOKUP(R352,打分卡!$F$11:$J$11,打分卡!$K$11:$O$11),1)</f>
        <v>4</v>
      </c>
      <c r="AH352" s="41">
        <f>IFERROR(LOOKUP(U352,打分卡!$F$12:$J$12,打分卡!$K$12:$O$12),1)</f>
        <v>3</v>
      </c>
      <c r="AI352" s="41">
        <f>IFERROR(LOOKUP(X352,打分卡!$F$13:$J$13,打分卡!$K$13:$O$13),1)</f>
        <v>1</v>
      </c>
      <c r="AJ352" s="41">
        <f>IFERROR(LOOKUP(Y352,打分卡!$F$14:$J$14,打分卡!$K$14:$O$14),1)</f>
        <v>2</v>
      </c>
      <c r="AK352" s="41">
        <f>IFERROR(LOOKUP(W352,打分卡!$F$15:$J$15,打分卡!$K$15:$O$15),1)</f>
        <v>2</v>
      </c>
      <c r="AL352" s="43">
        <f t="shared" si="41"/>
        <v>2</v>
      </c>
      <c r="AM352" s="41">
        <f>IFERROR(LOOKUP(Z352,打分卡!$F$17:$H$17,打分卡!$K$17:$M$17),1)</f>
        <v>1</v>
      </c>
      <c r="AN352" s="44">
        <f>(打分卡!$D$7*AC352+打分卡!$D$8*AD352+打分卡!$D$9*AE352)/5</f>
        <v>15.8</v>
      </c>
      <c r="AO352" s="44">
        <f>(打分卡!$D$10*AF352+打分卡!$D$11*AG352)/5</f>
        <v>12</v>
      </c>
      <c r="AP352" s="44">
        <f>(打分卡!$D$12*AH352+打分卡!$D$13*AI352+打分卡!$D$14*AJ352+打分卡!$D$15*AK352)/5</f>
        <v>12.8</v>
      </c>
      <c r="AQ352" s="44">
        <f>(打分卡!$D$16*AL352+打分卡!$D$17*AM352)/5</f>
        <v>3.2</v>
      </c>
      <c r="AR352" s="47">
        <f t="shared" si="42"/>
        <v>43.8</v>
      </c>
      <c r="AS352" s="43" t="str">
        <f t="shared" si="43"/>
        <v>腰部</v>
      </c>
      <c r="AT352" s="43" t="str">
        <f t="shared" si="44"/>
        <v/>
      </c>
      <c r="AU352" s="43" t="str">
        <f t="shared" si="45"/>
        <v>拉·主攻：主推AI外呼+大促作战包</v>
      </c>
    </row>
    <row r="353" ht="15" customHeight="1" spans="1:47">
      <c r="A353" s="20" t="s">
        <v>1184</v>
      </c>
      <c r="B353" s="22" t="s">
        <v>1185</v>
      </c>
      <c r="C353" s="22" t="s">
        <v>234</v>
      </c>
      <c r="D353" s="22" t="s">
        <v>180</v>
      </c>
      <c r="E353" s="22" t="s">
        <v>197</v>
      </c>
      <c r="F353" s="20" t="s">
        <v>1186</v>
      </c>
      <c r="G353" s="22">
        <v>22</v>
      </c>
      <c r="H353" s="22" t="s">
        <v>301</v>
      </c>
      <c r="I353" s="22" t="s">
        <v>302</v>
      </c>
      <c r="J353" s="36">
        <v>52700</v>
      </c>
      <c r="K353" s="36">
        <v>21800</v>
      </c>
      <c r="L353" s="36">
        <v>16200</v>
      </c>
      <c r="M353" s="36">
        <f t="shared" si="40"/>
        <v>90700</v>
      </c>
      <c r="N353" s="34">
        <f t="shared" si="46"/>
        <v>0.000475507435111846</v>
      </c>
      <c r="O353" s="35">
        <f>SUM($M$2:M353)</f>
        <v>168504600</v>
      </c>
      <c r="P353" s="34">
        <f t="shared" si="47"/>
        <v>0.883408932200084</v>
      </c>
      <c r="Q353" s="39">
        <v>12.7</v>
      </c>
      <c r="R353" s="22">
        <v>7</v>
      </c>
      <c r="S353" s="22">
        <v>2</v>
      </c>
      <c r="T353" s="22">
        <v>2</v>
      </c>
      <c r="U353" s="39">
        <v>68.4</v>
      </c>
      <c r="V353" s="22">
        <v>14</v>
      </c>
      <c r="W353" s="22">
        <v>0</v>
      </c>
      <c r="X353" s="40">
        <v>149</v>
      </c>
      <c r="Y353" s="22">
        <v>2</v>
      </c>
      <c r="Z353" s="22">
        <v>1</v>
      </c>
      <c r="AA353" s="22" t="s">
        <v>185</v>
      </c>
      <c r="AB353" s="22" t="s">
        <v>220</v>
      </c>
      <c r="AC353" s="42">
        <f>IFERROR(LOOKUP(M353,打分卡!$F$7:$J$7,打分卡!$K$7:$O$7),1)</f>
        <v>2</v>
      </c>
      <c r="AD353" s="42">
        <f>IFERROR(LOOKUP(S353,打分卡!$F$8:$J$8,打分卡!$K$8:$O$8),1)</f>
        <v>2</v>
      </c>
      <c r="AE353" s="42">
        <f>IFERROR(LOOKUP(T353,打分卡!$F$9:$I$9,打分卡!$K$9:$N$9),1)</f>
        <v>3</v>
      </c>
      <c r="AF353" s="42">
        <f>IFERROR(LOOKUP(Q353,打分卡!$F$10:$J$10,打分卡!$K$10:$O$10),1)</f>
        <v>3</v>
      </c>
      <c r="AG353" s="42">
        <f>IFERROR(LOOKUP(R353,打分卡!$F$11:$J$11,打分卡!$K$11:$O$11),1)</f>
        <v>3</v>
      </c>
      <c r="AH353" s="42">
        <f>IFERROR(LOOKUP(U353,打分卡!$F$12:$J$12,打分卡!$K$12:$O$12),1)</f>
        <v>4</v>
      </c>
      <c r="AI353" s="42">
        <f>IFERROR(LOOKUP(X353,打分卡!$F$13:$J$13,打分卡!$K$13:$O$13),1)</f>
        <v>4</v>
      </c>
      <c r="AJ353" s="42">
        <f>IFERROR(LOOKUP(Y353,打分卡!$F$14:$J$14,打分卡!$K$14:$O$14),1)</f>
        <v>3</v>
      </c>
      <c r="AK353" s="42">
        <f>IFERROR(LOOKUP(W353,打分卡!$F$15:$J$15,打分卡!$K$15:$O$15),1)</f>
        <v>1</v>
      </c>
      <c r="AL353" s="45">
        <f t="shared" si="41"/>
        <v>3</v>
      </c>
      <c r="AM353" s="42">
        <f>IFERROR(LOOKUP(Z353,打分卡!$F$17:$H$17,打分卡!$K$17:$M$17),1)</f>
        <v>3</v>
      </c>
      <c r="AN353" s="46">
        <f>(打分卡!$D$7*AC353+打分卡!$D$8*AD353+打分卡!$D$9*AE353)/5</f>
        <v>17.4</v>
      </c>
      <c r="AO353" s="46">
        <f>(打分卡!$D$10*AF353+打分卡!$D$11*AG353)/5</f>
        <v>12</v>
      </c>
      <c r="AP353" s="46">
        <f>(打分卡!$D$12*AH353+打分卡!$D$13*AI353+打分卡!$D$14*AJ353+打分卡!$D$15*AK353)/5</f>
        <v>20.4</v>
      </c>
      <c r="AQ353" s="46">
        <f>(打分卡!$D$16*AL353+打分卡!$D$17*AM353)/5</f>
        <v>6</v>
      </c>
      <c r="AR353" s="48">
        <f t="shared" si="42"/>
        <v>55.8</v>
      </c>
      <c r="AS353" s="45" t="str">
        <f t="shared" si="43"/>
        <v>腰部</v>
      </c>
      <c r="AT353" s="45" t="str">
        <f t="shared" si="44"/>
        <v/>
      </c>
      <c r="AU353" s="45" t="str">
        <f t="shared" si="45"/>
        <v>拉·主攻：主推AI外呼+大促作战包</v>
      </c>
    </row>
    <row r="354" ht="15" customHeight="1" spans="1:47">
      <c r="A354" s="30" t="s">
        <v>1187</v>
      </c>
      <c r="B354" s="31" t="s">
        <v>1188</v>
      </c>
      <c r="C354" s="31" t="s">
        <v>209</v>
      </c>
      <c r="D354" s="31" t="s">
        <v>196</v>
      </c>
      <c r="E354" s="31" t="s">
        <v>181</v>
      </c>
      <c r="F354" s="30" t="s">
        <v>632</v>
      </c>
      <c r="G354" s="31">
        <v>21</v>
      </c>
      <c r="H354" s="31" t="s">
        <v>183</v>
      </c>
      <c r="I354" s="31" t="s">
        <v>184</v>
      </c>
      <c r="J354" s="33">
        <v>58200</v>
      </c>
      <c r="K354" s="33">
        <v>27700</v>
      </c>
      <c r="L354" s="33">
        <v>4500</v>
      </c>
      <c r="M354" s="33">
        <f t="shared" si="40"/>
        <v>90400</v>
      </c>
      <c r="N354" s="34">
        <f t="shared" si="46"/>
        <v>0.000473934643154475</v>
      </c>
      <c r="O354" s="35">
        <f>SUM($M$2:M354)</f>
        <v>168595000</v>
      </c>
      <c r="P354" s="34">
        <f t="shared" si="47"/>
        <v>0.883882866843239</v>
      </c>
      <c r="Q354" s="37">
        <v>8</v>
      </c>
      <c r="R354" s="31">
        <v>10</v>
      </c>
      <c r="S354" s="31">
        <v>2</v>
      </c>
      <c r="T354" s="31">
        <v>0</v>
      </c>
      <c r="U354" s="37">
        <v>38.8</v>
      </c>
      <c r="V354" s="31">
        <v>17</v>
      </c>
      <c r="W354" s="31">
        <v>0</v>
      </c>
      <c r="X354" s="38">
        <v>74</v>
      </c>
      <c r="Y354" s="31">
        <v>1</v>
      </c>
      <c r="Z354" s="31">
        <v>1</v>
      </c>
      <c r="AA354" s="31" t="s">
        <v>315</v>
      </c>
      <c r="AB354" s="31" t="s">
        <v>220</v>
      </c>
      <c r="AC354" s="41">
        <f>IFERROR(LOOKUP(M354,打分卡!$F$7:$J$7,打分卡!$K$7:$O$7),1)</f>
        <v>2</v>
      </c>
      <c r="AD354" s="41">
        <f>IFERROR(LOOKUP(S354,打分卡!$F$8:$J$8,打分卡!$K$8:$O$8),1)</f>
        <v>2</v>
      </c>
      <c r="AE354" s="41">
        <f>IFERROR(LOOKUP(T354,打分卡!$F$9:$I$9,打分卡!$K$9:$N$9),1)</f>
        <v>1</v>
      </c>
      <c r="AF354" s="41">
        <f>IFERROR(LOOKUP(Q354,打分卡!$F$10:$J$10,打分卡!$K$10:$O$10),1)</f>
        <v>2</v>
      </c>
      <c r="AG354" s="41">
        <f>IFERROR(LOOKUP(R354,打分卡!$F$11:$J$11,打分卡!$K$11:$O$11),1)</f>
        <v>4</v>
      </c>
      <c r="AH354" s="41">
        <f>IFERROR(LOOKUP(U354,打分卡!$F$12:$J$12,打分卡!$K$12:$O$12),1)</f>
        <v>4</v>
      </c>
      <c r="AI354" s="41">
        <f>IFERROR(LOOKUP(X354,打分卡!$F$13:$J$13,打分卡!$K$13:$O$13),1)</f>
        <v>3</v>
      </c>
      <c r="AJ354" s="41">
        <f>IFERROR(LOOKUP(Y354,打分卡!$F$14:$J$14,打分卡!$K$14:$O$14),1)</f>
        <v>2</v>
      </c>
      <c r="AK354" s="41">
        <f>IFERROR(LOOKUP(W354,打分卡!$F$15:$J$15,打分卡!$K$15:$O$15),1)</f>
        <v>1</v>
      </c>
      <c r="AL354" s="43">
        <f t="shared" si="41"/>
        <v>2</v>
      </c>
      <c r="AM354" s="41">
        <f>IFERROR(LOOKUP(Z354,打分卡!$F$17:$H$17,打分卡!$K$17:$M$17),1)</f>
        <v>3</v>
      </c>
      <c r="AN354" s="44">
        <f>(打分卡!$D$7*AC354+打分卡!$D$8*AD354+打分卡!$D$9*AE354)/5</f>
        <v>14.6</v>
      </c>
      <c r="AO354" s="44">
        <f>(打分卡!$D$10*AF354+打分卡!$D$11*AG354)/5</f>
        <v>12</v>
      </c>
      <c r="AP354" s="44">
        <f>(打分卡!$D$12*AH354+打分卡!$D$13*AI354+打分卡!$D$14*AJ354+打分卡!$D$15*AK354)/5</f>
        <v>17.6</v>
      </c>
      <c r="AQ354" s="44">
        <f>(打分卡!$D$16*AL354+打分卡!$D$17*AM354)/5</f>
        <v>4.8</v>
      </c>
      <c r="AR354" s="47">
        <f t="shared" si="42"/>
        <v>49</v>
      </c>
      <c r="AS354" s="43" t="str">
        <f t="shared" si="43"/>
        <v>腰部</v>
      </c>
      <c r="AT354" s="43" t="str">
        <f t="shared" si="44"/>
        <v/>
      </c>
      <c r="AU354" s="43" t="str">
        <f t="shared" si="45"/>
        <v>拉·主攻：主推AI外呼+大促作战包</v>
      </c>
    </row>
    <row r="355" ht="15" customHeight="1" spans="1:47">
      <c r="A355" s="20" t="s">
        <v>1189</v>
      </c>
      <c r="B355" s="22" t="s">
        <v>1190</v>
      </c>
      <c r="C355" s="22" t="s">
        <v>239</v>
      </c>
      <c r="D355" s="22" t="s">
        <v>180</v>
      </c>
      <c r="E355" s="22" t="s">
        <v>181</v>
      </c>
      <c r="F355" s="20" t="s">
        <v>1191</v>
      </c>
      <c r="G355" s="22">
        <v>15</v>
      </c>
      <c r="H355" s="22" t="s">
        <v>301</v>
      </c>
      <c r="I355" s="22" t="s">
        <v>302</v>
      </c>
      <c r="J355" s="36">
        <v>55400</v>
      </c>
      <c r="K355" s="36">
        <v>25300</v>
      </c>
      <c r="L355" s="36">
        <v>9100</v>
      </c>
      <c r="M355" s="36">
        <f t="shared" si="40"/>
        <v>89800</v>
      </c>
      <c r="N355" s="34">
        <f t="shared" si="46"/>
        <v>0.000470789059239733</v>
      </c>
      <c r="O355" s="35">
        <f>SUM($M$2:M355)</f>
        <v>168684800</v>
      </c>
      <c r="P355" s="34">
        <f t="shared" si="47"/>
        <v>0.884353655902478</v>
      </c>
      <c r="Q355" s="39">
        <v>11.9</v>
      </c>
      <c r="R355" s="22">
        <v>5</v>
      </c>
      <c r="S355" s="22">
        <v>2</v>
      </c>
      <c r="T355" s="22">
        <v>0</v>
      </c>
      <c r="U355" s="39">
        <v>6.4</v>
      </c>
      <c r="V355" s="22">
        <v>6</v>
      </c>
      <c r="W355" s="22">
        <v>2</v>
      </c>
      <c r="X355" s="40">
        <v>17</v>
      </c>
      <c r="Y355" s="22">
        <v>2</v>
      </c>
      <c r="Z355" s="22">
        <v>1</v>
      </c>
      <c r="AA355" s="22" t="s">
        <v>185</v>
      </c>
      <c r="AB355" s="22" t="s">
        <v>220</v>
      </c>
      <c r="AC355" s="42">
        <f>IFERROR(LOOKUP(M355,打分卡!$F$7:$J$7,打分卡!$K$7:$O$7),1)</f>
        <v>2</v>
      </c>
      <c r="AD355" s="42">
        <f>IFERROR(LOOKUP(S355,打分卡!$F$8:$J$8,打分卡!$K$8:$O$8),1)</f>
        <v>2</v>
      </c>
      <c r="AE355" s="42">
        <f>IFERROR(LOOKUP(T355,打分卡!$F$9:$I$9,打分卡!$K$9:$N$9),1)</f>
        <v>1</v>
      </c>
      <c r="AF355" s="42">
        <f>IFERROR(LOOKUP(Q355,打分卡!$F$10:$J$10,打分卡!$K$10:$O$10),1)</f>
        <v>3</v>
      </c>
      <c r="AG355" s="42">
        <f>IFERROR(LOOKUP(R355,打分卡!$F$11:$J$11,打分卡!$K$11:$O$11),1)</f>
        <v>3</v>
      </c>
      <c r="AH355" s="42">
        <f>IFERROR(LOOKUP(U355,打分卡!$F$12:$J$12,打分卡!$K$12:$O$12),1)</f>
        <v>2</v>
      </c>
      <c r="AI355" s="42">
        <f>IFERROR(LOOKUP(X355,打分卡!$F$13:$J$13,打分卡!$K$13:$O$13),1)</f>
        <v>1</v>
      </c>
      <c r="AJ355" s="42">
        <f>IFERROR(LOOKUP(Y355,打分卡!$F$14:$J$14,打分卡!$K$14:$O$14),1)</f>
        <v>3</v>
      </c>
      <c r="AK355" s="42">
        <f>IFERROR(LOOKUP(W355,打分卡!$F$15:$J$15,打分卡!$K$15:$O$15),1)</f>
        <v>2</v>
      </c>
      <c r="AL355" s="45">
        <f t="shared" si="41"/>
        <v>3</v>
      </c>
      <c r="AM355" s="42">
        <f>IFERROR(LOOKUP(Z355,打分卡!$F$17:$H$17,打分卡!$K$17:$M$17),1)</f>
        <v>3</v>
      </c>
      <c r="AN355" s="46">
        <f>(打分卡!$D$7*AC355+打分卡!$D$8*AD355+打分卡!$D$9*AE355)/5</f>
        <v>14.6</v>
      </c>
      <c r="AO355" s="46">
        <f>(打分卡!$D$10*AF355+打分卡!$D$11*AG355)/5</f>
        <v>12</v>
      </c>
      <c r="AP355" s="46">
        <f>(打分卡!$D$12*AH355+打分卡!$D$13*AI355+打分卡!$D$14*AJ355+打分卡!$D$15*AK355)/5</f>
        <v>11.6</v>
      </c>
      <c r="AQ355" s="46">
        <f>(打分卡!$D$16*AL355+打分卡!$D$17*AM355)/5</f>
        <v>6</v>
      </c>
      <c r="AR355" s="48">
        <f t="shared" si="42"/>
        <v>44.2</v>
      </c>
      <c r="AS355" s="45" t="str">
        <f t="shared" si="43"/>
        <v>腰部</v>
      </c>
      <c r="AT355" s="45" t="str">
        <f t="shared" si="44"/>
        <v/>
      </c>
      <c r="AU355" s="45" t="str">
        <f t="shared" si="45"/>
        <v>拉·主攻：主推AI外呼+大促作战包</v>
      </c>
    </row>
    <row r="356" ht="15" customHeight="1" spans="1:47">
      <c r="A356" s="30" t="s">
        <v>1192</v>
      </c>
      <c r="B356" s="31" t="s">
        <v>1193</v>
      </c>
      <c r="C356" s="31" t="s">
        <v>223</v>
      </c>
      <c r="D356" s="31" t="s">
        <v>227</v>
      </c>
      <c r="E356" s="31" t="s">
        <v>197</v>
      </c>
      <c r="F356" s="30" t="s">
        <v>1194</v>
      </c>
      <c r="G356" s="31">
        <v>23</v>
      </c>
      <c r="H356" s="31" t="s">
        <v>301</v>
      </c>
      <c r="I356" s="31" t="s">
        <v>184</v>
      </c>
      <c r="J356" s="33">
        <v>57300</v>
      </c>
      <c r="K356" s="33">
        <v>23400</v>
      </c>
      <c r="L356" s="33">
        <v>8900</v>
      </c>
      <c r="M356" s="33">
        <f t="shared" si="40"/>
        <v>89600</v>
      </c>
      <c r="N356" s="34">
        <f t="shared" si="46"/>
        <v>0.000469740531268153</v>
      </c>
      <c r="O356" s="35">
        <f>SUM($M$2:M356)</f>
        <v>168774400</v>
      </c>
      <c r="P356" s="34">
        <f t="shared" si="47"/>
        <v>0.884823396433747</v>
      </c>
      <c r="Q356" s="37">
        <v>5.7</v>
      </c>
      <c r="R356" s="31">
        <v>3</v>
      </c>
      <c r="S356" s="31">
        <v>2</v>
      </c>
      <c r="T356" s="31">
        <v>1</v>
      </c>
      <c r="U356" s="37">
        <v>1</v>
      </c>
      <c r="V356" s="31">
        <v>11</v>
      </c>
      <c r="W356" s="31">
        <v>0</v>
      </c>
      <c r="X356" s="38">
        <v>22</v>
      </c>
      <c r="Y356" s="31">
        <v>2</v>
      </c>
      <c r="Z356" s="31">
        <v>1</v>
      </c>
      <c r="AA356" s="31" t="s">
        <v>315</v>
      </c>
      <c r="AB356" s="31" t="s">
        <v>220</v>
      </c>
      <c r="AC356" s="41">
        <f>IFERROR(LOOKUP(M356,打分卡!$F$7:$J$7,打分卡!$K$7:$O$7),1)</f>
        <v>2</v>
      </c>
      <c r="AD356" s="41">
        <f>IFERROR(LOOKUP(S356,打分卡!$F$8:$J$8,打分卡!$K$8:$O$8),1)</f>
        <v>2</v>
      </c>
      <c r="AE356" s="41">
        <f>IFERROR(LOOKUP(T356,打分卡!$F$9:$I$9,打分卡!$K$9:$N$9),1)</f>
        <v>2</v>
      </c>
      <c r="AF356" s="41">
        <f>IFERROR(LOOKUP(Q356,打分卡!$F$10:$J$10,打分卡!$K$10:$O$10),1)</f>
        <v>2</v>
      </c>
      <c r="AG356" s="41">
        <f>IFERROR(LOOKUP(R356,打分卡!$F$11:$J$11,打分卡!$K$11:$O$11),1)</f>
        <v>2</v>
      </c>
      <c r="AH356" s="41">
        <f>IFERROR(LOOKUP(U356,打分卡!$F$12:$J$12,打分卡!$K$12:$O$12),1)</f>
        <v>1</v>
      </c>
      <c r="AI356" s="41">
        <f>IFERROR(LOOKUP(X356,打分卡!$F$13:$J$13,打分卡!$K$13:$O$13),1)</f>
        <v>2</v>
      </c>
      <c r="AJ356" s="41">
        <f>IFERROR(LOOKUP(Y356,打分卡!$F$14:$J$14,打分卡!$K$14:$O$14),1)</f>
        <v>3</v>
      </c>
      <c r="AK356" s="41">
        <f>IFERROR(LOOKUP(W356,打分卡!$F$15:$J$15,打分卡!$K$15:$O$15),1)</f>
        <v>1</v>
      </c>
      <c r="AL356" s="43">
        <f t="shared" si="41"/>
        <v>2</v>
      </c>
      <c r="AM356" s="41">
        <f>IFERROR(LOOKUP(Z356,打分卡!$F$17:$H$17,打分卡!$K$17:$M$17),1)</f>
        <v>3</v>
      </c>
      <c r="AN356" s="44">
        <f>(打分卡!$D$7*AC356+打分卡!$D$8*AD356+打分卡!$D$9*AE356)/5</f>
        <v>16</v>
      </c>
      <c r="AO356" s="44">
        <f>(打分卡!$D$10*AF356+打分卡!$D$11*AG356)/5</f>
        <v>8</v>
      </c>
      <c r="AP356" s="44">
        <f>(打分卡!$D$12*AH356+打分卡!$D$13*AI356+打分卡!$D$14*AJ356+打分卡!$D$15*AK356)/5</f>
        <v>10</v>
      </c>
      <c r="AQ356" s="44">
        <f>(打分卡!$D$16*AL356+打分卡!$D$17*AM356)/5</f>
        <v>4.8</v>
      </c>
      <c r="AR356" s="47">
        <f t="shared" si="42"/>
        <v>38.8</v>
      </c>
      <c r="AS356" s="43" t="str">
        <f t="shared" si="43"/>
        <v>基础长尾</v>
      </c>
      <c r="AT356" s="43" t="str">
        <f t="shared" si="44"/>
        <v/>
      </c>
      <c r="AU356" s="43" t="str">
        <f t="shared" si="45"/>
        <v>激活：企微+Push低成本先跑</v>
      </c>
    </row>
    <row r="357" ht="15" customHeight="1" spans="1:47">
      <c r="A357" s="20" t="s">
        <v>1195</v>
      </c>
      <c r="B357" s="22" t="s">
        <v>1196</v>
      </c>
      <c r="C357" s="22" t="s">
        <v>179</v>
      </c>
      <c r="D357" s="22" t="s">
        <v>180</v>
      </c>
      <c r="E357" s="22" t="s">
        <v>181</v>
      </c>
      <c r="F357" s="20" t="s">
        <v>508</v>
      </c>
      <c r="G357" s="22">
        <v>17</v>
      </c>
      <c r="H357" s="22" t="s">
        <v>301</v>
      </c>
      <c r="I357" s="22" t="s">
        <v>184</v>
      </c>
      <c r="J357" s="36">
        <v>49200</v>
      </c>
      <c r="K357" s="36">
        <v>34900</v>
      </c>
      <c r="L357" s="36">
        <v>5000</v>
      </c>
      <c r="M357" s="36">
        <f t="shared" si="40"/>
        <v>89100</v>
      </c>
      <c r="N357" s="34">
        <f t="shared" si="46"/>
        <v>0.000467119211339201</v>
      </c>
      <c r="O357" s="35">
        <f>SUM($M$2:M357)</f>
        <v>168863500</v>
      </c>
      <c r="P357" s="34">
        <f t="shared" si="47"/>
        <v>0.885290515645086</v>
      </c>
      <c r="Q357" s="39">
        <v>11.1</v>
      </c>
      <c r="R357" s="22">
        <v>7</v>
      </c>
      <c r="S357" s="22">
        <v>1</v>
      </c>
      <c r="T357" s="22">
        <v>2</v>
      </c>
      <c r="U357" s="39">
        <v>69</v>
      </c>
      <c r="V357" s="22">
        <v>23</v>
      </c>
      <c r="W357" s="22">
        <v>2</v>
      </c>
      <c r="X357" s="40">
        <v>150</v>
      </c>
      <c r="Y357" s="22">
        <v>1</v>
      </c>
      <c r="Z357" s="22">
        <v>0</v>
      </c>
      <c r="AA357" s="22" t="s">
        <v>185</v>
      </c>
      <c r="AB357" s="22" t="s">
        <v>220</v>
      </c>
      <c r="AC357" s="42">
        <f>IFERROR(LOOKUP(M357,打分卡!$F$7:$J$7,打分卡!$K$7:$O$7),1)</f>
        <v>2</v>
      </c>
      <c r="AD357" s="42">
        <f>IFERROR(LOOKUP(S357,打分卡!$F$8:$J$8,打分卡!$K$8:$O$8),1)</f>
        <v>1</v>
      </c>
      <c r="AE357" s="42">
        <f>IFERROR(LOOKUP(T357,打分卡!$F$9:$I$9,打分卡!$K$9:$N$9),1)</f>
        <v>3</v>
      </c>
      <c r="AF357" s="42">
        <f>IFERROR(LOOKUP(Q357,打分卡!$F$10:$J$10,打分卡!$K$10:$O$10),1)</f>
        <v>3</v>
      </c>
      <c r="AG357" s="42">
        <f>IFERROR(LOOKUP(R357,打分卡!$F$11:$J$11,打分卡!$K$11:$O$11),1)</f>
        <v>3</v>
      </c>
      <c r="AH357" s="42">
        <f>IFERROR(LOOKUP(U357,打分卡!$F$12:$J$12,打分卡!$K$12:$O$12),1)</f>
        <v>5</v>
      </c>
      <c r="AI357" s="42">
        <f>IFERROR(LOOKUP(X357,打分卡!$F$13:$J$13,打分卡!$K$13:$O$13),1)</f>
        <v>4</v>
      </c>
      <c r="AJ357" s="42">
        <f>IFERROR(LOOKUP(Y357,打分卡!$F$14:$J$14,打分卡!$K$14:$O$14),1)</f>
        <v>2</v>
      </c>
      <c r="AK357" s="42">
        <f>IFERROR(LOOKUP(W357,打分卡!$F$15:$J$15,打分卡!$K$15:$O$15),1)</f>
        <v>2</v>
      </c>
      <c r="AL357" s="45">
        <f t="shared" si="41"/>
        <v>3</v>
      </c>
      <c r="AM357" s="42">
        <f>IFERROR(LOOKUP(Z357,打分卡!$F$17:$H$17,打分卡!$K$17:$M$17),1)</f>
        <v>1</v>
      </c>
      <c r="AN357" s="46">
        <f>(打分卡!$D$7*AC357+打分卡!$D$8*AD357+打分卡!$D$9*AE357)/5</f>
        <v>15.8</v>
      </c>
      <c r="AO357" s="46">
        <f>(打分卡!$D$10*AF357+打分卡!$D$11*AG357)/5</f>
        <v>12</v>
      </c>
      <c r="AP357" s="46">
        <f>(打分卡!$D$12*AH357+打分卡!$D$13*AI357+打分卡!$D$14*AJ357+打分卡!$D$15*AK357)/5</f>
        <v>22.4</v>
      </c>
      <c r="AQ357" s="46">
        <f>(打分卡!$D$16*AL357+打分卡!$D$17*AM357)/5</f>
        <v>4.4</v>
      </c>
      <c r="AR357" s="48">
        <f t="shared" si="42"/>
        <v>54.6</v>
      </c>
      <c r="AS357" s="45" t="str">
        <f t="shared" si="43"/>
        <v>腰部</v>
      </c>
      <c r="AT357" s="45" t="str">
        <f t="shared" si="44"/>
        <v/>
      </c>
      <c r="AU357" s="45" t="str">
        <f t="shared" si="45"/>
        <v>拉·主攻：主推AI外呼+大促作战包</v>
      </c>
    </row>
    <row r="358" ht="15" customHeight="1" spans="1:47">
      <c r="A358" s="30" t="s">
        <v>1197</v>
      </c>
      <c r="B358" s="31" t="s">
        <v>1198</v>
      </c>
      <c r="C358" s="31" t="s">
        <v>179</v>
      </c>
      <c r="D358" s="31" t="s">
        <v>196</v>
      </c>
      <c r="E358" s="31" t="s">
        <v>181</v>
      </c>
      <c r="F358" s="30" t="s">
        <v>1199</v>
      </c>
      <c r="G358" s="31">
        <v>8</v>
      </c>
      <c r="H358" s="31" t="s">
        <v>301</v>
      </c>
      <c r="I358" s="31" t="s">
        <v>184</v>
      </c>
      <c r="J358" s="33">
        <v>52300</v>
      </c>
      <c r="K358" s="33">
        <v>21100</v>
      </c>
      <c r="L358" s="33">
        <v>15600</v>
      </c>
      <c r="M358" s="33">
        <f t="shared" si="40"/>
        <v>89000</v>
      </c>
      <c r="N358" s="34">
        <f t="shared" si="46"/>
        <v>0.000466594947353411</v>
      </c>
      <c r="O358" s="35">
        <f>SUM($M$2:M358)</f>
        <v>168952500</v>
      </c>
      <c r="P358" s="34">
        <f t="shared" si="47"/>
        <v>0.885757110592439</v>
      </c>
      <c r="Q358" s="37">
        <v>8.5</v>
      </c>
      <c r="R358" s="31">
        <v>9</v>
      </c>
      <c r="S358" s="31">
        <v>2</v>
      </c>
      <c r="T358" s="31">
        <v>1</v>
      </c>
      <c r="U358" s="37">
        <v>2.5</v>
      </c>
      <c r="V358" s="31">
        <v>17</v>
      </c>
      <c r="W358" s="31">
        <v>0</v>
      </c>
      <c r="X358" s="38">
        <v>89</v>
      </c>
      <c r="Y358" s="31">
        <v>0</v>
      </c>
      <c r="Z358" s="31">
        <v>0</v>
      </c>
      <c r="AA358" s="31" t="s">
        <v>199</v>
      </c>
      <c r="AB358" s="31" t="s">
        <v>220</v>
      </c>
      <c r="AC358" s="41">
        <f>IFERROR(LOOKUP(M358,打分卡!$F$7:$J$7,打分卡!$K$7:$O$7),1)</f>
        <v>2</v>
      </c>
      <c r="AD358" s="41">
        <f>IFERROR(LOOKUP(S358,打分卡!$F$8:$J$8,打分卡!$K$8:$O$8),1)</f>
        <v>2</v>
      </c>
      <c r="AE358" s="41">
        <f>IFERROR(LOOKUP(T358,打分卡!$F$9:$I$9,打分卡!$K$9:$N$9),1)</f>
        <v>2</v>
      </c>
      <c r="AF358" s="41">
        <f>IFERROR(LOOKUP(Q358,打分卡!$F$10:$J$10,打分卡!$K$10:$O$10),1)</f>
        <v>2</v>
      </c>
      <c r="AG358" s="41">
        <f>IFERROR(LOOKUP(R358,打分卡!$F$11:$J$11,打分卡!$K$11:$O$11),1)</f>
        <v>4</v>
      </c>
      <c r="AH358" s="41">
        <f>IFERROR(LOOKUP(U358,打分卡!$F$12:$J$12,打分卡!$K$12:$O$12),1)</f>
        <v>1</v>
      </c>
      <c r="AI358" s="41">
        <f>IFERROR(LOOKUP(X358,打分卡!$F$13:$J$13,打分卡!$K$13:$O$13),1)</f>
        <v>4</v>
      </c>
      <c r="AJ358" s="41">
        <f>IFERROR(LOOKUP(Y358,打分卡!$F$14:$J$14,打分卡!$K$14:$O$14),1)</f>
        <v>1</v>
      </c>
      <c r="AK358" s="41">
        <f>IFERROR(LOOKUP(W358,打分卡!$F$15:$J$15,打分卡!$K$15:$O$15),1)</f>
        <v>1</v>
      </c>
      <c r="AL358" s="43">
        <f t="shared" si="41"/>
        <v>5</v>
      </c>
      <c r="AM358" s="41">
        <f>IFERROR(LOOKUP(Z358,打分卡!$F$17:$H$17,打分卡!$K$17:$M$17),1)</f>
        <v>1</v>
      </c>
      <c r="AN358" s="44">
        <f>(打分卡!$D$7*AC358+打分卡!$D$8*AD358+打分卡!$D$9*AE358)/5</f>
        <v>16</v>
      </c>
      <c r="AO358" s="44">
        <f>(打分卡!$D$10*AF358+打分卡!$D$11*AG358)/5</f>
        <v>12</v>
      </c>
      <c r="AP358" s="44">
        <f>(打分卡!$D$12*AH358+打分卡!$D$13*AI358+打分卡!$D$14*AJ358+打分卡!$D$15*AK358)/5</f>
        <v>10.8</v>
      </c>
      <c r="AQ358" s="44">
        <f>(打分卡!$D$16*AL358+打分卡!$D$17*AM358)/5</f>
        <v>6.8</v>
      </c>
      <c r="AR358" s="47">
        <f t="shared" si="42"/>
        <v>45.6</v>
      </c>
      <c r="AS358" s="43" t="str">
        <f t="shared" si="43"/>
        <v>腰部</v>
      </c>
      <c r="AT358" s="43" t="str">
        <f t="shared" si="44"/>
        <v/>
      </c>
      <c r="AU358" s="43" t="str">
        <f t="shared" si="45"/>
        <v>拉·主攻：主推AI外呼+大促作战包</v>
      </c>
    </row>
    <row r="359" ht="15" customHeight="1" spans="1:47">
      <c r="A359" s="20" t="s">
        <v>1200</v>
      </c>
      <c r="B359" s="22" t="s">
        <v>1201</v>
      </c>
      <c r="C359" s="22" t="s">
        <v>218</v>
      </c>
      <c r="D359" s="22" t="s">
        <v>202</v>
      </c>
      <c r="E359" s="22" t="s">
        <v>181</v>
      </c>
      <c r="F359" s="20" t="s">
        <v>1202</v>
      </c>
      <c r="G359" s="22">
        <v>5</v>
      </c>
      <c r="H359" s="22" t="s">
        <v>301</v>
      </c>
      <c r="I359" s="22" t="s">
        <v>302</v>
      </c>
      <c r="J359" s="36">
        <v>49400</v>
      </c>
      <c r="K359" s="36">
        <v>25200</v>
      </c>
      <c r="L359" s="36">
        <v>13500</v>
      </c>
      <c r="M359" s="36">
        <f t="shared" si="40"/>
        <v>88100</v>
      </c>
      <c r="N359" s="34">
        <f t="shared" si="46"/>
        <v>0.000461876571481297</v>
      </c>
      <c r="O359" s="35">
        <f>SUM($M$2:M359)</f>
        <v>169040600</v>
      </c>
      <c r="P359" s="34">
        <f t="shared" si="47"/>
        <v>0.886218987163921</v>
      </c>
      <c r="Q359" s="39">
        <v>8.9</v>
      </c>
      <c r="R359" s="22">
        <v>5</v>
      </c>
      <c r="S359" s="22">
        <v>3</v>
      </c>
      <c r="T359" s="22">
        <v>0</v>
      </c>
      <c r="U359" s="39">
        <v>3.7</v>
      </c>
      <c r="V359" s="22">
        <v>20</v>
      </c>
      <c r="W359" s="22">
        <v>2</v>
      </c>
      <c r="X359" s="40">
        <v>137</v>
      </c>
      <c r="Y359" s="22">
        <v>1</v>
      </c>
      <c r="Z359" s="22">
        <v>1</v>
      </c>
      <c r="AA359" s="22" t="s">
        <v>185</v>
      </c>
      <c r="AB359" s="22" t="s">
        <v>220</v>
      </c>
      <c r="AC359" s="42">
        <f>IFERROR(LOOKUP(M359,打分卡!$F$7:$J$7,打分卡!$K$7:$O$7),1)</f>
        <v>2</v>
      </c>
      <c r="AD359" s="42">
        <f>IFERROR(LOOKUP(S359,打分卡!$F$8:$J$8,打分卡!$K$8:$O$8),1)</f>
        <v>3</v>
      </c>
      <c r="AE359" s="42">
        <f>IFERROR(LOOKUP(T359,打分卡!$F$9:$I$9,打分卡!$K$9:$N$9),1)</f>
        <v>1</v>
      </c>
      <c r="AF359" s="42">
        <f>IFERROR(LOOKUP(Q359,打分卡!$F$10:$J$10,打分卡!$K$10:$O$10),1)</f>
        <v>2</v>
      </c>
      <c r="AG359" s="42">
        <f>IFERROR(LOOKUP(R359,打分卡!$F$11:$J$11,打分卡!$K$11:$O$11),1)</f>
        <v>3</v>
      </c>
      <c r="AH359" s="42">
        <f>IFERROR(LOOKUP(U359,打分卡!$F$12:$J$12,打分卡!$K$12:$O$12),1)</f>
        <v>2</v>
      </c>
      <c r="AI359" s="42">
        <f>IFERROR(LOOKUP(X359,打分卡!$F$13:$J$13,打分卡!$K$13:$O$13),1)</f>
        <v>4</v>
      </c>
      <c r="AJ359" s="42">
        <f>IFERROR(LOOKUP(Y359,打分卡!$F$14:$J$14,打分卡!$K$14:$O$14),1)</f>
        <v>2</v>
      </c>
      <c r="AK359" s="42">
        <f>IFERROR(LOOKUP(W359,打分卡!$F$15:$J$15,打分卡!$K$15:$O$15),1)</f>
        <v>2</v>
      </c>
      <c r="AL359" s="45">
        <f t="shared" si="41"/>
        <v>3</v>
      </c>
      <c r="AM359" s="42">
        <f>IFERROR(LOOKUP(Z359,打分卡!$F$17:$H$17,打分卡!$K$17:$M$17),1)</f>
        <v>3</v>
      </c>
      <c r="AN359" s="46">
        <f>(打分卡!$D$7*AC359+打分卡!$D$8*AD359+打分卡!$D$9*AE359)/5</f>
        <v>16.2</v>
      </c>
      <c r="AO359" s="46">
        <f>(打分卡!$D$10*AF359+打分卡!$D$11*AG359)/5</f>
        <v>10</v>
      </c>
      <c r="AP359" s="46">
        <f>(打分卡!$D$12*AH359+打分卡!$D$13*AI359+打分卡!$D$14*AJ359+打分卡!$D$15*AK359)/5</f>
        <v>15.2</v>
      </c>
      <c r="AQ359" s="46">
        <f>(打分卡!$D$16*AL359+打分卡!$D$17*AM359)/5</f>
        <v>6</v>
      </c>
      <c r="AR359" s="48">
        <f t="shared" si="42"/>
        <v>47.4</v>
      </c>
      <c r="AS359" s="45" t="str">
        <f t="shared" si="43"/>
        <v>腰部</v>
      </c>
      <c r="AT359" s="45" t="str">
        <f t="shared" si="44"/>
        <v/>
      </c>
      <c r="AU359" s="45" t="str">
        <f t="shared" si="45"/>
        <v>拉·主攻：主推AI外呼+大促作战包</v>
      </c>
    </row>
    <row r="360" ht="15" customHeight="1" spans="1:47">
      <c r="A360" s="30" t="s">
        <v>1203</v>
      </c>
      <c r="B360" s="31" t="s">
        <v>1204</v>
      </c>
      <c r="C360" s="31" t="s">
        <v>239</v>
      </c>
      <c r="D360" s="31" t="s">
        <v>180</v>
      </c>
      <c r="E360" s="31" t="s">
        <v>197</v>
      </c>
      <c r="F360" s="30" t="s">
        <v>1205</v>
      </c>
      <c r="G360" s="31">
        <v>6</v>
      </c>
      <c r="H360" s="31" t="s">
        <v>301</v>
      </c>
      <c r="I360" s="31" t="s">
        <v>184</v>
      </c>
      <c r="J360" s="33">
        <v>40600</v>
      </c>
      <c r="K360" s="33">
        <v>23600</v>
      </c>
      <c r="L360" s="33">
        <v>23500</v>
      </c>
      <c r="M360" s="33">
        <f t="shared" si="40"/>
        <v>87700</v>
      </c>
      <c r="N360" s="34">
        <f t="shared" si="46"/>
        <v>0.000459779515538136</v>
      </c>
      <c r="O360" s="35">
        <f>SUM($M$2:M360)</f>
        <v>169128300</v>
      </c>
      <c r="P360" s="34">
        <f t="shared" si="47"/>
        <v>0.886678766679459</v>
      </c>
      <c r="Q360" s="37">
        <v>11.3</v>
      </c>
      <c r="R360" s="31">
        <v>9</v>
      </c>
      <c r="S360" s="31">
        <v>1</v>
      </c>
      <c r="T360" s="31">
        <v>0</v>
      </c>
      <c r="U360" s="37">
        <v>8.2</v>
      </c>
      <c r="V360" s="31">
        <v>11</v>
      </c>
      <c r="W360" s="31">
        <v>4</v>
      </c>
      <c r="X360" s="38">
        <v>32</v>
      </c>
      <c r="Y360" s="31">
        <v>2</v>
      </c>
      <c r="Z360" s="31">
        <v>1</v>
      </c>
      <c r="AA360" s="31" t="s">
        <v>199</v>
      </c>
      <c r="AB360" s="31" t="s">
        <v>220</v>
      </c>
      <c r="AC360" s="41">
        <f>IFERROR(LOOKUP(M360,打分卡!$F$7:$J$7,打分卡!$K$7:$O$7),1)</f>
        <v>2</v>
      </c>
      <c r="AD360" s="41">
        <f>IFERROR(LOOKUP(S360,打分卡!$F$8:$J$8,打分卡!$K$8:$O$8),1)</f>
        <v>1</v>
      </c>
      <c r="AE360" s="41">
        <f>IFERROR(LOOKUP(T360,打分卡!$F$9:$I$9,打分卡!$K$9:$N$9),1)</f>
        <v>1</v>
      </c>
      <c r="AF360" s="41">
        <f>IFERROR(LOOKUP(Q360,打分卡!$F$10:$J$10,打分卡!$K$10:$O$10),1)</f>
        <v>3</v>
      </c>
      <c r="AG360" s="41">
        <f>IFERROR(LOOKUP(R360,打分卡!$F$11:$J$11,打分卡!$K$11:$O$11),1)</f>
        <v>4</v>
      </c>
      <c r="AH360" s="41">
        <f>IFERROR(LOOKUP(U360,打分卡!$F$12:$J$12,打分卡!$K$12:$O$12),1)</f>
        <v>2</v>
      </c>
      <c r="AI360" s="41">
        <f>IFERROR(LOOKUP(X360,打分卡!$F$13:$J$13,打分卡!$K$13:$O$13),1)</f>
        <v>2</v>
      </c>
      <c r="AJ360" s="41">
        <f>IFERROR(LOOKUP(Y360,打分卡!$F$14:$J$14,打分卡!$K$14:$O$14),1)</f>
        <v>3</v>
      </c>
      <c r="AK360" s="41">
        <f>IFERROR(LOOKUP(W360,打分卡!$F$15:$J$15,打分卡!$K$15:$O$15),1)</f>
        <v>3</v>
      </c>
      <c r="AL360" s="43">
        <f t="shared" si="41"/>
        <v>5</v>
      </c>
      <c r="AM360" s="41">
        <f>IFERROR(LOOKUP(Z360,打分卡!$F$17:$H$17,打分卡!$K$17:$M$17),1)</f>
        <v>3</v>
      </c>
      <c r="AN360" s="44">
        <f>(打分卡!$D$7*AC360+打分卡!$D$8*AD360+打分卡!$D$9*AE360)/5</f>
        <v>13</v>
      </c>
      <c r="AO360" s="44">
        <f>(打分卡!$D$10*AF360+打分卡!$D$11*AG360)/5</f>
        <v>14</v>
      </c>
      <c r="AP360" s="44">
        <f>(打分卡!$D$12*AH360+打分卡!$D$13*AI360+打分卡!$D$14*AJ360+打分卡!$D$15*AK360)/5</f>
        <v>14</v>
      </c>
      <c r="AQ360" s="44">
        <f>(打分卡!$D$16*AL360+打分卡!$D$17*AM360)/5</f>
        <v>8.4</v>
      </c>
      <c r="AR360" s="47">
        <f t="shared" si="42"/>
        <v>49.4</v>
      </c>
      <c r="AS360" s="43" t="str">
        <f t="shared" si="43"/>
        <v>腰部</v>
      </c>
      <c r="AT360" s="43" t="str">
        <f t="shared" si="44"/>
        <v/>
      </c>
      <c r="AU360" s="43" t="str">
        <f t="shared" si="45"/>
        <v>拉·主攻：主推AI外呼+大促作战包</v>
      </c>
    </row>
    <row r="361" ht="15" customHeight="1" spans="1:47">
      <c r="A361" s="20" t="s">
        <v>1206</v>
      </c>
      <c r="B361" s="22" t="s">
        <v>1207</v>
      </c>
      <c r="C361" s="22" t="s">
        <v>189</v>
      </c>
      <c r="D361" s="22" t="s">
        <v>180</v>
      </c>
      <c r="E361" s="22" t="s">
        <v>197</v>
      </c>
      <c r="F361" s="20" t="s">
        <v>1208</v>
      </c>
      <c r="G361" s="22">
        <v>9</v>
      </c>
      <c r="H361" s="22" t="s">
        <v>301</v>
      </c>
      <c r="I361" s="22" t="s">
        <v>184</v>
      </c>
      <c r="J361" s="36">
        <v>40300</v>
      </c>
      <c r="K361" s="36">
        <v>30100</v>
      </c>
      <c r="L361" s="36">
        <v>17100</v>
      </c>
      <c r="M361" s="36">
        <f t="shared" si="40"/>
        <v>87500</v>
      </c>
      <c r="N361" s="34">
        <f t="shared" si="46"/>
        <v>0.000458730987566555</v>
      </c>
      <c r="O361" s="35">
        <f>SUM($M$2:M361)</f>
        <v>169215800</v>
      </c>
      <c r="P361" s="34">
        <f t="shared" si="47"/>
        <v>0.887137497667025</v>
      </c>
      <c r="Q361" s="39">
        <v>12.2</v>
      </c>
      <c r="R361" s="22">
        <v>6</v>
      </c>
      <c r="S361" s="22">
        <v>3</v>
      </c>
      <c r="T361" s="22">
        <v>0</v>
      </c>
      <c r="U361" s="39">
        <v>48.9</v>
      </c>
      <c r="V361" s="22">
        <v>17</v>
      </c>
      <c r="W361" s="22">
        <v>3</v>
      </c>
      <c r="X361" s="40">
        <v>16</v>
      </c>
      <c r="Y361" s="22">
        <v>0</v>
      </c>
      <c r="Z361" s="22">
        <v>0</v>
      </c>
      <c r="AA361" s="22" t="s">
        <v>199</v>
      </c>
      <c r="AB361" s="22" t="s">
        <v>220</v>
      </c>
      <c r="AC361" s="42">
        <f>IFERROR(LOOKUP(M361,打分卡!$F$7:$J$7,打分卡!$K$7:$O$7),1)</f>
        <v>2</v>
      </c>
      <c r="AD361" s="42">
        <f>IFERROR(LOOKUP(S361,打分卡!$F$8:$J$8,打分卡!$K$8:$O$8),1)</f>
        <v>3</v>
      </c>
      <c r="AE361" s="42">
        <f>IFERROR(LOOKUP(T361,打分卡!$F$9:$I$9,打分卡!$K$9:$N$9),1)</f>
        <v>1</v>
      </c>
      <c r="AF361" s="42">
        <f>IFERROR(LOOKUP(Q361,打分卡!$F$10:$J$10,打分卡!$K$10:$O$10),1)</f>
        <v>3</v>
      </c>
      <c r="AG361" s="42">
        <f>IFERROR(LOOKUP(R361,打分卡!$F$11:$J$11,打分卡!$K$11:$O$11),1)</f>
        <v>3</v>
      </c>
      <c r="AH361" s="42">
        <f>IFERROR(LOOKUP(U361,打分卡!$F$12:$J$12,打分卡!$K$12:$O$12),1)</f>
        <v>4</v>
      </c>
      <c r="AI361" s="42">
        <f>IFERROR(LOOKUP(X361,打分卡!$F$13:$J$13,打分卡!$K$13:$O$13),1)</f>
        <v>1</v>
      </c>
      <c r="AJ361" s="42">
        <f>IFERROR(LOOKUP(Y361,打分卡!$F$14:$J$14,打分卡!$K$14:$O$14),1)</f>
        <v>1</v>
      </c>
      <c r="AK361" s="42">
        <f>IFERROR(LOOKUP(W361,打分卡!$F$15:$J$15,打分卡!$K$15:$O$15),1)</f>
        <v>3</v>
      </c>
      <c r="AL361" s="45">
        <f t="shared" si="41"/>
        <v>5</v>
      </c>
      <c r="AM361" s="42">
        <f>IFERROR(LOOKUP(Z361,打分卡!$F$17:$H$17,打分卡!$K$17:$M$17),1)</f>
        <v>1</v>
      </c>
      <c r="AN361" s="46">
        <f>(打分卡!$D$7*AC361+打分卡!$D$8*AD361+打分卡!$D$9*AE361)/5</f>
        <v>16.2</v>
      </c>
      <c r="AO361" s="46">
        <f>(打分卡!$D$10*AF361+打分卡!$D$11*AG361)/5</f>
        <v>12</v>
      </c>
      <c r="AP361" s="46">
        <f>(打分卡!$D$12*AH361+打分卡!$D$13*AI361+打分卡!$D$14*AJ361+打分卡!$D$15*AK361)/5</f>
        <v>14.8</v>
      </c>
      <c r="AQ361" s="46">
        <f>(打分卡!$D$16*AL361+打分卡!$D$17*AM361)/5</f>
        <v>6.8</v>
      </c>
      <c r="AR361" s="48">
        <f t="shared" si="42"/>
        <v>49.8</v>
      </c>
      <c r="AS361" s="45" t="str">
        <f t="shared" si="43"/>
        <v>腰部</v>
      </c>
      <c r="AT361" s="45" t="str">
        <f t="shared" si="44"/>
        <v/>
      </c>
      <c r="AU361" s="45" t="str">
        <f t="shared" si="45"/>
        <v>拉·主攻：主推AI外呼+大促作战包</v>
      </c>
    </row>
    <row r="362" ht="15" customHeight="1" spans="1:47">
      <c r="A362" s="30" t="s">
        <v>1209</v>
      </c>
      <c r="B362" s="31" t="s">
        <v>1210</v>
      </c>
      <c r="C362" s="31" t="s">
        <v>218</v>
      </c>
      <c r="D362" s="31" t="s">
        <v>180</v>
      </c>
      <c r="E362" s="31" t="s">
        <v>181</v>
      </c>
      <c r="F362" s="30" t="s">
        <v>1211</v>
      </c>
      <c r="G362" s="31">
        <v>5</v>
      </c>
      <c r="H362" s="31" t="s">
        <v>301</v>
      </c>
      <c r="I362" s="31" t="s">
        <v>302</v>
      </c>
      <c r="J362" s="33">
        <v>41400</v>
      </c>
      <c r="K362" s="33">
        <v>27100</v>
      </c>
      <c r="L362" s="33">
        <v>18700</v>
      </c>
      <c r="M362" s="33">
        <f t="shared" si="40"/>
        <v>87200</v>
      </c>
      <c r="N362" s="34">
        <f t="shared" si="46"/>
        <v>0.000457158195609184</v>
      </c>
      <c r="O362" s="35">
        <f>SUM($M$2:M362)</f>
        <v>169303000</v>
      </c>
      <c r="P362" s="34">
        <f t="shared" si="47"/>
        <v>0.887594655862634</v>
      </c>
      <c r="Q362" s="37">
        <v>6.9</v>
      </c>
      <c r="R362" s="31">
        <v>6</v>
      </c>
      <c r="S362" s="31">
        <v>1</v>
      </c>
      <c r="T362" s="31">
        <v>2</v>
      </c>
      <c r="U362" s="37">
        <v>27.5</v>
      </c>
      <c r="V362" s="31">
        <v>19</v>
      </c>
      <c r="W362" s="31">
        <v>4</v>
      </c>
      <c r="X362" s="38">
        <v>10</v>
      </c>
      <c r="Y362" s="31">
        <v>1</v>
      </c>
      <c r="Z362" s="31">
        <v>0</v>
      </c>
      <c r="AA362" s="31" t="s">
        <v>315</v>
      </c>
      <c r="AB362" s="31" t="s">
        <v>220</v>
      </c>
      <c r="AC362" s="41">
        <f>IFERROR(LOOKUP(M362,打分卡!$F$7:$J$7,打分卡!$K$7:$O$7),1)</f>
        <v>2</v>
      </c>
      <c r="AD362" s="41">
        <f>IFERROR(LOOKUP(S362,打分卡!$F$8:$J$8,打分卡!$K$8:$O$8),1)</f>
        <v>1</v>
      </c>
      <c r="AE362" s="41">
        <f>IFERROR(LOOKUP(T362,打分卡!$F$9:$I$9,打分卡!$K$9:$N$9),1)</f>
        <v>3</v>
      </c>
      <c r="AF362" s="41">
        <f>IFERROR(LOOKUP(Q362,打分卡!$F$10:$J$10,打分卡!$K$10:$O$10),1)</f>
        <v>2</v>
      </c>
      <c r="AG362" s="41">
        <f>IFERROR(LOOKUP(R362,打分卡!$F$11:$J$11,打分卡!$K$11:$O$11),1)</f>
        <v>3</v>
      </c>
      <c r="AH362" s="41">
        <f>IFERROR(LOOKUP(U362,打分卡!$F$12:$J$12,打分卡!$K$12:$O$12),1)</f>
        <v>3</v>
      </c>
      <c r="AI362" s="41">
        <f>IFERROR(LOOKUP(X362,打分卡!$F$13:$J$13,打分卡!$K$13:$O$13),1)</f>
        <v>1</v>
      </c>
      <c r="AJ362" s="41">
        <f>IFERROR(LOOKUP(Y362,打分卡!$F$14:$J$14,打分卡!$K$14:$O$14),1)</f>
        <v>2</v>
      </c>
      <c r="AK362" s="41">
        <f>IFERROR(LOOKUP(W362,打分卡!$F$15:$J$15,打分卡!$K$15:$O$15),1)</f>
        <v>3</v>
      </c>
      <c r="AL362" s="43">
        <f t="shared" si="41"/>
        <v>2</v>
      </c>
      <c r="AM362" s="41">
        <f>IFERROR(LOOKUP(Z362,打分卡!$F$17:$H$17,打分卡!$K$17:$M$17),1)</f>
        <v>1</v>
      </c>
      <c r="AN362" s="44">
        <f>(打分卡!$D$7*AC362+打分卡!$D$8*AD362+打分卡!$D$9*AE362)/5</f>
        <v>15.8</v>
      </c>
      <c r="AO362" s="44">
        <f>(打分卡!$D$10*AF362+打分卡!$D$11*AG362)/5</f>
        <v>10</v>
      </c>
      <c r="AP362" s="44">
        <f>(打分卡!$D$12*AH362+打分卡!$D$13*AI362+打分卡!$D$14*AJ362+打分卡!$D$15*AK362)/5</f>
        <v>13.6</v>
      </c>
      <c r="AQ362" s="44">
        <f>(打分卡!$D$16*AL362+打分卡!$D$17*AM362)/5</f>
        <v>3.2</v>
      </c>
      <c r="AR362" s="47">
        <f t="shared" si="42"/>
        <v>42.6</v>
      </c>
      <c r="AS362" s="43" t="str">
        <f t="shared" si="43"/>
        <v>腰部</v>
      </c>
      <c r="AT362" s="43" t="str">
        <f t="shared" si="44"/>
        <v/>
      </c>
      <c r="AU362" s="43" t="str">
        <f t="shared" si="45"/>
        <v>拉·主攻：主推AI外呼+大促作战包</v>
      </c>
    </row>
    <row r="363" ht="15" customHeight="1" spans="1:47">
      <c r="A363" s="20" t="s">
        <v>1212</v>
      </c>
      <c r="B363" s="22" t="s">
        <v>1213</v>
      </c>
      <c r="C363" s="22" t="s">
        <v>239</v>
      </c>
      <c r="D363" s="22" t="s">
        <v>202</v>
      </c>
      <c r="E363" s="22" t="s">
        <v>181</v>
      </c>
      <c r="F363" s="20" t="s">
        <v>1214</v>
      </c>
      <c r="G363" s="22">
        <v>22</v>
      </c>
      <c r="H363" s="22" t="s">
        <v>301</v>
      </c>
      <c r="I363" s="22" t="s">
        <v>184</v>
      </c>
      <c r="J363" s="36">
        <v>48200</v>
      </c>
      <c r="K363" s="36">
        <v>26700</v>
      </c>
      <c r="L363" s="36">
        <v>12100</v>
      </c>
      <c r="M363" s="36">
        <f t="shared" si="40"/>
        <v>87000</v>
      </c>
      <c r="N363" s="34">
        <f t="shared" si="46"/>
        <v>0.000456109667637604</v>
      </c>
      <c r="O363" s="35">
        <f>SUM($M$2:M363)</f>
        <v>169390000</v>
      </c>
      <c r="P363" s="34">
        <f t="shared" si="47"/>
        <v>0.888050765530272</v>
      </c>
      <c r="Q363" s="39">
        <v>6.6</v>
      </c>
      <c r="R363" s="22">
        <v>5</v>
      </c>
      <c r="S363" s="22">
        <v>2</v>
      </c>
      <c r="T363" s="22">
        <v>0</v>
      </c>
      <c r="U363" s="39">
        <v>34.3</v>
      </c>
      <c r="V363" s="22">
        <v>28</v>
      </c>
      <c r="W363" s="22">
        <v>4</v>
      </c>
      <c r="X363" s="40">
        <v>52</v>
      </c>
      <c r="Y363" s="22">
        <v>0</v>
      </c>
      <c r="Z363" s="22">
        <v>1</v>
      </c>
      <c r="AA363" s="22" t="s">
        <v>315</v>
      </c>
      <c r="AB363" s="22" t="s">
        <v>220</v>
      </c>
      <c r="AC363" s="42">
        <f>IFERROR(LOOKUP(M363,打分卡!$F$7:$J$7,打分卡!$K$7:$O$7),1)</f>
        <v>2</v>
      </c>
      <c r="AD363" s="42">
        <f>IFERROR(LOOKUP(S363,打分卡!$F$8:$J$8,打分卡!$K$8:$O$8),1)</f>
        <v>2</v>
      </c>
      <c r="AE363" s="42">
        <f>IFERROR(LOOKUP(T363,打分卡!$F$9:$I$9,打分卡!$K$9:$N$9),1)</f>
        <v>1</v>
      </c>
      <c r="AF363" s="42">
        <f>IFERROR(LOOKUP(Q363,打分卡!$F$10:$J$10,打分卡!$K$10:$O$10),1)</f>
        <v>2</v>
      </c>
      <c r="AG363" s="42">
        <f>IFERROR(LOOKUP(R363,打分卡!$F$11:$J$11,打分卡!$K$11:$O$11),1)</f>
        <v>3</v>
      </c>
      <c r="AH363" s="42">
        <f>IFERROR(LOOKUP(U363,打分卡!$F$12:$J$12,打分卡!$K$12:$O$12),1)</f>
        <v>4</v>
      </c>
      <c r="AI363" s="42">
        <f>IFERROR(LOOKUP(X363,打分卡!$F$13:$J$13,打分卡!$K$13:$O$13),1)</f>
        <v>3</v>
      </c>
      <c r="AJ363" s="42">
        <f>IFERROR(LOOKUP(Y363,打分卡!$F$14:$J$14,打分卡!$K$14:$O$14),1)</f>
        <v>1</v>
      </c>
      <c r="AK363" s="42">
        <f>IFERROR(LOOKUP(W363,打分卡!$F$15:$J$15,打分卡!$K$15:$O$15),1)</f>
        <v>3</v>
      </c>
      <c r="AL363" s="45">
        <f t="shared" si="41"/>
        <v>2</v>
      </c>
      <c r="AM363" s="42">
        <f>IFERROR(LOOKUP(Z363,打分卡!$F$17:$H$17,打分卡!$K$17:$M$17),1)</f>
        <v>3</v>
      </c>
      <c r="AN363" s="46">
        <f>(打分卡!$D$7*AC363+打分卡!$D$8*AD363+打分卡!$D$9*AE363)/5</f>
        <v>14.6</v>
      </c>
      <c r="AO363" s="46">
        <f>(打分卡!$D$10*AF363+打分卡!$D$11*AG363)/5</f>
        <v>10</v>
      </c>
      <c r="AP363" s="46">
        <f>(打分卡!$D$12*AH363+打分卡!$D$13*AI363+打分卡!$D$14*AJ363+打分卡!$D$15*AK363)/5</f>
        <v>18</v>
      </c>
      <c r="AQ363" s="46">
        <f>(打分卡!$D$16*AL363+打分卡!$D$17*AM363)/5</f>
        <v>4.8</v>
      </c>
      <c r="AR363" s="48">
        <f t="shared" si="42"/>
        <v>47.4</v>
      </c>
      <c r="AS363" s="45" t="str">
        <f t="shared" si="43"/>
        <v>腰部</v>
      </c>
      <c r="AT363" s="45" t="str">
        <f t="shared" si="44"/>
        <v/>
      </c>
      <c r="AU363" s="45" t="str">
        <f t="shared" si="45"/>
        <v>拉·主攻：主推AI外呼+大促作战包</v>
      </c>
    </row>
    <row r="364" ht="15" customHeight="1" spans="1:47">
      <c r="A364" s="30" t="s">
        <v>1215</v>
      </c>
      <c r="B364" s="31" t="s">
        <v>1216</v>
      </c>
      <c r="C364" s="31" t="s">
        <v>218</v>
      </c>
      <c r="D364" s="31" t="s">
        <v>202</v>
      </c>
      <c r="E364" s="31" t="s">
        <v>181</v>
      </c>
      <c r="F364" s="30" t="s">
        <v>1217</v>
      </c>
      <c r="G364" s="31">
        <v>3</v>
      </c>
      <c r="H364" s="31" t="s">
        <v>301</v>
      </c>
      <c r="I364" s="31" t="s">
        <v>184</v>
      </c>
      <c r="J364" s="33">
        <v>46300</v>
      </c>
      <c r="K364" s="33">
        <v>24400</v>
      </c>
      <c r="L364" s="33">
        <v>16300</v>
      </c>
      <c r="M364" s="33">
        <f t="shared" si="40"/>
        <v>87000</v>
      </c>
      <c r="N364" s="34">
        <f t="shared" si="46"/>
        <v>0.000456109667637604</v>
      </c>
      <c r="O364" s="35">
        <f>SUM($M$2:M364)</f>
        <v>169477000</v>
      </c>
      <c r="P364" s="34">
        <f t="shared" si="47"/>
        <v>0.88850687519791</v>
      </c>
      <c r="Q364" s="37">
        <v>13.8</v>
      </c>
      <c r="R364" s="31">
        <v>8</v>
      </c>
      <c r="S364" s="31">
        <v>1</v>
      </c>
      <c r="T364" s="31">
        <v>1</v>
      </c>
      <c r="U364" s="37">
        <v>2.3</v>
      </c>
      <c r="V364" s="31">
        <v>7</v>
      </c>
      <c r="W364" s="31">
        <v>0</v>
      </c>
      <c r="X364" s="38">
        <v>30</v>
      </c>
      <c r="Y364" s="31">
        <v>1</v>
      </c>
      <c r="Z364" s="31">
        <v>0</v>
      </c>
      <c r="AA364" s="31" t="s">
        <v>185</v>
      </c>
      <c r="AB364" s="31" t="s">
        <v>220</v>
      </c>
      <c r="AC364" s="41">
        <f>IFERROR(LOOKUP(M364,打分卡!$F$7:$J$7,打分卡!$K$7:$O$7),1)</f>
        <v>2</v>
      </c>
      <c r="AD364" s="41">
        <f>IFERROR(LOOKUP(S364,打分卡!$F$8:$J$8,打分卡!$K$8:$O$8),1)</f>
        <v>1</v>
      </c>
      <c r="AE364" s="41">
        <f>IFERROR(LOOKUP(T364,打分卡!$F$9:$I$9,打分卡!$K$9:$N$9),1)</f>
        <v>2</v>
      </c>
      <c r="AF364" s="41">
        <f>IFERROR(LOOKUP(Q364,打分卡!$F$10:$J$10,打分卡!$K$10:$O$10),1)</f>
        <v>3</v>
      </c>
      <c r="AG364" s="41">
        <f>IFERROR(LOOKUP(R364,打分卡!$F$11:$J$11,打分卡!$K$11:$O$11),1)</f>
        <v>3</v>
      </c>
      <c r="AH364" s="41">
        <f>IFERROR(LOOKUP(U364,打分卡!$F$12:$J$12,打分卡!$K$12:$O$12),1)</f>
        <v>1</v>
      </c>
      <c r="AI364" s="41">
        <f>IFERROR(LOOKUP(X364,打分卡!$F$13:$J$13,打分卡!$K$13:$O$13),1)</f>
        <v>2</v>
      </c>
      <c r="AJ364" s="41">
        <f>IFERROR(LOOKUP(Y364,打分卡!$F$14:$J$14,打分卡!$K$14:$O$14),1)</f>
        <v>2</v>
      </c>
      <c r="AK364" s="41">
        <f>IFERROR(LOOKUP(W364,打分卡!$F$15:$J$15,打分卡!$K$15:$O$15),1)</f>
        <v>1</v>
      </c>
      <c r="AL364" s="43">
        <f t="shared" si="41"/>
        <v>3</v>
      </c>
      <c r="AM364" s="41">
        <f>IFERROR(LOOKUP(Z364,打分卡!$F$17:$H$17,打分卡!$K$17:$M$17),1)</f>
        <v>1</v>
      </c>
      <c r="AN364" s="44">
        <f>(打分卡!$D$7*AC364+打分卡!$D$8*AD364+打分卡!$D$9*AE364)/5</f>
        <v>14.4</v>
      </c>
      <c r="AO364" s="44">
        <f>(打分卡!$D$10*AF364+打分卡!$D$11*AG364)/5</f>
        <v>12</v>
      </c>
      <c r="AP364" s="44">
        <f>(打分卡!$D$12*AH364+打分卡!$D$13*AI364+打分卡!$D$14*AJ364+打分卡!$D$15*AK364)/5</f>
        <v>8.8</v>
      </c>
      <c r="AQ364" s="44">
        <f>(打分卡!$D$16*AL364+打分卡!$D$17*AM364)/5</f>
        <v>4.4</v>
      </c>
      <c r="AR364" s="47">
        <f t="shared" si="42"/>
        <v>39.6</v>
      </c>
      <c r="AS364" s="43" t="str">
        <f t="shared" si="43"/>
        <v>基础长尾</v>
      </c>
      <c r="AT364" s="43" t="str">
        <f t="shared" si="44"/>
        <v/>
      </c>
      <c r="AU364" s="43" t="str">
        <f t="shared" si="45"/>
        <v>激活：企微+Push低成本先跑</v>
      </c>
    </row>
    <row r="365" ht="15" customHeight="1" spans="1:47">
      <c r="A365" s="20" t="s">
        <v>1218</v>
      </c>
      <c r="B365" s="22" t="s">
        <v>1219</v>
      </c>
      <c r="C365" s="22" t="s">
        <v>189</v>
      </c>
      <c r="D365" s="22" t="s">
        <v>235</v>
      </c>
      <c r="E365" s="22" t="s">
        <v>197</v>
      </c>
      <c r="F365" s="20" t="s">
        <v>421</v>
      </c>
      <c r="G365" s="22">
        <v>22</v>
      </c>
      <c r="H365" s="22" t="s">
        <v>301</v>
      </c>
      <c r="I365" s="22" t="s">
        <v>302</v>
      </c>
      <c r="J365" s="36">
        <v>43600</v>
      </c>
      <c r="K365" s="36">
        <v>23300</v>
      </c>
      <c r="L365" s="36">
        <v>19900</v>
      </c>
      <c r="M365" s="36">
        <f t="shared" si="40"/>
        <v>86800</v>
      </c>
      <c r="N365" s="34">
        <f t="shared" si="46"/>
        <v>0.000455061139666023</v>
      </c>
      <c r="O365" s="35">
        <f>SUM($M$2:M365)</f>
        <v>169563800</v>
      </c>
      <c r="P365" s="34">
        <f t="shared" si="47"/>
        <v>0.888961936337576</v>
      </c>
      <c r="Q365" s="39">
        <v>11.5</v>
      </c>
      <c r="R365" s="22">
        <v>10</v>
      </c>
      <c r="S365" s="22">
        <v>1</v>
      </c>
      <c r="T365" s="22">
        <v>2</v>
      </c>
      <c r="U365" s="39">
        <v>1.4</v>
      </c>
      <c r="V365" s="22">
        <v>5</v>
      </c>
      <c r="W365" s="22">
        <v>2</v>
      </c>
      <c r="X365" s="40">
        <v>15</v>
      </c>
      <c r="Y365" s="22">
        <v>2</v>
      </c>
      <c r="Z365" s="22">
        <v>1</v>
      </c>
      <c r="AA365" s="22" t="s">
        <v>315</v>
      </c>
      <c r="AB365" s="22" t="s">
        <v>220</v>
      </c>
      <c r="AC365" s="42">
        <f>IFERROR(LOOKUP(M365,打分卡!$F$7:$J$7,打分卡!$K$7:$O$7),1)</f>
        <v>2</v>
      </c>
      <c r="AD365" s="42">
        <f>IFERROR(LOOKUP(S365,打分卡!$F$8:$J$8,打分卡!$K$8:$O$8),1)</f>
        <v>1</v>
      </c>
      <c r="AE365" s="42">
        <f>IFERROR(LOOKUP(T365,打分卡!$F$9:$I$9,打分卡!$K$9:$N$9),1)</f>
        <v>3</v>
      </c>
      <c r="AF365" s="42">
        <f>IFERROR(LOOKUP(Q365,打分卡!$F$10:$J$10,打分卡!$K$10:$O$10),1)</f>
        <v>3</v>
      </c>
      <c r="AG365" s="42">
        <f>IFERROR(LOOKUP(R365,打分卡!$F$11:$J$11,打分卡!$K$11:$O$11),1)</f>
        <v>4</v>
      </c>
      <c r="AH365" s="42">
        <f>IFERROR(LOOKUP(U365,打分卡!$F$12:$J$12,打分卡!$K$12:$O$12),1)</f>
        <v>1</v>
      </c>
      <c r="AI365" s="42">
        <f>IFERROR(LOOKUP(X365,打分卡!$F$13:$J$13,打分卡!$K$13:$O$13),1)</f>
        <v>1</v>
      </c>
      <c r="AJ365" s="42">
        <f>IFERROR(LOOKUP(Y365,打分卡!$F$14:$J$14,打分卡!$K$14:$O$14),1)</f>
        <v>3</v>
      </c>
      <c r="AK365" s="42">
        <f>IFERROR(LOOKUP(W365,打分卡!$F$15:$J$15,打分卡!$K$15:$O$15),1)</f>
        <v>2</v>
      </c>
      <c r="AL365" s="45">
        <f t="shared" si="41"/>
        <v>2</v>
      </c>
      <c r="AM365" s="42">
        <f>IFERROR(LOOKUP(Z365,打分卡!$F$17:$H$17,打分卡!$K$17:$M$17),1)</f>
        <v>3</v>
      </c>
      <c r="AN365" s="46">
        <f>(打分卡!$D$7*AC365+打分卡!$D$8*AD365+打分卡!$D$9*AE365)/5</f>
        <v>15.8</v>
      </c>
      <c r="AO365" s="46">
        <f>(打分卡!$D$10*AF365+打分卡!$D$11*AG365)/5</f>
        <v>14</v>
      </c>
      <c r="AP365" s="46">
        <f>(打分卡!$D$12*AH365+打分卡!$D$13*AI365+打分卡!$D$14*AJ365+打分卡!$D$15*AK365)/5</f>
        <v>9.2</v>
      </c>
      <c r="AQ365" s="46">
        <f>(打分卡!$D$16*AL365+打分卡!$D$17*AM365)/5</f>
        <v>4.8</v>
      </c>
      <c r="AR365" s="48">
        <f t="shared" si="42"/>
        <v>43.8</v>
      </c>
      <c r="AS365" s="45" t="str">
        <f t="shared" si="43"/>
        <v>腰部</v>
      </c>
      <c r="AT365" s="45" t="str">
        <f t="shared" si="44"/>
        <v/>
      </c>
      <c r="AU365" s="45" t="str">
        <f t="shared" si="45"/>
        <v>拉·主攻：主推AI外呼+大促作战包</v>
      </c>
    </row>
    <row r="366" ht="15" customHeight="1" spans="1:47">
      <c r="A366" s="30" t="s">
        <v>1220</v>
      </c>
      <c r="B366" s="31" t="s">
        <v>1221</v>
      </c>
      <c r="C366" s="31" t="s">
        <v>234</v>
      </c>
      <c r="D366" s="31" t="s">
        <v>202</v>
      </c>
      <c r="E366" s="31" t="s">
        <v>181</v>
      </c>
      <c r="F366" s="30" t="s">
        <v>505</v>
      </c>
      <c r="G366" s="31">
        <v>23</v>
      </c>
      <c r="H366" s="31" t="s">
        <v>301</v>
      </c>
      <c r="I366" s="31" t="s">
        <v>302</v>
      </c>
      <c r="J366" s="33">
        <v>50700</v>
      </c>
      <c r="K366" s="33">
        <v>30100</v>
      </c>
      <c r="L366" s="33">
        <v>5800</v>
      </c>
      <c r="M366" s="33">
        <f t="shared" si="40"/>
        <v>86600</v>
      </c>
      <c r="N366" s="34">
        <f t="shared" si="46"/>
        <v>0.000454012611694442</v>
      </c>
      <c r="O366" s="35">
        <f>SUM($M$2:M366)</f>
        <v>169650400</v>
      </c>
      <c r="P366" s="34">
        <f t="shared" si="47"/>
        <v>0.88941594894927</v>
      </c>
      <c r="Q366" s="37">
        <v>6.5</v>
      </c>
      <c r="R366" s="31">
        <v>3</v>
      </c>
      <c r="S366" s="31">
        <v>3</v>
      </c>
      <c r="T366" s="31">
        <v>1</v>
      </c>
      <c r="U366" s="37">
        <v>26</v>
      </c>
      <c r="V366" s="31">
        <v>23</v>
      </c>
      <c r="W366" s="31">
        <v>3</v>
      </c>
      <c r="X366" s="38">
        <v>52</v>
      </c>
      <c r="Y366" s="31">
        <v>1</v>
      </c>
      <c r="Z366" s="31">
        <v>1</v>
      </c>
      <c r="AA366" s="31" t="s">
        <v>185</v>
      </c>
      <c r="AB366" s="31" t="s">
        <v>220</v>
      </c>
      <c r="AC366" s="41">
        <f>IFERROR(LOOKUP(M366,打分卡!$F$7:$J$7,打分卡!$K$7:$O$7),1)</f>
        <v>2</v>
      </c>
      <c r="AD366" s="41">
        <f>IFERROR(LOOKUP(S366,打分卡!$F$8:$J$8,打分卡!$K$8:$O$8),1)</f>
        <v>3</v>
      </c>
      <c r="AE366" s="41">
        <f>IFERROR(LOOKUP(T366,打分卡!$F$9:$I$9,打分卡!$K$9:$N$9),1)</f>
        <v>2</v>
      </c>
      <c r="AF366" s="41">
        <f>IFERROR(LOOKUP(Q366,打分卡!$F$10:$J$10,打分卡!$K$10:$O$10),1)</f>
        <v>2</v>
      </c>
      <c r="AG366" s="41">
        <f>IFERROR(LOOKUP(R366,打分卡!$F$11:$J$11,打分卡!$K$11:$O$11),1)</f>
        <v>2</v>
      </c>
      <c r="AH366" s="41">
        <f>IFERROR(LOOKUP(U366,打分卡!$F$12:$J$12,打分卡!$K$12:$O$12),1)</f>
        <v>3</v>
      </c>
      <c r="AI366" s="41">
        <f>IFERROR(LOOKUP(X366,打分卡!$F$13:$J$13,打分卡!$K$13:$O$13),1)</f>
        <v>3</v>
      </c>
      <c r="AJ366" s="41">
        <f>IFERROR(LOOKUP(Y366,打分卡!$F$14:$J$14,打分卡!$K$14:$O$14),1)</f>
        <v>2</v>
      </c>
      <c r="AK366" s="41">
        <f>IFERROR(LOOKUP(W366,打分卡!$F$15:$J$15,打分卡!$K$15:$O$15),1)</f>
        <v>3</v>
      </c>
      <c r="AL366" s="43">
        <f t="shared" si="41"/>
        <v>3</v>
      </c>
      <c r="AM366" s="41">
        <f>IFERROR(LOOKUP(Z366,打分卡!$F$17:$H$17,打分卡!$K$17:$M$17),1)</f>
        <v>3</v>
      </c>
      <c r="AN366" s="44">
        <f>(打分卡!$D$7*AC366+打分卡!$D$8*AD366+打分卡!$D$9*AE366)/5</f>
        <v>17.6</v>
      </c>
      <c r="AO366" s="44">
        <f>(打分卡!$D$10*AF366+打分卡!$D$11*AG366)/5</f>
        <v>8</v>
      </c>
      <c r="AP366" s="44">
        <f>(打分卡!$D$12*AH366+打分卡!$D$13*AI366+打分卡!$D$14*AJ366+打分卡!$D$15*AK366)/5</f>
        <v>16.8</v>
      </c>
      <c r="AQ366" s="44">
        <f>(打分卡!$D$16*AL366+打分卡!$D$17*AM366)/5</f>
        <v>6</v>
      </c>
      <c r="AR366" s="47">
        <f t="shared" si="42"/>
        <v>48.4</v>
      </c>
      <c r="AS366" s="43" t="str">
        <f t="shared" si="43"/>
        <v>腰部</v>
      </c>
      <c r="AT366" s="43" t="str">
        <f t="shared" si="44"/>
        <v/>
      </c>
      <c r="AU366" s="43" t="str">
        <f t="shared" si="45"/>
        <v>拉·主攻：主推AI外呼+大促作战包</v>
      </c>
    </row>
    <row r="367" ht="15" customHeight="1" spans="1:47">
      <c r="A367" s="20" t="s">
        <v>1222</v>
      </c>
      <c r="B367" s="22" t="s">
        <v>1223</v>
      </c>
      <c r="C367" s="22" t="s">
        <v>189</v>
      </c>
      <c r="D367" s="22" t="s">
        <v>202</v>
      </c>
      <c r="E367" s="22" t="s">
        <v>181</v>
      </c>
      <c r="F367" s="20" t="s">
        <v>687</v>
      </c>
      <c r="G367" s="22">
        <v>23</v>
      </c>
      <c r="H367" s="22" t="s">
        <v>183</v>
      </c>
      <c r="I367" s="22" t="s">
        <v>184</v>
      </c>
      <c r="J367" s="36">
        <v>51100</v>
      </c>
      <c r="K367" s="36">
        <v>30600</v>
      </c>
      <c r="L367" s="36">
        <v>4600</v>
      </c>
      <c r="M367" s="36">
        <f t="shared" si="40"/>
        <v>86300</v>
      </c>
      <c r="N367" s="34">
        <f t="shared" si="46"/>
        <v>0.000452439819737071</v>
      </c>
      <c r="O367" s="35">
        <f>SUM($M$2:M367)</f>
        <v>169736700</v>
      </c>
      <c r="P367" s="34">
        <f t="shared" si="47"/>
        <v>0.889868388769007</v>
      </c>
      <c r="Q367" s="39">
        <v>12.2</v>
      </c>
      <c r="R367" s="22">
        <v>9</v>
      </c>
      <c r="S367" s="22">
        <v>1</v>
      </c>
      <c r="T367" s="22">
        <v>2</v>
      </c>
      <c r="U367" s="39">
        <v>35.8</v>
      </c>
      <c r="V367" s="22">
        <v>5</v>
      </c>
      <c r="W367" s="22">
        <v>1</v>
      </c>
      <c r="X367" s="40">
        <v>34</v>
      </c>
      <c r="Y367" s="22">
        <v>0</v>
      </c>
      <c r="Z367" s="22">
        <v>0</v>
      </c>
      <c r="AA367" s="22" t="s">
        <v>199</v>
      </c>
      <c r="AB367" s="22" t="s">
        <v>220</v>
      </c>
      <c r="AC367" s="42">
        <f>IFERROR(LOOKUP(M367,打分卡!$F$7:$J$7,打分卡!$K$7:$O$7),1)</f>
        <v>2</v>
      </c>
      <c r="AD367" s="42">
        <f>IFERROR(LOOKUP(S367,打分卡!$F$8:$J$8,打分卡!$K$8:$O$8),1)</f>
        <v>1</v>
      </c>
      <c r="AE367" s="42">
        <f>IFERROR(LOOKUP(T367,打分卡!$F$9:$I$9,打分卡!$K$9:$N$9),1)</f>
        <v>3</v>
      </c>
      <c r="AF367" s="42">
        <f>IFERROR(LOOKUP(Q367,打分卡!$F$10:$J$10,打分卡!$K$10:$O$10),1)</f>
        <v>3</v>
      </c>
      <c r="AG367" s="42">
        <f>IFERROR(LOOKUP(R367,打分卡!$F$11:$J$11,打分卡!$K$11:$O$11),1)</f>
        <v>4</v>
      </c>
      <c r="AH367" s="42">
        <f>IFERROR(LOOKUP(U367,打分卡!$F$12:$J$12,打分卡!$K$12:$O$12),1)</f>
        <v>4</v>
      </c>
      <c r="AI367" s="42">
        <f>IFERROR(LOOKUP(X367,打分卡!$F$13:$J$13,打分卡!$K$13:$O$13),1)</f>
        <v>2</v>
      </c>
      <c r="AJ367" s="42">
        <f>IFERROR(LOOKUP(Y367,打分卡!$F$14:$J$14,打分卡!$K$14:$O$14),1)</f>
        <v>1</v>
      </c>
      <c r="AK367" s="42">
        <f>IFERROR(LOOKUP(W367,打分卡!$F$15:$J$15,打分卡!$K$15:$O$15),1)</f>
        <v>2</v>
      </c>
      <c r="AL367" s="45">
        <f t="shared" si="41"/>
        <v>5</v>
      </c>
      <c r="AM367" s="42">
        <f>IFERROR(LOOKUP(Z367,打分卡!$F$17:$H$17,打分卡!$K$17:$M$17),1)</f>
        <v>1</v>
      </c>
      <c r="AN367" s="46">
        <f>(打分卡!$D$7*AC367+打分卡!$D$8*AD367+打分卡!$D$9*AE367)/5</f>
        <v>15.8</v>
      </c>
      <c r="AO367" s="46">
        <f>(打分卡!$D$10*AF367+打分卡!$D$11*AG367)/5</f>
        <v>14</v>
      </c>
      <c r="AP367" s="46">
        <f>(打分卡!$D$12*AH367+打分卡!$D$13*AI367+打分卡!$D$14*AJ367+打分卡!$D$15*AK367)/5</f>
        <v>15.6</v>
      </c>
      <c r="AQ367" s="46">
        <f>(打分卡!$D$16*AL367+打分卡!$D$17*AM367)/5</f>
        <v>6.8</v>
      </c>
      <c r="AR367" s="48">
        <f t="shared" si="42"/>
        <v>52.2</v>
      </c>
      <c r="AS367" s="45" t="str">
        <f t="shared" si="43"/>
        <v>腰部</v>
      </c>
      <c r="AT367" s="45" t="str">
        <f t="shared" si="44"/>
        <v/>
      </c>
      <c r="AU367" s="45" t="str">
        <f t="shared" si="45"/>
        <v>拉·主攻：主推AI外呼+大促作战包</v>
      </c>
    </row>
    <row r="368" ht="15" customHeight="1" spans="1:47">
      <c r="A368" s="30" t="s">
        <v>1224</v>
      </c>
      <c r="B368" s="31" t="s">
        <v>1225</v>
      </c>
      <c r="C368" s="31" t="s">
        <v>189</v>
      </c>
      <c r="D368" s="31" t="s">
        <v>202</v>
      </c>
      <c r="E368" s="31" t="s">
        <v>181</v>
      </c>
      <c r="F368" s="30" t="s">
        <v>1226</v>
      </c>
      <c r="G368" s="31">
        <v>8</v>
      </c>
      <c r="H368" s="31" t="s">
        <v>301</v>
      </c>
      <c r="I368" s="31" t="s">
        <v>302</v>
      </c>
      <c r="J368" s="33">
        <v>55700</v>
      </c>
      <c r="K368" s="33">
        <v>26100</v>
      </c>
      <c r="L368" s="33">
        <v>4300</v>
      </c>
      <c r="M368" s="33">
        <f t="shared" si="40"/>
        <v>86100</v>
      </c>
      <c r="N368" s="34">
        <f t="shared" si="46"/>
        <v>0.00045139129176549</v>
      </c>
      <c r="O368" s="35">
        <f>SUM($M$2:M368)</f>
        <v>169822800</v>
      </c>
      <c r="P368" s="34">
        <f t="shared" si="47"/>
        <v>0.890319780060773</v>
      </c>
      <c r="Q368" s="37">
        <v>12</v>
      </c>
      <c r="R368" s="31">
        <v>1</v>
      </c>
      <c r="S368" s="31">
        <v>3</v>
      </c>
      <c r="T368" s="31">
        <v>0</v>
      </c>
      <c r="U368" s="37">
        <v>3.3</v>
      </c>
      <c r="V368" s="31">
        <v>30</v>
      </c>
      <c r="W368" s="31">
        <v>1</v>
      </c>
      <c r="X368" s="38">
        <v>11</v>
      </c>
      <c r="Y368" s="31">
        <v>0</v>
      </c>
      <c r="Z368" s="31">
        <v>0</v>
      </c>
      <c r="AA368" s="31" t="s">
        <v>315</v>
      </c>
      <c r="AB368" s="31" t="s">
        <v>220</v>
      </c>
      <c r="AC368" s="41">
        <f>IFERROR(LOOKUP(M368,打分卡!$F$7:$J$7,打分卡!$K$7:$O$7),1)</f>
        <v>2</v>
      </c>
      <c r="AD368" s="41">
        <f>IFERROR(LOOKUP(S368,打分卡!$F$8:$J$8,打分卡!$K$8:$O$8),1)</f>
        <v>3</v>
      </c>
      <c r="AE368" s="41">
        <f>IFERROR(LOOKUP(T368,打分卡!$F$9:$I$9,打分卡!$K$9:$N$9),1)</f>
        <v>1</v>
      </c>
      <c r="AF368" s="41">
        <f>IFERROR(LOOKUP(Q368,打分卡!$F$10:$J$10,打分卡!$K$10:$O$10),1)</f>
        <v>3</v>
      </c>
      <c r="AG368" s="41">
        <f>IFERROR(LOOKUP(R368,打分卡!$F$11:$J$11,打分卡!$K$11:$O$11),1)</f>
        <v>1</v>
      </c>
      <c r="AH368" s="41">
        <f>IFERROR(LOOKUP(U368,打分卡!$F$12:$J$12,打分卡!$K$12:$O$12),1)</f>
        <v>2</v>
      </c>
      <c r="AI368" s="41">
        <f>IFERROR(LOOKUP(X368,打分卡!$F$13:$J$13,打分卡!$K$13:$O$13),1)</f>
        <v>1</v>
      </c>
      <c r="AJ368" s="41">
        <f>IFERROR(LOOKUP(Y368,打分卡!$F$14:$J$14,打分卡!$K$14:$O$14),1)</f>
        <v>1</v>
      </c>
      <c r="AK368" s="41">
        <f>IFERROR(LOOKUP(W368,打分卡!$F$15:$J$15,打分卡!$K$15:$O$15),1)</f>
        <v>2</v>
      </c>
      <c r="AL368" s="43">
        <f t="shared" si="41"/>
        <v>2</v>
      </c>
      <c r="AM368" s="41">
        <f>IFERROR(LOOKUP(Z368,打分卡!$F$17:$H$17,打分卡!$K$17:$M$17),1)</f>
        <v>1</v>
      </c>
      <c r="AN368" s="44">
        <f>(打分卡!$D$7*AC368+打分卡!$D$8*AD368+打分卡!$D$9*AE368)/5</f>
        <v>16.2</v>
      </c>
      <c r="AO368" s="44">
        <f>(打分卡!$D$10*AF368+打分卡!$D$11*AG368)/5</f>
        <v>8</v>
      </c>
      <c r="AP368" s="44">
        <f>(打分卡!$D$12*AH368+打分卡!$D$13*AI368+打分卡!$D$14*AJ368+打分卡!$D$15*AK368)/5</f>
        <v>9.2</v>
      </c>
      <c r="AQ368" s="44">
        <f>(打分卡!$D$16*AL368+打分卡!$D$17*AM368)/5</f>
        <v>3.2</v>
      </c>
      <c r="AR368" s="47">
        <f t="shared" si="42"/>
        <v>36.6</v>
      </c>
      <c r="AS368" s="43" t="str">
        <f t="shared" si="43"/>
        <v>基础长尾</v>
      </c>
      <c r="AT368" s="43" t="str">
        <f t="shared" si="44"/>
        <v/>
      </c>
      <c r="AU368" s="43" t="str">
        <f t="shared" si="45"/>
        <v>激活：企微+Push低成本先跑</v>
      </c>
    </row>
    <row r="369" ht="15" customHeight="1" spans="1:47">
      <c r="A369" s="20" t="s">
        <v>1227</v>
      </c>
      <c r="B369" s="22" t="s">
        <v>1228</v>
      </c>
      <c r="C369" s="22" t="s">
        <v>179</v>
      </c>
      <c r="D369" s="22" t="s">
        <v>196</v>
      </c>
      <c r="E369" s="22" t="s">
        <v>181</v>
      </c>
      <c r="F369" s="20" t="s">
        <v>1229</v>
      </c>
      <c r="G369" s="22">
        <v>11</v>
      </c>
      <c r="H369" s="22" t="s">
        <v>301</v>
      </c>
      <c r="I369" s="22" t="s">
        <v>302</v>
      </c>
      <c r="J369" s="36">
        <v>50200</v>
      </c>
      <c r="K369" s="36">
        <v>18500</v>
      </c>
      <c r="L369" s="36">
        <v>17000</v>
      </c>
      <c r="M369" s="36">
        <f t="shared" si="40"/>
        <v>85700</v>
      </c>
      <c r="N369" s="34">
        <f t="shared" si="46"/>
        <v>0.000449294235822329</v>
      </c>
      <c r="O369" s="35">
        <f>SUM($M$2:M369)</f>
        <v>169908500</v>
      </c>
      <c r="P369" s="34">
        <f t="shared" si="47"/>
        <v>0.890769074296595</v>
      </c>
      <c r="Q369" s="39">
        <v>6.8</v>
      </c>
      <c r="R369" s="22">
        <v>9</v>
      </c>
      <c r="S369" s="22">
        <v>1</v>
      </c>
      <c r="T369" s="22">
        <v>1</v>
      </c>
      <c r="U369" s="39">
        <v>19.7</v>
      </c>
      <c r="V369" s="22">
        <v>24</v>
      </c>
      <c r="W369" s="22">
        <v>2</v>
      </c>
      <c r="X369" s="40">
        <v>60</v>
      </c>
      <c r="Y369" s="22">
        <v>0</v>
      </c>
      <c r="Z369" s="22">
        <v>1</v>
      </c>
      <c r="AA369" s="22" t="s">
        <v>315</v>
      </c>
      <c r="AB369" s="22" t="s">
        <v>220</v>
      </c>
      <c r="AC369" s="42">
        <f>IFERROR(LOOKUP(M369,打分卡!$F$7:$J$7,打分卡!$K$7:$O$7),1)</f>
        <v>2</v>
      </c>
      <c r="AD369" s="42">
        <f>IFERROR(LOOKUP(S369,打分卡!$F$8:$J$8,打分卡!$K$8:$O$8),1)</f>
        <v>1</v>
      </c>
      <c r="AE369" s="42">
        <f>IFERROR(LOOKUP(T369,打分卡!$F$9:$I$9,打分卡!$K$9:$N$9),1)</f>
        <v>2</v>
      </c>
      <c r="AF369" s="42">
        <f>IFERROR(LOOKUP(Q369,打分卡!$F$10:$J$10,打分卡!$K$10:$O$10),1)</f>
        <v>2</v>
      </c>
      <c r="AG369" s="42">
        <f>IFERROR(LOOKUP(R369,打分卡!$F$11:$J$11,打分卡!$K$11:$O$11),1)</f>
        <v>4</v>
      </c>
      <c r="AH369" s="42">
        <f>IFERROR(LOOKUP(U369,打分卡!$F$12:$J$12,打分卡!$K$12:$O$12),1)</f>
        <v>3</v>
      </c>
      <c r="AI369" s="42">
        <f>IFERROR(LOOKUP(X369,打分卡!$F$13:$J$13,打分卡!$K$13:$O$13),1)</f>
        <v>3</v>
      </c>
      <c r="AJ369" s="42">
        <f>IFERROR(LOOKUP(Y369,打分卡!$F$14:$J$14,打分卡!$K$14:$O$14),1)</f>
        <v>1</v>
      </c>
      <c r="AK369" s="42">
        <f>IFERROR(LOOKUP(W369,打分卡!$F$15:$J$15,打分卡!$K$15:$O$15),1)</f>
        <v>2</v>
      </c>
      <c r="AL369" s="45">
        <f t="shared" si="41"/>
        <v>2</v>
      </c>
      <c r="AM369" s="42">
        <f>IFERROR(LOOKUP(Z369,打分卡!$F$17:$H$17,打分卡!$K$17:$M$17),1)</f>
        <v>3</v>
      </c>
      <c r="AN369" s="46">
        <f>(打分卡!$D$7*AC369+打分卡!$D$8*AD369+打分卡!$D$9*AE369)/5</f>
        <v>14.4</v>
      </c>
      <c r="AO369" s="46">
        <f>(打分卡!$D$10*AF369+打分卡!$D$11*AG369)/5</f>
        <v>12</v>
      </c>
      <c r="AP369" s="46">
        <f>(打分卡!$D$12*AH369+打分卡!$D$13*AI369+打分卡!$D$14*AJ369+打分卡!$D$15*AK369)/5</f>
        <v>14.8</v>
      </c>
      <c r="AQ369" s="46">
        <f>(打分卡!$D$16*AL369+打分卡!$D$17*AM369)/5</f>
        <v>4.8</v>
      </c>
      <c r="AR369" s="48">
        <f t="shared" si="42"/>
        <v>46</v>
      </c>
      <c r="AS369" s="45" t="str">
        <f t="shared" si="43"/>
        <v>腰部</v>
      </c>
      <c r="AT369" s="45" t="str">
        <f t="shared" si="44"/>
        <v/>
      </c>
      <c r="AU369" s="45" t="str">
        <f t="shared" si="45"/>
        <v>拉·主攻：主推AI外呼+大促作战包</v>
      </c>
    </row>
    <row r="370" ht="15" customHeight="1" spans="1:47">
      <c r="A370" s="30" t="s">
        <v>1230</v>
      </c>
      <c r="B370" s="31" t="s">
        <v>1231</v>
      </c>
      <c r="C370" s="31" t="s">
        <v>189</v>
      </c>
      <c r="D370" s="31" t="s">
        <v>235</v>
      </c>
      <c r="E370" s="31" t="s">
        <v>181</v>
      </c>
      <c r="F370" s="30" t="s">
        <v>1016</v>
      </c>
      <c r="G370" s="31">
        <v>19</v>
      </c>
      <c r="H370" s="31" t="s">
        <v>301</v>
      </c>
      <c r="I370" s="31" t="s">
        <v>184</v>
      </c>
      <c r="J370" s="33">
        <v>46900</v>
      </c>
      <c r="K370" s="33">
        <v>18400</v>
      </c>
      <c r="L370" s="33">
        <v>20000</v>
      </c>
      <c r="M370" s="33">
        <f t="shared" si="40"/>
        <v>85300</v>
      </c>
      <c r="N370" s="34">
        <f t="shared" si="46"/>
        <v>0.000447197179879168</v>
      </c>
      <c r="O370" s="35">
        <f>SUM($M$2:M370)</f>
        <v>169993800</v>
      </c>
      <c r="P370" s="34">
        <f t="shared" si="47"/>
        <v>0.891216271476474</v>
      </c>
      <c r="Q370" s="37">
        <v>10.5</v>
      </c>
      <c r="R370" s="31">
        <v>7</v>
      </c>
      <c r="S370" s="31">
        <v>1</v>
      </c>
      <c r="T370" s="31">
        <v>0</v>
      </c>
      <c r="U370" s="37">
        <v>15.2</v>
      </c>
      <c r="V370" s="31">
        <v>20</v>
      </c>
      <c r="W370" s="31">
        <v>1</v>
      </c>
      <c r="X370" s="38">
        <v>93</v>
      </c>
      <c r="Y370" s="31">
        <v>3</v>
      </c>
      <c r="Z370" s="31">
        <v>1</v>
      </c>
      <c r="AA370" s="31" t="s">
        <v>185</v>
      </c>
      <c r="AB370" s="31" t="s">
        <v>220</v>
      </c>
      <c r="AC370" s="41">
        <f>IFERROR(LOOKUP(M370,打分卡!$F$7:$J$7,打分卡!$K$7:$O$7),1)</f>
        <v>2</v>
      </c>
      <c r="AD370" s="41">
        <f>IFERROR(LOOKUP(S370,打分卡!$F$8:$J$8,打分卡!$K$8:$O$8),1)</f>
        <v>1</v>
      </c>
      <c r="AE370" s="41">
        <f>IFERROR(LOOKUP(T370,打分卡!$F$9:$I$9,打分卡!$K$9:$N$9),1)</f>
        <v>1</v>
      </c>
      <c r="AF370" s="41">
        <f>IFERROR(LOOKUP(Q370,打分卡!$F$10:$J$10,打分卡!$K$10:$O$10),1)</f>
        <v>3</v>
      </c>
      <c r="AG370" s="41">
        <f>IFERROR(LOOKUP(R370,打分卡!$F$11:$J$11,打分卡!$K$11:$O$11),1)</f>
        <v>3</v>
      </c>
      <c r="AH370" s="41">
        <f>IFERROR(LOOKUP(U370,打分卡!$F$12:$J$12,打分卡!$K$12:$O$12),1)</f>
        <v>3</v>
      </c>
      <c r="AI370" s="41">
        <f>IFERROR(LOOKUP(X370,打分卡!$F$13:$J$13,打分卡!$K$13:$O$13),1)</f>
        <v>4</v>
      </c>
      <c r="AJ370" s="41">
        <f>IFERROR(LOOKUP(Y370,打分卡!$F$14:$J$14,打分卡!$K$14:$O$14),1)</f>
        <v>4</v>
      </c>
      <c r="AK370" s="41">
        <f>IFERROR(LOOKUP(W370,打分卡!$F$15:$J$15,打分卡!$K$15:$O$15),1)</f>
        <v>2</v>
      </c>
      <c r="AL370" s="43">
        <f t="shared" si="41"/>
        <v>3</v>
      </c>
      <c r="AM370" s="41">
        <f>IFERROR(LOOKUP(Z370,打分卡!$F$17:$H$17,打分卡!$K$17:$M$17),1)</f>
        <v>3</v>
      </c>
      <c r="AN370" s="44">
        <f>(打分卡!$D$7*AC370+打分卡!$D$8*AD370+打分卡!$D$9*AE370)/5</f>
        <v>13</v>
      </c>
      <c r="AO370" s="44">
        <f>(打分卡!$D$10*AF370+打分卡!$D$11*AG370)/5</f>
        <v>12</v>
      </c>
      <c r="AP370" s="44">
        <f>(打分卡!$D$12*AH370+打分卡!$D$13*AI370+打分卡!$D$14*AJ370+打分卡!$D$15*AK370)/5</f>
        <v>20</v>
      </c>
      <c r="AQ370" s="44">
        <f>(打分卡!$D$16*AL370+打分卡!$D$17*AM370)/5</f>
        <v>6</v>
      </c>
      <c r="AR370" s="47">
        <f t="shared" si="42"/>
        <v>51</v>
      </c>
      <c r="AS370" s="43" t="str">
        <f t="shared" si="43"/>
        <v>腰部</v>
      </c>
      <c r="AT370" s="43" t="str">
        <f t="shared" si="44"/>
        <v/>
      </c>
      <c r="AU370" s="43" t="str">
        <f t="shared" si="45"/>
        <v>拉·主攻：主推AI外呼+大促作战包</v>
      </c>
    </row>
    <row r="371" ht="15" customHeight="1" spans="1:47">
      <c r="A371" s="20" t="s">
        <v>1232</v>
      </c>
      <c r="B371" s="22" t="s">
        <v>1233</v>
      </c>
      <c r="C371" s="22" t="s">
        <v>179</v>
      </c>
      <c r="D371" s="22" t="s">
        <v>196</v>
      </c>
      <c r="E371" s="22" t="s">
        <v>181</v>
      </c>
      <c r="F371" s="20" t="s">
        <v>879</v>
      </c>
      <c r="G371" s="22">
        <v>21</v>
      </c>
      <c r="H371" s="22" t="s">
        <v>301</v>
      </c>
      <c r="I371" s="22" t="s">
        <v>302</v>
      </c>
      <c r="J371" s="36">
        <v>46200</v>
      </c>
      <c r="K371" s="36">
        <v>20100</v>
      </c>
      <c r="L371" s="36">
        <v>18900</v>
      </c>
      <c r="M371" s="36">
        <f t="shared" si="40"/>
        <v>85200</v>
      </c>
      <c r="N371" s="34">
        <f t="shared" si="46"/>
        <v>0.000446672915893377</v>
      </c>
      <c r="O371" s="35">
        <f>SUM($M$2:M371)</f>
        <v>170079000</v>
      </c>
      <c r="P371" s="34">
        <f t="shared" si="47"/>
        <v>0.891662944392368</v>
      </c>
      <c r="Q371" s="39">
        <v>7.4</v>
      </c>
      <c r="R371" s="22">
        <v>3</v>
      </c>
      <c r="S371" s="22">
        <v>3</v>
      </c>
      <c r="T371" s="22">
        <v>0</v>
      </c>
      <c r="U371" s="39">
        <v>5.6</v>
      </c>
      <c r="V371" s="22">
        <v>6</v>
      </c>
      <c r="W371" s="22">
        <v>2</v>
      </c>
      <c r="X371" s="40">
        <v>10</v>
      </c>
      <c r="Y371" s="22">
        <v>3</v>
      </c>
      <c r="Z371" s="22">
        <v>1</v>
      </c>
      <c r="AA371" s="22" t="s">
        <v>185</v>
      </c>
      <c r="AB371" s="22" t="s">
        <v>220</v>
      </c>
      <c r="AC371" s="42">
        <f>IFERROR(LOOKUP(M371,打分卡!$F$7:$J$7,打分卡!$K$7:$O$7),1)</f>
        <v>2</v>
      </c>
      <c r="AD371" s="42">
        <f>IFERROR(LOOKUP(S371,打分卡!$F$8:$J$8,打分卡!$K$8:$O$8),1)</f>
        <v>3</v>
      </c>
      <c r="AE371" s="42">
        <f>IFERROR(LOOKUP(T371,打分卡!$F$9:$I$9,打分卡!$K$9:$N$9),1)</f>
        <v>1</v>
      </c>
      <c r="AF371" s="42">
        <f>IFERROR(LOOKUP(Q371,打分卡!$F$10:$J$10,打分卡!$K$10:$O$10),1)</f>
        <v>2</v>
      </c>
      <c r="AG371" s="42">
        <f>IFERROR(LOOKUP(R371,打分卡!$F$11:$J$11,打分卡!$K$11:$O$11),1)</f>
        <v>2</v>
      </c>
      <c r="AH371" s="42">
        <f>IFERROR(LOOKUP(U371,打分卡!$F$12:$J$12,打分卡!$K$12:$O$12),1)</f>
        <v>2</v>
      </c>
      <c r="AI371" s="42">
        <f>IFERROR(LOOKUP(X371,打分卡!$F$13:$J$13,打分卡!$K$13:$O$13),1)</f>
        <v>1</v>
      </c>
      <c r="AJ371" s="42">
        <f>IFERROR(LOOKUP(Y371,打分卡!$F$14:$J$14,打分卡!$K$14:$O$14),1)</f>
        <v>4</v>
      </c>
      <c r="AK371" s="42">
        <f>IFERROR(LOOKUP(W371,打分卡!$F$15:$J$15,打分卡!$K$15:$O$15),1)</f>
        <v>2</v>
      </c>
      <c r="AL371" s="45">
        <f t="shared" si="41"/>
        <v>3</v>
      </c>
      <c r="AM371" s="42">
        <f>IFERROR(LOOKUP(Z371,打分卡!$F$17:$H$17,打分卡!$K$17:$M$17),1)</f>
        <v>3</v>
      </c>
      <c r="AN371" s="46">
        <f>(打分卡!$D$7*AC371+打分卡!$D$8*AD371+打分卡!$D$9*AE371)/5</f>
        <v>16.2</v>
      </c>
      <c r="AO371" s="46">
        <f>(打分卡!$D$10*AF371+打分卡!$D$11*AG371)/5</f>
        <v>8</v>
      </c>
      <c r="AP371" s="46">
        <f>(打分卡!$D$12*AH371+打分卡!$D$13*AI371+打分卡!$D$14*AJ371+打分卡!$D$15*AK371)/5</f>
        <v>12.8</v>
      </c>
      <c r="AQ371" s="46">
        <f>(打分卡!$D$16*AL371+打分卡!$D$17*AM371)/5</f>
        <v>6</v>
      </c>
      <c r="AR371" s="48">
        <f t="shared" si="42"/>
        <v>43</v>
      </c>
      <c r="AS371" s="45" t="str">
        <f t="shared" si="43"/>
        <v>腰部</v>
      </c>
      <c r="AT371" s="45" t="str">
        <f t="shared" si="44"/>
        <v/>
      </c>
      <c r="AU371" s="45" t="str">
        <f t="shared" si="45"/>
        <v>拉·主攻：主推AI外呼+大促作战包</v>
      </c>
    </row>
    <row r="372" ht="15" customHeight="1" spans="1:47">
      <c r="A372" s="30" t="s">
        <v>1234</v>
      </c>
      <c r="B372" s="31" t="s">
        <v>1235</v>
      </c>
      <c r="C372" s="31" t="s">
        <v>218</v>
      </c>
      <c r="D372" s="31" t="s">
        <v>252</v>
      </c>
      <c r="E372" s="31" t="s">
        <v>197</v>
      </c>
      <c r="F372" s="30" t="s">
        <v>793</v>
      </c>
      <c r="G372" s="31">
        <v>11</v>
      </c>
      <c r="H372" s="31" t="s">
        <v>301</v>
      </c>
      <c r="I372" s="31" t="s">
        <v>184</v>
      </c>
      <c r="J372" s="33">
        <v>52000</v>
      </c>
      <c r="K372" s="33">
        <v>20900</v>
      </c>
      <c r="L372" s="33">
        <v>12100</v>
      </c>
      <c r="M372" s="33">
        <f t="shared" si="40"/>
        <v>85000</v>
      </c>
      <c r="N372" s="34">
        <f t="shared" si="46"/>
        <v>0.000445624387921797</v>
      </c>
      <c r="O372" s="35">
        <f>SUM($M$2:M372)</f>
        <v>170164000</v>
      </c>
      <c r="P372" s="34">
        <f t="shared" si="47"/>
        <v>0.892108568780289</v>
      </c>
      <c r="Q372" s="37">
        <v>12</v>
      </c>
      <c r="R372" s="31">
        <v>3</v>
      </c>
      <c r="S372" s="31">
        <v>2</v>
      </c>
      <c r="T372" s="31">
        <v>1</v>
      </c>
      <c r="U372" s="37">
        <v>9.8</v>
      </c>
      <c r="V372" s="31">
        <v>9</v>
      </c>
      <c r="W372" s="31">
        <v>1</v>
      </c>
      <c r="X372" s="38">
        <v>104</v>
      </c>
      <c r="Y372" s="31">
        <v>2</v>
      </c>
      <c r="Z372" s="31">
        <v>1</v>
      </c>
      <c r="AA372" s="31" t="s">
        <v>315</v>
      </c>
      <c r="AB372" s="31" t="s">
        <v>220</v>
      </c>
      <c r="AC372" s="41">
        <f>IFERROR(LOOKUP(M372,打分卡!$F$7:$J$7,打分卡!$K$7:$O$7),1)</f>
        <v>2</v>
      </c>
      <c r="AD372" s="41">
        <f>IFERROR(LOOKUP(S372,打分卡!$F$8:$J$8,打分卡!$K$8:$O$8),1)</f>
        <v>2</v>
      </c>
      <c r="AE372" s="41">
        <f>IFERROR(LOOKUP(T372,打分卡!$F$9:$I$9,打分卡!$K$9:$N$9),1)</f>
        <v>2</v>
      </c>
      <c r="AF372" s="41">
        <f>IFERROR(LOOKUP(Q372,打分卡!$F$10:$J$10,打分卡!$K$10:$O$10),1)</f>
        <v>3</v>
      </c>
      <c r="AG372" s="41">
        <f>IFERROR(LOOKUP(R372,打分卡!$F$11:$J$11,打分卡!$K$11:$O$11),1)</f>
        <v>2</v>
      </c>
      <c r="AH372" s="41">
        <f>IFERROR(LOOKUP(U372,打分卡!$F$12:$J$12,打分卡!$K$12:$O$12),1)</f>
        <v>2</v>
      </c>
      <c r="AI372" s="41">
        <f>IFERROR(LOOKUP(X372,打分卡!$F$13:$J$13,打分卡!$K$13:$O$13),1)</f>
        <v>4</v>
      </c>
      <c r="AJ372" s="41">
        <f>IFERROR(LOOKUP(Y372,打分卡!$F$14:$J$14,打分卡!$K$14:$O$14),1)</f>
        <v>3</v>
      </c>
      <c r="AK372" s="41">
        <f>IFERROR(LOOKUP(W372,打分卡!$F$15:$J$15,打分卡!$K$15:$O$15),1)</f>
        <v>2</v>
      </c>
      <c r="AL372" s="43">
        <f t="shared" si="41"/>
        <v>2</v>
      </c>
      <c r="AM372" s="41">
        <f>IFERROR(LOOKUP(Z372,打分卡!$F$17:$H$17,打分卡!$K$17:$M$17),1)</f>
        <v>3</v>
      </c>
      <c r="AN372" s="44">
        <f>(打分卡!$D$7*AC372+打分卡!$D$8*AD372+打分卡!$D$9*AE372)/5</f>
        <v>16</v>
      </c>
      <c r="AO372" s="44">
        <f>(打分卡!$D$10*AF372+打分卡!$D$11*AG372)/5</f>
        <v>10</v>
      </c>
      <c r="AP372" s="44">
        <f>(打分卡!$D$12*AH372+打分卡!$D$13*AI372+打分卡!$D$14*AJ372+打分卡!$D$15*AK372)/5</f>
        <v>16.4</v>
      </c>
      <c r="AQ372" s="44">
        <f>(打分卡!$D$16*AL372+打分卡!$D$17*AM372)/5</f>
        <v>4.8</v>
      </c>
      <c r="AR372" s="47">
        <f t="shared" si="42"/>
        <v>47.2</v>
      </c>
      <c r="AS372" s="43" t="str">
        <f t="shared" si="43"/>
        <v>腰部</v>
      </c>
      <c r="AT372" s="43" t="str">
        <f t="shared" si="44"/>
        <v/>
      </c>
      <c r="AU372" s="43" t="str">
        <f t="shared" si="45"/>
        <v>拉·主攻：主推AI外呼+大促作战包</v>
      </c>
    </row>
    <row r="373" ht="15" customHeight="1" spans="1:47">
      <c r="A373" s="20" t="s">
        <v>1236</v>
      </c>
      <c r="B373" s="22" t="s">
        <v>1237</v>
      </c>
      <c r="C373" s="22" t="s">
        <v>223</v>
      </c>
      <c r="D373" s="22" t="s">
        <v>227</v>
      </c>
      <c r="E373" s="22" t="s">
        <v>181</v>
      </c>
      <c r="F373" s="20" t="s">
        <v>505</v>
      </c>
      <c r="G373" s="22">
        <v>23</v>
      </c>
      <c r="H373" s="22" t="s">
        <v>301</v>
      </c>
      <c r="I373" s="22" t="s">
        <v>184</v>
      </c>
      <c r="J373" s="36">
        <v>40800</v>
      </c>
      <c r="K373" s="36">
        <v>31200</v>
      </c>
      <c r="L373" s="36">
        <v>12400</v>
      </c>
      <c r="M373" s="36">
        <f t="shared" si="40"/>
        <v>84400</v>
      </c>
      <c r="N373" s="34">
        <f t="shared" si="46"/>
        <v>0.000442478804007055</v>
      </c>
      <c r="O373" s="35">
        <f>SUM($M$2:M373)</f>
        <v>170248400</v>
      </c>
      <c r="P373" s="34">
        <f t="shared" si="47"/>
        <v>0.892551047584296</v>
      </c>
      <c r="Q373" s="39">
        <v>6.8</v>
      </c>
      <c r="R373" s="22">
        <v>10</v>
      </c>
      <c r="S373" s="22">
        <v>1</v>
      </c>
      <c r="T373" s="22">
        <v>1</v>
      </c>
      <c r="U373" s="39">
        <v>5</v>
      </c>
      <c r="V373" s="22">
        <v>25</v>
      </c>
      <c r="W373" s="22">
        <v>1</v>
      </c>
      <c r="X373" s="40">
        <v>20</v>
      </c>
      <c r="Y373" s="22">
        <v>0</v>
      </c>
      <c r="Z373" s="22">
        <v>1</v>
      </c>
      <c r="AA373" s="22" t="s">
        <v>199</v>
      </c>
      <c r="AB373" s="22" t="s">
        <v>220</v>
      </c>
      <c r="AC373" s="42">
        <f>IFERROR(LOOKUP(M373,打分卡!$F$7:$J$7,打分卡!$K$7:$O$7),1)</f>
        <v>2</v>
      </c>
      <c r="AD373" s="42">
        <f>IFERROR(LOOKUP(S373,打分卡!$F$8:$J$8,打分卡!$K$8:$O$8),1)</f>
        <v>1</v>
      </c>
      <c r="AE373" s="42">
        <f>IFERROR(LOOKUP(T373,打分卡!$F$9:$I$9,打分卡!$K$9:$N$9),1)</f>
        <v>2</v>
      </c>
      <c r="AF373" s="42">
        <f>IFERROR(LOOKUP(Q373,打分卡!$F$10:$J$10,打分卡!$K$10:$O$10),1)</f>
        <v>2</v>
      </c>
      <c r="AG373" s="42">
        <f>IFERROR(LOOKUP(R373,打分卡!$F$11:$J$11,打分卡!$K$11:$O$11),1)</f>
        <v>4</v>
      </c>
      <c r="AH373" s="42">
        <f>IFERROR(LOOKUP(U373,打分卡!$F$12:$J$12,打分卡!$K$12:$O$12),1)</f>
        <v>2</v>
      </c>
      <c r="AI373" s="42">
        <f>IFERROR(LOOKUP(X373,打分卡!$F$13:$J$13,打分卡!$K$13:$O$13),1)</f>
        <v>2</v>
      </c>
      <c r="AJ373" s="42">
        <f>IFERROR(LOOKUP(Y373,打分卡!$F$14:$J$14,打分卡!$K$14:$O$14),1)</f>
        <v>1</v>
      </c>
      <c r="AK373" s="42">
        <f>IFERROR(LOOKUP(W373,打分卡!$F$15:$J$15,打分卡!$K$15:$O$15),1)</f>
        <v>2</v>
      </c>
      <c r="AL373" s="45">
        <f t="shared" si="41"/>
        <v>5</v>
      </c>
      <c r="AM373" s="42">
        <f>IFERROR(LOOKUP(Z373,打分卡!$F$17:$H$17,打分卡!$K$17:$M$17),1)</f>
        <v>3</v>
      </c>
      <c r="AN373" s="46">
        <f>(打分卡!$D$7*AC373+打分卡!$D$8*AD373+打分卡!$D$9*AE373)/5</f>
        <v>14.4</v>
      </c>
      <c r="AO373" s="46">
        <f>(打分卡!$D$10*AF373+打分卡!$D$11*AG373)/5</f>
        <v>12</v>
      </c>
      <c r="AP373" s="46">
        <f>(打分卡!$D$12*AH373+打分卡!$D$13*AI373+打分卡!$D$14*AJ373+打分卡!$D$15*AK373)/5</f>
        <v>10.8</v>
      </c>
      <c r="AQ373" s="46">
        <f>(打分卡!$D$16*AL373+打分卡!$D$17*AM373)/5</f>
        <v>8.4</v>
      </c>
      <c r="AR373" s="48">
        <f t="shared" si="42"/>
        <v>45.6</v>
      </c>
      <c r="AS373" s="45" t="str">
        <f t="shared" si="43"/>
        <v>腰部</v>
      </c>
      <c r="AT373" s="45" t="str">
        <f t="shared" si="44"/>
        <v/>
      </c>
      <c r="AU373" s="45" t="str">
        <f t="shared" si="45"/>
        <v>拉·主攻：主推AI外呼+大促作战包</v>
      </c>
    </row>
    <row r="374" ht="15" customHeight="1" spans="1:47">
      <c r="A374" s="30" t="s">
        <v>1238</v>
      </c>
      <c r="B374" s="31" t="s">
        <v>1239</v>
      </c>
      <c r="C374" s="31" t="s">
        <v>209</v>
      </c>
      <c r="D374" s="31" t="s">
        <v>196</v>
      </c>
      <c r="E374" s="31" t="s">
        <v>197</v>
      </c>
      <c r="F374" s="30" t="s">
        <v>1240</v>
      </c>
      <c r="G374" s="31">
        <v>11</v>
      </c>
      <c r="H374" s="31" t="s">
        <v>301</v>
      </c>
      <c r="I374" s="31" t="s">
        <v>302</v>
      </c>
      <c r="J374" s="33">
        <v>49300</v>
      </c>
      <c r="K374" s="33">
        <v>25500</v>
      </c>
      <c r="L374" s="33">
        <v>9400</v>
      </c>
      <c r="M374" s="33">
        <f t="shared" si="40"/>
        <v>84200</v>
      </c>
      <c r="N374" s="34">
        <f t="shared" si="46"/>
        <v>0.000441430276035474</v>
      </c>
      <c r="O374" s="35">
        <f>SUM($M$2:M374)</f>
        <v>170332600</v>
      </c>
      <c r="P374" s="34">
        <f t="shared" si="47"/>
        <v>0.892992477860332</v>
      </c>
      <c r="Q374" s="37">
        <v>10.3</v>
      </c>
      <c r="R374" s="31">
        <v>2</v>
      </c>
      <c r="S374" s="31">
        <v>2</v>
      </c>
      <c r="T374" s="31">
        <v>1</v>
      </c>
      <c r="U374" s="37">
        <v>17.8</v>
      </c>
      <c r="V374" s="31">
        <v>23</v>
      </c>
      <c r="W374" s="31">
        <v>4</v>
      </c>
      <c r="X374" s="38">
        <v>79</v>
      </c>
      <c r="Y374" s="31">
        <v>0</v>
      </c>
      <c r="Z374" s="31">
        <v>1</v>
      </c>
      <c r="AA374" s="31" t="s">
        <v>315</v>
      </c>
      <c r="AB374" s="31" t="s">
        <v>220</v>
      </c>
      <c r="AC374" s="41">
        <f>IFERROR(LOOKUP(M374,打分卡!$F$7:$J$7,打分卡!$K$7:$O$7),1)</f>
        <v>2</v>
      </c>
      <c r="AD374" s="41">
        <f>IFERROR(LOOKUP(S374,打分卡!$F$8:$J$8,打分卡!$K$8:$O$8),1)</f>
        <v>2</v>
      </c>
      <c r="AE374" s="41">
        <f>IFERROR(LOOKUP(T374,打分卡!$F$9:$I$9,打分卡!$K$9:$N$9),1)</f>
        <v>2</v>
      </c>
      <c r="AF374" s="41">
        <f>IFERROR(LOOKUP(Q374,打分卡!$F$10:$J$10,打分卡!$K$10:$O$10),1)</f>
        <v>3</v>
      </c>
      <c r="AG374" s="41">
        <f>IFERROR(LOOKUP(R374,打分卡!$F$11:$J$11,打分卡!$K$11:$O$11),1)</f>
        <v>1</v>
      </c>
      <c r="AH374" s="41">
        <f>IFERROR(LOOKUP(U374,打分卡!$F$12:$J$12,打分卡!$K$12:$O$12),1)</f>
        <v>3</v>
      </c>
      <c r="AI374" s="41">
        <f>IFERROR(LOOKUP(X374,打分卡!$F$13:$J$13,打分卡!$K$13:$O$13),1)</f>
        <v>3</v>
      </c>
      <c r="AJ374" s="41">
        <f>IFERROR(LOOKUP(Y374,打分卡!$F$14:$J$14,打分卡!$K$14:$O$14),1)</f>
        <v>1</v>
      </c>
      <c r="AK374" s="41">
        <f>IFERROR(LOOKUP(W374,打分卡!$F$15:$J$15,打分卡!$K$15:$O$15),1)</f>
        <v>3</v>
      </c>
      <c r="AL374" s="43">
        <f t="shared" si="41"/>
        <v>2</v>
      </c>
      <c r="AM374" s="41">
        <f>IFERROR(LOOKUP(Z374,打分卡!$F$17:$H$17,打分卡!$K$17:$M$17),1)</f>
        <v>3</v>
      </c>
      <c r="AN374" s="44">
        <f>(打分卡!$D$7*AC374+打分卡!$D$8*AD374+打分卡!$D$9*AE374)/5</f>
        <v>16</v>
      </c>
      <c r="AO374" s="44">
        <f>(打分卡!$D$10*AF374+打分卡!$D$11*AG374)/5</f>
        <v>8</v>
      </c>
      <c r="AP374" s="44">
        <f>(打分卡!$D$12*AH374+打分卡!$D$13*AI374+打分卡!$D$14*AJ374+打分卡!$D$15*AK374)/5</f>
        <v>15.6</v>
      </c>
      <c r="AQ374" s="44">
        <f>(打分卡!$D$16*AL374+打分卡!$D$17*AM374)/5</f>
        <v>4.8</v>
      </c>
      <c r="AR374" s="47">
        <f t="shared" si="42"/>
        <v>44.4</v>
      </c>
      <c r="AS374" s="43" t="str">
        <f t="shared" si="43"/>
        <v>腰部</v>
      </c>
      <c r="AT374" s="43" t="str">
        <f t="shared" si="44"/>
        <v/>
      </c>
      <c r="AU374" s="43" t="str">
        <f t="shared" si="45"/>
        <v>拉·主攻：主推AI外呼+大促作战包</v>
      </c>
    </row>
    <row r="375" ht="15" customHeight="1" spans="1:47">
      <c r="A375" s="20" t="s">
        <v>1241</v>
      </c>
      <c r="B375" s="22" t="s">
        <v>1242</v>
      </c>
      <c r="C375" s="22" t="s">
        <v>189</v>
      </c>
      <c r="D375" s="22" t="s">
        <v>235</v>
      </c>
      <c r="E375" s="22" t="s">
        <v>181</v>
      </c>
      <c r="F375" s="20" t="s">
        <v>1243</v>
      </c>
      <c r="G375" s="22">
        <v>3</v>
      </c>
      <c r="H375" s="22" t="s">
        <v>301</v>
      </c>
      <c r="I375" s="22" t="s">
        <v>184</v>
      </c>
      <c r="J375" s="36">
        <v>50000</v>
      </c>
      <c r="K375" s="36">
        <v>26000</v>
      </c>
      <c r="L375" s="36">
        <v>8100</v>
      </c>
      <c r="M375" s="36">
        <f t="shared" si="40"/>
        <v>84100</v>
      </c>
      <c r="N375" s="34">
        <f t="shared" si="46"/>
        <v>0.000440906012049683</v>
      </c>
      <c r="O375" s="35">
        <f>SUM($M$2:M375)</f>
        <v>170416700</v>
      </c>
      <c r="P375" s="34">
        <f t="shared" si="47"/>
        <v>0.893433383872382</v>
      </c>
      <c r="Q375" s="39">
        <v>11.3</v>
      </c>
      <c r="R375" s="22">
        <v>4</v>
      </c>
      <c r="S375" s="22">
        <v>3</v>
      </c>
      <c r="T375" s="22">
        <v>0</v>
      </c>
      <c r="U375" s="39">
        <v>7.3</v>
      </c>
      <c r="V375" s="22">
        <v>4</v>
      </c>
      <c r="W375" s="22">
        <v>2</v>
      </c>
      <c r="X375" s="40">
        <v>20</v>
      </c>
      <c r="Y375" s="22">
        <v>3</v>
      </c>
      <c r="Z375" s="22">
        <v>1</v>
      </c>
      <c r="AA375" s="22" t="s">
        <v>199</v>
      </c>
      <c r="AB375" s="22" t="s">
        <v>220</v>
      </c>
      <c r="AC375" s="42">
        <f>IFERROR(LOOKUP(M375,打分卡!$F$7:$J$7,打分卡!$K$7:$O$7),1)</f>
        <v>2</v>
      </c>
      <c r="AD375" s="42">
        <f>IFERROR(LOOKUP(S375,打分卡!$F$8:$J$8,打分卡!$K$8:$O$8),1)</f>
        <v>3</v>
      </c>
      <c r="AE375" s="42">
        <f>IFERROR(LOOKUP(T375,打分卡!$F$9:$I$9,打分卡!$K$9:$N$9),1)</f>
        <v>1</v>
      </c>
      <c r="AF375" s="42">
        <f>IFERROR(LOOKUP(Q375,打分卡!$F$10:$J$10,打分卡!$K$10:$O$10),1)</f>
        <v>3</v>
      </c>
      <c r="AG375" s="42">
        <f>IFERROR(LOOKUP(R375,打分卡!$F$11:$J$11,打分卡!$K$11:$O$11),1)</f>
        <v>2</v>
      </c>
      <c r="AH375" s="42">
        <f>IFERROR(LOOKUP(U375,打分卡!$F$12:$J$12,打分卡!$K$12:$O$12),1)</f>
        <v>2</v>
      </c>
      <c r="AI375" s="42">
        <f>IFERROR(LOOKUP(X375,打分卡!$F$13:$J$13,打分卡!$K$13:$O$13),1)</f>
        <v>2</v>
      </c>
      <c r="AJ375" s="42">
        <f>IFERROR(LOOKUP(Y375,打分卡!$F$14:$J$14,打分卡!$K$14:$O$14),1)</f>
        <v>4</v>
      </c>
      <c r="AK375" s="42">
        <f>IFERROR(LOOKUP(W375,打分卡!$F$15:$J$15,打分卡!$K$15:$O$15),1)</f>
        <v>2</v>
      </c>
      <c r="AL375" s="45">
        <f t="shared" si="41"/>
        <v>5</v>
      </c>
      <c r="AM375" s="42">
        <f>IFERROR(LOOKUP(Z375,打分卡!$F$17:$H$17,打分卡!$K$17:$M$17),1)</f>
        <v>3</v>
      </c>
      <c r="AN375" s="46">
        <f>(打分卡!$D$7*AC375+打分卡!$D$8*AD375+打分卡!$D$9*AE375)/5</f>
        <v>16.2</v>
      </c>
      <c r="AO375" s="46">
        <f>(打分卡!$D$10*AF375+打分卡!$D$11*AG375)/5</f>
        <v>10</v>
      </c>
      <c r="AP375" s="46">
        <f>(打分卡!$D$12*AH375+打分卡!$D$13*AI375+打分卡!$D$14*AJ375+打分卡!$D$15*AK375)/5</f>
        <v>14.4</v>
      </c>
      <c r="AQ375" s="46">
        <f>(打分卡!$D$16*AL375+打分卡!$D$17*AM375)/5</f>
        <v>8.4</v>
      </c>
      <c r="AR375" s="48">
        <f t="shared" si="42"/>
        <v>49</v>
      </c>
      <c r="AS375" s="45" t="str">
        <f t="shared" si="43"/>
        <v>腰部</v>
      </c>
      <c r="AT375" s="45" t="str">
        <f t="shared" si="44"/>
        <v/>
      </c>
      <c r="AU375" s="45" t="str">
        <f t="shared" si="45"/>
        <v>拉·主攻：主推AI外呼+大促作战包</v>
      </c>
    </row>
    <row r="376" ht="15" customHeight="1" spans="1:47">
      <c r="A376" s="30" t="s">
        <v>1244</v>
      </c>
      <c r="B376" s="31" t="s">
        <v>1245</v>
      </c>
      <c r="C376" s="31" t="s">
        <v>239</v>
      </c>
      <c r="D376" s="31" t="s">
        <v>235</v>
      </c>
      <c r="E376" s="31" t="s">
        <v>181</v>
      </c>
      <c r="F376" s="30" t="s">
        <v>609</v>
      </c>
      <c r="G376" s="31">
        <v>16</v>
      </c>
      <c r="H376" s="31" t="s">
        <v>301</v>
      </c>
      <c r="I376" s="31" t="s">
        <v>302</v>
      </c>
      <c r="J376" s="33">
        <v>44900</v>
      </c>
      <c r="K376" s="33">
        <v>20900</v>
      </c>
      <c r="L376" s="33">
        <v>18100</v>
      </c>
      <c r="M376" s="33">
        <f t="shared" si="40"/>
        <v>83900</v>
      </c>
      <c r="N376" s="34">
        <f t="shared" si="46"/>
        <v>0.000439857484078103</v>
      </c>
      <c r="O376" s="35">
        <f>SUM($M$2:M376)</f>
        <v>170500600</v>
      </c>
      <c r="P376" s="34">
        <f t="shared" si="47"/>
        <v>0.89387324135646</v>
      </c>
      <c r="Q376" s="37">
        <v>11.7</v>
      </c>
      <c r="R376" s="31">
        <v>6</v>
      </c>
      <c r="S376" s="31">
        <v>3</v>
      </c>
      <c r="T376" s="31">
        <v>2</v>
      </c>
      <c r="U376" s="37">
        <v>5.8</v>
      </c>
      <c r="V376" s="31">
        <v>27</v>
      </c>
      <c r="W376" s="31">
        <v>0</v>
      </c>
      <c r="X376" s="38">
        <v>147</v>
      </c>
      <c r="Y376" s="31">
        <v>2</v>
      </c>
      <c r="Z376" s="31">
        <v>1</v>
      </c>
      <c r="AA376" s="31" t="s">
        <v>199</v>
      </c>
      <c r="AB376" s="31" t="s">
        <v>220</v>
      </c>
      <c r="AC376" s="41">
        <f>IFERROR(LOOKUP(M376,打分卡!$F$7:$J$7,打分卡!$K$7:$O$7),1)</f>
        <v>2</v>
      </c>
      <c r="AD376" s="41">
        <f>IFERROR(LOOKUP(S376,打分卡!$F$8:$J$8,打分卡!$K$8:$O$8),1)</f>
        <v>3</v>
      </c>
      <c r="AE376" s="41">
        <f>IFERROR(LOOKUP(T376,打分卡!$F$9:$I$9,打分卡!$K$9:$N$9),1)</f>
        <v>3</v>
      </c>
      <c r="AF376" s="41">
        <f>IFERROR(LOOKUP(Q376,打分卡!$F$10:$J$10,打分卡!$K$10:$O$10),1)</f>
        <v>3</v>
      </c>
      <c r="AG376" s="41">
        <f>IFERROR(LOOKUP(R376,打分卡!$F$11:$J$11,打分卡!$K$11:$O$11),1)</f>
        <v>3</v>
      </c>
      <c r="AH376" s="41">
        <f>IFERROR(LOOKUP(U376,打分卡!$F$12:$J$12,打分卡!$K$12:$O$12),1)</f>
        <v>2</v>
      </c>
      <c r="AI376" s="41">
        <f>IFERROR(LOOKUP(X376,打分卡!$F$13:$J$13,打分卡!$K$13:$O$13),1)</f>
        <v>4</v>
      </c>
      <c r="AJ376" s="41">
        <f>IFERROR(LOOKUP(Y376,打分卡!$F$14:$J$14,打分卡!$K$14:$O$14),1)</f>
        <v>3</v>
      </c>
      <c r="AK376" s="41">
        <f>IFERROR(LOOKUP(W376,打分卡!$F$15:$J$15,打分卡!$K$15:$O$15),1)</f>
        <v>1</v>
      </c>
      <c r="AL376" s="43">
        <f t="shared" si="41"/>
        <v>5</v>
      </c>
      <c r="AM376" s="41">
        <f>IFERROR(LOOKUP(Z376,打分卡!$F$17:$H$17,打分卡!$K$17:$M$17),1)</f>
        <v>3</v>
      </c>
      <c r="AN376" s="44">
        <f>(打分卡!$D$7*AC376+打分卡!$D$8*AD376+打分卡!$D$9*AE376)/5</f>
        <v>19</v>
      </c>
      <c r="AO376" s="44">
        <f>(打分卡!$D$10*AF376+打分卡!$D$11*AG376)/5</f>
        <v>12</v>
      </c>
      <c r="AP376" s="44">
        <f>(打分卡!$D$12*AH376+打分卡!$D$13*AI376+打分卡!$D$14*AJ376+打分卡!$D$15*AK376)/5</f>
        <v>15.6</v>
      </c>
      <c r="AQ376" s="44">
        <f>(打分卡!$D$16*AL376+打分卡!$D$17*AM376)/5</f>
        <v>8.4</v>
      </c>
      <c r="AR376" s="47">
        <f t="shared" si="42"/>
        <v>55</v>
      </c>
      <c r="AS376" s="43" t="str">
        <f t="shared" si="43"/>
        <v>腰部</v>
      </c>
      <c r="AT376" s="43" t="str">
        <f t="shared" si="44"/>
        <v/>
      </c>
      <c r="AU376" s="43" t="str">
        <f t="shared" si="45"/>
        <v>拉·主攻：主推AI外呼+大促作战包</v>
      </c>
    </row>
    <row r="377" ht="15" customHeight="1" spans="1:47">
      <c r="A377" s="20" t="s">
        <v>1246</v>
      </c>
      <c r="B377" s="22" t="s">
        <v>1247</v>
      </c>
      <c r="C377" s="22" t="s">
        <v>189</v>
      </c>
      <c r="D377" s="22" t="s">
        <v>196</v>
      </c>
      <c r="E377" s="22" t="s">
        <v>181</v>
      </c>
      <c r="F377" s="20" t="s">
        <v>1248</v>
      </c>
      <c r="G377" s="22">
        <v>7</v>
      </c>
      <c r="H377" s="22" t="s">
        <v>301</v>
      </c>
      <c r="I377" s="22" t="s">
        <v>302</v>
      </c>
      <c r="J377" s="36">
        <v>49300</v>
      </c>
      <c r="K377" s="36">
        <v>22700</v>
      </c>
      <c r="L377" s="36">
        <v>11800</v>
      </c>
      <c r="M377" s="36">
        <f t="shared" si="40"/>
        <v>83800</v>
      </c>
      <c r="N377" s="34">
        <f t="shared" si="46"/>
        <v>0.000439333220092312</v>
      </c>
      <c r="O377" s="35">
        <f>SUM($M$2:M377)</f>
        <v>170584400</v>
      </c>
      <c r="P377" s="34">
        <f t="shared" si="47"/>
        <v>0.894312574576552</v>
      </c>
      <c r="Q377" s="39">
        <v>8.7</v>
      </c>
      <c r="R377" s="22">
        <v>10</v>
      </c>
      <c r="S377" s="22">
        <v>2</v>
      </c>
      <c r="T377" s="22">
        <v>2</v>
      </c>
      <c r="U377" s="39">
        <v>1</v>
      </c>
      <c r="V377" s="22">
        <v>13</v>
      </c>
      <c r="W377" s="22">
        <v>1</v>
      </c>
      <c r="X377" s="40">
        <v>139</v>
      </c>
      <c r="Y377" s="22">
        <v>0</v>
      </c>
      <c r="Z377" s="22">
        <v>1</v>
      </c>
      <c r="AA377" s="22" t="s">
        <v>199</v>
      </c>
      <c r="AB377" s="22" t="s">
        <v>220</v>
      </c>
      <c r="AC377" s="42">
        <f>IFERROR(LOOKUP(M377,打分卡!$F$7:$J$7,打分卡!$K$7:$O$7),1)</f>
        <v>2</v>
      </c>
      <c r="AD377" s="42">
        <f>IFERROR(LOOKUP(S377,打分卡!$F$8:$J$8,打分卡!$K$8:$O$8),1)</f>
        <v>2</v>
      </c>
      <c r="AE377" s="42">
        <f>IFERROR(LOOKUP(T377,打分卡!$F$9:$I$9,打分卡!$K$9:$N$9),1)</f>
        <v>3</v>
      </c>
      <c r="AF377" s="42">
        <f>IFERROR(LOOKUP(Q377,打分卡!$F$10:$J$10,打分卡!$K$10:$O$10),1)</f>
        <v>2</v>
      </c>
      <c r="AG377" s="42">
        <f>IFERROR(LOOKUP(R377,打分卡!$F$11:$J$11,打分卡!$K$11:$O$11),1)</f>
        <v>4</v>
      </c>
      <c r="AH377" s="42">
        <f>IFERROR(LOOKUP(U377,打分卡!$F$12:$J$12,打分卡!$K$12:$O$12),1)</f>
        <v>1</v>
      </c>
      <c r="AI377" s="42">
        <f>IFERROR(LOOKUP(X377,打分卡!$F$13:$J$13,打分卡!$K$13:$O$13),1)</f>
        <v>4</v>
      </c>
      <c r="AJ377" s="42">
        <f>IFERROR(LOOKUP(Y377,打分卡!$F$14:$J$14,打分卡!$K$14:$O$14),1)</f>
        <v>1</v>
      </c>
      <c r="AK377" s="42">
        <f>IFERROR(LOOKUP(W377,打分卡!$F$15:$J$15,打分卡!$K$15:$O$15),1)</f>
        <v>2</v>
      </c>
      <c r="AL377" s="45">
        <f t="shared" si="41"/>
        <v>5</v>
      </c>
      <c r="AM377" s="42">
        <f>IFERROR(LOOKUP(Z377,打分卡!$F$17:$H$17,打分卡!$K$17:$M$17),1)</f>
        <v>3</v>
      </c>
      <c r="AN377" s="46">
        <f>(打分卡!$D$7*AC377+打分卡!$D$8*AD377+打分卡!$D$9*AE377)/5</f>
        <v>17.4</v>
      </c>
      <c r="AO377" s="46">
        <f>(打分卡!$D$10*AF377+打分卡!$D$11*AG377)/5</f>
        <v>12</v>
      </c>
      <c r="AP377" s="46">
        <f>(打分卡!$D$12*AH377+打分卡!$D$13*AI377+打分卡!$D$14*AJ377+打分卡!$D$15*AK377)/5</f>
        <v>11.6</v>
      </c>
      <c r="AQ377" s="46">
        <f>(打分卡!$D$16*AL377+打分卡!$D$17*AM377)/5</f>
        <v>8.4</v>
      </c>
      <c r="AR377" s="48">
        <f t="shared" si="42"/>
        <v>49.4</v>
      </c>
      <c r="AS377" s="45" t="str">
        <f t="shared" si="43"/>
        <v>腰部</v>
      </c>
      <c r="AT377" s="45" t="str">
        <f t="shared" si="44"/>
        <v/>
      </c>
      <c r="AU377" s="45" t="str">
        <f t="shared" si="45"/>
        <v>拉·主攻：主推AI外呼+大促作战包</v>
      </c>
    </row>
    <row r="378" ht="15" customHeight="1" spans="1:47">
      <c r="A378" s="30" t="s">
        <v>1249</v>
      </c>
      <c r="B378" s="31" t="s">
        <v>1250</v>
      </c>
      <c r="C378" s="31" t="s">
        <v>223</v>
      </c>
      <c r="D378" s="31" t="s">
        <v>202</v>
      </c>
      <c r="E378" s="31" t="s">
        <v>197</v>
      </c>
      <c r="F378" s="30" t="s">
        <v>1251</v>
      </c>
      <c r="G378" s="31">
        <v>7</v>
      </c>
      <c r="H378" s="31" t="s">
        <v>301</v>
      </c>
      <c r="I378" s="31" t="s">
        <v>184</v>
      </c>
      <c r="J378" s="33">
        <v>38000</v>
      </c>
      <c r="K378" s="33">
        <v>19200</v>
      </c>
      <c r="L378" s="33">
        <v>26300</v>
      </c>
      <c r="M378" s="33">
        <f t="shared" si="40"/>
        <v>83500</v>
      </c>
      <c r="N378" s="34">
        <f t="shared" si="46"/>
        <v>0.000437760428134941</v>
      </c>
      <c r="O378" s="35">
        <f>SUM($M$2:M378)</f>
        <v>170667900</v>
      </c>
      <c r="P378" s="34">
        <f t="shared" si="47"/>
        <v>0.894750335004687</v>
      </c>
      <c r="Q378" s="37">
        <v>5.5</v>
      </c>
      <c r="R378" s="31">
        <v>7</v>
      </c>
      <c r="S378" s="31">
        <v>3</v>
      </c>
      <c r="T378" s="31">
        <v>1</v>
      </c>
      <c r="U378" s="37">
        <v>4.8</v>
      </c>
      <c r="V378" s="31">
        <v>8</v>
      </c>
      <c r="W378" s="31">
        <v>4</v>
      </c>
      <c r="X378" s="38">
        <v>78</v>
      </c>
      <c r="Y378" s="31">
        <v>1</v>
      </c>
      <c r="Z378" s="31">
        <v>0</v>
      </c>
      <c r="AA378" s="31" t="s">
        <v>199</v>
      </c>
      <c r="AB378" s="31" t="s">
        <v>220</v>
      </c>
      <c r="AC378" s="41">
        <f>IFERROR(LOOKUP(M378,打分卡!$F$7:$J$7,打分卡!$K$7:$O$7),1)</f>
        <v>2</v>
      </c>
      <c r="AD378" s="41">
        <f>IFERROR(LOOKUP(S378,打分卡!$F$8:$J$8,打分卡!$K$8:$O$8),1)</f>
        <v>3</v>
      </c>
      <c r="AE378" s="41">
        <f>IFERROR(LOOKUP(T378,打分卡!$F$9:$I$9,打分卡!$K$9:$N$9),1)</f>
        <v>2</v>
      </c>
      <c r="AF378" s="41">
        <f>IFERROR(LOOKUP(Q378,打分卡!$F$10:$J$10,打分卡!$K$10:$O$10),1)</f>
        <v>2</v>
      </c>
      <c r="AG378" s="41">
        <f>IFERROR(LOOKUP(R378,打分卡!$F$11:$J$11,打分卡!$K$11:$O$11),1)</f>
        <v>3</v>
      </c>
      <c r="AH378" s="41">
        <f>IFERROR(LOOKUP(U378,打分卡!$F$12:$J$12,打分卡!$K$12:$O$12),1)</f>
        <v>2</v>
      </c>
      <c r="AI378" s="41">
        <f>IFERROR(LOOKUP(X378,打分卡!$F$13:$J$13,打分卡!$K$13:$O$13),1)</f>
        <v>3</v>
      </c>
      <c r="AJ378" s="41">
        <f>IFERROR(LOOKUP(Y378,打分卡!$F$14:$J$14,打分卡!$K$14:$O$14),1)</f>
        <v>2</v>
      </c>
      <c r="AK378" s="41">
        <f>IFERROR(LOOKUP(W378,打分卡!$F$15:$J$15,打分卡!$K$15:$O$15),1)</f>
        <v>3</v>
      </c>
      <c r="AL378" s="43">
        <f t="shared" si="41"/>
        <v>5</v>
      </c>
      <c r="AM378" s="41">
        <f>IFERROR(LOOKUP(Z378,打分卡!$F$17:$H$17,打分卡!$K$17:$M$17),1)</f>
        <v>1</v>
      </c>
      <c r="AN378" s="44">
        <f>(打分卡!$D$7*AC378+打分卡!$D$8*AD378+打分卡!$D$9*AE378)/5</f>
        <v>17.6</v>
      </c>
      <c r="AO378" s="44">
        <f>(打分卡!$D$10*AF378+打分卡!$D$11*AG378)/5</f>
        <v>10</v>
      </c>
      <c r="AP378" s="44">
        <f>(打分卡!$D$12*AH378+打分卡!$D$13*AI378+打分卡!$D$14*AJ378+打分卡!$D$15*AK378)/5</f>
        <v>14.4</v>
      </c>
      <c r="AQ378" s="44">
        <f>(打分卡!$D$16*AL378+打分卡!$D$17*AM378)/5</f>
        <v>6.8</v>
      </c>
      <c r="AR378" s="47">
        <f t="shared" si="42"/>
        <v>48.8</v>
      </c>
      <c r="AS378" s="43" t="str">
        <f t="shared" si="43"/>
        <v>腰部</v>
      </c>
      <c r="AT378" s="43" t="str">
        <f t="shared" si="44"/>
        <v/>
      </c>
      <c r="AU378" s="43" t="str">
        <f t="shared" si="45"/>
        <v>拉·主攻：主推AI外呼+大促作战包</v>
      </c>
    </row>
    <row r="379" ht="15" customHeight="1" spans="1:47">
      <c r="A379" s="20" t="s">
        <v>1252</v>
      </c>
      <c r="B379" s="22" t="s">
        <v>1253</v>
      </c>
      <c r="C379" s="22" t="s">
        <v>189</v>
      </c>
      <c r="D379" s="22" t="s">
        <v>196</v>
      </c>
      <c r="E379" s="22" t="s">
        <v>197</v>
      </c>
      <c r="F379" s="20" t="s">
        <v>911</v>
      </c>
      <c r="G379" s="22">
        <v>6</v>
      </c>
      <c r="H379" s="22" t="s">
        <v>301</v>
      </c>
      <c r="I379" s="22" t="s">
        <v>184</v>
      </c>
      <c r="J379" s="36">
        <v>50100</v>
      </c>
      <c r="K379" s="36">
        <v>20500</v>
      </c>
      <c r="L379" s="36">
        <v>12600</v>
      </c>
      <c r="M379" s="36">
        <f t="shared" si="40"/>
        <v>83200</v>
      </c>
      <c r="N379" s="34">
        <f t="shared" si="46"/>
        <v>0.00043618763617757</v>
      </c>
      <c r="O379" s="35">
        <f>SUM($M$2:M379)</f>
        <v>170751100</v>
      </c>
      <c r="P379" s="34">
        <f t="shared" si="47"/>
        <v>0.895186522640865</v>
      </c>
      <c r="Q379" s="39">
        <v>8.4</v>
      </c>
      <c r="R379" s="22">
        <v>5</v>
      </c>
      <c r="S379" s="22">
        <v>3</v>
      </c>
      <c r="T379" s="22">
        <v>0</v>
      </c>
      <c r="U379" s="39">
        <v>12.2</v>
      </c>
      <c r="V379" s="22">
        <v>30</v>
      </c>
      <c r="W379" s="22">
        <v>0</v>
      </c>
      <c r="X379" s="40">
        <v>128</v>
      </c>
      <c r="Y379" s="22">
        <v>3</v>
      </c>
      <c r="Z379" s="22">
        <v>0</v>
      </c>
      <c r="AA379" s="22" t="s">
        <v>199</v>
      </c>
      <c r="AB379" s="22" t="s">
        <v>220</v>
      </c>
      <c r="AC379" s="42">
        <f>IFERROR(LOOKUP(M379,打分卡!$F$7:$J$7,打分卡!$K$7:$O$7),1)</f>
        <v>2</v>
      </c>
      <c r="AD379" s="42">
        <f>IFERROR(LOOKUP(S379,打分卡!$F$8:$J$8,打分卡!$K$8:$O$8),1)</f>
        <v>3</v>
      </c>
      <c r="AE379" s="42">
        <f>IFERROR(LOOKUP(T379,打分卡!$F$9:$I$9,打分卡!$K$9:$N$9),1)</f>
        <v>1</v>
      </c>
      <c r="AF379" s="42">
        <f>IFERROR(LOOKUP(Q379,打分卡!$F$10:$J$10,打分卡!$K$10:$O$10),1)</f>
        <v>2</v>
      </c>
      <c r="AG379" s="42">
        <f>IFERROR(LOOKUP(R379,打分卡!$F$11:$J$11,打分卡!$K$11:$O$11),1)</f>
        <v>3</v>
      </c>
      <c r="AH379" s="42">
        <f>IFERROR(LOOKUP(U379,打分卡!$F$12:$J$12,打分卡!$K$12:$O$12),1)</f>
        <v>3</v>
      </c>
      <c r="AI379" s="42">
        <f>IFERROR(LOOKUP(X379,打分卡!$F$13:$J$13,打分卡!$K$13:$O$13),1)</f>
        <v>4</v>
      </c>
      <c r="AJ379" s="42">
        <f>IFERROR(LOOKUP(Y379,打分卡!$F$14:$J$14,打分卡!$K$14:$O$14),1)</f>
        <v>4</v>
      </c>
      <c r="AK379" s="42">
        <f>IFERROR(LOOKUP(W379,打分卡!$F$15:$J$15,打分卡!$K$15:$O$15),1)</f>
        <v>1</v>
      </c>
      <c r="AL379" s="45">
        <f t="shared" si="41"/>
        <v>5</v>
      </c>
      <c r="AM379" s="42">
        <f>IFERROR(LOOKUP(Z379,打分卡!$F$17:$H$17,打分卡!$K$17:$M$17),1)</f>
        <v>1</v>
      </c>
      <c r="AN379" s="46">
        <f>(打分卡!$D$7*AC379+打分卡!$D$8*AD379+打分卡!$D$9*AE379)/5</f>
        <v>16.2</v>
      </c>
      <c r="AO379" s="46">
        <f>(打分卡!$D$10*AF379+打分卡!$D$11*AG379)/5</f>
        <v>10</v>
      </c>
      <c r="AP379" s="46">
        <f>(打分卡!$D$12*AH379+打分卡!$D$13*AI379+打分卡!$D$14*AJ379+打分卡!$D$15*AK379)/5</f>
        <v>19.2</v>
      </c>
      <c r="AQ379" s="46">
        <f>(打分卡!$D$16*AL379+打分卡!$D$17*AM379)/5</f>
        <v>6.8</v>
      </c>
      <c r="AR379" s="48">
        <f t="shared" si="42"/>
        <v>52.2</v>
      </c>
      <c r="AS379" s="45" t="str">
        <f t="shared" si="43"/>
        <v>腰部</v>
      </c>
      <c r="AT379" s="45" t="str">
        <f t="shared" si="44"/>
        <v/>
      </c>
      <c r="AU379" s="45" t="str">
        <f t="shared" si="45"/>
        <v>拉·主攻：主推AI外呼+大促作战包</v>
      </c>
    </row>
    <row r="380" ht="15" customHeight="1" spans="1:47">
      <c r="A380" s="30" t="s">
        <v>1254</v>
      </c>
      <c r="B380" s="31" t="s">
        <v>1255</v>
      </c>
      <c r="C380" s="31" t="s">
        <v>189</v>
      </c>
      <c r="D380" s="31" t="s">
        <v>190</v>
      </c>
      <c r="E380" s="31" t="s">
        <v>181</v>
      </c>
      <c r="F380" s="30" t="s">
        <v>1256</v>
      </c>
      <c r="G380" s="31">
        <v>9</v>
      </c>
      <c r="H380" s="31" t="s">
        <v>301</v>
      </c>
      <c r="I380" s="31" t="s">
        <v>302</v>
      </c>
      <c r="J380" s="33">
        <v>44100</v>
      </c>
      <c r="K380" s="33">
        <v>20600</v>
      </c>
      <c r="L380" s="33">
        <v>18400</v>
      </c>
      <c r="M380" s="33">
        <f t="shared" si="40"/>
        <v>83100</v>
      </c>
      <c r="N380" s="34">
        <f t="shared" si="46"/>
        <v>0.00043566337219178</v>
      </c>
      <c r="O380" s="35">
        <f>SUM($M$2:M380)</f>
        <v>170834200</v>
      </c>
      <c r="P380" s="34">
        <f t="shared" si="47"/>
        <v>0.895622186013056</v>
      </c>
      <c r="Q380" s="37">
        <v>10.6</v>
      </c>
      <c r="R380" s="31">
        <v>3</v>
      </c>
      <c r="S380" s="31">
        <v>2</v>
      </c>
      <c r="T380" s="31">
        <v>1</v>
      </c>
      <c r="U380" s="37">
        <v>3.2</v>
      </c>
      <c r="V380" s="31">
        <v>14</v>
      </c>
      <c r="W380" s="31">
        <v>2</v>
      </c>
      <c r="X380" s="38">
        <v>108</v>
      </c>
      <c r="Y380" s="31">
        <v>0</v>
      </c>
      <c r="Z380" s="31">
        <v>0</v>
      </c>
      <c r="AA380" s="31" t="s">
        <v>199</v>
      </c>
      <c r="AB380" s="31" t="s">
        <v>220</v>
      </c>
      <c r="AC380" s="41">
        <f>IFERROR(LOOKUP(M380,打分卡!$F$7:$J$7,打分卡!$K$7:$O$7),1)</f>
        <v>2</v>
      </c>
      <c r="AD380" s="41">
        <f>IFERROR(LOOKUP(S380,打分卡!$F$8:$J$8,打分卡!$K$8:$O$8),1)</f>
        <v>2</v>
      </c>
      <c r="AE380" s="41">
        <f>IFERROR(LOOKUP(T380,打分卡!$F$9:$I$9,打分卡!$K$9:$N$9),1)</f>
        <v>2</v>
      </c>
      <c r="AF380" s="41">
        <f>IFERROR(LOOKUP(Q380,打分卡!$F$10:$J$10,打分卡!$K$10:$O$10),1)</f>
        <v>3</v>
      </c>
      <c r="AG380" s="41">
        <f>IFERROR(LOOKUP(R380,打分卡!$F$11:$J$11,打分卡!$K$11:$O$11),1)</f>
        <v>2</v>
      </c>
      <c r="AH380" s="41">
        <f>IFERROR(LOOKUP(U380,打分卡!$F$12:$J$12,打分卡!$K$12:$O$12),1)</f>
        <v>2</v>
      </c>
      <c r="AI380" s="41">
        <f>IFERROR(LOOKUP(X380,打分卡!$F$13:$J$13,打分卡!$K$13:$O$13),1)</f>
        <v>4</v>
      </c>
      <c r="AJ380" s="41">
        <f>IFERROR(LOOKUP(Y380,打分卡!$F$14:$J$14,打分卡!$K$14:$O$14),1)</f>
        <v>1</v>
      </c>
      <c r="AK380" s="41">
        <f>IFERROR(LOOKUP(W380,打分卡!$F$15:$J$15,打分卡!$K$15:$O$15),1)</f>
        <v>2</v>
      </c>
      <c r="AL380" s="43">
        <f t="shared" si="41"/>
        <v>5</v>
      </c>
      <c r="AM380" s="41">
        <f>IFERROR(LOOKUP(Z380,打分卡!$F$17:$H$17,打分卡!$K$17:$M$17),1)</f>
        <v>1</v>
      </c>
      <c r="AN380" s="44">
        <f>(打分卡!$D$7*AC380+打分卡!$D$8*AD380+打分卡!$D$9*AE380)/5</f>
        <v>16</v>
      </c>
      <c r="AO380" s="44">
        <f>(打分卡!$D$10*AF380+打分卡!$D$11*AG380)/5</f>
        <v>10</v>
      </c>
      <c r="AP380" s="44">
        <f>(打分卡!$D$12*AH380+打分卡!$D$13*AI380+打分卡!$D$14*AJ380+打分卡!$D$15*AK380)/5</f>
        <v>14</v>
      </c>
      <c r="AQ380" s="44">
        <f>(打分卡!$D$16*AL380+打分卡!$D$17*AM380)/5</f>
        <v>6.8</v>
      </c>
      <c r="AR380" s="47">
        <f t="shared" si="42"/>
        <v>46.8</v>
      </c>
      <c r="AS380" s="43" t="str">
        <f t="shared" si="43"/>
        <v>腰部</v>
      </c>
      <c r="AT380" s="43" t="str">
        <f t="shared" si="44"/>
        <v/>
      </c>
      <c r="AU380" s="43" t="str">
        <f t="shared" si="45"/>
        <v>拉·主攻：主推AI外呼+大促作战包</v>
      </c>
    </row>
    <row r="381" ht="15" customHeight="1" spans="1:47">
      <c r="A381" s="20" t="s">
        <v>1257</v>
      </c>
      <c r="B381" s="22" t="s">
        <v>1258</v>
      </c>
      <c r="C381" s="22" t="s">
        <v>223</v>
      </c>
      <c r="D381" s="22" t="s">
        <v>190</v>
      </c>
      <c r="E381" s="22" t="s">
        <v>181</v>
      </c>
      <c r="F381" s="20" t="s">
        <v>1259</v>
      </c>
      <c r="G381" s="22">
        <v>6</v>
      </c>
      <c r="H381" s="22" t="s">
        <v>301</v>
      </c>
      <c r="I381" s="22" t="s">
        <v>302</v>
      </c>
      <c r="J381" s="36">
        <v>40400</v>
      </c>
      <c r="K381" s="36">
        <v>21100</v>
      </c>
      <c r="L381" s="36">
        <v>21100</v>
      </c>
      <c r="M381" s="36">
        <f t="shared" si="40"/>
        <v>82600</v>
      </c>
      <c r="N381" s="34">
        <f t="shared" si="46"/>
        <v>0.000433042052262828</v>
      </c>
      <c r="O381" s="35">
        <f>SUM($M$2:M381)</f>
        <v>170916800</v>
      </c>
      <c r="P381" s="34">
        <f t="shared" si="47"/>
        <v>0.896055228065319</v>
      </c>
      <c r="Q381" s="39">
        <v>10.4</v>
      </c>
      <c r="R381" s="22">
        <v>8</v>
      </c>
      <c r="S381" s="22">
        <v>1</v>
      </c>
      <c r="T381" s="22">
        <v>0</v>
      </c>
      <c r="U381" s="39">
        <v>7.2</v>
      </c>
      <c r="V381" s="22">
        <v>21</v>
      </c>
      <c r="W381" s="22">
        <v>3</v>
      </c>
      <c r="X381" s="40">
        <v>143</v>
      </c>
      <c r="Y381" s="22">
        <v>3</v>
      </c>
      <c r="Z381" s="22">
        <v>1</v>
      </c>
      <c r="AA381" s="22" t="s">
        <v>315</v>
      </c>
      <c r="AB381" s="22" t="s">
        <v>220</v>
      </c>
      <c r="AC381" s="42">
        <f>IFERROR(LOOKUP(M381,打分卡!$F$7:$J$7,打分卡!$K$7:$O$7),1)</f>
        <v>2</v>
      </c>
      <c r="AD381" s="42">
        <f>IFERROR(LOOKUP(S381,打分卡!$F$8:$J$8,打分卡!$K$8:$O$8),1)</f>
        <v>1</v>
      </c>
      <c r="AE381" s="42">
        <f>IFERROR(LOOKUP(T381,打分卡!$F$9:$I$9,打分卡!$K$9:$N$9),1)</f>
        <v>1</v>
      </c>
      <c r="AF381" s="42">
        <f>IFERROR(LOOKUP(Q381,打分卡!$F$10:$J$10,打分卡!$K$10:$O$10),1)</f>
        <v>3</v>
      </c>
      <c r="AG381" s="42">
        <f>IFERROR(LOOKUP(R381,打分卡!$F$11:$J$11,打分卡!$K$11:$O$11),1)</f>
        <v>3</v>
      </c>
      <c r="AH381" s="42">
        <f>IFERROR(LOOKUP(U381,打分卡!$F$12:$J$12,打分卡!$K$12:$O$12),1)</f>
        <v>2</v>
      </c>
      <c r="AI381" s="42">
        <f>IFERROR(LOOKUP(X381,打分卡!$F$13:$J$13,打分卡!$K$13:$O$13),1)</f>
        <v>4</v>
      </c>
      <c r="AJ381" s="42">
        <f>IFERROR(LOOKUP(Y381,打分卡!$F$14:$J$14,打分卡!$K$14:$O$14),1)</f>
        <v>4</v>
      </c>
      <c r="AK381" s="42">
        <f>IFERROR(LOOKUP(W381,打分卡!$F$15:$J$15,打分卡!$K$15:$O$15),1)</f>
        <v>3</v>
      </c>
      <c r="AL381" s="45">
        <f t="shared" si="41"/>
        <v>2</v>
      </c>
      <c r="AM381" s="42">
        <f>IFERROR(LOOKUP(Z381,打分卡!$F$17:$H$17,打分卡!$K$17:$M$17),1)</f>
        <v>3</v>
      </c>
      <c r="AN381" s="46">
        <f>(打分卡!$D$7*AC381+打分卡!$D$8*AD381+打分卡!$D$9*AE381)/5</f>
        <v>13</v>
      </c>
      <c r="AO381" s="46">
        <f>(打分卡!$D$10*AF381+打分卡!$D$11*AG381)/5</f>
        <v>12</v>
      </c>
      <c r="AP381" s="46">
        <f>(打分卡!$D$12*AH381+打分卡!$D$13*AI381+打分卡!$D$14*AJ381+打分卡!$D$15*AK381)/5</f>
        <v>18.4</v>
      </c>
      <c r="AQ381" s="46">
        <f>(打分卡!$D$16*AL381+打分卡!$D$17*AM381)/5</f>
        <v>4.8</v>
      </c>
      <c r="AR381" s="48">
        <f t="shared" si="42"/>
        <v>48.2</v>
      </c>
      <c r="AS381" s="45" t="str">
        <f t="shared" si="43"/>
        <v>腰部</v>
      </c>
      <c r="AT381" s="45" t="str">
        <f t="shared" si="44"/>
        <v/>
      </c>
      <c r="AU381" s="45" t="str">
        <f t="shared" si="45"/>
        <v>拉·主攻：主推AI外呼+大促作战包</v>
      </c>
    </row>
    <row r="382" ht="15" customHeight="1" spans="1:47">
      <c r="A382" s="30" t="s">
        <v>1260</v>
      </c>
      <c r="B382" s="31" t="s">
        <v>1261</v>
      </c>
      <c r="C382" s="31" t="s">
        <v>223</v>
      </c>
      <c r="D382" s="31" t="s">
        <v>196</v>
      </c>
      <c r="E382" s="31" t="s">
        <v>197</v>
      </c>
      <c r="F382" s="30" t="s">
        <v>1262</v>
      </c>
      <c r="G382" s="31">
        <v>16</v>
      </c>
      <c r="H382" s="31" t="s">
        <v>183</v>
      </c>
      <c r="I382" s="31" t="s">
        <v>302</v>
      </c>
      <c r="J382" s="33">
        <v>52300</v>
      </c>
      <c r="K382" s="33">
        <v>25000</v>
      </c>
      <c r="L382" s="33">
        <v>4100</v>
      </c>
      <c r="M382" s="33">
        <f t="shared" si="40"/>
        <v>81400</v>
      </c>
      <c r="N382" s="34">
        <f t="shared" si="46"/>
        <v>0.000426750884433344</v>
      </c>
      <c r="O382" s="35">
        <f>SUM($M$2:M382)</f>
        <v>170998200</v>
      </c>
      <c r="P382" s="34">
        <f t="shared" si="47"/>
        <v>0.896481978949752</v>
      </c>
      <c r="Q382" s="37">
        <v>10</v>
      </c>
      <c r="R382" s="31">
        <v>1</v>
      </c>
      <c r="S382" s="31">
        <v>2</v>
      </c>
      <c r="T382" s="31">
        <v>1</v>
      </c>
      <c r="U382" s="37">
        <v>2.5</v>
      </c>
      <c r="V382" s="31">
        <v>29</v>
      </c>
      <c r="W382" s="31">
        <v>3</v>
      </c>
      <c r="X382" s="38">
        <v>50</v>
      </c>
      <c r="Y382" s="31">
        <v>3</v>
      </c>
      <c r="Z382" s="31">
        <v>1</v>
      </c>
      <c r="AA382" s="31" t="s">
        <v>315</v>
      </c>
      <c r="AB382" s="31" t="s">
        <v>220</v>
      </c>
      <c r="AC382" s="41">
        <f>IFERROR(LOOKUP(M382,打分卡!$F$7:$J$7,打分卡!$K$7:$O$7),1)</f>
        <v>2</v>
      </c>
      <c r="AD382" s="41">
        <f>IFERROR(LOOKUP(S382,打分卡!$F$8:$J$8,打分卡!$K$8:$O$8),1)</f>
        <v>2</v>
      </c>
      <c r="AE382" s="41">
        <f>IFERROR(LOOKUP(T382,打分卡!$F$9:$I$9,打分卡!$K$9:$N$9),1)</f>
        <v>2</v>
      </c>
      <c r="AF382" s="41">
        <f>IFERROR(LOOKUP(Q382,打分卡!$F$10:$J$10,打分卡!$K$10:$O$10),1)</f>
        <v>3</v>
      </c>
      <c r="AG382" s="41">
        <f>IFERROR(LOOKUP(R382,打分卡!$F$11:$J$11,打分卡!$K$11:$O$11),1)</f>
        <v>1</v>
      </c>
      <c r="AH382" s="41">
        <f>IFERROR(LOOKUP(U382,打分卡!$F$12:$J$12,打分卡!$K$12:$O$12),1)</f>
        <v>1</v>
      </c>
      <c r="AI382" s="41">
        <f>IFERROR(LOOKUP(X382,打分卡!$F$13:$J$13,打分卡!$K$13:$O$13),1)</f>
        <v>3</v>
      </c>
      <c r="AJ382" s="41">
        <f>IFERROR(LOOKUP(Y382,打分卡!$F$14:$J$14,打分卡!$K$14:$O$14),1)</f>
        <v>4</v>
      </c>
      <c r="AK382" s="41">
        <f>IFERROR(LOOKUP(W382,打分卡!$F$15:$J$15,打分卡!$K$15:$O$15),1)</f>
        <v>3</v>
      </c>
      <c r="AL382" s="43">
        <f t="shared" si="41"/>
        <v>2</v>
      </c>
      <c r="AM382" s="41">
        <f>IFERROR(LOOKUP(Z382,打分卡!$F$17:$H$17,打分卡!$K$17:$M$17),1)</f>
        <v>3</v>
      </c>
      <c r="AN382" s="44">
        <f>(打分卡!$D$7*AC382+打分卡!$D$8*AD382+打分卡!$D$9*AE382)/5</f>
        <v>16</v>
      </c>
      <c r="AO382" s="44">
        <f>(打分卡!$D$10*AF382+打分卡!$D$11*AG382)/5</f>
        <v>8</v>
      </c>
      <c r="AP382" s="44">
        <f>(打分卡!$D$12*AH382+打分卡!$D$13*AI382+打分卡!$D$14*AJ382+打分卡!$D$15*AK382)/5</f>
        <v>14.4</v>
      </c>
      <c r="AQ382" s="44">
        <f>(打分卡!$D$16*AL382+打分卡!$D$17*AM382)/5</f>
        <v>4.8</v>
      </c>
      <c r="AR382" s="47">
        <f t="shared" si="42"/>
        <v>43.2</v>
      </c>
      <c r="AS382" s="43" t="str">
        <f t="shared" si="43"/>
        <v>腰部</v>
      </c>
      <c r="AT382" s="43" t="str">
        <f t="shared" si="44"/>
        <v/>
      </c>
      <c r="AU382" s="43" t="str">
        <f t="shared" si="45"/>
        <v>拉·主攻：主推AI外呼+大促作战包</v>
      </c>
    </row>
    <row r="383" ht="15" customHeight="1" spans="1:47">
      <c r="A383" s="20" t="s">
        <v>1263</v>
      </c>
      <c r="B383" s="22" t="s">
        <v>1264</v>
      </c>
      <c r="C383" s="22" t="s">
        <v>239</v>
      </c>
      <c r="D383" s="22" t="s">
        <v>202</v>
      </c>
      <c r="E383" s="22" t="s">
        <v>197</v>
      </c>
      <c r="F383" s="20" t="s">
        <v>1001</v>
      </c>
      <c r="G383" s="22">
        <v>7</v>
      </c>
      <c r="H383" s="22" t="s">
        <v>301</v>
      </c>
      <c r="I383" s="22" t="s">
        <v>184</v>
      </c>
      <c r="J383" s="36">
        <v>44800</v>
      </c>
      <c r="K383" s="36">
        <v>18000</v>
      </c>
      <c r="L383" s="36">
        <v>18500</v>
      </c>
      <c r="M383" s="36">
        <f t="shared" si="40"/>
        <v>81300</v>
      </c>
      <c r="N383" s="34">
        <f t="shared" si="46"/>
        <v>0.000426226620447554</v>
      </c>
      <c r="O383" s="35">
        <f>SUM($M$2:M383)</f>
        <v>171079500</v>
      </c>
      <c r="P383" s="34">
        <f t="shared" si="47"/>
        <v>0.8969082055702</v>
      </c>
      <c r="Q383" s="39">
        <v>8.1</v>
      </c>
      <c r="R383" s="22">
        <v>8</v>
      </c>
      <c r="S383" s="22">
        <v>3</v>
      </c>
      <c r="T383" s="22">
        <v>0</v>
      </c>
      <c r="U383" s="39">
        <v>5.1</v>
      </c>
      <c r="V383" s="22">
        <v>26</v>
      </c>
      <c r="W383" s="22">
        <v>2</v>
      </c>
      <c r="X383" s="40">
        <v>76</v>
      </c>
      <c r="Y383" s="22">
        <v>3</v>
      </c>
      <c r="Z383" s="22">
        <v>1</v>
      </c>
      <c r="AA383" s="22" t="s">
        <v>185</v>
      </c>
      <c r="AB383" s="22" t="s">
        <v>220</v>
      </c>
      <c r="AC383" s="42">
        <f>IFERROR(LOOKUP(M383,打分卡!$F$7:$J$7,打分卡!$K$7:$O$7),1)</f>
        <v>2</v>
      </c>
      <c r="AD383" s="42">
        <f>IFERROR(LOOKUP(S383,打分卡!$F$8:$J$8,打分卡!$K$8:$O$8),1)</f>
        <v>3</v>
      </c>
      <c r="AE383" s="42">
        <f>IFERROR(LOOKUP(T383,打分卡!$F$9:$I$9,打分卡!$K$9:$N$9),1)</f>
        <v>1</v>
      </c>
      <c r="AF383" s="42">
        <f>IFERROR(LOOKUP(Q383,打分卡!$F$10:$J$10,打分卡!$K$10:$O$10),1)</f>
        <v>2</v>
      </c>
      <c r="AG383" s="42">
        <f>IFERROR(LOOKUP(R383,打分卡!$F$11:$J$11,打分卡!$K$11:$O$11),1)</f>
        <v>3</v>
      </c>
      <c r="AH383" s="42">
        <f>IFERROR(LOOKUP(U383,打分卡!$F$12:$J$12,打分卡!$K$12:$O$12),1)</f>
        <v>2</v>
      </c>
      <c r="AI383" s="42">
        <f>IFERROR(LOOKUP(X383,打分卡!$F$13:$J$13,打分卡!$K$13:$O$13),1)</f>
        <v>3</v>
      </c>
      <c r="AJ383" s="42">
        <f>IFERROR(LOOKUP(Y383,打分卡!$F$14:$J$14,打分卡!$K$14:$O$14),1)</f>
        <v>4</v>
      </c>
      <c r="AK383" s="42">
        <f>IFERROR(LOOKUP(W383,打分卡!$F$15:$J$15,打分卡!$K$15:$O$15),1)</f>
        <v>2</v>
      </c>
      <c r="AL383" s="45">
        <f t="shared" si="41"/>
        <v>3</v>
      </c>
      <c r="AM383" s="42">
        <f>IFERROR(LOOKUP(Z383,打分卡!$F$17:$H$17,打分卡!$K$17:$M$17),1)</f>
        <v>3</v>
      </c>
      <c r="AN383" s="46">
        <f>(打分卡!$D$7*AC383+打分卡!$D$8*AD383+打分卡!$D$9*AE383)/5</f>
        <v>16.2</v>
      </c>
      <c r="AO383" s="46">
        <f>(打分卡!$D$10*AF383+打分卡!$D$11*AG383)/5</f>
        <v>10</v>
      </c>
      <c r="AP383" s="46">
        <f>(打分卡!$D$12*AH383+打分卡!$D$13*AI383+打分卡!$D$14*AJ383+打分卡!$D$15*AK383)/5</f>
        <v>16</v>
      </c>
      <c r="AQ383" s="46">
        <f>(打分卡!$D$16*AL383+打分卡!$D$17*AM383)/5</f>
        <v>6</v>
      </c>
      <c r="AR383" s="48">
        <f t="shared" si="42"/>
        <v>48.2</v>
      </c>
      <c r="AS383" s="45" t="str">
        <f t="shared" si="43"/>
        <v>腰部</v>
      </c>
      <c r="AT383" s="45" t="str">
        <f t="shared" si="44"/>
        <v/>
      </c>
      <c r="AU383" s="45" t="str">
        <f t="shared" si="45"/>
        <v>拉·主攻：主推AI外呼+大促作战包</v>
      </c>
    </row>
    <row r="384" ht="15" customHeight="1" spans="1:47">
      <c r="A384" s="30" t="s">
        <v>1265</v>
      </c>
      <c r="B384" s="31" t="s">
        <v>1266</v>
      </c>
      <c r="C384" s="31" t="s">
        <v>195</v>
      </c>
      <c r="D384" s="31" t="s">
        <v>202</v>
      </c>
      <c r="E384" s="31" t="s">
        <v>181</v>
      </c>
      <c r="F384" s="30" t="s">
        <v>1267</v>
      </c>
      <c r="G384" s="31">
        <v>19</v>
      </c>
      <c r="H384" s="31" t="s">
        <v>301</v>
      </c>
      <c r="I384" s="31" t="s">
        <v>184</v>
      </c>
      <c r="J384" s="33">
        <v>47300</v>
      </c>
      <c r="K384" s="33">
        <v>16800</v>
      </c>
      <c r="L384" s="33">
        <v>17100</v>
      </c>
      <c r="M384" s="33">
        <f t="shared" si="40"/>
        <v>81200</v>
      </c>
      <c r="N384" s="34">
        <f t="shared" si="46"/>
        <v>0.000425702356461763</v>
      </c>
      <c r="O384" s="35">
        <f>SUM($M$2:M384)</f>
        <v>171160700</v>
      </c>
      <c r="P384" s="34">
        <f t="shared" si="47"/>
        <v>0.897333907926662</v>
      </c>
      <c r="Q384" s="37">
        <v>7.8</v>
      </c>
      <c r="R384" s="31">
        <v>5</v>
      </c>
      <c r="S384" s="31">
        <v>1</v>
      </c>
      <c r="T384" s="31">
        <v>1</v>
      </c>
      <c r="U384" s="37">
        <v>9.6</v>
      </c>
      <c r="V384" s="31">
        <v>14</v>
      </c>
      <c r="W384" s="31">
        <v>3</v>
      </c>
      <c r="X384" s="38">
        <v>45</v>
      </c>
      <c r="Y384" s="31">
        <v>0</v>
      </c>
      <c r="Z384" s="31">
        <v>1</v>
      </c>
      <c r="AA384" s="31" t="s">
        <v>185</v>
      </c>
      <c r="AB384" s="31" t="s">
        <v>220</v>
      </c>
      <c r="AC384" s="41">
        <f>IFERROR(LOOKUP(M384,打分卡!$F$7:$J$7,打分卡!$K$7:$O$7),1)</f>
        <v>2</v>
      </c>
      <c r="AD384" s="41">
        <f>IFERROR(LOOKUP(S384,打分卡!$F$8:$J$8,打分卡!$K$8:$O$8),1)</f>
        <v>1</v>
      </c>
      <c r="AE384" s="41">
        <f>IFERROR(LOOKUP(T384,打分卡!$F$9:$I$9,打分卡!$K$9:$N$9),1)</f>
        <v>2</v>
      </c>
      <c r="AF384" s="41">
        <f>IFERROR(LOOKUP(Q384,打分卡!$F$10:$J$10,打分卡!$K$10:$O$10),1)</f>
        <v>2</v>
      </c>
      <c r="AG384" s="41">
        <f>IFERROR(LOOKUP(R384,打分卡!$F$11:$J$11,打分卡!$K$11:$O$11),1)</f>
        <v>3</v>
      </c>
      <c r="AH384" s="41">
        <f>IFERROR(LOOKUP(U384,打分卡!$F$12:$J$12,打分卡!$K$12:$O$12),1)</f>
        <v>2</v>
      </c>
      <c r="AI384" s="41">
        <f>IFERROR(LOOKUP(X384,打分卡!$F$13:$J$13,打分卡!$K$13:$O$13),1)</f>
        <v>3</v>
      </c>
      <c r="AJ384" s="41">
        <f>IFERROR(LOOKUP(Y384,打分卡!$F$14:$J$14,打分卡!$K$14:$O$14),1)</f>
        <v>1</v>
      </c>
      <c r="AK384" s="41">
        <f>IFERROR(LOOKUP(W384,打分卡!$F$15:$J$15,打分卡!$K$15:$O$15),1)</f>
        <v>3</v>
      </c>
      <c r="AL384" s="43">
        <f t="shared" si="41"/>
        <v>3</v>
      </c>
      <c r="AM384" s="41">
        <f>IFERROR(LOOKUP(Z384,打分卡!$F$17:$H$17,打分卡!$K$17:$M$17),1)</f>
        <v>3</v>
      </c>
      <c r="AN384" s="44">
        <f>(打分卡!$D$7*AC384+打分卡!$D$8*AD384+打分卡!$D$9*AE384)/5</f>
        <v>14.4</v>
      </c>
      <c r="AO384" s="44">
        <f>(打分卡!$D$10*AF384+打分卡!$D$11*AG384)/5</f>
        <v>10</v>
      </c>
      <c r="AP384" s="44">
        <f>(打分卡!$D$12*AH384+打分卡!$D$13*AI384+打分卡!$D$14*AJ384+打分卡!$D$15*AK384)/5</f>
        <v>13.2</v>
      </c>
      <c r="AQ384" s="44">
        <f>(打分卡!$D$16*AL384+打分卡!$D$17*AM384)/5</f>
        <v>6</v>
      </c>
      <c r="AR384" s="47">
        <f t="shared" si="42"/>
        <v>43.6</v>
      </c>
      <c r="AS384" s="43" t="str">
        <f t="shared" si="43"/>
        <v>腰部</v>
      </c>
      <c r="AT384" s="43" t="str">
        <f t="shared" si="44"/>
        <v/>
      </c>
      <c r="AU384" s="43" t="str">
        <f t="shared" si="45"/>
        <v>拉·主攻：主推AI外呼+大促作战包</v>
      </c>
    </row>
    <row r="385" ht="15" customHeight="1" spans="1:47">
      <c r="A385" s="20" t="s">
        <v>1268</v>
      </c>
      <c r="B385" s="22" t="s">
        <v>1269</v>
      </c>
      <c r="C385" s="22" t="s">
        <v>189</v>
      </c>
      <c r="D385" s="22" t="s">
        <v>196</v>
      </c>
      <c r="E385" s="22" t="s">
        <v>197</v>
      </c>
      <c r="F385" s="20" t="s">
        <v>1270</v>
      </c>
      <c r="G385" s="22">
        <v>1</v>
      </c>
      <c r="H385" s="22" t="s">
        <v>642</v>
      </c>
      <c r="I385" s="22" t="s">
        <v>184</v>
      </c>
      <c r="J385" s="36">
        <v>40900</v>
      </c>
      <c r="K385" s="36">
        <v>26000</v>
      </c>
      <c r="L385" s="36">
        <v>13700</v>
      </c>
      <c r="M385" s="36">
        <f t="shared" si="40"/>
        <v>80600</v>
      </c>
      <c r="N385" s="34">
        <f t="shared" si="46"/>
        <v>0.000422556772547021</v>
      </c>
      <c r="O385" s="35">
        <f>SUM($M$2:M385)</f>
        <v>171241300</v>
      </c>
      <c r="P385" s="34">
        <f t="shared" si="47"/>
        <v>0.897756464699209</v>
      </c>
      <c r="Q385" s="39">
        <v>11.6</v>
      </c>
      <c r="R385" s="22">
        <v>6</v>
      </c>
      <c r="S385" s="22">
        <v>2</v>
      </c>
      <c r="T385" s="22">
        <v>2</v>
      </c>
      <c r="U385" s="39">
        <v>243</v>
      </c>
      <c r="V385" s="22">
        <v>18</v>
      </c>
      <c r="W385" s="22">
        <v>23</v>
      </c>
      <c r="X385" s="40">
        <v>428</v>
      </c>
      <c r="Y385" s="22">
        <v>2</v>
      </c>
      <c r="Z385" s="22">
        <v>0</v>
      </c>
      <c r="AA385" s="22" t="s">
        <v>199</v>
      </c>
      <c r="AB385" s="22" t="s">
        <v>220</v>
      </c>
      <c r="AC385" s="42">
        <f>IFERROR(LOOKUP(M385,打分卡!$F$7:$J$7,打分卡!$K$7:$O$7),1)</f>
        <v>2</v>
      </c>
      <c r="AD385" s="42">
        <f>IFERROR(LOOKUP(S385,打分卡!$F$8:$J$8,打分卡!$K$8:$O$8),1)</f>
        <v>2</v>
      </c>
      <c r="AE385" s="42">
        <f>IFERROR(LOOKUP(T385,打分卡!$F$9:$I$9,打分卡!$K$9:$N$9),1)</f>
        <v>3</v>
      </c>
      <c r="AF385" s="42">
        <f>IFERROR(LOOKUP(Q385,打分卡!$F$10:$J$10,打分卡!$K$10:$O$10),1)</f>
        <v>3</v>
      </c>
      <c r="AG385" s="42">
        <f>IFERROR(LOOKUP(R385,打分卡!$F$11:$J$11,打分卡!$K$11:$O$11),1)</f>
        <v>3</v>
      </c>
      <c r="AH385" s="42">
        <f>IFERROR(LOOKUP(U385,打分卡!$F$12:$J$12,打分卡!$K$12:$O$12),1)</f>
        <v>5</v>
      </c>
      <c r="AI385" s="42">
        <f>IFERROR(LOOKUP(X385,打分卡!$F$13:$J$13,打分卡!$K$13:$O$13),1)</f>
        <v>5</v>
      </c>
      <c r="AJ385" s="42">
        <f>IFERROR(LOOKUP(Y385,打分卡!$F$14:$J$14,打分卡!$K$14:$O$14),1)</f>
        <v>3</v>
      </c>
      <c r="AK385" s="42">
        <f>IFERROR(LOOKUP(W385,打分卡!$F$15:$J$15,打分卡!$K$15:$O$15),1)</f>
        <v>5</v>
      </c>
      <c r="AL385" s="45">
        <f t="shared" si="41"/>
        <v>5</v>
      </c>
      <c r="AM385" s="42">
        <f>IFERROR(LOOKUP(Z385,打分卡!$F$17:$H$17,打分卡!$K$17:$M$17),1)</f>
        <v>1</v>
      </c>
      <c r="AN385" s="46">
        <f>(打分卡!$D$7*AC385+打分卡!$D$8*AD385+打分卡!$D$9*AE385)/5</f>
        <v>17.4</v>
      </c>
      <c r="AO385" s="46">
        <f>(打分卡!$D$10*AF385+打分卡!$D$11*AG385)/5</f>
        <v>12</v>
      </c>
      <c r="AP385" s="46">
        <f>(打分卡!$D$12*AH385+打分卡!$D$13*AI385+打分卡!$D$14*AJ385+打分卡!$D$15*AK385)/5</f>
        <v>27.6</v>
      </c>
      <c r="AQ385" s="46">
        <f>(打分卡!$D$16*AL385+打分卡!$D$17*AM385)/5</f>
        <v>6.8</v>
      </c>
      <c r="AR385" s="48">
        <f t="shared" si="42"/>
        <v>83.2</v>
      </c>
      <c r="AS385" s="45" t="str">
        <f t="shared" si="43"/>
        <v>KA</v>
      </c>
      <c r="AT385" s="45" t="str">
        <f t="shared" si="44"/>
        <v/>
      </c>
      <c r="AU385" s="45" t="str">
        <f t="shared" si="45"/>
        <v>扩·深化：AI外呼场景深化+Push/企微补全</v>
      </c>
    </row>
    <row r="386" ht="15" customHeight="1" spans="1:47">
      <c r="A386" s="30" t="s">
        <v>1271</v>
      </c>
      <c r="B386" s="31" t="s">
        <v>1272</v>
      </c>
      <c r="C386" s="31" t="s">
        <v>189</v>
      </c>
      <c r="D386" s="31" t="s">
        <v>196</v>
      </c>
      <c r="E386" s="31" t="s">
        <v>181</v>
      </c>
      <c r="F386" s="30" t="s">
        <v>1273</v>
      </c>
      <c r="G386" s="31">
        <v>4</v>
      </c>
      <c r="H386" s="31" t="s">
        <v>301</v>
      </c>
      <c r="I386" s="31" t="s">
        <v>302</v>
      </c>
      <c r="J386" s="33">
        <v>45300</v>
      </c>
      <c r="K386" s="33">
        <v>25700</v>
      </c>
      <c r="L386" s="33">
        <v>9500</v>
      </c>
      <c r="M386" s="33">
        <f t="shared" ref="M386:M449" si="48">SUM(J386:L386)</f>
        <v>80500</v>
      </c>
      <c r="N386" s="34">
        <f t="shared" si="46"/>
        <v>0.000422032508561231</v>
      </c>
      <c r="O386" s="35">
        <f>SUM($M$2:M386)</f>
        <v>171321800</v>
      </c>
      <c r="P386" s="34">
        <f t="shared" si="47"/>
        <v>0.89817849720777</v>
      </c>
      <c r="Q386" s="37">
        <v>6.4</v>
      </c>
      <c r="R386" s="31">
        <v>10</v>
      </c>
      <c r="S386" s="31">
        <v>2</v>
      </c>
      <c r="T386" s="31">
        <v>1</v>
      </c>
      <c r="U386" s="37">
        <v>4</v>
      </c>
      <c r="V386" s="31">
        <v>22</v>
      </c>
      <c r="W386" s="31">
        <v>3</v>
      </c>
      <c r="X386" s="38">
        <v>64</v>
      </c>
      <c r="Y386" s="31">
        <v>3</v>
      </c>
      <c r="Z386" s="31">
        <v>0</v>
      </c>
      <c r="AA386" s="31" t="s">
        <v>315</v>
      </c>
      <c r="AB386" s="31" t="s">
        <v>220</v>
      </c>
      <c r="AC386" s="41">
        <f>IFERROR(LOOKUP(M386,打分卡!$F$7:$J$7,打分卡!$K$7:$O$7),1)</f>
        <v>2</v>
      </c>
      <c r="AD386" s="41">
        <f>IFERROR(LOOKUP(S386,打分卡!$F$8:$J$8,打分卡!$K$8:$O$8),1)</f>
        <v>2</v>
      </c>
      <c r="AE386" s="41">
        <f>IFERROR(LOOKUP(T386,打分卡!$F$9:$I$9,打分卡!$K$9:$N$9),1)</f>
        <v>2</v>
      </c>
      <c r="AF386" s="41">
        <f>IFERROR(LOOKUP(Q386,打分卡!$F$10:$J$10,打分卡!$K$10:$O$10),1)</f>
        <v>2</v>
      </c>
      <c r="AG386" s="41">
        <f>IFERROR(LOOKUP(R386,打分卡!$F$11:$J$11,打分卡!$K$11:$O$11),1)</f>
        <v>4</v>
      </c>
      <c r="AH386" s="41">
        <f>IFERROR(LOOKUP(U386,打分卡!$F$12:$J$12,打分卡!$K$12:$O$12),1)</f>
        <v>2</v>
      </c>
      <c r="AI386" s="41">
        <f>IFERROR(LOOKUP(X386,打分卡!$F$13:$J$13,打分卡!$K$13:$O$13),1)</f>
        <v>3</v>
      </c>
      <c r="AJ386" s="41">
        <f>IFERROR(LOOKUP(Y386,打分卡!$F$14:$J$14,打分卡!$K$14:$O$14),1)</f>
        <v>4</v>
      </c>
      <c r="AK386" s="41">
        <f>IFERROR(LOOKUP(W386,打分卡!$F$15:$J$15,打分卡!$K$15:$O$15),1)</f>
        <v>3</v>
      </c>
      <c r="AL386" s="43">
        <f t="shared" ref="AL386:AL449" si="49">IF(AA386="连续下降",1,IF(AA386="下降",2,IF(AA386="上升",5,3)))</f>
        <v>2</v>
      </c>
      <c r="AM386" s="41">
        <f>IFERROR(LOOKUP(Z386,打分卡!$F$17:$H$17,打分卡!$K$17:$M$17),1)</f>
        <v>1</v>
      </c>
      <c r="AN386" s="44">
        <f>(打分卡!$D$7*AC386+打分卡!$D$8*AD386+打分卡!$D$9*AE386)/5</f>
        <v>16</v>
      </c>
      <c r="AO386" s="44">
        <f>(打分卡!$D$10*AF386+打分卡!$D$11*AG386)/5</f>
        <v>12</v>
      </c>
      <c r="AP386" s="44">
        <f>(打分卡!$D$12*AH386+打分卡!$D$13*AI386+打分卡!$D$14*AJ386+打分卡!$D$15*AK386)/5</f>
        <v>16.8</v>
      </c>
      <c r="AQ386" s="44">
        <f>(打分卡!$D$16*AL386+打分卡!$D$17*AM386)/5</f>
        <v>3.2</v>
      </c>
      <c r="AR386" s="47">
        <f t="shared" ref="AR386:AR449" si="50">IF(G386&lt;3,AP386/30*40+AO386+AP386+AQ386,AN386+AO386+AP386+AQ386)</f>
        <v>48</v>
      </c>
      <c r="AS386" s="43" t="str">
        <f t="shared" ref="AS386:AS449" si="51">IF(M386=0,IF(G386&lt;3,"新客观察期","未激活"),IF(AR386&gt;=90,"SKA",IF(AR386&gt;=75,"KA",IF(AR386&gt;=40,"腰部","基础长尾"))))</f>
        <v>腰部</v>
      </c>
      <c r="AT386" s="43" t="str">
        <f t="shared" ref="AT386:AT449" si="52">IF(AA386="连续下降","连续下降-预警","")</f>
        <v/>
      </c>
      <c r="AU386" s="43" t="str">
        <f t="shared" ref="AU386:AU449" si="53">IF(AS386="SKA","守·共创：卡片短信/AI外呼新场景POC",IF(AS386="KA","扩·深化：AI外呼场景深化+Push/企微补全",IF(AS386="腰部","拉·主攻：主推AI外呼+大促作战包",IF(AS386="新客观察期","培育：入门包+1v1场景教育",IF(AS386="基础长尾","激活：企微+Push低成本先跑","唤醒：短信模板+首充补贴")))))</f>
        <v>拉·主攻：主推AI外呼+大促作战包</v>
      </c>
    </row>
    <row r="387" ht="15" customHeight="1" spans="1:47">
      <c r="A387" s="20" t="s">
        <v>1274</v>
      </c>
      <c r="B387" s="22" t="s">
        <v>1275</v>
      </c>
      <c r="C387" s="22" t="s">
        <v>218</v>
      </c>
      <c r="D387" s="22" t="s">
        <v>196</v>
      </c>
      <c r="E387" s="22" t="s">
        <v>197</v>
      </c>
      <c r="F387" s="20" t="s">
        <v>914</v>
      </c>
      <c r="G387" s="22">
        <v>10</v>
      </c>
      <c r="H387" s="22" t="s">
        <v>183</v>
      </c>
      <c r="I387" s="22" t="s">
        <v>184</v>
      </c>
      <c r="J387" s="36">
        <v>37400</v>
      </c>
      <c r="K387" s="36">
        <v>30800</v>
      </c>
      <c r="L387" s="36">
        <v>12200</v>
      </c>
      <c r="M387" s="36">
        <f t="shared" si="48"/>
        <v>80400</v>
      </c>
      <c r="N387" s="34">
        <f t="shared" ref="N387:N450" si="54">M387/$M$2002</f>
        <v>0.000421508244575441</v>
      </c>
      <c r="O387" s="35">
        <f>SUM($M$2:M387)</f>
        <v>171402200</v>
      </c>
      <c r="P387" s="34">
        <f t="shared" ref="P387:P450" si="55">O387/$M$2002</f>
        <v>0.898600005452345</v>
      </c>
      <c r="Q387" s="39">
        <v>6.2</v>
      </c>
      <c r="R387" s="22">
        <v>7</v>
      </c>
      <c r="S387" s="22">
        <v>2</v>
      </c>
      <c r="T387" s="22">
        <v>0</v>
      </c>
      <c r="U387" s="39">
        <v>2.7</v>
      </c>
      <c r="V387" s="22">
        <v>16</v>
      </c>
      <c r="W387" s="22">
        <v>0</v>
      </c>
      <c r="X387" s="40">
        <v>40</v>
      </c>
      <c r="Y387" s="22">
        <v>1</v>
      </c>
      <c r="Z387" s="22">
        <v>1</v>
      </c>
      <c r="AA387" s="22" t="s">
        <v>185</v>
      </c>
      <c r="AB387" s="22" t="s">
        <v>220</v>
      </c>
      <c r="AC387" s="42">
        <f>IFERROR(LOOKUP(M387,打分卡!$F$7:$J$7,打分卡!$K$7:$O$7),1)</f>
        <v>2</v>
      </c>
      <c r="AD387" s="42">
        <f>IFERROR(LOOKUP(S387,打分卡!$F$8:$J$8,打分卡!$K$8:$O$8),1)</f>
        <v>2</v>
      </c>
      <c r="AE387" s="42">
        <f>IFERROR(LOOKUP(T387,打分卡!$F$9:$I$9,打分卡!$K$9:$N$9),1)</f>
        <v>1</v>
      </c>
      <c r="AF387" s="42">
        <f>IFERROR(LOOKUP(Q387,打分卡!$F$10:$J$10,打分卡!$K$10:$O$10),1)</f>
        <v>2</v>
      </c>
      <c r="AG387" s="42">
        <f>IFERROR(LOOKUP(R387,打分卡!$F$11:$J$11,打分卡!$K$11:$O$11),1)</f>
        <v>3</v>
      </c>
      <c r="AH387" s="42">
        <f>IFERROR(LOOKUP(U387,打分卡!$F$12:$J$12,打分卡!$K$12:$O$12),1)</f>
        <v>1</v>
      </c>
      <c r="AI387" s="42">
        <f>IFERROR(LOOKUP(X387,打分卡!$F$13:$J$13,打分卡!$K$13:$O$13),1)</f>
        <v>3</v>
      </c>
      <c r="AJ387" s="42">
        <f>IFERROR(LOOKUP(Y387,打分卡!$F$14:$J$14,打分卡!$K$14:$O$14),1)</f>
        <v>2</v>
      </c>
      <c r="AK387" s="42">
        <f>IFERROR(LOOKUP(W387,打分卡!$F$15:$J$15,打分卡!$K$15:$O$15),1)</f>
        <v>1</v>
      </c>
      <c r="AL387" s="45">
        <f t="shared" si="49"/>
        <v>3</v>
      </c>
      <c r="AM387" s="42">
        <f>IFERROR(LOOKUP(Z387,打分卡!$F$17:$H$17,打分卡!$K$17:$M$17),1)</f>
        <v>3</v>
      </c>
      <c r="AN387" s="46">
        <f>(打分卡!$D$7*AC387+打分卡!$D$8*AD387+打分卡!$D$9*AE387)/5</f>
        <v>14.6</v>
      </c>
      <c r="AO387" s="46">
        <f>(打分卡!$D$10*AF387+打分卡!$D$11*AG387)/5</f>
        <v>10</v>
      </c>
      <c r="AP387" s="46">
        <f>(打分卡!$D$12*AH387+打分卡!$D$13*AI387+打分卡!$D$14*AJ387+打分卡!$D$15*AK387)/5</f>
        <v>10.4</v>
      </c>
      <c r="AQ387" s="46">
        <f>(打分卡!$D$16*AL387+打分卡!$D$17*AM387)/5</f>
        <v>6</v>
      </c>
      <c r="AR387" s="48">
        <f t="shared" si="50"/>
        <v>41</v>
      </c>
      <c r="AS387" s="45" t="str">
        <f t="shared" si="51"/>
        <v>腰部</v>
      </c>
      <c r="AT387" s="45" t="str">
        <f t="shared" si="52"/>
        <v/>
      </c>
      <c r="AU387" s="45" t="str">
        <f t="shared" si="53"/>
        <v>拉·主攻：主推AI外呼+大促作战包</v>
      </c>
    </row>
    <row r="388" ht="15" customHeight="1" spans="1:47">
      <c r="A388" s="30" t="s">
        <v>1276</v>
      </c>
      <c r="B388" s="31" t="s">
        <v>1277</v>
      </c>
      <c r="C388" s="31" t="s">
        <v>223</v>
      </c>
      <c r="D388" s="31" t="s">
        <v>252</v>
      </c>
      <c r="E388" s="31" t="s">
        <v>181</v>
      </c>
      <c r="F388" s="30" t="s">
        <v>1278</v>
      </c>
      <c r="G388" s="31">
        <v>22</v>
      </c>
      <c r="H388" s="31" t="s">
        <v>183</v>
      </c>
      <c r="I388" s="31" t="s">
        <v>302</v>
      </c>
      <c r="J388" s="33">
        <v>36400</v>
      </c>
      <c r="K388" s="33">
        <v>22000</v>
      </c>
      <c r="L388" s="33">
        <v>21200</v>
      </c>
      <c r="M388" s="33">
        <f t="shared" si="48"/>
        <v>79600</v>
      </c>
      <c r="N388" s="34">
        <f t="shared" si="54"/>
        <v>0.000417314132689118</v>
      </c>
      <c r="O388" s="35">
        <f>SUM($M$2:M388)</f>
        <v>171481800</v>
      </c>
      <c r="P388" s="34">
        <f t="shared" si="55"/>
        <v>0.899017319585035</v>
      </c>
      <c r="Q388" s="37">
        <v>12.5</v>
      </c>
      <c r="R388" s="31">
        <v>1</v>
      </c>
      <c r="S388" s="31">
        <v>1</v>
      </c>
      <c r="T388" s="31">
        <v>1</v>
      </c>
      <c r="U388" s="37">
        <v>31.6</v>
      </c>
      <c r="V388" s="31">
        <v>11</v>
      </c>
      <c r="W388" s="31">
        <v>4</v>
      </c>
      <c r="X388" s="38">
        <v>63</v>
      </c>
      <c r="Y388" s="31">
        <v>2</v>
      </c>
      <c r="Z388" s="31">
        <v>0</v>
      </c>
      <c r="AA388" s="31" t="s">
        <v>315</v>
      </c>
      <c r="AB388" s="31" t="s">
        <v>220</v>
      </c>
      <c r="AC388" s="41">
        <f>IFERROR(LOOKUP(M388,打分卡!$F$7:$J$7,打分卡!$K$7:$O$7),1)</f>
        <v>2</v>
      </c>
      <c r="AD388" s="41">
        <f>IFERROR(LOOKUP(S388,打分卡!$F$8:$J$8,打分卡!$K$8:$O$8),1)</f>
        <v>1</v>
      </c>
      <c r="AE388" s="41">
        <f>IFERROR(LOOKUP(T388,打分卡!$F$9:$I$9,打分卡!$K$9:$N$9),1)</f>
        <v>2</v>
      </c>
      <c r="AF388" s="41">
        <f>IFERROR(LOOKUP(Q388,打分卡!$F$10:$J$10,打分卡!$K$10:$O$10),1)</f>
        <v>3</v>
      </c>
      <c r="AG388" s="41">
        <f>IFERROR(LOOKUP(R388,打分卡!$F$11:$J$11,打分卡!$K$11:$O$11),1)</f>
        <v>1</v>
      </c>
      <c r="AH388" s="41">
        <f>IFERROR(LOOKUP(U388,打分卡!$F$12:$J$12,打分卡!$K$12:$O$12),1)</f>
        <v>3</v>
      </c>
      <c r="AI388" s="41">
        <f>IFERROR(LOOKUP(X388,打分卡!$F$13:$J$13,打分卡!$K$13:$O$13),1)</f>
        <v>3</v>
      </c>
      <c r="AJ388" s="41">
        <f>IFERROR(LOOKUP(Y388,打分卡!$F$14:$J$14,打分卡!$K$14:$O$14),1)</f>
        <v>3</v>
      </c>
      <c r="AK388" s="41">
        <f>IFERROR(LOOKUP(W388,打分卡!$F$15:$J$15,打分卡!$K$15:$O$15),1)</f>
        <v>3</v>
      </c>
      <c r="AL388" s="43">
        <f t="shared" si="49"/>
        <v>2</v>
      </c>
      <c r="AM388" s="41">
        <f>IFERROR(LOOKUP(Z388,打分卡!$F$17:$H$17,打分卡!$K$17:$M$17),1)</f>
        <v>1</v>
      </c>
      <c r="AN388" s="44">
        <f>(打分卡!$D$7*AC388+打分卡!$D$8*AD388+打分卡!$D$9*AE388)/5</f>
        <v>14.4</v>
      </c>
      <c r="AO388" s="44">
        <f>(打分卡!$D$10*AF388+打分卡!$D$11*AG388)/5</f>
        <v>8</v>
      </c>
      <c r="AP388" s="44">
        <f>(打分卡!$D$12*AH388+打分卡!$D$13*AI388+打分卡!$D$14*AJ388+打分卡!$D$15*AK388)/5</f>
        <v>18</v>
      </c>
      <c r="AQ388" s="44">
        <f>(打分卡!$D$16*AL388+打分卡!$D$17*AM388)/5</f>
        <v>3.2</v>
      </c>
      <c r="AR388" s="47">
        <f t="shared" si="50"/>
        <v>43.6</v>
      </c>
      <c r="AS388" s="43" t="str">
        <f t="shared" si="51"/>
        <v>腰部</v>
      </c>
      <c r="AT388" s="43" t="str">
        <f t="shared" si="52"/>
        <v/>
      </c>
      <c r="AU388" s="43" t="str">
        <f t="shared" si="53"/>
        <v>拉·主攻：主推AI外呼+大促作战包</v>
      </c>
    </row>
    <row r="389" ht="15" customHeight="1" spans="1:47">
      <c r="A389" s="20" t="s">
        <v>1279</v>
      </c>
      <c r="B389" s="22" t="s">
        <v>1280</v>
      </c>
      <c r="C389" s="22" t="s">
        <v>189</v>
      </c>
      <c r="D389" s="22" t="s">
        <v>252</v>
      </c>
      <c r="E389" s="22" t="s">
        <v>181</v>
      </c>
      <c r="F389" s="20" t="s">
        <v>572</v>
      </c>
      <c r="G389" s="22">
        <v>22</v>
      </c>
      <c r="H389" s="22" t="s">
        <v>301</v>
      </c>
      <c r="I389" s="22" t="s">
        <v>302</v>
      </c>
      <c r="J389" s="36">
        <v>43200</v>
      </c>
      <c r="K389" s="36">
        <v>29800</v>
      </c>
      <c r="L389" s="36">
        <v>5700</v>
      </c>
      <c r="M389" s="36">
        <f t="shared" si="48"/>
        <v>78700</v>
      </c>
      <c r="N389" s="34">
        <f t="shared" si="54"/>
        <v>0.000412595756817005</v>
      </c>
      <c r="O389" s="35">
        <f>SUM($M$2:M389)</f>
        <v>171560500</v>
      </c>
      <c r="P389" s="34">
        <f t="shared" si="55"/>
        <v>0.899429915341852</v>
      </c>
      <c r="Q389" s="39">
        <v>12.2</v>
      </c>
      <c r="R389" s="22">
        <v>10</v>
      </c>
      <c r="S389" s="22">
        <v>3</v>
      </c>
      <c r="T389" s="22">
        <v>0</v>
      </c>
      <c r="U389" s="39">
        <v>32.3</v>
      </c>
      <c r="V389" s="22">
        <v>3</v>
      </c>
      <c r="W389" s="22">
        <v>2</v>
      </c>
      <c r="X389" s="40">
        <v>122</v>
      </c>
      <c r="Y389" s="22">
        <v>2</v>
      </c>
      <c r="Z389" s="22">
        <v>1</v>
      </c>
      <c r="AA389" s="22" t="s">
        <v>185</v>
      </c>
      <c r="AB389" s="22" t="s">
        <v>220</v>
      </c>
      <c r="AC389" s="42">
        <f>IFERROR(LOOKUP(M389,打分卡!$F$7:$J$7,打分卡!$K$7:$O$7),1)</f>
        <v>2</v>
      </c>
      <c r="AD389" s="42">
        <f>IFERROR(LOOKUP(S389,打分卡!$F$8:$J$8,打分卡!$K$8:$O$8),1)</f>
        <v>3</v>
      </c>
      <c r="AE389" s="42">
        <f>IFERROR(LOOKUP(T389,打分卡!$F$9:$I$9,打分卡!$K$9:$N$9),1)</f>
        <v>1</v>
      </c>
      <c r="AF389" s="42">
        <f>IFERROR(LOOKUP(Q389,打分卡!$F$10:$J$10,打分卡!$K$10:$O$10),1)</f>
        <v>3</v>
      </c>
      <c r="AG389" s="42">
        <f>IFERROR(LOOKUP(R389,打分卡!$F$11:$J$11,打分卡!$K$11:$O$11),1)</f>
        <v>4</v>
      </c>
      <c r="AH389" s="42">
        <f>IFERROR(LOOKUP(U389,打分卡!$F$12:$J$12,打分卡!$K$12:$O$12),1)</f>
        <v>3</v>
      </c>
      <c r="AI389" s="42">
        <f>IFERROR(LOOKUP(X389,打分卡!$F$13:$J$13,打分卡!$K$13:$O$13),1)</f>
        <v>4</v>
      </c>
      <c r="AJ389" s="42">
        <f>IFERROR(LOOKUP(Y389,打分卡!$F$14:$J$14,打分卡!$K$14:$O$14),1)</f>
        <v>3</v>
      </c>
      <c r="AK389" s="42">
        <f>IFERROR(LOOKUP(W389,打分卡!$F$15:$J$15,打分卡!$K$15:$O$15),1)</f>
        <v>2</v>
      </c>
      <c r="AL389" s="45">
        <f t="shared" si="49"/>
        <v>3</v>
      </c>
      <c r="AM389" s="42">
        <f>IFERROR(LOOKUP(Z389,打分卡!$F$17:$H$17,打分卡!$K$17:$M$17),1)</f>
        <v>3</v>
      </c>
      <c r="AN389" s="46">
        <f>(打分卡!$D$7*AC389+打分卡!$D$8*AD389+打分卡!$D$9*AE389)/5</f>
        <v>16.2</v>
      </c>
      <c r="AO389" s="46">
        <f>(打分卡!$D$10*AF389+打分卡!$D$11*AG389)/5</f>
        <v>14</v>
      </c>
      <c r="AP389" s="46">
        <f>(打分卡!$D$12*AH389+打分卡!$D$13*AI389+打分卡!$D$14*AJ389+打分卡!$D$15*AK389)/5</f>
        <v>18.8</v>
      </c>
      <c r="AQ389" s="46">
        <f>(打分卡!$D$16*AL389+打分卡!$D$17*AM389)/5</f>
        <v>6</v>
      </c>
      <c r="AR389" s="48">
        <f t="shared" si="50"/>
        <v>55</v>
      </c>
      <c r="AS389" s="45" t="str">
        <f t="shared" si="51"/>
        <v>腰部</v>
      </c>
      <c r="AT389" s="45" t="str">
        <f t="shared" si="52"/>
        <v/>
      </c>
      <c r="AU389" s="45" t="str">
        <f t="shared" si="53"/>
        <v>拉·主攻：主推AI外呼+大促作战包</v>
      </c>
    </row>
    <row r="390" ht="15" customHeight="1" spans="1:47">
      <c r="A390" s="30" t="s">
        <v>1281</v>
      </c>
      <c r="B390" s="31" t="s">
        <v>1282</v>
      </c>
      <c r="C390" s="31" t="s">
        <v>195</v>
      </c>
      <c r="D390" s="31" t="s">
        <v>227</v>
      </c>
      <c r="E390" s="31" t="s">
        <v>197</v>
      </c>
      <c r="F390" s="30" t="s">
        <v>1283</v>
      </c>
      <c r="G390" s="31">
        <v>19</v>
      </c>
      <c r="H390" s="31" t="s">
        <v>301</v>
      </c>
      <c r="I390" s="31" t="s">
        <v>302</v>
      </c>
      <c r="J390" s="33">
        <v>48700</v>
      </c>
      <c r="K390" s="33">
        <v>25500</v>
      </c>
      <c r="L390" s="33">
        <v>3900</v>
      </c>
      <c r="M390" s="33">
        <f t="shared" si="48"/>
        <v>78100</v>
      </c>
      <c r="N390" s="34">
        <f t="shared" si="54"/>
        <v>0.000409450172902262</v>
      </c>
      <c r="O390" s="35">
        <f>SUM($M$2:M390)</f>
        <v>171638600</v>
      </c>
      <c r="P390" s="34">
        <f t="shared" si="55"/>
        <v>0.899839365514754</v>
      </c>
      <c r="Q390" s="37">
        <v>8</v>
      </c>
      <c r="R390" s="31">
        <v>8</v>
      </c>
      <c r="S390" s="31">
        <v>3</v>
      </c>
      <c r="T390" s="31">
        <v>2</v>
      </c>
      <c r="U390" s="37">
        <v>3.3</v>
      </c>
      <c r="V390" s="31">
        <v>5</v>
      </c>
      <c r="W390" s="31">
        <v>4</v>
      </c>
      <c r="X390" s="38">
        <v>41</v>
      </c>
      <c r="Y390" s="31">
        <v>2</v>
      </c>
      <c r="Z390" s="31">
        <v>1</v>
      </c>
      <c r="AA390" s="31" t="s">
        <v>315</v>
      </c>
      <c r="AB390" s="31" t="s">
        <v>220</v>
      </c>
      <c r="AC390" s="41">
        <f>IFERROR(LOOKUP(M390,打分卡!$F$7:$J$7,打分卡!$K$7:$O$7),1)</f>
        <v>2</v>
      </c>
      <c r="AD390" s="41">
        <f>IFERROR(LOOKUP(S390,打分卡!$F$8:$J$8,打分卡!$K$8:$O$8),1)</f>
        <v>3</v>
      </c>
      <c r="AE390" s="41">
        <f>IFERROR(LOOKUP(T390,打分卡!$F$9:$I$9,打分卡!$K$9:$N$9),1)</f>
        <v>3</v>
      </c>
      <c r="AF390" s="41">
        <f>IFERROR(LOOKUP(Q390,打分卡!$F$10:$J$10,打分卡!$K$10:$O$10),1)</f>
        <v>2</v>
      </c>
      <c r="AG390" s="41">
        <f>IFERROR(LOOKUP(R390,打分卡!$F$11:$J$11,打分卡!$K$11:$O$11),1)</f>
        <v>3</v>
      </c>
      <c r="AH390" s="41">
        <f>IFERROR(LOOKUP(U390,打分卡!$F$12:$J$12,打分卡!$K$12:$O$12),1)</f>
        <v>2</v>
      </c>
      <c r="AI390" s="41">
        <f>IFERROR(LOOKUP(X390,打分卡!$F$13:$J$13,打分卡!$K$13:$O$13),1)</f>
        <v>3</v>
      </c>
      <c r="AJ390" s="41">
        <f>IFERROR(LOOKUP(Y390,打分卡!$F$14:$J$14,打分卡!$K$14:$O$14),1)</f>
        <v>3</v>
      </c>
      <c r="AK390" s="41">
        <f>IFERROR(LOOKUP(W390,打分卡!$F$15:$J$15,打分卡!$K$15:$O$15),1)</f>
        <v>3</v>
      </c>
      <c r="AL390" s="43">
        <f t="shared" si="49"/>
        <v>2</v>
      </c>
      <c r="AM390" s="41">
        <f>IFERROR(LOOKUP(Z390,打分卡!$F$17:$H$17,打分卡!$K$17:$M$17),1)</f>
        <v>3</v>
      </c>
      <c r="AN390" s="44">
        <f>(打分卡!$D$7*AC390+打分卡!$D$8*AD390+打分卡!$D$9*AE390)/5</f>
        <v>19</v>
      </c>
      <c r="AO390" s="44">
        <f>(打分卡!$D$10*AF390+打分卡!$D$11*AG390)/5</f>
        <v>10</v>
      </c>
      <c r="AP390" s="44">
        <f>(打分卡!$D$12*AH390+打分卡!$D$13*AI390+打分卡!$D$14*AJ390+打分卡!$D$15*AK390)/5</f>
        <v>15.6</v>
      </c>
      <c r="AQ390" s="44">
        <f>(打分卡!$D$16*AL390+打分卡!$D$17*AM390)/5</f>
        <v>4.8</v>
      </c>
      <c r="AR390" s="47">
        <f t="shared" si="50"/>
        <v>49.4</v>
      </c>
      <c r="AS390" s="43" t="str">
        <f t="shared" si="51"/>
        <v>腰部</v>
      </c>
      <c r="AT390" s="43" t="str">
        <f t="shared" si="52"/>
        <v/>
      </c>
      <c r="AU390" s="43" t="str">
        <f t="shared" si="53"/>
        <v>拉·主攻：主推AI外呼+大促作战包</v>
      </c>
    </row>
    <row r="391" ht="15" customHeight="1" spans="1:47">
      <c r="A391" s="20" t="s">
        <v>1284</v>
      </c>
      <c r="B391" s="22" t="s">
        <v>1285</v>
      </c>
      <c r="C391" s="22" t="s">
        <v>189</v>
      </c>
      <c r="D391" s="22" t="s">
        <v>196</v>
      </c>
      <c r="E391" s="22" t="s">
        <v>197</v>
      </c>
      <c r="F391" s="20" t="s">
        <v>840</v>
      </c>
      <c r="G391" s="22">
        <v>24</v>
      </c>
      <c r="H391" s="22" t="s">
        <v>301</v>
      </c>
      <c r="I391" s="22" t="s">
        <v>302</v>
      </c>
      <c r="J391" s="36">
        <v>37200</v>
      </c>
      <c r="K391" s="36">
        <v>20200</v>
      </c>
      <c r="L391" s="36">
        <v>20600</v>
      </c>
      <c r="M391" s="36">
        <f t="shared" si="48"/>
        <v>78000</v>
      </c>
      <c r="N391" s="34">
        <f t="shared" si="54"/>
        <v>0.000408925908916472</v>
      </c>
      <c r="O391" s="35">
        <f>SUM($M$2:M391)</f>
        <v>171716600</v>
      </c>
      <c r="P391" s="34">
        <f t="shared" si="55"/>
        <v>0.90024829142367</v>
      </c>
      <c r="Q391" s="39">
        <v>7.8</v>
      </c>
      <c r="R391" s="22">
        <v>2</v>
      </c>
      <c r="S391" s="22">
        <v>1</v>
      </c>
      <c r="T391" s="22">
        <v>2</v>
      </c>
      <c r="U391" s="39">
        <v>17.6</v>
      </c>
      <c r="V391" s="22">
        <v>21</v>
      </c>
      <c r="W391" s="22">
        <v>1</v>
      </c>
      <c r="X391" s="40">
        <v>29</v>
      </c>
      <c r="Y391" s="22">
        <v>2</v>
      </c>
      <c r="Z391" s="22">
        <v>0</v>
      </c>
      <c r="AA391" s="22" t="s">
        <v>199</v>
      </c>
      <c r="AB391" s="22" t="s">
        <v>220</v>
      </c>
      <c r="AC391" s="42">
        <f>IFERROR(LOOKUP(M391,打分卡!$F$7:$J$7,打分卡!$K$7:$O$7),1)</f>
        <v>2</v>
      </c>
      <c r="AD391" s="42">
        <f>IFERROR(LOOKUP(S391,打分卡!$F$8:$J$8,打分卡!$K$8:$O$8),1)</f>
        <v>1</v>
      </c>
      <c r="AE391" s="42">
        <f>IFERROR(LOOKUP(T391,打分卡!$F$9:$I$9,打分卡!$K$9:$N$9),1)</f>
        <v>3</v>
      </c>
      <c r="AF391" s="42">
        <f>IFERROR(LOOKUP(Q391,打分卡!$F$10:$J$10,打分卡!$K$10:$O$10),1)</f>
        <v>2</v>
      </c>
      <c r="AG391" s="42">
        <f>IFERROR(LOOKUP(R391,打分卡!$F$11:$J$11,打分卡!$K$11:$O$11),1)</f>
        <v>1</v>
      </c>
      <c r="AH391" s="42">
        <f>IFERROR(LOOKUP(U391,打分卡!$F$12:$J$12,打分卡!$K$12:$O$12),1)</f>
        <v>3</v>
      </c>
      <c r="AI391" s="42">
        <f>IFERROR(LOOKUP(X391,打分卡!$F$13:$J$13,打分卡!$K$13:$O$13),1)</f>
        <v>2</v>
      </c>
      <c r="AJ391" s="42">
        <f>IFERROR(LOOKUP(Y391,打分卡!$F$14:$J$14,打分卡!$K$14:$O$14),1)</f>
        <v>3</v>
      </c>
      <c r="AK391" s="42">
        <f>IFERROR(LOOKUP(W391,打分卡!$F$15:$J$15,打分卡!$K$15:$O$15),1)</f>
        <v>2</v>
      </c>
      <c r="AL391" s="45">
        <f t="shared" si="49"/>
        <v>5</v>
      </c>
      <c r="AM391" s="42">
        <f>IFERROR(LOOKUP(Z391,打分卡!$F$17:$H$17,打分卡!$K$17:$M$17),1)</f>
        <v>1</v>
      </c>
      <c r="AN391" s="46">
        <f>(打分卡!$D$7*AC391+打分卡!$D$8*AD391+打分卡!$D$9*AE391)/5</f>
        <v>15.8</v>
      </c>
      <c r="AO391" s="46">
        <f>(打分卡!$D$10*AF391+打分卡!$D$11*AG391)/5</f>
        <v>6</v>
      </c>
      <c r="AP391" s="46">
        <f>(打分卡!$D$12*AH391+打分卡!$D$13*AI391+打分卡!$D$14*AJ391+打分卡!$D$15*AK391)/5</f>
        <v>15.6</v>
      </c>
      <c r="AQ391" s="46">
        <f>(打分卡!$D$16*AL391+打分卡!$D$17*AM391)/5</f>
        <v>6.8</v>
      </c>
      <c r="AR391" s="48">
        <f t="shared" si="50"/>
        <v>44.2</v>
      </c>
      <c r="AS391" s="45" t="str">
        <f t="shared" si="51"/>
        <v>腰部</v>
      </c>
      <c r="AT391" s="45" t="str">
        <f t="shared" si="52"/>
        <v/>
      </c>
      <c r="AU391" s="45" t="str">
        <f t="shared" si="53"/>
        <v>拉·主攻：主推AI外呼+大促作战包</v>
      </c>
    </row>
    <row r="392" ht="15" customHeight="1" spans="1:47">
      <c r="A392" s="30" t="s">
        <v>1286</v>
      </c>
      <c r="B392" s="31" t="s">
        <v>1287</v>
      </c>
      <c r="C392" s="31" t="s">
        <v>234</v>
      </c>
      <c r="D392" s="31" t="s">
        <v>196</v>
      </c>
      <c r="E392" s="31" t="s">
        <v>181</v>
      </c>
      <c r="F392" s="30" t="s">
        <v>1288</v>
      </c>
      <c r="G392" s="31">
        <v>24</v>
      </c>
      <c r="H392" s="31" t="s">
        <v>301</v>
      </c>
      <c r="I392" s="31" t="s">
        <v>302</v>
      </c>
      <c r="J392" s="33">
        <v>46800</v>
      </c>
      <c r="K392" s="33">
        <v>27200</v>
      </c>
      <c r="L392" s="33">
        <v>3900</v>
      </c>
      <c r="M392" s="33">
        <f t="shared" si="48"/>
        <v>77900</v>
      </c>
      <c r="N392" s="34">
        <f t="shared" si="54"/>
        <v>0.000408401644930682</v>
      </c>
      <c r="O392" s="35">
        <f>SUM($M$2:M392)</f>
        <v>171794500</v>
      </c>
      <c r="P392" s="34">
        <f t="shared" si="55"/>
        <v>0.900656693068601</v>
      </c>
      <c r="Q392" s="37">
        <v>11.4</v>
      </c>
      <c r="R392" s="31">
        <v>7</v>
      </c>
      <c r="S392" s="31">
        <v>2</v>
      </c>
      <c r="T392" s="31">
        <v>2</v>
      </c>
      <c r="U392" s="37">
        <v>1.5</v>
      </c>
      <c r="V392" s="31">
        <v>11</v>
      </c>
      <c r="W392" s="31">
        <v>0</v>
      </c>
      <c r="X392" s="38">
        <v>37</v>
      </c>
      <c r="Y392" s="31">
        <v>3</v>
      </c>
      <c r="Z392" s="31">
        <v>1</v>
      </c>
      <c r="AA392" s="31" t="s">
        <v>315</v>
      </c>
      <c r="AB392" s="31" t="s">
        <v>220</v>
      </c>
      <c r="AC392" s="41">
        <f>IFERROR(LOOKUP(M392,打分卡!$F$7:$J$7,打分卡!$K$7:$O$7),1)</f>
        <v>2</v>
      </c>
      <c r="AD392" s="41">
        <f>IFERROR(LOOKUP(S392,打分卡!$F$8:$J$8,打分卡!$K$8:$O$8),1)</f>
        <v>2</v>
      </c>
      <c r="AE392" s="41">
        <f>IFERROR(LOOKUP(T392,打分卡!$F$9:$I$9,打分卡!$K$9:$N$9),1)</f>
        <v>3</v>
      </c>
      <c r="AF392" s="41">
        <f>IFERROR(LOOKUP(Q392,打分卡!$F$10:$J$10,打分卡!$K$10:$O$10),1)</f>
        <v>3</v>
      </c>
      <c r="AG392" s="41">
        <f>IFERROR(LOOKUP(R392,打分卡!$F$11:$J$11,打分卡!$K$11:$O$11),1)</f>
        <v>3</v>
      </c>
      <c r="AH392" s="41">
        <f>IFERROR(LOOKUP(U392,打分卡!$F$12:$J$12,打分卡!$K$12:$O$12),1)</f>
        <v>1</v>
      </c>
      <c r="AI392" s="41">
        <f>IFERROR(LOOKUP(X392,打分卡!$F$13:$J$13,打分卡!$K$13:$O$13),1)</f>
        <v>2</v>
      </c>
      <c r="AJ392" s="41">
        <f>IFERROR(LOOKUP(Y392,打分卡!$F$14:$J$14,打分卡!$K$14:$O$14),1)</f>
        <v>4</v>
      </c>
      <c r="AK392" s="41">
        <f>IFERROR(LOOKUP(W392,打分卡!$F$15:$J$15,打分卡!$K$15:$O$15),1)</f>
        <v>1</v>
      </c>
      <c r="AL392" s="43">
        <f t="shared" si="49"/>
        <v>2</v>
      </c>
      <c r="AM392" s="41">
        <f>IFERROR(LOOKUP(Z392,打分卡!$F$17:$H$17,打分卡!$K$17:$M$17),1)</f>
        <v>3</v>
      </c>
      <c r="AN392" s="44">
        <f>(打分卡!$D$7*AC392+打分卡!$D$8*AD392+打分卡!$D$9*AE392)/5</f>
        <v>17.4</v>
      </c>
      <c r="AO392" s="44">
        <f>(打分卡!$D$10*AF392+打分卡!$D$11*AG392)/5</f>
        <v>12</v>
      </c>
      <c r="AP392" s="44">
        <f>(打分卡!$D$12*AH392+打分卡!$D$13*AI392+打分卡!$D$14*AJ392+打分卡!$D$15*AK392)/5</f>
        <v>11.2</v>
      </c>
      <c r="AQ392" s="44">
        <f>(打分卡!$D$16*AL392+打分卡!$D$17*AM392)/5</f>
        <v>4.8</v>
      </c>
      <c r="AR392" s="47">
        <f t="shared" si="50"/>
        <v>45.4</v>
      </c>
      <c r="AS392" s="43" t="str">
        <f t="shared" si="51"/>
        <v>腰部</v>
      </c>
      <c r="AT392" s="43" t="str">
        <f t="shared" si="52"/>
        <v/>
      </c>
      <c r="AU392" s="43" t="str">
        <f t="shared" si="53"/>
        <v>拉·主攻：主推AI外呼+大促作战包</v>
      </c>
    </row>
    <row r="393" ht="15" customHeight="1" spans="1:47">
      <c r="A393" s="20" t="s">
        <v>1289</v>
      </c>
      <c r="B393" s="22" t="s">
        <v>1290</v>
      </c>
      <c r="C393" s="22" t="s">
        <v>189</v>
      </c>
      <c r="D393" s="22" t="s">
        <v>227</v>
      </c>
      <c r="E393" s="22" t="s">
        <v>181</v>
      </c>
      <c r="F393" s="20" t="s">
        <v>1291</v>
      </c>
      <c r="G393" s="22">
        <v>6</v>
      </c>
      <c r="H393" s="22" t="s">
        <v>301</v>
      </c>
      <c r="I393" s="22" t="s">
        <v>302</v>
      </c>
      <c r="J393" s="36">
        <v>36200</v>
      </c>
      <c r="K393" s="36">
        <v>22300</v>
      </c>
      <c r="L393" s="36">
        <v>19100</v>
      </c>
      <c r="M393" s="36">
        <f t="shared" si="48"/>
        <v>77600</v>
      </c>
      <c r="N393" s="34">
        <f t="shared" si="54"/>
        <v>0.000406828852973311</v>
      </c>
      <c r="O393" s="35">
        <f>SUM($M$2:M393)</f>
        <v>171872100</v>
      </c>
      <c r="P393" s="34">
        <f t="shared" si="55"/>
        <v>0.901063521921574</v>
      </c>
      <c r="Q393" s="39">
        <v>9.2</v>
      </c>
      <c r="R393" s="22">
        <v>1</v>
      </c>
      <c r="S393" s="22">
        <v>2</v>
      </c>
      <c r="T393" s="22">
        <v>0</v>
      </c>
      <c r="U393" s="39">
        <v>11.8</v>
      </c>
      <c r="V393" s="22">
        <v>7</v>
      </c>
      <c r="W393" s="22">
        <v>1</v>
      </c>
      <c r="X393" s="40">
        <v>87</v>
      </c>
      <c r="Y393" s="22">
        <v>2</v>
      </c>
      <c r="Z393" s="22">
        <v>1</v>
      </c>
      <c r="AA393" s="22" t="s">
        <v>185</v>
      </c>
      <c r="AB393" s="22" t="s">
        <v>220</v>
      </c>
      <c r="AC393" s="42">
        <f>IFERROR(LOOKUP(M393,打分卡!$F$7:$J$7,打分卡!$K$7:$O$7),1)</f>
        <v>2</v>
      </c>
      <c r="AD393" s="42">
        <f>IFERROR(LOOKUP(S393,打分卡!$F$8:$J$8,打分卡!$K$8:$O$8),1)</f>
        <v>2</v>
      </c>
      <c r="AE393" s="42">
        <f>IFERROR(LOOKUP(T393,打分卡!$F$9:$I$9,打分卡!$K$9:$N$9),1)</f>
        <v>1</v>
      </c>
      <c r="AF393" s="42">
        <f>IFERROR(LOOKUP(Q393,打分卡!$F$10:$J$10,打分卡!$K$10:$O$10),1)</f>
        <v>2</v>
      </c>
      <c r="AG393" s="42">
        <f>IFERROR(LOOKUP(R393,打分卡!$F$11:$J$11,打分卡!$K$11:$O$11),1)</f>
        <v>1</v>
      </c>
      <c r="AH393" s="42">
        <f>IFERROR(LOOKUP(U393,打分卡!$F$12:$J$12,打分卡!$K$12:$O$12),1)</f>
        <v>3</v>
      </c>
      <c r="AI393" s="42">
        <f>IFERROR(LOOKUP(X393,打分卡!$F$13:$J$13,打分卡!$K$13:$O$13),1)</f>
        <v>4</v>
      </c>
      <c r="AJ393" s="42">
        <f>IFERROR(LOOKUP(Y393,打分卡!$F$14:$J$14,打分卡!$K$14:$O$14),1)</f>
        <v>3</v>
      </c>
      <c r="AK393" s="42">
        <f>IFERROR(LOOKUP(W393,打分卡!$F$15:$J$15,打分卡!$K$15:$O$15),1)</f>
        <v>2</v>
      </c>
      <c r="AL393" s="45">
        <f t="shared" si="49"/>
        <v>3</v>
      </c>
      <c r="AM393" s="42">
        <f>IFERROR(LOOKUP(Z393,打分卡!$F$17:$H$17,打分卡!$K$17:$M$17),1)</f>
        <v>3</v>
      </c>
      <c r="AN393" s="46">
        <f>(打分卡!$D$7*AC393+打分卡!$D$8*AD393+打分卡!$D$9*AE393)/5</f>
        <v>14.6</v>
      </c>
      <c r="AO393" s="46">
        <f>(打分卡!$D$10*AF393+打分卡!$D$11*AG393)/5</f>
        <v>6</v>
      </c>
      <c r="AP393" s="46">
        <f>(打分卡!$D$12*AH393+打分卡!$D$13*AI393+打分卡!$D$14*AJ393+打分卡!$D$15*AK393)/5</f>
        <v>18.8</v>
      </c>
      <c r="AQ393" s="46">
        <f>(打分卡!$D$16*AL393+打分卡!$D$17*AM393)/5</f>
        <v>6</v>
      </c>
      <c r="AR393" s="48">
        <f t="shared" si="50"/>
        <v>45.4</v>
      </c>
      <c r="AS393" s="45" t="str">
        <f t="shared" si="51"/>
        <v>腰部</v>
      </c>
      <c r="AT393" s="45" t="str">
        <f t="shared" si="52"/>
        <v/>
      </c>
      <c r="AU393" s="45" t="str">
        <f t="shared" si="53"/>
        <v>拉·主攻：主推AI外呼+大促作战包</v>
      </c>
    </row>
    <row r="394" ht="15" customHeight="1" spans="1:47">
      <c r="A394" s="30" t="s">
        <v>1292</v>
      </c>
      <c r="B394" s="31" t="s">
        <v>1293</v>
      </c>
      <c r="C394" s="31" t="s">
        <v>179</v>
      </c>
      <c r="D394" s="31" t="s">
        <v>196</v>
      </c>
      <c r="E394" s="31" t="s">
        <v>197</v>
      </c>
      <c r="F394" s="30" t="s">
        <v>914</v>
      </c>
      <c r="G394" s="31">
        <v>10</v>
      </c>
      <c r="H394" s="31" t="s">
        <v>301</v>
      </c>
      <c r="I394" s="31" t="s">
        <v>184</v>
      </c>
      <c r="J394" s="33">
        <v>42800</v>
      </c>
      <c r="K394" s="33">
        <v>16200</v>
      </c>
      <c r="L394" s="33">
        <v>18600</v>
      </c>
      <c r="M394" s="33">
        <f t="shared" si="48"/>
        <v>77600</v>
      </c>
      <c r="N394" s="34">
        <f t="shared" si="54"/>
        <v>0.000406828852973311</v>
      </c>
      <c r="O394" s="35">
        <f>SUM($M$2:M394)</f>
        <v>171949700</v>
      </c>
      <c r="P394" s="34">
        <f t="shared" si="55"/>
        <v>0.901470350774548</v>
      </c>
      <c r="Q394" s="37">
        <v>10.3</v>
      </c>
      <c r="R394" s="31">
        <v>3</v>
      </c>
      <c r="S394" s="31">
        <v>2</v>
      </c>
      <c r="T394" s="31">
        <v>0</v>
      </c>
      <c r="U394" s="37">
        <v>1.2</v>
      </c>
      <c r="V394" s="31">
        <v>22</v>
      </c>
      <c r="W394" s="31">
        <v>1</v>
      </c>
      <c r="X394" s="38">
        <v>15</v>
      </c>
      <c r="Y394" s="31">
        <v>1</v>
      </c>
      <c r="Z394" s="31">
        <v>0</v>
      </c>
      <c r="AA394" s="31" t="s">
        <v>199</v>
      </c>
      <c r="AB394" s="31" t="s">
        <v>220</v>
      </c>
      <c r="AC394" s="41">
        <f>IFERROR(LOOKUP(M394,打分卡!$F$7:$J$7,打分卡!$K$7:$O$7),1)</f>
        <v>2</v>
      </c>
      <c r="AD394" s="41">
        <f>IFERROR(LOOKUP(S394,打分卡!$F$8:$J$8,打分卡!$K$8:$O$8),1)</f>
        <v>2</v>
      </c>
      <c r="AE394" s="41">
        <f>IFERROR(LOOKUP(T394,打分卡!$F$9:$I$9,打分卡!$K$9:$N$9),1)</f>
        <v>1</v>
      </c>
      <c r="AF394" s="41">
        <f>IFERROR(LOOKUP(Q394,打分卡!$F$10:$J$10,打分卡!$K$10:$O$10),1)</f>
        <v>3</v>
      </c>
      <c r="AG394" s="41">
        <f>IFERROR(LOOKUP(R394,打分卡!$F$11:$J$11,打分卡!$K$11:$O$11),1)</f>
        <v>2</v>
      </c>
      <c r="AH394" s="41">
        <f>IFERROR(LOOKUP(U394,打分卡!$F$12:$J$12,打分卡!$K$12:$O$12),1)</f>
        <v>1</v>
      </c>
      <c r="AI394" s="41">
        <f>IFERROR(LOOKUP(X394,打分卡!$F$13:$J$13,打分卡!$K$13:$O$13),1)</f>
        <v>1</v>
      </c>
      <c r="AJ394" s="41">
        <f>IFERROR(LOOKUP(Y394,打分卡!$F$14:$J$14,打分卡!$K$14:$O$14),1)</f>
        <v>2</v>
      </c>
      <c r="AK394" s="41">
        <f>IFERROR(LOOKUP(W394,打分卡!$F$15:$J$15,打分卡!$K$15:$O$15),1)</f>
        <v>2</v>
      </c>
      <c r="AL394" s="43">
        <f t="shared" si="49"/>
        <v>5</v>
      </c>
      <c r="AM394" s="41">
        <f>IFERROR(LOOKUP(Z394,打分卡!$F$17:$H$17,打分卡!$K$17:$M$17),1)</f>
        <v>1</v>
      </c>
      <c r="AN394" s="44">
        <f>(打分卡!$D$7*AC394+打分卡!$D$8*AD394+打分卡!$D$9*AE394)/5</f>
        <v>14.6</v>
      </c>
      <c r="AO394" s="44">
        <f>(打分卡!$D$10*AF394+打分卡!$D$11*AG394)/5</f>
        <v>10</v>
      </c>
      <c r="AP394" s="44">
        <f>(打分卡!$D$12*AH394+打分卡!$D$13*AI394+打分卡!$D$14*AJ394+打分卡!$D$15*AK394)/5</f>
        <v>8</v>
      </c>
      <c r="AQ394" s="44">
        <f>(打分卡!$D$16*AL394+打分卡!$D$17*AM394)/5</f>
        <v>6.8</v>
      </c>
      <c r="AR394" s="47">
        <f t="shared" si="50"/>
        <v>39.4</v>
      </c>
      <c r="AS394" s="43" t="str">
        <f t="shared" si="51"/>
        <v>基础长尾</v>
      </c>
      <c r="AT394" s="43" t="str">
        <f t="shared" si="52"/>
        <v/>
      </c>
      <c r="AU394" s="43" t="str">
        <f t="shared" si="53"/>
        <v>激活：企微+Push低成本先跑</v>
      </c>
    </row>
    <row r="395" ht="15" customHeight="1" spans="1:47">
      <c r="A395" s="20" t="s">
        <v>1294</v>
      </c>
      <c r="B395" s="22" t="s">
        <v>1295</v>
      </c>
      <c r="C395" s="22" t="s">
        <v>218</v>
      </c>
      <c r="D395" s="22" t="s">
        <v>196</v>
      </c>
      <c r="E395" s="22" t="s">
        <v>181</v>
      </c>
      <c r="F395" s="20" t="s">
        <v>1283</v>
      </c>
      <c r="G395" s="22">
        <v>19</v>
      </c>
      <c r="H395" s="22" t="s">
        <v>301</v>
      </c>
      <c r="I395" s="22" t="s">
        <v>302</v>
      </c>
      <c r="J395" s="36">
        <v>47200</v>
      </c>
      <c r="K395" s="36">
        <v>26300</v>
      </c>
      <c r="L395" s="36">
        <v>3900</v>
      </c>
      <c r="M395" s="36">
        <f t="shared" si="48"/>
        <v>77400</v>
      </c>
      <c r="N395" s="34">
        <f t="shared" si="54"/>
        <v>0.00040578032500173</v>
      </c>
      <c r="O395" s="35">
        <f>SUM($M$2:M395)</f>
        <v>172027100</v>
      </c>
      <c r="P395" s="34">
        <f t="shared" si="55"/>
        <v>0.901876131099549</v>
      </c>
      <c r="Q395" s="39">
        <v>11.6</v>
      </c>
      <c r="R395" s="22">
        <v>3</v>
      </c>
      <c r="S395" s="22">
        <v>3</v>
      </c>
      <c r="T395" s="22">
        <v>0</v>
      </c>
      <c r="U395" s="39">
        <v>62.7</v>
      </c>
      <c r="V395" s="22">
        <v>4</v>
      </c>
      <c r="W395" s="22">
        <v>1</v>
      </c>
      <c r="X395" s="40">
        <v>31</v>
      </c>
      <c r="Y395" s="22">
        <v>3</v>
      </c>
      <c r="Z395" s="22">
        <v>1</v>
      </c>
      <c r="AA395" s="22" t="s">
        <v>185</v>
      </c>
      <c r="AB395" s="22" t="s">
        <v>220</v>
      </c>
      <c r="AC395" s="42">
        <f>IFERROR(LOOKUP(M395,打分卡!$F$7:$J$7,打分卡!$K$7:$O$7),1)</f>
        <v>2</v>
      </c>
      <c r="AD395" s="42">
        <f>IFERROR(LOOKUP(S395,打分卡!$F$8:$J$8,打分卡!$K$8:$O$8),1)</f>
        <v>3</v>
      </c>
      <c r="AE395" s="42">
        <f>IFERROR(LOOKUP(T395,打分卡!$F$9:$I$9,打分卡!$K$9:$N$9),1)</f>
        <v>1</v>
      </c>
      <c r="AF395" s="42">
        <f>IFERROR(LOOKUP(Q395,打分卡!$F$10:$J$10,打分卡!$K$10:$O$10),1)</f>
        <v>3</v>
      </c>
      <c r="AG395" s="42">
        <f>IFERROR(LOOKUP(R395,打分卡!$F$11:$J$11,打分卡!$K$11:$O$11),1)</f>
        <v>2</v>
      </c>
      <c r="AH395" s="42">
        <f>IFERROR(LOOKUP(U395,打分卡!$F$12:$J$12,打分卡!$K$12:$O$12),1)</f>
        <v>4</v>
      </c>
      <c r="AI395" s="42">
        <f>IFERROR(LOOKUP(X395,打分卡!$F$13:$J$13,打分卡!$K$13:$O$13),1)</f>
        <v>2</v>
      </c>
      <c r="AJ395" s="42">
        <f>IFERROR(LOOKUP(Y395,打分卡!$F$14:$J$14,打分卡!$K$14:$O$14),1)</f>
        <v>4</v>
      </c>
      <c r="AK395" s="42">
        <f>IFERROR(LOOKUP(W395,打分卡!$F$15:$J$15,打分卡!$K$15:$O$15),1)</f>
        <v>2</v>
      </c>
      <c r="AL395" s="45">
        <f t="shared" si="49"/>
        <v>3</v>
      </c>
      <c r="AM395" s="42">
        <f>IFERROR(LOOKUP(Z395,打分卡!$F$17:$H$17,打分卡!$K$17:$M$17),1)</f>
        <v>3</v>
      </c>
      <c r="AN395" s="46">
        <f>(打分卡!$D$7*AC395+打分卡!$D$8*AD395+打分卡!$D$9*AE395)/5</f>
        <v>16.2</v>
      </c>
      <c r="AO395" s="46">
        <f>(打分卡!$D$10*AF395+打分卡!$D$11*AG395)/5</f>
        <v>10</v>
      </c>
      <c r="AP395" s="46">
        <f>(打分卡!$D$12*AH395+打分卡!$D$13*AI395+打分卡!$D$14*AJ395+打分卡!$D$15*AK395)/5</f>
        <v>19.2</v>
      </c>
      <c r="AQ395" s="46">
        <f>(打分卡!$D$16*AL395+打分卡!$D$17*AM395)/5</f>
        <v>6</v>
      </c>
      <c r="AR395" s="48">
        <f t="shared" si="50"/>
        <v>51.4</v>
      </c>
      <c r="AS395" s="45" t="str">
        <f t="shared" si="51"/>
        <v>腰部</v>
      </c>
      <c r="AT395" s="45" t="str">
        <f t="shared" si="52"/>
        <v/>
      </c>
      <c r="AU395" s="45" t="str">
        <f t="shared" si="53"/>
        <v>拉·主攻：主推AI外呼+大促作战包</v>
      </c>
    </row>
    <row r="396" ht="15" customHeight="1" spans="1:47">
      <c r="A396" s="30" t="s">
        <v>1296</v>
      </c>
      <c r="B396" s="31" t="s">
        <v>1297</v>
      </c>
      <c r="C396" s="31" t="s">
        <v>239</v>
      </c>
      <c r="D396" s="31" t="s">
        <v>190</v>
      </c>
      <c r="E396" s="31" t="s">
        <v>181</v>
      </c>
      <c r="F396" s="30" t="s">
        <v>1298</v>
      </c>
      <c r="G396" s="31">
        <v>12</v>
      </c>
      <c r="H396" s="31" t="s">
        <v>301</v>
      </c>
      <c r="I396" s="31" t="s">
        <v>184</v>
      </c>
      <c r="J396" s="33">
        <v>37600</v>
      </c>
      <c r="K396" s="33">
        <v>25300</v>
      </c>
      <c r="L396" s="33">
        <v>14300</v>
      </c>
      <c r="M396" s="33">
        <f t="shared" si="48"/>
        <v>77200</v>
      </c>
      <c r="N396" s="34">
        <f t="shared" si="54"/>
        <v>0.000404731797030149</v>
      </c>
      <c r="O396" s="35">
        <f>SUM($M$2:M396)</f>
        <v>172104300</v>
      </c>
      <c r="P396" s="34">
        <f t="shared" si="55"/>
        <v>0.902280862896579</v>
      </c>
      <c r="Q396" s="37">
        <v>6.3</v>
      </c>
      <c r="R396" s="31">
        <v>1</v>
      </c>
      <c r="S396" s="31">
        <v>3</v>
      </c>
      <c r="T396" s="31">
        <v>2</v>
      </c>
      <c r="U396" s="37">
        <v>41.4</v>
      </c>
      <c r="V396" s="31">
        <v>14</v>
      </c>
      <c r="W396" s="31">
        <v>0</v>
      </c>
      <c r="X396" s="38">
        <v>16</v>
      </c>
      <c r="Y396" s="31">
        <v>1</v>
      </c>
      <c r="Z396" s="31">
        <v>0</v>
      </c>
      <c r="AA396" s="31" t="s">
        <v>315</v>
      </c>
      <c r="AB396" s="31" t="s">
        <v>220</v>
      </c>
      <c r="AC396" s="41">
        <f>IFERROR(LOOKUP(M396,打分卡!$F$7:$J$7,打分卡!$K$7:$O$7),1)</f>
        <v>2</v>
      </c>
      <c r="AD396" s="41">
        <f>IFERROR(LOOKUP(S396,打分卡!$F$8:$J$8,打分卡!$K$8:$O$8),1)</f>
        <v>3</v>
      </c>
      <c r="AE396" s="41">
        <f>IFERROR(LOOKUP(T396,打分卡!$F$9:$I$9,打分卡!$K$9:$N$9),1)</f>
        <v>3</v>
      </c>
      <c r="AF396" s="41">
        <f>IFERROR(LOOKUP(Q396,打分卡!$F$10:$J$10,打分卡!$K$10:$O$10),1)</f>
        <v>2</v>
      </c>
      <c r="AG396" s="41">
        <f>IFERROR(LOOKUP(R396,打分卡!$F$11:$J$11,打分卡!$K$11:$O$11),1)</f>
        <v>1</v>
      </c>
      <c r="AH396" s="41">
        <f>IFERROR(LOOKUP(U396,打分卡!$F$12:$J$12,打分卡!$K$12:$O$12),1)</f>
        <v>4</v>
      </c>
      <c r="AI396" s="41">
        <f>IFERROR(LOOKUP(X396,打分卡!$F$13:$J$13,打分卡!$K$13:$O$13),1)</f>
        <v>1</v>
      </c>
      <c r="AJ396" s="41">
        <f>IFERROR(LOOKUP(Y396,打分卡!$F$14:$J$14,打分卡!$K$14:$O$14),1)</f>
        <v>2</v>
      </c>
      <c r="AK396" s="41">
        <f>IFERROR(LOOKUP(W396,打分卡!$F$15:$J$15,打分卡!$K$15:$O$15),1)</f>
        <v>1</v>
      </c>
      <c r="AL396" s="43">
        <f t="shared" si="49"/>
        <v>2</v>
      </c>
      <c r="AM396" s="41">
        <f>IFERROR(LOOKUP(Z396,打分卡!$F$17:$H$17,打分卡!$K$17:$M$17),1)</f>
        <v>1</v>
      </c>
      <c r="AN396" s="44">
        <f>(打分卡!$D$7*AC396+打分卡!$D$8*AD396+打分卡!$D$9*AE396)/5</f>
        <v>19</v>
      </c>
      <c r="AO396" s="44">
        <f>(打分卡!$D$10*AF396+打分卡!$D$11*AG396)/5</f>
        <v>6</v>
      </c>
      <c r="AP396" s="44">
        <f>(打分卡!$D$12*AH396+打分卡!$D$13*AI396+打分卡!$D$14*AJ396+打分卡!$D$15*AK396)/5</f>
        <v>14.4</v>
      </c>
      <c r="AQ396" s="44">
        <f>(打分卡!$D$16*AL396+打分卡!$D$17*AM396)/5</f>
        <v>3.2</v>
      </c>
      <c r="AR396" s="47">
        <f t="shared" si="50"/>
        <v>42.6</v>
      </c>
      <c r="AS396" s="43" t="str">
        <f t="shared" si="51"/>
        <v>腰部</v>
      </c>
      <c r="AT396" s="43" t="str">
        <f t="shared" si="52"/>
        <v/>
      </c>
      <c r="AU396" s="43" t="str">
        <f t="shared" si="53"/>
        <v>拉·主攻：主推AI外呼+大促作战包</v>
      </c>
    </row>
    <row r="397" ht="15" customHeight="1" spans="1:47">
      <c r="A397" s="20" t="s">
        <v>1299</v>
      </c>
      <c r="B397" s="22" t="s">
        <v>1300</v>
      </c>
      <c r="C397" s="22" t="s">
        <v>218</v>
      </c>
      <c r="D397" s="22" t="s">
        <v>227</v>
      </c>
      <c r="E397" s="22" t="s">
        <v>197</v>
      </c>
      <c r="F397" s="20" t="s">
        <v>1301</v>
      </c>
      <c r="G397" s="22">
        <v>17</v>
      </c>
      <c r="H397" s="22" t="s">
        <v>183</v>
      </c>
      <c r="I397" s="22" t="s">
        <v>302</v>
      </c>
      <c r="J397" s="36">
        <v>45000</v>
      </c>
      <c r="K397" s="36">
        <v>18500</v>
      </c>
      <c r="L397" s="36">
        <v>13700</v>
      </c>
      <c r="M397" s="36">
        <f t="shared" si="48"/>
        <v>77200</v>
      </c>
      <c r="N397" s="34">
        <f t="shared" si="54"/>
        <v>0.000404731797030149</v>
      </c>
      <c r="O397" s="35">
        <f>SUM($M$2:M397)</f>
        <v>172181500</v>
      </c>
      <c r="P397" s="34">
        <f t="shared" si="55"/>
        <v>0.90268559469361</v>
      </c>
      <c r="Q397" s="39">
        <v>12.3</v>
      </c>
      <c r="R397" s="22">
        <v>9</v>
      </c>
      <c r="S397" s="22">
        <v>2</v>
      </c>
      <c r="T397" s="22">
        <v>2</v>
      </c>
      <c r="U397" s="39">
        <v>66.6</v>
      </c>
      <c r="V397" s="22">
        <v>27</v>
      </c>
      <c r="W397" s="22">
        <v>1</v>
      </c>
      <c r="X397" s="40">
        <v>45</v>
      </c>
      <c r="Y397" s="22">
        <v>3</v>
      </c>
      <c r="Z397" s="22">
        <v>1</v>
      </c>
      <c r="AA397" s="22" t="s">
        <v>199</v>
      </c>
      <c r="AB397" s="22" t="s">
        <v>220</v>
      </c>
      <c r="AC397" s="42">
        <f>IFERROR(LOOKUP(M397,打分卡!$F$7:$J$7,打分卡!$K$7:$O$7),1)</f>
        <v>2</v>
      </c>
      <c r="AD397" s="42">
        <f>IFERROR(LOOKUP(S397,打分卡!$F$8:$J$8,打分卡!$K$8:$O$8),1)</f>
        <v>2</v>
      </c>
      <c r="AE397" s="42">
        <f>IFERROR(LOOKUP(T397,打分卡!$F$9:$I$9,打分卡!$K$9:$N$9),1)</f>
        <v>3</v>
      </c>
      <c r="AF397" s="42">
        <f>IFERROR(LOOKUP(Q397,打分卡!$F$10:$J$10,打分卡!$K$10:$O$10),1)</f>
        <v>3</v>
      </c>
      <c r="AG397" s="42">
        <f>IFERROR(LOOKUP(R397,打分卡!$F$11:$J$11,打分卡!$K$11:$O$11),1)</f>
        <v>4</v>
      </c>
      <c r="AH397" s="42">
        <f>IFERROR(LOOKUP(U397,打分卡!$F$12:$J$12,打分卡!$K$12:$O$12),1)</f>
        <v>4</v>
      </c>
      <c r="AI397" s="42">
        <f>IFERROR(LOOKUP(X397,打分卡!$F$13:$J$13,打分卡!$K$13:$O$13),1)</f>
        <v>3</v>
      </c>
      <c r="AJ397" s="42">
        <f>IFERROR(LOOKUP(Y397,打分卡!$F$14:$J$14,打分卡!$K$14:$O$14),1)</f>
        <v>4</v>
      </c>
      <c r="AK397" s="42">
        <f>IFERROR(LOOKUP(W397,打分卡!$F$15:$J$15,打分卡!$K$15:$O$15),1)</f>
        <v>2</v>
      </c>
      <c r="AL397" s="45">
        <f t="shared" si="49"/>
        <v>5</v>
      </c>
      <c r="AM397" s="42">
        <f>IFERROR(LOOKUP(Z397,打分卡!$F$17:$H$17,打分卡!$K$17:$M$17),1)</f>
        <v>3</v>
      </c>
      <c r="AN397" s="46">
        <f>(打分卡!$D$7*AC397+打分卡!$D$8*AD397+打分卡!$D$9*AE397)/5</f>
        <v>17.4</v>
      </c>
      <c r="AO397" s="46">
        <f>(打分卡!$D$10*AF397+打分卡!$D$11*AG397)/5</f>
        <v>14</v>
      </c>
      <c r="AP397" s="46">
        <f>(打分卡!$D$12*AH397+打分卡!$D$13*AI397+打分卡!$D$14*AJ397+打分卡!$D$15*AK397)/5</f>
        <v>20.8</v>
      </c>
      <c r="AQ397" s="46">
        <f>(打分卡!$D$16*AL397+打分卡!$D$17*AM397)/5</f>
        <v>8.4</v>
      </c>
      <c r="AR397" s="48">
        <f t="shared" si="50"/>
        <v>60.6</v>
      </c>
      <c r="AS397" s="45" t="str">
        <f t="shared" si="51"/>
        <v>腰部</v>
      </c>
      <c r="AT397" s="45" t="str">
        <f t="shared" si="52"/>
        <v/>
      </c>
      <c r="AU397" s="45" t="str">
        <f t="shared" si="53"/>
        <v>拉·主攻：主推AI外呼+大促作战包</v>
      </c>
    </row>
    <row r="398" ht="15" customHeight="1" spans="1:47">
      <c r="A398" s="30" t="s">
        <v>1302</v>
      </c>
      <c r="B398" s="31" t="s">
        <v>1303</v>
      </c>
      <c r="C398" s="31" t="s">
        <v>218</v>
      </c>
      <c r="D398" s="31" t="s">
        <v>227</v>
      </c>
      <c r="E398" s="31" t="s">
        <v>181</v>
      </c>
      <c r="F398" s="30" t="s">
        <v>1304</v>
      </c>
      <c r="G398" s="31">
        <v>19</v>
      </c>
      <c r="H398" s="31" t="s">
        <v>301</v>
      </c>
      <c r="I398" s="31" t="s">
        <v>302</v>
      </c>
      <c r="J398" s="33">
        <v>36800</v>
      </c>
      <c r="K398" s="33">
        <v>19500</v>
      </c>
      <c r="L398" s="33">
        <v>20700</v>
      </c>
      <c r="M398" s="33">
        <f t="shared" si="48"/>
        <v>77000</v>
      </c>
      <c r="N398" s="34">
        <f t="shared" si="54"/>
        <v>0.000403683269058569</v>
      </c>
      <c r="O398" s="35">
        <f>SUM($M$2:M398)</f>
        <v>172258500</v>
      </c>
      <c r="P398" s="34">
        <f t="shared" si="55"/>
        <v>0.903089277962668</v>
      </c>
      <c r="Q398" s="37">
        <v>7</v>
      </c>
      <c r="R398" s="31">
        <v>8</v>
      </c>
      <c r="S398" s="31">
        <v>3</v>
      </c>
      <c r="T398" s="31">
        <v>0</v>
      </c>
      <c r="U398" s="37">
        <v>4.2</v>
      </c>
      <c r="V398" s="31">
        <v>5</v>
      </c>
      <c r="W398" s="31">
        <v>2</v>
      </c>
      <c r="X398" s="38">
        <v>29</v>
      </c>
      <c r="Y398" s="31">
        <v>0</v>
      </c>
      <c r="Z398" s="31">
        <v>0</v>
      </c>
      <c r="AA398" s="31" t="s">
        <v>185</v>
      </c>
      <c r="AB398" s="31" t="s">
        <v>220</v>
      </c>
      <c r="AC398" s="41">
        <f>IFERROR(LOOKUP(M398,打分卡!$F$7:$J$7,打分卡!$K$7:$O$7),1)</f>
        <v>2</v>
      </c>
      <c r="AD398" s="41">
        <f>IFERROR(LOOKUP(S398,打分卡!$F$8:$J$8,打分卡!$K$8:$O$8),1)</f>
        <v>3</v>
      </c>
      <c r="AE398" s="41">
        <f>IFERROR(LOOKUP(T398,打分卡!$F$9:$I$9,打分卡!$K$9:$N$9),1)</f>
        <v>1</v>
      </c>
      <c r="AF398" s="41">
        <f>IFERROR(LOOKUP(Q398,打分卡!$F$10:$J$10,打分卡!$K$10:$O$10),1)</f>
        <v>2</v>
      </c>
      <c r="AG398" s="41">
        <f>IFERROR(LOOKUP(R398,打分卡!$F$11:$J$11,打分卡!$K$11:$O$11),1)</f>
        <v>3</v>
      </c>
      <c r="AH398" s="41">
        <f>IFERROR(LOOKUP(U398,打分卡!$F$12:$J$12,打分卡!$K$12:$O$12),1)</f>
        <v>2</v>
      </c>
      <c r="AI398" s="41">
        <f>IFERROR(LOOKUP(X398,打分卡!$F$13:$J$13,打分卡!$K$13:$O$13),1)</f>
        <v>2</v>
      </c>
      <c r="AJ398" s="41">
        <f>IFERROR(LOOKUP(Y398,打分卡!$F$14:$J$14,打分卡!$K$14:$O$14),1)</f>
        <v>1</v>
      </c>
      <c r="AK398" s="41">
        <f>IFERROR(LOOKUP(W398,打分卡!$F$15:$J$15,打分卡!$K$15:$O$15),1)</f>
        <v>2</v>
      </c>
      <c r="AL398" s="43">
        <f t="shared" si="49"/>
        <v>3</v>
      </c>
      <c r="AM398" s="41">
        <f>IFERROR(LOOKUP(Z398,打分卡!$F$17:$H$17,打分卡!$K$17:$M$17),1)</f>
        <v>1</v>
      </c>
      <c r="AN398" s="44">
        <f>(打分卡!$D$7*AC398+打分卡!$D$8*AD398+打分卡!$D$9*AE398)/5</f>
        <v>16.2</v>
      </c>
      <c r="AO398" s="44">
        <f>(打分卡!$D$10*AF398+打分卡!$D$11*AG398)/5</f>
        <v>10</v>
      </c>
      <c r="AP398" s="44">
        <f>(打分卡!$D$12*AH398+打分卡!$D$13*AI398+打分卡!$D$14*AJ398+打分卡!$D$15*AK398)/5</f>
        <v>10.8</v>
      </c>
      <c r="AQ398" s="44">
        <f>(打分卡!$D$16*AL398+打分卡!$D$17*AM398)/5</f>
        <v>4.4</v>
      </c>
      <c r="AR398" s="47">
        <f t="shared" si="50"/>
        <v>41.4</v>
      </c>
      <c r="AS398" s="43" t="str">
        <f t="shared" si="51"/>
        <v>腰部</v>
      </c>
      <c r="AT398" s="43" t="str">
        <f t="shared" si="52"/>
        <v/>
      </c>
      <c r="AU398" s="43" t="str">
        <f t="shared" si="53"/>
        <v>拉·主攻：主推AI外呼+大促作战包</v>
      </c>
    </row>
    <row r="399" ht="15" customHeight="1" spans="1:47">
      <c r="A399" s="20" t="s">
        <v>1305</v>
      </c>
      <c r="B399" s="22" t="s">
        <v>1306</v>
      </c>
      <c r="C399" s="22" t="s">
        <v>223</v>
      </c>
      <c r="D399" s="22" t="s">
        <v>196</v>
      </c>
      <c r="E399" s="22" t="s">
        <v>181</v>
      </c>
      <c r="F399" s="20" t="s">
        <v>1307</v>
      </c>
      <c r="G399" s="22">
        <v>17</v>
      </c>
      <c r="H399" s="22" t="s">
        <v>301</v>
      </c>
      <c r="I399" s="22" t="s">
        <v>302</v>
      </c>
      <c r="J399" s="36">
        <v>39300</v>
      </c>
      <c r="K399" s="36">
        <v>24100</v>
      </c>
      <c r="L399" s="36">
        <v>13500</v>
      </c>
      <c r="M399" s="36">
        <f t="shared" si="48"/>
        <v>76900</v>
      </c>
      <c r="N399" s="34">
        <f t="shared" si="54"/>
        <v>0.000403159005072778</v>
      </c>
      <c r="O399" s="35">
        <f>SUM($M$2:M399)</f>
        <v>172335400</v>
      </c>
      <c r="P399" s="34">
        <f t="shared" si="55"/>
        <v>0.903492436967741</v>
      </c>
      <c r="Q399" s="39">
        <v>7.1</v>
      </c>
      <c r="R399" s="22">
        <v>6</v>
      </c>
      <c r="S399" s="22">
        <v>1</v>
      </c>
      <c r="T399" s="22">
        <v>1</v>
      </c>
      <c r="U399" s="39">
        <v>31.6</v>
      </c>
      <c r="V399" s="22">
        <v>17</v>
      </c>
      <c r="W399" s="22">
        <v>1</v>
      </c>
      <c r="X399" s="40">
        <v>102</v>
      </c>
      <c r="Y399" s="22">
        <v>1</v>
      </c>
      <c r="Z399" s="22">
        <v>0</v>
      </c>
      <c r="AA399" s="22" t="s">
        <v>315</v>
      </c>
      <c r="AB399" s="22" t="s">
        <v>220</v>
      </c>
      <c r="AC399" s="42">
        <f>IFERROR(LOOKUP(M399,打分卡!$F$7:$J$7,打分卡!$K$7:$O$7),1)</f>
        <v>2</v>
      </c>
      <c r="AD399" s="42">
        <f>IFERROR(LOOKUP(S399,打分卡!$F$8:$J$8,打分卡!$K$8:$O$8),1)</f>
        <v>1</v>
      </c>
      <c r="AE399" s="42">
        <f>IFERROR(LOOKUP(T399,打分卡!$F$9:$I$9,打分卡!$K$9:$N$9),1)</f>
        <v>2</v>
      </c>
      <c r="AF399" s="42">
        <f>IFERROR(LOOKUP(Q399,打分卡!$F$10:$J$10,打分卡!$K$10:$O$10),1)</f>
        <v>2</v>
      </c>
      <c r="AG399" s="42">
        <f>IFERROR(LOOKUP(R399,打分卡!$F$11:$J$11,打分卡!$K$11:$O$11),1)</f>
        <v>3</v>
      </c>
      <c r="AH399" s="42">
        <f>IFERROR(LOOKUP(U399,打分卡!$F$12:$J$12,打分卡!$K$12:$O$12),1)</f>
        <v>3</v>
      </c>
      <c r="AI399" s="42">
        <f>IFERROR(LOOKUP(X399,打分卡!$F$13:$J$13,打分卡!$K$13:$O$13),1)</f>
        <v>4</v>
      </c>
      <c r="AJ399" s="42">
        <f>IFERROR(LOOKUP(Y399,打分卡!$F$14:$J$14,打分卡!$K$14:$O$14),1)</f>
        <v>2</v>
      </c>
      <c r="AK399" s="42">
        <f>IFERROR(LOOKUP(W399,打分卡!$F$15:$J$15,打分卡!$K$15:$O$15),1)</f>
        <v>2</v>
      </c>
      <c r="AL399" s="45">
        <f t="shared" si="49"/>
        <v>2</v>
      </c>
      <c r="AM399" s="42">
        <f>IFERROR(LOOKUP(Z399,打分卡!$F$17:$H$17,打分卡!$K$17:$M$17),1)</f>
        <v>1</v>
      </c>
      <c r="AN399" s="46">
        <f>(打分卡!$D$7*AC399+打分卡!$D$8*AD399+打分卡!$D$9*AE399)/5</f>
        <v>14.4</v>
      </c>
      <c r="AO399" s="46">
        <f>(打分卡!$D$10*AF399+打分卡!$D$11*AG399)/5</f>
        <v>10</v>
      </c>
      <c r="AP399" s="46">
        <f>(打分卡!$D$12*AH399+打分卡!$D$13*AI399+打分卡!$D$14*AJ399+打分卡!$D$15*AK399)/5</f>
        <v>17.6</v>
      </c>
      <c r="AQ399" s="46">
        <f>(打分卡!$D$16*AL399+打分卡!$D$17*AM399)/5</f>
        <v>3.2</v>
      </c>
      <c r="AR399" s="48">
        <f t="shared" si="50"/>
        <v>45.2</v>
      </c>
      <c r="AS399" s="45" t="str">
        <f t="shared" si="51"/>
        <v>腰部</v>
      </c>
      <c r="AT399" s="45" t="str">
        <f t="shared" si="52"/>
        <v/>
      </c>
      <c r="AU399" s="45" t="str">
        <f t="shared" si="53"/>
        <v>拉·主攻：主推AI外呼+大促作战包</v>
      </c>
    </row>
    <row r="400" ht="15" customHeight="1" spans="1:47">
      <c r="A400" s="30" t="s">
        <v>1308</v>
      </c>
      <c r="B400" s="31" t="s">
        <v>1309</v>
      </c>
      <c r="C400" s="31" t="s">
        <v>195</v>
      </c>
      <c r="D400" s="31" t="s">
        <v>202</v>
      </c>
      <c r="E400" s="31" t="s">
        <v>181</v>
      </c>
      <c r="F400" s="30" t="s">
        <v>811</v>
      </c>
      <c r="G400" s="31">
        <v>18</v>
      </c>
      <c r="H400" s="31" t="s">
        <v>301</v>
      </c>
      <c r="I400" s="31" t="s">
        <v>184</v>
      </c>
      <c r="J400" s="33">
        <v>34500</v>
      </c>
      <c r="K400" s="33">
        <v>15700</v>
      </c>
      <c r="L400" s="33">
        <v>25600</v>
      </c>
      <c r="M400" s="33">
        <f t="shared" si="48"/>
        <v>75800</v>
      </c>
      <c r="N400" s="34">
        <f t="shared" si="54"/>
        <v>0.000397392101229085</v>
      </c>
      <c r="O400" s="35">
        <f>SUM($M$2:M400)</f>
        <v>172411200</v>
      </c>
      <c r="P400" s="34">
        <f t="shared" si="55"/>
        <v>0.90388982906897</v>
      </c>
      <c r="Q400" s="37">
        <v>9.1</v>
      </c>
      <c r="R400" s="31">
        <v>1</v>
      </c>
      <c r="S400" s="31">
        <v>2</v>
      </c>
      <c r="T400" s="31">
        <v>1</v>
      </c>
      <c r="U400" s="37">
        <v>1.4</v>
      </c>
      <c r="V400" s="31">
        <v>26</v>
      </c>
      <c r="W400" s="31">
        <v>0</v>
      </c>
      <c r="X400" s="38">
        <v>11</v>
      </c>
      <c r="Y400" s="31">
        <v>3</v>
      </c>
      <c r="Z400" s="31">
        <v>0</v>
      </c>
      <c r="AA400" s="31" t="s">
        <v>185</v>
      </c>
      <c r="AB400" s="31" t="s">
        <v>220</v>
      </c>
      <c r="AC400" s="41">
        <f>IFERROR(LOOKUP(M400,打分卡!$F$7:$J$7,打分卡!$K$7:$O$7),1)</f>
        <v>2</v>
      </c>
      <c r="AD400" s="41">
        <f>IFERROR(LOOKUP(S400,打分卡!$F$8:$J$8,打分卡!$K$8:$O$8),1)</f>
        <v>2</v>
      </c>
      <c r="AE400" s="41">
        <f>IFERROR(LOOKUP(T400,打分卡!$F$9:$I$9,打分卡!$K$9:$N$9),1)</f>
        <v>2</v>
      </c>
      <c r="AF400" s="41">
        <f>IFERROR(LOOKUP(Q400,打分卡!$F$10:$J$10,打分卡!$K$10:$O$10),1)</f>
        <v>2</v>
      </c>
      <c r="AG400" s="41">
        <f>IFERROR(LOOKUP(R400,打分卡!$F$11:$J$11,打分卡!$K$11:$O$11),1)</f>
        <v>1</v>
      </c>
      <c r="AH400" s="41">
        <f>IFERROR(LOOKUP(U400,打分卡!$F$12:$J$12,打分卡!$K$12:$O$12),1)</f>
        <v>1</v>
      </c>
      <c r="AI400" s="41">
        <f>IFERROR(LOOKUP(X400,打分卡!$F$13:$J$13,打分卡!$K$13:$O$13),1)</f>
        <v>1</v>
      </c>
      <c r="AJ400" s="41">
        <f>IFERROR(LOOKUP(Y400,打分卡!$F$14:$J$14,打分卡!$K$14:$O$14),1)</f>
        <v>4</v>
      </c>
      <c r="AK400" s="41">
        <f>IFERROR(LOOKUP(W400,打分卡!$F$15:$J$15,打分卡!$K$15:$O$15),1)</f>
        <v>1</v>
      </c>
      <c r="AL400" s="43">
        <f t="shared" si="49"/>
        <v>3</v>
      </c>
      <c r="AM400" s="41">
        <f>IFERROR(LOOKUP(Z400,打分卡!$F$17:$H$17,打分卡!$K$17:$M$17),1)</f>
        <v>1</v>
      </c>
      <c r="AN400" s="44">
        <f>(打分卡!$D$7*AC400+打分卡!$D$8*AD400+打分卡!$D$9*AE400)/5</f>
        <v>16</v>
      </c>
      <c r="AO400" s="44">
        <f>(打分卡!$D$10*AF400+打分卡!$D$11*AG400)/5</f>
        <v>6</v>
      </c>
      <c r="AP400" s="44">
        <f>(打分卡!$D$12*AH400+打分卡!$D$13*AI400+打分卡!$D$14*AJ400+打分卡!$D$15*AK400)/5</f>
        <v>9.6</v>
      </c>
      <c r="AQ400" s="44">
        <f>(打分卡!$D$16*AL400+打分卡!$D$17*AM400)/5</f>
        <v>4.4</v>
      </c>
      <c r="AR400" s="47">
        <f t="shared" si="50"/>
        <v>36</v>
      </c>
      <c r="AS400" s="43" t="str">
        <f t="shared" si="51"/>
        <v>基础长尾</v>
      </c>
      <c r="AT400" s="43" t="str">
        <f t="shared" si="52"/>
        <v/>
      </c>
      <c r="AU400" s="43" t="str">
        <f t="shared" si="53"/>
        <v>激活：企微+Push低成本先跑</v>
      </c>
    </row>
    <row r="401" ht="15" customHeight="1" spans="1:47">
      <c r="A401" s="20" t="s">
        <v>1310</v>
      </c>
      <c r="B401" s="22" t="s">
        <v>1311</v>
      </c>
      <c r="C401" s="22" t="s">
        <v>239</v>
      </c>
      <c r="D401" s="22" t="s">
        <v>202</v>
      </c>
      <c r="E401" s="22" t="s">
        <v>197</v>
      </c>
      <c r="F401" s="20" t="s">
        <v>1312</v>
      </c>
      <c r="G401" s="22">
        <v>12</v>
      </c>
      <c r="H401" s="22" t="s">
        <v>183</v>
      </c>
      <c r="I401" s="22" t="s">
        <v>184</v>
      </c>
      <c r="J401" s="36">
        <v>41600</v>
      </c>
      <c r="K401" s="36">
        <v>23200</v>
      </c>
      <c r="L401" s="36">
        <v>11100</v>
      </c>
      <c r="M401" s="36">
        <f t="shared" si="48"/>
        <v>75900</v>
      </c>
      <c r="N401" s="34">
        <f t="shared" si="54"/>
        <v>0.000397916365214875</v>
      </c>
      <c r="O401" s="35">
        <f>SUM($M$2:M401)</f>
        <v>172487100</v>
      </c>
      <c r="P401" s="34">
        <f t="shared" si="55"/>
        <v>0.904287745434185</v>
      </c>
      <c r="Q401" s="39">
        <v>6.9</v>
      </c>
      <c r="R401" s="22">
        <v>2</v>
      </c>
      <c r="S401" s="22">
        <v>1</v>
      </c>
      <c r="T401" s="22">
        <v>1</v>
      </c>
      <c r="U401" s="39">
        <v>57.8</v>
      </c>
      <c r="V401" s="22">
        <v>4</v>
      </c>
      <c r="W401" s="22">
        <v>1</v>
      </c>
      <c r="X401" s="40">
        <v>20</v>
      </c>
      <c r="Y401" s="22">
        <v>2</v>
      </c>
      <c r="Z401" s="22">
        <v>0</v>
      </c>
      <c r="AA401" s="22" t="s">
        <v>199</v>
      </c>
      <c r="AB401" s="22" t="s">
        <v>220</v>
      </c>
      <c r="AC401" s="42">
        <f>IFERROR(LOOKUP(M401,打分卡!$F$7:$J$7,打分卡!$K$7:$O$7),1)</f>
        <v>2</v>
      </c>
      <c r="AD401" s="42">
        <f>IFERROR(LOOKUP(S401,打分卡!$F$8:$J$8,打分卡!$K$8:$O$8),1)</f>
        <v>1</v>
      </c>
      <c r="AE401" s="42">
        <f>IFERROR(LOOKUP(T401,打分卡!$F$9:$I$9,打分卡!$K$9:$N$9),1)</f>
        <v>2</v>
      </c>
      <c r="AF401" s="42">
        <f>IFERROR(LOOKUP(Q401,打分卡!$F$10:$J$10,打分卡!$K$10:$O$10),1)</f>
        <v>2</v>
      </c>
      <c r="AG401" s="42">
        <f>IFERROR(LOOKUP(R401,打分卡!$F$11:$J$11,打分卡!$K$11:$O$11),1)</f>
        <v>1</v>
      </c>
      <c r="AH401" s="42">
        <f>IFERROR(LOOKUP(U401,打分卡!$F$12:$J$12,打分卡!$K$12:$O$12),1)</f>
        <v>4</v>
      </c>
      <c r="AI401" s="42">
        <f>IFERROR(LOOKUP(X401,打分卡!$F$13:$J$13,打分卡!$K$13:$O$13),1)</f>
        <v>2</v>
      </c>
      <c r="AJ401" s="42">
        <f>IFERROR(LOOKUP(Y401,打分卡!$F$14:$J$14,打分卡!$K$14:$O$14),1)</f>
        <v>3</v>
      </c>
      <c r="AK401" s="42">
        <f>IFERROR(LOOKUP(W401,打分卡!$F$15:$J$15,打分卡!$K$15:$O$15),1)</f>
        <v>2</v>
      </c>
      <c r="AL401" s="45">
        <f t="shared" si="49"/>
        <v>5</v>
      </c>
      <c r="AM401" s="42">
        <f>IFERROR(LOOKUP(Z401,打分卡!$F$17:$H$17,打分卡!$K$17:$M$17),1)</f>
        <v>1</v>
      </c>
      <c r="AN401" s="46">
        <f>(打分卡!$D$7*AC401+打分卡!$D$8*AD401+打分卡!$D$9*AE401)/5</f>
        <v>14.4</v>
      </c>
      <c r="AO401" s="46">
        <f>(打分卡!$D$10*AF401+打分卡!$D$11*AG401)/5</f>
        <v>6</v>
      </c>
      <c r="AP401" s="46">
        <f>(打分卡!$D$12*AH401+打分卡!$D$13*AI401+打分卡!$D$14*AJ401+打分卡!$D$15*AK401)/5</f>
        <v>18</v>
      </c>
      <c r="AQ401" s="46">
        <f>(打分卡!$D$16*AL401+打分卡!$D$17*AM401)/5</f>
        <v>6.8</v>
      </c>
      <c r="AR401" s="48">
        <f t="shared" si="50"/>
        <v>45.2</v>
      </c>
      <c r="AS401" s="45" t="str">
        <f t="shared" si="51"/>
        <v>腰部</v>
      </c>
      <c r="AT401" s="45" t="str">
        <f t="shared" si="52"/>
        <v/>
      </c>
      <c r="AU401" s="45" t="str">
        <f t="shared" si="53"/>
        <v>拉·主攻：主推AI外呼+大促作战包</v>
      </c>
    </row>
    <row r="402" ht="15" customHeight="1" spans="1:47">
      <c r="A402" s="30" t="s">
        <v>1313</v>
      </c>
      <c r="B402" s="31" t="s">
        <v>1314</v>
      </c>
      <c r="C402" s="31" t="s">
        <v>189</v>
      </c>
      <c r="D402" s="31" t="s">
        <v>202</v>
      </c>
      <c r="E402" s="31" t="s">
        <v>181</v>
      </c>
      <c r="F402" s="30" t="s">
        <v>1315</v>
      </c>
      <c r="G402" s="31">
        <v>15</v>
      </c>
      <c r="H402" s="31" t="s">
        <v>301</v>
      </c>
      <c r="I402" s="31" t="s">
        <v>302</v>
      </c>
      <c r="J402" s="33">
        <v>37500</v>
      </c>
      <c r="K402" s="33">
        <v>25100</v>
      </c>
      <c r="L402" s="33">
        <v>12700</v>
      </c>
      <c r="M402" s="33">
        <f t="shared" si="48"/>
        <v>75300</v>
      </c>
      <c r="N402" s="34">
        <f t="shared" si="54"/>
        <v>0.000394770781300133</v>
      </c>
      <c r="O402" s="35">
        <f>SUM($M$2:M402)</f>
        <v>172562400</v>
      </c>
      <c r="P402" s="34">
        <f t="shared" si="55"/>
        <v>0.904682516215485</v>
      </c>
      <c r="Q402" s="37">
        <v>11.6</v>
      </c>
      <c r="R402" s="31">
        <v>3</v>
      </c>
      <c r="S402" s="31">
        <v>2</v>
      </c>
      <c r="T402" s="31">
        <v>1</v>
      </c>
      <c r="U402" s="37">
        <v>26.5</v>
      </c>
      <c r="V402" s="31">
        <v>30</v>
      </c>
      <c r="W402" s="31">
        <v>2</v>
      </c>
      <c r="X402" s="38">
        <v>24</v>
      </c>
      <c r="Y402" s="31">
        <v>1</v>
      </c>
      <c r="Z402" s="31">
        <v>0</v>
      </c>
      <c r="AA402" s="31" t="s">
        <v>185</v>
      </c>
      <c r="AB402" s="31" t="s">
        <v>220</v>
      </c>
      <c r="AC402" s="41">
        <f>IFERROR(LOOKUP(M402,打分卡!$F$7:$J$7,打分卡!$K$7:$O$7),1)</f>
        <v>2</v>
      </c>
      <c r="AD402" s="41">
        <f>IFERROR(LOOKUP(S402,打分卡!$F$8:$J$8,打分卡!$K$8:$O$8),1)</f>
        <v>2</v>
      </c>
      <c r="AE402" s="41">
        <f>IFERROR(LOOKUP(T402,打分卡!$F$9:$I$9,打分卡!$K$9:$N$9),1)</f>
        <v>2</v>
      </c>
      <c r="AF402" s="41">
        <f>IFERROR(LOOKUP(Q402,打分卡!$F$10:$J$10,打分卡!$K$10:$O$10),1)</f>
        <v>3</v>
      </c>
      <c r="AG402" s="41">
        <f>IFERROR(LOOKUP(R402,打分卡!$F$11:$J$11,打分卡!$K$11:$O$11),1)</f>
        <v>2</v>
      </c>
      <c r="AH402" s="41">
        <f>IFERROR(LOOKUP(U402,打分卡!$F$12:$J$12,打分卡!$K$12:$O$12),1)</f>
        <v>3</v>
      </c>
      <c r="AI402" s="41">
        <f>IFERROR(LOOKUP(X402,打分卡!$F$13:$J$13,打分卡!$K$13:$O$13),1)</f>
        <v>2</v>
      </c>
      <c r="AJ402" s="41">
        <f>IFERROR(LOOKUP(Y402,打分卡!$F$14:$J$14,打分卡!$K$14:$O$14),1)</f>
        <v>2</v>
      </c>
      <c r="AK402" s="41">
        <f>IFERROR(LOOKUP(W402,打分卡!$F$15:$J$15,打分卡!$K$15:$O$15),1)</f>
        <v>2</v>
      </c>
      <c r="AL402" s="43">
        <f t="shared" si="49"/>
        <v>3</v>
      </c>
      <c r="AM402" s="41">
        <f>IFERROR(LOOKUP(Z402,打分卡!$F$17:$H$17,打分卡!$K$17:$M$17),1)</f>
        <v>1</v>
      </c>
      <c r="AN402" s="44">
        <f>(打分卡!$D$7*AC402+打分卡!$D$8*AD402+打分卡!$D$9*AE402)/5</f>
        <v>16</v>
      </c>
      <c r="AO402" s="44">
        <f>(打分卡!$D$10*AF402+打分卡!$D$11*AG402)/5</f>
        <v>10</v>
      </c>
      <c r="AP402" s="44">
        <f>(打分卡!$D$12*AH402+打分卡!$D$13*AI402+打分卡!$D$14*AJ402+打分卡!$D$15*AK402)/5</f>
        <v>14.4</v>
      </c>
      <c r="AQ402" s="44">
        <f>(打分卡!$D$16*AL402+打分卡!$D$17*AM402)/5</f>
        <v>4.4</v>
      </c>
      <c r="AR402" s="47">
        <f t="shared" si="50"/>
        <v>44.8</v>
      </c>
      <c r="AS402" s="43" t="str">
        <f t="shared" si="51"/>
        <v>腰部</v>
      </c>
      <c r="AT402" s="43" t="str">
        <f t="shared" si="52"/>
        <v/>
      </c>
      <c r="AU402" s="43" t="str">
        <f t="shared" si="53"/>
        <v>拉·主攻：主推AI外呼+大促作战包</v>
      </c>
    </row>
    <row r="403" ht="15" customHeight="1" spans="1:47">
      <c r="A403" s="20" t="s">
        <v>1316</v>
      </c>
      <c r="B403" s="22" t="s">
        <v>1317</v>
      </c>
      <c r="C403" s="22" t="s">
        <v>195</v>
      </c>
      <c r="D403" s="22" t="s">
        <v>202</v>
      </c>
      <c r="E403" s="22" t="s">
        <v>197</v>
      </c>
      <c r="F403" s="20" t="s">
        <v>717</v>
      </c>
      <c r="G403" s="22">
        <v>12</v>
      </c>
      <c r="H403" s="22" t="s">
        <v>301</v>
      </c>
      <c r="I403" s="22" t="s">
        <v>302</v>
      </c>
      <c r="J403" s="36">
        <v>37100</v>
      </c>
      <c r="K403" s="36">
        <v>17600</v>
      </c>
      <c r="L403" s="36">
        <v>20400</v>
      </c>
      <c r="M403" s="36">
        <f t="shared" si="48"/>
        <v>75100</v>
      </c>
      <c r="N403" s="34">
        <f t="shared" si="54"/>
        <v>0.000393722253328552</v>
      </c>
      <c r="O403" s="35">
        <f>SUM($M$2:M403)</f>
        <v>172637500</v>
      </c>
      <c r="P403" s="34">
        <f t="shared" si="55"/>
        <v>0.905076238468814</v>
      </c>
      <c r="Q403" s="39">
        <v>5.9</v>
      </c>
      <c r="R403" s="22">
        <v>4</v>
      </c>
      <c r="S403" s="22">
        <v>2</v>
      </c>
      <c r="T403" s="22">
        <v>2</v>
      </c>
      <c r="U403" s="39">
        <v>12.4</v>
      </c>
      <c r="V403" s="22">
        <v>18</v>
      </c>
      <c r="W403" s="22">
        <v>0</v>
      </c>
      <c r="X403" s="40">
        <v>59</v>
      </c>
      <c r="Y403" s="22">
        <v>1</v>
      </c>
      <c r="Z403" s="22">
        <v>1</v>
      </c>
      <c r="AA403" s="22" t="s">
        <v>199</v>
      </c>
      <c r="AB403" s="22" t="s">
        <v>220</v>
      </c>
      <c r="AC403" s="42">
        <f>IFERROR(LOOKUP(M403,打分卡!$F$7:$J$7,打分卡!$K$7:$O$7),1)</f>
        <v>2</v>
      </c>
      <c r="AD403" s="42">
        <f>IFERROR(LOOKUP(S403,打分卡!$F$8:$J$8,打分卡!$K$8:$O$8),1)</f>
        <v>2</v>
      </c>
      <c r="AE403" s="42">
        <f>IFERROR(LOOKUP(T403,打分卡!$F$9:$I$9,打分卡!$K$9:$N$9),1)</f>
        <v>3</v>
      </c>
      <c r="AF403" s="42">
        <f>IFERROR(LOOKUP(Q403,打分卡!$F$10:$J$10,打分卡!$K$10:$O$10),1)</f>
        <v>2</v>
      </c>
      <c r="AG403" s="42">
        <f>IFERROR(LOOKUP(R403,打分卡!$F$11:$J$11,打分卡!$K$11:$O$11),1)</f>
        <v>2</v>
      </c>
      <c r="AH403" s="42">
        <f>IFERROR(LOOKUP(U403,打分卡!$F$12:$J$12,打分卡!$K$12:$O$12),1)</f>
        <v>3</v>
      </c>
      <c r="AI403" s="42">
        <f>IFERROR(LOOKUP(X403,打分卡!$F$13:$J$13,打分卡!$K$13:$O$13),1)</f>
        <v>3</v>
      </c>
      <c r="AJ403" s="42">
        <f>IFERROR(LOOKUP(Y403,打分卡!$F$14:$J$14,打分卡!$K$14:$O$14),1)</f>
        <v>2</v>
      </c>
      <c r="AK403" s="42">
        <f>IFERROR(LOOKUP(W403,打分卡!$F$15:$J$15,打分卡!$K$15:$O$15),1)</f>
        <v>1</v>
      </c>
      <c r="AL403" s="45">
        <f t="shared" si="49"/>
        <v>5</v>
      </c>
      <c r="AM403" s="42">
        <f>IFERROR(LOOKUP(Z403,打分卡!$F$17:$H$17,打分卡!$K$17:$M$17),1)</f>
        <v>3</v>
      </c>
      <c r="AN403" s="46">
        <f>(打分卡!$D$7*AC403+打分卡!$D$8*AD403+打分卡!$D$9*AE403)/5</f>
        <v>17.4</v>
      </c>
      <c r="AO403" s="46">
        <f>(打分卡!$D$10*AF403+打分卡!$D$11*AG403)/5</f>
        <v>8</v>
      </c>
      <c r="AP403" s="46">
        <f>(打分卡!$D$12*AH403+打分卡!$D$13*AI403+打分卡!$D$14*AJ403+打分卡!$D$15*AK403)/5</f>
        <v>15.2</v>
      </c>
      <c r="AQ403" s="46">
        <f>(打分卡!$D$16*AL403+打分卡!$D$17*AM403)/5</f>
        <v>8.4</v>
      </c>
      <c r="AR403" s="48">
        <f t="shared" si="50"/>
        <v>49</v>
      </c>
      <c r="AS403" s="45" t="str">
        <f t="shared" si="51"/>
        <v>腰部</v>
      </c>
      <c r="AT403" s="45" t="str">
        <f t="shared" si="52"/>
        <v/>
      </c>
      <c r="AU403" s="45" t="str">
        <f t="shared" si="53"/>
        <v>拉·主攻：主推AI外呼+大促作战包</v>
      </c>
    </row>
    <row r="404" ht="15" customHeight="1" spans="1:47">
      <c r="A404" s="30" t="s">
        <v>1318</v>
      </c>
      <c r="B404" s="31" t="s">
        <v>1319</v>
      </c>
      <c r="C404" s="31" t="s">
        <v>179</v>
      </c>
      <c r="D404" s="31" t="s">
        <v>196</v>
      </c>
      <c r="E404" s="31" t="s">
        <v>197</v>
      </c>
      <c r="F404" s="30" t="s">
        <v>1019</v>
      </c>
      <c r="G404" s="31">
        <v>12</v>
      </c>
      <c r="H404" s="31" t="s">
        <v>183</v>
      </c>
      <c r="I404" s="31" t="s">
        <v>302</v>
      </c>
      <c r="J404" s="33">
        <v>36000</v>
      </c>
      <c r="K404" s="33">
        <v>26600</v>
      </c>
      <c r="L404" s="33">
        <v>12500</v>
      </c>
      <c r="M404" s="33">
        <f t="shared" si="48"/>
        <v>75100</v>
      </c>
      <c r="N404" s="34">
        <f t="shared" si="54"/>
        <v>0.000393722253328552</v>
      </c>
      <c r="O404" s="35">
        <f>SUM($M$2:M404)</f>
        <v>172712600</v>
      </c>
      <c r="P404" s="34">
        <f t="shared" si="55"/>
        <v>0.905469960722142</v>
      </c>
      <c r="Q404" s="37">
        <v>11.6</v>
      </c>
      <c r="R404" s="31">
        <v>2</v>
      </c>
      <c r="S404" s="31">
        <v>2</v>
      </c>
      <c r="T404" s="31">
        <v>2</v>
      </c>
      <c r="U404" s="37">
        <v>5.2</v>
      </c>
      <c r="V404" s="31">
        <v>23</v>
      </c>
      <c r="W404" s="31">
        <v>0</v>
      </c>
      <c r="X404" s="38">
        <v>30</v>
      </c>
      <c r="Y404" s="31">
        <v>3</v>
      </c>
      <c r="Z404" s="31">
        <v>1</v>
      </c>
      <c r="AA404" s="31" t="s">
        <v>199</v>
      </c>
      <c r="AB404" s="31" t="s">
        <v>220</v>
      </c>
      <c r="AC404" s="41">
        <f>IFERROR(LOOKUP(M404,打分卡!$F$7:$J$7,打分卡!$K$7:$O$7),1)</f>
        <v>2</v>
      </c>
      <c r="AD404" s="41">
        <f>IFERROR(LOOKUP(S404,打分卡!$F$8:$J$8,打分卡!$K$8:$O$8),1)</f>
        <v>2</v>
      </c>
      <c r="AE404" s="41">
        <f>IFERROR(LOOKUP(T404,打分卡!$F$9:$I$9,打分卡!$K$9:$N$9),1)</f>
        <v>3</v>
      </c>
      <c r="AF404" s="41">
        <f>IFERROR(LOOKUP(Q404,打分卡!$F$10:$J$10,打分卡!$K$10:$O$10),1)</f>
        <v>3</v>
      </c>
      <c r="AG404" s="41">
        <f>IFERROR(LOOKUP(R404,打分卡!$F$11:$J$11,打分卡!$K$11:$O$11),1)</f>
        <v>1</v>
      </c>
      <c r="AH404" s="41">
        <f>IFERROR(LOOKUP(U404,打分卡!$F$12:$J$12,打分卡!$K$12:$O$12),1)</f>
        <v>2</v>
      </c>
      <c r="AI404" s="41">
        <f>IFERROR(LOOKUP(X404,打分卡!$F$13:$J$13,打分卡!$K$13:$O$13),1)</f>
        <v>2</v>
      </c>
      <c r="AJ404" s="41">
        <f>IFERROR(LOOKUP(Y404,打分卡!$F$14:$J$14,打分卡!$K$14:$O$14),1)</f>
        <v>4</v>
      </c>
      <c r="AK404" s="41">
        <f>IFERROR(LOOKUP(W404,打分卡!$F$15:$J$15,打分卡!$K$15:$O$15),1)</f>
        <v>1</v>
      </c>
      <c r="AL404" s="43">
        <f t="shared" si="49"/>
        <v>5</v>
      </c>
      <c r="AM404" s="41">
        <f>IFERROR(LOOKUP(Z404,打分卡!$F$17:$H$17,打分卡!$K$17:$M$17),1)</f>
        <v>3</v>
      </c>
      <c r="AN404" s="44">
        <f>(打分卡!$D$7*AC404+打分卡!$D$8*AD404+打分卡!$D$9*AE404)/5</f>
        <v>17.4</v>
      </c>
      <c r="AO404" s="44">
        <f>(打分卡!$D$10*AF404+打分卡!$D$11*AG404)/5</f>
        <v>8</v>
      </c>
      <c r="AP404" s="44">
        <f>(打分卡!$D$12*AH404+打分卡!$D$13*AI404+打分卡!$D$14*AJ404+打分卡!$D$15*AK404)/5</f>
        <v>13.6</v>
      </c>
      <c r="AQ404" s="44">
        <f>(打分卡!$D$16*AL404+打分卡!$D$17*AM404)/5</f>
        <v>8.4</v>
      </c>
      <c r="AR404" s="47">
        <f t="shared" si="50"/>
        <v>47.4</v>
      </c>
      <c r="AS404" s="43" t="str">
        <f t="shared" si="51"/>
        <v>腰部</v>
      </c>
      <c r="AT404" s="43" t="str">
        <f t="shared" si="52"/>
        <v/>
      </c>
      <c r="AU404" s="43" t="str">
        <f t="shared" si="53"/>
        <v>拉·主攻：主推AI外呼+大促作战包</v>
      </c>
    </row>
    <row r="405" ht="15" customHeight="1" spans="1:47">
      <c r="A405" s="20" t="s">
        <v>1320</v>
      </c>
      <c r="B405" s="22" t="s">
        <v>1321</v>
      </c>
      <c r="C405" s="22" t="s">
        <v>234</v>
      </c>
      <c r="D405" s="22" t="s">
        <v>227</v>
      </c>
      <c r="E405" s="22" t="s">
        <v>181</v>
      </c>
      <c r="F405" s="20" t="s">
        <v>1322</v>
      </c>
      <c r="G405" s="22">
        <v>18</v>
      </c>
      <c r="H405" s="22" t="s">
        <v>301</v>
      </c>
      <c r="I405" s="22" t="s">
        <v>184</v>
      </c>
      <c r="J405" s="36">
        <v>38100</v>
      </c>
      <c r="K405" s="36">
        <v>23700</v>
      </c>
      <c r="L405" s="36">
        <v>13200</v>
      </c>
      <c r="M405" s="36">
        <f t="shared" si="48"/>
        <v>75000</v>
      </c>
      <c r="N405" s="34">
        <f t="shared" si="54"/>
        <v>0.000393197989342762</v>
      </c>
      <c r="O405" s="35">
        <f>SUM($M$2:M405)</f>
        <v>172787600</v>
      </c>
      <c r="P405" s="34">
        <f t="shared" si="55"/>
        <v>0.905863158711485</v>
      </c>
      <c r="Q405" s="39">
        <v>10.7</v>
      </c>
      <c r="R405" s="22">
        <v>2</v>
      </c>
      <c r="S405" s="22">
        <v>3</v>
      </c>
      <c r="T405" s="22">
        <v>0</v>
      </c>
      <c r="U405" s="39">
        <v>3.5</v>
      </c>
      <c r="V405" s="22">
        <v>6</v>
      </c>
      <c r="W405" s="22">
        <v>1</v>
      </c>
      <c r="X405" s="40">
        <v>82</v>
      </c>
      <c r="Y405" s="22">
        <v>3</v>
      </c>
      <c r="Z405" s="22">
        <v>1</v>
      </c>
      <c r="AA405" s="22" t="s">
        <v>199</v>
      </c>
      <c r="AB405" s="22" t="s">
        <v>220</v>
      </c>
      <c r="AC405" s="42">
        <f>IFERROR(LOOKUP(M405,打分卡!$F$7:$J$7,打分卡!$K$7:$O$7),1)</f>
        <v>2</v>
      </c>
      <c r="AD405" s="42">
        <f>IFERROR(LOOKUP(S405,打分卡!$F$8:$J$8,打分卡!$K$8:$O$8),1)</f>
        <v>3</v>
      </c>
      <c r="AE405" s="42">
        <f>IFERROR(LOOKUP(T405,打分卡!$F$9:$I$9,打分卡!$K$9:$N$9),1)</f>
        <v>1</v>
      </c>
      <c r="AF405" s="42">
        <f>IFERROR(LOOKUP(Q405,打分卡!$F$10:$J$10,打分卡!$K$10:$O$10),1)</f>
        <v>3</v>
      </c>
      <c r="AG405" s="42">
        <f>IFERROR(LOOKUP(R405,打分卡!$F$11:$J$11,打分卡!$K$11:$O$11),1)</f>
        <v>1</v>
      </c>
      <c r="AH405" s="42">
        <f>IFERROR(LOOKUP(U405,打分卡!$F$12:$J$12,打分卡!$K$12:$O$12),1)</f>
        <v>2</v>
      </c>
      <c r="AI405" s="42">
        <f>IFERROR(LOOKUP(X405,打分卡!$F$13:$J$13,打分卡!$K$13:$O$13),1)</f>
        <v>4</v>
      </c>
      <c r="AJ405" s="42">
        <f>IFERROR(LOOKUP(Y405,打分卡!$F$14:$J$14,打分卡!$K$14:$O$14),1)</f>
        <v>4</v>
      </c>
      <c r="AK405" s="42">
        <f>IFERROR(LOOKUP(W405,打分卡!$F$15:$J$15,打分卡!$K$15:$O$15),1)</f>
        <v>2</v>
      </c>
      <c r="AL405" s="45">
        <f t="shared" si="49"/>
        <v>5</v>
      </c>
      <c r="AM405" s="42">
        <f>IFERROR(LOOKUP(Z405,打分卡!$F$17:$H$17,打分卡!$K$17:$M$17),1)</f>
        <v>3</v>
      </c>
      <c r="AN405" s="46">
        <f>(打分卡!$D$7*AC405+打分卡!$D$8*AD405+打分卡!$D$9*AE405)/5</f>
        <v>16.2</v>
      </c>
      <c r="AO405" s="46">
        <f>(打分卡!$D$10*AF405+打分卡!$D$11*AG405)/5</f>
        <v>8</v>
      </c>
      <c r="AP405" s="46">
        <f>(打分卡!$D$12*AH405+打分卡!$D$13*AI405+打分卡!$D$14*AJ405+打分卡!$D$15*AK405)/5</f>
        <v>17.6</v>
      </c>
      <c r="AQ405" s="46">
        <f>(打分卡!$D$16*AL405+打分卡!$D$17*AM405)/5</f>
        <v>8.4</v>
      </c>
      <c r="AR405" s="48">
        <f t="shared" si="50"/>
        <v>50.2</v>
      </c>
      <c r="AS405" s="45" t="str">
        <f t="shared" si="51"/>
        <v>腰部</v>
      </c>
      <c r="AT405" s="45" t="str">
        <f t="shared" si="52"/>
        <v/>
      </c>
      <c r="AU405" s="45" t="str">
        <f t="shared" si="53"/>
        <v>拉·主攻：主推AI外呼+大促作战包</v>
      </c>
    </row>
    <row r="406" ht="15" customHeight="1" spans="1:47">
      <c r="A406" s="30" t="s">
        <v>1323</v>
      </c>
      <c r="B406" s="31" t="s">
        <v>1324</v>
      </c>
      <c r="C406" s="31" t="s">
        <v>239</v>
      </c>
      <c r="D406" s="31" t="s">
        <v>196</v>
      </c>
      <c r="E406" s="31" t="s">
        <v>197</v>
      </c>
      <c r="F406" s="30" t="s">
        <v>740</v>
      </c>
      <c r="G406" s="31">
        <v>20</v>
      </c>
      <c r="H406" s="31" t="s">
        <v>301</v>
      </c>
      <c r="I406" s="31" t="s">
        <v>302</v>
      </c>
      <c r="J406" s="33">
        <v>35300</v>
      </c>
      <c r="K406" s="33">
        <v>29200</v>
      </c>
      <c r="L406" s="33">
        <v>10500</v>
      </c>
      <c r="M406" s="33">
        <f t="shared" si="48"/>
        <v>75000</v>
      </c>
      <c r="N406" s="34">
        <f t="shared" si="54"/>
        <v>0.000393197989342762</v>
      </c>
      <c r="O406" s="35">
        <f>SUM($M$2:M406)</f>
        <v>172862600</v>
      </c>
      <c r="P406" s="34">
        <f t="shared" si="55"/>
        <v>0.906256356700828</v>
      </c>
      <c r="Q406" s="37">
        <v>8.9</v>
      </c>
      <c r="R406" s="31">
        <v>4</v>
      </c>
      <c r="S406" s="31">
        <v>1</v>
      </c>
      <c r="T406" s="31">
        <v>2</v>
      </c>
      <c r="U406" s="37">
        <v>40.8</v>
      </c>
      <c r="V406" s="31">
        <v>27</v>
      </c>
      <c r="W406" s="31">
        <v>4</v>
      </c>
      <c r="X406" s="38">
        <v>71</v>
      </c>
      <c r="Y406" s="31">
        <v>2</v>
      </c>
      <c r="Z406" s="31">
        <v>1</v>
      </c>
      <c r="AA406" s="31" t="s">
        <v>185</v>
      </c>
      <c r="AB406" s="31" t="s">
        <v>220</v>
      </c>
      <c r="AC406" s="41">
        <f>IFERROR(LOOKUP(M406,打分卡!$F$7:$J$7,打分卡!$K$7:$O$7),1)</f>
        <v>2</v>
      </c>
      <c r="AD406" s="41">
        <f>IFERROR(LOOKUP(S406,打分卡!$F$8:$J$8,打分卡!$K$8:$O$8),1)</f>
        <v>1</v>
      </c>
      <c r="AE406" s="41">
        <f>IFERROR(LOOKUP(T406,打分卡!$F$9:$I$9,打分卡!$K$9:$N$9),1)</f>
        <v>3</v>
      </c>
      <c r="AF406" s="41">
        <f>IFERROR(LOOKUP(Q406,打分卡!$F$10:$J$10,打分卡!$K$10:$O$10),1)</f>
        <v>2</v>
      </c>
      <c r="AG406" s="41">
        <f>IFERROR(LOOKUP(R406,打分卡!$F$11:$J$11,打分卡!$K$11:$O$11),1)</f>
        <v>2</v>
      </c>
      <c r="AH406" s="41">
        <f>IFERROR(LOOKUP(U406,打分卡!$F$12:$J$12,打分卡!$K$12:$O$12),1)</f>
        <v>4</v>
      </c>
      <c r="AI406" s="41">
        <f>IFERROR(LOOKUP(X406,打分卡!$F$13:$J$13,打分卡!$K$13:$O$13),1)</f>
        <v>3</v>
      </c>
      <c r="AJ406" s="41">
        <f>IFERROR(LOOKUP(Y406,打分卡!$F$14:$J$14,打分卡!$K$14:$O$14),1)</f>
        <v>3</v>
      </c>
      <c r="AK406" s="41">
        <f>IFERROR(LOOKUP(W406,打分卡!$F$15:$J$15,打分卡!$K$15:$O$15),1)</f>
        <v>3</v>
      </c>
      <c r="AL406" s="43">
        <f t="shared" si="49"/>
        <v>3</v>
      </c>
      <c r="AM406" s="41">
        <f>IFERROR(LOOKUP(Z406,打分卡!$F$17:$H$17,打分卡!$K$17:$M$17),1)</f>
        <v>3</v>
      </c>
      <c r="AN406" s="44">
        <f>(打分卡!$D$7*AC406+打分卡!$D$8*AD406+打分卡!$D$9*AE406)/5</f>
        <v>15.8</v>
      </c>
      <c r="AO406" s="44">
        <f>(打分卡!$D$10*AF406+打分卡!$D$11*AG406)/5</f>
        <v>8</v>
      </c>
      <c r="AP406" s="44">
        <f>(打分卡!$D$12*AH406+打分卡!$D$13*AI406+打分卡!$D$14*AJ406+打分卡!$D$15*AK406)/5</f>
        <v>20.4</v>
      </c>
      <c r="AQ406" s="44">
        <f>(打分卡!$D$16*AL406+打分卡!$D$17*AM406)/5</f>
        <v>6</v>
      </c>
      <c r="AR406" s="47">
        <f t="shared" si="50"/>
        <v>50.2</v>
      </c>
      <c r="AS406" s="43" t="str">
        <f t="shared" si="51"/>
        <v>腰部</v>
      </c>
      <c r="AT406" s="43" t="str">
        <f t="shared" si="52"/>
        <v/>
      </c>
      <c r="AU406" s="43" t="str">
        <f t="shared" si="53"/>
        <v>拉·主攻：主推AI外呼+大促作战包</v>
      </c>
    </row>
    <row r="407" ht="15" customHeight="1" spans="1:47">
      <c r="A407" s="20" t="s">
        <v>1325</v>
      </c>
      <c r="B407" s="22" t="s">
        <v>1326</v>
      </c>
      <c r="C407" s="22" t="s">
        <v>239</v>
      </c>
      <c r="D407" s="22" t="s">
        <v>196</v>
      </c>
      <c r="E407" s="22" t="s">
        <v>197</v>
      </c>
      <c r="F407" s="20" t="s">
        <v>681</v>
      </c>
      <c r="G407" s="22">
        <v>19</v>
      </c>
      <c r="H407" s="22" t="s">
        <v>183</v>
      </c>
      <c r="I407" s="22" t="s">
        <v>302</v>
      </c>
      <c r="J407" s="36">
        <v>42500</v>
      </c>
      <c r="K407" s="36">
        <v>15900</v>
      </c>
      <c r="L407" s="36">
        <v>16000</v>
      </c>
      <c r="M407" s="36">
        <f t="shared" si="48"/>
        <v>74400</v>
      </c>
      <c r="N407" s="34">
        <f t="shared" si="54"/>
        <v>0.00039005240542802</v>
      </c>
      <c r="O407" s="35">
        <f>SUM($M$2:M407)</f>
        <v>172937000</v>
      </c>
      <c r="P407" s="34">
        <f t="shared" si="55"/>
        <v>0.906646409106256</v>
      </c>
      <c r="Q407" s="39">
        <v>9.3</v>
      </c>
      <c r="R407" s="22">
        <v>7</v>
      </c>
      <c r="S407" s="22">
        <v>1</v>
      </c>
      <c r="T407" s="22">
        <v>0</v>
      </c>
      <c r="U407" s="39">
        <v>9.2</v>
      </c>
      <c r="V407" s="22">
        <v>24</v>
      </c>
      <c r="W407" s="22">
        <v>3</v>
      </c>
      <c r="X407" s="40">
        <v>72</v>
      </c>
      <c r="Y407" s="22">
        <v>1</v>
      </c>
      <c r="Z407" s="22">
        <v>0</v>
      </c>
      <c r="AA407" s="22" t="s">
        <v>199</v>
      </c>
      <c r="AB407" s="22" t="s">
        <v>220</v>
      </c>
      <c r="AC407" s="42">
        <f>IFERROR(LOOKUP(M407,打分卡!$F$7:$J$7,打分卡!$K$7:$O$7),1)</f>
        <v>2</v>
      </c>
      <c r="AD407" s="42">
        <f>IFERROR(LOOKUP(S407,打分卡!$F$8:$J$8,打分卡!$K$8:$O$8),1)</f>
        <v>1</v>
      </c>
      <c r="AE407" s="42">
        <f>IFERROR(LOOKUP(T407,打分卡!$F$9:$I$9,打分卡!$K$9:$N$9),1)</f>
        <v>1</v>
      </c>
      <c r="AF407" s="42">
        <f>IFERROR(LOOKUP(Q407,打分卡!$F$10:$J$10,打分卡!$K$10:$O$10),1)</f>
        <v>2</v>
      </c>
      <c r="AG407" s="42">
        <f>IFERROR(LOOKUP(R407,打分卡!$F$11:$J$11,打分卡!$K$11:$O$11),1)</f>
        <v>3</v>
      </c>
      <c r="AH407" s="42">
        <f>IFERROR(LOOKUP(U407,打分卡!$F$12:$J$12,打分卡!$K$12:$O$12),1)</f>
        <v>2</v>
      </c>
      <c r="AI407" s="42">
        <f>IFERROR(LOOKUP(X407,打分卡!$F$13:$J$13,打分卡!$K$13:$O$13),1)</f>
        <v>3</v>
      </c>
      <c r="AJ407" s="42">
        <f>IFERROR(LOOKUP(Y407,打分卡!$F$14:$J$14,打分卡!$K$14:$O$14),1)</f>
        <v>2</v>
      </c>
      <c r="AK407" s="42">
        <f>IFERROR(LOOKUP(W407,打分卡!$F$15:$J$15,打分卡!$K$15:$O$15),1)</f>
        <v>3</v>
      </c>
      <c r="AL407" s="45">
        <f t="shared" si="49"/>
        <v>5</v>
      </c>
      <c r="AM407" s="42">
        <f>IFERROR(LOOKUP(Z407,打分卡!$F$17:$H$17,打分卡!$K$17:$M$17),1)</f>
        <v>1</v>
      </c>
      <c r="AN407" s="46">
        <f>(打分卡!$D$7*AC407+打分卡!$D$8*AD407+打分卡!$D$9*AE407)/5</f>
        <v>13</v>
      </c>
      <c r="AO407" s="46">
        <f>(打分卡!$D$10*AF407+打分卡!$D$11*AG407)/5</f>
        <v>10</v>
      </c>
      <c r="AP407" s="46">
        <f>(打分卡!$D$12*AH407+打分卡!$D$13*AI407+打分卡!$D$14*AJ407+打分卡!$D$15*AK407)/5</f>
        <v>14.4</v>
      </c>
      <c r="AQ407" s="46">
        <f>(打分卡!$D$16*AL407+打分卡!$D$17*AM407)/5</f>
        <v>6.8</v>
      </c>
      <c r="AR407" s="48">
        <f t="shared" si="50"/>
        <v>44.2</v>
      </c>
      <c r="AS407" s="45" t="str">
        <f t="shared" si="51"/>
        <v>腰部</v>
      </c>
      <c r="AT407" s="45" t="str">
        <f t="shared" si="52"/>
        <v/>
      </c>
      <c r="AU407" s="45" t="str">
        <f t="shared" si="53"/>
        <v>拉·主攻：主推AI外呼+大促作战包</v>
      </c>
    </row>
    <row r="408" ht="15" customHeight="1" spans="1:47">
      <c r="A408" s="30" t="s">
        <v>1327</v>
      </c>
      <c r="B408" s="31" t="s">
        <v>1328</v>
      </c>
      <c r="C408" s="31" t="s">
        <v>239</v>
      </c>
      <c r="D408" s="31" t="s">
        <v>252</v>
      </c>
      <c r="E408" s="31" t="s">
        <v>181</v>
      </c>
      <c r="F408" s="30" t="s">
        <v>1329</v>
      </c>
      <c r="G408" s="31">
        <v>15</v>
      </c>
      <c r="H408" s="31" t="s">
        <v>301</v>
      </c>
      <c r="I408" s="31" t="s">
        <v>302</v>
      </c>
      <c r="J408" s="33">
        <v>43200</v>
      </c>
      <c r="K408" s="33">
        <v>26800</v>
      </c>
      <c r="L408" s="33">
        <v>4500</v>
      </c>
      <c r="M408" s="33">
        <f t="shared" si="48"/>
        <v>74500</v>
      </c>
      <c r="N408" s="34">
        <f t="shared" si="54"/>
        <v>0.00039057666941381</v>
      </c>
      <c r="O408" s="35">
        <f>SUM($M$2:M408)</f>
        <v>173011500</v>
      </c>
      <c r="P408" s="34">
        <f t="shared" si="55"/>
        <v>0.907036985775669</v>
      </c>
      <c r="Q408" s="37">
        <v>10.5</v>
      </c>
      <c r="R408" s="31">
        <v>9</v>
      </c>
      <c r="S408" s="31">
        <v>1</v>
      </c>
      <c r="T408" s="31">
        <v>2</v>
      </c>
      <c r="U408" s="37">
        <v>53.2</v>
      </c>
      <c r="V408" s="31">
        <v>14</v>
      </c>
      <c r="W408" s="31">
        <v>1</v>
      </c>
      <c r="X408" s="38">
        <v>125</v>
      </c>
      <c r="Y408" s="31">
        <v>2</v>
      </c>
      <c r="Z408" s="31">
        <v>1</v>
      </c>
      <c r="AA408" s="31" t="s">
        <v>315</v>
      </c>
      <c r="AB408" s="31" t="s">
        <v>220</v>
      </c>
      <c r="AC408" s="41">
        <f>IFERROR(LOOKUP(M408,打分卡!$F$7:$J$7,打分卡!$K$7:$O$7),1)</f>
        <v>2</v>
      </c>
      <c r="AD408" s="41">
        <f>IFERROR(LOOKUP(S408,打分卡!$F$8:$J$8,打分卡!$K$8:$O$8),1)</f>
        <v>1</v>
      </c>
      <c r="AE408" s="41">
        <f>IFERROR(LOOKUP(T408,打分卡!$F$9:$I$9,打分卡!$K$9:$N$9),1)</f>
        <v>3</v>
      </c>
      <c r="AF408" s="41">
        <f>IFERROR(LOOKUP(Q408,打分卡!$F$10:$J$10,打分卡!$K$10:$O$10),1)</f>
        <v>3</v>
      </c>
      <c r="AG408" s="41">
        <f>IFERROR(LOOKUP(R408,打分卡!$F$11:$J$11,打分卡!$K$11:$O$11),1)</f>
        <v>4</v>
      </c>
      <c r="AH408" s="41">
        <f>IFERROR(LOOKUP(U408,打分卡!$F$12:$J$12,打分卡!$K$12:$O$12),1)</f>
        <v>4</v>
      </c>
      <c r="AI408" s="41">
        <f>IFERROR(LOOKUP(X408,打分卡!$F$13:$J$13,打分卡!$K$13:$O$13),1)</f>
        <v>4</v>
      </c>
      <c r="AJ408" s="41">
        <f>IFERROR(LOOKUP(Y408,打分卡!$F$14:$J$14,打分卡!$K$14:$O$14),1)</f>
        <v>3</v>
      </c>
      <c r="AK408" s="41">
        <f>IFERROR(LOOKUP(W408,打分卡!$F$15:$J$15,打分卡!$K$15:$O$15),1)</f>
        <v>2</v>
      </c>
      <c r="AL408" s="43">
        <f t="shared" si="49"/>
        <v>2</v>
      </c>
      <c r="AM408" s="41">
        <f>IFERROR(LOOKUP(Z408,打分卡!$F$17:$H$17,打分卡!$K$17:$M$17),1)</f>
        <v>3</v>
      </c>
      <c r="AN408" s="44">
        <f>(打分卡!$D$7*AC408+打分卡!$D$8*AD408+打分卡!$D$9*AE408)/5</f>
        <v>15.8</v>
      </c>
      <c r="AO408" s="44">
        <f>(打分卡!$D$10*AF408+打分卡!$D$11*AG408)/5</f>
        <v>14</v>
      </c>
      <c r="AP408" s="44">
        <f>(打分卡!$D$12*AH408+打分卡!$D$13*AI408+打分卡!$D$14*AJ408+打分卡!$D$15*AK408)/5</f>
        <v>21.2</v>
      </c>
      <c r="AQ408" s="44">
        <f>(打分卡!$D$16*AL408+打分卡!$D$17*AM408)/5</f>
        <v>4.8</v>
      </c>
      <c r="AR408" s="47">
        <f t="shared" si="50"/>
        <v>55.8</v>
      </c>
      <c r="AS408" s="43" t="str">
        <f t="shared" si="51"/>
        <v>腰部</v>
      </c>
      <c r="AT408" s="43" t="str">
        <f t="shared" si="52"/>
        <v/>
      </c>
      <c r="AU408" s="43" t="str">
        <f t="shared" si="53"/>
        <v>拉·主攻：主推AI外呼+大促作战包</v>
      </c>
    </row>
    <row r="409" ht="15" customHeight="1" spans="1:47">
      <c r="A409" s="20" t="s">
        <v>1330</v>
      </c>
      <c r="B409" s="22" t="s">
        <v>1331</v>
      </c>
      <c r="C409" s="22" t="s">
        <v>189</v>
      </c>
      <c r="D409" s="22" t="s">
        <v>202</v>
      </c>
      <c r="E409" s="22" t="s">
        <v>181</v>
      </c>
      <c r="F409" s="20" t="s">
        <v>837</v>
      </c>
      <c r="G409" s="22">
        <v>3</v>
      </c>
      <c r="H409" s="22" t="s">
        <v>183</v>
      </c>
      <c r="I409" s="22" t="s">
        <v>184</v>
      </c>
      <c r="J409" s="36">
        <v>34900</v>
      </c>
      <c r="K409" s="36">
        <v>25700</v>
      </c>
      <c r="L409" s="36">
        <v>13700</v>
      </c>
      <c r="M409" s="36">
        <f t="shared" si="48"/>
        <v>74300</v>
      </c>
      <c r="N409" s="34">
        <f t="shared" si="54"/>
        <v>0.000389528141442229</v>
      </c>
      <c r="O409" s="35">
        <f>SUM($M$2:M409)</f>
        <v>173085800</v>
      </c>
      <c r="P409" s="34">
        <f t="shared" si="55"/>
        <v>0.907426513917112</v>
      </c>
      <c r="Q409" s="39">
        <v>7.1</v>
      </c>
      <c r="R409" s="22">
        <v>1</v>
      </c>
      <c r="S409" s="22">
        <v>3</v>
      </c>
      <c r="T409" s="22">
        <v>0</v>
      </c>
      <c r="U409" s="39">
        <v>1.9</v>
      </c>
      <c r="V409" s="22">
        <v>16</v>
      </c>
      <c r="W409" s="22">
        <v>4</v>
      </c>
      <c r="X409" s="40">
        <v>107</v>
      </c>
      <c r="Y409" s="22">
        <v>3</v>
      </c>
      <c r="Z409" s="22">
        <v>0</v>
      </c>
      <c r="AA409" s="22" t="s">
        <v>199</v>
      </c>
      <c r="AB409" s="22" t="s">
        <v>220</v>
      </c>
      <c r="AC409" s="42">
        <f>IFERROR(LOOKUP(M409,打分卡!$F$7:$J$7,打分卡!$K$7:$O$7),1)</f>
        <v>2</v>
      </c>
      <c r="AD409" s="42">
        <f>IFERROR(LOOKUP(S409,打分卡!$F$8:$J$8,打分卡!$K$8:$O$8),1)</f>
        <v>3</v>
      </c>
      <c r="AE409" s="42">
        <f>IFERROR(LOOKUP(T409,打分卡!$F$9:$I$9,打分卡!$K$9:$N$9),1)</f>
        <v>1</v>
      </c>
      <c r="AF409" s="42">
        <f>IFERROR(LOOKUP(Q409,打分卡!$F$10:$J$10,打分卡!$K$10:$O$10),1)</f>
        <v>2</v>
      </c>
      <c r="AG409" s="42">
        <f>IFERROR(LOOKUP(R409,打分卡!$F$11:$J$11,打分卡!$K$11:$O$11),1)</f>
        <v>1</v>
      </c>
      <c r="AH409" s="42">
        <f>IFERROR(LOOKUP(U409,打分卡!$F$12:$J$12,打分卡!$K$12:$O$12),1)</f>
        <v>1</v>
      </c>
      <c r="AI409" s="42">
        <f>IFERROR(LOOKUP(X409,打分卡!$F$13:$J$13,打分卡!$K$13:$O$13),1)</f>
        <v>4</v>
      </c>
      <c r="AJ409" s="42">
        <f>IFERROR(LOOKUP(Y409,打分卡!$F$14:$J$14,打分卡!$K$14:$O$14),1)</f>
        <v>4</v>
      </c>
      <c r="AK409" s="42">
        <f>IFERROR(LOOKUP(W409,打分卡!$F$15:$J$15,打分卡!$K$15:$O$15),1)</f>
        <v>3</v>
      </c>
      <c r="AL409" s="45">
        <f t="shared" si="49"/>
        <v>5</v>
      </c>
      <c r="AM409" s="42">
        <f>IFERROR(LOOKUP(Z409,打分卡!$F$17:$H$17,打分卡!$K$17:$M$17),1)</f>
        <v>1</v>
      </c>
      <c r="AN409" s="46">
        <f>(打分卡!$D$7*AC409+打分卡!$D$8*AD409+打分卡!$D$9*AE409)/5</f>
        <v>16.2</v>
      </c>
      <c r="AO409" s="46">
        <f>(打分卡!$D$10*AF409+打分卡!$D$11*AG409)/5</f>
        <v>6</v>
      </c>
      <c r="AP409" s="46">
        <f>(打分卡!$D$12*AH409+打分卡!$D$13*AI409+打分卡!$D$14*AJ409+打分卡!$D$15*AK409)/5</f>
        <v>16</v>
      </c>
      <c r="AQ409" s="46">
        <f>(打分卡!$D$16*AL409+打分卡!$D$17*AM409)/5</f>
        <v>6.8</v>
      </c>
      <c r="AR409" s="48">
        <f t="shared" si="50"/>
        <v>45</v>
      </c>
      <c r="AS409" s="45" t="str">
        <f t="shared" si="51"/>
        <v>腰部</v>
      </c>
      <c r="AT409" s="45" t="str">
        <f t="shared" si="52"/>
        <v/>
      </c>
      <c r="AU409" s="45" t="str">
        <f t="shared" si="53"/>
        <v>拉·主攻：主推AI外呼+大促作战包</v>
      </c>
    </row>
    <row r="410" ht="15" customHeight="1" spans="1:47">
      <c r="A410" s="30" t="s">
        <v>1332</v>
      </c>
      <c r="B410" s="31" t="s">
        <v>1333</v>
      </c>
      <c r="C410" s="31" t="s">
        <v>239</v>
      </c>
      <c r="D410" s="31" t="s">
        <v>202</v>
      </c>
      <c r="E410" s="31" t="s">
        <v>181</v>
      </c>
      <c r="F410" s="30" t="s">
        <v>641</v>
      </c>
      <c r="G410" s="31">
        <v>3</v>
      </c>
      <c r="H410" s="31" t="s">
        <v>301</v>
      </c>
      <c r="I410" s="31" t="s">
        <v>302</v>
      </c>
      <c r="J410" s="33">
        <v>39900</v>
      </c>
      <c r="K410" s="33">
        <v>23400</v>
      </c>
      <c r="L410" s="33">
        <v>11000</v>
      </c>
      <c r="M410" s="33">
        <f t="shared" si="48"/>
        <v>74300</v>
      </c>
      <c r="N410" s="34">
        <f t="shared" si="54"/>
        <v>0.000389528141442229</v>
      </c>
      <c r="O410" s="35">
        <f>SUM($M$2:M410)</f>
        <v>173160100</v>
      </c>
      <c r="P410" s="34">
        <f t="shared" si="55"/>
        <v>0.907816042058554</v>
      </c>
      <c r="Q410" s="37">
        <v>11.8</v>
      </c>
      <c r="R410" s="31">
        <v>2</v>
      </c>
      <c r="S410" s="31">
        <v>3</v>
      </c>
      <c r="T410" s="31">
        <v>0</v>
      </c>
      <c r="U410" s="37">
        <v>2</v>
      </c>
      <c r="V410" s="31">
        <v>27</v>
      </c>
      <c r="W410" s="31">
        <v>2</v>
      </c>
      <c r="X410" s="38">
        <v>11</v>
      </c>
      <c r="Y410" s="31">
        <v>2</v>
      </c>
      <c r="Z410" s="31">
        <v>0</v>
      </c>
      <c r="AA410" s="31" t="s">
        <v>185</v>
      </c>
      <c r="AB410" s="31" t="s">
        <v>220</v>
      </c>
      <c r="AC410" s="41">
        <f>IFERROR(LOOKUP(M410,打分卡!$F$7:$J$7,打分卡!$K$7:$O$7),1)</f>
        <v>2</v>
      </c>
      <c r="AD410" s="41">
        <f>IFERROR(LOOKUP(S410,打分卡!$F$8:$J$8,打分卡!$K$8:$O$8),1)</f>
        <v>3</v>
      </c>
      <c r="AE410" s="41">
        <f>IFERROR(LOOKUP(T410,打分卡!$F$9:$I$9,打分卡!$K$9:$N$9),1)</f>
        <v>1</v>
      </c>
      <c r="AF410" s="41">
        <f>IFERROR(LOOKUP(Q410,打分卡!$F$10:$J$10,打分卡!$K$10:$O$10),1)</f>
        <v>3</v>
      </c>
      <c r="AG410" s="41">
        <f>IFERROR(LOOKUP(R410,打分卡!$F$11:$J$11,打分卡!$K$11:$O$11),1)</f>
        <v>1</v>
      </c>
      <c r="AH410" s="41">
        <f>IFERROR(LOOKUP(U410,打分卡!$F$12:$J$12,打分卡!$K$12:$O$12),1)</f>
        <v>1</v>
      </c>
      <c r="AI410" s="41">
        <f>IFERROR(LOOKUP(X410,打分卡!$F$13:$J$13,打分卡!$K$13:$O$13),1)</f>
        <v>1</v>
      </c>
      <c r="AJ410" s="41">
        <f>IFERROR(LOOKUP(Y410,打分卡!$F$14:$J$14,打分卡!$K$14:$O$14),1)</f>
        <v>3</v>
      </c>
      <c r="AK410" s="41">
        <f>IFERROR(LOOKUP(W410,打分卡!$F$15:$J$15,打分卡!$K$15:$O$15),1)</f>
        <v>2</v>
      </c>
      <c r="AL410" s="43">
        <f t="shared" si="49"/>
        <v>3</v>
      </c>
      <c r="AM410" s="41">
        <f>IFERROR(LOOKUP(Z410,打分卡!$F$17:$H$17,打分卡!$K$17:$M$17),1)</f>
        <v>1</v>
      </c>
      <c r="AN410" s="44">
        <f>(打分卡!$D$7*AC410+打分卡!$D$8*AD410+打分卡!$D$9*AE410)/5</f>
        <v>16.2</v>
      </c>
      <c r="AO410" s="44">
        <f>(打分卡!$D$10*AF410+打分卡!$D$11*AG410)/5</f>
        <v>8</v>
      </c>
      <c r="AP410" s="44">
        <f>(打分卡!$D$12*AH410+打分卡!$D$13*AI410+打分卡!$D$14*AJ410+打分卡!$D$15*AK410)/5</f>
        <v>9.2</v>
      </c>
      <c r="AQ410" s="44">
        <f>(打分卡!$D$16*AL410+打分卡!$D$17*AM410)/5</f>
        <v>4.4</v>
      </c>
      <c r="AR410" s="47">
        <f t="shared" si="50"/>
        <v>37.8</v>
      </c>
      <c r="AS410" s="43" t="str">
        <f t="shared" si="51"/>
        <v>基础长尾</v>
      </c>
      <c r="AT410" s="43" t="str">
        <f t="shared" si="52"/>
        <v/>
      </c>
      <c r="AU410" s="43" t="str">
        <f t="shared" si="53"/>
        <v>激活：企微+Push低成本先跑</v>
      </c>
    </row>
    <row r="411" ht="15" customHeight="1" spans="1:47">
      <c r="A411" s="20" t="s">
        <v>1334</v>
      </c>
      <c r="B411" s="22" t="s">
        <v>1335</v>
      </c>
      <c r="C411" s="22" t="s">
        <v>179</v>
      </c>
      <c r="D411" s="22" t="s">
        <v>202</v>
      </c>
      <c r="E411" s="22" t="s">
        <v>181</v>
      </c>
      <c r="F411" s="20" t="s">
        <v>1336</v>
      </c>
      <c r="G411" s="22">
        <v>2</v>
      </c>
      <c r="H411" s="22" t="s">
        <v>642</v>
      </c>
      <c r="I411" s="22" t="s">
        <v>184</v>
      </c>
      <c r="J411" s="36">
        <v>35900</v>
      </c>
      <c r="K411" s="36">
        <v>15700</v>
      </c>
      <c r="L411" s="36">
        <v>22500</v>
      </c>
      <c r="M411" s="36">
        <f t="shared" si="48"/>
        <v>74100</v>
      </c>
      <c r="N411" s="34">
        <f t="shared" si="54"/>
        <v>0.000388479613470649</v>
      </c>
      <c r="O411" s="35">
        <f>SUM($M$2:M411)</f>
        <v>173234200</v>
      </c>
      <c r="P411" s="34">
        <f t="shared" si="55"/>
        <v>0.908204521672025</v>
      </c>
      <c r="Q411" s="39">
        <v>4.8</v>
      </c>
      <c r="R411" s="22">
        <v>4</v>
      </c>
      <c r="S411" s="22">
        <v>3</v>
      </c>
      <c r="T411" s="22">
        <v>2</v>
      </c>
      <c r="U411" s="39">
        <v>516</v>
      </c>
      <c r="V411" s="22">
        <v>12</v>
      </c>
      <c r="W411" s="22">
        <v>14</v>
      </c>
      <c r="X411" s="40">
        <v>463</v>
      </c>
      <c r="Y411" s="22">
        <v>4</v>
      </c>
      <c r="Z411" s="22">
        <v>1</v>
      </c>
      <c r="AA411" s="22" t="s">
        <v>199</v>
      </c>
      <c r="AB411" s="22" t="s">
        <v>220</v>
      </c>
      <c r="AC411" s="42">
        <f>IFERROR(LOOKUP(M411,打分卡!$F$7:$J$7,打分卡!$K$7:$O$7),1)</f>
        <v>2</v>
      </c>
      <c r="AD411" s="42">
        <f>IFERROR(LOOKUP(S411,打分卡!$F$8:$J$8,打分卡!$K$8:$O$8),1)</f>
        <v>3</v>
      </c>
      <c r="AE411" s="42">
        <f>IFERROR(LOOKUP(T411,打分卡!$F$9:$I$9,打分卡!$K$9:$N$9),1)</f>
        <v>3</v>
      </c>
      <c r="AF411" s="42">
        <f>IFERROR(LOOKUP(Q411,打分卡!$F$10:$J$10,打分卡!$K$10:$O$10),1)</f>
        <v>2</v>
      </c>
      <c r="AG411" s="42">
        <f>IFERROR(LOOKUP(R411,打分卡!$F$11:$J$11,打分卡!$K$11:$O$11),1)</f>
        <v>2</v>
      </c>
      <c r="AH411" s="42">
        <f>IFERROR(LOOKUP(U411,打分卡!$F$12:$J$12,打分卡!$K$12:$O$12),1)</f>
        <v>5</v>
      </c>
      <c r="AI411" s="42">
        <f>IFERROR(LOOKUP(X411,打分卡!$F$13:$J$13,打分卡!$K$13:$O$13),1)</f>
        <v>5</v>
      </c>
      <c r="AJ411" s="42">
        <f>IFERROR(LOOKUP(Y411,打分卡!$F$14:$J$14,打分卡!$K$14:$O$14),1)</f>
        <v>4</v>
      </c>
      <c r="AK411" s="42">
        <f>IFERROR(LOOKUP(W411,打分卡!$F$15:$J$15,打分卡!$K$15:$O$15),1)</f>
        <v>5</v>
      </c>
      <c r="AL411" s="45">
        <f t="shared" si="49"/>
        <v>5</v>
      </c>
      <c r="AM411" s="42">
        <f>IFERROR(LOOKUP(Z411,打分卡!$F$17:$H$17,打分卡!$K$17:$M$17),1)</f>
        <v>3</v>
      </c>
      <c r="AN411" s="46">
        <f>(打分卡!$D$7*AC411+打分卡!$D$8*AD411+打分卡!$D$9*AE411)/5</f>
        <v>19</v>
      </c>
      <c r="AO411" s="46">
        <f>(打分卡!$D$10*AF411+打分卡!$D$11*AG411)/5</f>
        <v>8</v>
      </c>
      <c r="AP411" s="46">
        <f>(打分卡!$D$12*AH411+打分卡!$D$13*AI411+打分卡!$D$14*AJ411+打分卡!$D$15*AK411)/5</f>
        <v>28.8</v>
      </c>
      <c r="AQ411" s="46">
        <f>(打分卡!$D$16*AL411+打分卡!$D$17*AM411)/5</f>
        <v>8.4</v>
      </c>
      <c r="AR411" s="48">
        <f t="shared" si="50"/>
        <v>83.6</v>
      </c>
      <c r="AS411" s="45" t="str">
        <f t="shared" si="51"/>
        <v>KA</v>
      </c>
      <c r="AT411" s="45" t="str">
        <f t="shared" si="52"/>
        <v/>
      </c>
      <c r="AU411" s="45" t="str">
        <f t="shared" si="53"/>
        <v>扩·深化：AI外呼场景深化+Push/企微补全</v>
      </c>
    </row>
    <row r="412" ht="15" customHeight="1" spans="1:47">
      <c r="A412" s="30" t="s">
        <v>1337</v>
      </c>
      <c r="B412" s="31" t="s">
        <v>1338</v>
      </c>
      <c r="C412" s="31" t="s">
        <v>179</v>
      </c>
      <c r="D412" s="31" t="s">
        <v>235</v>
      </c>
      <c r="E412" s="31" t="s">
        <v>197</v>
      </c>
      <c r="F412" s="30" t="s">
        <v>1339</v>
      </c>
      <c r="G412" s="31">
        <v>7</v>
      </c>
      <c r="H412" s="31" t="s">
        <v>301</v>
      </c>
      <c r="I412" s="31" t="s">
        <v>302</v>
      </c>
      <c r="J412" s="33">
        <v>34700</v>
      </c>
      <c r="K412" s="33">
        <v>17200</v>
      </c>
      <c r="L412" s="33">
        <v>21900</v>
      </c>
      <c r="M412" s="33">
        <f t="shared" si="48"/>
        <v>73800</v>
      </c>
      <c r="N412" s="34">
        <f t="shared" si="54"/>
        <v>0.000386906821513278</v>
      </c>
      <c r="O412" s="35">
        <f>SUM($M$2:M412)</f>
        <v>173308000</v>
      </c>
      <c r="P412" s="34">
        <f t="shared" si="55"/>
        <v>0.908591428493538</v>
      </c>
      <c r="Q412" s="37">
        <v>8.2</v>
      </c>
      <c r="R412" s="31">
        <v>5</v>
      </c>
      <c r="S412" s="31">
        <v>1</v>
      </c>
      <c r="T412" s="31">
        <v>2</v>
      </c>
      <c r="U412" s="37">
        <v>19.4</v>
      </c>
      <c r="V412" s="31">
        <v>25</v>
      </c>
      <c r="W412" s="31">
        <v>2</v>
      </c>
      <c r="X412" s="38">
        <v>58</v>
      </c>
      <c r="Y412" s="31">
        <v>0</v>
      </c>
      <c r="Z412" s="31">
        <v>0</v>
      </c>
      <c r="AA412" s="31" t="s">
        <v>185</v>
      </c>
      <c r="AB412" s="31" t="s">
        <v>220</v>
      </c>
      <c r="AC412" s="41">
        <f>IFERROR(LOOKUP(M412,打分卡!$F$7:$J$7,打分卡!$K$7:$O$7),1)</f>
        <v>2</v>
      </c>
      <c r="AD412" s="41">
        <f>IFERROR(LOOKUP(S412,打分卡!$F$8:$J$8,打分卡!$K$8:$O$8),1)</f>
        <v>1</v>
      </c>
      <c r="AE412" s="41">
        <f>IFERROR(LOOKUP(T412,打分卡!$F$9:$I$9,打分卡!$K$9:$N$9),1)</f>
        <v>3</v>
      </c>
      <c r="AF412" s="41">
        <f>IFERROR(LOOKUP(Q412,打分卡!$F$10:$J$10,打分卡!$K$10:$O$10),1)</f>
        <v>2</v>
      </c>
      <c r="AG412" s="41">
        <f>IFERROR(LOOKUP(R412,打分卡!$F$11:$J$11,打分卡!$K$11:$O$11),1)</f>
        <v>3</v>
      </c>
      <c r="AH412" s="41">
        <f>IFERROR(LOOKUP(U412,打分卡!$F$12:$J$12,打分卡!$K$12:$O$12),1)</f>
        <v>3</v>
      </c>
      <c r="AI412" s="41">
        <f>IFERROR(LOOKUP(X412,打分卡!$F$13:$J$13,打分卡!$K$13:$O$13),1)</f>
        <v>3</v>
      </c>
      <c r="AJ412" s="41">
        <f>IFERROR(LOOKUP(Y412,打分卡!$F$14:$J$14,打分卡!$K$14:$O$14),1)</f>
        <v>1</v>
      </c>
      <c r="AK412" s="41">
        <f>IFERROR(LOOKUP(W412,打分卡!$F$15:$J$15,打分卡!$K$15:$O$15),1)</f>
        <v>2</v>
      </c>
      <c r="AL412" s="43">
        <f t="shared" si="49"/>
        <v>3</v>
      </c>
      <c r="AM412" s="41">
        <f>IFERROR(LOOKUP(Z412,打分卡!$F$17:$H$17,打分卡!$K$17:$M$17),1)</f>
        <v>1</v>
      </c>
      <c r="AN412" s="44">
        <f>(打分卡!$D$7*AC412+打分卡!$D$8*AD412+打分卡!$D$9*AE412)/5</f>
        <v>15.8</v>
      </c>
      <c r="AO412" s="44">
        <f>(打分卡!$D$10*AF412+打分卡!$D$11*AG412)/5</f>
        <v>10</v>
      </c>
      <c r="AP412" s="44">
        <f>(打分卡!$D$12*AH412+打分卡!$D$13*AI412+打分卡!$D$14*AJ412+打分卡!$D$15*AK412)/5</f>
        <v>14.8</v>
      </c>
      <c r="AQ412" s="44">
        <f>(打分卡!$D$16*AL412+打分卡!$D$17*AM412)/5</f>
        <v>4.4</v>
      </c>
      <c r="AR412" s="47">
        <f t="shared" si="50"/>
        <v>45</v>
      </c>
      <c r="AS412" s="43" t="str">
        <f t="shared" si="51"/>
        <v>腰部</v>
      </c>
      <c r="AT412" s="43" t="str">
        <f t="shared" si="52"/>
        <v/>
      </c>
      <c r="AU412" s="43" t="str">
        <f t="shared" si="53"/>
        <v>拉·主攻：主推AI外呼+大促作战包</v>
      </c>
    </row>
    <row r="413" ht="15" customHeight="1" spans="1:47">
      <c r="A413" s="20" t="s">
        <v>1340</v>
      </c>
      <c r="B413" s="22" t="s">
        <v>1341</v>
      </c>
      <c r="C413" s="22" t="s">
        <v>218</v>
      </c>
      <c r="D413" s="22" t="s">
        <v>196</v>
      </c>
      <c r="E413" s="22" t="s">
        <v>181</v>
      </c>
      <c r="F413" s="20" t="s">
        <v>1342</v>
      </c>
      <c r="G413" s="22">
        <v>8</v>
      </c>
      <c r="H413" s="22" t="s">
        <v>301</v>
      </c>
      <c r="I413" s="22" t="s">
        <v>302</v>
      </c>
      <c r="J413" s="36">
        <v>42600</v>
      </c>
      <c r="K413" s="36">
        <v>19400</v>
      </c>
      <c r="L413" s="36">
        <v>10900</v>
      </c>
      <c r="M413" s="36">
        <f t="shared" si="48"/>
        <v>72900</v>
      </c>
      <c r="N413" s="34">
        <f t="shared" si="54"/>
        <v>0.000382188445641164</v>
      </c>
      <c r="O413" s="35">
        <f>SUM($M$2:M413)</f>
        <v>173380900</v>
      </c>
      <c r="P413" s="34">
        <f t="shared" si="55"/>
        <v>0.908973616939179</v>
      </c>
      <c r="Q413" s="39">
        <v>8.2</v>
      </c>
      <c r="R413" s="22">
        <v>6</v>
      </c>
      <c r="S413" s="22">
        <v>3</v>
      </c>
      <c r="T413" s="22">
        <v>2</v>
      </c>
      <c r="U413" s="39">
        <v>3.7</v>
      </c>
      <c r="V413" s="22">
        <v>12</v>
      </c>
      <c r="W413" s="22">
        <v>0</v>
      </c>
      <c r="X413" s="40">
        <v>13</v>
      </c>
      <c r="Y413" s="22">
        <v>3</v>
      </c>
      <c r="Z413" s="22">
        <v>1</v>
      </c>
      <c r="AA413" s="22" t="s">
        <v>185</v>
      </c>
      <c r="AB413" s="22" t="s">
        <v>220</v>
      </c>
      <c r="AC413" s="42">
        <f>IFERROR(LOOKUP(M413,打分卡!$F$7:$J$7,打分卡!$K$7:$O$7),1)</f>
        <v>2</v>
      </c>
      <c r="AD413" s="42">
        <f>IFERROR(LOOKUP(S413,打分卡!$F$8:$J$8,打分卡!$K$8:$O$8),1)</f>
        <v>3</v>
      </c>
      <c r="AE413" s="42">
        <f>IFERROR(LOOKUP(T413,打分卡!$F$9:$I$9,打分卡!$K$9:$N$9),1)</f>
        <v>3</v>
      </c>
      <c r="AF413" s="42">
        <f>IFERROR(LOOKUP(Q413,打分卡!$F$10:$J$10,打分卡!$K$10:$O$10),1)</f>
        <v>2</v>
      </c>
      <c r="AG413" s="42">
        <f>IFERROR(LOOKUP(R413,打分卡!$F$11:$J$11,打分卡!$K$11:$O$11),1)</f>
        <v>3</v>
      </c>
      <c r="AH413" s="42">
        <f>IFERROR(LOOKUP(U413,打分卡!$F$12:$J$12,打分卡!$K$12:$O$12),1)</f>
        <v>2</v>
      </c>
      <c r="AI413" s="42">
        <f>IFERROR(LOOKUP(X413,打分卡!$F$13:$J$13,打分卡!$K$13:$O$13),1)</f>
        <v>1</v>
      </c>
      <c r="AJ413" s="42">
        <f>IFERROR(LOOKUP(Y413,打分卡!$F$14:$J$14,打分卡!$K$14:$O$14),1)</f>
        <v>4</v>
      </c>
      <c r="AK413" s="42">
        <f>IFERROR(LOOKUP(W413,打分卡!$F$15:$J$15,打分卡!$K$15:$O$15),1)</f>
        <v>1</v>
      </c>
      <c r="AL413" s="45">
        <f t="shared" si="49"/>
        <v>3</v>
      </c>
      <c r="AM413" s="42">
        <f>IFERROR(LOOKUP(Z413,打分卡!$F$17:$H$17,打分卡!$K$17:$M$17),1)</f>
        <v>3</v>
      </c>
      <c r="AN413" s="46">
        <f>(打分卡!$D$7*AC413+打分卡!$D$8*AD413+打分卡!$D$9*AE413)/5</f>
        <v>19</v>
      </c>
      <c r="AO413" s="46">
        <f>(打分卡!$D$10*AF413+打分卡!$D$11*AG413)/5</f>
        <v>10</v>
      </c>
      <c r="AP413" s="46">
        <f>(打分卡!$D$12*AH413+打分卡!$D$13*AI413+打分卡!$D$14*AJ413+打分卡!$D$15*AK413)/5</f>
        <v>12</v>
      </c>
      <c r="AQ413" s="46">
        <f>(打分卡!$D$16*AL413+打分卡!$D$17*AM413)/5</f>
        <v>6</v>
      </c>
      <c r="AR413" s="48">
        <f t="shared" si="50"/>
        <v>47</v>
      </c>
      <c r="AS413" s="45" t="str">
        <f t="shared" si="51"/>
        <v>腰部</v>
      </c>
      <c r="AT413" s="45" t="str">
        <f t="shared" si="52"/>
        <v/>
      </c>
      <c r="AU413" s="45" t="str">
        <f t="shared" si="53"/>
        <v>拉·主攻：主推AI外呼+大促作战包</v>
      </c>
    </row>
    <row r="414" ht="15" customHeight="1" spans="1:47">
      <c r="A414" s="30" t="s">
        <v>1343</v>
      </c>
      <c r="B414" s="31" t="s">
        <v>1344</v>
      </c>
      <c r="C414" s="31" t="s">
        <v>179</v>
      </c>
      <c r="D414" s="31" t="s">
        <v>202</v>
      </c>
      <c r="E414" s="31" t="s">
        <v>181</v>
      </c>
      <c r="F414" s="30" t="s">
        <v>1345</v>
      </c>
      <c r="G414" s="31">
        <v>3</v>
      </c>
      <c r="H414" s="31" t="s">
        <v>301</v>
      </c>
      <c r="I414" s="31" t="s">
        <v>184</v>
      </c>
      <c r="J414" s="33">
        <v>41500</v>
      </c>
      <c r="K414" s="33">
        <v>15200</v>
      </c>
      <c r="L414" s="33">
        <v>15400</v>
      </c>
      <c r="M414" s="33">
        <f t="shared" si="48"/>
        <v>72100</v>
      </c>
      <c r="N414" s="34">
        <f t="shared" si="54"/>
        <v>0.000377994333754842</v>
      </c>
      <c r="O414" s="35">
        <f>SUM($M$2:M414)</f>
        <v>173453000</v>
      </c>
      <c r="P414" s="34">
        <f t="shared" si="55"/>
        <v>0.909351611272934</v>
      </c>
      <c r="Q414" s="37">
        <v>7.1</v>
      </c>
      <c r="R414" s="31">
        <v>1</v>
      </c>
      <c r="S414" s="31">
        <v>1</v>
      </c>
      <c r="T414" s="31">
        <v>2</v>
      </c>
      <c r="U414" s="37">
        <v>2.7</v>
      </c>
      <c r="V414" s="31">
        <v>8</v>
      </c>
      <c r="W414" s="31">
        <v>4</v>
      </c>
      <c r="X414" s="38">
        <v>65</v>
      </c>
      <c r="Y414" s="31">
        <v>0</v>
      </c>
      <c r="Z414" s="31">
        <v>0</v>
      </c>
      <c r="AA414" s="31" t="s">
        <v>315</v>
      </c>
      <c r="AB414" s="31" t="s">
        <v>220</v>
      </c>
      <c r="AC414" s="41">
        <f>IFERROR(LOOKUP(M414,打分卡!$F$7:$J$7,打分卡!$K$7:$O$7),1)</f>
        <v>2</v>
      </c>
      <c r="AD414" s="41">
        <f>IFERROR(LOOKUP(S414,打分卡!$F$8:$J$8,打分卡!$K$8:$O$8),1)</f>
        <v>1</v>
      </c>
      <c r="AE414" s="41">
        <f>IFERROR(LOOKUP(T414,打分卡!$F$9:$I$9,打分卡!$K$9:$N$9),1)</f>
        <v>3</v>
      </c>
      <c r="AF414" s="41">
        <f>IFERROR(LOOKUP(Q414,打分卡!$F$10:$J$10,打分卡!$K$10:$O$10),1)</f>
        <v>2</v>
      </c>
      <c r="AG414" s="41">
        <f>IFERROR(LOOKUP(R414,打分卡!$F$11:$J$11,打分卡!$K$11:$O$11),1)</f>
        <v>1</v>
      </c>
      <c r="AH414" s="41">
        <f>IFERROR(LOOKUP(U414,打分卡!$F$12:$J$12,打分卡!$K$12:$O$12),1)</f>
        <v>1</v>
      </c>
      <c r="AI414" s="41">
        <f>IFERROR(LOOKUP(X414,打分卡!$F$13:$J$13,打分卡!$K$13:$O$13),1)</f>
        <v>3</v>
      </c>
      <c r="AJ414" s="41">
        <f>IFERROR(LOOKUP(Y414,打分卡!$F$14:$J$14,打分卡!$K$14:$O$14),1)</f>
        <v>1</v>
      </c>
      <c r="AK414" s="41">
        <f>IFERROR(LOOKUP(W414,打分卡!$F$15:$J$15,打分卡!$K$15:$O$15),1)</f>
        <v>3</v>
      </c>
      <c r="AL414" s="43">
        <f t="shared" si="49"/>
        <v>2</v>
      </c>
      <c r="AM414" s="41">
        <f>IFERROR(LOOKUP(Z414,打分卡!$F$17:$H$17,打分卡!$K$17:$M$17),1)</f>
        <v>1</v>
      </c>
      <c r="AN414" s="44">
        <f>(打分卡!$D$7*AC414+打分卡!$D$8*AD414+打分卡!$D$9*AE414)/5</f>
        <v>15.8</v>
      </c>
      <c r="AO414" s="44">
        <f>(打分卡!$D$10*AF414+打分卡!$D$11*AG414)/5</f>
        <v>6</v>
      </c>
      <c r="AP414" s="44">
        <f>(打分卡!$D$12*AH414+打分卡!$D$13*AI414+打分卡!$D$14*AJ414+打分卡!$D$15*AK414)/5</f>
        <v>10.8</v>
      </c>
      <c r="AQ414" s="44">
        <f>(打分卡!$D$16*AL414+打分卡!$D$17*AM414)/5</f>
        <v>3.2</v>
      </c>
      <c r="AR414" s="47">
        <f t="shared" si="50"/>
        <v>35.8</v>
      </c>
      <c r="AS414" s="43" t="str">
        <f t="shared" si="51"/>
        <v>基础长尾</v>
      </c>
      <c r="AT414" s="43" t="str">
        <f t="shared" si="52"/>
        <v/>
      </c>
      <c r="AU414" s="43" t="str">
        <f t="shared" si="53"/>
        <v>激活：企微+Push低成本先跑</v>
      </c>
    </row>
    <row r="415" ht="15" customHeight="1" spans="1:47">
      <c r="A415" s="20" t="s">
        <v>1346</v>
      </c>
      <c r="B415" s="22" t="s">
        <v>1347</v>
      </c>
      <c r="C415" s="22" t="s">
        <v>218</v>
      </c>
      <c r="D415" s="22" t="s">
        <v>202</v>
      </c>
      <c r="E415" s="22" t="s">
        <v>197</v>
      </c>
      <c r="F415" s="20" t="s">
        <v>1348</v>
      </c>
      <c r="G415" s="22">
        <v>10</v>
      </c>
      <c r="H415" s="22" t="s">
        <v>301</v>
      </c>
      <c r="I415" s="22" t="s">
        <v>184</v>
      </c>
      <c r="J415" s="36">
        <v>44200</v>
      </c>
      <c r="K415" s="36">
        <v>22000</v>
      </c>
      <c r="L415" s="36">
        <v>5800</v>
      </c>
      <c r="M415" s="36">
        <f t="shared" si="48"/>
        <v>72000</v>
      </c>
      <c r="N415" s="34">
        <f t="shared" si="54"/>
        <v>0.000377470069769051</v>
      </c>
      <c r="O415" s="35">
        <f>SUM($M$2:M415)</f>
        <v>173525000</v>
      </c>
      <c r="P415" s="34">
        <f t="shared" si="55"/>
        <v>0.909729081342703</v>
      </c>
      <c r="Q415" s="39">
        <v>6.2</v>
      </c>
      <c r="R415" s="22">
        <v>9</v>
      </c>
      <c r="S415" s="22">
        <v>3</v>
      </c>
      <c r="T415" s="22">
        <v>0</v>
      </c>
      <c r="U415" s="39">
        <v>4.4</v>
      </c>
      <c r="V415" s="22">
        <v>25</v>
      </c>
      <c r="W415" s="22">
        <v>2</v>
      </c>
      <c r="X415" s="40">
        <v>27</v>
      </c>
      <c r="Y415" s="22">
        <v>3</v>
      </c>
      <c r="Z415" s="22">
        <v>0</v>
      </c>
      <c r="AA415" s="22" t="s">
        <v>199</v>
      </c>
      <c r="AB415" s="22" t="s">
        <v>220</v>
      </c>
      <c r="AC415" s="42">
        <f>IFERROR(LOOKUP(M415,打分卡!$F$7:$J$7,打分卡!$K$7:$O$7),1)</f>
        <v>2</v>
      </c>
      <c r="AD415" s="42">
        <f>IFERROR(LOOKUP(S415,打分卡!$F$8:$J$8,打分卡!$K$8:$O$8),1)</f>
        <v>3</v>
      </c>
      <c r="AE415" s="42">
        <f>IFERROR(LOOKUP(T415,打分卡!$F$9:$I$9,打分卡!$K$9:$N$9),1)</f>
        <v>1</v>
      </c>
      <c r="AF415" s="42">
        <f>IFERROR(LOOKUP(Q415,打分卡!$F$10:$J$10,打分卡!$K$10:$O$10),1)</f>
        <v>2</v>
      </c>
      <c r="AG415" s="42">
        <f>IFERROR(LOOKUP(R415,打分卡!$F$11:$J$11,打分卡!$K$11:$O$11),1)</f>
        <v>4</v>
      </c>
      <c r="AH415" s="42">
        <f>IFERROR(LOOKUP(U415,打分卡!$F$12:$J$12,打分卡!$K$12:$O$12),1)</f>
        <v>2</v>
      </c>
      <c r="AI415" s="42">
        <f>IFERROR(LOOKUP(X415,打分卡!$F$13:$J$13,打分卡!$K$13:$O$13),1)</f>
        <v>2</v>
      </c>
      <c r="AJ415" s="42">
        <f>IFERROR(LOOKUP(Y415,打分卡!$F$14:$J$14,打分卡!$K$14:$O$14),1)</f>
        <v>4</v>
      </c>
      <c r="AK415" s="42">
        <f>IFERROR(LOOKUP(W415,打分卡!$F$15:$J$15,打分卡!$K$15:$O$15),1)</f>
        <v>2</v>
      </c>
      <c r="AL415" s="45">
        <f t="shared" si="49"/>
        <v>5</v>
      </c>
      <c r="AM415" s="42">
        <f>IFERROR(LOOKUP(Z415,打分卡!$F$17:$H$17,打分卡!$K$17:$M$17),1)</f>
        <v>1</v>
      </c>
      <c r="AN415" s="46">
        <f>(打分卡!$D$7*AC415+打分卡!$D$8*AD415+打分卡!$D$9*AE415)/5</f>
        <v>16.2</v>
      </c>
      <c r="AO415" s="46">
        <f>(打分卡!$D$10*AF415+打分卡!$D$11*AG415)/5</f>
        <v>12</v>
      </c>
      <c r="AP415" s="46">
        <f>(打分卡!$D$12*AH415+打分卡!$D$13*AI415+打分卡!$D$14*AJ415+打分卡!$D$15*AK415)/5</f>
        <v>14.4</v>
      </c>
      <c r="AQ415" s="46">
        <f>(打分卡!$D$16*AL415+打分卡!$D$17*AM415)/5</f>
        <v>6.8</v>
      </c>
      <c r="AR415" s="48">
        <f t="shared" si="50"/>
        <v>49.4</v>
      </c>
      <c r="AS415" s="45" t="str">
        <f t="shared" si="51"/>
        <v>腰部</v>
      </c>
      <c r="AT415" s="45" t="str">
        <f t="shared" si="52"/>
        <v/>
      </c>
      <c r="AU415" s="45" t="str">
        <f t="shared" si="53"/>
        <v>拉·主攻：主推AI外呼+大促作战包</v>
      </c>
    </row>
    <row r="416" ht="15" customHeight="1" spans="1:47">
      <c r="A416" s="30" t="s">
        <v>1349</v>
      </c>
      <c r="B416" s="31" t="s">
        <v>1350</v>
      </c>
      <c r="C416" s="31" t="s">
        <v>234</v>
      </c>
      <c r="D416" s="31" t="s">
        <v>196</v>
      </c>
      <c r="E416" s="31" t="s">
        <v>197</v>
      </c>
      <c r="F416" s="30" t="s">
        <v>1351</v>
      </c>
      <c r="G416" s="31">
        <v>16</v>
      </c>
      <c r="H416" s="31" t="s">
        <v>301</v>
      </c>
      <c r="I416" s="31" t="s">
        <v>184</v>
      </c>
      <c r="J416" s="33">
        <v>40400</v>
      </c>
      <c r="K416" s="33">
        <v>15800</v>
      </c>
      <c r="L416" s="33">
        <v>15700</v>
      </c>
      <c r="M416" s="33">
        <f t="shared" si="48"/>
        <v>71900</v>
      </c>
      <c r="N416" s="34">
        <f t="shared" si="54"/>
        <v>0.000376945805783261</v>
      </c>
      <c r="O416" s="35">
        <f>SUM($M$2:M416)</f>
        <v>173596900</v>
      </c>
      <c r="P416" s="34">
        <f t="shared" si="55"/>
        <v>0.910106027148486</v>
      </c>
      <c r="Q416" s="37">
        <v>5.4</v>
      </c>
      <c r="R416" s="31">
        <v>8</v>
      </c>
      <c r="S416" s="31">
        <v>1</v>
      </c>
      <c r="T416" s="31">
        <v>2</v>
      </c>
      <c r="U416" s="37">
        <v>6.5</v>
      </c>
      <c r="V416" s="31">
        <v>20</v>
      </c>
      <c r="W416" s="31">
        <v>4</v>
      </c>
      <c r="X416" s="38">
        <v>16</v>
      </c>
      <c r="Y416" s="31">
        <v>1</v>
      </c>
      <c r="Z416" s="31">
        <v>1</v>
      </c>
      <c r="AA416" s="31" t="s">
        <v>185</v>
      </c>
      <c r="AB416" s="31" t="s">
        <v>220</v>
      </c>
      <c r="AC416" s="41">
        <f>IFERROR(LOOKUP(M416,打分卡!$F$7:$J$7,打分卡!$K$7:$O$7),1)</f>
        <v>2</v>
      </c>
      <c r="AD416" s="41">
        <f>IFERROR(LOOKUP(S416,打分卡!$F$8:$J$8,打分卡!$K$8:$O$8),1)</f>
        <v>1</v>
      </c>
      <c r="AE416" s="41">
        <f>IFERROR(LOOKUP(T416,打分卡!$F$9:$I$9,打分卡!$K$9:$N$9),1)</f>
        <v>3</v>
      </c>
      <c r="AF416" s="41">
        <f>IFERROR(LOOKUP(Q416,打分卡!$F$10:$J$10,打分卡!$K$10:$O$10),1)</f>
        <v>2</v>
      </c>
      <c r="AG416" s="41">
        <f>IFERROR(LOOKUP(R416,打分卡!$F$11:$J$11,打分卡!$K$11:$O$11),1)</f>
        <v>3</v>
      </c>
      <c r="AH416" s="41">
        <f>IFERROR(LOOKUP(U416,打分卡!$F$12:$J$12,打分卡!$K$12:$O$12),1)</f>
        <v>2</v>
      </c>
      <c r="AI416" s="41">
        <f>IFERROR(LOOKUP(X416,打分卡!$F$13:$J$13,打分卡!$K$13:$O$13),1)</f>
        <v>1</v>
      </c>
      <c r="AJ416" s="41">
        <f>IFERROR(LOOKUP(Y416,打分卡!$F$14:$J$14,打分卡!$K$14:$O$14),1)</f>
        <v>2</v>
      </c>
      <c r="AK416" s="41">
        <f>IFERROR(LOOKUP(W416,打分卡!$F$15:$J$15,打分卡!$K$15:$O$15),1)</f>
        <v>3</v>
      </c>
      <c r="AL416" s="43">
        <f t="shared" si="49"/>
        <v>3</v>
      </c>
      <c r="AM416" s="41">
        <f>IFERROR(LOOKUP(Z416,打分卡!$F$17:$H$17,打分卡!$K$17:$M$17),1)</f>
        <v>3</v>
      </c>
      <c r="AN416" s="44">
        <f>(打分卡!$D$7*AC416+打分卡!$D$8*AD416+打分卡!$D$9*AE416)/5</f>
        <v>15.8</v>
      </c>
      <c r="AO416" s="44">
        <f>(打分卡!$D$10*AF416+打分卡!$D$11*AG416)/5</f>
        <v>10</v>
      </c>
      <c r="AP416" s="44">
        <f>(打分卡!$D$12*AH416+打分卡!$D$13*AI416+打分卡!$D$14*AJ416+打分卡!$D$15*AK416)/5</f>
        <v>11.2</v>
      </c>
      <c r="AQ416" s="44">
        <f>(打分卡!$D$16*AL416+打分卡!$D$17*AM416)/5</f>
        <v>6</v>
      </c>
      <c r="AR416" s="47">
        <f t="shared" si="50"/>
        <v>43</v>
      </c>
      <c r="AS416" s="43" t="str">
        <f t="shared" si="51"/>
        <v>腰部</v>
      </c>
      <c r="AT416" s="43" t="str">
        <f t="shared" si="52"/>
        <v/>
      </c>
      <c r="AU416" s="43" t="str">
        <f t="shared" si="53"/>
        <v>拉·主攻：主推AI外呼+大促作战包</v>
      </c>
    </row>
    <row r="417" ht="15" customHeight="1" spans="1:47">
      <c r="A417" s="20" t="s">
        <v>1352</v>
      </c>
      <c r="B417" s="22" t="s">
        <v>1353</v>
      </c>
      <c r="C417" s="22" t="s">
        <v>179</v>
      </c>
      <c r="D417" s="22" t="s">
        <v>202</v>
      </c>
      <c r="E417" s="22" t="s">
        <v>181</v>
      </c>
      <c r="F417" s="20" t="s">
        <v>1342</v>
      </c>
      <c r="G417" s="22">
        <v>8</v>
      </c>
      <c r="H417" s="22" t="s">
        <v>183</v>
      </c>
      <c r="I417" s="22" t="s">
        <v>302</v>
      </c>
      <c r="J417" s="36">
        <v>37300</v>
      </c>
      <c r="K417" s="36">
        <v>27600</v>
      </c>
      <c r="L417" s="36">
        <v>6800</v>
      </c>
      <c r="M417" s="36">
        <f t="shared" si="48"/>
        <v>71700</v>
      </c>
      <c r="N417" s="34">
        <f t="shared" si="54"/>
        <v>0.00037589727781168</v>
      </c>
      <c r="O417" s="35">
        <f>SUM($M$2:M417)</f>
        <v>173668600</v>
      </c>
      <c r="P417" s="34">
        <f t="shared" si="55"/>
        <v>0.910481924426298</v>
      </c>
      <c r="Q417" s="39">
        <v>4.5</v>
      </c>
      <c r="R417" s="22">
        <v>7</v>
      </c>
      <c r="S417" s="22">
        <v>3</v>
      </c>
      <c r="T417" s="22">
        <v>0</v>
      </c>
      <c r="U417" s="39">
        <v>26.4</v>
      </c>
      <c r="V417" s="22">
        <v>7</v>
      </c>
      <c r="W417" s="22">
        <v>1</v>
      </c>
      <c r="X417" s="40">
        <v>48</v>
      </c>
      <c r="Y417" s="22">
        <v>1</v>
      </c>
      <c r="Z417" s="22">
        <v>1</v>
      </c>
      <c r="AA417" s="22" t="s">
        <v>185</v>
      </c>
      <c r="AB417" s="22" t="s">
        <v>220</v>
      </c>
      <c r="AC417" s="42">
        <f>IFERROR(LOOKUP(M417,打分卡!$F$7:$J$7,打分卡!$K$7:$O$7),1)</f>
        <v>2</v>
      </c>
      <c r="AD417" s="42">
        <f>IFERROR(LOOKUP(S417,打分卡!$F$8:$J$8,打分卡!$K$8:$O$8),1)</f>
        <v>3</v>
      </c>
      <c r="AE417" s="42">
        <f>IFERROR(LOOKUP(T417,打分卡!$F$9:$I$9,打分卡!$K$9:$N$9),1)</f>
        <v>1</v>
      </c>
      <c r="AF417" s="42">
        <f>IFERROR(LOOKUP(Q417,打分卡!$F$10:$J$10,打分卡!$K$10:$O$10),1)</f>
        <v>2</v>
      </c>
      <c r="AG417" s="42">
        <f>IFERROR(LOOKUP(R417,打分卡!$F$11:$J$11,打分卡!$K$11:$O$11),1)</f>
        <v>3</v>
      </c>
      <c r="AH417" s="42">
        <f>IFERROR(LOOKUP(U417,打分卡!$F$12:$J$12,打分卡!$K$12:$O$12),1)</f>
        <v>3</v>
      </c>
      <c r="AI417" s="42">
        <f>IFERROR(LOOKUP(X417,打分卡!$F$13:$J$13,打分卡!$K$13:$O$13),1)</f>
        <v>3</v>
      </c>
      <c r="AJ417" s="42">
        <f>IFERROR(LOOKUP(Y417,打分卡!$F$14:$J$14,打分卡!$K$14:$O$14),1)</f>
        <v>2</v>
      </c>
      <c r="AK417" s="42">
        <f>IFERROR(LOOKUP(W417,打分卡!$F$15:$J$15,打分卡!$K$15:$O$15),1)</f>
        <v>2</v>
      </c>
      <c r="AL417" s="45">
        <f t="shared" si="49"/>
        <v>3</v>
      </c>
      <c r="AM417" s="42">
        <f>IFERROR(LOOKUP(Z417,打分卡!$F$17:$H$17,打分卡!$K$17:$M$17),1)</f>
        <v>3</v>
      </c>
      <c r="AN417" s="46">
        <f>(打分卡!$D$7*AC417+打分卡!$D$8*AD417+打分卡!$D$9*AE417)/5</f>
        <v>16.2</v>
      </c>
      <c r="AO417" s="46">
        <f>(打分卡!$D$10*AF417+打分卡!$D$11*AG417)/5</f>
        <v>10</v>
      </c>
      <c r="AP417" s="46">
        <f>(打分卡!$D$12*AH417+打分卡!$D$13*AI417+打分卡!$D$14*AJ417+打分卡!$D$15*AK417)/5</f>
        <v>16</v>
      </c>
      <c r="AQ417" s="46">
        <f>(打分卡!$D$16*AL417+打分卡!$D$17*AM417)/5</f>
        <v>6</v>
      </c>
      <c r="AR417" s="48">
        <f t="shared" si="50"/>
        <v>48.2</v>
      </c>
      <c r="AS417" s="45" t="str">
        <f t="shared" si="51"/>
        <v>腰部</v>
      </c>
      <c r="AT417" s="45" t="str">
        <f t="shared" si="52"/>
        <v/>
      </c>
      <c r="AU417" s="45" t="str">
        <f t="shared" si="53"/>
        <v>拉·主攻：主推AI外呼+大促作战包</v>
      </c>
    </row>
    <row r="418" ht="15" customHeight="1" spans="1:47">
      <c r="A418" s="30" t="s">
        <v>1354</v>
      </c>
      <c r="B418" s="31" t="s">
        <v>1355</v>
      </c>
      <c r="C418" s="31" t="s">
        <v>179</v>
      </c>
      <c r="D418" s="31" t="s">
        <v>202</v>
      </c>
      <c r="E418" s="31" t="s">
        <v>181</v>
      </c>
      <c r="F418" s="30" t="s">
        <v>333</v>
      </c>
      <c r="G418" s="31">
        <v>19</v>
      </c>
      <c r="H418" s="31" t="s">
        <v>183</v>
      </c>
      <c r="I418" s="31" t="s">
        <v>184</v>
      </c>
      <c r="J418" s="33">
        <v>40200</v>
      </c>
      <c r="K418" s="33">
        <v>17600</v>
      </c>
      <c r="L418" s="33">
        <v>13100</v>
      </c>
      <c r="M418" s="33">
        <f t="shared" si="48"/>
        <v>70900</v>
      </c>
      <c r="N418" s="34">
        <f t="shared" si="54"/>
        <v>0.000371703165925357</v>
      </c>
      <c r="O418" s="35">
        <f>SUM($M$2:M418)</f>
        <v>173739500</v>
      </c>
      <c r="P418" s="34">
        <f t="shared" si="55"/>
        <v>0.910853627592223</v>
      </c>
      <c r="Q418" s="37">
        <v>9.2</v>
      </c>
      <c r="R418" s="31">
        <v>7</v>
      </c>
      <c r="S418" s="31">
        <v>2</v>
      </c>
      <c r="T418" s="31">
        <v>0</v>
      </c>
      <c r="U418" s="37">
        <v>32.4</v>
      </c>
      <c r="V418" s="31">
        <v>24</v>
      </c>
      <c r="W418" s="31">
        <v>1</v>
      </c>
      <c r="X418" s="38">
        <v>25</v>
      </c>
      <c r="Y418" s="31">
        <v>2</v>
      </c>
      <c r="Z418" s="31">
        <v>0</v>
      </c>
      <c r="AA418" s="31" t="s">
        <v>199</v>
      </c>
      <c r="AB418" s="31" t="s">
        <v>220</v>
      </c>
      <c r="AC418" s="41">
        <f>IFERROR(LOOKUP(M418,打分卡!$F$7:$J$7,打分卡!$K$7:$O$7),1)</f>
        <v>2</v>
      </c>
      <c r="AD418" s="41">
        <f>IFERROR(LOOKUP(S418,打分卡!$F$8:$J$8,打分卡!$K$8:$O$8),1)</f>
        <v>2</v>
      </c>
      <c r="AE418" s="41">
        <f>IFERROR(LOOKUP(T418,打分卡!$F$9:$I$9,打分卡!$K$9:$N$9),1)</f>
        <v>1</v>
      </c>
      <c r="AF418" s="41">
        <f>IFERROR(LOOKUP(Q418,打分卡!$F$10:$J$10,打分卡!$K$10:$O$10),1)</f>
        <v>2</v>
      </c>
      <c r="AG418" s="41">
        <f>IFERROR(LOOKUP(R418,打分卡!$F$11:$J$11,打分卡!$K$11:$O$11),1)</f>
        <v>3</v>
      </c>
      <c r="AH418" s="41">
        <f>IFERROR(LOOKUP(U418,打分卡!$F$12:$J$12,打分卡!$K$12:$O$12),1)</f>
        <v>3</v>
      </c>
      <c r="AI418" s="41">
        <f>IFERROR(LOOKUP(X418,打分卡!$F$13:$J$13,打分卡!$K$13:$O$13),1)</f>
        <v>2</v>
      </c>
      <c r="AJ418" s="41">
        <f>IFERROR(LOOKUP(Y418,打分卡!$F$14:$J$14,打分卡!$K$14:$O$14),1)</f>
        <v>3</v>
      </c>
      <c r="AK418" s="41">
        <f>IFERROR(LOOKUP(W418,打分卡!$F$15:$J$15,打分卡!$K$15:$O$15),1)</f>
        <v>2</v>
      </c>
      <c r="AL418" s="43">
        <f t="shared" si="49"/>
        <v>5</v>
      </c>
      <c r="AM418" s="41">
        <f>IFERROR(LOOKUP(Z418,打分卡!$F$17:$H$17,打分卡!$K$17:$M$17),1)</f>
        <v>1</v>
      </c>
      <c r="AN418" s="44">
        <f>(打分卡!$D$7*AC418+打分卡!$D$8*AD418+打分卡!$D$9*AE418)/5</f>
        <v>14.6</v>
      </c>
      <c r="AO418" s="44">
        <f>(打分卡!$D$10*AF418+打分卡!$D$11*AG418)/5</f>
        <v>10</v>
      </c>
      <c r="AP418" s="44">
        <f>(打分卡!$D$12*AH418+打分卡!$D$13*AI418+打分卡!$D$14*AJ418+打分卡!$D$15*AK418)/5</f>
        <v>15.6</v>
      </c>
      <c r="AQ418" s="44">
        <f>(打分卡!$D$16*AL418+打分卡!$D$17*AM418)/5</f>
        <v>6.8</v>
      </c>
      <c r="AR418" s="47">
        <f t="shared" si="50"/>
        <v>47</v>
      </c>
      <c r="AS418" s="43" t="str">
        <f t="shared" si="51"/>
        <v>腰部</v>
      </c>
      <c r="AT418" s="43" t="str">
        <f t="shared" si="52"/>
        <v/>
      </c>
      <c r="AU418" s="43" t="str">
        <f t="shared" si="53"/>
        <v>拉·主攻：主推AI外呼+大促作战包</v>
      </c>
    </row>
    <row r="419" ht="15" customHeight="1" spans="1:47">
      <c r="A419" s="20" t="s">
        <v>1356</v>
      </c>
      <c r="B419" s="22" t="s">
        <v>1357</v>
      </c>
      <c r="C419" s="22" t="s">
        <v>179</v>
      </c>
      <c r="D419" s="22" t="s">
        <v>196</v>
      </c>
      <c r="E419" s="22" t="s">
        <v>181</v>
      </c>
      <c r="F419" s="20" t="s">
        <v>1358</v>
      </c>
      <c r="G419" s="22">
        <v>10</v>
      </c>
      <c r="H419" s="22" t="s">
        <v>183</v>
      </c>
      <c r="I419" s="22" t="s">
        <v>302</v>
      </c>
      <c r="J419" s="36">
        <v>42300</v>
      </c>
      <c r="K419" s="36">
        <v>24200</v>
      </c>
      <c r="L419" s="36">
        <v>4300</v>
      </c>
      <c r="M419" s="36">
        <f t="shared" si="48"/>
        <v>70800</v>
      </c>
      <c r="N419" s="34">
        <f t="shared" si="54"/>
        <v>0.000371178901939567</v>
      </c>
      <c r="O419" s="35">
        <f>SUM($M$2:M419)</f>
        <v>173810300</v>
      </c>
      <c r="P419" s="34">
        <f t="shared" si="55"/>
        <v>0.911224806494163</v>
      </c>
      <c r="Q419" s="39">
        <v>5.4</v>
      </c>
      <c r="R419" s="22">
        <v>6</v>
      </c>
      <c r="S419" s="22">
        <v>3</v>
      </c>
      <c r="T419" s="22">
        <v>2</v>
      </c>
      <c r="U419" s="39">
        <v>6.4</v>
      </c>
      <c r="V419" s="22">
        <v>17</v>
      </c>
      <c r="W419" s="22">
        <v>2</v>
      </c>
      <c r="X419" s="40">
        <v>15</v>
      </c>
      <c r="Y419" s="22">
        <v>3</v>
      </c>
      <c r="Z419" s="22">
        <v>1</v>
      </c>
      <c r="AA419" s="22" t="s">
        <v>185</v>
      </c>
      <c r="AB419" s="22" t="s">
        <v>220</v>
      </c>
      <c r="AC419" s="42">
        <f>IFERROR(LOOKUP(M419,打分卡!$F$7:$J$7,打分卡!$K$7:$O$7),1)</f>
        <v>2</v>
      </c>
      <c r="AD419" s="42">
        <f>IFERROR(LOOKUP(S419,打分卡!$F$8:$J$8,打分卡!$K$8:$O$8),1)</f>
        <v>3</v>
      </c>
      <c r="AE419" s="42">
        <f>IFERROR(LOOKUP(T419,打分卡!$F$9:$I$9,打分卡!$K$9:$N$9),1)</f>
        <v>3</v>
      </c>
      <c r="AF419" s="42">
        <f>IFERROR(LOOKUP(Q419,打分卡!$F$10:$J$10,打分卡!$K$10:$O$10),1)</f>
        <v>2</v>
      </c>
      <c r="AG419" s="42">
        <f>IFERROR(LOOKUP(R419,打分卡!$F$11:$J$11,打分卡!$K$11:$O$11),1)</f>
        <v>3</v>
      </c>
      <c r="AH419" s="42">
        <f>IFERROR(LOOKUP(U419,打分卡!$F$12:$J$12,打分卡!$K$12:$O$12),1)</f>
        <v>2</v>
      </c>
      <c r="AI419" s="42">
        <f>IFERROR(LOOKUP(X419,打分卡!$F$13:$J$13,打分卡!$K$13:$O$13),1)</f>
        <v>1</v>
      </c>
      <c r="AJ419" s="42">
        <f>IFERROR(LOOKUP(Y419,打分卡!$F$14:$J$14,打分卡!$K$14:$O$14),1)</f>
        <v>4</v>
      </c>
      <c r="AK419" s="42">
        <f>IFERROR(LOOKUP(W419,打分卡!$F$15:$J$15,打分卡!$K$15:$O$15),1)</f>
        <v>2</v>
      </c>
      <c r="AL419" s="45">
        <f t="shared" si="49"/>
        <v>3</v>
      </c>
      <c r="AM419" s="42">
        <f>IFERROR(LOOKUP(Z419,打分卡!$F$17:$H$17,打分卡!$K$17:$M$17),1)</f>
        <v>3</v>
      </c>
      <c r="AN419" s="46">
        <f>(打分卡!$D$7*AC419+打分卡!$D$8*AD419+打分卡!$D$9*AE419)/5</f>
        <v>19</v>
      </c>
      <c r="AO419" s="46">
        <f>(打分卡!$D$10*AF419+打分卡!$D$11*AG419)/5</f>
        <v>10</v>
      </c>
      <c r="AP419" s="46">
        <f>(打分卡!$D$12*AH419+打分卡!$D$13*AI419+打分卡!$D$14*AJ419+打分卡!$D$15*AK419)/5</f>
        <v>12.8</v>
      </c>
      <c r="AQ419" s="46">
        <f>(打分卡!$D$16*AL419+打分卡!$D$17*AM419)/5</f>
        <v>6</v>
      </c>
      <c r="AR419" s="48">
        <f t="shared" si="50"/>
        <v>47.8</v>
      </c>
      <c r="AS419" s="45" t="str">
        <f t="shared" si="51"/>
        <v>腰部</v>
      </c>
      <c r="AT419" s="45" t="str">
        <f t="shared" si="52"/>
        <v/>
      </c>
      <c r="AU419" s="45" t="str">
        <f t="shared" si="53"/>
        <v>拉·主攻：主推AI外呼+大促作战包</v>
      </c>
    </row>
    <row r="420" ht="15" customHeight="1" spans="1:47">
      <c r="A420" s="30" t="s">
        <v>1359</v>
      </c>
      <c r="B420" s="31" t="s">
        <v>1360</v>
      </c>
      <c r="C420" s="31" t="s">
        <v>234</v>
      </c>
      <c r="D420" s="31" t="s">
        <v>202</v>
      </c>
      <c r="E420" s="31" t="s">
        <v>197</v>
      </c>
      <c r="F420" s="30" t="s">
        <v>1361</v>
      </c>
      <c r="G420" s="31">
        <v>4</v>
      </c>
      <c r="H420" s="31" t="s">
        <v>301</v>
      </c>
      <c r="I420" s="31" t="s">
        <v>302</v>
      </c>
      <c r="J420" s="33">
        <v>41600</v>
      </c>
      <c r="K420" s="33">
        <v>19500</v>
      </c>
      <c r="L420" s="33">
        <v>9800</v>
      </c>
      <c r="M420" s="33">
        <f t="shared" si="48"/>
        <v>70900</v>
      </c>
      <c r="N420" s="34">
        <f t="shared" si="54"/>
        <v>0.000371703165925357</v>
      </c>
      <c r="O420" s="35">
        <f>SUM($M$2:M420)</f>
        <v>173881200</v>
      </c>
      <c r="P420" s="34">
        <f t="shared" si="55"/>
        <v>0.911596509660088</v>
      </c>
      <c r="Q420" s="37">
        <v>7.1</v>
      </c>
      <c r="R420" s="31">
        <v>9</v>
      </c>
      <c r="S420" s="31">
        <v>1</v>
      </c>
      <c r="T420" s="31">
        <v>1</v>
      </c>
      <c r="U420" s="37">
        <v>8</v>
      </c>
      <c r="V420" s="31">
        <v>20</v>
      </c>
      <c r="W420" s="31">
        <v>3</v>
      </c>
      <c r="X420" s="38">
        <v>64</v>
      </c>
      <c r="Y420" s="31">
        <v>3</v>
      </c>
      <c r="Z420" s="31">
        <v>0</v>
      </c>
      <c r="AA420" s="31" t="s">
        <v>185</v>
      </c>
      <c r="AB420" s="31" t="s">
        <v>220</v>
      </c>
      <c r="AC420" s="41">
        <f>IFERROR(LOOKUP(M420,打分卡!$F$7:$J$7,打分卡!$K$7:$O$7),1)</f>
        <v>2</v>
      </c>
      <c r="AD420" s="41">
        <f>IFERROR(LOOKUP(S420,打分卡!$F$8:$J$8,打分卡!$K$8:$O$8),1)</f>
        <v>1</v>
      </c>
      <c r="AE420" s="41">
        <f>IFERROR(LOOKUP(T420,打分卡!$F$9:$I$9,打分卡!$K$9:$N$9),1)</f>
        <v>2</v>
      </c>
      <c r="AF420" s="41">
        <f>IFERROR(LOOKUP(Q420,打分卡!$F$10:$J$10,打分卡!$K$10:$O$10),1)</f>
        <v>2</v>
      </c>
      <c r="AG420" s="41">
        <f>IFERROR(LOOKUP(R420,打分卡!$F$11:$J$11,打分卡!$K$11:$O$11),1)</f>
        <v>4</v>
      </c>
      <c r="AH420" s="41">
        <f>IFERROR(LOOKUP(U420,打分卡!$F$12:$J$12,打分卡!$K$12:$O$12),1)</f>
        <v>2</v>
      </c>
      <c r="AI420" s="41">
        <f>IFERROR(LOOKUP(X420,打分卡!$F$13:$J$13,打分卡!$K$13:$O$13),1)</f>
        <v>3</v>
      </c>
      <c r="AJ420" s="41">
        <f>IFERROR(LOOKUP(Y420,打分卡!$F$14:$J$14,打分卡!$K$14:$O$14),1)</f>
        <v>4</v>
      </c>
      <c r="AK420" s="41">
        <f>IFERROR(LOOKUP(W420,打分卡!$F$15:$J$15,打分卡!$K$15:$O$15),1)</f>
        <v>3</v>
      </c>
      <c r="AL420" s="43">
        <f t="shared" si="49"/>
        <v>3</v>
      </c>
      <c r="AM420" s="41">
        <f>IFERROR(LOOKUP(Z420,打分卡!$F$17:$H$17,打分卡!$K$17:$M$17),1)</f>
        <v>1</v>
      </c>
      <c r="AN420" s="44">
        <f>(打分卡!$D$7*AC420+打分卡!$D$8*AD420+打分卡!$D$9*AE420)/5</f>
        <v>14.4</v>
      </c>
      <c r="AO420" s="44">
        <f>(打分卡!$D$10*AF420+打分卡!$D$11*AG420)/5</f>
        <v>12</v>
      </c>
      <c r="AP420" s="44">
        <f>(打分卡!$D$12*AH420+打分卡!$D$13*AI420+打分卡!$D$14*AJ420+打分卡!$D$15*AK420)/5</f>
        <v>16.8</v>
      </c>
      <c r="AQ420" s="44">
        <f>(打分卡!$D$16*AL420+打分卡!$D$17*AM420)/5</f>
        <v>4.4</v>
      </c>
      <c r="AR420" s="47">
        <f t="shared" si="50"/>
        <v>47.6</v>
      </c>
      <c r="AS420" s="43" t="str">
        <f t="shared" si="51"/>
        <v>腰部</v>
      </c>
      <c r="AT420" s="43" t="str">
        <f t="shared" si="52"/>
        <v/>
      </c>
      <c r="AU420" s="43" t="str">
        <f t="shared" si="53"/>
        <v>拉·主攻：主推AI外呼+大促作战包</v>
      </c>
    </row>
    <row r="421" ht="15" customHeight="1" spans="1:47">
      <c r="A421" s="20" t="s">
        <v>1362</v>
      </c>
      <c r="B421" s="22" t="s">
        <v>1363</v>
      </c>
      <c r="C421" s="22" t="s">
        <v>209</v>
      </c>
      <c r="D421" s="22" t="s">
        <v>190</v>
      </c>
      <c r="E421" s="22" t="s">
        <v>181</v>
      </c>
      <c r="F421" s="20" t="s">
        <v>1364</v>
      </c>
      <c r="G421" s="22">
        <v>8</v>
      </c>
      <c r="H421" s="22" t="s">
        <v>301</v>
      </c>
      <c r="I421" s="22" t="s">
        <v>302</v>
      </c>
      <c r="J421" s="36">
        <v>43200</v>
      </c>
      <c r="K421" s="36">
        <v>24100</v>
      </c>
      <c r="L421" s="36">
        <v>3500</v>
      </c>
      <c r="M421" s="36">
        <f t="shared" si="48"/>
        <v>70800</v>
      </c>
      <c r="N421" s="34">
        <f t="shared" si="54"/>
        <v>0.000371178901939567</v>
      </c>
      <c r="O421" s="35">
        <f>SUM($M$2:M421)</f>
        <v>173952000</v>
      </c>
      <c r="P421" s="34">
        <f t="shared" si="55"/>
        <v>0.911967688562028</v>
      </c>
      <c r="Q421" s="39">
        <v>8.5</v>
      </c>
      <c r="R421" s="22">
        <v>9</v>
      </c>
      <c r="S421" s="22">
        <v>1</v>
      </c>
      <c r="T421" s="22">
        <v>0</v>
      </c>
      <c r="U421" s="39">
        <v>59.8</v>
      </c>
      <c r="V421" s="22">
        <v>18</v>
      </c>
      <c r="W421" s="22">
        <v>4</v>
      </c>
      <c r="X421" s="40">
        <v>74</v>
      </c>
      <c r="Y421" s="22">
        <v>1</v>
      </c>
      <c r="Z421" s="22">
        <v>0</v>
      </c>
      <c r="AA421" s="22" t="s">
        <v>199</v>
      </c>
      <c r="AB421" s="22" t="s">
        <v>220</v>
      </c>
      <c r="AC421" s="42">
        <f>IFERROR(LOOKUP(M421,打分卡!$F$7:$J$7,打分卡!$K$7:$O$7),1)</f>
        <v>2</v>
      </c>
      <c r="AD421" s="42">
        <f>IFERROR(LOOKUP(S421,打分卡!$F$8:$J$8,打分卡!$K$8:$O$8),1)</f>
        <v>1</v>
      </c>
      <c r="AE421" s="42">
        <f>IFERROR(LOOKUP(T421,打分卡!$F$9:$I$9,打分卡!$K$9:$N$9),1)</f>
        <v>1</v>
      </c>
      <c r="AF421" s="42">
        <f>IFERROR(LOOKUP(Q421,打分卡!$F$10:$J$10,打分卡!$K$10:$O$10),1)</f>
        <v>2</v>
      </c>
      <c r="AG421" s="42">
        <f>IFERROR(LOOKUP(R421,打分卡!$F$11:$J$11,打分卡!$K$11:$O$11),1)</f>
        <v>4</v>
      </c>
      <c r="AH421" s="42">
        <f>IFERROR(LOOKUP(U421,打分卡!$F$12:$J$12,打分卡!$K$12:$O$12),1)</f>
        <v>4</v>
      </c>
      <c r="AI421" s="42">
        <f>IFERROR(LOOKUP(X421,打分卡!$F$13:$J$13,打分卡!$K$13:$O$13),1)</f>
        <v>3</v>
      </c>
      <c r="AJ421" s="42">
        <f>IFERROR(LOOKUP(Y421,打分卡!$F$14:$J$14,打分卡!$K$14:$O$14),1)</f>
        <v>2</v>
      </c>
      <c r="AK421" s="42">
        <f>IFERROR(LOOKUP(W421,打分卡!$F$15:$J$15,打分卡!$K$15:$O$15),1)</f>
        <v>3</v>
      </c>
      <c r="AL421" s="45">
        <f t="shared" si="49"/>
        <v>5</v>
      </c>
      <c r="AM421" s="42">
        <f>IFERROR(LOOKUP(Z421,打分卡!$F$17:$H$17,打分卡!$K$17:$M$17),1)</f>
        <v>1</v>
      </c>
      <c r="AN421" s="46">
        <f>(打分卡!$D$7*AC421+打分卡!$D$8*AD421+打分卡!$D$9*AE421)/5</f>
        <v>13</v>
      </c>
      <c r="AO421" s="46">
        <f>(打分卡!$D$10*AF421+打分卡!$D$11*AG421)/5</f>
        <v>12</v>
      </c>
      <c r="AP421" s="46">
        <f>(打分卡!$D$12*AH421+打分卡!$D$13*AI421+打分卡!$D$14*AJ421+打分卡!$D$15*AK421)/5</f>
        <v>19.2</v>
      </c>
      <c r="AQ421" s="46">
        <f>(打分卡!$D$16*AL421+打分卡!$D$17*AM421)/5</f>
        <v>6.8</v>
      </c>
      <c r="AR421" s="48">
        <f t="shared" si="50"/>
        <v>51</v>
      </c>
      <c r="AS421" s="45" t="str">
        <f t="shared" si="51"/>
        <v>腰部</v>
      </c>
      <c r="AT421" s="45" t="str">
        <f t="shared" si="52"/>
        <v/>
      </c>
      <c r="AU421" s="45" t="str">
        <f t="shared" si="53"/>
        <v>拉·主攻：主推AI外呼+大促作战包</v>
      </c>
    </row>
    <row r="422" ht="15" customHeight="1" spans="1:47">
      <c r="A422" s="30" t="s">
        <v>1365</v>
      </c>
      <c r="B422" s="31" t="s">
        <v>1366</v>
      </c>
      <c r="C422" s="31" t="s">
        <v>179</v>
      </c>
      <c r="D422" s="31" t="s">
        <v>227</v>
      </c>
      <c r="E422" s="31" t="s">
        <v>181</v>
      </c>
      <c r="F422" s="30" t="s">
        <v>1367</v>
      </c>
      <c r="G422" s="31">
        <v>4</v>
      </c>
      <c r="H422" s="31" t="s">
        <v>301</v>
      </c>
      <c r="I422" s="31" t="s">
        <v>302</v>
      </c>
      <c r="J422" s="33">
        <v>35500</v>
      </c>
      <c r="K422" s="33">
        <v>23400</v>
      </c>
      <c r="L422" s="33">
        <v>11400</v>
      </c>
      <c r="M422" s="33">
        <f t="shared" si="48"/>
        <v>70300</v>
      </c>
      <c r="N422" s="34">
        <f t="shared" si="54"/>
        <v>0.000368557582010615</v>
      </c>
      <c r="O422" s="35">
        <f>SUM($M$2:M422)</f>
        <v>174022300</v>
      </c>
      <c r="P422" s="34">
        <f t="shared" si="55"/>
        <v>0.912336246144038</v>
      </c>
      <c r="Q422" s="37">
        <v>9.3</v>
      </c>
      <c r="R422" s="31">
        <v>8</v>
      </c>
      <c r="S422" s="31">
        <v>3</v>
      </c>
      <c r="T422" s="31">
        <v>1</v>
      </c>
      <c r="U422" s="37">
        <v>61.7</v>
      </c>
      <c r="V422" s="31">
        <v>21</v>
      </c>
      <c r="W422" s="31">
        <v>2</v>
      </c>
      <c r="X422" s="38">
        <v>10</v>
      </c>
      <c r="Y422" s="31">
        <v>0</v>
      </c>
      <c r="Z422" s="31">
        <v>0</v>
      </c>
      <c r="AA422" s="31" t="s">
        <v>185</v>
      </c>
      <c r="AB422" s="31" t="s">
        <v>220</v>
      </c>
      <c r="AC422" s="41">
        <f>IFERROR(LOOKUP(M422,打分卡!$F$7:$J$7,打分卡!$K$7:$O$7),1)</f>
        <v>2</v>
      </c>
      <c r="AD422" s="41">
        <f>IFERROR(LOOKUP(S422,打分卡!$F$8:$J$8,打分卡!$K$8:$O$8),1)</f>
        <v>3</v>
      </c>
      <c r="AE422" s="41">
        <f>IFERROR(LOOKUP(T422,打分卡!$F$9:$I$9,打分卡!$K$9:$N$9),1)</f>
        <v>2</v>
      </c>
      <c r="AF422" s="41">
        <f>IFERROR(LOOKUP(Q422,打分卡!$F$10:$J$10,打分卡!$K$10:$O$10),1)</f>
        <v>2</v>
      </c>
      <c r="AG422" s="41">
        <f>IFERROR(LOOKUP(R422,打分卡!$F$11:$J$11,打分卡!$K$11:$O$11),1)</f>
        <v>3</v>
      </c>
      <c r="AH422" s="41">
        <f>IFERROR(LOOKUP(U422,打分卡!$F$12:$J$12,打分卡!$K$12:$O$12),1)</f>
        <v>4</v>
      </c>
      <c r="AI422" s="41">
        <f>IFERROR(LOOKUP(X422,打分卡!$F$13:$J$13,打分卡!$K$13:$O$13),1)</f>
        <v>1</v>
      </c>
      <c r="AJ422" s="41">
        <f>IFERROR(LOOKUP(Y422,打分卡!$F$14:$J$14,打分卡!$K$14:$O$14),1)</f>
        <v>1</v>
      </c>
      <c r="AK422" s="41">
        <f>IFERROR(LOOKUP(W422,打分卡!$F$15:$J$15,打分卡!$K$15:$O$15),1)</f>
        <v>2</v>
      </c>
      <c r="AL422" s="43">
        <f t="shared" si="49"/>
        <v>3</v>
      </c>
      <c r="AM422" s="41">
        <f>IFERROR(LOOKUP(Z422,打分卡!$F$17:$H$17,打分卡!$K$17:$M$17),1)</f>
        <v>1</v>
      </c>
      <c r="AN422" s="44">
        <f>(打分卡!$D$7*AC422+打分卡!$D$8*AD422+打分卡!$D$9*AE422)/5</f>
        <v>17.6</v>
      </c>
      <c r="AO422" s="44">
        <f>(打分卡!$D$10*AF422+打分卡!$D$11*AG422)/5</f>
        <v>10</v>
      </c>
      <c r="AP422" s="44">
        <f>(打分卡!$D$12*AH422+打分卡!$D$13*AI422+打分卡!$D$14*AJ422+打分卡!$D$15*AK422)/5</f>
        <v>14</v>
      </c>
      <c r="AQ422" s="44">
        <f>(打分卡!$D$16*AL422+打分卡!$D$17*AM422)/5</f>
        <v>4.4</v>
      </c>
      <c r="AR422" s="47">
        <f t="shared" si="50"/>
        <v>46</v>
      </c>
      <c r="AS422" s="43" t="str">
        <f t="shared" si="51"/>
        <v>腰部</v>
      </c>
      <c r="AT422" s="43" t="str">
        <f t="shared" si="52"/>
        <v/>
      </c>
      <c r="AU422" s="43" t="str">
        <f t="shared" si="53"/>
        <v>拉·主攻：主推AI外呼+大促作战包</v>
      </c>
    </row>
    <row r="423" ht="15" customHeight="1" spans="1:47">
      <c r="A423" s="20" t="s">
        <v>1368</v>
      </c>
      <c r="B423" s="22" t="s">
        <v>1369</v>
      </c>
      <c r="C423" s="22" t="s">
        <v>223</v>
      </c>
      <c r="D423" s="22" t="s">
        <v>252</v>
      </c>
      <c r="E423" s="22" t="s">
        <v>197</v>
      </c>
      <c r="F423" s="20" t="s">
        <v>1370</v>
      </c>
      <c r="G423" s="22">
        <v>17</v>
      </c>
      <c r="H423" s="22" t="s">
        <v>301</v>
      </c>
      <c r="I423" s="22" t="s">
        <v>302</v>
      </c>
      <c r="J423" s="36">
        <v>44800</v>
      </c>
      <c r="K423" s="36">
        <v>17200</v>
      </c>
      <c r="L423" s="36">
        <v>8300</v>
      </c>
      <c r="M423" s="36">
        <f t="shared" si="48"/>
        <v>70300</v>
      </c>
      <c r="N423" s="34">
        <f t="shared" si="54"/>
        <v>0.000368557582010615</v>
      </c>
      <c r="O423" s="35">
        <f>SUM($M$2:M423)</f>
        <v>174092600</v>
      </c>
      <c r="P423" s="34">
        <f t="shared" si="55"/>
        <v>0.912704803726049</v>
      </c>
      <c r="Q423" s="39">
        <v>10.1</v>
      </c>
      <c r="R423" s="22">
        <v>8</v>
      </c>
      <c r="S423" s="22">
        <v>3</v>
      </c>
      <c r="T423" s="22">
        <v>1</v>
      </c>
      <c r="U423" s="39">
        <v>8.6</v>
      </c>
      <c r="V423" s="22">
        <v>25</v>
      </c>
      <c r="W423" s="22">
        <v>2</v>
      </c>
      <c r="X423" s="40">
        <v>12</v>
      </c>
      <c r="Y423" s="22">
        <v>2</v>
      </c>
      <c r="Z423" s="22">
        <v>1</v>
      </c>
      <c r="AA423" s="22" t="s">
        <v>315</v>
      </c>
      <c r="AB423" s="22" t="s">
        <v>220</v>
      </c>
      <c r="AC423" s="42">
        <f>IFERROR(LOOKUP(M423,打分卡!$F$7:$J$7,打分卡!$K$7:$O$7),1)</f>
        <v>2</v>
      </c>
      <c r="AD423" s="42">
        <f>IFERROR(LOOKUP(S423,打分卡!$F$8:$J$8,打分卡!$K$8:$O$8),1)</f>
        <v>3</v>
      </c>
      <c r="AE423" s="42">
        <f>IFERROR(LOOKUP(T423,打分卡!$F$9:$I$9,打分卡!$K$9:$N$9),1)</f>
        <v>2</v>
      </c>
      <c r="AF423" s="42">
        <f>IFERROR(LOOKUP(Q423,打分卡!$F$10:$J$10,打分卡!$K$10:$O$10),1)</f>
        <v>3</v>
      </c>
      <c r="AG423" s="42">
        <f>IFERROR(LOOKUP(R423,打分卡!$F$11:$J$11,打分卡!$K$11:$O$11),1)</f>
        <v>3</v>
      </c>
      <c r="AH423" s="42">
        <f>IFERROR(LOOKUP(U423,打分卡!$F$12:$J$12,打分卡!$K$12:$O$12),1)</f>
        <v>2</v>
      </c>
      <c r="AI423" s="42">
        <f>IFERROR(LOOKUP(X423,打分卡!$F$13:$J$13,打分卡!$K$13:$O$13),1)</f>
        <v>1</v>
      </c>
      <c r="AJ423" s="42">
        <f>IFERROR(LOOKUP(Y423,打分卡!$F$14:$J$14,打分卡!$K$14:$O$14),1)</f>
        <v>3</v>
      </c>
      <c r="AK423" s="42">
        <f>IFERROR(LOOKUP(W423,打分卡!$F$15:$J$15,打分卡!$K$15:$O$15),1)</f>
        <v>2</v>
      </c>
      <c r="AL423" s="45">
        <f t="shared" si="49"/>
        <v>2</v>
      </c>
      <c r="AM423" s="42">
        <f>IFERROR(LOOKUP(Z423,打分卡!$F$17:$H$17,打分卡!$K$17:$M$17),1)</f>
        <v>3</v>
      </c>
      <c r="AN423" s="46">
        <f>(打分卡!$D$7*AC423+打分卡!$D$8*AD423+打分卡!$D$9*AE423)/5</f>
        <v>17.6</v>
      </c>
      <c r="AO423" s="46">
        <f>(打分卡!$D$10*AF423+打分卡!$D$11*AG423)/5</f>
        <v>12</v>
      </c>
      <c r="AP423" s="46">
        <f>(打分卡!$D$12*AH423+打分卡!$D$13*AI423+打分卡!$D$14*AJ423+打分卡!$D$15*AK423)/5</f>
        <v>11.6</v>
      </c>
      <c r="AQ423" s="46">
        <f>(打分卡!$D$16*AL423+打分卡!$D$17*AM423)/5</f>
        <v>4.8</v>
      </c>
      <c r="AR423" s="48">
        <f t="shared" si="50"/>
        <v>46</v>
      </c>
      <c r="AS423" s="45" t="str">
        <f t="shared" si="51"/>
        <v>腰部</v>
      </c>
      <c r="AT423" s="45" t="str">
        <f t="shared" si="52"/>
        <v/>
      </c>
      <c r="AU423" s="45" t="str">
        <f t="shared" si="53"/>
        <v>拉·主攻：主推AI外呼+大促作战包</v>
      </c>
    </row>
    <row r="424" ht="15" customHeight="1" spans="1:47">
      <c r="A424" s="30" t="s">
        <v>1371</v>
      </c>
      <c r="B424" s="31" t="s">
        <v>1372</v>
      </c>
      <c r="C424" s="31" t="s">
        <v>218</v>
      </c>
      <c r="D424" s="31" t="s">
        <v>202</v>
      </c>
      <c r="E424" s="31" t="s">
        <v>181</v>
      </c>
      <c r="F424" s="30" t="s">
        <v>1373</v>
      </c>
      <c r="G424" s="31">
        <v>6</v>
      </c>
      <c r="H424" s="31" t="s">
        <v>301</v>
      </c>
      <c r="I424" s="31" t="s">
        <v>302</v>
      </c>
      <c r="J424" s="33">
        <v>40100</v>
      </c>
      <c r="K424" s="33">
        <v>24600</v>
      </c>
      <c r="L424" s="33">
        <v>5600</v>
      </c>
      <c r="M424" s="33">
        <f t="shared" si="48"/>
        <v>70300</v>
      </c>
      <c r="N424" s="34">
        <f t="shared" si="54"/>
        <v>0.000368557582010615</v>
      </c>
      <c r="O424" s="35">
        <f>SUM($M$2:M424)</f>
        <v>174162900</v>
      </c>
      <c r="P424" s="34">
        <f t="shared" si="55"/>
        <v>0.91307336130806</v>
      </c>
      <c r="Q424" s="37">
        <v>10.8</v>
      </c>
      <c r="R424" s="31">
        <v>7</v>
      </c>
      <c r="S424" s="31">
        <v>3</v>
      </c>
      <c r="T424" s="31">
        <v>0</v>
      </c>
      <c r="U424" s="37">
        <v>6.7</v>
      </c>
      <c r="V424" s="31">
        <v>6</v>
      </c>
      <c r="W424" s="31">
        <v>4</v>
      </c>
      <c r="X424" s="38">
        <v>12</v>
      </c>
      <c r="Y424" s="31">
        <v>1</v>
      </c>
      <c r="Z424" s="31">
        <v>1</v>
      </c>
      <c r="AA424" s="31" t="s">
        <v>199</v>
      </c>
      <c r="AB424" s="31" t="s">
        <v>220</v>
      </c>
      <c r="AC424" s="41">
        <f>IFERROR(LOOKUP(M424,打分卡!$F$7:$J$7,打分卡!$K$7:$O$7),1)</f>
        <v>2</v>
      </c>
      <c r="AD424" s="41">
        <f>IFERROR(LOOKUP(S424,打分卡!$F$8:$J$8,打分卡!$K$8:$O$8),1)</f>
        <v>3</v>
      </c>
      <c r="AE424" s="41">
        <f>IFERROR(LOOKUP(T424,打分卡!$F$9:$I$9,打分卡!$K$9:$N$9),1)</f>
        <v>1</v>
      </c>
      <c r="AF424" s="41">
        <f>IFERROR(LOOKUP(Q424,打分卡!$F$10:$J$10,打分卡!$K$10:$O$10),1)</f>
        <v>3</v>
      </c>
      <c r="AG424" s="41">
        <f>IFERROR(LOOKUP(R424,打分卡!$F$11:$J$11,打分卡!$K$11:$O$11),1)</f>
        <v>3</v>
      </c>
      <c r="AH424" s="41">
        <f>IFERROR(LOOKUP(U424,打分卡!$F$12:$J$12,打分卡!$K$12:$O$12),1)</f>
        <v>2</v>
      </c>
      <c r="AI424" s="41">
        <f>IFERROR(LOOKUP(X424,打分卡!$F$13:$J$13,打分卡!$K$13:$O$13),1)</f>
        <v>1</v>
      </c>
      <c r="AJ424" s="41">
        <f>IFERROR(LOOKUP(Y424,打分卡!$F$14:$J$14,打分卡!$K$14:$O$14),1)</f>
        <v>2</v>
      </c>
      <c r="AK424" s="41">
        <f>IFERROR(LOOKUP(W424,打分卡!$F$15:$J$15,打分卡!$K$15:$O$15),1)</f>
        <v>3</v>
      </c>
      <c r="AL424" s="43">
        <f t="shared" si="49"/>
        <v>5</v>
      </c>
      <c r="AM424" s="41">
        <f>IFERROR(LOOKUP(Z424,打分卡!$F$17:$H$17,打分卡!$K$17:$M$17),1)</f>
        <v>3</v>
      </c>
      <c r="AN424" s="44">
        <f>(打分卡!$D$7*AC424+打分卡!$D$8*AD424+打分卡!$D$9*AE424)/5</f>
        <v>16.2</v>
      </c>
      <c r="AO424" s="44">
        <f>(打分卡!$D$10*AF424+打分卡!$D$11*AG424)/5</f>
        <v>12</v>
      </c>
      <c r="AP424" s="44">
        <f>(打分卡!$D$12*AH424+打分卡!$D$13*AI424+打分卡!$D$14*AJ424+打分卡!$D$15*AK424)/5</f>
        <v>11.2</v>
      </c>
      <c r="AQ424" s="44">
        <f>(打分卡!$D$16*AL424+打分卡!$D$17*AM424)/5</f>
        <v>8.4</v>
      </c>
      <c r="AR424" s="47">
        <f t="shared" si="50"/>
        <v>47.8</v>
      </c>
      <c r="AS424" s="43" t="str">
        <f t="shared" si="51"/>
        <v>腰部</v>
      </c>
      <c r="AT424" s="43" t="str">
        <f t="shared" si="52"/>
        <v/>
      </c>
      <c r="AU424" s="43" t="str">
        <f t="shared" si="53"/>
        <v>拉·主攻：主推AI外呼+大促作战包</v>
      </c>
    </row>
    <row r="425" ht="15" customHeight="1" spans="1:47">
      <c r="A425" s="20" t="s">
        <v>1374</v>
      </c>
      <c r="B425" s="22" t="s">
        <v>1375</v>
      </c>
      <c r="C425" s="22" t="s">
        <v>209</v>
      </c>
      <c r="D425" s="22" t="s">
        <v>202</v>
      </c>
      <c r="E425" s="22" t="s">
        <v>181</v>
      </c>
      <c r="F425" s="20" t="s">
        <v>620</v>
      </c>
      <c r="G425" s="22">
        <v>4</v>
      </c>
      <c r="H425" s="22" t="s">
        <v>183</v>
      </c>
      <c r="I425" s="22" t="s">
        <v>302</v>
      </c>
      <c r="J425" s="36">
        <v>37000</v>
      </c>
      <c r="K425" s="36">
        <v>17800</v>
      </c>
      <c r="L425" s="36">
        <v>15000</v>
      </c>
      <c r="M425" s="36">
        <f t="shared" si="48"/>
        <v>69800</v>
      </c>
      <c r="N425" s="34">
        <f t="shared" si="54"/>
        <v>0.000365936262081664</v>
      </c>
      <c r="O425" s="35">
        <f>SUM($M$2:M425)</f>
        <v>174232700</v>
      </c>
      <c r="P425" s="34">
        <f t="shared" si="55"/>
        <v>0.913439297570141</v>
      </c>
      <c r="Q425" s="39">
        <v>7.2</v>
      </c>
      <c r="R425" s="22">
        <v>1</v>
      </c>
      <c r="S425" s="22">
        <v>1</v>
      </c>
      <c r="T425" s="22">
        <v>1</v>
      </c>
      <c r="U425" s="39">
        <v>10.2</v>
      </c>
      <c r="V425" s="22">
        <v>30</v>
      </c>
      <c r="W425" s="22">
        <v>3</v>
      </c>
      <c r="X425" s="40">
        <v>17</v>
      </c>
      <c r="Y425" s="22">
        <v>2</v>
      </c>
      <c r="Z425" s="22">
        <v>1</v>
      </c>
      <c r="AA425" s="22" t="s">
        <v>199</v>
      </c>
      <c r="AB425" s="22" t="s">
        <v>220</v>
      </c>
      <c r="AC425" s="42">
        <f>IFERROR(LOOKUP(M425,打分卡!$F$7:$J$7,打分卡!$K$7:$O$7),1)</f>
        <v>2</v>
      </c>
      <c r="AD425" s="42">
        <f>IFERROR(LOOKUP(S425,打分卡!$F$8:$J$8,打分卡!$K$8:$O$8),1)</f>
        <v>1</v>
      </c>
      <c r="AE425" s="42">
        <f>IFERROR(LOOKUP(T425,打分卡!$F$9:$I$9,打分卡!$K$9:$N$9),1)</f>
        <v>2</v>
      </c>
      <c r="AF425" s="42">
        <f>IFERROR(LOOKUP(Q425,打分卡!$F$10:$J$10,打分卡!$K$10:$O$10),1)</f>
        <v>2</v>
      </c>
      <c r="AG425" s="42">
        <f>IFERROR(LOOKUP(R425,打分卡!$F$11:$J$11,打分卡!$K$11:$O$11),1)</f>
        <v>1</v>
      </c>
      <c r="AH425" s="42">
        <f>IFERROR(LOOKUP(U425,打分卡!$F$12:$J$12,打分卡!$K$12:$O$12),1)</f>
        <v>2</v>
      </c>
      <c r="AI425" s="42">
        <f>IFERROR(LOOKUP(X425,打分卡!$F$13:$J$13,打分卡!$K$13:$O$13),1)</f>
        <v>1</v>
      </c>
      <c r="AJ425" s="42">
        <f>IFERROR(LOOKUP(Y425,打分卡!$F$14:$J$14,打分卡!$K$14:$O$14),1)</f>
        <v>3</v>
      </c>
      <c r="AK425" s="42">
        <f>IFERROR(LOOKUP(W425,打分卡!$F$15:$J$15,打分卡!$K$15:$O$15),1)</f>
        <v>3</v>
      </c>
      <c r="AL425" s="45">
        <f t="shared" si="49"/>
        <v>5</v>
      </c>
      <c r="AM425" s="42">
        <f>IFERROR(LOOKUP(Z425,打分卡!$F$17:$H$17,打分卡!$K$17:$M$17),1)</f>
        <v>3</v>
      </c>
      <c r="AN425" s="46">
        <f>(打分卡!$D$7*AC425+打分卡!$D$8*AD425+打分卡!$D$9*AE425)/5</f>
        <v>14.4</v>
      </c>
      <c r="AO425" s="46">
        <f>(打分卡!$D$10*AF425+打分卡!$D$11*AG425)/5</f>
        <v>6</v>
      </c>
      <c r="AP425" s="46">
        <f>(打分卡!$D$12*AH425+打分卡!$D$13*AI425+打分卡!$D$14*AJ425+打分卡!$D$15*AK425)/5</f>
        <v>12.4</v>
      </c>
      <c r="AQ425" s="46">
        <f>(打分卡!$D$16*AL425+打分卡!$D$17*AM425)/5</f>
        <v>8.4</v>
      </c>
      <c r="AR425" s="48">
        <f t="shared" si="50"/>
        <v>41.2</v>
      </c>
      <c r="AS425" s="45" t="str">
        <f t="shared" si="51"/>
        <v>腰部</v>
      </c>
      <c r="AT425" s="45" t="str">
        <f t="shared" si="52"/>
        <v/>
      </c>
      <c r="AU425" s="45" t="str">
        <f t="shared" si="53"/>
        <v>拉·主攻：主推AI外呼+大促作战包</v>
      </c>
    </row>
    <row r="426" ht="15" customHeight="1" spans="1:47">
      <c r="A426" s="30" t="s">
        <v>1376</v>
      </c>
      <c r="B426" s="31" t="s">
        <v>1377</v>
      </c>
      <c r="C426" s="31" t="s">
        <v>189</v>
      </c>
      <c r="D426" s="31" t="s">
        <v>227</v>
      </c>
      <c r="E426" s="31" t="s">
        <v>197</v>
      </c>
      <c r="F426" s="30" t="s">
        <v>1378</v>
      </c>
      <c r="G426" s="31">
        <v>17</v>
      </c>
      <c r="H426" s="31" t="s">
        <v>301</v>
      </c>
      <c r="I426" s="31" t="s">
        <v>184</v>
      </c>
      <c r="J426" s="33">
        <v>45000</v>
      </c>
      <c r="K426" s="33">
        <v>21100</v>
      </c>
      <c r="L426" s="33">
        <v>3600</v>
      </c>
      <c r="M426" s="33">
        <f t="shared" si="48"/>
        <v>69700</v>
      </c>
      <c r="N426" s="34">
        <f t="shared" si="54"/>
        <v>0.000365411998095873</v>
      </c>
      <c r="O426" s="35">
        <f>SUM($M$2:M426)</f>
        <v>174302400</v>
      </c>
      <c r="P426" s="34">
        <f t="shared" si="55"/>
        <v>0.913804709568237</v>
      </c>
      <c r="Q426" s="37">
        <v>7.4</v>
      </c>
      <c r="R426" s="31">
        <v>4</v>
      </c>
      <c r="S426" s="31">
        <v>1</v>
      </c>
      <c r="T426" s="31">
        <v>2</v>
      </c>
      <c r="U426" s="37">
        <v>38.3</v>
      </c>
      <c r="V426" s="31">
        <v>21</v>
      </c>
      <c r="W426" s="31">
        <v>1</v>
      </c>
      <c r="X426" s="38">
        <v>92</v>
      </c>
      <c r="Y426" s="31">
        <v>1</v>
      </c>
      <c r="Z426" s="31">
        <v>0</v>
      </c>
      <c r="AA426" s="31" t="s">
        <v>199</v>
      </c>
      <c r="AB426" s="31" t="s">
        <v>220</v>
      </c>
      <c r="AC426" s="41">
        <f>IFERROR(LOOKUP(M426,打分卡!$F$7:$J$7,打分卡!$K$7:$O$7),1)</f>
        <v>2</v>
      </c>
      <c r="AD426" s="41">
        <f>IFERROR(LOOKUP(S426,打分卡!$F$8:$J$8,打分卡!$K$8:$O$8),1)</f>
        <v>1</v>
      </c>
      <c r="AE426" s="41">
        <f>IFERROR(LOOKUP(T426,打分卡!$F$9:$I$9,打分卡!$K$9:$N$9),1)</f>
        <v>3</v>
      </c>
      <c r="AF426" s="41">
        <f>IFERROR(LOOKUP(Q426,打分卡!$F$10:$J$10,打分卡!$K$10:$O$10),1)</f>
        <v>2</v>
      </c>
      <c r="AG426" s="41">
        <f>IFERROR(LOOKUP(R426,打分卡!$F$11:$J$11,打分卡!$K$11:$O$11),1)</f>
        <v>2</v>
      </c>
      <c r="AH426" s="41">
        <f>IFERROR(LOOKUP(U426,打分卡!$F$12:$J$12,打分卡!$K$12:$O$12),1)</f>
        <v>4</v>
      </c>
      <c r="AI426" s="41">
        <f>IFERROR(LOOKUP(X426,打分卡!$F$13:$J$13,打分卡!$K$13:$O$13),1)</f>
        <v>4</v>
      </c>
      <c r="AJ426" s="41">
        <f>IFERROR(LOOKUP(Y426,打分卡!$F$14:$J$14,打分卡!$K$14:$O$14),1)</f>
        <v>2</v>
      </c>
      <c r="AK426" s="41">
        <f>IFERROR(LOOKUP(W426,打分卡!$F$15:$J$15,打分卡!$K$15:$O$15),1)</f>
        <v>2</v>
      </c>
      <c r="AL426" s="43">
        <f t="shared" si="49"/>
        <v>5</v>
      </c>
      <c r="AM426" s="41">
        <f>IFERROR(LOOKUP(Z426,打分卡!$F$17:$H$17,打分卡!$K$17:$M$17),1)</f>
        <v>1</v>
      </c>
      <c r="AN426" s="44">
        <f>(打分卡!$D$7*AC426+打分卡!$D$8*AD426+打分卡!$D$9*AE426)/5</f>
        <v>15.8</v>
      </c>
      <c r="AO426" s="44">
        <f>(打分卡!$D$10*AF426+打分卡!$D$11*AG426)/5</f>
        <v>8</v>
      </c>
      <c r="AP426" s="44">
        <f>(打分卡!$D$12*AH426+打分卡!$D$13*AI426+打分卡!$D$14*AJ426+打分卡!$D$15*AK426)/5</f>
        <v>20</v>
      </c>
      <c r="AQ426" s="44">
        <f>(打分卡!$D$16*AL426+打分卡!$D$17*AM426)/5</f>
        <v>6.8</v>
      </c>
      <c r="AR426" s="47">
        <f t="shared" si="50"/>
        <v>50.6</v>
      </c>
      <c r="AS426" s="43" t="str">
        <f t="shared" si="51"/>
        <v>腰部</v>
      </c>
      <c r="AT426" s="43" t="str">
        <f t="shared" si="52"/>
        <v/>
      </c>
      <c r="AU426" s="43" t="str">
        <f t="shared" si="53"/>
        <v>拉·主攻：主推AI外呼+大促作战包</v>
      </c>
    </row>
    <row r="427" ht="15" customHeight="1" spans="1:47">
      <c r="A427" s="20" t="s">
        <v>1379</v>
      </c>
      <c r="B427" s="22" t="s">
        <v>1380</v>
      </c>
      <c r="C427" s="22" t="s">
        <v>189</v>
      </c>
      <c r="D427" s="22" t="s">
        <v>196</v>
      </c>
      <c r="E427" s="22" t="s">
        <v>181</v>
      </c>
      <c r="F427" s="20" t="s">
        <v>575</v>
      </c>
      <c r="G427" s="22">
        <v>11</v>
      </c>
      <c r="H427" s="22" t="s">
        <v>301</v>
      </c>
      <c r="I427" s="22" t="s">
        <v>184</v>
      </c>
      <c r="J427" s="36">
        <v>31700</v>
      </c>
      <c r="K427" s="36">
        <v>23100</v>
      </c>
      <c r="L427" s="36">
        <v>14800</v>
      </c>
      <c r="M427" s="36">
        <f t="shared" si="48"/>
        <v>69600</v>
      </c>
      <c r="N427" s="34">
        <f t="shared" si="54"/>
        <v>0.000364887734110083</v>
      </c>
      <c r="O427" s="35">
        <f>SUM($M$2:M427)</f>
        <v>174372000</v>
      </c>
      <c r="P427" s="34">
        <f t="shared" si="55"/>
        <v>0.914169597302347</v>
      </c>
      <c r="Q427" s="39">
        <v>5.7</v>
      </c>
      <c r="R427" s="22">
        <v>9</v>
      </c>
      <c r="S427" s="22">
        <v>3</v>
      </c>
      <c r="T427" s="22">
        <v>1</v>
      </c>
      <c r="U427" s="39">
        <v>2.5</v>
      </c>
      <c r="V427" s="22">
        <v>28</v>
      </c>
      <c r="W427" s="22">
        <v>4</v>
      </c>
      <c r="X427" s="40">
        <v>86</v>
      </c>
      <c r="Y427" s="22">
        <v>2</v>
      </c>
      <c r="Z427" s="22">
        <v>0</v>
      </c>
      <c r="AA427" s="22" t="s">
        <v>199</v>
      </c>
      <c r="AB427" s="22" t="s">
        <v>220</v>
      </c>
      <c r="AC427" s="42">
        <f>IFERROR(LOOKUP(M427,打分卡!$F$7:$J$7,打分卡!$K$7:$O$7),1)</f>
        <v>2</v>
      </c>
      <c r="AD427" s="42">
        <f>IFERROR(LOOKUP(S427,打分卡!$F$8:$J$8,打分卡!$K$8:$O$8),1)</f>
        <v>3</v>
      </c>
      <c r="AE427" s="42">
        <f>IFERROR(LOOKUP(T427,打分卡!$F$9:$I$9,打分卡!$K$9:$N$9),1)</f>
        <v>2</v>
      </c>
      <c r="AF427" s="42">
        <f>IFERROR(LOOKUP(Q427,打分卡!$F$10:$J$10,打分卡!$K$10:$O$10),1)</f>
        <v>2</v>
      </c>
      <c r="AG427" s="42">
        <f>IFERROR(LOOKUP(R427,打分卡!$F$11:$J$11,打分卡!$K$11:$O$11),1)</f>
        <v>4</v>
      </c>
      <c r="AH427" s="42">
        <f>IFERROR(LOOKUP(U427,打分卡!$F$12:$J$12,打分卡!$K$12:$O$12),1)</f>
        <v>1</v>
      </c>
      <c r="AI427" s="42">
        <f>IFERROR(LOOKUP(X427,打分卡!$F$13:$J$13,打分卡!$K$13:$O$13),1)</f>
        <v>4</v>
      </c>
      <c r="AJ427" s="42">
        <f>IFERROR(LOOKUP(Y427,打分卡!$F$14:$J$14,打分卡!$K$14:$O$14),1)</f>
        <v>3</v>
      </c>
      <c r="AK427" s="42">
        <f>IFERROR(LOOKUP(W427,打分卡!$F$15:$J$15,打分卡!$K$15:$O$15),1)</f>
        <v>3</v>
      </c>
      <c r="AL427" s="45">
        <f t="shared" si="49"/>
        <v>5</v>
      </c>
      <c r="AM427" s="42">
        <f>IFERROR(LOOKUP(Z427,打分卡!$F$17:$H$17,打分卡!$K$17:$M$17),1)</f>
        <v>1</v>
      </c>
      <c r="AN427" s="46">
        <f>(打分卡!$D$7*AC427+打分卡!$D$8*AD427+打分卡!$D$9*AE427)/5</f>
        <v>17.6</v>
      </c>
      <c r="AO427" s="46">
        <f>(打分卡!$D$10*AF427+打分卡!$D$11*AG427)/5</f>
        <v>12</v>
      </c>
      <c r="AP427" s="46">
        <f>(打分卡!$D$12*AH427+打分卡!$D$13*AI427+打分卡!$D$14*AJ427+打分卡!$D$15*AK427)/5</f>
        <v>14.8</v>
      </c>
      <c r="AQ427" s="46">
        <f>(打分卡!$D$16*AL427+打分卡!$D$17*AM427)/5</f>
        <v>6.8</v>
      </c>
      <c r="AR427" s="48">
        <f t="shared" si="50"/>
        <v>51.2</v>
      </c>
      <c r="AS427" s="45" t="str">
        <f t="shared" si="51"/>
        <v>腰部</v>
      </c>
      <c r="AT427" s="45" t="str">
        <f t="shared" si="52"/>
        <v/>
      </c>
      <c r="AU427" s="45" t="str">
        <f t="shared" si="53"/>
        <v>拉·主攻：主推AI外呼+大促作战包</v>
      </c>
    </row>
    <row r="428" ht="15" customHeight="1" spans="1:47">
      <c r="A428" s="30" t="s">
        <v>1381</v>
      </c>
      <c r="B428" s="31" t="s">
        <v>1382</v>
      </c>
      <c r="C428" s="31" t="s">
        <v>189</v>
      </c>
      <c r="D428" s="31" t="s">
        <v>196</v>
      </c>
      <c r="E428" s="31" t="s">
        <v>181</v>
      </c>
      <c r="F428" s="30" t="s">
        <v>1383</v>
      </c>
      <c r="G428" s="31">
        <v>13</v>
      </c>
      <c r="H428" s="31" t="s">
        <v>301</v>
      </c>
      <c r="I428" s="31" t="s">
        <v>184</v>
      </c>
      <c r="J428" s="33">
        <v>35000</v>
      </c>
      <c r="K428" s="33">
        <v>17100</v>
      </c>
      <c r="L428" s="33">
        <v>17200</v>
      </c>
      <c r="M428" s="33">
        <f t="shared" si="48"/>
        <v>69300</v>
      </c>
      <c r="N428" s="34">
        <f t="shared" si="54"/>
        <v>0.000363314942152712</v>
      </c>
      <c r="O428" s="35">
        <f>SUM($M$2:M428)</f>
        <v>174441300</v>
      </c>
      <c r="P428" s="34">
        <f t="shared" si="55"/>
        <v>0.9145329122445</v>
      </c>
      <c r="Q428" s="37">
        <v>9.3</v>
      </c>
      <c r="R428" s="31">
        <v>2</v>
      </c>
      <c r="S428" s="31">
        <v>1</v>
      </c>
      <c r="T428" s="31">
        <v>0</v>
      </c>
      <c r="U428" s="37">
        <v>2.1</v>
      </c>
      <c r="V428" s="31">
        <v>16</v>
      </c>
      <c r="W428" s="31">
        <v>1</v>
      </c>
      <c r="X428" s="38">
        <v>14</v>
      </c>
      <c r="Y428" s="31">
        <v>2</v>
      </c>
      <c r="Z428" s="31">
        <v>0</v>
      </c>
      <c r="AA428" s="31" t="s">
        <v>315</v>
      </c>
      <c r="AB428" s="31" t="s">
        <v>220</v>
      </c>
      <c r="AC428" s="41">
        <f>IFERROR(LOOKUP(M428,打分卡!$F$7:$J$7,打分卡!$K$7:$O$7),1)</f>
        <v>2</v>
      </c>
      <c r="AD428" s="41">
        <f>IFERROR(LOOKUP(S428,打分卡!$F$8:$J$8,打分卡!$K$8:$O$8),1)</f>
        <v>1</v>
      </c>
      <c r="AE428" s="41">
        <f>IFERROR(LOOKUP(T428,打分卡!$F$9:$I$9,打分卡!$K$9:$N$9),1)</f>
        <v>1</v>
      </c>
      <c r="AF428" s="41">
        <f>IFERROR(LOOKUP(Q428,打分卡!$F$10:$J$10,打分卡!$K$10:$O$10),1)</f>
        <v>2</v>
      </c>
      <c r="AG428" s="41">
        <f>IFERROR(LOOKUP(R428,打分卡!$F$11:$J$11,打分卡!$K$11:$O$11),1)</f>
        <v>1</v>
      </c>
      <c r="AH428" s="41">
        <f>IFERROR(LOOKUP(U428,打分卡!$F$12:$J$12,打分卡!$K$12:$O$12),1)</f>
        <v>1</v>
      </c>
      <c r="AI428" s="41">
        <f>IFERROR(LOOKUP(X428,打分卡!$F$13:$J$13,打分卡!$K$13:$O$13),1)</f>
        <v>1</v>
      </c>
      <c r="AJ428" s="41">
        <f>IFERROR(LOOKUP(Y428,打分卡!$F$14:$J$14,打分卡!$K$14:$O$14),1)</f>
        <v>3</v>
      </c>
      <c r="AK428" s="41">
        <f>IFERROR(LOOKUP(W428,打分卡!$F$15:$J$15,打分卡!$K$15:$O$15),1)</f>
        <v>2</v>
      </c>
      <c r="AL428" s="43">
        <f t="shared" si="49"/>
        <v>2</v>
      </c>
      <c r="AM428" s="41">
        <f>IFERROR(LOOKUP(Z428,打分卡!$F$17:$H$17,打分卡!$K$17:$M$17),1)</f>
        <v>1</v>
      </c>
      <c r="AN428" s="44">
        <f>(打分卡!$D$7*AC428+打分卡!$D$8*AD428+打分卡!$D$9*AE428)/5</f>
        <v>13</v>
      </c>
      <c r="AO428" s="44">
        <f>(打分卡!$D$10*AF428+打分卡!$D$11*AG428)/5</f>
        <v>6</v>
      </c>
      <c r="AP428" s="44">
        <f>(打分卡!$D$12*AH428+打分卡!$D$13*AI428+打分卡!$D$14*AJ428+打分卡!$D$15*AK428)/5</f>
        <v>9.2</v>
      </c>
      <c r="AQ428" s="44">
        <f>(打分卡!$D$16*AL428+打分卡!$D$17*AM428)/5</f>
        <v>3.2</v>
      </c>
      <c r="AR428" s="47">
        <f t="shared" si="50"/>
        <v>31.4</v>
      </c>
      <c r="AS428" s="43" t="str">
        <f t="shared" si="51"/>
        <v>基础长尾</v>
      </c>
      <c r="AT428" s="43" t="str">
        <f t="shared" si="52"/>
        <v/>
      </c>
      <c r="AU428" s="43" t="str">
        <f t="shared" si="53"/>
        <v>激活：企微+Push低成本先跑</v>
      </c>
    </row>
    <row r="429" ht="15" customHeight="1" spans="1:47">
      <c r="A429" s="20" t="s">
        <v>1384</v>
      </c>
      <c r="B429" s="22" t="s">
        <v>1385</v>
      </c>
      <c r="C429" s="22" t="s">
        <v>179</v>
      </c>
      <c r="D429" s="22" t="s">
        <v>202</v>
      </c>
      <c r="E429" s="22" t="s">
        <v>181</v>
      </c>
      <c r="F429" s="20" t="s">
        <v>1386</v>
      </c>
      <c r="G429" s="22">
        <v>24</v>
      </c>
      <c r="H429" s="22" t="s">
        <v>301</v>
      </c>
      <c r="I429" s="22" t="s">
        <v>302</v>
      </c>
      <c r="J429" s="36">
        <v>31800</v>
      </c>
      <c r="K429" s="36">
        <v>16600</v>
      </c>
      <c r="L429" s="36">
        <v>20100</v>
      </c>
      <c r="M429" s="36">
        <f t="shared" si="48"/>
        <v>68500</v>
      </c>
      <c r="N429" s="34">
        <f t="shared" si="54"/>
        <v>0.000359120830266389</v>
      </c>
      <c r="O429" s="35">
        <f>SUM($M$2:M429)</f>
        <v>174509800</v>
      </c>
      <c r="P429" s="34">
        <f t="shared" si="55"/>
        <v>0.914892033074766</v>
      </c>
      <c r="Q429" s="39">
        <v>10.6</v>
      </c>
      <c r="R429" s="22">
        <v>2</v>
      </c>
      <c r="S429" s="22">
        <v>3</v>
      </c>
      <c r="T429" s="22">
        <v>0</v>
      </c>
      <c r="U429" s="39">
        <v>4.4</v>
      </c>
      <c r="V429" s="22">
        <v>18</v>
      </c>
      <c r="W429" s="22">
        <v>4</v>
      </c>
      <c r="X429" s="40">
        <v>94</v>
      </c>
      <c r="Y429" s="22">
        <v>1</v>
      </c>
      <c r="Z429" s="22">
        <v>1</v>
      </c>
      <c r="AA429" s="22" t="s">
        <v>315</v>
      </c>
      <c r="AB429" s="22" t="s">
        <v>220</v>
      </c>
      <c r="AC429" s="42">
        <f>IFERROR(LOOKUP(M429,打分卡!$F$7:$J$7,打分卡!$K$7:$O$7),1)</f>
        <v>2</v>
      </c>
      <c r="AD429" s="42">
        <f>IFERROR(LOOKUP(S429,打分卡!$F$8:$J$8,打分卡!$K$8:$O$8),1)</f>
        <v>3</v>
      </c>
      <c r="AE429" s="42">
        <f>IFERROR(LOOKUP(T429,打分卡!$F$9:$I$9,打分卡!$K$9:$N$9),1)</f>
        <v>1</v>
      </c>
      <c r="AF429" s="42">
        <f>IFERROR(LOOKUP(Q429,打分卡!$F$10:$J$10,打分卡!$K$10:$O$10),1)</f>
        <v>3</v>
      </c>
      <c r="AG429" s="42">
        <f>IFERROR(LOOKUP(R429,打分卡!$F$11:$J$11,打分卡!$K$11:$O$11),1)</f>
        <v>1</v>
      </c>
      <c r="AH429" s="42">
        <f>IFERROR(LOOKUP(U429,打分卡!$F$12:$J$12,打分卡!$K$12:$O$12),1)</f>
        <v>2</v>
      </c>
      <c r="AI429" s="42">
        <f>IFERROR(LOOKUP(X429,打分卡!$F$13:$J$13,打分卡!$K$13:$O$13),1)</f>
        <v>4</v>
      </c>
      <c r="AJ429" s="42">
        <f>IFERROR(LOOKUP(Y429,打分卡!$F$14:$J$14,打分卡!$K$14:$O$14),1)</f>
        <v>2</v>
      </c>
      <c r="AK429" s="42">
        <f>IFERROR(LOOKUP(W429,打分卡!$F$15:$J$15,打分卡!$K$15:$O$15),1)</f>
        <v>3</v>
      </c>
      <c r="AL429" s="45">
        <f t="shared" si="49"/>
        <v>2</v>
      </c>
      <c r="AM429" s="42">
        <f>IFERROR(LOOKUP(Z429,打分卡!$F$17:$H$17,打分卡!$K$17:$M$17),1)</f>
        <v>3</v>
      </c>
      <c r="AN429" s="46">
        <f>(打分卡!$D$7*AC429+打分卡!$D$8*AD429+打分卡!$D$9*AE429)/5</f>
        <v>16.2</v>
      </c>
      <c r="AO429" s="46">
        <f>(打分卡!$D$10*AF429+打分卡!$D$11*AG429)/5</f>
        <v>8</v>
      </c>
      <c r="AP429" s="46">
        <f>(打分卡!$D$12*AH429+打分卡!$D$13*AI429+打分卡!$D$14*AJ429+打分卡!$D$15*AK429)/5</f>
        <v>16</v>
      </c>
      <c r="AQ429" s="46">
        <f>(打分卡!$D$16*AL429+打分卡!$D$17*AM429)/5</f>
        <v>4.8</v>
      </c>
      <c r="AR429" s="48">
        <f t="shared" si="50"/>
        <v>45</v>
      </c>
      <c r="AS429" s="45" t="str">
        <f t="shared" si="51"/>
        <v>腰部</v>
      </c>
      <c r="AT429" s="45" t="str">
        <f t="shared" si="52"/>
        <v/>
      </c>
      <c r="AU429" s="45" t="str">
        <f t="shared" si="53"/>
        <v>拉·主攻：主推AI外呼+大促作战包</v>
      </c>
    </row>
    <row r="430" ht="15" customHeight="1" spans="1:47">
      <c r="A430" s="30" t="s">
        <v>1387</v>
      </c>
      <c r="B430" s="31" t="s">
        <v>1388</v>
      </c>
      <c r="C430" s="31" t="s">
        <v>218</v>
      </c>
      <c r="D430" s="31" t="s">
        <v>196</v>
      </c>
      <c r="E430" s="31" t="s">
        <v>181</v>
      </c>
      <c r="F430" s="30" t="s">
        <v>1389</v>
      </c>
      <c r="G430" s="31">
        <v>6</v>
      </c>
      <c r="H430" s="31" t="s">
        <v>301</v>
      </c>
      <c r="I430" s="31" t="s">
        <v>302</v>
      </c>
      <c r="J430" s="33">
        <v>33700</v>
      </c>
      <c r="K430" s="33">
        <v>23100</v>
      </c>
      <c r="L430" s="33">
        <v>11700</v>
      </c>
      <c r="M430" s="33">
        <f t="shared" si="48"/>
        <v>68500</v>
      </c>
      <c r="N430" s="34">
        <f t="shared" si="54"/>
        <v>0.000359120830266389</v>
      </c>
      <c r="O430" s="35">
        <f>SUM($M$2:M430)</f>
        <v>174578300</v>
      </c>
      <c r="P430" s="34">
        <f t="shared" si="55"/>
        <v>0.915251153905033</v>
      </c>
      <c r="Q430" s="37">
        <v>9.5</v>
      </c>
      <c r="R430" s="31">
        <v>2</v>
      </c>
      <c r="S430" s="31">
        <v>1</v>
      </c>
      <c r="T430" s="31">
        <v>1</v>
      </c>
      <c r="U430" s="37">
        <v>80</v>
      </c>
      <c r="V430" s="31">
        <v>14</v>
      </c>
      <c r="W430" s="31">
        <v>3</v>
      </c>
      <c r="X430" s="38">
        <v>57</v>
      </c>
      <c r="Y430" s="31">
        <v>1</v>
      </c>
      <c r="Z430" s="31">
        <v>1</v>
      </c>
      <c r="AA430" s="31" t="s">
        <v>199</v>
      </c>
      <c r="AB430" s="31" t="s">
        <v>220</v>
      </c>
      <c r="AC430" s="41">
        <f>IFERROR(LOOKUP(M430,打分卡!$F$7:$J$7,打分卡!$K$7:$O$7),1)</f>
        <v>2</v>
      </c>
      <c r="AD430" s="41">
        <f>IFERROR(LOOKUP(S430,打分卡!$F$8:$J$8,打分卡!$K$8:$O$8),1)</f>
        <v>1</v>
      </c>
      <c r="AE430" s="41">
        <f>IFERROR(LOOKUP(T430,打分卡!$F$9:$I$9,打分卡!$K$9:$N$9),1)</f>
        <v>2</v>
      </c>
      <c r="AF430" s="41">
        <f>IFERROR(LOOKUP(Q430,打分卡!$F$10:$J$10,打分卡!$K$10:$O$10),1)</f>
        <v>2</v>
      </c>
      <c r="AG430" s="41">
        <f>IFERROR(LOOKUP(R430,打分卡!$F$11:$J$11,打分卡!$K$11:$O$11),1)</f>
        <v>1</v>
      </c>
      <c r="AH430" s="41">
        <f>IFERROR(LOOKUP(U430,打分卡!$F$12:$J$12,打分卡!$K$12:$O$12),1)</f>
        <v>5</v>
      </c>
      <c r="AI430" s="41">
        <f>IFERROR(LOOKUP(X430,打分卡!$F$13:$J$13,打分卡!$K$13:$O$13),1)</f>
        <v>3</v>
      </c>
      <c r="AJ430" s="41">
        <f>IFERROR(LOOKUP(Y430,打分卡!$F$14:$J$14,打分卡!$K$14:$O$14),1)</f>
        <v>2</v>
      </c>
      <c r="AK430" s="41">
        <f>IFERROR(LOOKUP(W430,打分卡!$F$15:$J$15,打分卡!$K$15:$O$15),1)</f>
        <v>3</v>
      </c>
      <c r="AL430" s="43">
        <f t="shared" si="49"/>
        <v>5</v>
      </c>
      <c r="AM430" s="41">
        <f>IFERROR(LOOKUP(Z430,打分卡!$F$17:$H$17,打分卡!$K$17:$M$17),1)</f>
        <v>3</v>
      </c>
      <c r="AN430" s="44">
        <f>(打分卡!$D$7*AC430+打分卡!$D$8*AD430+打分卡!$D$9*AE430)/5</f>
        <v>14.4</v>
      </c>
      <c r="AO430" s="44">
        <f>(打分卡!$D$10*AF430+打分卡!$D$11*AG430)/5</f>
        <v>6</v>
      </c>
      <c r="AP430" s="44">
        <f>(打分卡!$D$12*AH430+打分卡!$D$13*AI430+打分卡!$D$14*AJ430+打分卡!$D$15*AK430)/5</f>
        <v>21.6</v>
      </c>
      <c r="AQ430" s="44">
        <f>(打分卡!$D$16*AL430+打分卡!$D$17*AM430)/5</f>
        <v>8.4</v>
      </c>
      <c r="AR430" s="47">
        <f t="shared" si="50"/>
        <v>50.4</v>
      </c>
      <c r="AS430" s="43" t="str">
        <f t="shared" si="51"/>
        <v>腰部</v>
      </c>
      <c r="AT430" s="43" t="str">
        <f t="shared" si="52"/>
        <v/>
      </c>
      <c r="AU430" s="43" t="str">
        <f t="shared" si="53"/>
        <v>拉·主攻：主推AI外呼+大促作战包</v>
      </c>
    </row>
    <row r="431" ht="15" customHeight="1" spans="1:47">
      <c r="A431" s="20" t="s">
        <v>1390</v>
      </c>
      <c r="B431" s="22" t="s">
        <v>1391</v>
      </c>
      <c r="C431" s="22" t="s">
        <v>189</v>
      </c>
      <c r="D431" s="22" t="s">
        <v>202</v>
      </c>
      <c r="E431" s="22" t="s">
        <v>181</v>
      </c>
      <c r="F431" s="20" t="s">
        <v>1392</v>
      </c>
      <c r="G431" s="22">
        <v>21</v>
      </c>
      <c r="H431" s="22" t="s">
        <v>301</v>
      </c>
      <c r="I431" s="22" t="s">
        <v>302</v>
      </c>
      <c r="J431" s="36">
        <v>35600</v>
      </c>
      <c r="K431" s="36">
        <v>21300</v>
      </c>
      <c r="L431" s="36">
        <v>11400</v>
      </c>
      <c r="M431" s="36">
        <f t="shared" si="48"/>
        <v>68300</v>
      </c>
      <c r="N431" s="34">
        <f t="shared" si="54"/>
        <v>0.000358072302294808</v>
      </c>
      <c r="O431" s="35">
        <f>SUM($M$2:M431)</f>
        <v>174646600</v>
      </c>
      <c r="P431" s="34">
        <f t="shared" si="55"/>
        <v>0.915609226207328</v>
      </c>
      <c r="Q431" s="39">
        <v>7.5</v>
      </c>
      <c r="R431" s="22">
        <v>2</v>
      </c>
      <c r="S431" s="22">
        <v>3</v>
      </c>
      <c r="T431" s="22">
        <v>0</v>
      </c>
      <c r="U431" s="39">
        <v>29.7</v>
      </c>
      <c r="V431" s="22">
        <v>19</v>
      </c>
      <c r="W431" s="22">
        <v>1</v>
      </c>
      <c r="X431" s="40">
        <v>11</v>
      </c>
      <c r="Y431" s="22">
        <v>1</v>
      </c>
      <c r="Z431" s="22">
        <v>1</v>
      </c>
      <c r="AA431" s="22" t="s">
        <v>199</v>
      </c>
      <c r="AB431" s="22" t="s">
        <v>220</v>
      </c>
      <c r="AC431" s="42">
        <f>IFERROR(LOOKUP(M431,打分卡!$F$7:$J$7,打分卡!$K$7:$O$7),1)</f>
        <v>2</v>
      </c>
      <c r="AD431" s="42">
        <f>IFERROR(LOOKUP(S431,打分卡!$F$8:$J$8,打分卡!$K$8:$O$8),1)</f>
        <v>3</v>
      </c>
      <c r="AE431" s="42">
        <f>IFERROR(LOOKUP(T431,打分卡!$F$9:$I$9,打分卡!$K$9:$N$9),1)</f>
        <v>1</v>
      </c>
      <c r="AF431" s="42">
        <f>IFERROR(LOOKUP(Q431,打分卡!$F$10:$J$10,打分卡!$K$10:$O$10),1)</f>
        <v>2</v>
      </c>
      <c r="AG431" s="42">
        <f>IFERROR(LOOKUP(R431,打分卡!$F$11:$J$11,打分卡!$K$11:$O$11),1)</f>
        <v>1</v>
      </c>
      <c r="AH431" s="42">
        <f>IFERROR(LOOKUP(U431,打分卡!$F$12:$J$12,打分卡!$K$12:$O$12),1)</f>
        <v>3</v>
      </c>
      <c r="AI431" s="42">
        <f>IFERROR(LOOKUP(X431,打分卡!$F$13:$J$13,打分卡!$K$13:$O$13),1)</f>
        <v>1</v>
      </c>
      <c r="AJ431" s="42">
        <f>IFERROR(LOOKUP(Y431,打分卡!$F$14:$J$14,打分卡!$K$14:$O$14),1)</f>
        <v>2</v>
      </c>
      <c r="AK431" s="42">
        <f>IFERROR(LOOKUP(W431,打分卡!$F$15:$J$15,打分卡!$K$15:$O$15),1)</f>
        <v>2</v>
      </c>
      <c r="AL431" s="45">
        <f t="shared" si="49"/>
        <v>5</v>
      </c>
      <c r="AM431" s="42">
        <f>IFERROR(LOOKUP(Z431,打分卡!$F$17:$H$17,打分卡!$K$17:$M$17),1)</f>
        <v>3</v>
      </c>
      <c r="AN431" s="46">
        <f>(打分卡!$D$7*AC431+打分卡!$D$8*AD431+打分卡!$D$9*AE431)/5</f>
        <v>16.2</v>
      </c>
      <c r="AO431" s="46">
        <f>(打分卡!$D$10*AF431+打分卡!$D$11*AG431)/5</f>
        <v>6</v>
      </c>
      <c r="AP431" s="46">
        <f>(打分卡!$D$12*AH431+打分卡!$D$13*AI431+打分卡!$D$14*AJ431+打分卡!$D$15*AK431)/5</f>
        <v>12.8</v>
      </c>
      <c r="AQ431" s="46">
        <f>(打分卡!$D$16*AL431+打分卡!$D$17*AM431)/5</f>
        <v>8.4</v>
      </c>
      <c r="AR431" s="48">
        <f t="shared" si="50"/>
        <v>43.4</v>
      </c>
      <c r="AS431" s="45" t="str">
        <f t="shared" si="51"/>
        <v>腰部</v>
      </c>
      <c r="AT431" s="45" t="str">
        <f t="shared" si="52"/>
        <v/>
      </c>
      <c r="AU431" s="45" t="str">
        <f t="shared" si="53"/>
        <v>拉·主攻：主推AI外呼+大促作战包</v>
      </c>
    </row>
    <row r="432" ht="15" customHeight="1" spans="1:47">
      <c r="A432" s="30" t="s">
        <v>1393</v>
      </c>
      <c r="B432" s="31" t="s">
        <v>1394</v>
      </c>
      <c r="C432" s="31" t="s">
        <v>189</v>
      </c>
      <c r="D432" s="31" t="s">
        <v>202</v>
      </c>
      <c r="E432" s="31" t="s">
        <v>197</v>
      </c>
      <c r="F432" s="30" t="s">
        <v>236</v>
      </c>
      <c r="G432" s="31">
        <v>15</v>
      </c>
      <c r="H432" s="31" t="s">
        <v>183</v>
      </c>
      <c r="I432" s="31" t="s">
        <v>184</v>
      </c>
      <c r="J432" s="33">
        <v>34700</v>
      </c>
      <c r="K432" s="33">
        <v>15300</v>
      </c>
      <c r="L432" s="33">
        <v>18200</v>
      </c>
      <c r="M432" s="33">
        <f t="shared" si="48"/>
        <v>68200</v>
      </c>
      <c r="N432" s="34">
        <f t="shared" si="54"/>
        <v>0.000357548038309018</v>
      </c>
      <c r="O432" s="35">
        <f>SUM($M$2:M432)</f>
        <v>174714800</v>
      </c>
      <c r="P432" s="34">
        <f t="shared" si="55"/>
        <v>0.915966774245637</v>
      </c>
      <c r="Q432" s="37">
        <v>10.3</v>
      </c>
      <c r="R432" s="31">
        <v>6</v>
      </c>
      <c r="S432" s="31">
        <v>3</v>
      </c>
      <c r="T432" s="31">
        <v>0</v>
      </c>
      <c r="U432" s="37">
        <v>2.6</v>
      </c>
      <c r="V432" s="31">
        <v>20</v>
      </c>
      <c r="W432" s="31">
        <v>3</v>
      </c>
      <c r="X432" s="38">
        <v>121</v>
      </c>
      <c r="Y432" s="31">
        <v>0</v>
      </c>
      <c r="Z432" s="31">
        <v>0</v>
      </c>
      <c r="AA432" s="31" t="s">
        <v>315</v>
      </c>
      <c r="AB432" s="31" t="s">
        <v>220</v>
      </c>
      <c r="AC432" s="41">
        <f>IFERROR(LOOKUP(M432,打分卡!$F$7:$J$7,打分卡!$K$7:$O$7),1)</f>
        <v>2</v>
      </c>
      <c r="AD432" s="41">
        <f>IFERROR(LOOKUP(S432,打分卡!$F$8:$J$8,打分卡!$K$8:$O$8),1)</f>
        <v>3</v>
      </c>
      <c r="AE432" s="41">
        <f>IFERROR(LOOKUP(T432,打分卡!$F$9:$I$9,打分卡!$K$9:$N$9),1)</f>
        <v>1</v>
      </c>
      <c r="AF432" s="41">
        <f>IFERROR(LOOKUP(Q432,打分卡!$F$10:$J$10,打分卡!$K$10:$O$10),1)</f>
        <v>3</v>
      </c>
      <c r="AG432" s="41">
        <f>IFERROR(LOOKUP(R432,打分卡!$F$11:$J$11,打分卡!$K$11:$O$11),1)</f>
        <v>3</v>
      </c>
      <c r="AH432" s="41">
        <f>IFERROR(LOOKUP(U432,打分卡!$F$12:$J$12,打分卡!$K$12:$O$12),1)</f>
        <v>1</v>
      </c>
      <c r="AI432" s="41">
        <f>IFERROR(LOOKUP(X432,打分卡!$F$13:$J$13,打分卡!$K$13:$O$13),1)</f>
        <v>4</v>
      </c>
      <c r="AJ432" s="41">
        <f>IFERROR(LOOKUP(Y432,打分卡!$F$14:$J$14,打分卡!$K$14:$O$14),1)</f>
        <v>1</v>
      </c>
      <c r="AK432" s="41">
        <f>IFERROR(LOOKUP(W432,打分卡!$F$15:$J$15,打分卡!$K$15:$O$15),1)</f>
        <v>3</v>
      </c>
      <c r="AL432" s="43">
        <f t="shared" si="49"/>
        <v>2</v>
      </c>
      <c r="AM432" s="41">
        <f>IFERROR(LOOKUP(Z432,打分卡!$F$17:$H$17,打分卡!$K$17:$M$17),1)</f>
        <v>1</v>
      </c>
      <c r="AN432" s="44">
        <f>(打分卡!$D$7*AC432+打分卡!$D$8*AD432+打分卡!$D$9*AE432)/5</f>
        <v>16.2</v>
      </c>
      <c r="AO432" s="44">
        <f>(打分卡!$D$10*AF432+打分卡!$D$11*AG432)/5</f>
        <v>12</v>
      </c>
      <c r="AP432" s="44">
        <f>(打分卡!$D$12*AH432+打分卡!$D$13*AI432+打分卡!$D$14*AJ432+打分卡!$D$15*AK432)/5</f>
        <v>12.4</v>
      </c>
      <c r="AQ432" s="44">
        <f>(打分卡!$D$16*AL432+打分卡!$D$17*AM432)/5</f>
        <v>3.2</v>
      </c>
      <c r="AR432" s="47">
        <f t="shared" si="50"/>
        <v>43.8</v>
      </c>
      <c r="AS432" s="43" t="str">
        <f t="shared" si="51"/>
        <v>腰部</v>
      </c>
      <c r="AT432" s="43" t="str">
        <f t="shared" si="52"/>
        <v/>
      </c>
      <c r="AU432" s="43" t="str">
        <f t="shared" si="53"/>
        <v>拉·主攻：主推AI外呼+大促作战包</v>
      </c>
    </row>
    <row r="433" ht="15" customHeight="1" spans="1:47">
      <c r="A433" s="20" t="s">
        <v>1395</v>
      </c>
      <c r="B433" s="22" t="s">
        <v>1396</v>
      </c>
      <c r="C433" s="22" t="s">
        <v>223</v>
      </c>
      <c r="D433" s="22" t="s">
        <v>202</v>
      </c>
      <c r="E433" s="22" t="s">
        <v>181</v>
      </c>
      <c r="F433" s="20" t="s">
        <v>737</v>
      </c>
      <c r="G433" s="22">
        <v>14</v>
      </c>
      <c r="H433" s="22" t="s">
        <v>301</v>
      </c>
      <c r="I433" s="22" t="s">
        <v>302</v>
      </c>
      <c r="J433" s="36">
        <v>39400</v>
      </c>
      <c r="K433" s="36">
        <v>25200</v>
      </c>
      <c r="L433" s="36">
        <v>3400</v>
      </c>
      <c r="M433" s="36">
        <f t="shared" si="48"/>
        <v>68000</v>
      </c>
      <c r="N433" s="34">
        <f t="shared" si="54"/>
        <v>0.000356499510337437</v>
      </c>
      <c r="O433" s="35">
        <f>SUM($M$2:M433)</f>
        <v>174782800</v>
      </c>
      <c r="P433" s="34">
        <f t="shared" si="55"/>
        <v>0.916323273755974</v>
      </c>
      <c r="Q433" s="39">
        <v>8.8</v>
      </c>
      <c r="R433" s="22">
        <v>3</v>
      </c>
      <c r="S433" s="22">
        <v>3</v>
      </c>
      <c r="T433" s="22">
        <v>1</v>
      </c>
      <c r="U433" s="39">
        <v>2.6</v>
      </c>
      <c r="V433" s="22">
        <v>30</v>
      </c>
      <c r="W433" s="22">
        <v>4</v>
      </c>
      <c r="X433" s="40">
        <v>13</v>
      </c>
      <c r="Y433" s="22">
        <v>3</v>
      </c>
      <c r="Z433" s="22">
        <v>0</v>
      </c>
      <c r="AA433" s="22" t="s">
        <v>185</v>
      </c>
      <c r="AB433" s="22" t="s">
        <v>220</v>
      </c>
      <c r="AC433" s="42">
        <f>IFERROR(LOOKUP(M433,打分卡!$F$7:$J$7,打分卡!$K$7:$O$7),1)</f>
        <v>2</v>
      </c>
      <c r="AD433" s="42">
        <f>IFERROR(LOOKUP(S433,打分卡!$F$8:$J$8,打分卡!$K$8:$O$8),1)</f>
        <v>3</v>
      </c>
      <c r="AE433" s="42">
        <f>IFERROR(LOOKUP(T433,打分卡!$F$9:$I$9,打分卡!$K$9:$N$9),1)</f>
        <v>2</v>
      </c>
      <c r="AF433" s="42">
        <f>IFERROR(LOOKUP(Q433,打分卡!$F$10:$J$10,打分卡!$K$10:$O$10),1)</f>
        <v>2</v>
      </c>
      <c r="AG433" s="42">
        <f>IFERROR(LOOKUP(R433,打分卡!$F$11:$J$11,打分卡!$K$11:$O$11),1)</f>
        <v>2</v>
      </c>
      <c r="AH433" s="42">
        <f>IFERROR(LOOKUP(U433,打分卡!$F$12:$J$12,打分卡!$K$12:$O$12),1)</f>
        <v>1</v>
      </c>
      <c r="AI433" s="42">
        <f>IFERROR(LOOKUP(X433,打分卡!$F$13:$J$13,打分卡!$K$13:$O$13),1)</f>
        <v>1</v>
      </c>
      <c r="AJ433" s="42">
        <f>IFERROR(LOOKUP(Y433,打分卡!$F$14:$J$14,打分卡!$K$14:$O$14),1)</f>
        <v>4</v>
      </c>
      <c r="AK433" s="42">
        <f>IFERROR(LOOKUP(W433,打分卡!$F$15:$J$15,打分卡!$K$15:$O$15),1)</f>
        <v>3</v>
      </c>
      <c r="AL433" s="45">
        <f t="shared" si="49"/>
        <v>3</v>
      </c>
      <c r="AM433" s="42">
        <f>IFERROR(LOOKUP(Z433,打分卡!$F$17:$H$17,打分卡!$K$17:$M$17),1)</f>
        <v>1</v>
      </c>
      <c r="AN433" s="46">
        <f>(打分卡!$D$7*AC433+打分卡!$D$8*AD433+打分卡!$D$9*AE433)/5</f>
        <v>17.6</v>
      </c>
      <c r="AO433" s="46">
        <f>(打分卡!$D$10*AF433+打分卡!$D$11*AG433)/5</f>
        <v>8</v>
      </c>
      <c r="AP433" s="46">
        <f>(打分卡!$D$12*AH433+打分卡!$D$13*AI433+打分卡!$D$14*AJ433+打分卡!$D$15*AK433)/5</f>
        <v>11.2</v>
      </c>
      <c r="AQ433" s="46">
        <f>(打分卡!$D$16*AL433+打分卡!$D$17*AM433)/5</f>
        <v>4.4</v>
      </c>
      <c r="AR433" s="48">
        <f t="shared" si="50"/>
        <v>41.2</v>
      </c>
      <c r="AS433" s="45" t="str">
        <f t="shared" si="51"/>
        <v>腰部</v>
      </c>
      <c r="AT433" s="45" t="str">
        <f t="shared" si="52"/>
        <v/>
      </c>
      <c r="AU433" s="45" t="str">
        <f t="shared" si="53"/>
        <v>拉·主攻：主推AI外呼+大促作战包</v>
      </c>
    </row>
    <row r="434" ht="15" customHeight="1" spans="1:47">
      <c r="A434" s="30" t="s">
        <v>1397</v>
      </c>
      <c r="B434" s="31" t="s">
        <v>1398</v>
      </c>
      <c r="C434" s="31" t="s">
        <v>234</v>
      </c>
      <c r="D434" s="31" t="s">
        <v>235</v>
      </c>
      <c r="E434" s="31" t="s">
        <v>197</v>
      </c>
      <c r="F434" s="30" t="s">
        <v>664</v>
      </c>
      <c r="G434" s="31">
        <v>21</v>
      </c>
      <c r="H434" s="31" t="s">
        <v>301</v>
      </c>
      <c r="I434" s="31" t="s">
        <v>302</v>
      </c>
      <c r="J434" s="33">
        <v>40400</v>
      </c>
      <c r="K434" s="33">
        <v>23200</v>
      </c>
      <c r="L434" s="33">
        <v>3900</v>
      </c>
      <c r="M434" s="33">
        <f t="shared" si="48"/>
        <v>67500</v>
      </c>
      <c r="N434" s="34">
        <f t="shared" si="54"/>
        <v>0.000353878190408486</v>
      </c>
      <c r="O434" s="35">
        <f>SUM($M$2:M434)</f>
        <v>174850300</v>
      </c>
      <c r="P434" s="34">
        <f t="shared" si="55"/>
        <v>0.916677151946382</v>
      </c>
      <c r="Q434" s="37">
        <v>6.7</v>
      </c>
      <c r="R434" s="31">
        <v>10</v>
      </c>
      <c r="S434" s="31">
        <v>3</v>
      </c>
      <c r="T434" s="31">
        <v>2</v>
      </c>
      <c r="U434" s="37">
        <v>6.9</v>
      </c>
      <c r="V434" s="31">
        <v>21</v>
      </c>
      <c r="W434" s="31">
        <v>3</v>
      </c>
      <c r="X434" s="38">
        <v>66</v>
      </c>
      <c r="Y434" s="31">
        <v>3</v>
      </c>
      <c r="Z434" s="31">
        <v>1</v>
      </c>
      <c r="AA434" s="31" t="s">
        <v>199</v>
      </c>
      <c r="AB434" s="31" t="s">
        <v>220</v>
      </c>
      <c r="AC434" s="41">
        <f>IFERROR(LOOKUP(M434,打分卡!$F$7:$J$7,打分卡!$K$7:$O$7),1)</f>
        <v>2</v>
      </c>
      <c r="AD434" s="41">
        <f>IFERROR(LOOKUP(S434,打分卡!$F$8:$J$8,打分卡!$K$8:$O$8),1)</f>
        <v>3</v>
      </c>
      <c r="AE434" s="41">
        <f>IFERROR(LOOKUP(T434,打分卡!$F$9:$I$9,打分卡!$K$9:$N$9),1)</f>
        <v>3</v>
      </c>
      <c r="AF434" s="41">
        <f>IFERROR(LOOKUP(Q434,打分卡!$F$10:$J$10,打分卡!$K$10:$O$10),1)</f>
        <v>2</v>
      </c>
      <c r="AG434" s="41">
        <f>IFERROR(LOOKUP(R434,打分卡!$F$11:$J$11,打分卡!$K$11:$O$11),1)</f>
        <v>4</v>
      </c>
      <c r="AH434" s="41">
        <f>IFERROR(LOOKUP(U434,打分卡!$F$12:$J$12,打分卡!$K$12:$O$12),1)</f>
        <v>2</v>
      </c>
      <c r="AI434" s="41">
        <f>IFERROR(LOOKUP(X434,打分卡!$F$13:$J$13,打分卡!$K$13:$O$13),1)</f>
        <v>3</v>
      </c>
      <c r="AJ434" s="41">
        <f>IFERROR(LOOKUP(Y434,打分卡!$F$14:$J$14,打分卡!$K$14:$O$14),1)</f>
        <v>4</v>
      </c>
      <c r="AK434" s="41">
        <f>IFERROR(LOOKUP(W434,打分卡!$F$15:$J$15,打分卡!$K$15:$O$15),1)</f>
        <v>3</v>
      </c>
      <c r="AL434" s="43">
        <f t="shared" si="49"/>
        <v>5</v>
      </c>
      <c r="AM434" s="41">
        <f>IFERROR(LOOKUP(Z434,打分卡!$F$17:$H$17,打分卡!$K$17:$M$17),1)</f>
        <v>3</v>
      </c>
      <c r="AN434" s="44">
        <f>(打分卡!$D$7*AC434+打分卡!$D$8*AD434+打分卡!$D$9*AE434)/5</f>
        <v>19</v>
      </c>
      <c r="AO434" s="44">
        <f>(打分卡!$D$10*AF434+打分卡!$D$11*AG434)/5</f>
        <v>12</v>
      </c>
      <c r="AP434" s="44">
        <f>(打分卡!$D$12*AH434+打分卡!$D$13*AI434+打分卡!$D$14*AJ434+打分卡!$D$15*AK434)/5</f>
        <v>16.8</v>
      </c>
      <c r="AQ434" s="44">
        <f>(打分卡!$D$16*AL434+打分卡!$D$17*AM434)/5</f>
        <v>8.4</v>
      </c>
      <c r="AR434" s="47">
        <f t="shared" si="50"/>
        <v>56.2</v>
      </c>
      <c r="AS434" s="43" t="str">
        <f t="shared" si="51"/>
        <v>腰部</v>
      </c>
      <c r="AT434" s="43" t="str">
        <f t="shared" si="52"/>
        <v/>
      </c>
      <c r="AU434" s="43" t="str">
        <f t="shared" si="53"/>
        <v>拉·主攻：主推AI外呼+大促作战包</v>
      </c>
    </row>
    <row r="435" ht="15" customHeight="1" spans="1:47">
      <c r="A435" s="20" t="s">
        <v>1399</v>
      </c>
      <c r="B435" s="22" t="s">
        <v>1400</v>
      </c>
      <c r="C435" s="22" t="s">
        <v>223</v>
      </c>
      <c r="D435" s="22" t="s">
        <v>235</v>
      </c>
      <c r="E435" s="22" t="s">
        <v>197</v>
      </c>
      <c r="F435" s="20" t="s">
        <v>1401</v>
      </c>
      <c r="G435" s="22">
        <v>7</v>
      </c>
      <c r="H435" s="22" t="s">
        <v>301</v>
      </c>
      <c r="I435" s="22" t="s">
        <v>302</v>
      </c>
      <c r="J435" s="36">
        <v>32100</v>
      </c>
      <c r="K435" s="36">
        <v>24700</v>
      </c>
      <c r="L435" s="36">
        <v>10100</v>
      </c>
      <c r="M435" s="36">
        <f t="shared" si="48"/>
        <v>66900</v>
      </c>
      <c r="N435" s="34">
        <f t="shared" si="54"/>
        <v>0.000350732606493743</v>
      </c>
      <c r="O435" s="35">
        <f>SUM($M$2:M435)</f>
        <v>174917200</v>
      </c>
      <c r="P435" s="34">
        <f t="shared" si="55"/>
        <v>0.917027884552876</v>
      </c>
      <c r="Q435" s="39">
        <v>8.7</v>
      </c>
      <c r="R435" s="22">
        <v>1</v>
      </c>
      <c r="S435" s="22">
        <v>1</v>
      </c>
      <c r="T435" s="22">
        <v>0</v>
      </c>
      <c r="U435" s="39">
        <v>1.2</v>
      </c>
      <c r="V435" s="22">
        <v>15</v>
      </c>
      <c r="W435" s="22">
        <v>0</v>
      </c>
      <c r="X435" s="40">
        <v>43</v>
      </c>
      <c r="Y435" s="22">
        <v>0</v>
      </c>
      <c r="Z435" s="22">
        <v>1</v>
      </c>
      <c r="AA435" s="22" t="s">
        <v>315</v>
      </c>
      <c r="AB435" s="22" t="s">
        <v>220</v>
      </c>
      <c r="AC435" s="42">
        <f>IFERROR(LOOKUP(M435,打分卡!$F$7:$J$7,打分卡!$K$7:$O$7),1)</f>
        <v>2</v>
      </c>
      <c r="AD435" s="42">
        <f>IFERROR(LOOKUP(S435,打分卡!$F$8:$J$8,打分卡!$K$8:$O$8),1)</f>
        <v>1</v>
      </c>
      <c r="AE435" s="42">
        <f>IFERROR(LOOKUP(T435,打分卡!$F$9:$I$9,打分卡!$K$9:$N$9),1)</f>
        <v>1</v>
      </c>
      <c r="AF435" s="42">
        <f>IFERROR(LOOKUP(Q435,打分卡!$F$10:$J$10,打分卡!$K$10:$O$10),1)</f>
        <v>2</v>
      </c>
      <c r="AG435" s="42">
        <f>IFERROR(LOOKUP(R435,打分卡!$F$11:$J$11,打分卡!$K$11:$O$11),1)</f>
        <v>1</v>
      </c>
      <c r="AH435" s="42">
        <f>IFERROR(LOOKUP(U435,打分卡!$F$12:$J$12,打分卡!$K$12:$O$12),1)</f>
        <v>1</v>
      </c>
      <c r="AI435" s="42">
        <f>IFERROR(LOOKUP(X435,打分卡!$F$13:$J$13,打分卡!$K$13:$O$13),1)</f>
        <v>3</v>
      </c>
      <c r="AJ435" s="42">
        <f>IFERROR(LOOKUP(Y435,打分卡!$F$14:$J$14,打分卡!$K$14:$O$14),1)</f>
        <v>1</v>
      </c>
      <c r="AK435" s="42">
        <f>IFERROR(LOOKUP(W435,打分卡!$F$15:$J$15,打分卡!$K$15:$O$15),1)</f>
        <v>1</v>
      </c>
      <c r="AL435" s="45">
        <f t="shared" si="49"/>
        <v>2</v>
      </c>
      <c r="AM435" s="42">
        <f>IFERROR(LOOKUP(Z435,打分卡!$F$17:$H$17,打分卡!$K$17:$M$17),1)</f>
        <v>3</v>
      </c>
      <c r="AN435" s="46">
        <f>(打分卡!$D$7*AC435+打分卡!$D$8*AD435+打分卡!$D$9*AE435)/5</f>
        <v>13</v>
      </c>
      <c r="AO435" s="46">
        <f>(打分卡!$D$10*AF435+打分卡!$D$11*AG435)/5</f>
        <v>6</v>
      </c>
      <c r="AP435" s="46">
        <f>(打分卡!$D$12*AH435+打分卡!$D$13*AI435+打分卡!$D$14*AJ435+打分卡!$D$15*AK435)/5</f>
        <v>9.2</v>
      </c>
      <c r="AQ435" s="46">
        <f>(打分卡!$D$16*AL435+打分卡!$D$17*AM435)/5</f>
        <v>4.8</v>
      </c>
      <c r="AR435" s="48">
        <f t="shared" si="50"/>
        <v>33</v>
      </c>
      <c r="AS435" s="45" t="str">
        <f t="shared" si="51"/>
        <v>基础长尾</v>
      </c>
      <c r="AT435" s="45" t="str">
        <f t="shared" si="52"/>
        <v/>
      </c>
      <c r="AU435" s="45" t="str">
        <f t="shared" si="53"/>
        <v>激活：企微+Push低成本先跑</v>
      </c>
    </row>
    <row r="436" ht="15" customHeight="1" spans="1:47">
      <c r="A436" s="30" t="s">
        <v>1402</v>
      </c>
      <c r="B436" s="31" t="s">
        <v>1403</v>
      </c>
      <c r="C436" s="31" t="s">
        <v>223</v>
      </c>
      <c r="D436" s="31" t="s">
        <v>202</v>
      </c>
      <c r="E436" s="31" t="s">
        <v>197</v>
      </c>
      <c r="F436" s="30" t="s">
        <v>1072</v>
      </c>
      <c r="G436" s="31">
        <v>13</v>
      </c>
      <c r="H436" s="31" t="s">
        <v>301</v>
      </c>
      <c r="I436" s="31" t="s">
        <v>302</v>
      </c>
      <c r="J436" s="33">
        <v>40600</v>
      </c>
      <c r="K436" s="33">
        <v>19300</v>
      </c>
      <c r="L436" s="33">
        <v>6700</v>
      </c>
      <c r="M436" s="33">
        <f t="shared" si="48"/>
        <v>66600</v>
      </c>
      <c r="N436" s="34">
        <f t="shared" si="54"/>
        <v>0.000349159814536372</v>
      </c>
      <c r="O436" s="35">
        <f>SUM($M$2:M436)</f>
        <v>174983800</v>
      </c>
      <c r="P436" s="34">
        <f t="shared" si="55"/>
        <v>0.917377044367413</v>
      </c>
      <c r="Q436" s="37">
        <v>6.7</v>
      </c>
      <c r="R436" s="31">
        <v>1</v>
      </c>
      <c r="S436" s="31">
        <v>1</v>
      </c>
      <c r="T436" s="31">
        <v>1</v>
      </c>
      <c r="U436" s="37">
        <v>3.7</v>
      </c>
      <c r="V436" s="31">
        <v>8</v>
      </c>
      <c r="W436" s="31">
        <v>4</v>
      </c>
      <c r="X436" s="38">
        <v>24</v>
      </c>
      <c r="Y436" s="31">
        <v>3</v>
      </c>
      <c r="Z436" s="31">
        <v>1</v>
      </c>
      <c r="AA436" s="31" t="s">
        <v>199</v>
      </c>
      <c r="AB436" s="31" t="s">
        <v>220</v>
      </c>
      <c r="AC436" s="41">
        <f>IFERROR(LOOKUP(M436,打分卡!$F$7:$J$7,打分卡!$K$7:$O$7),1)</f>
        <v>2</v>
      </c>
      <c r="AD436" s="41">
        <f>IFERROR(LOOKUP(S436,打分卡!$F$8:$J$8,打分卡!$K$8:$O$8),1)</f>
        <v>1</v>
      </c>
      <c r="AE436" s="41">
        <f>IFERROR(LOOKUP(T436,打分卡!$F$9:$I$9,打分卡!$K$9:$N$9),1)</f>
        <v>2</v>
      </c>
      <c r="AF436" s="41">
        <f>IFERROR(LOOKUP(Q436,打分卡!$F$10:$J$10,打分卡!$K$10:$O$10),1)</f>
        <v>2</v>
      </c>
      <c r="AG436" s="41">
        <f>IFERROR(LOOKUP(R436,打分卡!$F$11:$J$11,打分卡!$K$11:$O$11),1)</f>
        <v>1</v>
      </c>
      <c r="AH436" s="41">
        <f>IFERROR(LOOKUP(U436,打分卡!$F$12:$J$12,打分卡!$K$12:$O$12),1)</f>
        <v>2</v>
      </c>
      <c r="AI436" s="41">
        <f>IFERROR(LOOKUP(X436,打分卡!$F$13:$J$13,打分卡!$K$13:$O$13),1)</f>
        <v>2</v>
      </c>
      <c r="AJ436" s="41">
        <f>IFERROR(LOOKUP(Y436,打分卡!$F$14:$J$14,打分卡!$K$14:$O$14),1)</f>
        <v>4</v>
      </c>
      <c r="AK436" s="41">
        <f>IFERROR(LOOKUP(W436,打分卡!$F$15:$J$15,打分卡!$K$15:$O$15),1)</f>
        <v>3</v>
      </c>
      <c r="AL436" s="43">
        <f t="shared" si="49"/>
        <v>5</v>
      </c>
      <c r="AM436" s="41">
        <f>IFERROR(LOOKUP(Z436,打分卡!$F$17:$H$17,打分卡!$K$17:$M$17),1)</f>
        <v>3</v>
      </c>
      <c r="AN436" s="44">
        <f>(打分卡!$D$7*AC436+打分卡!$D$8*AD436+打分卡!$D$9*AE436)/5</f>
        <v>14.4</v>
      </c>
      <c r="AO436" s="44">
        <f>(打分卡!$D$10*AF436+打分卡!$D$11*AG436)/5</f>
        <v>6</v>
      </c>
      <c r="AP436" s="44">
        <f>(打分卡!$D$12*AH436+打分卡!$D$13*AI436+打分卡!$D$14*AJ436+打分卡!$D$15*AK436)/5</f>
        <v>15.2</v>
      </c>
      <c r="AQ436" s="44">
        <f>(打分卡!$D$16*AL436+打分卡!$D$17*AM436)/5</f>
        <v>8.4</v>
      </c>
      <c r="AR436" s="47">
        <f t="shared" si="50"/>
        <v>44</v>
      </c>
      <c r="AS436" s="43" t="str">
        <f t="shared" si="51"/>
        <v>腰部</v>
      </c>
      <c r="AT436" s="43" t="str">
        <f t="shared" si="52"/>
        <v/>
      </c>
      <c r="AU436" s="43" t="str">
        <f t="shared" si="53"/>
        <v>拉·主攻：主推AI外呼+大促作战包</v>
      </c>
    </row>
    <row r="437" ht="15" customHeight="1" spans="1:47">
      <c r="A437" s="20" t="s">
        <v>1404</v>
      </c>
      <c r="B437" s="22" t="s">
        <v>1405</v>
      </c>
      <c r="C437" s="22" t="s">
        <v>179</v>
      </c>
      <c r="D437" s="22" t="s">
        <v>196</v>
      </c>
      <c r="E437" s="22" t="s">
        <v>181</v>
      </c>
      <c r="F437" s="20" t="s">
        <v>1406</v>
      </c>
      <c r="G437" s="22">
        <v>7</v>
      </c>
      <c r="H437" s="22" t="s">
        <v>301</v>
      </c>
      <c r="I437" s="22" t="s">
        <v>302</v>
      </c>
      <c r="J437" s="36">
        <v>40900</v>
      </c>
      <c r="K437" s="36">
        <v>22400</v>
      </c>
      <c r="L437" s="36">
        <v>3300</v>
      </c>
      <c r="M437" s="36">
        <f t="shared" si="48"/>
        <v>66600</v>
      </c>
      <c r="N437" s="34">
        <f t="shared" si="54"/>
        <v>0.000349159814536372</v>
      </c>
      <c r="O437" s="35">
        <f>SUM($M$2:M437)</f>
        <v>175050400</v>
      </c>
      <c r="P437" s="34">
        <f t="shared" si="55"/>
        <v>0.917726204181949</v>
      </c>
      <c r="Q437" s="39">
        <v>4.6</v>
      </c>
      <c r="R437" s="22">
        <v>1</v>
      </c>
      <c r="S437" s="22">
        <v>2</v>
      </c>
      <c r="T437" s="22">
        <v>2</v>
      </c>
      <c r="U437" s="39">
        <v>2.5</v>
      </c>
      <c r="V437" s="22">
        <v>9</v>
      </c>
      <c r="W437" s="22">
        <v>0</v>
      </c>
      <c r="X437" s="40">
        <v>12</v>
      </c>
      <c r="Y437" s="22">
        <v>0</v>
      </c>
      <c r="Z437" s="22">
        <v>0</v>
      </c>
      <c r="AA437" s="22" t="s">
        <v>185</v>
      </c>
      <c r="AB437" s="22" t="s">
        <v>220</v>
      </c>
      <c r="AC437" s="42">
        <f>IFERROR(LOOKUP(M437,打分卡!$F$7:$J$7,打分卡!$K$7:$O$7),1)</f>
        <v>2</v>
      </c>
      <c r="AD437" s="42">
        <f>IFERROR(LOOKUP(S437,打分卡!$F$8:$J$8,打分卡!$K$8:$O$8),1)</f>
        <v>2</v>
      </c>
      <c r="AE437" s="42">
        <f>IFERROR(LOOKUP(T437,打分卡!$F$9:$I$9,打分卡!$K$9:$N$9),1)</f>
        <v>3</v>
      </c>
      <c r="AF437" s="42">
        <f>IFERROR(LOOKUP(Q437,打分卡!$F$10:$J$10,打分卡!$K$10:$O$10),1)</f>
        <v>2</v>
      </c>
      <c r="AG437" s="42">
        <f>IFERROR(LOOKUP(R437,打分卡!$F$11:$J$11,打分卡!$K$11:$O$11),1)</f>
        <v>1</v>
      </c>
      <c r="AH437" s="42">
        <f>IFERROR(LOOKUP(U437,打分卡!$F$12:$J$12,打分卡!$K$12:$O$12),1)</f>
        <v>1</v>
      </c>
      <c r="AI437" s="42">
        <f>IFERROR(LOOKUP(X437,打分卡!$F$13:$J$13,打分卡!$K$13:$O$13),1)</f>
        <v>1</v>
      </c>
      <c r="AJ437" s="42">
        <f>IFERROR(LOOKUP(Y437,打分卡!$F$14:$J$14,打分卡!$K$14:$O$14),1)</f>
        <v>1</v>
      </c>
      <c r="AK437" s="42">
        <f>IFERROR(LOOKUP(W437,打分卡!$F$15:$J$15,打分卡!$K$15:$O$15),1)</f>
        <v>1</v>
      </c>
      <c r="AL437" s="45">
        <f t="shared" si="49"/>
        <v>3</v>
      </c>
      <c r="AM437" s="42">
        <f>IFERROR(LOOKUP(Z437,打分卡!$F$17:$H$17,打分卡!$K$17:$M$17),1)</f>
        <v>1</v>
      </c>
      <c r="AN437" s="46">
        <f>(打分卡!$D$7*AC437+打分卡!$D$8*AD437+打分卡!$D$9*AE437)/5</f>
        <v>17.4</v>
      </c>
      <c r="AO437" s="46">
        <f>(打分卡!$D$10*AF437+打分卡!$D$11*AG437)/5</f>
        <v>6</v>
      </c>
      <c r="AP437" s="46">
        <f>(打分卡!$D$12*AH437+打分卡!$D$13*AI437+打分卡!$D$14*AJ437+打分卡!$D$15*AK437)/5</f>
        <v>6</v>
      </c>
      <c r="AQ437" s="46">
        <f>(打分卡!$D$16*AL437+打分卡!$D$17*AM437)/5</f>
        <v>4.4</v>
      </c>
      <c r="AR437" s="48">
        <f t="shared" si="50"/>
        <v>33.8</v>
      </c>
      <c r="AS437" s="45" t="str">
        <f t="shared" si="51"/>
        <v>基础长尾</v>
      </c>
      <c r="AT437" s="45" t="str">
        <f t="shared" si="52"/>
        <v/>
      </c>
      <c r="AU437" s="45" t="str">
        <f t="shared" si="53"/>
        <v>激活：企微+Push低成本先跑</v>
      </c>
    </row>
    <row r="438" ht="15" customHeight="1" spans="1:47">
      <c r="A438" s="30" t="s">
        <v>1407</v>
      </c>
      <c r="B438" s="31" t="s">
        <v>1408</v>
      </c>
      <c r="C438" s="31" t="s">
        <v>179</v>
      </c>
      <c r="D438" s="31" t="s">
        <v>190</v>
      </c>
      <c r="E438" s="31" t="s">
        <v>181</v>
      </c>
      <c r="F438" s="30" t="s">
        <v>1278</v>
      </c>
      <c r="G438" s="31">
        <v>22</v>
      </c>
      <c r="H438" s="31" t="s">
        <v>301</v>
      </c>
      <c r="I438" s="31" t="s">
        <v>184</v>
      </c>
      <c r="J438" s="33">
        <v>36700</v>
      </c>
      <c r="K438" s="33">
        <v>14800</v>
      </c>
      <c r="L438" s="33">
        <v>15000</v>
      </c>
      <c r="M438" s="33">
        <f t="shared" si="48"/>
        <v>66500</v>
      </c>
      <c r="N438" s="34">
        <f t="shared" si="54"/>
        <v>0.000348635550550582</v>
      </c>
      <c r="O438" s="35">
        <f>SUM($M$2:M438)</f>
        <v>175116900</v>
      </c>
      <c r="P438" s="34">
        <f t="shared" si="55"/>
        <v>0.9180748397325</v>
      </c>
      <c r="Q438" s="37">
        <v>5.1</v>
      </c>
      <c r="R438" s="31">
        <v>4</v>
      </c>
      <c r="S438" s="31">
        <v>3</v>
      </c>
      <c r="T438" s="31">
        <v>0</v>
      </c>
      <c r="U438" s="37">
        <v>4.1</v>
      </c>
      <c r="V438" s="31">
        <v>15</v>
      </c>
      <c r="W438" s="31">
        <v>4</v>
      </c>
      <c r="X438" s="38">
        <v>20</v>
      </c>
      <c r="Y438" s="31">
        <v>3</v>
      </c>
      <c r="Z438" s="31">
        <v>1</v>
      </c>
      <c r="AA438" s="31" t="s">
        <v>199</v>
      </c>
      <c r="AB438" s="31" t="s">
        <v>220</v>
      </c>
      <c r="AC438" s="41">
        <f>IFERROR(LOOKUP(M438,打分卡!$F$7:$J$7,打分卡!$K$7:$O$7),1)</f>
        <v>2</v>
      </c>
      <c r="AD438" s="41">
        <f>IFERROR(LOOKUP(S438,打分卡!$F$8:$J$8,打分卡!$K$8:$O$8),1)</f>
        <v>3</v>
      </c>
      <c r="AE438" s="41">
        <f>IFERROR(LOOKUP(T438,打分卡!$F$9:$I$9,打分卡!$K$9:$N$9),1)</f>
        <v>1</v>
      </c>
      <c r="AF438" s="41">
        <f>IFERROR(LOOKUP(Q438,打分卡!$F$10:$J$10,打分卡!$K$10:$O$10),1)</f>
        <v>2</v>
      </c>
      <c r="AG438" s="41">
        <f>IFERROR(LOOKUP(R438,打分卡!$F$11:$J$11,打分卡!$K$11:$O$11),1)</f>
        <v>2</v>
      </c>
      <c r="AH438" s="41">
        <f>IFERROR(LOOKUP(U438,打分卡!$F$12:$J$12,打分卡!$K$12:$O$12),1)</f>
        <v>2</v>
      </c>
      <c r="AI438" s="41">
        <f>IFERROR(LOOKUP(X438,打分卡!$F$13:$J$13,打分卡!$K$13:$O$13),1)</f>
        <v>2</v>
      </c>
      <c r="AJ438" s="41">
        <f>IFERROR(LOOKUP(Y438,打分卡!$F$14:$J$14,打分卡!$K$14:$O$14),1)</f>
        <v>4</v>
      </c>
      <c r="AK438" s="41">
        <f>IFERROR(LOOKUP(W438,打分卡!$F$15:$J$15,打分卡!$K$15:$O$15),1)</f>
        <v>3</v>
      </c>
      <c r="AL438" s="43">
        <f t="shared" si="49"/>
        <v>5</v>
      </c>
      <c r="AM438" s="41">
        <f>IFERROR(LOOKUP(Z438,打分卡!$F$17:$H$17,打分卡!$K$17:$M$17),1)</f>
        <v>3</v>
      </c>
      <c r="AN438" s="44">
        <f>(打分卡!$D$7*AC438+打分卡!$D$8*AD438+打分卡!$D$9*AE438)/5</f>
        <v>16.2</v>
      </c>
      <c r="AO438" s="44">
        <f>(打分卡!$D$10*AF438+打分卡!$D$11*AG438)/5</f>
        <v>8</v>
      </c>
      <c r="AP438" s="44">
        <f>(打分卡!$D$12*AH438+打分卡!$D$13*AI438+打分卡!$D$14*AJ438+打分卡!$D$15*AK438)/5</f>
        <v>15.2</v>
      </c>
      <c r="AQ438" s="44">
        <f>(打分卡!$D$16*AL438+打分卡!$D$17*AM438)/5</f>
        <v>8.4</v>
      </c>
      <c r="AR438" s="47">
        <f t="shared" si="50"/>
        <v>47.8</v>
      </c>
      <c r="AS438" s="43" t="str">
        <f t="shared" si="51"/>
        <v>腰部</v>
      </c>
      <c r="AT438" s="43" t="str">
        <f t="shared" si="52"/>
        <v/>
      </c>
      <c r="AU438" s="43" t="str">
        <f t="shared" si="53"/>
        <v>拉·主攻：主推AI外呼+大促作战包</v>
      </c>
    </row>
    <row r="439" ht="15" customHeight="1" spans="1:47">
      <c r="A439" s="20" t="s">
        <v>1409</v>
      </c>
      <c r="B439" s="22" t="s">
        <v>1410</v>
      </c>
      <c r="C439" s="22" t="s">
        <v>179</v>
      </c>
      <c r="D439" s="22" t="s">
        <v>227</v>
      </c>
      <c r="E439" s="22" t="s">
        <v>181</v>
      </c>
      <c r="F439" s="20" t="s">
        <v>667</v>
      </c>
      <c r="G439" s="22">
        <v>5</v>
      </c>
      <c r="H439" s="22" t="s">
        <v>183</v>
      </c>
      <c r="I439" s="22" t="s">
        <v>302</v>
      </c>
      <c r="J439" s="36">
        <v>35600</v>
      </c>
      <c r="K439" s="36">
        <v>24400</v>
      </c>
      <c r="L439" s="36">
        <v>6300</v>
      </c>
      <c r="M439" s="36">
        <f t="shared" si="48"/>
        <v>66300</v>
      </c>
      <c r="N439" s="34">
        <f t="shared" si="54"/>
        <v>0.000347587022579001</v>
      </c>
      <c r="O439" s="35">
        <f>SUM($M$2:M439)</f>
        <v>175183200</v>
      </c>
      <c r="P439" s="34">
        <f t="shared" si="55"/>
        <v>0.918422426755079</v>
      </c>
      <c r="Q439" s="39">
        <v>6.4</v>
      </c>
      <c r="R439" s="22">
        <v>7</v>
      </c>
      <c r="S439" s="22">
        <v>2</v>
      </c>
      <c r="T439" s="22">
        <v>2</v>
      </c>
      <c r="U439" s="39">
        <v>4.7</v>
      </c>
      <c r="V439" s="22">
        <v>12</v>
      </c>
      <c r="W439" s="22">
        <v>4</v>
      </c>
      <c r="X439" s="40">
        <v>29</v>
      </c>
      <c r="Y439" s="22">
        <v>3</v>
      </c>
      <c r="Z439" s="22">
        <v>0</v>
      </c>
      <c r="AA439" s="22" t="s">
        <v>185</v>
      </c>
      <c r="AB439" s="22" t="s">
        <v>220</v>
      </c>
      <c r="AC439" s="42">
        <f>IFERROR(LOOKUP(M439,打分卡!$F$7:$J$7,打分卡!$K$7:$O$7),1)</f>
        <v>2</v>
      </c>
      <c r="AD439" s="42">
        <f>IFERROR(LOOKUP(S439,打分卡!$F$8:$J$8,打分卡!$K$8:$O$8),1)</f>
        <v>2</v>
      </c>
      <c r="AE439" s="42">
        <f>IFERROR(LOOKUP(T439,打分卡!$F$9:$I$9,打分卡!$K$9:$N$9),1)</f>
        <v>3</v>
      </c>
      <c r="AF439" s="42">
        <f>IFERROR(LOOKUP(Q439,打分卡!$F$10:$J$10,打分卡!$K$10:$O$10),1)</f>
        <v>2</v>
      </c>
      <c r="AG439" s="42">
        <f>IFERROR(LOOKUP(R439,打分卡!$F$11:$J$11,打分卡!$K$11:$O$11),1)</f>
        <v>3</v>
      </c>
      <c r="AH439" s="42">
        <f>IFERROR(LOOKUP(U439,打分卡!$F$12:$J$12,打分卡!$K$12:$O$12),1)</f>
        <v>2</v>
      </c>
      <c r="AI439" s="42">
        <f>IFERROR(LOOKUP(X439,打分卡!$F$13:$J$13,打分卡!$K$13:$O$13),1)</f>
        <v>2</v>
      </c>
      <c r="AJ439" s="42">
        <f>IFERROR(LOOKUP(Y439,打分卡!$F$14:$J$14,打分卡!$K$14:$O$14),1)</f>
        <v>4</v>
      </c>
      <c r="AK439" s="42">
        <f>IFERROR(LOOKUP(W439,打分卡!$F$15:$J$15,打分卡!$K$15:$O$15),1)</f>
        <v>3</v>
      </c>
      <c r="AL439" s="45">
        <f t="shared" si="49"/>
        <v>3</v>
      </c>
      <c r="AM439" s="42">
        <f>IFERROR(LOOKUP(Z439,打分卡!$F$17:$H$17,打分卡!$K$17:$M$17),1)</f>
        <v>1</v>
      </c>
      <c r="AN439" s="46">
        <f>(打分卡!$D$7*AC439+打分卡!$D$8*AD439+打分卡!$D$9*AE439)/5</f>
        <v>17.4</v>
      </c>
      <c r="AO439" s="46">
        <f>(打分卡!$D$10*AF439+打分卡!$D$11*AG439)/5</f>
        <v>10</v>
      </c>
      <c r="AP439" s="46">
        <f>(打分卡!$D$12*AH439+打分卡!$D$13*AI439+打分卡!$D$14*AJ439+打分卡!$D$15*AK439)/5</f>
        <v>15.2</v>
      </c>
      <c r="AQ439" s="46">
        <f>(打分卡!$D$16*AL439+打分卡!$D$17*AM439)/5</f>
        <v>4.4</v>
      </c>
      <c r="AR439" s="48">
        <f t="shared" si="50"/>
        <v>47</v>
      </c>
      <c r="AS439" s="45" t="str">
        <f t="shared" si="51"/>
        <v>腰部</v>
      </c>
      <c r="AT439" s="45" t="str">
        <f t="shared" si="52"/>
        <v/>
      </c>
      <c r="AU439" s="45" t="str">
        <f t="shared" si="53"/>
        <v>拉·主攻：主推AI外呼+大促作战包</v>
      </c>
    </row>
    <row r="440" ht="15" customHeight="1" spans="1:47">
      <c r="A440" s="30" t="s">
        <v>1411</v>
      </c>
      <c r="B440" s="31" t="s">
        <v>1412</v>
      </c>
      <c r="C440" s="31" t="s">
        <v>239</v>
      </c>
      <c r="D440" s="31" t="s">
        <v>196</v>
      </c>
      <c r="E440" s="31" t="s">
        <v>181</v>
      </c>
      <c r="F440" s="30" t="s">
        <v>1413</v>
      </c>
      <c r="G440" s="31">
        <v>14</v>
      </c>
      <c r="H440" s="31" t="s">
        <v>301</v>
      </c>
      <c r="I440" s="31" t="s">
        <v>184</v>
      </c>
      <c r="J440" s="33">
        <v>35200</v>
      </c>
      <c r="K440" s="33">
        <v>14200</v>
      </c>
      <c r="L440" s="33">
        <v>16200</v>
      </c>
      <c r="M440" s="33">
        <f t="shared" si="48"/>
        <v>65600</v>
      </c>
      <c r="N440" s="34">
        <f t="shared" si="54"/>
        <v>0.000343917174678469</v>
      </c>
      <c r="O440" s="35">
        <f>SUM($M$2:M440)</f>
        <v>175248800</v>
      </c>
      <c r="P440" s="34">
        <f t="shared" si="55"/>
        <v>0.918766343929757</v>
      </c>
      <c r="Q440" s="37">
        <v>4.4</v>
      </c>
      <c r="R440" s="31">
        <v>7</v>
      </c>
      <c r="S440" s="31">
        <v>1</v>
      </c>
      <c r="T440" s="31">
        <v>1</v>
      </c>
      <c r="U440" s="37">
        <v>2.6</v>
      </c>
      <c r="V440" s="31">
        <v>18</v>
      </c>
      <c r="W440" s="31">
        <v>3</v>
      </c>
      <c r="X440" s="38">
        <v>57</v>
      </c>
      <c r="Y440" s="31">
        <v>1</v>
      </c>
      <c r="Z440" s="31">
        <v>0</v>
      </c>
      <c r="AA440" s="31" t="s">
        <v>185</v>
      </c>
      <c r="AB440" s="31" t="s">
        <v>220</v>
      </c>
      <c r="AC440" s="41">
        <f>IFERROR(LOOKUP(M440,打分卡!$F$7:$J$7,打分卡!$K$7:$O$7),1)</f>
        <v>2</v>
      </c>
      <c r="AD440" s="41">
        <f>IFERROR(LOOKUP(S440,打分卡!$F$8:$J$8,打分卡!$K$8:$O$8),1)</f>
        <v>1</v>
      </c>
      <c r="AE440" s="41">
        <f>IFERROR(LOOKUP(T440,打分卡!$F$9:$I$9,打分卡!$K$9:$N$9),1)</f>
        <v>2</v>
      </c>
      <c r="AF440" s="41">
        <f>IFERROR(LOOKUP(Q440,打分卡!$F$10:$J$10,打分卡!$K$10:$O$10),1)</f>
        <v>2</v>
      </c>
      <c r="AG440" s="41">
        <f>IFERROR(LOOKUP(R440,打分卡!$F$11:$J$11,打分卡!$K$11:$O$11),1)</f>
        <v>3</v>
      </c>
      <c r="AH440" s="41">
        <f>IFERROR(LOOKUP(U440,打分卡!$F$12:$J$12,打分卡!$K$12:$O$12),1)</f>
        <v>1</v>
      </c>
      <c r="AI440" s="41">
        <f>IFERROR(LOOKUP(X440,打分卡!$F$13:$J$13,打分卡!$K$13:$O$13),1)</f>
        <v>3</v>
      </c>
      <c r="AJ440" s="41">
        <f>IFERROR(LOOKUP(Y440,打分卡!$F$14:$J$14,打分卡!$K$14:$O$14),1)</f>
        <v>2</v>
      </c>
      <c r="AK440" s="41">
        <f>IFERROR(LOOKUP(W440,打分卡!$F$15:$J$15,打分卡!$K$15:$O$15),1)</f>
        <v>3</v>
      </c>
      <c r="AL440" s="43">
        <f t="shared" si="49"/>
        <v>3</v>
      </c>
      <c r="AM440" s="41">
        <f>IFERROR(LOOKUP(Z440,打分卡!$F$17:$H$17,打分卡!$K$17:$M$17),1)</f>
        <v>1</v>
      </c>
      <c r="AN440" s="44">
        <f>(打分卡!$D$7*AC440+打分卡!$D$8*AD440+打分卡!$D$9*AE440)/5</f>
        <v>14.4</v>
      </c>
      <c r="AO440" s="44">
        <f>(打分卡!$D$10*AF440+打分卡!$D$11*AG440)/5</f>
        <v>10</v>
      </c>
      <c r="AP440" s="44">
        <f>(打分卡!$D$12*AH440+打分卡!$D$13*AI440+打分卡!$D$14*AJ440+打分卡!$D$15*AK440)/5</f>
        <v>12</v>
      </c>
      <c r="AQ440" s="44">
        <f>(打分卡!$D$16*AL440+打分卡!$D$17*AM440)/5</f>
        <v>4.4</v>
      </c>
      <c r="AR440" s="47">
        <f t="shared" si="50"/>
        <v>40.8</v>
      </c>
      <c r="AS440" s="43" t="str">
        <f t="shared" si="51"/>
        <v>腰部</v>
      </c>
      <c r="AT440" s="43" t="str">
        <f t="shared" si="52"/>
        <v/>
      </c>
      <c r="AU440" s="43" t="str">
        <f t="shared" si="53"/>
        <v>拉·主攻：主推AI外呼+大促作战包</v>
      </c>
    </row>
    <row r="441" ht="15" customHeight="1" spans="1:47">
      <c r="A441" s="20" t="s">
        <v>1414</v>
      </c>
      <c r="B441" s="22" t="s">
        <v>1415</v>
      </c>
      <c r="C441" s="22" t="s">
        <v>239</v>
      </c>
      <c r="D441" s="22" t="s">
        <v>196</v>
      </c>
      <c r="E441" s="22" t="s">
        <v>197</v>
      </c>
      <c r="F441" s="20" t="s">
        <v>1416</v>
      </c>
      <c r="G441" s="22">
        <v>14</v>
      </c>
      <c r="H441" s="22" t="s">
        <v>301</v>
      </c>
      <c r="I441" s="22" t="s">
        <v>302</v>
      </c>
      <c r="J441" s="36">
        <v>37100</v>
      </c>
      <c r="K441" s="36">
        <v>24700</v>
      </c>
      <c r="L441" s="36">
        <v>3300</v>
      </c>
      <c r="M441" s="36">
        <f t="shared" si="48"/>
        <v>65100</v>
      </c>
      <c r="N441" s="34">
        <f t="shared" si="54"/>
        <v>0.000341295854749517</v>
      </c>
      <c r="O441" s="35">
        <f>SUM($M$2:M441)</f>
        <v>175313900</v>
      </c>
      <c r="P441" s="34">
        <f t="shared" si="55"/>
        <v>0.919107639784506</v>
      </c>
      <c r="Q441" s="39">
        <v>5.1</v>
      </c>
      <c r="R441" s="22">
        <v>4</v>
      </c>
      <c r="S441" s="22">
        <v>2</v>
      </c>
      <c r="T441" s="22">
        <v>0</v>
      </c>
      <c r="U441" s="39">
        <v>2.4</v>
      </c>
      <c r="V441" s="22">
        <v>3</v>
      </c>
      <c r="W441" s="22">
        <v>3</v>
      </c>
      <c r="X441" s="40">
        <v>25</v>
      </c>
      <c r="Y441" s="22">
        <v>0</v>
      </c>
      <c r="Z441" s="22">
        <v>0</v>
      </c>
      <c r="AA441" s="22" t="s">
        <v>185</v>
      </c>
      <c r="AB441" s="22" t="s">
        <v>220</v>
      </c>
      <c r="AC441" s="42">
        <f>IFERROR(LOOKUP(M441,打分卡!$F$7:$J$7,打分卡!$K$7:$O$7),1)</f>
        <v>2</v>
      </c>
      <c r="AD441" s="42">
        <f>IFERROR(LOOKUP(S441,打分卡!$F$8:$J$8,打分卡!$K$8:$O$8),1)</f>
        <v>2</v>
      </c>
      <c r="AE441" s="42">
        <f>IFERROR(LOOKUP(T441,打分卡!$F$9:$I$9,打分卡!$K$9:$N$9),1)</f>
        <v>1</v>
      </c>
      <c r="AF441" s="42">
        <f>IFERROR(LOOKUP(Q441,打分卡!$F$10:$J$10,打分卡!$K$10:$O$10),1)</f>
        <v>2</v>
      </c>
      <c r="AG441" s="42">
        <f>IFERROR(LOOKUP(R441,打分卡!$F$11:$J$11,打分卡!$K$11:$O$11),1)</f>
        <v>2</v>
      </c>
      <c r="AH441" s="42">
        <f>IFERROR(LOOKUP(U441,打分卡!$F$12:$J$12,打分卡!$K$12:$O$12),1)</f>
        <v>1</v>
      </c>
      <c r="AI441" s="42">
        <f>IFERROR(LOOKUP(X441,打分卡!$F$13:$J$13,打分卡!$K$13:$O$13),1)</f>
        <v>2</v>
      </c>
      <c r="AJ441" s="42">
        <f>IFERROR(LOOKUP(Y441,打分卡!$F$14:$J$14,打分卡!$K$14:$O$14),1)</f>
        <v>1</v>
      </c>
      <c r="AK441" s="42">
        <f>IFERROR(LOOKUP(W441,打分卡!$F$15:$J$15,打分卡!$K$15:$O$15),1)</f>
        <v>3</v>
      </c>
      <c r="AL441" s="45">
        <f t="shared" si="49"/>
        <v>3</v>
      </c>
      <c r="AM441" s="42">
        <f>IFERROR(LOOKUP(Z441,打分卡!$F$17:$H$17,打分卡!$K$17:$M$17),1)</f>
        <v>1</v>
      </c>
      <c r="AN441" s="46">
        <f>(打分卡!$D$7*AC441+打分卡!$D$8*AD441+打分卡!$D$9*AE441)/5</f>
        <v>14.6</v>
      </c>
      <c r="AO441" s="46">
        <f>(打分卡!$D$10*AF441+打分卡!$D$11*AG441)/5</f>
        <v>8</v>
      </c>
      <c r="AP441" s="46">
        <f>(打分卡!$D$12*AH441+打分卡!$D$13*AI441+打分卡!$D$14*AJ441+打分卡!$D$15*AK441)/5</f>
        <v>9.2</v>
      </c>
      <c r="AQ441" s="46">
        <f>(打分卡!$D$16*AL441+打分卡!$D$17*AM441)/5</f>
        <v>4.4</v>
      </c>
      <c r="AR441" s="48">
        <f t="shared" si="50"/>
        <v>36.2</v>
      </c>
      <c r="AS441" s="45" t="str">
        <f t="shared" si="51"/>
        <v>基础长尾</v>
      </c>
      <c r="AT441" s="45" t="str">
        <f t="shared" si="52"/>
        <v/>
      </c>
      <c r="AU441" s="45" t="str">
        <f t="shared" si="53"/>
        <v>激活：企微+Push低成本先跑</v>
      </c>
    </row>
    <row r="442" ht="15" customHeight="1" spans="1:47">
      <c r="A442" s="30" t="s">
        <v>1417</v>
      </c>
      <c r="B442" s="31" t="s">
        <v>1418</v>
      </c>
      <c r="C442" s="31" t="s">
        <v>189</v>
      </c>
      <c r="D442" s="31" t="s">
        <v>196</v>
      </c>
      <c r="E442" s="31" t="s">
        <v>181</v>
      </c>
      <c r="F442" s="30" t="s">
        <v>690</v>
      </c>
      <c r="G442" s="31">
        <v>10</v>
      </c>
      <c r="H442" s="31" t="s">
        <v>301</v>
      </c>
      <c r="I442" s="31" t="s">
        <v>302</v>
      </c>
      <c r="J442" s="33">
        <v>37800</v>
      </c>
      <c r="K442" s="33">
        <v>20300</v>
      </c>
      <c r="L442" s="33">
        <v>7000</v>
      </c>
      <c r="M442" s="33">
        <f t="shared" si="48"/>
        <v>65100</v>
      </c>
      <c r="N442" s="34">
        <f t="shared" si="54"/>
        <v>0.000341295854749517</v>
      </c>
      <c r="O442" s="35">
        <f>SUM($M$2:M442)</f>
        <v>175379000</v>
      </c>
      <c r="P442" s="34">
        <f t="shared" si="55"/>
        <v>0.919448935639256</v>
      </c>
      <c r="Q442" s="37">
        <v>10.1</v>
      </c>
      <c r="R442" s="31">
        <v>3</v>
      </c>
      <c r="S442" s="31">
        <v>2</v>
      </c>
      <c r="T442" s="31">
        <v>0</v>
      </c>
      <c r="U442" s="37">
        <v>10.4</v>
      </c>
      <c r="V442" s="31">
        <v>11</v>
      </c>
      <c r="W442" s="31">
        <v>4</v>
      </c>
      <c r="X442" s="38">
        <v>17</v>
      </c>
      <c r="Y442" s="31">
        <v>3</v>
      </c>
      <c r="Z442" s="31">
        <v>1</v>
      </c>
      <c r="AA442" s="31" t="s">
        <v>315</v>
      </c>
      <c r="AB442" s="31" t="s">
        <v>220</v>
      </c>
      <c r="AC442" s="41">
        <f>IFERROR(LOOKUP(M442,打分卡!$F$7:$J$7,打分卡!$K$7:$O$7),1)</f>
        <v>2</v>
      </c>
      <c r="AD442" s="41">
        <f>IFERROR(LOOKUP(S442,打分卡!$F$8:$J$8,打分卡!$K$8:$O$8),1)</f>
        <v>2</v>
      </c>
      <c r="AE442" s="41">
        <f>IFERROR(LOOKUP(T442,打分卡!$F$9:$I$9,打分卡!$K$9:$N$9),1)</f>
        <v>1</v>
      </c>
      <c r="AF442" s="41">
        <f>IFERROR(LOOKUP(Q442,打分卡!$F$10:$J$10,打分卡!$K$10:$O$10),1)</f>
        <v>3</v>
      </c>
      <c r="AG442" s="41">
        <f>IFERROR(LOOKUP(R442,打分卡!$F$11:$J$11,打分卡!$K$11:$O$11),1)</f>
        <v>2</v>
      </c>
      <c r="AH442" s="41">
        <f>IFERROR(LOOKUP(U442,打分卡!$F$12:$J$12,打分卡!$K$12:$O$12),1)</f>
        <v>2</v>
      </c>
      <c r="AI442" s="41">
        <f>IFERROR(LOOKUP(X442,打分卡!$F$13:$J$13,打分卡!$K$13:$O$13),1)</f>
        <v>1</v>
      </c>
      <c r="AJ442" s="41">
        <f>IFERROR(LOOKUP(Y442,打分卡!$F$14:$J$14,打分卡!$K$14:$O$14),1)</f>
        <v>4</v>
      </c>
      <c r="AK442" s="41">
        <f>IFERROR(LOOKUP(W442,打分卡!$F$15:$J$15,打分卡!$K$15:$O$15),1)</f>
        <v>3</v>
      </c>
      <c r="AL442" s="43">
        <f t="shared" si="49"/>
        <v>2</v>
      </c>
      <c r="AM442" s="41">
        <f>IFERROR(LOOKUP(Z442,打分卡!$F$17:$H$17,打分卡!$K$17:$M$17),1)</f>
        <v>3</v>
      </c>
      <c r="AN442" s="44">
        <f>(打分卡!$D$7*AC442+打分卡!$D$8*AD442+打分卡!$D$9*AE442)/5</f>
        <v>14.6</v>
      </c>
      <c r="AO442" s="44">
        <f>(打分卡!$D$10*AF442+打分卡!$D$11*AG442)/5</f>
        <v>10</v>
      </c>
      <c r="AP442" s="44">
        <f>(打分卡!$D$12*AH442+打分卡!$D$13*AI442+打分卡!$D$14*AJ442+打分卡!$D$15*AK442)/5</f>
        <v>13.6</v>
      </c>
      <c r="AQ442" s="44">
        <f>(打分卡!$D$16*AL442+打分卡!$D$17*AM442)/5</f>
        <v>4.8</v>
      </c>
      <c r="AR442" s="47">
        <f t="shared" si="50"/>
        <v>43</v>
      </c>
      <c r="AS442" s="43" t="str">
        <f t="shared" si="51"/>
        <v>腰部</v>
      </c>
      <c r="AT442" s="43" t="str">
        <f t="shared" si="52"/>
        <v/>
      </c>
      <c r="AU442" s="43" t="str">
        <f t="shared" si="53"/>
        <v>拉·主攻：主推AI外呼+大促作战包</v>
      </c>
    </row>
    <row r="443" ht="15" customHeight="1" spans="1:47">
      <c r="A443" s="20" t="s">
        <v>1419</v>
      </c>
      <c r="B443" s="22" t="s">
        <v>1420</v>
      </c>
      <c r="C443" s="22" t="s">
        <v>189</v>
      </c>
      <c r="D443" s="22" t="s">
        <v>202</v>
      </c>
      <c r="E443" s="22" t="s">
        <v>181</v>
      </c>
      <c r="F443" s="20" t="s">
        <v>327</v>
      </c>
      <c r="G443" s="22">
        <v>17</v>
      </c>
      <c r="H443" s="22" t="s">
        <v>301</v>
      </c>
      <c r="I443" s="22" t="s">
        <v>302</v>
      </c>
      <c r="J443" s="36">
        <v>31700</v>
      </c>
      <c r="K443" s="36">
        <v>21000</v>
      </c>
      <c r="L443" s="36">
        <v>12300</v>
      </c>
      <c r="M443" s="36">
        <f t="shared" si="48"/>
        <v>65000</v>
      </c>
      <c r="N443" s="34">
        <f t="shared" si="54"/>
        <v>0.000340771590763727</v>
      </c>
      <c r="O443" s="35">
        <f>SUM($M$2:M443)</f>
        <v>175444000</v>
      </c>
      <c r="P443" s="34">
        <f t="shared" si="55"/>
        <v>0.91978970723002</v>
      </c>
      <c r="Q443" s="39">
        <v>10.1</v>
      </c>
      <c r="R443" s="22">
        <v>8</v>
      </c>
      <c r="S443" s="22">
        <v>2</v>
      </c>
      <c r="T443" s="22">
        <v>1</v>
      </c>
      <c r="U443" s="39">
        <v>1.4</v>
      </c>
      <c r="V443" s="22">
        <v>24</v>
      </c>
      <c r="W443" s="22">
        <v>4</v>
      </c>
      <c r="X443" s="40">
        <v>23</v>
      </c>
      <c r="Y443" s="22">
        <v>1</v>
      </c>
      <c r="Z443" s="22">
        <v>0</v>
      </c>
      <c r="AA443" s="22" t="s">
        <v>315</v>
      </c>
      <c r="AB443" s="22" t="s">
        <v>220</v>
      </c>
      <c r="AC443" s="42">
        <f>IFERROR(LOOKUP(M443,打分卡!$F$7:$J$7,打分卡!$K$7:$O$7),1)</f>
        <v>2</v>
      </c>
      <c r="AD443" s="42">
        <f>IFERROR(LOOKUP(S443,打分卡!$F$8:$J$8,打分卡!$K$8:$O$8),1)</f>
        <v>2</v>
      </c>
      <c r="AE443" s="42">
        <f>IFERROR(LOOKUP(T443,打分卡!$F$9:$I$9,打分卡!$K$9:$N$9),1)</f>
        <v>2</v>
      </c>
      <c r="AF443" s="42">
        <f>IFERROR(LOOKUP(Q443,打分卡!$F$10:$J$10,打分卡!$K$10:$O$10),1)</f>
        <v>3</v>
      </c>
      <c r="AG443" s="42">
        <f>IFERROR(LOOKUP(R443,打分卡!$F$11:$J$11,打分卡!$K$11:$O$11),1)</f>
        <v>3</v>
      </c>
      <c r="AH443" s="42">
        <f>IFERROR(LOOKUP(U443,打分卡!$F$12:$J$12,打分卡!$K$12:$O$12),1)</f>
        <v>1</v>
      </c>
      <c r="AI443" s="42">
        <f>IFERROR(LOOKUP(X443,打分卡!$F$13:$J$13,打分卡!$K$13:$O$13),1)</f>
        <v>2</v>
      </c>
      <c r="AJ443" s="42">
        <f>IFERROR(LOOKUP(Y443,打分卡!$F$14:$J$14,打分卡!$K$14:$O$14),1)</f>
        <v>2</v>
      </c>
      <c r="AK443" s="42">
        <f>IFERROR(LOOKUP(W443,打分卡!$F$15:$J$15,打分卡!$K$15:$O$15),1)</f>
        <v>3</v>
      </c>
      <c r="AL443" s="45">
        <f t="shared" si="49"/>
        <v>2</v>
      </c>
      <c r="AM443" s="42">
        <f>IFERROR(LOOKUP(Z443,打分卡!$F$17:$H$17,打分卡!$K$17:$M$17),1)</f>
        <v>1</v>
      </c>
      <c r="AN443" s="46">
        <f>(打分卡!$D$7*AC443+打分卡!$D$8*AD443+打分卡!$D$9*AE443)/5</f>
        <v>16</v>
      </c>
      <c r="AO443" s="46">
        <f>(打分卡!$D$10*AF443+打分卡!$D$11*AG443)/5</f>
        <v>12</v>
      </c>
      <c r="AP443" s="46">
        <f>(打分卡!$D$12*AH443+打分卡!$D$13*AI443+打分卡!$D$14*AJ443+打分卡!$D$15*AK443)/5</f>
        <v>10.4</v>
      </c>
      <c r="AQ443" s="46">
        <f>(打分卡!$D$16*AL443+打分卡!$D$17*AM443)/5</f>
        <v>3.2</v>
      </c>
      <c r="AR443" s="48">
        <f t="shared" si="50"/>
        <v>41.6</v>
      </c>
      <c r="AS443" s="45" t="str">
        <f t="shared" si="51"/>
        <v>腰部</v>
      </c>
      <c r="AT443" s="45" t="str">
        <f t="shared" si="52"/>
        <v/>
      </c>
      <c r="AU443" s="45" t="str">
        <f t="shared" si="53"/>
        <v>拉·主攻：主推AI外呼+大促作战包</v>
      </c>
    </row>
    <row r="444" ht="15" customHeight="1" spans="1:47">
      <c r="A444" s="30" t="s">
        <v>1421</v>
      </c>
      <c r="B444" s="31" t="s">
        <v>1422</v>
      </c>
      <c r="C444" s="31" t="s">
        <v>234</v>
      </c>
      <c r="D444" s="31" t="s">
        <v>196</v>
      </c>
      <c r="E444" s="31" t="s">
        <v>197</v>
      </c>
      <c r="F444" s="30" t="s">
        <v>1214</v>
      </c>
      <c r="G444" s="31">
        <v>22</v>
      </c>
      <c r="H444" s="31" t="s">
        <v>301</v>
      </c>
      <c r="I444" s="31" t="s">
        <v>184</v>
      </c>
      <c r="J444" s="33">
        <v>33100</v>
      </c>
      <c r="K444" s="33">
        <v>14100</v>
      </c>
      <c r="L444" s="33">
        <v>17700</v>
      </c>
      <c r="M444" s="33">
        <f t="shared" si="48"/>
        <v>64900</v>
      </c>
      <c r="N444" s="34">
        <f t="shared" si="54"/>
        <v>0.000340247326777936</v>
      </c>
      <c r="O444" s="35">
        <f>SUM($M$2:M444)</f>
        <v>175508900</v>
      </c>
      <c r="P444" s="34">
        <f t="shared" si="55"/>
        <v>0.920129954556798</v>
      </c>
      <c r="Q444" s="37">
        <v>7.1</v>
      </c>
      <c r="R444" s="31">
        <v>8</v>
      </c>
      <c r="S444" s="31">
        <v>3</v>
      </c>
      <c r="T444" s="31">
        <v>0</v>
      </c>
      <c r="U444" s="37">
        <v>6.2</v>
      </c>
      <c r="V444" s="31">
        <v>14</v>
      </c>
      <c r="W444" s="31">
        <v>0</v>
      </c>
      <c r="X444" s="38">
        <v>16</v>
      </c>
      <c r="Y444" s="31">
        <v>3</v>
      </c>
      <c r="Z444" s="31">
        <v>1</v>
      </c>
      <c r="AA444" s="31" t="s">
        <v>315</v>
      </c>
      <c r="AB444" s="31" t="s">
        <v>220</v>
      </c>
      <c r="AC444" s="41">
        <f>IFERROR(LOOKUP(M444,打分卡!$F$7:$J$7,打分卡!$K$7:$O$7),1)</f>
        <v>2</v>
      </c>
      <c r="AD444" s="41">
        <f>IFERROR(LOOKUP(S444,打分卡!$F$8:$J$8,打分卡!$K$8:$O$8),1)</f>
        <v>3</v>
      </c>
      <c r="AE444" s="41">
        <f>IFERROR(LOOKUP(T444,打分卡!$F$9:$I$9,打分卡!$K$9:$N$9),1)</f>
        <v>1</v>
      </c>
      <c r="AF444" s="41">
        <f>IFERROR(LOOKUP(Q444,打分卡!$F$10:$J$10,打分卡!$K$10:$O$10),1)</f>
        <v>2</v>
      </c>
      <c r="AG444" s="41">
        <f>IFERROR(LOOKUP(R444,打分卡!$F$11:$J$11,打分卡!$K$11:$O$11),1)</f>
        <v>3</v>
      </c>
      <c r="AH444" s="41">
        <f>IFERROR(LOOKUP(U444,打分卡!$F$12:$J$12,打分卡!$K$12:$O$12),1)</f>
        <v>2</v>
      </c>
      <c r="AI444" s="41">
        <f>IFERROR(LOOKUP(X444,打分卡!$F$13:$J$13,打分卡!$K$13:$O$13),1)</f>
        <v>1</v>
      </c>
      <c r="AJ444" s="41">
        <f>IFERROR(LOOKUP(Y444,打分卡!$F$14:$J$14,打分卡!$K$14:$O$14),1)</f>
        <v>4</v>
      </c>
      <c r="AK444" s="41">
        <f>IFERROR(LOOKUP(W444,打分卡!$F$15:$J$15,打分卡!$K$15:$O$15),1)</f>
        <v>1</v>
      </c>
      <c r="AL444" s="43">
        <f t="shared" si="49"/>
        <v>2</v>
      </c>
      <c r="AM444" s="41">
        <f>IFERROR(LOOKUP(Z444,打分卡!$F$17:$H$17,打分卡!$K$17:$M$17),1)</f>
        <v>3</v>
      </c>
      <c r="AN444" s="44">
        <f>(打分卡!$D$7*AC444+打分卡!$D$8*AD444+打分卡!$D$9*AE444)/5</f>
        <v>16.2</v>
      </c>
      <c r="AO444" s="44">
        <f>(打分卡!$D$10*AF444+打分卡!$D$11*AG444)/5</f>
        <v>10</v>
      </c>
      <c r="AP444" s="44">
        <f>(打分卡!$D$12*AH444+打分卡!$D$13*AI444+打分卡!$D$14*AJ444+打分卡!$D$15*AK444)/5</f>
        <v>12</v>
      </c>
      <c r="AQ444" s="44">
        <f>(打分卡!$D$16*AL444+打分卡!$D$17*AM444)/5</f>
        <v>4.8</v>
      </c>
      <c r="AR444" s="47">
        <f t="shared" si="50"/>
        <v>43</v>
      </c>
      <c r="AS444" s="43" t="str">
        <f t="shared" si="51"/>
        <v>腰部</v>
      </c>
      <c r="AT444" s="43" t="str">
        <f t="shared" si="52"/>
        <v/>
      </c>
      <c r="AU444" s="43" t="str">
        <f t="shared" si="53"/>
        <v>拉·主攻：主推AI外呼+大促作战包</v>
      </c>
    </row>
    <row r="445" ht="15" customHeight="1" spans="1:47">
      <c r="A445" s="20" t="s">
        <v>1423</v>
      </c>
      <c r="B445" s="22" t="s">
        <v>1424</v>
      </c>
      <c r="C445" s="22" t="s">
        <v>218</v>
      </c>
      <c r="D445" s="22" t="s">
        <v>202</v>
      </c>
      <c r="E445" s="22" t="s">
        <v>197</v>
      </c>
      <c r="F445" s="20" t="s">
        <v>708</v>
      </c>
      <c r="G445" s="22">
        <v>5</v>
      </c>
      <c r="H445" s="22" t="s">
        <v>301</v>
      </c>
      <c r="I445" s="22" t="s">
        <v>184</v>
      </c>
      <c r="J445" s="36">
        <v>36500</v>
      </c>
      <c r="K445" s="36">
        <v>14100</v>
      </c>
      <c r="L445" s="36">
        <v>14000</v>
      </c>
      <c r="M445" s="36">
        <f t="shared" si="48"/>
        <v>64600</v>
      </c>
      <c r="N445" s="34">
        <f t="shared" si="54"/>
        <v>0.000338674534820565</v>
      </c>
      <c r="O445" s="35">
        <f>SUM($M$2:M445)</f>
        <v>175573500</v>
      </c>
      <c r="P445" s="34">
        <f t="shared" si="55"/>
        <v>0.920468629091618</v>
      </c>
      <c r="Q445" s="39">
        <v>8.6</v>
      </c>
      <c r="R445" s="22">
        <v>7</v>
      </c>
      <c r="S445" s="22">
        <v>1</v>
      </c>
      <c r="T445" s="22">
        <v>1</v>
      </c>
      <c r="U445" s="39">
        <v>10.7</v>
      </c>
      <c r="V445" s="22">
        <v>26</v>
      </c>
      <c r="W445" s="22">
        <v>1</v>
      </c>
      <c r="X445" s="40">
        <v>144</v>
      </c>
      <c r="Y445" s="22">
        <v>3</v>
      </c>
      <c r="Z445" s="22">
        <v>0</v>
      </c>
      <c r="AA445" s="22" t="s">
        <v>315</v>
      </c>
      <c r="AB445" s="22" t="s">
        <v>220</v>
      </c>
      <c r="AC445" s="42">
        <f>IFERROR(LOOKUP(M445,打分卡!$F$7:$J$7,打分卡!$K$7:$O$7),1)</f>
        <v>2</v>
      </c>
      <c r="AD445" s="42">
        <f>IFERROR(LOOKUP(S445,打分卡!$F$8:$J$8,打分卡!$K$8:$O$8),1)</f>
        <v>1</v>
      </c>
      <c r="AE445" s="42">
        <f>IFERROR(LOOKUP(T445,打分卡!$F$9:$I$9,打分卡!$K$9:$N$9),1)</f>
        <v>2</v>
      </c>
      <c r="AF445" s="42">
        <f>IFERROR(LOOKUP(Q445,打分卡!$F$10:$J$10,打分卡!$K$10:$O$10),1)</f>
        <v>2</v>
      </c>
      <c r="AG445" s="42">
        <f>IFERROR(LOOKUP(R445,打分卡!$F$11:$J$11,打分卡!$K$11:$O$11),1)</f>
        <v>3</v>
      </c>
      <c r="AH445" s="42">
        <f>IFERROR(LOOKUP(U445,打分卡!$F$12:$J$12,打分卡!$K$12:$O$12),1)</f>
        <v>3</v>
      </c>
      <c r="AI445" s="42">
        <f>IFERROR(LOOKUP(X445,打分卡!$F$13:$J$13,打分卡!$K$13:$O$13),1)</f>
        <v>4</v>
      </c>
      <c r="AJ445" s="42">
        <f>IFERROR(LOOKUP(Y445,打分卡!$F$14:$J$14,打分卡!$K$14:$O$14),1)</f>
        <v>4</v>
      </c>
      <c r="AK445" s="42">
        <f>IFERROR(LOOKUP(W445,打分卡!$F$15:$J$15,打分卡!$K$15:$O$15),1)</f>
        <v>2</v>
      </c>
      <c r="AL445" s="45">
        <f t="shared" si="49"/>
        <v>2</v>
      </c>
      <c r="AM445" s="42">
        <f>IFERROR(LOOKUP(Z445,打分卡!$F$17:$H$17,打分卡!$K$17:$M$17),1)</f>
        <v>1</v>
      </c>
      <c r="AN445" s="46">
        <f>(打分卡!$D$7*AC445+打分卡!$D$8*AD445+打分卡!$D$9*AE445)/5</f>
        <v>14.4</v>
      </c>
      <c r="AO445" s="46">
        <f>(打分卡!$D$10*AF445+打分卡!$D$11*AG445)/5</f>
        <v>10</v>
      </c>
      <c r="AP445" s="46">
        <f>(打分卡!$D$12*AH445+打分卡!$D$13*AI445+打分卡!$D$14*AJ445+打分卡!$D$15*AK445)/5</f>
        <v>20</v>
      </c>
      <c r="AQ445" s="46">
        <f>(打分卡!$D$16*AL445+打分卡!$D$17*AM445)/5</f>
        <v>3.2</v>
      </c>
      <c r="AR445" s="48">
        <f t="shared" si="50"/>
        <v>47.6</v>
      </c>
      <c r="AS445" s="45" t="str">
        <f t="shared" si="51"/>
        <v>腰部</v>
      </c>
      <c r="AT445" s="45" t="str">
        <f t="shared" si="52"/>
        <v/>
      </c>
      <c r="AU445" s="45" t="str">
        <f t="shared" si="53"/>
        <v>拉·主攻：主推AI外呼+大促作战包</v>
      </c>
    </row>
    <row r="446" ht="15" customHeight="1" spans="1:47">
      <c r="A446" s="30" t="s">
        <v>1425</v>
      </c>
      <c r="B446" s="31" t="s">
        <v>1426</v>
      </c>
      <c r="C446" s="31" t="s">
        <v>195</v>
      </c>
      <c r="D446" s="31" t="s">
        <v>180</v>
      </c>
      <c r="E446" s="31" t="s">
        <v>181</v>
      </c>
      <c r="F446" s="30" t="s">
        <v>1427</v>
      </c>
      <c r="G446" s="31">
        <v>23</v>
      </c>
      <c r="H446" s="31" t="s">
        <v>301</v>
      </c>
      <c r="I446" s="31" t="s">
        <v>302</v>
      </c>
      <c r="J446" s="33">
        <v>36100</v>
      </c>
      <c r="K446" s="33">
        <v>19500</v>
      </c>
      <c r="L446" s="33">
        <v>8600</v>
      </c>
      <c r="M446" s="33">
        <f t="shared" si="48"/>
        <v>64200</v>
      </c>
      <c r="N446" s="34">
        <f t="shared" si="54"/>
        <v>0.000336577478877404</v>
      </c>
      <c r="O446" s="35">
        <f>SUM($M$2:M446)</f>
        <v>175637700</v>
      </c>
      <c r="P446" s="34">
        <f t="shared" si="55"/>
        <v>0.920805206570496</v>
      </c>
      <c r="Q446" s="37">
        <v>4.3</v>
      </c>
      <c r="R446" s="31">
        <v>3</v>
      </c>
      <c r="S446" s="31">
        <v>3</v>
      </c>
      <c r="T446" s="31">
        <v>1</v>
      </c>
      <c r="U446" s="37">
        <v>4.7</v>
      </c>
      <c r="V446" s="31">
        <v>6</v>
      </c>
      <c r="W446" s="31">
        <v>2</v>
      </c>
      <c r="X446" s="38">
        <v>17</v>
      </c>
      <c r="Y446" s="31">
        <v>3</v>
      </c>
      <c r="Z446" s="31">
        <v>1</v>
      </c>
      <c r="AA446" s="31" t="s">
        <v>199</v>
      </c>
      <c r="AB446" s="31" t="s">
        <v>220</v>
      </c>
      <c r="AC446" s="41">
        <f>IFERROR(LOOKUP(M446,打分卡!$F$7:$J$7,打分卡!$K$7:$O$7),1)</f>
        <v>2</v>
      </c>
      <c r="AD446" s="41">
        <f>IFERROR(LOOKUP(S446,打分卡!$F$8:$J$8,打分卡!$K$8:$O$8),1)</f>
        <v>3</v>
      </c>
      <c r="AE446" s="41">
        <f>IFERROR(LOOKUP(T446,打分卡!$F$9:$I$9,打分卡!$K$9:$N$9),1)</f>
        <v>2</v>
      </c>
      <c r="AF446" s="41">
        <f>IFERROR(LOOKUP(Q446,打分卡!$F$10:$J$10,打分卡!$K$10:$O$10),1)</f>
        <v>2</v>
      </c>
      <c r="AG446" s="41">
        <f>IFERROR(LOOKUP(R446,打分卡!$F$11:$J$11,打分卡!$K$11:$O$11),1)</f>
        <v>2</v>
      </c>
      <c r="AH446" s="41">
        <f>IFERROR(LOOKUP(U446,打分卡!$F$12:$J$12,打分卡!$K$12:$O$12),1)</f>
        <v>2</v>
      </c>
      <c r="AI446" s="41">
        <f>IFERROR(LOOKUP(X446,打分卡!$F$13:$J$13,打分卡!$K$13:$O$13),1)</f>
        <v>1</v>
      </c>
      <c r="AJ446" s="41">
        <f>IFERROR(LOOKUP(Y446,打分卡!$F$14:$J$14,打分卡!$K$14:$O$14),1)</f>
        <v>4</v>
      </c>
      <c r="AK446" s="41">
        <f>IFERROR(LOOKUP(W446,打分卡!$F$15:$J$15,打分卡!$K$15:$O$15),1)</f>
        <v>2</v>
      </c>
      <c r="AL446" s="43">
        <f t="shared" si="49"/>
        <v>5</v>
      </c>
      <c r="AM446" s="41">
        <f>IFERROR(LOOKUP(Z446,打分卡!$F$17:$H$17,打分卡!$K$17:$M$17),1)</f>
        <v>3</v>
      </c>
      <c r="AN446" s="44">
        <f>(打分卡!$D$7*AC446+打分卡!$D$8*AD446+打分卡!$D$9*AE446)/5</f>
        <v>17.6</v>
      </c>
      <c r="AO446" s="44">
        <f>(打分卡!$D$10*AF446+打分卡!$D$11*AG446)/5</f>
        <v>8</v>
      </c>
      <c r="AP446" s="44">
        <f>(打分卡!$D$12*AH446+打分卡!$D$13*AI446+打分卡!$D$14*AJ446+打分卡!$D$15*AK446)/5</f>
        <v>12.8</v>
      </c>
      <c r="AQ446" s="44">
        <f>(打分卡!$D$16*AL446+打分卡!$D$17*AM446)/5</f>
        <v>8.4</v>
      </c>
      <c r="AR446" s="47">
        <f t="shared" si="50"/>
        <v>46.8</v>
      </c>
      <c r="AS446" s="43" t="str">
        <f t="shared" si="51"/>
        <v>腰部</v>
      </c>
      <c r="AT446" s="43" t="str">
        <f t="shared" si="52"/>
        <v/>
      </c>
      <c r="AU446" s="43" t="str">
        <f t="shared" si="53"/>
        <v>拉·主攻：主推AI外呼+大促作战包</v>
      </c>
    </row>
    <row r="447" ht="15" customHeight="1" spans="1:47">
      <c r="A447" s="20" t="s">
        <v>1428</v>
      </c>
      <c r="B447" s="22" t="s">
        <v>1429</v>
      </c>
      <c r="C447" s="22" t="s">
        <v>179</v>
      </c>
      <c r="D447" s="22" t="s">
        <v>202</v>
      </c>
      <c r="E447" s="22" t="s">
        <v>197</v>
      </c>
      <c r="F447" s="20" t="s">
        <v>1430</v>
      </c>
      <c r="G447" s="22">
        <v>2</v>
      </c>
      <c r="H447" s="22" t="s">
        <v>642</v>
      </c>
      <c r="I447" s="22" t="s">
        <v>302</v>
      </c>
      <c r="J447" s="36">
        <v>33300</v>
      </c>
      <c r="K447" s="36">
        <v>21100</v>
      </c>
      <c r="L447" s="36">
        <v>9800</v>
      </c>
      <c r="M447" s="36">
        <f t="shared" si="48"/>
        <v>64200</v>
      </c>
      <c r="N447" s="34">
        <f t="shared" si="54"/>
        <v>0.000336577478877404</v>
      </c>
      <c r="O447" s="35">
        <f>SUM($M$2:M447)</f>
        <v>175701900</v>
      </c>
      <c r="P447" s="34">
        <f t="shared" si="55"/>
        <v>0.921141784049373</v>
      </c>
      <c r="Q447" s="39">
        <v>9.8</v>
      </c>
      <c r="R447" s="22">
        <v>1</v>
      </c>
      <c r="S447" s="22">
        <v>1</v>
      </c>
      <c r="T447" s="22">
        <v>0</v>
      </c>
      <c r="U447" s="39">
        <v>220</v>
      </c>
      <c r="V447" s="22">
        <v>25</v>
      </c>
      <c r="W447" s="22">
        <v>17</v>
      </c>
      <c r="X447" s="40">
        <v>1031</v>
      </c>
      <c r="Y447" s="22">
        <v>2</v>
      </c>
      <c r="Z447" s="22">
        <v>0</v>
      </c>
      <c r="AA447" s="22" t="s">
        <v>199</v>
      </c>
      <c r="AB447" s="22" t="s">
        <v>220</v>
      </c>
      <c r="AC447" s="42">
        <f>IFERROR(LOOKUP(M447,打分卡!$F$7:$J$7,打分卡!$K$7:$O$7),1)</f>
        <v>2</v>
      </c>
      <c r="AD447" s="42">
        <f>IFERROR(LOOKUP(S447,打分卡!$F$8:$J$8,打分卡!$K$8:$O$8),1)</f>
        <v>1</v>
      </c>
      <c r="AE447" s="42">
        <f>IFERROR(LOOKUP(T447,打分卡!$F$9:$I$9,打分卡!$K$9:$N$9),1)</f>
        <v>1</v>
      </c>
      <c r="AF447" s="42">
        <f>IFERROR(LOOKUP(Q447,打分卡!$F$10:$J$10,打分卡!$K$10:$O$10),1)</f>
        <v>3</v>
      </c>
      <c r="AG447" s="42">
        <f>IFERROR(LOOKUP(R447,打分卡!$F$11:$J$11,打分卡!$K$11:$O$11),1)</f>
        <v>1</v>
      </c>
      <c r="AH447" s="42">
        <f>IFERROR(LOOKUP(U447,打分卡!$F$12:$J$12,打分卡!$K$12:$O$12),1)</f>
        <v>5</v>
      </c>
      <c r="AI447" s="42">
        <f>IFERROR(LOOKUP(X447,打分卡!$F$13:$J$13,打分卡!$K$13:$O$13),1)</f>
        <v>5</v>
      </c>
      <c r="AJ447" s="42">
        <f>IFERROR(LOOKUP(Y447,打分卡!$F$14:$J$14,打分卡!$K$14:$O$14),1)</f>
        <v>3</v>
      </c>
      <c r="AK447" s="42">
        <f>IFERROR(LOOKUP(W447,打分卡!$F$15:$J$15,打分卡!$K$15:$O$15),1)</f>
        <v>5</v>
      </c>
      <c r="AL447" s="45">
        <f t="shared" si="49"/>
        <v>5</v>
      </c>
      <c r="AM447" s="42">
        <f>IFERROR(LOOKUP(Z447,打分卡!$F$17:$H$17,打分卡!$K$17:$M$17),1)</f>
        <v>1</v>
      </c>
      <c r="AN447" s="46">
        <f>(打分卡!$D$7*AC447+打分卡!$D$8*AD447+打分卡!$D$9*AE447)/5</f>
        <v>13</v>
      </c>
      <c r="AO447" s="46">
        <f>(打分卡!$D$10*AF447+打分卡!$D$11*AG447)/5</f>
        <v>8</v>
      </c>
      <c r="AP447" s="46">
        <f>(打分卡!$D$12*AH447+打分卡!$D$13*AI447+打分卡!$D$14*AJ447+打分卡!$D$15*AK447)/5</f>
        <v>27.6</v>
      </c>
      <c r="AQ447" s="46">
        <f>(打分卡!$D$16*AL447+打分卡!$D$17*AM447)/5</f>
        <v>6.8</v>
      </c>
      <c r="AR447" s="48">
        <f t="shared" si="50"/>
        <v>79.2</v>
      </c>
      <c r="AS447" s="45" t="str">
        <f t="shared" si="51"/>
        <v>KA</v>
      </c>
      <c r="AT447" s="45" t="str">
        <f t="shared" si="52"/>
        <v/>
      </c>
      <c r="AU447" s="45" t="str">
        <f t="shared" si="53"/>
        <v>扩·深化：AI外呼场景深化+Push/企微补全</v>
      </c>
    </row>
    <row r="448" ht="15" customHeight="1" spans="1:47">
      <c r="A448" s="30" t="s">
        <v>1431</v>
      </c>
      <c r="B448" s="31" t="s">
        <v>1432</v>
      </c>
      <c r="C448" s="31" t="s">
        <v>209</v>
      </c>
      <c r="D448" s="31" t="s">
        <v>190</v>
      </c>
      <c r="E448" s="31" t="s">
        <v>181</v>
      </c>
      <c r="F448" s="30" t="s">
        <v>1175</v>
      </c>
      <c r="G448" s="31">
        <v>15</v>
      </c>
      <c r="H448" s="31" t="s">
        <v>301</v>
      </c>
      <c r="I448" s="31" t="s">
        <v>302</v>
      </c>
      <c r="J448" s="33">
        <v>38000</v>
      </c>
      <c r="K448" s="33">
        <v>22800</v>
      </c>
      <c r="L448" s="33">
        <v>3200</v>
      </c>
      <c r="M448" s="33">
        <f t="shared" si="48"/>
        <v>64000</v>
      </c>
      <c r="N448" s="34">
        <f t="shared" si="54"/>
        <v>0.000335528950905823</v>
      </c>
      <c r="O448" s="35">
        <f>SUM($M$2:M448)</f>
        <v>175765900</v>
      </c>
      <c r="P448" s="34">
        <f t="shared" si="55"/>
        <v>0.921477313000279</v>
      </c>
      <c r="Q448" s="37">
        <v>4.1</v>
      </c>
      <c r="R448" s="31">
        <v>3</v>
      </c>
      <c r="S448" s="31">
        <v>3</v>
      </c>
      <c r="T448" s="31">
        <v>0</v>
      </c>
      <c r="U448" s="37">
        <v>1.4</v>
      </c>
      <c r="V448" s="31">
        <v>13</v>
      </c>
      <c r="W448" s="31">
        <v>3</v>
      </c>
      <c r="X448" s="38">
        <v>96</v>
      </c>
      <c r="Y448" s="31">
        <v>3</v>
      </c>
      <c r="Z448" s="31">
        <v>0</v>
      </c>
      <c r="AA448" s="31" t="s">
        <v>315</v>
      </c>
      <c r="AB448" s="31" t="s">
        <v>220</v>
      </c>
      <c r="AC448" s="41">
        <f>IFERROR(LOOKUP(M448,打分卡!$F$7:$J$7,打分卡!$K$7:$O$7),1)</f>
        <v>2</v>
      </c>
      <c r="AD448" s="41">
        <f>IFERROR(LOOKUP(S448,打分卡!$F$8:$J$8,打分卡!$K$8:$O$8),1)</f>
        <v>3</v>
      </c>
      <c r="AE448" s="41">
        <f>IFERROR(LOOKUP(T448,打分卡!$F$9:$I$9,打分卡!$K$9:$N$9),1)</f>
        <v>1</v>
      </c>
      <c r="AF448" s="41">
        <f>IFERROR(LOOKUP(Q448,打分卡!$F$10:$J$10,打分卡!$K$10:$O$10),1)</f>
        <v>2</v>
      </c>
      <c r="AG448" s="41">
        <f>IFERROR(LOOKUP(R448,打分卡!$F$11:$J$11,打分卡!$K$11:$O$11),1)</f>
        <v>2</v>
      </c>
      <c r="AH448" s="41">
        <f>IFERROR(LOOKUP(U448,打分卡!$F$12:$J$12,打分卡!$K$12:$O$12),1)</f>
        <v>1</v>
      </c>
      <c r="AI448" s="41">
        <f>IFERROR(LOOKUP(X448,打分卡!$F$13:$J$13,打分卡!$K$13:$O$13),1)</f>
        <v>4</v>
      </c>
      <c r="AJ448" s="41">
        <f>IFERROR(LOOKUP(Y448,打分卡!$F$14:$J$14,打分卡!$K$14:$O$14),1)</f>
        <v>4</v>
      </c>
      <c r="AK448" s="41">
        <f>IFERROR(LOOKUP(W448,打分卡!$F$15:$J$15,打分卡!$K$15:$O$15),1)</f>
        <v>3</v>
      </c>
      <c r="AL448" s="43">
        <f t="shared" si="49"/>
        <v>2</v>
      </c>
      <c r="AM448" s="41">
        <f>IFERROR(LOOKUP(Z448,打分卡!$F$17:$H$17,打分卡!$K$17:$M$17),1)</f>
        <v>1</v>
      </c>
      <c r="AN448" s="44">
        <f>(打分卡!$D$7*AC448+打分卡!$D$8*AD448+打分卡!$D$9*AE448)/5</f>
        <v>16.2</v>
      </c>
      <c r="AO448" s="44">
        <f>(打分卡!$D$10*AF448+打分卡!$D$11*AG448)/5</f>
        <v>8</v>
      </c>
      <c r="AP448" s="44">
        <f>(打分卡!$D$12*AH448+打分卡!$D$13*AI448+打分卡!$D$14*AJ448+打分卡!$D$15*AK448)/5</f>
        <v>16</v>
      </c>
      <c r="AQ448" s="44">
        <f>(打分卡!$D$16*AL448+打分卡!$D$17*AM448)/5</f>
        <v>3.2</v>
      </c>
      <c r="AR448" s="47">
        <f t="shared" si="50"/>
        <v>43.4</v>
      </c>
      <c r="AS448" s="43" t="str">
        <f t="shared" si="51"/>
        <v>腰部</v>
      </c>
      <c r="AT448" s="43" t="str">
        <f t="shared" si="52"/>
        <v/>
      </c>
      <c r="AU448" s="43" t="str">
        <f t="shared" si="53"/>
        <v>拉·主攻：主推AI外呼+大促作战包</v>
      </c>
    </row>
    <row r="449" ht="15" customHeight="1" spans="1:47">
      <c r="A449" s="20" t="s">
        <v>1433</v>
      </c>
      <c r="B449" s="22" t="s">
        <v>1434</v>
      </c>
      <c r="C449" s="22" t="s">
        <v>239</v>
      </c>
      <c r="D449" s="22" t="s">
        <v>190</v>
      </c>
      <c r="E449" s="22" t="s">
        <v>181</v>
      </c>
      <c r="F449" s="20" t="s">
        <v>708</v>
      </c>
      <c r="G449" s="22">
        <v>5</v>
      </c>
      <c r="H449" s="22" t="s">
        <v>301</v>
      </c>
      <c r="I449" s="22" t="s">
        <v>302</v>
      </c>
      <c r="J449" s="36">
        <v>41300</v>
      </c>
      <c r="K449" s="36">
        <v>13400</v>
      </c>
      <c r="L449" s="36">
        <v>8900</v>
      </c>
      <c r="M449" s="36">
        <f t="shared" si="48"/>
        <v>63600</v>
      </c>
      <c r="N449" s="34">
        <f t="shared" si="54"/>
        <v>0.000333431894962662</v>
      </c>
      <c r="O449" s="35">
        <f>SUM($M$2:M449)</f>
        <v>175829500</v>
      </c>
      <c r="P449" s="34">
        <f t="shared" si="55"/>
        <v>0.921810744895242</v>
      </c>
      <c r="Q449" s="39">
        <v>4.2</v>
      </c>
      <c r="R449" s="22">
        <v>9</v>
      </c>
      <c r="S449" s="22">
        <v>3</v>
      </c>
      <c r="T449" s="22">
        <v>0</v>
      </c>
      <c r="U449" s="39">
        <v>8.2</v>
      </c>
      <c r="V449" s="22">
        <v>7</v>
      </c>
      <c r="W449" s="22">
        <v>0</v>
      </c>
      <c r="X449" s="40">
        <v>20</v>
      </c>
      <c r="Y449" s="22">
        <v>0</v>
      </c>
      <c r="Z449" s="22">
        <v>0</v>
      </c>
      <c r="AA449" s="22" t="s">
        <v>185</v>
      </c>
      <c r="AB449" s="22" t="s">
        <v>220</v>
      </c>
      <c r="AC449" s="42">
        <f>IFERROR(LOOKUP(M449,打分卡!$F$7:$J$7,打分卡!$K$7:$O$7),1)</f>
        <v>2</v>
      </c>
      <c r="AD449" s="42">
        <f>IFERROR(LOOKUP(S449,打分卡!$F$8:$J$8,打分卡!$K$8:$O$8),1)</f>
        <v>3</v>
      </c>
      <c r="AE449" s="42">
        <f>IFERROR(LOOKUP(T449,打分卡!$F$9:$I$9,打分卡!$K$9:$N$9),1)</f>
        <v>1</v>
      </c>
      <c r="AF449" s="42">
        <f>IFERROR(LOOKUP(Q449,打分卡!$F$10:$J$10,打分卡!$K$10:$O$10),1)</f>
        <v>2</v>
      </c>
      <c r="AG449" s="42">
        <f>IFERROR(LOOKUP(R449,打分卡!$F$11:$J$11,打分卡!$K$11:$O$11),1)</f>
        <v>4</v>
      </c>
      <c r="AH449" s="42">
        <f>IFERROR(LOOKUP(U449,打分卡!$F$12:$J$12,打分卡!$K$12:$O$12),1)</f>
        <v>2</v>
      </c>
      <c r="AI449" s="42">
        <f>IFERROR(LOOKUP(X449,打分卡!$F$13:$J$13,打分卡!$K$13:$O$13),1)</f>
        <v>2</v>
      </c>
      <c r="AJ449" s="42">
        <f>IFERROR(LOOKUP(Y449,打分卡!$F$14:$J$14,打分卡!$K$14:$O$14),1)</f>
        <v>1</v>
      </c>
      <c r="AK449" s="42">
        <f>IFERROR(LOOKUP(W449,打分卡!$F$15:$J$15,打分卡!$K$15:$O$15),1)</f>
        <v>1</v>
      </c>
      <c r="AL449" s="45">
        <f t="shared" si="49"/>
        <v>3</v>
      </c>
      <c r="AM449" s="42">
        <f>IFERROR(LOOKUP(Z449,打分卡!$F$17:$H$17,打分卡!$K$17:$M$17),1)</f>
        <v>1</v>
      </c>
      <c r="AN449" s="46">
        <f>(打分卡!$D$7*AC449+打分卡!$D$8*AD449+打分卡!$D$9*AE449)/5</f>
        <v>16.2</v>
      </c>
      <c r="AO449" s="46">
        <f>(打分卡!$D$10*AF449+打分卡!$D$11*AG449)/5</f>
        <v>12</v>
      </c>
      <c r="AP449" s="46">
        <f>(打分卡!$D$12*AH449+打分卡!$D$13*AI449+打分卡!$D$14*AJ449+打分卡!$D$15*AK449)/5</f>
        <v>10</v>
      </c>
      <c r="AQ449" s="46">
        <f>(打分卡!$D$16*AL449+打分卡!$D$17*AM449)/5</f>
        <v>4.4</v>
      </c>
      <c r="AR449" s="48">
        <f t="shared" si="50"/>
        <v>42.6</v>
      </c>
      <c r="AS449" s="45" t="str">
        <f t="shared" si="51"/>
        <v>腰部</v>
      </c>
      <c r="AT449" s="45" t="str">
        <f t="shared" si="52"/>
        <v/>
      </c>
      <c r="AU449" s="45" t="str">
        <f t="shared" si="53"/>
        <v>拉·主攻：主推AI外呼+大促作战包</v>
      </c>
    </row>
    <row r="450" ht="15" customHeight="1" spans="1:47">
      <c r="A450" s="30" t="s">
        <v>1435</v>
      </c>
      <c r="B450" s="31" t="s">
        <v>1436</v>
      </c>
      <c r="C450" s="31" t="s">
        <v>239</v>
      </c>
      <c r="D450" s="31" t="s">
        <v>196</v>
      </c>
      <c r="E450" s="31" t="s">
        <v>181</v>
      </c>
      <c r="F450" s="30" t="s">
        <v>1437</v>
      </c>
      <c r="G450" s="31">
        <v>24</v>
      </c>
      <c r="H450" s="31" t="s">
        <v>301</v>
      </c>
      <c r="I450" s="31" t="s">
        <v>302</v>
      </c>
      <c r="J450" s="33">
        <v>38800</v>
      </c>
      <c r="K450" s="33">
        <v>20200</v>
      </c>
      <c r="L450" s="33">
        <v>4400</v>
      </c>
      <c r="M450" s="33">
        <f t="shared" ref="M450:M513" si="56">SUM(J450:L450)</f>
        <v>63400</v>
      </c>
      <c r="N450" s="34">
        <f t="shared" si="54"/>
        <v>0.000332383366991081</v>
      </c>
      <c r="O450" s="35">
        <f>SUM($M$2:M450)</f>
        <v>175892900</v>
      </c>
      <c r="P450" s="34">
        <f t="shared" si="55"/>
        <v>0.922143128262233</v>
      </c>
      <c r="Q450" s="37">
        <v>7.6</v>
      </c>
      <c r="R450" s="31">
        <v>4</v>
      </c>
      <c r="S450" s="31">
        <v>1</v>
      </c>
      <c r="T450" s="31">
        <v>2</v>
      </c>
      <c r="U450" s="37">
        <v>2.1</v>
      </c>
      <c r="V450" s="31">
        <v>19</v>
      </c>
      <c r="W450" s="31">
        <v>3</v>
      </c>
      <c r="X450" s="38">
        <v>16</v>
      </c>
      <c r="Y450" s="31">
        <v>1</v>
      </c>
      <c r="Z450" s="31">
        <v>0</v>
      </c>
      <c r="AA450" s="31" t="s">
        <v>185</v>
      </c>
      <c r="AB450" s="31" t="s">
        <v>220</v>
      </c>
      <c r="AC450" s="41">
        <f>IFERROR(LOOKUP(M450,打分卡!$F$7:$J$7,打分卡!$K$7:$O$7),1)</f>
        <v>2</v>
      </c>
      <c r="AD450" s="41">
        <f>IFERROR(LOOKUP(S450,打分卡!$F$8:$J$8,打分卡!$K$8:$O$8),1)</f>
        <v>1</v>
      </c>
      <c r="AE450" s="41">
        <f>IFERROR(LOOKUP(T450,打分卡!$F$9:$I$9,打分卡!$K$9:$N$9),1)</f>
        <v>3</v>
      </c>
      <c r="AF450" s="41">
        <f>IFERROR(LOOKUP(Q450,打分卡!$F$10:$J$10,打分卡!$K$10:$O$10),1)</f>
        <v>2</v>
      </c>
      <c r="AG450" s="41">
        <f>IFERROR(LOOKUP(R450,打分卡!$F$11:$J$11,打分卡!$K$11:$O$11),1)</f>
        <v>2</v>
      </c>
      <c r="AH450" s="41">
        <f>IFERROR(LOOKUP(U450,打分卡!$F$12:$J$12,打分卡!$K$12:$O$12),1)</f>
        <v>1</v>
      </c>
      <c r="AI450" s="41">
        <f>IFERROR(LOOKUP(X450,打分卡!$F$13:$J$13,打分卡!$K$13:$O$13),1)</f>
        <v>1</v>
      </c>
      <c r="AJ450" s="41">
        <f>IFERROR(LOOKUP(Y450,打分卡!$F$14:$J$14,打分卡!$K$14:$O$14),1)</f>
        <v>2</v>
      </c>
      <c r="AK450" s="41">
        <f>IFERROR(LOOKUP(W450,打分卡!$F$15:$J$15,打分卡!$K$15:$O$15),1)</f>
        <v>3</v>
      </c>
      <c r="AL450" s="43">
        <f t="shared" ref="AL450:AL513" si="57">IF(AA450="连续下降",1,IF(AA450="下降",2,IF(AA450="上升",5,3)))</f>
        <v>3</v>
      </c>
      <c r="AM450" s="41">
        <f>IFERROR(LOOKUP(Z450,打分卡!$F$17:$H$17,打分卡!$K$17:$M$17),1)</f>
        <v>1</v>
      </c>
      <c r="AN450" s="44">
        <f>(打分卡!$D$7*AC450+打分卡!$D$8*AD450+打分卡!$D$9*AE450)/5</f>
        <v>15.8</v>
      </c>
      <c r="AO450" s="44">
        <f>(打分卡!$D$10*AF450+打分卡!$D$11*AG450)/5</f>
        <v>8</v>
      </c>
      <c r="AP450" s="44">
        <f>(打分卡!$D$12*AH450+打分卡!$D$13*AI450+打分卡!$D$14*AJ450+打分卡!$D$15*AK450)/5</f>
        <v>8.8</v>
      </c>
      <c r="AQ450" s="44">
        <f>(打分卡!$D$16*AL450+打分卡!$D$17*AM450)/5</f>
        <v>4.4</v>
      </c>
      <c r="AR450" s="47">
        <f t="shared" ref="AR450:AR513" si="58">IF(G450&lt;3,AP450/30*40+AO450+AP450+AQ450,AN450+AO450+AP450+AQ450)</f>
        <v>37</v>
      </c>
      <c r="AS450" s="43" t="str">
        <f t="shared" ref="AS450:AS513" si="59">IF(M450=0,IF(G450&lt;3,"新客观察期","未激活"),IF(AR450&gt;=90,"SKA",IF(AR450&gt;=75,"KA",IF(AR450&gt;=40,"腰部","基础长尾"))))</f>
        <v>基础长尾</v>
      </c>
      <c r="AT450" s="43" t="str">
        <f t="shared" ref="AT450:AT513" si="60">IF(AA450="连续下降","连续下降-预警","")</f>
        <v/>
      </c>
      <c r="AU450" s="43" t="str">
        <f t="shared" ref="AU450:AU513" si="61">IF(AS450="SKA","守·共创：卡片短信/AI外呼新场景POC",IF(AS450="KA","扩·深化：AI外呼场景深化+Push/企微补全",IF(AS450="腰部","拉·主攻：主推AI外呼+大促作战包",IF(AS450="新客观察期","培育：入门包+1v1场景教育",IF(AS450="基础长尾","激活：企微+Push低成本先跑","唤醒：短信模板+首充补贴")))))</f>
        <v>激活：企微+Push低成本先跑</v>
      </c>
    </row>
    <row r="451" ht="15" customHeight="1" spans="1:47">
      <c r="A451" s="20" t="s">
        <v>1438</v>
      </c>
      <c r="B451" s="22" t="s">
        <v>1439</v>
      </c>
      <c r="C451" s="22" t="s">
        <v>179</v>
      </c>
      <c r="D451" s="22" t="s">
        <v>202</v>
      </c>
      <c r="E451" s="22" t="s">
        <v>181</v>
      </c>
      <c r="F451" s="20" t="s">
        <v>1440</v>
      </c>
      <c r="G451" s="22">
        <v>5</v>
      </c>
      <c r="H451" s="22" t="s">
        <v>301</v>
      </c>
      <c r="I451" s="22" t="s">
        <v>302</v>
      </c>
      <c r="J451" s="36">
        <v>36000</v>
      </c>
      <c r="K451" s="36">
        <v>17200</v>
      </c>
      <c r="L451" s="36">
        <v>9300</v>
      </c>
      <c r="M451" s="36">
        <f t="shared" si="56"/>
        <v>62500</v>
      </c>
      <c r="N451" s="34">
        <f t="shared" ref="N451:N514" si="62">M451/$M$2002</f>
        <v>0.000327664991118968</v>
      </c>
      <c r="O451" s="35">
        <f>SUM($M$2:M451)</f>
        <v>175955400</v>
      </c>
      <c r="P451" s="34">
        <f t="shared" ref="P451:P514" si="63">O451/$M$2002</f>
        <v>0.922470793253352</v>
      </c>
      <c r="Q451" s="39">
        <v>5.5</v>
      </c>
      <c r="R451" s="22">
        <v>10</v>
      </c>
      <c r="S451" s="22">
        <v>2</v>
      </c>
      <c r="T451" s="22">
        <v>1</v>
      </c>
      <c r="U451" s="39">
        <v>2.1</v>
      </c>
      <c r="V451" s="22">
        <v>30</v>
      </c>
      <c r="W451" s="22">
        <v>2</v>
      </c>
      <c r="X451" s="40">
        <v>35</v>
      </c>
      <c r="Y451" s="22">
        <v>2</v>
      </c>
      <c r="Z451" s="22">
        <v>1</v>
      </c>
      <c r="AA451" s="22" t="s">
        <v>199</v>
      </c>
      <c r="AB451" s="22" t="s">
        <v>220</v>
      </c>
      <c r="AC451" s="42">
        <f>IFERROR(LOOKUP(M451,打分卡!$F$7:$J$7,打分卡!$K$7:$O$7),1)</f>
        <v>2</v>
      </c>
      <c r="AD451" s="42">
        <f>IFERROR(LOOKUP(S451,打分卡!$F$8:$J$8,打分卡!$K$8:$O$8),1)</f>
        <v>2</v>
      </c>
      <c r="AE451" s="42">
        <f>IFERROR(LOOKUP(T451,打分卡!$F$9:$I$9,打分卡!$K$9:$N$9),1)</f>
        <v>2</v>
      </c>
      <c r="AF451" s="42">
        <f>IFERROR(LOOKUP(Q451,打分卡!$F$10:$J$10,打分卡!$K$10:$O$10),1)</f>
        <v>2</v>
      </c>
      <c r="AG451" s="42">
        <f>IFERROR(LOOKUP(R451,打分卡!$F$11:$J$11,打分卡!$K$11:$O$11),1)</f>
        <v>4</v>
      </c>
      <c r="AH451" s="42">
        <f>IFERROR(LOOKUP(U451,打分卡!$F$12:$J$12,打分卡!$K$12:$O$12),1)</f>
        <v>1</v>
      </c>
      <c r="AI451" s="42">
        <f>IFERROR(LOOKUP(X451,打分卡!$F$13:$J$13,打分卡!$K$13:$O$13),1)</f>
        <v>2</v>
      </c>
      <c r="AJ451" s="42">
        <f>IFERROR(LOOKUP(Y451,打分卡!$F$14:$J$14,打分卡!$K$14:$O$14),1)</f>
        <v>3</v>
      </c>
      <c r="AK451" s="42">
        <f>IFERROR(LOOKUP(W451,打分卡!$F$15:$J$15,打分卡!$K$15:$O$15),1)</f>
        <v>2</v>
      </c>
      <c r="AL451" s="45">
        <f t="shared" si="57"/>
        <v>5</v>
      </c>
      <c r="AM451" s="42">
        <f>IFERROR(LOOKUP(Z451,打分卡!$F$17:$H$17,打分卡!$K$17:$M$17),1)</f>
        <v>3</v>
      </c>
      <c r="AN451" s="46">
        <f>(打分卡!$D$7*AC451+打分卡!$D$8*AD451+打分卡!$D$9*AE451)/5</f>
        <v>16</v>
      </c>
      <c r="AO451" s="46">
        <f>(打分卡!$D$10*AF451+打分卡!$D$11*AG451)/5</f>
        <v>12</v>
      </c>
      <c r="AP451" s="46">
        <f>(打分卡!$D$12*AH451+打分卡!$D$13*AI451+打分卡!$D$14*AJ451+打分卡!$D$15*AK451)/5</f>
        <v>10.8</v>
      </c>
      <c r="AQ451" s="46">
        <f>(打分卡!$D$16*AL451+打分卡!$D$17*AM451)/5</f>
        <v>8.4</v>
      </c>
      <c r="AR451" s="48">
        <f t="shared" si="58"/>
        <v>47.2</v>
      </c>
      <c r="AS451" s="45" t="str">
        <f t="shared" si="59"/>
        <v>腰部</v>
      </c>
      <c r="AT451" s="45" t="str">
        <f t="shared" si="60"/>
        <v/>
      </c>
      <c r="AU451" s="45" t="str">
        <f t="shared" si="61"/>
        <v>拉·主攻：主推AI外呼+大促作战包</v>
      </c>
    </row>
    <row r="452" ht="15" customHeight="1" spans="1:47">
      <c r="A452" s="30" t="s">
        <v>1441</v>
      </c>
      <c r="B452" s="31" t="s">
        <v>1442</v>
      </c>
      <c r="C452" s="31" t="s">
        <v>239</v>
      </c>
      <c r="D452" s="31" t="s">
        <v>235</v>
      </c>
      <c r="E452" s="31" t="s">
        <v>181</v>
      </c>
      <c r="F452" s="30" t="s">
        <v>911</v>
      </c>
      <c r="G452" s="31">
        <v>6</v>
      </c>
      <c r="H452" s="31" t="s">
        <v>183</v>
      </c>
      <c r="I452" s="31" t="s">
        <v>184</v>
      </c>
      <c r="J452" s="33">
        <v>38100</v>
      </c>
      <c r="K452" s="33">
        <v>19100</v>
      </c>
      <c r="L452" s="33">
        <v>5100</v>
      </c>
      <c r="M452" s="33">
        <f t="shared" si="56"/>
        <v>62300</v>
      </c>
      <c r="N452" s="34">
        <f t="shared" si="62"/>
        <v>0.000326616463147387</v>
      </c>
      <c r="O452" s="35">
        <f>SUM($M$2:M452)</f>
        <v>176017700</v>
      </c>
      <c r="P452" s="34">
        <f t="shared" si="63"/>
        <v>0.922797409716499</v>
      </c>
      <c r="Q452" s="37">
        <v>5.1</v>
      </c>
      <c r="R452" s="31">
        <v>6</v>
      </c>
      <c r="S452" s="31">
        <v>1</v>
      </c>
      <c r="T452" s="31">
        <v>0</v>
      </c>
      <c r="U452" s="37">
        <v>68.7</v>
      </c>
      <c r="V452" s="31">
        <v>5</v>
      </c>
      <c r="W452" s="31">
        <v>2</v>
      </c>
      <c r="X452" s="38">
        <v>31</v>
      </c>
      <c r="Y452" s="31">
        <v>2</v>
      </c>
      <c r="Z452" s="31">
        <v>0</v>
      </c>
      <c r="AA452" s="31" t="s">
        <v>199</v>
      </c>
      <c r="AB452" s="31" t="s">
        <v>220</v>
      </c>
      <c r="AC452" s="41">
        <f>IFERROR(LOOKUP(M452,打分卡!$F$7:$J$7,打分卡!$K$7:$O$7),1)</f>
        <v>2</v>
      </c>
      <c r="AD452" s="41">
        <f>IFERROR(LOOKUP(S452,打分卡!$F$8:$J$8,打分卡!$K$8:$O$8),1)</f>
        <v>1</v>
      </c>
      <c r="AE452" s="41">
        <f>IFERROR(LOOKUP(T452,打分卡!$F$9:$I$9,打分卡!$K$9:$N$9),1)</f>
        <v>1</v>
      </c>
      <c r="AF452" s="41">
        <f>IFERROR(LOOKUP(Q452,打分卡!$F$10:$J$10,打分卡!$K$10:$O$10),1)</f>
        <v>2</v>
      </c>
      <c r="AG452" s="41">
        <f>IFERROR(LOOKUP(R452,打分卡!$F$11:$J$11,打分卡!$K$11:$O$11),1)</f>
        <v>3</v>
      </c>
      <c r="AH452" s="41">
        <f>IFERROR(LOOKUP(U452,打分卡!$F$12:$J$12,打分卡!$K$12:$O$12),1)</f>
        <v>4</v>
      </c>
      <c r="AI452" s="41">
        <f>IFERROR(LOOKUP(X452,打分卡!$F$13:$J$13,打分卡!$K$13:$O$13),1)</f>
        <v>2</v>
      </c>
      <c r="AJ452" s="41">
        <f>IFERROR(LOOKUP(Y452,打分卡!$F$14:$J$14,打分卡!$K$14:$O$14),1)</f>
        <v>3</v>
      </c>
      <c r="AK452" s="41">
        <f>IFERROR(LOOKUP(W452,打分卡!$F$15:$J$15,打分卡!$K$15:$O$15),1)</f>
        <v>2</v>
      </c>
      <c r="AL452" s="43">
        <f t="shared" si="57"/>
        <v>5</v>
      </c>
      <c r="AM452" s="41">
        <f>IFERROR(LOOKUP(Z452,打分卡!$F$17:$H$17,打分卡!$K$17:$M$17),1)</f>
        <v>1</v>
      </c>
      <c r="AN452" s="44">
        <f>(打分卡!$D$7*AC452+打分卡!$D$8*AD452+打分卡!$D$9*AE452)/5</f>
        <v>13</v>
      </c>
      <c r="AO452" s="44">
        <f>(打分卡!$D$10*AF452+打分卡!$D$11*AG452)/5</f>
        <v>10</v>
      </c>
      <c r="AP452" s="44">
        <f>(打分卡!$D$12*AH452+打分卡!$D$13*AI452+打分卡!$D$14*AJ452+打分卡!$D$15*AK452)/5</f>
        <v>18</v>
      </c>
      <c r="AQ452" s="44">
        <f>(打分卡!$D$16*AL452+打分卡!$D$17*AM452)/5</f>
        <v>6.8</v>
      </c>
      <c r="AR452" s="47">
        <f t="shared" si="58"/>
        <v>47.8</v>
      </c>
      <c r="AS452" s="43" t="str">
        <f t="shared" si="59"/>
        <v>腰部</v>
      </c>
      <c r="AT452" s="43" t="str">
        <f t="shared" si="60"/>
        <v/>
      </c>
      <c r="AU452" s="43" t="str">
        <f t="shared" si="61"/>
        <v>拉·主攻：主推AI外呼+大促作战包</v>
      </c>
    </row>
    <row r="453" ht="15" customHeight="1" spans="1:47">
      <c r="A453" s="20" t="s">
        <v>1443</v>
      </c>
      <c r="B453" s="22" t="s">
        <v>1444</v>
      </c>
      <c r="C453" s="22" t="s">
        <v>223</v>
      </c>
      <c r="D453" s="22" t="s">
        <v>196</v>
      </c>
      <c r="E453" s="22" t="s">
        <v>197</v>
      </c>
      <c r="F453" s="20" t="s">
        <v>769</v>
      </c>
      <c r="G453" s="22">
        <v>24</v>
      </c>
      <c r="H453" s="22" t="s">
        <v>301</v>
      </c>
      <c r="I453" s="22" t="s">
        <v>184</v>
      </c>
      <c r="J453" s="36">
        <v>32200</v>
      </c>
      <c r="K453" s="36">
        <v>18400</v>
      </c>
      <c r="L453" s="36">
        <v>11600</v>
      </c>
      <c r="M453" s="36">
        <f t="shared" si="56"/>
        <v>62200</v>
      </c>
      <c r="N453" s="34">
        <f t="shared" si="62"/>
        <v>0.000326092199161597</v>
      </c>
      <c r="O453" s="35">
        <f>SUM($M$2:M453)</f>
        <v>176079900</v>
      </c>
      <c r="P453" s="34">
        <f t="shared" si="63"/>
        <v>0.923123501915661</v>
      </c>
      <c r="Q453" s="39">
        <v>7.1</v>
      </c>
      <c r="R453" s="22">
        <v>9</v>
      </c>
      <c r="S453" s="22">
        <v>2</v>
      </c>
      <c r="T453" s="22">
        <v>0</v>
      </c>
      <c r="U453" s="39">
        <v>52.1</v>
      </c>
      <c r="V453" s="22">
        <v>6</v>
      </c>
      <c r="W453" s="22">
        <v>0</v>
      </c>
      <c r="X453" s="40">
        <v>22</v>
      </c>
      <c r="Y453" s="22">
        <v>2</v>
      </c>
      <c r="Z453" s="22">
        <v>1</v>
      </c>
      <c r="AA453" s="22" t="s">
        <v>199</v>
      </c>
      <c r="AB453" s="22" t="s">
        <v>220</v>
      </c>
      <c r="AC453" s="42">
        <f>IFERROR(LOOKUP(M453,打分卡!$F$7:$J$7,打分卡!$K$7:$O$7),1)</f>
        <v>2</v>
      </c>
      <c r="AD453" s="42">
        <f>IFERROR(LOOKUP(S453,打分卡!$F$8:$J$8,打分卡!$K$8:$O$8),1)</f>
        <v>2</v>
      </c>
      <c r="AE453" s="42">
        <f>IFERROR(LOOKUP(T453,打分卡!$F$9:$I$9,打分卡!$K$9:$N$9),1)</f>
        <v>1</v>
      </c>
      <c r="AF453" s="42">
        <f>IFERROR(LOOKUP(Q453,打分卡!$F$10:$J$10,打分卡!$K$10:$O$10),1)</f>
        <v>2</v>
      </c>
      <c r="AG453" s="42">
        <f>IFERROR(LOOKUP(R453,打分卡!$F$11:$J$11,打分卡!$K$11:$O$11),1)</f>
        <v>4</v>
      </c>
      <c r="AH453" s="42">
        <f>IFERROR(LOOKUP(U453,打分卡!$F$12:$J$12,打分卡!$K$12:$O$12),1)</f>
        <v>4</v>
      </c>
      <c r="AI453" s="42">
        <f>IFERROR(LOOKUP(X453,打分卡!$F$13:$J$13,打分卡!$K$13:$O$13),1)</f>
        <v>2</v>
      </c>
      <c r="AJ453" s="42">
        <f>IFERROR(LOOKUP(Y453,打分卡!$F$14:$J$14,打分卡!$K$14:$O$14),1)</f>
        <v>3</v>
      </c>
      <c r="AK453" s="42">
        <f>IFERROR(LOOKUP(W453,打分卡!$F$15:$J$15,打分卡!$K$15:$O$15),1)</f>
        <v>1</v>
      </c>
      <c r="AL453" s="45">
        <f t="shared" si="57"/>
        <v>5</v>
      </c>
      <c r="AM453" s="42">
        <f>IFERROR(LOOKUP(Z453,打分卡!$F$17:$H$17,打分卡!$K$17:$M$17),1)</f>
        <v>3</v>
      </c>
      <c r="AN453" s="46">
        <f>(打分卡!$D$7*AC453+打分卡!$D$8*AD453+打分卡!$D$9*AE453)/5</f>
        <v>14.6</v>
      </c>
      <c r="AO453" s="46">
        <f>(打分卡!$D$10*AF453+打分卡!$D$11*AG453)/5</f>
        <v>12</v>
      </c>
      <c r="AP453" s="46">
        <f>(打分卡!$D$12*AH453+打分卡!$D$13*AI453+打分卡!$D$14*AJ453+打分卡!$D$15*AK453)/5</f>
        <v>17.2</v>
      </c>
      <c r="AQ453" s="46">
        <f>(打分卡!$D$16*AL453+打分卡!$D$17*AM453)/5</f>
        <v>8.4</v>
      </c>
      <c r="AR453" s="48">
        <f t="shared" si="58"/>
        <v>52.2</v>
      </c>
      <c r="AS453" s="45" t="str">
        <f t="shared" si="59"/>
        <v>腰部</v>
      </c>
      <c r="AT453" s="45" t="str">
        <f t="shared" si="60"/>
        <v/>
      </c>
      <c r="AU453" s="45" t="str">
        <f t="shared" si="61"/>
        <v>拉·主攻：主推AI外呼+大促作战包</v>
      </c>
    </row>
    <row r="454" ht="15" customHeight="1" spans="1:47">
      <c r="A454" s="30" t="s">
        <v>1445</v>
      </c>
      <c r="B454" s="31" t="s">
        <v>1446</v>
      </c>
      <c r="C454" s="31" t="s">
        <v>189</v>
      </c>
      <c r="D454" s="31" t="s">
        <v>190</v>
      </c>
      <c r="E454" s="31" t="s">
        <v>197</v>
      </c>
      <c r="F454" s="30" t="s">
        <v>1022</v>
      </c>
      <c r="G454" s="31">
        <v>15</v>
      </c>
      <c r="H454" s="31" t="s">
        <v>301</v>
      </c>
      <c r="I454" s="31" t="s">
        <v>184</v>
      </c>
      <c r="J454" s="33">
        <v>32300</v>
      </c>
      <c r="K454" s="33">
        <v>22000</v>
      </c>
      <c r="L454" s="33">
        <v>7900</v>
      </c>
      <c r="M454" s="33">
        <f t="shared" si="56"/>
        <v>62200</v>
      </c>
      <c r="N454" s="34">
        <f t="shared" si="62"/>
        <v>0.000326092199161597</v>
      </c>
      <c r="O454" s="35">
        <f>SUM($M$2:M454)</f>
        <v>176142100</v>
      </c>
      <c r="P454" s="34">
        <f t="shared" si="63"/>
        <v>0.923449594114822</v>
      </c>
      <c r="Q454" s="37">
        <v>4.9</v>
      </c>
      <c r="R454" s="31">
        <v>1</v>
      </c>
      <c r="S454" s="31">
        <v>3</v>
      </c>
      <c r="T454" s="31">
        <v>2</v>
      </c>
      <c r="U454" s="37">
        <v>37.2</v>
      </c>
      <c r="V454" s="31">
        <v>22</v>
      </c>
      <c r="W454" s="31">
        <v>4</v>
      </c>
      <c r="X454" s="38">
        <v>25</v>
      </c>
      <c r="Y454" s="31">
        <v>3</v>
      </c>
      <c r="Z454" s="31">
        <v>0</v>
      </c>
      <c r="AA454" s="31" t="s">
        <v>315</v>
      </c>
      <c r="AB454" s="31" t="s">
        <v>220</v>
      </c>
      <c r="AC454" s="41">
        <f>IFERROR(LOOKUP(M454,打分卡!$F$7:$J$7,打分卡!$K$7:$O$7),1)</f>
        <v>2</v>
      </c>
      <c r="AD454" s="41">
        <f>IFERROR(LOOKUP(S454,打分卡!$F$8:$J$8,打分卡!$K$8:$O$8),1)</f>
        <v>3</v>
      </c>
      <c r="AE454" s="41">
        <f>IFERROR(LOOKUP(T454,打分卡!$F$9:$I$9,打分卡!$K$9:$N$9),1)</f>
        <v>3</v>
      </c>
      <c r="AF454" s="41">
        <f>IFERROR(LOOKUP(Q454,打分卡!$F$10:$J$10,打分卡!$K$10:$O$10),1)</f>
        <v>2</v>
      </c>
      <c r="AG454" s="41">
        <f>IFERROR(LOOKUP(R454,打分卡!$F$11:$J$11,打分卡!$K$11:$O$11),1)</f>
        <v>1</v>
      </c>
      <c r="AH454" s="41">
        <f>IFERROR(LOOKUP(U454,打分卡!$F$12:$J$12,打分卡!$K$12:$O$12),1)</f>
        <v>4</v>
      </c>
      <c r="AI454" s="41">
        <f>IFERROR(LOOKUP(X454,打分卡!$F$13:$J$13,打分卡!$K$13:$O$13),1)</f>
        <v>2</v>
      </c>
      <c r="AJ454" s="41">
        <f>IFERROR(LOOKUP(Y454,打分卡!$F$14:$J$14,打分卡!$K$14:$O$14),1)</f>
        <v>4</v>
      </c>
      <c r="AK454" s="41">
        <f>IFERROR(LOOKUP(W454,打分卡!$F$15:$J$15,打分卡!$K$15:$O$15),1)</f>
        <v>3</v>
      </c>
      <c r="AL454" s="43">
        <f t="shared" si="57"/>
        <v>2</v>
      </c>
      <c r="AM454" s="41">
        <f>IFERROR(LOOKUP(Z454,打分卡!$F$17:$H$17,打分卡!$K$17:$M$17),1)</f>
        <v>1</v>
      </c>
      <c r="AN454" s="44">
        <f>(打分卡!$D$7*AC454+打分卡!$D$8*AD454+打分卡!$D$9*AE454)/5</f>
        <v>19</v>
      </c>
      <c r="AO454" s="44">
        <f>(打分卡!$D$10*AF454+打分卡!$D$11*AG454)/5</f>
        <v>6</v>
      </c>
      <c r="AP454" s="44">
        <f>(打分卡!$D$12*AH454+打分卡!$D$13*AI454+打分卡!$D$14*AJ454+打分卡!$D$15*AK454)/5</f>
        <v>20</v>
      </c>
      <c r="AQ454" s="44">
        <f>(打分卡!$D$16*AL454+打分卡!$D$17*AM454)/5</f>
        <v>3.2</v>
      </c>
      <c r="AR454" s="47">
        <f t="shared" si="58"/>
        <v>48.2</v>
      </c>
      <c r="AS454" s="43" t="str">
        <f t="shared" si="59"/>
        <v>腰部</v>
      </c>
      <c r="AT454" s="43" t="str">
        <f t="shared" si="60"/>
        <v/>
      </c>
      <c r="AU454" s="43" t="str">
        <f t="shared" si="61"/>
        <v>拉·主攻：主推AI外呼+大促作战包</v>
      </c>
    </row>
    <row r="455" ht="15" customHeight="1" spans="1:47">
      <c r="A455" s="20" t="s">
        <v>1447</v>
      </c>
      <c r="B455" s="22" t="s">
        <v>1448</v>
      </c>
      <c r="C455" s="22" t="s">
        <v>234</v>
      </c>
      <c r="D455" s="22" t="s">
        <v>196</v>
      </c>
      <c r="E455" s="22" t="s">
        <v>181</v>
      </c>
      <c r="F455" s="20" t="s">
        <v>1449</v>
      </c>
      <c r="G455" s="22">
        <v>5</v>
      </c>
      <c r="H455" s="22" t="s">
        <v>301</v>
      </c>
      <c r="I455" s="22" t="s">
        <v>184</v>
      </c>
      <c r="J455" s="36">
        <v>33400</v>
      </c>
      <c r="K455" s="36">
        <v>20000</v>
      </c>
      <c r="L455" s="36">
        <v>8500</v>
      </c>
      <c r="M455" s="36">
        <f t="shared" si="56"/>
        <v>61900</v>
      </c>
      <c r="N455" s="34">
        <f t="shared" si="62"/>
        <v>0.000324519407204226</v>
      </c>
      <c r="O455" s="35">
        <f>SUM($M$2:M455)</f>
        <v>176204000</v>
      </c>
      <c r="P455" s="34">
        <f t="shared" si="63"/>
        <v>0.923774113522026</v>
      </c>
      <c r="Q455" s="39">
        <v>7.3</v>
      </c>
      <c r="R455" s="22">
        <v>7</v>
      </c>
      <c r="S455" s="22">
        <v>1</v>
      </c>
      <c r="T455" s="22">
        <v>1</v>
      </c>
      <c r="U455" s="39">
        <v>5.8</v>
      </c>
      <c r="V455" s="22">
        <v>13</v>
      </c>
      <c r="W455" s="22">
        <v>2</v>
      </c>
      <c r="X455" s="40">
        <v>19</v>
      </c>
      <c r="Y455" s="22">
        <v>0</v>
      </c>
      <c r="Z455" s="22">
        <v>1</v>
      </c>
      <c r="AA455" s="22" t="s">
        <v>199</v>
      </c>
      <c r="AB455" s="22" t="s">
        <v>220</v>
      </c>
      <c r="AC455" s="42">
        <f>IFERROR(LOOKUP(M455,打分卡!$F$7:$J$7,打分卡!$K$7:$O$7),1)</f>
        <v>2</v>
      </c>
      <c r="AD455" s="42">
        <f>IFERROR(LOOKUP(S455,打分卡!$F$8:$J$8,打分卡!$K$8:$O$8),1)</f>
        <v>1</v>
      </c>
      <c r="AE455" s="42">
        <f>IFERROR(LOOKUP(T455,打分卡!$F$9:$I$9,打分卡!$K$9:$N$9),1)</f>
        <v>2</v>
      </c>
      <c r="AF455" s="42">
        <f>IFERROR(LOOKUP(Q455,打分卡!$F$10:$J$10,打分卡!$K$10:$O$10),1)</f>
        <v>2</v>
      </c>
      <c r="AG455" s="42">
        <f>IFERROR(LOOKUP(R455,打分卡!$F$11:$J$11,打分卡!$K$11:$O$11),1)</f>
        <v>3</v>
      </c>
      <c r="AH455" s="42">
        <f>IFERROR(LOOKUP(U455,打分卡!$F$12:$J$12,打分卡!$K$12:$O$12),1)</f>
        <v>2</v>
      </c>
      <c r="AI455" s="42">
        <f>IFERROR(LOOKUP(X455,打分卡!$F$13:$J$13,打分卡!$K$13:$O$13),1)</f>
        <v>2</v>
      </c>
      <c r="AJ455" s="42">
        <f>IFERROR(LOOKUP(Y455,打分卡!$F$14:$J$14,打分卡!$K$14:$O$14),1)</f>
        <v>1</v>
      </c>
      <c r="AK455" s="42">
        <f>IFERROR(LOOKUP(W455,打分卡!$F$15:$J$15,打分卡!$K$15:$O$15),1)</f>
        <v>2</v>
      </c>
      <c r="AL455" s="45">
        <f t="shared" si="57"/>
        <v>5</v>
      </c>
      <c r="AM455" s="42">
        <f>IFERROR(LOOKUP(Z455,打分卡!$F$17:$H$17,打分卡!$K$17:$M$17),1)</f>
        <v>3</v>
      </c>
      <c r="AN455" s="46">
        <f>(打分卡!$D$7*AC455+打分卡!$D$8*AD455+打分卡!$D$9*AE455)/5</f>
        <v>14.4</v>
      </c>
      <c r="AO455" s="46">
        <f>(打分卡!$D$10*AF455+打分卡!$D$11*AG455)/5</f>
        <v>10</v>
      </c>
      <c r="AP455" s="46">
        <f>(打分卡!$D$12*AH455+打分卡!$D$13*AI455+打分卡!$D$14*AJ455+打分卡!$D$15*AK455)/5</f>
        <v>10.8</v>
      </c>
      <c r="AQ455" s="46">
        <f>(打分卡!$D$16*AL455+打分卡!$D$17*AM455)/5</f>
        <v>8.4</v>
      </c>
      <c r="AR455" s="48">
        <f t="shared" si="58"/>
        <v>43.6</v>
      </c>
      <c r="AS455" s="45" t="str">
        <f t="shared" si="59"/>
        <v>腰部</v>
      </c>
      <c r="AT455" s="45" t="str">
        <f t="shared" si="60"/>
        <v/>
      </c>
      <c r="AU455" s="45" t="str">
        <f t="shared" si="61"/>
        <v>拉·主攻：主推AI外呼+大促作战包</v>
      </c>
    </row>
    <row r="456" ht="15" customHeight="1" spans="1:47">
      <c r="A456" s="30" t="s">
        <v>1450</v>
      </c>
      <c r="B456" s="31" t="s">
        <v>1451</v>
      </c>
      <c r="C456" s="31" t="s">
        <v>189</v>
      </c>
      <c r="D456" s="31" t="s">
        <v>202</v>
      </c>
      <c r="E456" s="31" t="s">
        <v>181</v>
      </c>
      <c r="F456" s="30" t="s">
        <v>1452</v>
      </c>
      <c r="G456" s="31">
        <v>15</v>
      </c>
      <c r="H456" s="31" t="s">
        <v>301</v>
      </c>
      <c r="I456" s="31" t="s">
        <v>302</v>
      </c>
      <c r="J456" s="33">
        <v>39800</v>
      </c>
      <c r="K456" s="33">
        <v>14200</v>
      </c>
      <c r="L456" s="33">
        <v>7900</v>
      </c>
      <c r="M456" s="33">
        <f t="shared" si="56"/>
        <v>61900</v>
      </c>
      <c r="N456" s="34">
        <f t="shared" si="62"/>
        <v>0.000324519407204226</v>
      </c>
      <c r="O456" s="35">
        <f>SUM($M$2:M456)</f>
        <v>176265900</v>
      </c>
      <c r="P456" s="34">
        <f t="shared" si="63"/>
        <v>0.924098632929231</v>
      </c>
      <c r="Q456" s="37">
        <v>6.9</v>
      </c>
      <c r="R456" s="31">
        <v>10</v>
      </c>
      <c r="S456" s="31">
        <v>1</v>
      </c>
      <c r="T456" s="31">
        <v>0</v>
      </c>
      <c r="U456" s="37">
        <v>22</v>
      </c>
      <c r="V456" s="31">
        <v>13</v>
      </c>
      <c r="W456" s="31">
        <v>0</v>
      </c>
      <c r="X456" s="38">
        <v>18</v>
      </c>
      <c r="Y456" s="31">
        <v>0</v>
      </c>
      <c r="Z456" s="31">
        <v>0</v>
      </c>
      <c r="AA456" s="31" t="s">
        <v>185</v>
      </c>
      <c r="AB456" s="31" t="s">
        <v>220</v>
      </c>
      <c r="AC456" s="41">
        <f>IFERROR(LOOKUP(M456,打分卡!$F$7:$J$7,打分卡!$K$7:$O$7),1)</f>
        <v>2</v>
      </c>
      <c r="AD456" s="41">
        <f>IFERROR(LOOKUP(S456,打分卡!$F$8:$J$8,打分卡!$K$8:$O$8),1)</f>
        <v>1</v>
      </c>
      <c r="AE456" s="41">
        <f>IFERROR(LOOKUP(T456,打分卡!$F$9:$I$9,打分卡!$K$9:$N$9),1)</f>
        <v>1</v>
      </c>
      <c r="AF456" s="41">
        <f>IFERROR(LOOKUP(Q456,打分卡!$F$10:$J$10,打分卡!$K$10:$O$10),1)</f>
        <v>2</v>
      </c>
      <c r="AG456" s="41">
        <f>IFERROR(LOOKUP(R456,打分卡!$F$11:$J$11,打分卡!$K$11:$O$11),1)</f>
        <v>4</v>
      </c>
      <c r="AH456" s="41">
        <f>IFERROR(LOOKUP(U456,打分卡!$F$12:$J$12,打分卡!$K$12:$O$12),1)</f>
        <v>3</v>
      </c>
      <c r="AI456" s="41">
        <f>IFERROR(LOOKUP(X456,打分卡!$F$13:$J$13,打分卡!$K$13:$O$13),1)</f>
        <v>2</v>
      </c>
      <c r="AJ456" s="41">
        <f>IFERROR(LOOKUP(Y456,打分卡!$F$14:$J$14,打分卡!$K$14:$O$14),1)</f>
        <v>1</v>
      </c>
      <c r="AK456" s="41">
        <f>IFERROR(LOOKUP(W456,打分卡!$F$15:$J$15,打分卡!$K$15:$O$15),1)</f>
        <v>1</v>
      </c>
      <c r="AL456" s="43">
        <f t="shared" si="57"/>
        <v>3</v>
      </c>
      <c r="AM456" s="41">
        <f>IFERROR(LOOKUP(Z456,打分卡!$F$17:$H$17,打分卡!$K$17:$M$17),1)</f>
        <v>1</v>
      </c>
      <c r="AN456" s="44">
        <f>(打分卡!$D$7*AC456+打分卡!$D$8*AD456+打分卡!$D$9*AE456)/5</f>
        <v>13</v>
      </c>
      <c r="AO456" s="44">
        <f>(打分卡!$D$10*AF456+打分卡!$D$11*AG456)/5</f>
        <v>12</v>
      </c>
      <c r="AP456" s="44">
        <f>(打分卡!$D$12*AH456+打分卡!$D$13*AI456+打分卡!$D$14*AJ456+打分卡!$D$15*AK456)/5</f>
        <v>12.4</v>
      </c>
      <c r="AQ456" s="44">
        <f>(打分卡!$D$16*AL456+打分卡!$D$17*AM456)/5</f>
        <v>4.4</v>
      </c>
      <c r="AR456" s="47">
        <f t="shared" si="58"/>
        <v>41.8</v>
      </c>
      <c r="AS456" s="43" t="str">
        <f t="shared" si="59"/>
        <v>腰部</v>
      </c>
      <c r="AT456" s="43" t="str">
        <f t="shared" si="60"/>
        <v/>
      </c>
      <c r="AU456" s="43" t="str">
        <f t="shared" si="61"/>
        <v>拉·主攻：主推AI外呼+大促作战包</v>
      </c>
    </row>
    <row r="457" ht="15" customHeight="1" spans="1:47">
      <c r="A457" s="20" t="s">
        <v>1453</v>
      </c>
      <c r="B457" s="22" t="s">
        <v>1454</v>
      </c>
      <c r="C457" s="22" t="s">
        <v>189</v>
      </c>
      <c r="D457" s="22" t="s">
        <v>196</v>
      </c>
      <c r="E457" s="22" t="s">
        <v>197</v>
      </c>
      <c r="F457" s="20" t="s">
        <v>1455</v>
      </c>
      <c r="G457" s="22">
        <v>7</v>
      </c>
      <c r="H457" s="22" t="s">
        <v>301</v>
      </c>
      <c r="I457" s="22" t="s">
        <v>302</v>
      </c>
      <c r="J457" s="36">
        <v>28200</v>
      </c>
      <c r="K457" s="36">
        <v>17300</v>
      </c>
      <c r="L457" s="36">
        <v>15900</v>
      </c>
      <c r="M457" s="36">
        <f t="shared" si="56"/>
        <v>61400</v>
      </c>
      <c r="N457" s="34">
        <f t="shared" si="62"/>
        <v>0.000321898087275274</v>
      </c>
      <c r="O457" s="35">
        <f>SUM($M$2:M457)</f>
        <v>176327300</v>
      </c>
      <c r="P457" s="34">
        <f t="shared" si="63"/>
        <v>0.924420531016506</v>
      </c>
      <c r="Q457" s="39">
        <v>8.3</v>
      </c>
      <c r="R457" s="22">
        <v>7</v>
      </c>
      <c r="S457" s="22">
        <v>3</v>
      </c>
      <c r="T457" s="22">
        <v>1</v>
      </c>
      <c r="U457" s="39">
        <v>3.9</v>
      </c>
      <c r="V457" s="22">
        <v>25</v>
      </c>
      <c r="W457" s="22">
        <v>4</v>
      </c>
      <c r="X457" s="40">
        <v>24</v>
      </c>
      <c r="Y457" s="22">
        <v>0</v>
      </c>
      <c r="Z457" s="22">
        <v>0</v>
      </c>
      <c r="AA457" s="22" t="s">
        <v>185</v>
      </c>
      <c r="AB457" s="22" t="s">
        <v>220</v>
      </c>
      <c r="AC457" s="42">
        <f>IFERROR(LOOKUP(M457,打分卡!$F$7:$J$7,打分卡!$K$7:$O$7),1)</f>
        <v>2</v>
      </c>
      <c r="AD457" s="42">
        <f>IFERROR(LOOKUP(S457,打分卡!$F$8:$J$8,打分卡!$K$8:$O$8),1)</f>
        <v>3</v>
      </c>
      <c r="AE457" s="42">
        <f>IFERROR(LOOKUP(T457,打分卡!$F$9:$I$9,打分卡!$K$9:$N$9),1)</f>
        <v>2</v>
      </c>
      <c r="AF457" s="42">
        <f>IFERROR(LOOKUP(Q457,打分卡!$F$10:$J$10,打分卡!$K$10:$O$10),1)</f>
        <v>2</v>
      </c>
      <c r="AG457" s="42">
        <f>IFERROR(LOOKUP(R457,打分卡!$F$11:$J$11,打分卡!$K$11:$O$11),1)</f>
        <v>3</v>
      </c>
      <c r="AH457" s="42">
        <f>IFERROR(LOOKUP(U457,打分卡!$F$12:$J$12,打分卡!$K$12:$O$12),1)</f>
        <v>2</v>
      </c>
      <c r="AI457" s="42">
        <f>IFERROR(LOOKUP(X457,打分卡!$F$13:$J$13,打分卡!$K$13:$O$13),1)</f>
        <v>2</v>
      </c>
      <c r="AJ457" s="42">
        <f>IFERROR(LOOKUP(Y457,打分卡!$F$14:$J$14,打分卡!$K$14:$O$14),1)</f>
        <v>1</v>
      </c>
      <c r="AK457" s="42">
        <f>IFERROR(LOOKUP(W457,打分卡!$F$15:$J$15,打分卡!$K$15:$O$15),1)</f>
        <v>3</v>
      </c>
      <c r="AL457" s="45">
        <f t="shared" si="57"/>
        <v>3</v>
      </c>
      <c r="AM457" s="42">
        <f>IFERROR(LOOKUP(Z457,打分卡!$F$17:$H$17,打分卡!$K$17:$M$17),1)</f>
        <v>1</v>
      </c>
      <c r="AN457" s="46">
        <f>(打分卡!$D$7*AC457+打分卡!$D$8*AD457+打分卡!$D$9*AE457)/5</f>
        <v>17.6</v>
      </c>
      <c r="AO457" s="46">
        <f>(打分卡!$D$10*AF457+打分卡!$D$11*AG457)/5</f>
        <v>10</v>
      </c>
      <c r="AP457" s="46">
        <f>(打分卡!$D$12*AH457+打分卡!$D$13*AI457+打分卡!$D$14*AJ457+打分卡!$D$15*AK457)/5</f>
        <v>11.6</v>
      </c>
      <c r="AQ457" s="46">
        <f>(打分卡!$D$16*AL457+打分卡!$D$17*AM457)/5</f>
        <v>4.4</v>
      </c>
      <c r="AR457" s="48">
        <f t="shared" si="58"/>
        <v>43.6</v>
      </c>
      <c r="AS457" s="45" t="str">
        <f t="shared" si="59"/>
        <v>腰部</v>
      </c>
      <c r="AT457" s="45" t="str">
        <f t="shared" si="60"/>
        <v/>
      </c>
      <c r="AU457" s="45" t="str">
        <f t="shared" si="61"/>
        <v>拉·主攻：主推AI外呼+大促作战包</v>
      </c>
    </row>
    <row r="458" ht="15" customHeight="1" spans="1:47">
      <c r="A458" s="30" t="s">
        <v>1456</v>
      </c>
      <c r="B458" s="31" t="s">
        <v>1457</v>
      </c>
      <c r="C458" s="31" t="s">
        <v>223</v>
      </c>
      <c r="D458" s="31" t="s">
        <v>202</v>
      </c>
      <c r="E458" s="31" t="s">
        <v>181</v>
      </c>
      <c r="F458" s="30" t="s">
        <v>1217</v>
      </c>
      <c r="G458" s="31">
        <v>3</v>
      </c>
      <c r="H458" s="31" t="s">
        <v>301</v>
      </c>
      <c r="I458" s="31" t="s">
        <v>184</v>
      </c>
      <c r="J458" s="33">
        <v>31400</v>
      </c>
      <c r="K458" s="33">
        <v>15000</v>
      </c>
      <c r="L458" s="33">
        <v>14900</v>
      </c>
      <c r="M458" s="33">
        <f t="shared" si="56"/>
        <v>61300</v>
      </c>
      <c r="N458" s="34">
        <f t="shared" si="62"/>
        <v>0.000321373823289484</v>
      </c>
      <c r="O458" s="35">
        <f>SUM($M$2:M458)</f>
        <v>176388600</v>
      </c>
      <c r="P458" s="34">
        <f t="shared" si="63"/>
        <v>0.924741904839795</v>
      </c>
      <c r="Q458" s="37">
        <v>5.4</v>
      </c>
      <c r="R458" s="31">
        <v>6</v>
      </c>
      <c r="S458" s="31">
        <v>2</v>
      </c>
      <c r="T458" s="31">
        <v>0</v>
      </c>
      <c r="U458" s="37">
        <v>1.7</v>
      </c>
      <c r="V458" s="31">
        <v>16</v>
      </c>
      <c r="W458" s="31">
        <v>0</v>
      </c>
      <c r="X458" s="38">
        <v>16</v>
      </c>
      <c r="Y458" s="31">
        <v>0</v>
      </c>
      <c r="Z458" s="31">
        <v>0</v>
      </c>
      <c r="AA458" s="31" t="s">
        <v>199</v>
      </c>
      <c r="AB458" s="31" t="s">
        <v>220</v>
      </c>
      <c r="AC458" s="41">
        <f>IFERROR(LOOKUP(M458,打分卡!$F$7:$J$7,打分卡!$K$7:$O$7),1)</f>
        <v>2</v>
      </c>
      <c r="AD458" s="41">
        <f>IFERROR(LOOKUP(S458,打分卡!$F$8:$J$8,打分卡!$K$8:$O$8),1)</f>
        <v>2</v>
      </c>
      <c r="AE458" s="41">
        <f>IFERROR(LOOKUP(T458,打分卡!$F$9:$I$9,打分卡!$K$9:$N$9),1)</f>
        <v>1</v>
      </c>
      <c r="AF458" s="41">
        <f>IFERROR(LOOKUP(Q458,打分卡!$F$10:$J$10,打分卡!$K$10:$O$10),1)</f>
        <v>2</v>
      </c>
      <c r="AG458" s="41">
        <f>IFERROR(LOOKUP(R458,打分卡!$F$11:$J$11,打分卡!$K$11:$O$11),1)</f>
        <v>3</v>
      </c>
      <c r="AH458" s="41">
        <f>IFERROR(LOOKUP(U458,打分卡!$F$12:$J$12,打分卡!$K$12:$O$12),1)</f>
        <v>1</v>
      </c>
      <c r="AI458" s="41">
        <f>IFERROR(LOOKUP(X458,打分卡!$F$13:$J$13,打分卡!$K$13:$O$13),1)</f>
        <v>1</v>
      </c>
      <c r="AJ458" s="41">
        <f>IFERROR(LOOKUP(Y458,打分卡!$F$14:$J$14,打分卡!$K$14:$O$14),1)</f>
        <v>1</v>
      </c>
      <c r="AK458" s="41">
        <f>IFERROR(LOOKUP(W458,打分卡!$F$15:$J$15,打分卡!$K$15:$O$15),1)</f>
        <v>1</v>
      </c>
      <c r="AL458" s="43">
        <f t="shared" si="57"/>
        <v>5</v>
      </c>
      <c r="AM458" s="41">
        <f>IFERROR(LOOKUP(Z458,打分卡!$F$17:$H$17,打分卡!$K$17:$M$17),1)</f>
        <v>1</v>
      </c>
      <c r="AN458" s="44">
        <f>(打分卡!$D$7*AC458+打分卡!$D$8*AD458+打分卡!$D$9*AE458)/5</f>
        <v>14.6</v>
      </c>
      <c r="AO458" s="44">
        <f>(打分卡!$D$10*AF458+打分卡!$D$11*AG458)/5</f>
        <v>10</v>
      </c>
      <c r="AP458" s="44">
        <f>(打分卡!$D$12*AH458+打分卡!$D$13*AI458+打分卡!$D$14*AJ458+打分卡!$D$15*AK458)/5</f>
        <v>6</v>
      </c>
      <c r="AQ458" s="44">
        <f>(打分卡!$D$16*AL458+打分卡!$D$17*AM458)/5</f>
        <v>6.8</v>
      </c>
      <c r="AR458" s="47">
        <f t="shared" si="58"/>
        <v>37.4</v>
      </c>
      <c r="AS458" s="43" t="str">
        <f t="shared" si="59"/>
        <v>基础长尾</v>
      </c>
      <c r="AT458" s="43" t="str">
        <f t="shared" si="60"/>
        <v/>
      </c>
      <c r="AU458" s="43" t="str">
        <f t="shared" si="61"/>
        <v>激活：企微+Push低成本先跑</v>
      </c>
    </row>
    <row r="459" ht="15" customHeight="1" spans="1:47">
      <c r="A459" s="20" t="s">
        <v>1458</v>
      </c>
      <c r="B459" s="22" t="s">
        <v>1459</v>
      </c>
      <c r="C459" s="22" t="s">
        <v>195</v>
      </c>
      <c r="D459" s="22" t="s">
        <v>180</v>
      </c>
      <c r="E459" s="22" t="s">
        <v>197</v>
      </c>
      <c r="F459" s="20" t="s">
        <v>1460</v>
      </c>
      <c r="G459" s="22">
        <v>8</v>
      </c>
      <c r="H459" s="22" t="s">
        <v>301</v>
      </c>
      <c r="I459" s="22" t="s">
        <v>302</v>
      </c>
      <c r="J459" s="36">
        <v>34300</v>
      </c>
      <c r="K459" s="36">
        <v>20900</v>
      </c>
      <c r="L459" s="36">
        <v>5000</v>
      </c>
      <c r="M459" s="36">
        <f t="shared" si="56"/>
        <v>60200</v>
      </c>
      <c r="N459" s="34">
        <f t="shared" si="62"/>
        <v>0.00031560691944579</v>
      </c>
      <c r="O459" s="35">
        <f>SUM($M$2:M459)</f>
        <v>176448800</v>
      </c>
      <c r="P459" s="34">
        <f t="shared" si="63"/>
        <v>0.925057511759241</v>
      </c>
      <c r="Q459" s="39">
        <v>9</v>
      </c>
      <c r="R459" s="22">
        <v>5</v>
      </c>
      <c r="S459" s="22">
        <v>3</v>
      </c>
      <c r="T459" s="22">
        <v>0</v>
      </c>
      <c r="U459" s="39">
        <v>2.1</v>
      </c>
      <c r="V459" s="22">
        <v>23</v>
      </c>
      <c r="W459" s="22">
        <v>2</v>
      </c>
      <c r="X459" s="40">
        <v>80</v>
      </c>
      <c r="Y459" s="22">
        <v>0</v>
      </c>
      <c r="Z459" s="22">
        <v>0</v>
      </c>
      <c r="AA459" s="22" t="s">
        <v>185</v>
      </c>
      <c r="AB459" s="22" t="s">
        <v>220</v>
      </c>
      <c r="AC459" s="42">
        <f>IFERROR(LOOKUP(M459,打分卡!$F$7:$J$7,打分卡!$K$7:$O$7),1)</f>
        <v>2</v>
      </c>
      <c r="AD459" s="42">
        <f>IFERROR(LOOKUP(S459,打分卡!$F$8:$J$8,打分卡!$K$8:$O$8),1)</f>
        <v>3</v>
      </c>
      <c r="AE459" s="42">
        <f>IFERROR(LOOKUP(T459,打分卡!$F$9:$I$9,打分卡!$K$9:$N$9),1)</f>
        <v>1</v>
      </c>
      <c r="AF459" s="42">
        <f>IFERROR(LOOKUP(Q459,打分卡!$F$10:$J$10,打分卡!$K$10:$O$10),1)</f>
        <v>2</v>
      </c>
      <c r="AG459" s="42">
        <f>IFERROR(LOOKUP(R459,打分卡!$F$11:$J$11,打分卡!$K$11:$O$11),1)</f>
        <v>3</v>
      </c>
      <c r="AH459" s="42">
        <f>IFERROR(LOOKUP(U459,打分卡!$F$12:$J$12,打分卡!$K$12:$O$12),1)</f>
        <v>1</v>
      </c>
      <c r="AI459" s="42">
        <f>IFERROR(LOOKUP(X459,打分卡!$F$13:$J$13,打分卡!$K$13:$O$13),1)</f>
        <v>3</v>
      </c>
      <c r="AJ459" s="42">
        <f>IFERROR(LOOKUP(Y459,打分卡!$F$14:$J$14,打分卡!$K$14:$O$14),1)</f>
        <v>1</v>
      </c>
      <c r="AK459" s="42">
        <f>IFERROR(LOOKUP(W459,打分卡!$F$15:$J$15,打分卡!$K$15:$O$15),1)</f>
        <v>2</v>
      </c>
      <c r="AL459" s="45">
        <f t="shared" si="57"/>
        <v>3</v>
      </c>
      <c r="AM459" s="42">
        <f>IFERROR(LOOKUP(Z459,打分卡!$F$17:$H$17,打分卡!$K$17:$M$17),1)</f>
        <v>1</v>
      </c>
      <c r="AN459" s="46">
        <f>(打分卡!$D$7*AC459+打分卡!$D$8*AD459+打分卡!$D$9*AE459)/5</f>
        <v>16.2</v>
      </c>
      <c r="AO459" s="46">
        <f>(打分卡!$D$10*AF459+打分卡!$D$11*AG459)/5</f>
        <v>10</v>
      </c>
      <c r="AP459" s="46">
        <f>(打分卡!$D$12*AH459+打分卡!$D$13*AI459+打分卡!$D$14*AJ459+打分卡!$D$15*AK459)/5</f>
        <v>10</v>
      </c>
      <c r="AQ459" s="46">
        <f>(打分卡!$D$16*AL459+打分卡!$D$17*AM459)/5</f>
        <v>4.4</v>
      </c>
      <c r="AR459" s="48">
        <f t="shared" si="58"/>
        <v>40.6</v>
      </c>
      <c r="AS459" s="45" t="str">
        <f t="shared" si="59"/>
        <v>腰部</v>
      </c>
      <c r="AT459" s="45" t="str">
        <f t="shared" si="60"/>
        <v/>
      </c>
      <c r="AU459" s="45" t="str">
        <f t="shared" si="61"/>
        <v>拉·主攻：主推AI外呼+大促作战包</v>
      </c>
    </row>
    <row r="460" ht="15" customHeight="1" spans="1:47">
      <c r="A460" s="30" t="s">
        <v>1461</v>
      </c>
      <c r="B460" s="31" t="s">
        <v>1462</v>
      </c>
      <c r="C460" s="31" t="s">
        <v>189</v>
      </c>
      <c r="D460" s="31" t="s">
        <v>202</v>
      </c>
      <c r="E460" s="31" t="s">
        <v>181</v>
      </c>
      <c r="F460" s="30" t="s">
        <v>754</v>
      </c>
      <c r="G460" s="31">
        <v>10</v>
      </c>
      <c r="H460" s="31" t="s">
        <v>183</v>
      </c>
      <c r="I460" s="31" t="s">
        <v>302</v>
      </c>
      <c r="J460" s="33">
        <v>35000</v>
      </c>
      <c r="K460" s="33">
        <v>21100</v>
      </c>
      <c r="L460" s="33">
        <v>4000</v>
      </c>
      <c r="M460" s="33">
        <f t="shared" si="56"/>
        <v>60100</v>
      </c>
      <c r="N460" s="34">
        <f t="shared" si="62"/>
        <v>0.00031508265546</v>
      </c>
      <c r="O460" s="35">
        <f>SUM($M$2:M460)</f>
        <v>176508900</v>
      </c>
      <c r="P460" s="34">
        <f t="shared" si="63"/>
        <v>0.925372594414701</v>
      </c>
      <c r="Q460" s="37">
        <v>8.7</v>
      </c>
      <c r="R460" s="31">
        <v>10</v>
      </c>
      <c r="S460" s="31">
        <v>2</v>
      </c>
      <c r="T460" s="31">
        <v>0</v>
      </c>
      <c r="U460" s="37">
        <v>6.6</v>
      </c>
      <c r="V460" s="31">
        <v>19</v>
      </c>
      <c r="W460" s="31">
        <v>2</v>
      </c>
      <c r="X460" s="38">
        <v>33</v>
      </c>
      <c r="Y460" s="31">
        <v>3</v>
      </c>
      <c r="Z460" s="31">
        <v>1</v>
      </c>
      <c r="AA460" s="31" t="s">
        <v>199</v>
      </c>
      <c r="AB460" s="31" t="s">
        <v>220</v>
      </c>
      <c r="AC460" s="41">
        <f>IFERROR(LOOKUP(M460,打分卡!$F$7:$J$7,打分卡!$K$7:$O$7),1)</f>
        <v>2</v>
      </c>
      <c r="AD460" s="41">
        <f>IFERROR(LOOKUP(S460,打分卡!$F$8:$J$8,打分卡!$K$8:$O$8),1)</f>
        <v>2</v>
      </c>
      <c r="AE460" s="41">
        <f>IFERROR(LOOKUP(T460,打分卡!$F$9:$I$9,打分卡!$K$9:$N$9),1)</f>
        <v>1</v>
      </c>
      <c r="AF460" s="41">
        <f>IFERROR(LOOKUP(Q460,打分卡!$F$10:$J$10,打分卡!$K$10:$O$10),1)</f>
        <v>2</v>
      </c>
      <c r="AG460" s="41">
        <f>IFERROR(LOOKUP(R460,打分卡!$F$11:$J$11,打分卡!$K$11:$O$11),1)</f>
        <v>4</v>
      </c>
      <c r="AH460" s="41">
        <f>IFERROR(LOOKUP(U460,打分卡!$F$12:$J$12,打分卡!$K$12:$O$12),1)</f>
        <v>2</v>
      </c>
      <c r="AI460" s="41">
        <f>IFERROR(LOOKUP(X460,打分卡!$F$13:$J$13,打分卡!$K$13:$O$13),1)</f>
        <v>2</v>
      </c>
      <c r="AJ460" s="41">
        <f>IFERROR(LOOKUP(Y460,打分卡!$F$14:$J$14,打分卡!$K$14:$O$14),1)</f>
        <v>4</v>
      </c>
      <c r="AK460" s="41">
        <f>IFERROR(LOOKUP(W460,打分卡!$F$15:$J$15,打分卡!$K$15:$O$15),1)</f>
        <v>2</v>
      </c>
      <c r="AL460" s="43">
        <f t="shared" si="57"/>
        <v>5</v>
      </c>
      <c r="AM460" s="41">
        <f>IFERROR(LOOKUP(Z460,打分卡!$F$17:$H$17,打分卡!$K$17:$M$17),1)</f>
        <v>3</v>
      </c>
      <c r="AN460" s="44">
        <f>(打分卡!$D$7*AC460+打分卡!$D$8*AD460+打分卡!$D$9*AE460)/5</f>
        <v>14.6</v>
      </c>
      <c r="AO460" s="44">
        <f>(打分卡!$D$10*AF460+打分卡!$D$11*AG460)/5</f>
        <v>12</v>
      </c>
      <c r="AP460" s="44">
        <f>(打分卡!$D$12*AH460+打分卡!$D$13*AI460+打分卡!$D$14*AJ460+打分卡!$D$15*AK460)/5</f>
        <v>14.4</v>
      </c>
      <c r="AQ460" s="44">
        <f>(打分卡!$D$16*AL460+打分卡!$D$17*AM460)/5</f>
        <v>8.4</v>
      </c>
      <c r="AR460" s="47">
        <f t="shared" si="58"/>
        <v>49.4</v>
      </c>
      <c r="AS460" s="43" t="str">
        <f t="shared" si="59"/>
        <v>腰部</v>
      </c>
      <c r="AT460" s="43" t="str">
        <f t="shared" si="60"/>
        <v/>
      </c>
      <c r="AU460" s="43" t="str">
        <f t="shared" si="61"/>
        <v>拉·主攻：主推AI外呼+大促作战包</v>
      </c>
    </row>
    <row r="461" ht="15" customHeight="1" spans="1:47">
      <c r="A461" s="20" t="s">
        <v>1463</v>
      </c>
      <c r="B461" s="22" t="s">
        <v>1464</v>
      </c>
      <c r="C461" s="22" t="s">
        <v>179</v>
      </c>
      <c r="D461" s="22" t="s">
        <v>235</v>
      </c>
      <c r="E461" s="22" t="s">
        <v>197</v>
      </c>
      <c r="F461" s="20" t="s">
        <v>1465</v>
      </c>
      <c r="G461" s="22">
        <v>22</v>
      </c>
      <c r="H461" s="22" t="s">
        <v>301</v>
      </c>
      <c r="I461" s="22" t="s">
        <v>184</v>
      </c>
      <c r="J461" s="36">
        <v>31600</v>
      </c>
      <c r="K461" s="36">
        <v>15000</v>
      </c>
      <c r="L461" s="36">
        <v>13400</v>
      </c>
      <c r="M461" s="36">
        <f t="shared" si="56"/>
        <v>60000</v>
      </c>
      <c r="N461" s="34">
        <f t="shared" si="62"/>
        <v>0.000314558391474209</v>
      </c>
      <c r="O461" s="35">
        <f>SUM($M$2:M461)</f>
        <v>176568900</v>
      </c>
      <c r="P461" s="34">
        <f t="shared" si="63"/>
        <v>0.925687152806175</v>
      </c>
      <c r="Q461" s="39">
        <v>4.1</v>
      </c>
      <c r="R461" s="22">
        <v>3</v>
      </c>
      <c r="S461" s="22">
        <v>2</v>
      </c>
      <c r="T461" s="22">
        <v>1</v>
      </c>
      <c r="U461" s="39">
        <v>5.5</v>
      </c>
      <c r="V461" s="22">
        <v>6</v>
      </c>
      <c r="W461" s="22">
        <v>0</v>
      </c>
      <c r="X461" s="40">
        <v>16</v>
      </c>
      <c r="Y461" s="22">
        <v>0</v>
      </c>
      <c r="Z461" s="22">
        <v>0</v>
      </c>
      <c r="AA461" s="22" t="s">
        <v>185</v>
      </c>
      <c r="AB461" s="22" t="s">
        <v>220</v>
      </c>
      <c r="AC461" s="42">
        <f>IFERROR(LOOKUP(M461,打分卡!$F$7:$J$7,打分卡!$K$7:$O$7),1)</f>
        <v>2</v>
      </c>
      <c r="AD461" s="42">
        <f>IFERROR(LOOKUP(S461,打分卡!$F$8:$J$8,打分卡!$K$8:$O$8),1)</f>
        <v>2</v>
      </c>
      <c r="AE461" s="42">
        <f>IFERROR(LOOKUP(T461,打分卡!$F$9:$I$9,打分卡!$K$9:$N$9),1)</f>
        <v>2</v>
      </c>
      <c r="AF461" s="42">
        <f>IFERROR(LOOKUP(Q461,打分卡!$F$10:$J$10,打分卡!$K$10:$O$10),1)</f>
        <v>2</v>
      </c>
      <c r="AG461" s="42">
        <f>IFERROR(LOOKUP(R461,打分卡!$F$11:$J$11,打分卡!$K$11:$O$11),1)</f>
        <v>2</v>
      </c>
      <c r="AH461" s="42">
        <f>IFERROR(LOOKUP(U461,打分卡!$F$12:$J$12,打分卡!$K$12:$O$12),1)</f>
        <v>2</v>
      </c>
      <c r="AI461" s="42">
        <f>IFERROR(LOOKUP(X461,打分卡!$F$13:$J$13,打分卡!$K$13:$O$13),1)</f>
        <v>1</v>
      </c>
      <c r="AJ461" s="42">
        <f>IFERROR(LOOKUP(Y461,打分卡!$F$14:$J$14,打分卡!$K$14:$O$14),1)</f>
        <v>1</v>
      </c>
      <c r="AK461" s="42">
        <f>IFERROR(LOOKUP(W461,打分卡!$F$15:$J$15,打分卡!$K$15:$O$15),1)</f>
        <v>1</v>
      </c>
      <c r="AL461" s="45">
        <f t="shared" si="57"/>
        <v>3</v>
      </c>
      <c r="AM461" s="42">
        <f>IFERROR(LOOKUP(Z461,打分卡!$F$17:$H$17,打分卡!$K$17:$M$17),1)</f>
        <v>1</v>
      </c>
      <c r="AN461" s="46">
        <f>(打分卡!$D$7*AC461+打分卡!$D$8*AD461+打分卡!$D$9*AE461)/5</f>
        <v>16</v>
      </c>
      <c r="AO461" s="46">
        <f>(打分卡!$D$10*AF461+打分卡!$D$11*AG461)/5</f>
        <v>8</v>
      </c>
      <c r="AP461" s="46">
        <f>(打分卡!$D$12*AH461+打分卡!$D$13*AI461+打分卡!$D$14*AJ461+打分卡!$D$15*AK461)/5</f>
        <v>8.4</v>
      </c>
      <c r="AQ461" s="46">
        <f>(打分卡!$D$16*AL461+打分卡!$D$17*AM461)/5</f>
        <v>4.4</v>
      </c>
      <c r="AR461" s="48">
        <f t="shared" si="58"/>
        <v>36.8</v>
      </c>
      <c r="AS461" s="45" t="str">
        <f t="shared" si="59"/>
        <v>基础长尾</v>
      </c>
      <c r="AT461" s="45" t="str">
        <f t="shared" si="60"/>
        <v/>
      </c>
      <c r="AU461" s="45" t="str">
        <f t="shared" si="61"/>
        <v>激活：企微+Push低成本先跑</v>
      </c>
    </row>
    <row r="462" ht="15" customHeight="1" spans="1:47">
      <c r="A462" s="30" t="s">
        <v>1466</v>
      </c>
      <c r="B462" s="31" t="s">
        <v>1467</v>
      </c>
      <c r="C462" s="31" t="s">
        <v>218</v>
      </c>
      <c r="D462" s="31" t="s">
        <v>202</v>
      </c>
      <c r="E462" s="31" t="s">
        <v>181</v>
      </c>
      <c r="F462" s="30" t="s">
        <v>1468</v>
      </c>
      <c r="G462" s="31">
        <v>24</v>
      </c>
      <c r="H462" s="31" t="s">
        <v>183</v>
      </c>
      <c r="I462" s="31" t="s">
        <v>184</v>
      </c>
      <c r="J462" s="33">
        <v>29000</v>
      </c>
      <c r="K462" s="33">
        <v>12100</v>
      </c>
      <c r="L462" s="33">
        <v>18900</v>
      </c>
      <c r="M462" s="33">
        <f t="shared" si="56"/>
        <v>60000</v>
      </c>
      <c r="N462" s="34">
        <f t="shared" si="62"/>
        <v>0.000314558391474209</v>
      </c>
      <c r="O462" s="35">
        <f>SUM($M$2:M462)</f>
        <v>176628900</v>
      </c>
      <c r="P462" s="34">
        <f t="shared" si="63"/>
        <v>0.92600171119765</v>
      </c>
      <c r="Q462" s="37">
        <v>5.5</v>
      </c>
      <c r="R462" s="31">
        <v>7</v>
      </c>
      <c r="S462" s="31">
        <v>1</v>
      </c>
      <c r="T462" s="31">
        <v>2</v>
      </c>
      <c r="U462" s="37">
        <v>1.3</v>
      </c>
      <c r="V462" s="31">
        <v>5</v>
      </c>
      <c r="W462" s="31">
        <v>1</v>
      </c>
      <c r="X462" s="38">
        <v>43</v>
      </c>
      <c r="Y462" s="31">
        <v>3</v>
      </c>
      <c r="Z462" s="31">
        <v>0</v>
      </c>
      <c r="AA462" s="31" t="s">
        <v>185</v>
      </c>
      <c r="AB462" s="31" t="s">
        <v>220</v>
      </c>
      <c r="AC462" s="41">
        <f>IFERROR(LOOKUP(M462,打分卡!$F$7:$J$7,打分卡!$K$7:$O$7),1)</f>
        <v>2</v>
      </c>
      <c r="AD462" s="41">
        <f>IFERROR(LOOKUP(S462,打分卡!$F$8:$J$8,打分卡!$K$8:$O$8),1)</f>
        <v>1</v>
      </c>
      <c r="AE462" s="41">
        <f>IFERROR(LOOKUP(T462,打分卡!$F$9:$I$9,打分卡!$K$9:$N$9),1)</f>
        <v>3</v>
      </c>
      <c r="AF462" s="41">
        <f>IFERROR(LOOKUP(Q462,打分卡!$F$10:$J$10,打分卡!$K$10:$O$10),1)</f>
        <v>2</v>
      </c>
      <c r="AG462" s="41">
        <f>IFERROR(LOOKUP(R462,打分卡!$F$11:$J$11,打分卡!$K$11:$O$11),1)</f>
        <v>3</v>
      </c>
      <c r="AH462" s="41">
        <f>IFERROR(LOOKUP(U462,打分卡!$F$12:$J$12,打分卡!$K$12:$O$12),1)</f>
        <v>1</v>
      </c>
      <c r="AI462" s="41">
        <f>IFERROR(LOOKUP(X462,打分卡!$F$13:$J$13,打分卡!$K$13:$O$13),1)</f>
        <v>3</v>
      </c>
      <c r="AJ462" s="41">
        <f>IFERROR(LOOKUP(Y462,打分卡!$F$14:$J$14,打分卡!$K$14:$O$14),1)</f>
        <v>4</v>
      </c>
      <c r="AK462" s="41">
        <f>IFERROR(LOOKUP(W462,打分卡!$F$15:$J$15,打分卡!$K$15:$O$15),1)</f>
        <v>2</v>
      </c>
      <c r="AL462" s="43">
        <f t="shared" si="57"/>
        <v>3</v>
      </c>
      <c r="AM462" s="41">
        <f>IFERROR(LOOKUP(Z462,打分卡!$F$17:$H$17,打分卡!$K$17:$M$17),1)</f>
        <v>1</v>
      </c>
      <c r="AN462" s="44">
        <f>(打分卡!$D$7*AC462+打分卡!$D$8*AD462+打分卡!$D$9*AE462)/5</f>
        <v>15.8</v>
      </c>
      <c r="AO462" s="44">
        <f>(打分卡!$D$10*AF462+打分卡!$D$11*AG462)/5</f>
        <v>10</v>
      </c>
      <c r="AP462" s="44">
        <f>(打分卡!$D$12*AH462+打分卡!$D$13*AI462+打分卡!$D$14*AJ462+打分卡!$D$15*AK462)/5</f>
        <v>13.6</v>
      </c>
      <c r="AQ462" s="44">
        <f>(打分卡!$D$16*AL462+打分卡!$D$17*AM462)/5</f>
        <v>4.4</v>
      </c>
      <c r="AR462" s="47">
        <f t="shared" si="58"/>
        <v>43.8</v>
      </c>
      <c r="AS462" s="43" t="str">
        <f t="shared" si="59"/>
        <v>腰部</v>
      </c>
      <c r="AT462" s="43" t="str">
        <f t="shared" si="60"/>
        <v/>
      </c>
      <c r="AU462" s="43" t="str">
        <f t="shared" si="61"/>
        <v>拉·主攻：主推AI外呼+大促作战包</v>
      </c>
    </row>
    <row r="463" ht="15" customHeight="1" spans="1:47">
      <c r="A463" s="20" t="s">
        <v>1469</v>
      </c>
      <c r="B463" s="22" t="s">
        <v>1470</v>
      </c>
      <c r="C463" s="22" t="s">
        <v>234</v>
      </c>
      <c r="D463" s="22" t="s">
        <v>202</v>
      </c>
      <c r="E463" s="22" t="s">
        <v>181</v>
      </c>
      <c r="F463" s="20" t="s">
        <v>840</v>
      </c>
      <c r="G463" s="22">
        <v>24</v>
      </c>
      <c r="H463" s="22" t="s">
        <v>301</v>
      </c>
      <c r="I463" s="22" t="s">
        <v>302</v>
      </c>
      <c r="J463" s="36">
        <v>30800</v>
      </c>
      <c r="K463" s="36">
        <v>22000</v>
      </c>
      <c r="L463" s="36">
        <v>7100</v>
      </c>
      <c r="M463" s="36">
        <f t="shared" si="56"/>
        <v>59900</v>
      </c>
      <c r="N463" s="34">
        <f t="shared" si="62"/>
        <v>0.000314034127488419</v>
      </c>
      <c r="O463" s="35">
        <f>SUM($M$2:M463)</f>
        <v>176688800</v>
      </c>
      <c r="P463" s="34">
        <f t="shared" si="63"/>
        <v>0.926315745325138</v>
      </c>
      <c r="Q463" s="39">
        <v>4.4</v>
      </c>
      <c r="R463" s="22">
        <v>2</v>
      </c>
      <c r="S463" s="22">
        <v>2</v>
      </c>
      <c r="T463" s="22">
        <v>1</v>
      </c>
      <c r="U463" s="39">
        <v>29.9</v>
      </c>
      <c r="V463" s="22">
        <v>22</v>
      </c>
      <c r="W463" s="22">
        <v>0</v>
      </c>
      <c r="X463" s="40">
        <v>16</v>
      </c>
      <c r="Y463" s="22">
        <v>3</v>
      </c>
      <c r="Z463" s="22">
        <v>0</v>
      </c>
      <c r="AA463" s="22" t="s">
        <v>199</v>
      </c>
      <c r="AB463" s="22" t="s">
        <v>220</v>
      </c>
      <c r="AC463" s="42">
        <f>IFERROR(LOOKUP(M463,打分卡!$F$7:$J$7,打分卡!$K$7:$O$7),1)</f>
        <v>2</v>
      </c>
      <c r="AD463" s="42">
        <f>IFERROR(LOOKUP(S463,打分卡!$F$8:$J$8,打分卡!$K$8:$O$8),1)</f>
        <v>2</v>
      </c>
      <c r="AE463" s="42">
        <f>IFERROR(LOOKUP(T463,打分卡!$F$9:$I$9,打分卡!$K$9:$N$9),1)</f>
        <v>2</v>
      </c>
      <c r="AF463" s="42">
        <f>IFERROR(LOOKUP(Q463,打分卡!$F$10:$J$10,打分卡!$K$10:$O$10),1)</f>
        <v>2</v>
      </c>
      <c r="AG463" s="42">
        <f>IFERROR(LOOKUP(R463,打分卡!$F$11:$J$11,打分卡!$K$11:$O$11),1)</f>
        <v>1</v>
      </c>
      <c r="AH463" s="42">
        <f>IFERROR(LOOKUP(U463,打分卡!$F$12:$J$12,打分卡!$K$12:$O$12),1)</f>
        <v>3</v>
      </c>
      <c r="AI463" s="42">
        <f>IFERROR(LOOKUP(X463,打分卡!$F$13:$J$13,打分卡!$K$13:$O$13),1)</f>
        <v>1</v>
      </c>
      <c r="AJ463" s="42">
        <f>IFERROR(LOOKUP(Y463,打分卡!$F$14:$J$14,打分卡!$K$14:$O$14),1)</f>
        <v>4</v>
      </c>
      <c r="AK463" s="42">
        <f>IFERROR(LOOKUP(W463,打分卡!$F$15:$J$15,打分卡!$K$15:$O$15),1)</f>
        <v>1</v>
      </c>
      <c r="AL463" s="45">
        <f t="shared" si="57"/>
        <v>5</v>
      </c>
      <c r="AM463" s="42">
        <f>IFERROR(LOOKUP(Z463,打分卡!$F$17:$H$17,打分卡!$K$17:$M$17),1)</f>
        <v>1</v>
      </c>
      <c r="AN463" s="46">
        <f>(打分卡!$D$7*AC463+打分卡!$D$8*AD463+打分卡!$D$9*AE463)/5</f>
        <v>16</v>
      </c>
      <c r="AO463" s="46">
        <f>(打分卡!$D$10*AF463+打分卡!$D$11*AG463)/5</f>
        <v>6</v>
      </c>
      <c r="AP463" s="46">
        <f>(打分卡!$D$12*AH463+打分卡!$D$13*AI463+打分卡!$D$14*AJ463+打分卡!$D$15*AK463)/5</f>
        <v>14.4</v>
      </c>
      <c r="AQ463" s="46">
        <f>(打分卡!$D$16*AL463+打分卡!$D$17*AM463)/5</f>
        <v>6.8</v>
      </c>
      <c r="AR463" s="48">
        <f t="shared" si="58"/>
        <v>43.2</v>
      </c>
      <c r="AS463" s="45" t="str">
        <f t="shared" si="59"/>
        <v>腰部</v>
      </c>
      <c r="AT463" s="45" t="str">
        <f t="shared" si="60"/>
        <v/>
      </c>
      <c r="AU463" s="45" t="str">
        <f t="shared" si="61"/>
        <v>拉·主攻：主推AI外呼+大促作战包</v>
      </c>
    </row>
    <row r="464" ht="15" customHeight="1" spans="1:47">
      <c r="A464" s="30" t="s">
        <v>1471</v>
      </c>
      <c r="B464" s="31" t="s">
        <v>1472</v>
      </c>
      <c r="C464" s="31" t="s">
        <v>218</v>
      </c>
      <c r="D464" s="31" t="s">
        <v>196</v>
      </c>
      <c r="E464" s="31" t="s">
        <v>197</v>
      </c>
      <c r="F464" s="30" t="s">
        <v>914</v>
      </c>
      <c r="G464" s="31">
        <v>10</v>
      </c>
      <c r="H464" s="31" t="s">
        <v>301</v>
      </c>
      <c r="I464" s="31" t="s">
        <v>302</v>
      </c>
      <c r="J464" s="33">
        <v>35400</v>
      </c>
      <c r="K464" s="33">
        <v>17900</v>
      </c>
      <c r="L464" s="33">
        <v>6500</v>
      </c>
      <c r="M464" s="33">
        <f t="shared" si="56"/>
        <v>59800</v>
      </c>
      <c r="N464" s="34">
        <f t="shared" si="62"/>
        <v>0.000313509863502629</v>
      </c>
      <c r="O464" s="35">
        <f>SUM($M$2:M464)</f>
        <v>176748600</v>
      </c>
      <c r="P464" s="34">
        <f t="shared" si="63"/>
        <v>0.926629255188641</v>
      </c>
      <c r="Q464" s="37">
        <v>9.2</v>
      </c>
      <c r="R464" s="31">
        <v>9</v>
      </c>
      <c r="S464" s="31">
        <v>2</v>
      </c>
      <c r="T464" s="31">
        <v>1</v>
      </c>
      <c r="U464" s="37">
        <v>1.4</v>
      </c>
      <c r="V464" s="31">
        <v>22</v>
      </c>
      <c r="W464" s="31">
        <v>0</v>
      </c>
      <c r="X464" s="38">
        <v>20</v>
      </c>
      <c r="Y464" s="31">
        <v>2</v>
      </c>
      <c r="Z464" s="31">
        <v>0</v>
      </c>
      <c r="AA464" s="31" t="s">
        <v>315</v>
      </c>
      <c r="AB464" s="31" t="s">
        <v>220</v>
      </c>
      <c r="AC464" s="41">
        <f>IFERROR(LOOKUP(M464,打分卡!$F$7:$J$7,打分卡!$K$7:$O$7),1)</f>
        <v>2</v>
      </c>
      <c r="AD464" s="41">
        <f>IFERROR(LOOKUP(S464,打分卡!$F$8:$J$8,打分卡!$K$8:$O$8),1)</f>
        <v>2</v>
      </c>
      <c r="AE464" s="41">
        <f>IFERROR(LOOKUP(T464,打分卡!$F$9:$I$9,打分卡!$K$9:$N$9),1)</f>
        <v>2</v>
      </c>
      <c r="AF464" s="41">
        <f>IFERROR(LOOKUP(Q464,打分卡!$F$10:$J$10,打分卡!$K$10:$O$10),1)</f>
        <v>2</v>
      </c>
      <c r="AG464" s="41">
        <f>IFERROR(LOOKUP(R464,打分卡!$F$11:$J$11,打分卡!$K$11:$O$11),1)</f>
        <v>4</v>
      </c>
      <c r="AH464" s="41">
        <f>IFERROR(LOOKUP(U464,打分卡!$F$12:$J$12,打分卡!$K$12:$O$12),1)</f>
        <v>1</v>
      </c>
      <c r="AI464" s="41">
        <f>IFERROR(LOOKUP(X464,打分卡!$F$13:$J$13,打分卡!$K$13:$O$13),1)</f>
        <v>2</v>
      </c>
      <c r="AJ464" s="41">
        <f>IFERROR(LOOKUP(Y464,打分卡!$F$14:$J$14,打分卡!$K$14:$O$14),1)</f>
        <v>3</v>
      </c>
      <c r="AK464" s="41">
        <f>IFERROR(LOOKUP(W464,打分卡!$F$15:$J$15,打分卡!$K$15:$O$15),1)</f>
        <v>1</v>
      </c>
      <c r="AL464" s="43">
        <f t="shared" si="57"/>
        <v>2</v>
      </c>
      <c r="AM464" s="41">
        <f>IFERROR(LOOKUP(Z464,打分卡!$F$17:$H$17,打分卡!$K$17:$M$17),1)</f>
        <v>1</v>
      </c>
      <c r="AN464" s="44">
        <f>(打分卡!$D$7*AC464+打分卡!$D$8*AD464+打分卡!$D$9*AE464)/5</f>
        <v>16</v>
      </c>
      <c r="AO464" s="44">
        <f>(打分卡!$D$10*AF464+打分卡!$D$11*AG464)/5</f>
        <v>12</v>
      </c>
      <c r="AP464" s="44">
        <f>(打分卡!$D$12*AH464+打分卡!$D$13*AI464+打分卡!$D$14*AJ464+打分卡!$D$15*AK464)/5</f>
        <v>10</v>
      </c>
      <c r="AQ464" s="44">
        <f>(打分卡!$D$16*AL464+打分卡!$D$17*AM464)/5</f>
        <v>3.2</v>
      </c>
      <c r="AR464" s="47">
        <f t="shared" si="58"/>
        <v>41.2</v>
      </c>
      <c r="AS464" s="43" t="str">
        <f t="shared" si="59"/>
        <v>腰部</v>
      </c>
      <c r="AT464" s="43" t="str">
        <f t="shared" si="60"/>
        <v/>
      </c>
      <c r="AU464" s="43" t="str">
        <f t="shared" si="61"/>
        <v>拉·主攻：主推AI外呼+大促作战包</v>
      </c>
    </row>
    <row r="465" ht="15" customHeight="1" spans="1:47">
      <c r="A465" s="20" t="s">
        <v>1473</v>
      </c>
      <c r="B465" s="22" t="s">
        <v>1474</v>
      </c>
      <c r="C465" s="22" t="s">
        <v>189</v>
      </c>
      <c r="D465" s="22" t="s">
        <v>196</v>
      </c>
      <c r="E465" s="22" t="s">
        <v>181</v>
      </c>
      <c r="F465" s="20" t="s">
        <v>421</v>
      </c>
      <c r="G465" s="22">
        <v>22</v>
      </c>
      <c r="H465" s="22" t="s">
        <v>301</v>
      </c>
      <c r="I465" s="22" t="s">
        <v>184</v>
      </c>
      <c r="J465" s="36">
        <v>35800</v>
      </c>
      <c r="K465" s="36">
        <v>16300</v>
      </c>
      <c r="L465" s="36">
        <v>7600</v>
      </c>
      <c r="M465" s="36">
        <f t="shared" si="56"/>
        <v>59700</v>
      </c>
      <c r="N465" s="34">
        <f t="shared" si="62"/>
        <v>0.000312985599516838</v>
      </c>
      <c r="O465" s="35">
        <f>SUM($M$2:M465)</f>
        <v>176808300</v>
      </c>
      <c r="P465" s="34">
        <f t="shared" si="63"/>
        <v>0.926942240788157</v>
      </c>
      <c r="Q465" s="39">
        <v>6.8</v>
      </c>
      <c r="R465" s="22">
        <v>2</v>
      </c>
      <c r="S465" s="22">
        <v>3</v>
      </c>
      <c r="T465" s="22">
        <v>2</v>
      </c>
      <c r="U465" s="39">
        <v>1.1</v>
      </c>
      <c r="V465" s="22">
        <v>19</v>
      </c>
      <c r="W465" s="22">
        <v>2</v>
      </c>
      <c r="X465" s="40">
        <v>38</v>
      </c>
      <c r="Y465" s="22">
        <v>2</v>
      </c>
      <c r="Z465" s="22">
        <v>1</v>
      </c>
      <c r="AA465" s="22" t="s">
        <v>185</v>
      </c>
      <c r="AB465" s="22" t="s">
        <v>220</v>
      </c>
      <c r="AC465" s="42">
        <f>IFERROR(LOOKUP(M465,打分卡!$F$7:$J$7,打分卡!$K$7:$O$7),1)</f>
        <v>2</v>
      </c>
      <c r="AD465" s="42">
        <f>IFERROR(LOOKUP(S465,打分卡!$F$8:$J$8,打分卡!$K$8:$O$8),1)</f>
        <v>3</v>
      </c>
      <c r="AE465" s="42">
        <f>IFERROR(LOOKUP(T465,打分卡!$F$9:$I$9,打分卡!$K$9:$N$9),1)</f>
        <v>3</v>
      </c>
      <c r="AF465" s="42">
        <f>IFERROR(LOOKUP(Q465,打分卡!$F$10:$J$10,打分卡!$K$10:$O$10),1)</f>
        <v>2</v>
      </c>
      <c r="AG465" s="42">
        <f>IFERROR(LOOKUP(R465,打分卡!$F$11:$J$11,打分卡!$K$11:$O$11),1)</f>
        <v>1</v>
      </c>
      <c r="AH465" s="42">
        <f>IFERROR(LOOKUP(U465,打分卡!$F$12:$J$12,打分卡!$K$12:$O$12),1)</f>
        <v>1</v>
      </c>
      <c r="AI465" s="42">
        <f>IFERROR(LOOKUP(X465,打分卡!$F$13:$J$13,打分卡!$K$13:$O$13),1)</f>
        <v>2</v>
      </c>
      <c r="AJ465" s="42">
        <f>IFERROR(LOOKUP(Y465,打分卡!$F$14:$J$14,打分卡!$K$14:$O$14),1)</f>
        <v>3</v>
      </c>
      <c r="AK465" s="42">
        <f>IFERROR(LOOKUP(W465,打分卡!$F$15:$J$15,打分卡!$K$15:$O$15),1)</f>
        <v>2</v>
      </c>
      <c r="AL465" s="45">
        <f t="shared" si="57"/>
        <v>3</v>
      </c>
      <c r="AM465" s="42">
        <f>IFERROR(LOOKUP(Z465,打分卡!$F$17:$H$17,打分卡!$K$17:$M$17),1)</f>
        <v>3</v>
      </c>
      <c r="AN465" s="46">
        <f>(打分卡!$D$7*AC465+打分卡!$D$8*AD465+打分卡!$D$9*AE465)/5</f>
        <v>19</v>
      </c>
      <c r="AO465" s="46">
        <f>(打分卡!$D$10*AF465+打分卡!$D$11*AG465)/5</f>
        <v>6</v>
      </c>
      <c r="AP465" s="46">
        <f>(打分卡!$D$12*AH465+打分卡!$D$13*AI465+打分卡!$D$14*AJ465+打分卡!$D$15*AK465)/5</f>
        <v>10.8</v>
      </c>
      <c r="AQ465" s="46">
        <f>(打分卡!$D$16*AL465+打分卡!$D$17*AM465)/5</f>
        <v>6</v>
      </c>
      <c r="AR465" s="48">
        <f t="shared" si="58"/>
        <v>41.8</v>
      </c>
      <c r="AS465" s="45" t="str">
        <f t="shared" si="59"/>
        <v>腰部</v>
      </c>
      <c r="AT465" s="45" t="str">
        <f t="shared" si="60"/>
        <v/>
      </c>
      <c r="AU465" s="45" t="str">
        <f t="shared" si="61"/>
        <v>拉·主攻：主推AI外呼+大促作战包</v>
      </c>
    </row>
    <row r="466" ht="15" customHeight="1" spans="1:47">
      <c r="A466" s="30" t="s">
        <v>1475</v>
      </c>
      <c r="B466" s="31" t="s">
        <v>1476</v>
      </c>
      <c r="C466" s="31" t="s">
        <v>179</v>
      </c>
      <c r="D466" s="31" t="s">
        <v>202</v>
      </c>
      <c r="E466" s="31" t="s">
        <v>197</v>
      </c>
      <c r="F466" s="30" t="s">
        <v>1477</v>
      </c>
      <c r="G466" s="31">
        <v>13</v>
      </c>
      <c r="H466" s="31" t="s">
        <v>301</v>
      </c>
      <c r="I466" s="31" t="s">
        <v>302</v>
      </c>
      <c r="J466" s="33">
        <v>38200</v>
      </c>
      <c r="K466" s="33">
        <v>17900</v>
      </c>
      <c r="L466" s="33">
        <v>3000</v>
      </c>
      <c r="M466" s="33">
        <f t="shared" si="56"/>
        <v>59100</v>
      </c>
      <c r="N466" s="34">
        <f t="shared" si="62"/>
        <v>0.000309840015602096</v>
      </c>
      <c r="O466" s="35">
        <f>SUM($M$2:M466)</f>
        <v>176867400</v>
      </c>
      <c r="P466" s="34">
        <f t="shared" si="63"/>
        <v>0.92725208080376</v>
      </c>
      <c r="Q466" s="37">
        <v>7.9</v>
      </c>
      <c r="R466" s="31">
        <v>8</v>
      </c>
      <c r="S466" s="31">
        <v>3</v>
      </c>
      <c r="T466" s="31">
        <v>1</v>
      </c>
      <c r="U466" s="37">
        <v>2.9</v>
      </c>
      <c r="V466" s="31">
        <v>9</v>
      </c>
      <c r="W466" s="31">
        <v>3</v>
      </c>
      <c r="X466" s="38">
        <v>129</v>
      </c>
      <c r="Y466" s="31">
        <v>3</v>
      </c>
      <c r="Z466" s="31">
        <v>0</v>
      </c>
      <c r="AA466" s="31" t="s">
        <v>199</v>
      </c>
      <c r="AB466" s="31" t="s">
        <v>220</v>
      </c>
      <c r="AC466" s="41">
        <f>IFERROR(LOOKUP(M466,打分卡!$F$7:$J$7,打分卡!$K$7:$O$7),1)</f>
        <v>2</v>
      </c>
      <c r="AD466" s="41">
        <f>IFERROR(LOOKUP(S466,打分卡!$F$8:$J$8,打分卡!$K$8:$O$8),1)</f>
        <v>3</v>
      </c>
      <c r="AE466" s="41">
        <f>IFERROR(LOOKUP(T466,打分卡!$F$9:$I$9,打分卡!$K$9:$N$9),1)</f>
        <v>2</v>
      </c>
      <c r="AF466" s="41">
        <f>IFERROR(LOOKUP(Q466,打分卡!$F$10:$J$10,打分卡!$K$10:$O$10),1)</f>
        <v>2</v>
      </c>
      <c r="AG466" s="41">
        <f>IFERROR(LOOKUP(R466,打分卡!$F$11:$J$11,打分卡!$K$11:$O$11),1)</f>
        <v>3</v>
      </c>
      <c r="AH466" s="41">
        <f>IFERROR(LOOKUP(U466,打分卡!$F$12:$J$12,打分卡!$K$12:$O$12),1)</f>
        <v>2</v>
      </c>
      <c r="AI466" s="41">
        <f>IFERROR(LOOKUP(X466,打分卡!$F$13:$J$13,打分卡!$K$13:$O$13),1)</f>
        <v>4</v>
      </c>
      <c r="AJ466" s="41">
        <f>IFERROR(LOOKUP(Y466,打分卡!$F$14:$J$14,打分卡!$K$14:$O$14),1)</f>
        <v>4</v>
      </c>
      <c r="AK466" s="41">
        <f>IFERROR(LOOKUP(W466,打分卡!$F$15:$J$15,打分卡!$K$15:$O$15),1)</f>
        <v>3</v>
      </c>
      <c r="AL466" s="43">
        <f t="shared" si="57"/>
        <v>5</v>
      </c>
      <c r="AM466" s="41">
        <f>IFERROR(LOOKUP(Z466,打分卡!$F$17:$H$17,打分卡!$K$17:$M$17),1)</f>
        <v>1</v>
      </c>
      <c r="AN466" s="44">
        <f>(打分卡!$D$7*AC466+打分卡!$D$8*AD466+打分卡!$D$9*AE466)/5</f>
        <v>17.6</v>
      </c>
      <c r="AO466" s="44">
        <f>(打分卡!$D$10*AF466+打分卡!$D$11*AG466)/5</f>
        <v>10</v>
      </c>
      <c r="AP466" s="44">
        <f>(打分卡!$D$12*AH466+打分卡!$D$13*AI466+打分卡!$D$14*AJ466+打分卡!$D$15*AK466)/5</f>
        <v>18.4</v>
      </c>
      <c r="AQ466" s="44">
        <f>(打分卡!$D$16*AL466+打分卡!$D$17*AM466)/5</f>
        <v>6.8</v>
      </c>
      <c r="AR466" s="47">
        <f t="shared" si="58"/>
        <v>52.8</v>
      </c>
      <c r="AS466" s="43" t="str">
        <f t="shared" si="59"/>
        <v>腰部</v>
      </c>
      <c r="AT466" s="43" t="str">
        <f t="shared" si="60"/>
        <v/>
      </c>
      <c r="AU466" s="43" t="str">
        <f t="shared" si="61"/>
        <v>拉·主攻：主推AI外呼+大促作战包</v>
      </c>
    </row>
    <row r="467" ht="15" customHeight="1" spans="1:47">
      <c r="A467" s="20" t="s">
        <v>1478</v>
      </c>
      <c r="B467" s="22" t="s">
        <v>1479</v>
      </c>
      <c r="C467" s="22" t="s">
        <v>218</v>
      </c>
      <c r="D467" s="22" t="s">
        <v>196</v>
      </c>
      <c r="E467" s="22" t="s">
        <v>181</v>
      </c>
      <c r="F467" s="20" t="s">
        <v>1129</v>
      </c>
      <c r="G467" s="22">
        <v>8</v>
      </c>
      <c r="H467" s="22" t="s">
        <v>183</v>
      </c>
      <c r="I467" s="22" t="s">
        <v>302</v>
      </c>
      <c r="J467" s="36">
        <v>27800</v>
      </c>
      <c r="K467" s="36">
        <v>22100</v>
      </c>
      <c r="L467" s="36">
        <v>9100</v>
      </c>
      <c r="M467" s="36">
        <f t="shared" si="56"/>
        <v>59000</v>
      </c>
      <c r="N467" s="34">
        <f t="shared" si="62"/>
        <v>0.000309315751616306</v>
      </c>
      <c r="O467" s="35">
        <f>SUM($M$2:M467)</f>
        <v>176926400</v>
      </c>
      <c r="P467" s="34">
        <f t="shared" si="63"/>
        <v>0.927561396555376</v>
      </c>
      <c r="Q467" s="39">
        <v>4.1</v>
      </c>
      <c r="R467" s="22">
        <v>8</v>
      </c>
      <c r="S467" s="22">
        <v>3</v>
      </c>
      <c r="T467" s="22">
        <v>2</v>
      </c>
      <c r="U467" s="39">
        <v>5.6</v>
      </c>
      <c r="V467" s="22">
        <v>3</v>
      </c>
      <c r="W467" s="22">
        <v>1</v>
      </c>
      <c r="X467" s="40">
        <v>79</v>
      </c>
      <c r="Y467" s="22">
        <v>2</v>
      </c>
      <c r="Z467" s="22">
        <v>0</v>
      </c>
      <c r="AA467" s="22" t="s">
        <v>315</v>
      </c>
      <c r="AB467" s="22" t="s">
        <v>220</v>
      </c>
      <c r="AC467" s="42">
        <f>IFERROR(LOOKUP(M467,打分卡!$F$7:$J$7,打分卡!$K$7:$O$7),1)</f>
        <v>2</v>
      </c>
      <c r="AD467" s="42">
        <f>IFERROR(LOOKUP(S467,打分卡!$F$8:$J$8,打分卡!$K$8:$O$8),1)</f>
        <v>3</v>
      </c>
      <c r="AE467" s="42">
        <f>IFERROR(LOOKUP(T467,打分卡!$F$9:$I$9,打分卡!$K$9:$N$9),1)</f>
        <v>3</v>
      </c>
      <c r="AF467" s="42">
        <f>IFERROR(LOOKUP(Q467,打分卡!$F$10:$J$10,打分卡!$K$10:$O$10),1)</f>
        <v>2</v>
      </c>
      <c r="AG467" s="42">
        <f>IFERROR(LOOKUP(R467,打分卡!$F$11:$J$11,打分卡!$K$11:$O$11),1)</f>
        <v>3</v>
      </c>
      <c r="AH467" s="42">
        <f>IFERROR(LOOKUP(U467,打分卡!$F$12:$J$12,打分卡!$K$12:$O$12),1)</f>
        <v>2</v>
      </c>
      <c r="AI467" s="42">
        <f>IFERROR(LOOKUP(X467,打分卡!$F$13:$J$13,打分卡!$K$13:$O$13),1)</f>
        <v>3</v>
      </c>
      <c r="AJ467" s="42">
        <f>IFERROR(LOOKUP(Y467,打分卡!$F$14:$J$14,打分卡!$K$14:$O$14),1)</f>
        <v>3</v>
      </c>
      <c r="AK467" s="42">
        <f>IFERROR(LOOKUP(W467,打分卡!$F$15:$J$15,打分卡!$K$15:$O$15),1)</f>
        <v>2</v>
      </c>
      <c r="AL467" s="45">
        <f t="shared" si="57"/>
        <v>2</v>
      </c>
      <c r="AM467" s="42">
        <f>IFERROR(LOOKUP(Z467,打分卡!$F$17:$H$17,打分卡!$K$17:$M$17),1)</f>
        <v>1</v>
      </c>
      <c r="AN467" s="46">
        <f>(打分卡!$D$7*AC467+打分卡!$D$8*AD467+打分卡!$D$9*AE467)/5</f>
        <v>19</v>
      </c>
      <c r="AO467" s="46">
        <f>(打分卡!$D$10*AF467+打分卡!$D$11*AG467)/5</f>
        <v>10</v>
      </c>
      <c r="AP467" s="46">
        <f>(打分卡!$D$12*AH467+打分卡!$D$13*AI467+打分卡!$D$14*AJ467+打分卡!$D$15*AK467)/5</f>
        <v>14.8</v>
      </c>
      <c r="AQ467" s="46">
        <f>(打分卡!$D$16*AL467+打分卡!$D$17*AM467)/5</f>
        <v>3.2</v>
      </c>
      <c r="AR467" s="48">
        <f t="shared" si="58"/>
        <v>47</v>
      </c>
      <c r="AS467" s="45" t="str">
        <f t="shared" si="59"/>
        <v>腰部</v>
      </c>
      <c r="AT467" s="45" t="str">
        <f t="shared" si="60"/>
        <v/>
      </c>
      <c r="AU467" s="45" t="str">
        <f t="shared" si="61"/>
        <v>拉·主攻：主推AI外呼+大促作战包</v>
      </c>
    </row>
    <row r="468" ht="15" customHeight="1" spans="1:47">
      <c r="A468" s="30" t="s">
        <v>1480</v>
      </c>
      <c r="B468" s="31" t="s">
        <v>1481</v>
      </c>
      <c r="C468" s="31" t="s">
        <v>189</v>
      </c>
      <c r="D468" s="31" t="s">
        <v>202</v>
      </c>
      <c r="E468" s="31" t="s">
        <v>181</v>
      </c>
      <c r="F468" s="30" t="s">
        <v>1482</v>
      </c>
      <c r="G468" s="31">
        <v>19</v>
      </c>
      <c r="H468" s="31" t="s">
        <v>301</v>
      </c>
      <c r="I468" s="31" t="s">
        <v>184</v>
      </c>
      <c r="J468" s="33">
        <v>30100</v>
      </c>
      <c r="K468" s="33">
        <v>17800</v>
      </c>
      <c r="L468" s="33">
        <v>10700</v>
      </c>
      <c r="M468" s="33">
        <f t="shared" si="56"/>
        <v>58600</v>
      </c>
      <c r="N468" s="34">
        <f t="shared" si="62"/>
        <v>0.000307218695673144</v>
      </c>
      <c r="O468" s="35">
        <f>SUM($M$2:M468)</f>
        <v>176985000</v>
      </c>
      <c r="P468" s="34">
        <f t="shared" si="63"/>
        <v>0.927868615251049</v>
      </c>
      <c r="Q468" s="37">
        <v>8</v>
      </c>
      <c r="R468" s="31">
        <v>5</v>
      </c>
      <c r="S468" s="31">
        <v>1</v>
      </c>
      <c r="T468" s="31">
        <v>2</v>
      </c>
      <c r="U468" s="37">
        <v>1.5</v>
      </c>
      <c r="V468" s="31">
        <v>30</v>
      </c>
      <c r="W468" s="31">
        <v>2</v>
      </c>
      <c r="X468" s="38">
        <v>37</v>
      </c>
      <c r="Y468" s="31">
        <v>3</v>
      </c>
      <c r="Z468" s="31">
        <v>0</v>
      </c>
      <c r="AA468" s="31" t="s">
        <v>199</v>
      </c>
      <c r="AB468" s="31" t="s">
        <v>220</v>
      </c>
      <c r="AC468" s="41">
        <f>IFERROR(LOOKUP(M468,打分卡!$F$7:$J$7,打分卡!$K$7:$O$7),1)</f>
        <v>2</v>
      </c>
      <c r="AD468" s="41">
        <f>IFERROR(LOOKUP(S468,打分卡!$F$8:$J$8,打分卡!$K$8:$O$8),1)</f>
        <v>1</v>
      </c>
      <c r="AE468" s="41">
        <f>IFERROR(LOOKUP(T468,打分卡!$F$9:$I$9,打分卡!$K$9:$N$9),1)</f>
        <v>3</v>
      </c>
      <c r="AF468" s="41">
        <f>IFERROR(LOOKUP(Q468,打分卡!$F$10:$J$10,打分卡!$K$10:$O$10),1)</f>
        <v>2</v>
      </c>
      <c r="AG468" s="41">
        <f>IFERROR(LOOKUP(R468,打分卡!$F$11:$J$11,打分卡!$K$11:$O$11),1)</f>
        <v>3</v>
      </c>
      <c r="AH468" s="41">
        <f>IFERROR(LOOKUP(U468,打分卡!$F$12:$J$12,打分卡!$K$12:$O$12),1)</f>
        <v>1</v>
      </c>
      <c r="AI468" s="41">
        <f>IFERROR(LOOKUP(X468,打分卡!$F$13:$J$13,打分卡!$K$13:$O$13),1)</f>
        <v>2</v>
      </c>
      <c r="AJ468" s="41">
        <f>IFERROR(LOOKUP(Y468,打分卡!$F$14:$J$14,打分卡!$K$14:$O$14),1)</f>
        <v>4</v>
      </c>
      <c r="AK468" s="41">
        <f>IFERROR(LOOKUP(W468,打分卡!$F$15:$J$15,打分卡!$K$15:$O$15),1)</f>
        <v>2</v>
      </c>
      <c r="AL468" s="43">
        <f t="shared" si="57"/>
        <v>5</v>
      </c>
      <c r="AM468" s="41">
        <f>IFERROR(LOOKUP(Z468,打分卡!$F$17:$H$17,打分卡!$K$17:$M$17),1)</f>
        <v>1</v>
      </c>
      <c r="AN468" s="44">
        <f>(打分卡!$D$7*AC468+打分卡!$D$8*AD468+打分卡!$D$9*AE468)/5</f>
        <v>15.8</v>
      </c>
      <c r="AO468" s="44">
        <f>(打分卡!$D$10*AF468+打分卡!$D$11*AG468)/5</f>
        <v>10</v>
      </c>
      <c r="AP468" s="44">
        <f>(打分卡!$D$12*AH468+打分卡!$D$13*AI468+打分卡!$D$14*AJ468+打分卡!$D$15*AK468)/5</f>
        <v>12</v>
      </c>
      <c r="AQ468" s="44">
        <f>(打分卡!$D$16*AL468+打分卡!$D$17*AM468)/5</f>
        <v>6.8</v>
      </c>
      <c r="AR468" s="47">
        <f t="shared" si="58"/>
        <v>44.6</v>
      </c>
      <c r="AS468" s="43" t="str">
        <f t="shared" si="59"/>
        <v>腰部</v>
      </c>
      <c r="AT468" s="43" t="str">
        <f t="shared" si="60"/>
        <v/>
      </c>
      <c r="AU468" s="43" t="str">
        <f t="shared" si="61"/>
        <v>拉·主攻：主推AI外呼+大促作战包</v>
      </c>
    </row>
    <row r="469" ht="15" customHeight="1" spans="1:47">
      <c r="A469" s="20" t="s">
        <v>1483</v>
      </c>
      <c r="B469" s="22" t="s">
        <v>1484</v>
      </c>
      <c r="C469" s="22" t="s">
        <v>234</v>
      </c>
      <c r="D469" s="22" t="s">
        <v>202</v>
      </c>
      <c r="E469" s="22" t="s">
        <v>181</v>
      </c>
      <c r="F469" s="20" t="s">
        <v>731</v>
      </c>
      <c r="G469" s="22">
        <v>21</v>
      </c>
      <c r="H469" s="22" t="s">
        <v>301</v>
      </c>
      <c r="I469" s="22" t="s">
        <v>302</v>
      </c>
      <c r="J469" s="36">
        <v>31200</v>
      </c>
      <c r="K469" s="36">
        <v>12500</v>
      </c>
      <c r="L469" s="36">
        <v>15000</v>
      </c>
      <c r="M469" s="36">
        <f t="shared" si="56"/>
        <v>58700</v>
      </c>
      <c r="N469" s="34">
        <f t="shared" si="62"/>
        <v>0.000307742959658935</v>
      </c>
      <c r="O469" s="35">
        <f>SUM($M$2:M469)</f>
        <v>177043700</v>
      </c>
      <c r="P469" s="34">
        <f t="shared" si="63"/>
        <v>0.928176358210708</v>
      </c>
      <c r="Q469" s="39">
        <v>4</v>
      </c>
      <c r="R469" s="22">
        <v>6</v>
      </c>
      <c r="S469" s="22">
        <v>3</v>
      </c>
      <c r="T469" s="22">
        <v>0</v>
      </c>
      <c r="U469" s="39">
        <v>1.5</v>
      </c>
      <c r="V469" s="22">
        <v>16</v>
      </c>
      <c r="W469" s="22">
        <v>0</v>
      </c>
      <c r="X469" s="40">
        <v>52</v>
      </c>
      <c r="Y469" s="22">
        <v>2</v>
      </c>
      <c r="Z469" s="22">
        <v>1</v>
      </c>
      <c r="AA469" s="22" t="s">
        <v>315</v>
      </c>
      <c r="AB469" s="22" t="s">
        <v>220</v>
      </c>
      <c r="AC469" s="42">
        <f>IFERROR(LOOKUP(M469,打分卡!$F$7:$J$7,打分卡!$K$7:$O$7),1)</f>
        <v>2</v>
      </c>
      <c r="AD469" s="42">
        <f>IFERROR(LOOKUP(S469,打分卡!$F$8:$J$8,打分卡!$K$8:$O$8),1)</f>
        <v>3</v>
      </c>
      <c r="AE469" s="42">
        <f>IFERROR(LOOKUP(T469,打分卡!$F$9:$I$9,打分卡!$K$9:$N$9),1)</f>
        <v>1</v>
      </c>
      <c r="AF469" s="42">
        <f>IFERROR(LOOKUP(Q469,打分卡!$F$10:$J$10,打分卡!$K$10:$O$10),1)</f>
        <v>2</v>
      </c>
      <c r="AG469" s="42">
        <f>IFERROR(LOOKUP(R469,打分卡!$F$11:$J$11,打分卡!$K$11:$O$11),1)</f>
        <v>3</v>
      </c>
      <c r="AH469" s="42">
        <f>IFERROR(LOOKUP(U469,打分卡!$F$12:$J$12,打分卡!$K$12:$O$12),1)</f>
        <v>1</v>
      </c>
      <c r="AI469" s="42">
        <f>IFERROR(LOOKUP(X469,打分卡!$F$13:$J$13,打分卡!$K$13:$O$13),1)</f>
        <v>3</v>
      </c>
      <c r="AJ469" s="42">
        <f>IFERROR(LOOKUP(Y469,打分卡!$F$14:$J$14,打分卡!$K$14:$O$14),1)</f>
        <v>3</v>
      </c>
      <c r="AK469" s="42">
        <f>IFERROR(LOOKUP(W469,打分卡!$F$15:$J$15,打分卡!$K$15:$O$15),1)</f>
        <v>1</v>
      </c>
      <c r="AL469" s="45">
        <f t="shared" si="57"/>
        <v>2</v>
      </c>
      <c r="AM469" s="42">
        <f>IFERROR(LOOKUP(Z469,打分卡!$F$17:$H$17,打分卡!$K$17:$M$17),1)</f>
        <v>3</v>
      </c>
      <c r="AN469" s="46">
        <f>(打分卡!$D$7*AC469+打分卡!$D$8*AD469+打分卡!$D$9*AE469)/5</f>
        <v>16.2</v>
      </c>
      <c r="AO469" s="46">
        <f>(打分卡!$D$10*AF469+打分卡!$D$11*AG469)/5</f>
        <v>10</v>
      </c>
      <c r="AP469" s="46">
        <f>(打分卡!$D$12*AH469+打分卡!$D$13*AI469+打分卡!$D$14*AJ469+打分卡!$D$15*AK469)/5</f>
        <v>11.6</v>
      </c>
      <c r="AQ469" s="46">
        <f>(打分卡!$D$16*AL469+打分卡!$D$17*AM469)/5</f>
        <v>4.8</v>
      </c>
      <c r="AR469" s="48">
        <f t="shared" si="58"/>
        <v>42.6</v>
      </c>
      <c r="AS469" s="45" t="str">
        <f t="shared" si="59"/>
        <v>腰部</v>
      </c>
      <c r="AT469" s="45" t="str">
        <f t="shared" si="60"/>
        <v/>
      </c>
      <c r="AU469" s="45" t="str">
        <f t="shared" si="61"/>
        <v>拉·主攻：主推AI外呼+大促作战包</v>
      </c>
    </row>
    <row r="470" ht="15" customHeight="1" spans="1:47">
      <c r="A470" s="30" t="s">
        <v>1485</v>
      </c>
      <c r="B470" s="31" t="s">
        <v>1486</v>
      </c>
      <c r="C470" s="31" t="s">
        <v>195</v>
      </c>
      <c r="D470" s="31" t="s">
        <v>190</v>
      </c>
      <c r="E470" s="31" t="s">
        <v>197</v>
      </c>
      <c r="F470" s="30" t="s">
        <v>494</v>
      </c>
      <c r="G470" s="31">
        <v>10</v>
      </c>
      <c r="H470" s="31" t="s">
        <v>301</v>
      </c>
      <c r="I470" s="31" t="s">
        <v>184</v>
      </c>
      <c r="J470" s="33">
        <v>27600</v>
      </c>
      <c r="K470" s="33">
        <v>12000</v>
      </c>
      <c r="L470" s="33">
        <v>19000</v>
      </c>
      <c r="M470" s="33">
        <f t="shared" si="56"/>
        <v>58600</v>
      </c>
      <c r="N470" s="34">
        <f t="shared" si="62"/>
        <v>0.000307218695673144</v>
      </c>
      <c r="O470" s="35">
        <f>SUM($M$2:M470)</f>
        <v>177102300</v>
      </c>
      <c r="P470" s="34">
        <f t="shared" si="63"/>
        <v>0.928483576906381</v>
      </c>
      <c r="Q470" s="37">
        <v>7.8</v>
      </c>
      <c r="R470" s="31">
        <v>1</v>
      </c>
      <c r="S470" s="31">
        <v>2</v>
      </c>
      <c r="T470" s="31">
        <v>1</v>
      </c>
      <c r="U470" s="37">
        <v>1.7</v>
      </c>
      <c r="V470" s="31">
        <v>29</v>
      </c>
      <c r="W470" s="31">
        <v>3</v>
      </c>
      <c r="X470" s="38">
        <v>21</v>
      </c>
      <c r="Y470" s="31">
        <v>3</v>
      </c>
      <c r="Z470" s="31">
        <v>1</v>
      </c>
      <c r="AA470" s="31" t="s">
        <v>315</v>
      </c>
      <c r="AB470" s="31" t="s">
        <v>220</v>
      </c>
      <c r="AC470" s="41">
        <f>IFERROR(LOOKUP(M470,打分卡!$F$7:$J$7,打分卡!$K$7:$O$7),1)</f>
        <v>2</v>
      </c>
      <c r="AD470" s="41">
        <f>IFERROR(LOOKUP(S470,打分卡!$F$8:$J$8,打分卡!$K$8:$O$8),1)</f>
        <v>2</v>
      </c>
      <c r="AE470" s="41">
        <f>IFERROR(LOOKUP(T470,打分卡!$F$9:$I$9,打分卡!$K$9:$N$9),1)</f>
        <v>2</v>
      </c>
      <c r="AF470" s="41">
        <f>IFERROR(LOOKUP(Q470,打分卡!$F$10:$J$10,打分卡!$K$10:$O$10),1)</f>
        <v>2</v>
      </c>
      <c r="AG470" s="41">
        <f>IFERROR(LOOKUP(R470,打分卡!$F$11:$J$11,打分卡!$K$11:$O$11),1)</f>
        <v>1</v>
      </c>
      <c r="AH470" s="41">
        <f>IFERROR(LOOKUP(U470,打分卡!$F$12:$J$12,打分卡!$K$12:$O$12),1)</f>
        <v>1</v>
      </c>
      <c r="AI470" s="41">
        <f>IFERROR(LOOKUP(X470,打分卡!$F$13:$J$13,打分卡!$K$13:$O$13),1)</f>
        <v>2</v>
      </c>
      <c r="AJ470" s="41">
        <f>IFERROR(LOOKUP(Y470,打分卡!$F$14:$J$14,打分卡!$K$14:$O$14),1)</f>
        <v>4</v>
      </c>
      <c r="AK470" s="41">
        <f>IFERROR(LOOKUP(W470,打分卡!$F$15:$J$15,打分卡!$K$15:$O$15),1)</f>
        <v>3</v>
      </c>
      <c r="AL470" s="43">
        <f t="shared" si="57"/>
        <v>2</v>
      </c>
      <c r="AM470" s="41">
        <f>IFERROR(LOOKUP(Z470,打分卡!$F$17:$H$17,打分卡!$K$17:$M$17),1)</f>
        <v>3</v>
      </c>
      <c r="AN470" s="44">
        <f>(打分卡!$D$7*AC470+打分卡!$D$8*AD470+打分卡!$D$9*AE470)/5</f>
        <v>16</v>
      </c>
      <c r="AO470" s="44">
        <f>(打分卡!$D$10*AF470+打分卡!$D$11*AG470)/5</f>
        <v>6</v>
      </c>
      <c r="AP470" s="44">
        <f>(打分卡!$D$12*AH470+打分卡!$D$13*AI470+打分卡!$D$14*AJ470+打分卡!$D$15*AK470)/5</f>
        <v>12.8</v>
      </c>
      <c r="AQ470" s="44">
        <f>(打分卡!$D$16*AL470+打分卡!$D$17*AM470)/5</f>
        <v>4.8</v>
      </c>
      <c r="AR470" s="47">
        <f t="shared" si="58"/>
        <v>39.6</v>
      </c>
      <c r="AS470" s="43" t="str">
        <f t="shared" si="59"/>
        <v>基础长尾</v>
      </c>
      <c r="AT470" s="43" t="str">
        <f t="shared" si="60"/>
        <v/>
      </c>
      <c r="AU470" s="43" t="str">
        <f t="shared" si="61"/>
        <v>激活：企微+Push低成本先跑</v>
      </c>
    </row>
    <row r="471" ht="15" customHeight="1" spans="1:47">
      <c r="A471" s="20" t="s">
        <v>1487</v>
      </c>
      <c r="B471" s="22" t="s">
        <v>1488</v>
      </c>
      <c r="C471" s="22" t="s">
        <v>239</v>
      </c>
      <c r="D471" s="22" t="s">
        <v>252</v>
      </c>
      <c r="E471" s="22" t="s">
        <v>197</v>
      </c>
      <c r="F471" s="20" t="s">
        <v>1489</v>
      </c>
      <c r="G471" s="22">
        <v>1</v>
      </c>
      <c r="H471" s="22" t="s">
        <v>642</v>
      </c>
      <c r="I471" s="22" t="s">
        <v>302</v>
      </c>
      <c r="J471" s="36">
        <v>34600</v>
      </c>
      <c r="K471" s="36">
        <v>15500</v>
      </c>
      <c r="L471" s="36">
        <v>8500</v>
      </c>
      <c r="M471" s="36">
        <f t="shared" si="56"/>
        <v>58600</v>
      </c>
      <c r="N471" s="34">
        <f t="shared" si="62"/>
        <v>0.000307218695673144</v>
      </c>
      <c r="O471" s="35">
        <f>SUM($M$2:M471)</f>
        <v>177160900</v>
      </c>
      <c r="P471" s="34">
        <f t="shared" si="63"/>
        <v>0.928790795602054</v>
      </c>
      <c r="Q471" s="39">
        <v>4.3</v>
      </c>
      <c r="R471" s="22">
        <v>9</v>
      </c>
      <c r="S471" s="22">
        <v>1</v>
      </c>
      <c r="T471" s="22">
        <v>0</v>
      </c>
      <c r="U471" s="39">
        <v>700</v>
      </c>
      <c r="V471" s="22">
        <v>4</v>
      </c>
      <c r="W471" s="22">
        <v>16</v>
      </c>
      <c r="X471" s="40">
        <v>1365</v>
      </c>
      <c r="Y471" s="22">
        <v>3</v>
      </c>
      <c r="Z471" s="22">
        <v>1</v>
      </c>
      <c r="AA471" s="22" t="s">
        <v>199</v>
      </c>
      <c r="AB471" s="22" t="s">
        <v>220</v>
      </c>
      <c r="AC471" s="42">
        <f>IFERROR(LOOKUP(M471,打分卡!$F$7:$J$7,打分卡!$K$7:$O$7),1)</f>
        <v>2</v>
      </c>
      <c r="AD471" s="42">
        <f>IFERROR(LOOKUP(S471,打分卡!$F$8:$J$8,打分卡!$K$8:$O$8),1)</f>
        <v>1</v>
      </c>
      <c r="AE471" s="42">
        <f>IFERROR(LOOKUP(T471,打分卡!$F$9:$I$9,打分卡!$K$9:$N$9),1)</f>
        <v>1</v>
      </c>
      <c r="AF471" s="42">
        <f>IFERROR(LOOKUP(Q471,打分卡!$F$10:$J$10,打分卡!$K$10:$O$10),1)</f>
        <v>2</v>
      </c>
      <c r="AG471" s="42">
        <f>IFERROR(LOOKUP(R471,打分卡!$F$11:$J$11,打分卡!$K$11:$O$11),1)</f>
        <v>4</v>
      </c>
      <c r="AH471" s="42">
        <f>IFERROR(LOOKUP(U471,打分卡!$F$12:$J$12,打分卡!$K$12:$O$12),1)</f>
        <v>5</v>
      </c>
      <c r="AI471" s="42">
        <f>IFERROR(LOOKUP(X471,打分卡!$F$13:$J$13,打分卡!$K$13:$O$13),1)</f>
        <v>5</v>
      </c>
      <c r="AJ471" s="42">
        <f>IFERROR(LOOKUP(Y471,打分卡!$F$14:$J$14,打分卡!$K$14:$O$14),1)</f>
        <v>4</v>
      </c>
      <c r="AK471" s="42">
        <f>IFERROR(LOOKUP(W471,打分卡!$F$15:$J$15,打分卡!$K$15:$O$15),1)</f>
        <v>5</v>
      </c>
      <c r="AL471" s="45">
        <f t="shared" si="57"/>
        <v>5</v>
      </c>
      <c r="AM471" s="42">
        <f>IFERROR(LOOKUP(Z471,打分卡!$F$17:$H$17,打分卡!$K$17:$M$17),1)</f>
        <v>3</v>
      </c>
      <c r="AN471" s="46">
        <f>(打分卡!$D$7*AC471+打分卡!$D$8*AD471+打分卡!$D$9*AE471)/5</f>
        <v>13</v>
      </c>
      <c r="AO471" s="46">
        <f>(打分卡!$D$10*AF471+打分卡!$D$11*AG471)/5</f>
        <v>12</v>
      </c>
      <c r="AP471" s="46">
        <f>(打分卡!$D$12*AH471+打分卡!$D$13*AI471+打分卡!$D$14*AJ471+打分卡!$D$15*AK471)/5</f>
        <v>28.8</v>
      </c>
      <c r="AQ471" s="46">
        <f>(打分卡!$D$16*AL471+打分卡!$D$17*AM471)/5</f>
        <v>8.4</v>
      </c>
      <c r="AR471" s="48">
        <f t="shared" si="58"/>
        <v>87.6</v>
      </c>
      <c r="AS471" s="45" t="str">
        <f t="shared" si="59"/>
        <v>KA</v>
      </c>
      <c r="AT471" s="45" t="str">
        <f t="shared" si="60"/>
        <v/>
      </c>
      <c r="AU471" s="45" t="str">
        <f t="shared" si="61"/>
        <v>扩·深化：AI外呼场景深化+Push/企微补全</v>
      </c>
    </row>
    <row r="472" ht="15" customHeight="1" spans="1:47">
      <c r="A472" s="30" t="s">
        <v>1490</v>
      </c>
      <c r="B472" s="31" t="s">
        <v>1491</v>
      </c>
      <c r="C472" s="31" t="s">
        <v>179</v>
      </c>
      <c r="D472" s="31" t="s">
        <v>227</v>
      </c>
      <c r="E472" s="31" t="s">
        <v>181</v>
      </c>
      <c r="F472" s="30" t="s">
        <v>817</v>
      </c>
      <c r="G472" s="31">
        <v>14</v>
      </c>
      <c r="H472" s="31" t="s">
        <v>301</v>
      </c>
      <c r="I472" s="31" t="s">
        <v>302</v>
      </c>
      <c r="J472" s="33">
        <v>28000</v>
      </c>
      <c r="K472" s="33">
        <v>21800</v>
      </c>
      <c r="L472" s="33">
        <v>8500</v>
      </c>
      <c r="M472" s="33">
        <f t="shared" si="56"/>
        <v>58300</v>
      </c>
      <c r="N472" s="34">
        <f t="shared" si="62"/>
        <v>0.000305645903715773</v>
      </c>
      <c r="O472" s="35">
        <f>SUM($M$2:M472)</f>
        <v>177219200</v>
      </c>
      <c r="P472" s="34">
        <f t="shared" si="63"/>
        <v>0.92909644150577</v>
      </c>
      <c r="Q472" s="37">
        <v>6.9</v>
      </c>
      <c r="R472" s="31">
        <v>8</v>
      </c>
      <c r="S472" s="31">
        <v>1</v>
      </c>
      <c r="T472" s="31">
        <v>1</v>
      </c>
      <c r="U472" s="37">
        <v>32.7</v>
      </c>
      <c r="V472" s="31">
        <v>26</v>
      </c>
      <c r="W472" s="31">
        <v>4</v>
      </c>
      <c r="X472" s="38">
        <v>21</v>
      </c>
      <c r="Y472" s="31">
        <v>1</v>
      </c>
      <c r="Z472" s="31">
        <v>1</v>
      </c>
      <c r="AA472" s="31" t="s">
        <v>199</v>
      </c>
      <c r="AB472" s="31" t="s">
        <v>220</v>
      </c>
      <c r="AC472" s="41">
        <f>IFERROR(LOOKUP(M472,打分卡!$F$7:$J$7,打分卡!$K$7:$O$7),1)</f>
        <v>2</v>
      </c>
      <c r="AD472" s="41">
        <f>IFERROR(LOOKUP(S472,打分卡!$F$8:$J$8,打分卡!$K$8:$O$8),1)</f>
        <v>1</v>
      </c>
      <c r="AE472" s="41">
        <f>IFERROR(LOOKUP(T472,打分卡!$F$9:$I$9,打分卡!$K$9:$N$9),1)</f>
        <v>2</v>
      </c>
      <c r="AF472" s="41">
        <f>IFERROR(LOOKUP(Q472,打分卡!$F$10:$J$10,打分卡!$K$10:$O$10),1)</f>
        <v>2</v>
      </c>
      <c r="AG472" s="41">
        <f>IFERROR(LOOKUP(R472,打分卡!$F$11:$J$11,打分卡!$K$11:$O$11),1)</f>
        <v>3</v>
      </c>
      <c r="AH472" s="41">
        <f>IFERROR(LOOKUP(U472,打分卡!$F$12:$J$12,打分卡!$K$12:$O$12),1)</f>
        <v>3</v>
      </c>
      <c r="AI472" s="41">
        <f>IFERROR(LOOKUP(X472,打分卡!$F$13:$J$13,打分卡!$K$13:$O$13),1)</f>
        <v>2</v>
      </c>
      <c r="AJ472" s="41">
        <f>IFERROR(LOOKUP(Y472,打分卡!$F$14:$J$14,打分卡!$K$14:$O$14),1)</f>
        <v>2</v>
      </c>
      <c r="AK472" s="41">
        <f>IFERROR(LOOKUP(W472,打分卡!$F$15:$J$15,打分卡!$K$15:$O$15),1)</f>
        <v>3</v>
      </c>
      <c r="AL472" s="43">
        <f t="shared" si="57"/>
        <v>5</v>
      </c>
      <c r="AM472" s="41">
        <f>IFERROR(LOOKUP(Z472,打分卡!$F$17:$H$17,打分卡!$K$17:$M$17),1)</f>
        <v>3</v>
      </c>
      <c r="AN472" s="44">
        <f>(打分卡!$D$7*AC472+打分卡!$D$8*AD472+打分卡!$D$9*AE472)/5</f>
        <v>14.4</v>
      </c>
      <c r="AO472" s="44">
        <f>(打分卡!$D$10*AF472+打分卡!$D$11*AG472)/5</f>
        <v>10</v>
      </c>
      <c r="AP472" s="44">
        <f>(打分卡!$D$12*AH472+打分卡!$D$13*AI472+打分卡!$D$14*AJ472+打分卡!$D$15*AK472)/5</f>
        <v>15.2</v>
      </c>
      <c r="AQ472" s="44">
        <f>(打分卡!$D$16*AL472+打分卡!$D$17*AM472)/5</f>
        <v>8.4</v>
      </c>
      <c r="AR472" s="47">
        <f t="shared" si="58"/>
        <v>48</v>
      </c>
      <c r="AS472" s="43" t="str">
        <f t="shared" si="59"/>
        <v>腰部</v>
      </c>
      <c r="AT472" s="43" t="str">
        <f t="shared" si="60"/>
        <v/>
      </c>
      <c r="AU472" s="43" t="str">
        <f t="shared" si="61"/>
        <v>拉·主攻：主推AI外呼+大促作战包</v>
      </c>
    </row>
    <row r="473" ht="15" customHeight="1" spans="1:47">
      <c r="A473" s="20" t="s">
        <v>1492</v>
      </c>
      <c r="B473" s="22" t="s">
        <v>1493</v>
      </c>
      <c r="C473" s="22" t="s">
        <v>239</v>
      </c>
      <c r="D473" s="22" t="s">
        <v>202</v>
      </c>
      <c r="E473" s="22" t="s">
        <v>181</v>
      </c>
      <c r="F473" s="20" t="s">
        <v>469</v>
      </c>
      <c r="G473" s="22">
        <v>7</v>
      </c>
      <c r="H473" s="22" t="s">
        <v>301</v>
      </c>
      <c r="I473" s="22" t="s">
        <v>302</v>
      </c>
      <c r="J473" s="36">
        <v>27200</v>
      </c>
      <c r="K473" s="36">
        <v>14200</v>
      </c>
      <c r="L473" s="36">
        <v>16800</v>
      </c>
      <c r="M473" s="36">
        <f t="shared" si="56"/>
        <v>58200</v>
      </c>
      <c r="N473" s="34">
        <f t="shared" si="62"/>
        <v>0.000305121639729983</v>
      </c>
      <c r="O473" s="35">
        <f>SUM($M$2:M473)</f>
        <v>177277400</v>
      </c>
      <c r="P473" s="34">
        <f t="shared" si="63"/>
        <v>0.9294015631455</v>
      </c>
      <c r="Q473" s="39">
        <v>5.9</v>
      </c>
      <c r="R473" s="22">
        <v>6</v>
      </c>
      <c r="S473" s="22">
        <v>2</v>
      </c>
      <c r="T473" s="22">
        <v>1</v>
      </c>
      <c r="U473" s="39">
        <v>15.4</v>
      </c>
      <c r="V473" s="22">
        <v>28</v>
      </c>
      <c r="W473" s="22">
        <v>0</v>
      </c>
      <c r="X473" s="40">
        <v>65</v>
      </c>
      <c r="Y473" s="22">
        <v>2</v>
      </c>
      <c r="Z473" s="22">
        <v>1</v>
      </c>
      <c r="AA473" s="22" t="s">
        <v>199</v>
      </c>
      <c r="AB473" s="22" t="s">
        <v>220</v>
      </c>
      <c r="AC473" s="42">
        <f>IFERROR(LOOKUP(M473,打分卡!$F$7:$J$7,打分卡!$K$7:$O$7),1)</f>
        <v>2</v>
      </c>
      <c r="AD473" s="42">
        <f>IFERROR(LOOKUP(S473,打分卡!$F$8:$J$8,打分卡!$K$8:$O$8),1)</f>
        <v>2</v>
      </c>
      <c r="AE473" s="42">
        <f>IFERROR(LOOKUP(T473,打分卡!$F$9:$I$9,打分卡!$K$9:$N$9),1)</f>
        <v>2</v>
      </c>
      <c r="AF473" s="42">
        <f>IFERROR(LOOKUP(Q473,打分卡!$F$10:$J$10,打分卡!$K$10:$O$10),1)</f>
        <v>2</v>
      </c>
      <c r="AG473" s="42">
        <f>IFERROR(LOOKUP(R473,打分卡!$F$11:$J$11,打分卡!$K$11:$O$11),1)</f>
        <v>3</v>
      </c>
      <c r="AH473" s="42">
        <f>IFERROR(LOOKUP(U473,打分卡!$F$12:$J$12,打分卡!$K$12:$O$12),1)</f>
        <v>3</v>
      </c>
      <c r="AI473" s="42">
        <f>IFERROR(LOOKUP(X473,打分卡!$F$13:$J$13,打分卡!$K$13:$O$13),1)</f>
        <v>3</v>
      </c>
      <c r="AJ473" s="42">
        <f>IFERROR(LOOKUP(Y473,打分卡!$F$14:$J$14,打分卡!$K$14:$O$14),1)</f>
        <v>3</v>
      </c>
      <c r="AK473" s="42">
        <f>IFERROR(LOOKUP(W473,打分卡!$F$15:$J$15,打分卡!$K$15:$O$15),1)</f>
        <v>1</v>
      </c>
      <c r="AL473" s="45">
        <f t="shared" si="57"/>
        <v>5</v>
      </c>
      <c r="AM473" s="42">
        <f>IFERROR(LOOKUP(Z473,打分卡!$F$17:$H$17,打分卡!$K$17:$M$17),1)</f>
        <v>3</v>
      </c>
      <c r="AN473" s="46">
        <f>(打分卡!$D$7*AC473+打分卡!$D$8*AD473+打分卡!$D$9*AE473)/5</f>
        <v>16</v>
      </c>
      <c r="AO473" s="46">
        <f>(打分卡!$D$10*AF473+打分卡!$D$11*AG473)/5</f>
        <v>10</v>
      </c>
      <c r="AP473" s="46">
        <f>(打分卡!$D$12*AH473+打分卡!$D$13*AI473+打分卡!$D$14*AJ473+打分卡!$D$15*AK473)/5</f>
        <v>16.4</v>
      </c>
      <c r="AQ473" s="46">
        <f>(打分卡!$D$16*AL473+打分卡!$D$17*AM473)/5</f>
        <v>8.4</v>
      </c>
      <c r="AR473" s="48">
        <f t="shared" si="58"/>
        <v>50.8</v>
      </c>
      <c r="AS473" s="45" t="str">
        <f t="shared" si="59"/>
        <v>腰部</v>
      </c>
      <c r="AT473" s="45" t="str">
        <f t="shared" si="60"/>
        <v/>
      </c>
      <c r="AU473" s="45" t="str">
        <f t="shared" si="61"/>
        <v>拉·主攻：主推AI外呼+大促作战包</v>
      </c>
    </row>
    <row r="474" ht="15" customHeight="1" spans="1:47">
      <c r="A474" s="30" t="s">
        <v>1494</v>
      </c>
      <c r="B474" s="31" t="s">
        <v>1495</v>
      </c>
      <c r="C474" s="31" t="s">
        <v>179</v>
      </c>
      <c r="D474" s="31" t="s">
        <v>202</v>
      </c>
      <c r="E474" s="31" t="s">
        <v>181</v>
      </c>
      <c r="F474" s="30" t="s">
        <v>1496</v>
      </c>
      <c r="G474" s="31">
        <v>6</v>
      </c>
      <c r="H474" s="31" t="s">
        <v>301</v>
      </c>
      <c r="I474" s="31" t="s">
        <v>184</v>
      </c>
      <c r="J474" s="33">
        <v>36800</v>
      </c>
      <c r="K474" s="33">
        <v>18500</v>
      </c>
      <c r="L474" s="33">
        <v>2900</v>
      </c>
      <c r="M474" s="33">
        <f t="shared" si="56"/>
        <v>58200</v>
      </c>
      <c r="N474" s="34">
        <f t="shared" si="62"/>
        <v>0.000305121639729983</v>
      </c>
      <c r="O474" s="35">
        <f>SUM($M$2:M474)</f>
        <v>177335600</v>
      </c>
      <c r="P474" s="34">
        <f t="shared" si="63"/>
        <v>0.92970668478523</v>
      </c>
      <c r="Q474" s="37">
        <v>8.2</v>
      </c>
      <c r="R474" s="31">
        <v>5</v>
      </c>
      <c r="S474" s="31">
        <v>2</v>
      </c>
      <c r="T474" s="31">
        <v>1</v>
      </c>
      <c r="U474" s="37">
        <v>1.4</v>
      </c>
      <c r="V474" s="31">
        <v>7</v>
      </c>
      <c r="W474" s="31">
        <v>1</v>
      </c>
      <c r="X474" s="38">
        <v>106</v>
      </c>
      <c r="Y474" s="31">
        <v>3</v>
      </c>
      <c r="Z474" s="31">
        <v>1</v>
      </c>
      <c r="AA474" s="31" t="s">
        <v>185</v>
      </c>
      <c r="AB474" s="31" t="s">
        <v>220</v>
      </c>
      <c r="AC474" s="41">
        <f>IFERROR(LOOKUP(M474,打分卡!$F$7:$J$7,打分卡!$K$7:$O$7),1)</f>
        <v>2</v>
      </c>
      <c r="AD474" s="41">
        <f>IFERROR(LOOKUP(S474,打分卡!$F$8:$J$8,打分卡!$K$8:$O$8),1)</f>
        <v>2</v>
      </c>
      <c r="AE474" s="41">
        <f>IFERROR(LOOKUP(T474,打分卡!$F$9:$I$9,打分卡!$K$9:$N$9),1)</f>
        <v>2</v>
      </c>
      <c r="AF474" s="41">
        <f>IFERROR(LOOKUP(Q474,打分卡!$F$10:$J$10,打分卡!$K$10:$O$10),1)</f>
        <v>2</v>
      </c>
      <c r="AG474" s="41">
        <f>IFERROR(LOOKUP(R474,打分卡!$F$11:$J$11,打分卡!$K$11:$O$11),1)</f>
        <v>3</v>
      </c>
      <c r="AH474" s="41">
        <f>IFERROR(LOOKUP(U474,打分卡!$F$12:$J$12,打分卡!$K$12:$O$12),1)</f>
        <v>1</v>
      </c>
      <c r="AI474" s="41">
        <f>IFERROR(LOOKUP(X474,打分卡!$F$13:$J$13,打分卡!$K$13:$O$13),1)</f>
        <v>4</v>
      </c>
      <c r="AJ474" s="41">
        <f>IFERROR(LOOKUP(Y474,打分卡!$F$14:$J$14,打分卡!$K$14:$O$14),1)</f>
        <v>4</v>
      </c>
      <c r="AK474" s="41">
        <f>IFERROR(LOOKUP(W474,打分卡!$F$15:$J$15,打分卡!$K$15:$O$15),1)</f>
        <v>2</v>
      </c>
      <c r="AL474" s="43">
        <f t="shared" si="57"/>
        <v>3</v>
      </c>
      <c r="AM474" s="41">
        <f>IFERROR(LOOKUP(Z474,打分卡!$F$17:$H$17,打分卡!$K$17:$M$17),1)</f>
        <v>3</v>
      </c>
      <c r="AN474" s="44">
        <f>(打分卡!$D$7*AC474+打分卡!$D$8*AD474+打分卡!$D$9*AE474)/5</f>
        <v>16</v>
      </c>
      <c r="AO474" s="44">
        <f>(打分卡!$D$10*AF474+打分卡!$D$11*AG474)/5</f>
        <v>10</v>
      </c>
      <c r="AP474" s="44">
        <f>(打分卡!$D$12*AH474+打分卡!$D$13*AI474+打分卡!$D$14*AJ474+打分卡!$D$15*AK474)/5</f>
        <v>15.2</v>
      </c>
      <c r="AQ474" s="44">
        <f>(打分卡!$D$16*AL474+打分卡!$D$17*AM474)/5</f>
        <v>6</v>
      </c>
      <c r="AR474" s="47">
        <f t="shared" si="58"/>
        <v>47.2</v>
      </c>
      <c r="AS474" s="43" t="str">
        <f t="shared" si="59"/>
        <v>腰部</v>
      </c>
      <c r="AT474" s="43" t="str">
        <f t="shared" si="60"/>
        <v/>
      </c>
      <c r="AU474" s="43" t="str">
        <f t="shared" si="61"/>
        <v>拉·主攻：主推AI外呼+大促作战包</v>
      </c>
    </row>
    <row r="475" ht="15" customHeight="1" spans="1:47">
      <c r="A475" s="20" t="s">
        <v>1497</v>
      </c>
      <c r="B475" s="22" t="s">
        <v>1498</v>
      </c>
      <c r="C475" s="22" t="s">
        <v>179</v>
      </c>
      <c r="D475" s="22" t="s">
        <v>196</v>
      </c>
      <c r="E475" s="22" t="s">
        <v>181</v>
      </c>
      <c r="F475" s="20" t="s">
        <v>1499</v>
      </c>
      <c r="G475" s="22">
        <v>21</v>
      </c>
      <c r="H475" s="22" t="s">
        <v>301</v>
      </c>
      <c r="I475" s="22" t="s">
        <v>184</v>
      </c>
      <c r="J475" s="36">
        <v>36900</v>
      </c>
      <c r="K475" s="36">
        <v>18200</v>
      </c>
      <c r="L475" s="36">
        <v>2900</v>
      </c>
      <c r="M475" s="36">
        <f t="shared" si="56"/>
        <v>58000</v>
      </c>
      <c r="N475" s="34">
        <f t="shared" si="62"/>
        <v>0.000304073111758402</v>
      </c>
      <c r="O475" s="35">
        <f>SUM($M$2:M475)</f>
        <v>177393600</v>
      </c>
      <c r="P475" s="34">
        <f t="shared" si="63"/>
        <v>0.930010757896988</v>
      </c>
      <c r="Q475" s="39">
        <v>8.2</v>
      </c>
      <c r="R475" s="22">
        <v>8</v>
      </c>
      <c r="S475" s="22">
        <v>2</v>
      </c>
      <c r="T475" s="22">
        <v>0</v>
      </c>
      <c r="U475" s="39">
        <v>5.6</v>
      </c>
      <c r="V475" s="22">
        <v>18</v>
      </c>
      <c r="W475" s="22">
        <v>0</v>
      </c>
      <c r="X475" s="40">
        <v>27</v>
      </c>
      <c r="Y475" s="22">
        <v>3</v>
      </c>
      <c r="Z475" s="22">
        <v>0</v>
      </c>
      <c r="AA475" s="22" t="s">
        <v>185</v>
      </c>
      <c r="AB475" s="22" t="s">
        <v>220</v>
      </c>
      <c r="AC475" s="42">
        <f>IFERROR(LOOKUP(M475,打分卡!$F$7:$J$7,打分卡!$K$7:$O$7),1)</f>
        <v>2</v>
      </c>
      <c r="AD475" s="42">
        <f>IFERROR(LOOKUP(S475,打分卡!$F$8:$J$8,打分卡!$K$8:$O$8),1)</f>
        <v>2</v>
      </c>
      <c r="AE475" s="42">
        <f>IFERROR(LOOKUP(T475,打分卡!$F$9:$I$9,打分卡!$K$9:$N$9),1)</f>
        <v>1</v>
      </c>
      <c r="AF475" s="42">
        <f>IFERROR(LOOKUP(Q475,打分卡!$F$10:$J$10,打分卡!$K$10:$O$10),1)</f>
        <v>2</v>
      </c>
      <c r="AG475" s="42">
        <f>IFERROR(LOOKUP(R475,打分卡!$F$11:$J$11,打分卡!$K$11:$O$11),1)</f>
        <v>3</v>
      </c>
      <c r="AH475" s="42">
        <f>IFERROR(LOOKUP(U475,打分卡!$F$12:$J$12,打分卡!$K$12:$O$12),1)</f>
        <v>2</v>
      </c>
      <c r="AI475" s="42">
        <f>IFERROR(LOOKUP(X475,打分卡!$F$13:$J$13,打分卡!$K$13:$O$13),1)</f>
        <v>2</v>
      </c>
      <c r="AJ475" s="42">
        <f>IFERROR(LOOKUP(Y475,打分卡!$F$14:$J$14,打分卡!$K$14:$O$14),1)</f>
        <v>4</v>
      </c>
      <c r="AK475" s="42">
        <f>IFERROR(LOOKUP(W475,打分卡!$F$15:$J$15,打分卡!$K$15:$O$15),1)</f>
        <v>1</v>
      </c>
      <c r="AL475" s="45">
        <f t="shared" si="57"/>
        <v>3</v>
      </c>
      <c r="AM475" s="42">
        <f>IFERROR(LOOKUP(Z475,打分卡!$F$17:$H$17,打分卡!$K$17:$M$17),1)</f>
        <v>1</v>
      </c>
      <c r="AN475" s="46">
        <f>(打分卡!$D$7*AC475+打分卡!$D$8*AD475+打分卡!$D$9*AE475)/5</f>
        <v>14.6</v>
      </c>
      <c r="AO475" s="46">
        <f>(打分卡!$D$10*AF475+打分卡!$D$11*AG475)/5</f>
        <v>10</v>
      </c>
      <c r="AP475" s="46">
        <f>(打分卡!$D$12*AH475+打分卡!$D$13*AI475+打分卡!$D$14*AJ475+打分卡!$D$15*AK475)/5</f>
        <v>13.6</v>
      </c>
      <c r="AQ475" s="46">
        <f>(打分卡!$D$16*AL475+打分卡!$D$17*AM475)/5</f>
        <v>4.4</v>
      </c>
      <c r="AR475" s="48">
        <f t="shared" si="58"/>
        <v>42.6</v>
      </c>
      <c r="AS475" s="45" t="str">
        <f t="shared" si="59"/>
        <v>腰部</v>
      </c>
      <c r="AT475" s="45" t="str">
        <f t="shared" si="60"/>
        <v/>
      </c>
      <c r="AU475" s="45" t="str">
        <f t="shared" si="61"/>
        <v>拉·主攻：主推AI外呼+大促作战包</v>
      </c>
    </row>
    <row r="476" ht="15" customHeight="1" spans="1:47">
      <c r="A476" s="30" t="s">
        <v>1500</v>
      </c>
      <c r="B476" s="31" t="s">
        <v>1501</v>
      </c>
      <c r="C476" s="31" t="s">
        <v>179</v>
      </c>
      <c r="D476" s="31" t="s">
        <v>196</v>
      </c>
      <c r="E476" s="31" t="s">
        <v>181</v>
      </c>
      <c r="F476" s="30" t="s">
        <v>1502</v>
      </c>
      <c r="G476" s="31">
        <v>12</v>
      </c>
      <c r="H476" s="31" t="s">
        <v>301</v>
      </c>
      <c r="I476" s="31" t="s">
        <v>302</v>
      </c>
      <c r="J476" s="33">
        <v>30600</v>
      </c>
      <c r="K476" s="33">
        <v>18700</v>
      </c>
      <c r="L476" s="33">
        <v>8600</v>
      </c>
      <c r="M476" s="33">
        <f t="shared" si="56"/>
        <v>57900</v>
      </c>
      <c r="N476" s="34">
        <f t="shared" si="62"/>
        <v>0.000303548847772612</v>
      </c>
      <c r="O476" s="35">
        <f>SUM($M$2:M476)</f>
        <v>177451500</v>
      </c>
      <c r="P476" s="34">
        <f t="shared" si="63"/>
        <v>0.930314306744761</v>
      </c>
      <c r="Q476" s="37">
        <v>7.7</v>
      </c>
      <c r="R476" s="31">
        <v>7</v>
      </c>
      <c r="S476" s="31">
        <v>2</v>
      </c>
      <c r="T476" s="31">
        <v>1</v>
      </c>
      <c r="U476" s="37">
        <v>5.5</v>
      </c>
      <c r="V476" s="31">
        <v>21</v>
      </c>
      <c r="W476" s="31">
        <v>1</v>
      </c>
      <c r="X476" s="38">
        <v>111</v>
      </c>
      <c r="Y476" s="31">
        <v>1</v>
      </c>
      <c r="Z476" s="31">
        <v>0</v>
      </c>
      <c r="AA476" s="31" t="s">
        <v>185</v>
      </c>
      <c r="AB476" s="31" t="s">
        <v>220</v>
      </c>
      <c r="AC476" s="41">
        <f>IFERROR(LOOKUP(M476,打分卡!$F$7:$J$7,打分卡!$K$7:$O$7),1)</f>
        <v>2</v>
      </c>
      <c r="AD476" s="41">
        <f>IFERROR(LOOKUP(S476,打分卡!$F$8:$J$8,打分卡!$K$8:$O$8),1)</f>
        <v>2</v>
      </c>
      <c r="AE476" s="41">
        <f>IFERROR(LOOKUP(T476,打分卡!$F$9:$I$9,打分卡!$K$9:$N$9),1)</f>
        <v>2</v>
      </c>
      <c r="AF476" s="41">
        <f>IFERROR(LOOKUP(Q476,打分卡!$F$10:$J$10,打分卡!$K$10:$O$10),1)</f>
        <v>2</v>
      </c>
      <c r="AG476" s="41">
        <f>IFERROR(LOOKUP(R476,打分卡!$F$11:$J$11,打分卡!$K$11:$O$11),1)</f>
        <v>3</v>
      </c>
      <c r="AH476" s="41">
        <f>IFERROR(LOOKUP(U476,打分卡!$F$12:$J$12,打分卡!$K$12:$O$12),1)</f>
        <v>2</v>
      </c>
      <c r="AI476" s="41">
        <f>IFERROR(LOOKUP(X476,打分卡!$F$13:$J$13,打分卡!$K$13:$O$13),1)</f>
        <v>4</v>
      </c>
      <c r="AJ476" s="41">
        <f>IFERROR(LOOKUP(Y476,打分卡!$F$14:$J$14,打分卡!$K$14:$O$14),1)</f>
        <v>2</v>
      </c>
      <c r="AK476" s="41">
        <f>IFERROR(LOOKUP(W476,打分卡!$F$15:$J$15,打分卡!$K$15:$O$15),1)</f>
        <v>2</v>
      </c>
      <c r="AL476" s="43">
        <f t="shared" si="57"/>
        <v>3</v>
      </c>
      <c r="AM476" s="41">
        <f>IFERROR(LOOKUP(Z476,打分卡!$F$17:$H$17,打分卡!$K$17:$M$17),1)</f>
        <v>1</v>
      </c>
      <c r="AN476" s="44">
        <f>(打分卡!$D$7*AC476+打分卡!$D$8*AD476+打分卡!$D$9*AE476)/5</f>
        <v>16</v>
      </c>
      <c r="AO476" s="44">
        <f>(打分卡!$D$10*AF476+打分卡!$D$11*AG476)/5</f>
        <v>10</v>
      </c>
      <c r="AP476" s="44">
        <f>(打分卡!$D$12*AH476+打分卡!$D$13*AI476+打分卡!$D$14*AJ476+打分卡!$D$15*AK476)/5</f>
        <v>15.2</v>
      </c>
      <c r="AQ476" s="44">
        <f>(打分卡!$D$16*AL476+打分卡!$D$17*AM476)/5</f>
        <v>4.4</v>
      </c>
      <c r="AR476" s="47">
        <f t="shared" si="58"/>
        <v>45.6</v>
      </c>
      <c r="AS476" s="43" t="str">
        <f t="shared" si="59"/>
        <v>腰部</v>
      </c>
      <c r="AT476" s="43" t="str">
        <f t="shared" si="60"/>
        <v/>
      </c>
      <c r="AU476" s="43" t="str">
        <f t="shared" si="61"/>
        <v>拉·主攻：主推AI外呼+大促作战包</v>
      </c>
    </row>
    <row r="477" ht="15" customHeight="1" spans="1:47">
      <c r="A477" s="20" t="s">
        <v>1503</v>
      </c>
      <c r="B477" s="22" t="s">
        <v>1504</v>
      </c>
      <c r="C477" s="22" t="s">
        <v>239</v>
      </c>
      <c r="D477" s="22" t="s">
        <v>202</v>
      </c>
      <c r="E477" s="22" t="s">
        <v>181</v>
      </c>
      <c r="F477" s="20" t="s">
        <v>1505</v>
      </c>
      <c r="G477" s="22">
        <v>15</v>
      </c>
      <c r="H477" s="22" t="s">
        <v>301</v>
      </c>
      <c r="I477" s="22" t="s">
        <v>302</v>
      </c>
      <c r="J477" s="36">
        <v>30900</v>
      </c>
      <c r="K477" s="36">
        <v>16500</v>
      </c>
      <c r="L477" s="36">
        <v>10400</v>
      </c>
      <c r="M477" s="36">
        <f t="shared" si="56"/>
        <v>57800</v>
      </c>
      <c r="N477" s="34">
        <f t="shared" si="62"/>
        <v>0.000303024583786822</v>
      </c>
      <c r="O477" s="35">
        <f>SUM($M$2:M477)</f>
        <v>177509300</v>
      </c>
      <c r="P477" s="34">
        <f t="shared" si="63"/>
        <v>0.930617331328548</v>
      </c>
      <c r="Q477" s="39">
        <v>9</v>
      </c>
      <c r="R477" s="22">
        <v>6</v>
      </c>
      <c r="S477" s="22">
        <v>1</v>
      </c>
      <c r="T477" s="22">
        <v>0</v>
      </c>
      <c r="U477" s="39">
        <v>12.3</v>
      </c>
      <c r="V477" s="22">
        <v>28</v>
      </c>
      <c r="W477" s="22">
        <v>0</v>
      </c>
      <c r="X477" s="40">
        <v>142</v>
      </c>
      <c r="Y477" s="22">
        <v>0</v>
      </c>
      <c r="Z477" s="22">
        <v>1</v>
      </c>
      <c r="AA477" s="22" t="s">
        <v>199</v>
      </c>
      <c r="AB477" s="22" t="s">
        <v>220</v>
      </c>
      <c r="AC477" s="42">
        <f>IFERROR(LOOKUP(M477,打分卡!$F$7:$J$7,打分卡!$K$7:$O$7),1)</f>
        <v>2</v>
      </c>
      <c r="AD477" s="42">
        <f>IFERROR(LOOKUP(S477,打分卡!$F$8:$J$8,打分卡!$K$8:$O$8),1)</f>
        <v>1</v>
      </c>
      <c r="AE477" s="42">
        <f>IFERROR(LOOKUP(T477,打分卡!$F$9:$I$9,打分卡!$K$9:$N$9),1)</f>
        <v>1</v>
      </c>
      <c r="AF477" s="42">
        <f>IFERROR(LOOKUP(Q477,打分卡!$F$10:$J$10,打分卡!$K$10:$O$10),1)</f>
        <v>2</v>
      </c>
      <c r="AG477" s="42">
        <f>IFERROR(LOOKUP(R477,打分卡!$F$11:$J$11,打分卡!$K$11:$O$11),1)</f>
        <v>3</v>
      </c>
      <c r="AH477" s="42">
        <f>IFERROR(LOOKUP(U477,打分卡!$F$12:$J$12,打分卡!$K$12:$O$12),1)</f>
        <v>3</v>
      </c>
      <c r="AI477" s="42">
        <f>IFERROR(LOOKUP(X477,打分卡!$F$13:$J$13,打分卡!$K$13:$O$13),1)</f>
        <v>4</v>
      </c>
      <c r="AJ477" s="42">
        <f>IFERROR(LOOKUP(Y477,打分卡!$F$14:$J$14,打分卡!$K$14:$O$14),1)</f>
        <v>1</v>
      </c>
      <c r="AK477" s="42">
        <f>IFERROR(LOOKUP(W477,打分卡!$F$15:$J$15,打分卡!$K$15:$O$15),1)</f>
        <v>1</v>
      </c>
      <c r="AL477" s="45">
        <f t="shared" si="57"/>
        <v>5</v>
      </c>
      <c r="AM477" s="42">
        <f>IFERROR(LOOKUP(Z477,打分卡!$F$17:$H$17,打分卡!$K$17:$M$17),1)</f>
        <v>3</v>
      </c>
      <c r="AN477" s="46">
        <f>(打分卡!$D$7*AC477+打分卡!$D$8*AD477+打分卡!$D$9*AE477)/5</f>
        <v>13</v>
      </c>
      <c r="AO477" s="46">
        <f>(打分卡!$D$10*AF477+打分卡!$D$11*AG477)/5</f>
        <v>10</v>
      </c>
      <c r="AP477" s="46">
        <f>(打分卡!$D$12*AH477+打分卡!$D$13*AI477+打分卡!$D$14*AJ477+打分卡!$D$15*AK477)/5</f>
        <v>15.6</v>
      </c>
      <c r="AQ477" s="46">
        <f>(打分卡!$D$16*AL477+打分卡!$D$17*AM477)/5</f>
        <v>8.4</v>
      </c>
      <c r="AR477" s="48">
        <f t="shared" si="58"/>
        <v>47</v>
      </c>
      <c r="AS477" s="45" t="str">
        <f t="shared" si="59"/>
        <v>腰部</v>
      </c>
      <c r="AT477" s="45" t="str">
        <f t="shared" si="60"/>
        <v/>
      </c>
      <c r="AU477" s="45" t="str">
        <f t="shared" si="61"/>
        <v>拉·主攻：主推AI外呼+大促作战包</v>
      </c>
    </row>
    <row r="478" ht="15" customHeight="1" spans="1:47">
      <c r="A478" s="30" t="s">
        <v>1506</v>
      </c>
      <c r="B478" s="31" t="s">
        <v>1507</v>
      </c>
      <c r="C478" s="31" t="s">
        <v>223</v>
      </c>
      <c r="D478" s="31" t="s">
        <v>202</v>
      </c>
      <c r="E478" s="31" t="s">
        <v>197</v>
      </c>
      <c r="F478" s="30" t="s">
        <v>1291</v>
      </c>
      <c r="G478" s="31">
        <v>6</v>
      </c>
      <c r="H478" s="31" t="s">
        <v>301</v>
      </c>
      <c r="I478" s="31" t="s">
        <v>302</v>
      </c>
      <c r="J478" s="33">
        <v>32100</v>
      </c>
      <c r="K478" s="33">
        <v>13600</v>
      </c>
      <c r="L478" s="33">
        <v>11800</v>
      </c>
      <c r="M478" s="33">
        <f t="shared" si="56"/>
        <v>57500</v>
      </c>
      <c r="N478" s="34">
        <f t="shared" si="62"/>
        <v>0.000301451791829451</v>
      </c>
      <c r="O478" s="35">
        <f>SUM($M$2:M478)</f>
        <v>177566800</v>
      </c>
      <c r="P478" s="34">
        <f t="shared" si="63"/>
        <v>0.930918783120377</v>
      </c>
      <c r="Q478" s="37">
        <v>7.9</v>
      </c>
      <c r="R478" s="31">
        <v>5</v>
      </c>
      <c r="S478" s="31">
        <v>2</v>
      </c>
      <c r="T478" s="31">
        <v>2</v>
      </c>
      <c r="U478" s="37">
        <v>63.9</v>
      </c>
      <c r="V478" s="31">
        <v>6</v>
      </c>
      <c r="W478" s="31">
        <v>1</v>
      </c>
      <c r="X478" s="38">
        <v>13</v>
      </c>
      <c r="Y478" s="31">
        <v>1</v>
      </c>
      <c r="Z478" s="31">
        <v>0</v>
      </c>
      <c r="AA478" s="31" t="s">
        <v>315</v>
      </c>
      <c r="AB478" s="31" t="s">
        <v>220</v>
      </c>
      <c r="AC478" s="41">
        <f>IFERROR(LOOKUP(M478,打分卡!$F$7:$J$7,打分卡!$K$7:$O$7),1)</f>
        <v>2</v>
      </c>
      <c r="AD478" s="41">
        <f>IFERROR(LOOKUP(S478,打分卡!$F$8:$J$8,打分卡!$K$8:$O$8),1)</f>
        <v>2</v>
      </c>
      <c r="AE478" s="41">
        <f>IFERROR(LOOKUP(T478,打分卡!$F$9:$I$9,打分卡!$K$9:$N$9),1)</f>
        <v>3</v>
      </c>
      <c r="AF478" s="41">
        <f>IFERROR(LOOKUP(Q478,打分卡!$F$10:$J$10,打分卡!$K$10:$O$10),1)</f>
        <v>2</v>
      </c>
      <c r="AG478" s="41">
        <f>IFERROR(LOOKUP(R478,打分卡!$F$11:$J$11,打分卡!$K$11:$O$11),1)</f>
        <v>3</v>
      </c>
      <c r="AH478" s="41">
        <f>IFERROR(LOOKUP(U478,打分卡!$F$12:$J$12,打分卡!$K$12:$O$12),1)</f>
        <v>4</v>
      </c>
      <c r="AI478" s="41">
        <f>IFERROR(LOOKUP(X478,打分卡!$F$13:$J$13,打分卡!$K$13:$O$13),1)</f>
        <v>1</v>
      </c>
      <c r="AJ478" s="41">
        <f>IFERROR(LOOKUP(Y478,打分卡!$F$14:$J$14,打分卡!$K$14:$O$14),1)</f>
        <v>2</v>
      </c>
      <c r="AK478" s="41">
        <f>IFERROR(LOOKUP(W478,打分卡!$F$15:$J$15,打分卡!$K$15:$O$15),1)</f>
        <v>2</v>
      </c>
      <c r="AL478" s="43">
        <f t="shared" si="57"/>
        <v>2</v>
      </c>
      <c r="AM478" s="41">
        <f>IFERROR(LOOKUP(Z478,打分卡!$F$17:$H$17,打分卡!$K$17:$M$17),1)</f>
        <v>1</v>
      </c>
      <c r="AN478" s="44">
        <f>(打分卡!$D$7*AC478+打分卡!$D$8*AD478+打分卡!$D$9*AE478)/5</f>
        <v>17.4</v>
      </c>
      <c r="AO478" s="44">
        <f>(打分卡!$D$10*AF478+打分卡!$D$11*AG478)/5</f>
        <v>10</v>
      </c>
      <c r="AP478" s="44">
        <f>(打分卡!$D$12*AH478+打分卡!$D$13*AI478+打分卡!$D$14*AJ478+打分卡!$D$15*AK478)/5</f>
        <v>15.2</v>
      </c>
      <c r="AQ478" s="44">
        <f>(打分卡!$D$16*AL478+打分卡!$D$17*AM478)/5</f>
        <v>3.2</v>
      </c>
      <c r="AR478" s="47">
        <f t="shared" si="58"/>
        <v>45.8</v>
      </c>
      <c r="AS478" s="43" t="str">
        <f t="shared" si="59"/>
        <v>腰部</v>
      </c>
      <c r="AT478" s="43" t="str">
        <f t="shared" si="60"/>
        <v/>
      </c>
      <c r="AU478" s="43" t="str">
        <f t="shared" si="61"/>
        <v>拉·主攻：主推AI外呼+大促作战包</v>
      </c>
    </row>
    <row r="479" ht="15" customHeight="1" spans="1:47">
      <c r="A479" s="20" t="s">
        <v>1508</v>
      </c>
      <c r="B479" s="22" t="s">
        <v>1509</v>
      </c>
      <c r="C479" s="22" t="s">
        <v>179</v>
      </c>
      <c r="D479" s="22" t="s">
        <v>202</v>
      </c>
      <c r="E479" s="22" t="s">
        <v>197</v>
      </c>
      <c r="F479" s="20" t="s">
        <v>1510</v>
      </c>
      <c r="G479" s="22">
        <v>20</v>
      </c>
      <c r="H479" s="22" t="s">
        <v>183</v>
      </c>
      <c r="I479" s="22" t="s">
        <v>184</v>
      </c>
      <c r="J479" s="36">
        <v>35300</v>
      </c>
      <c r="K479" s="36">
        <v>16800</v>
      </c>
      <c r="L479" s="36">
        <v>5400</v>
      </c>
      <c r="M479" s="36">
        <f t="shared" si="56"/>
        <v>57500</v>
      </c>
      <c r="N479" s="34">
        <f t="shared" si="62"/>
        <v>0.000301451791829451</v>
      </c>
      <c r="O479" s="35">
        <f>SUM($M$2:M479)</f>
        <v>177624300</v>
      </c>
      <c r="P479" s="34">
        <f t="shared" si="63"/>
        <v>0.931220234912207</v>
      </c>
      <c r="Q479" s="39">
        <v>9</v>
      </c>
      <c r="R479" s="22">
        <v>6</v>
      </c>
      <c r="S479" s="22">
        <v>3</v>
      </c>
      <c r="T479" s="22">
        <v>1</v>
      </c>
      <c r="U479" s="39">
        <v>56</v>
      </c>
      <c r="V479" s="22">
        <v>5</v>
      </c>
      <c r="W479" s="22">
        <v>3</v>
      </c>
      <c r="X479" s="40">
        <v>124</v>
      </c>
      <c r="Y479" s="22">
        <v>3</v>
      </c>
      <c r="Z479" s="22">
        <v>0</v>
      </c>
      <c r="AA479" s="22" t="s">
        <v>315</v>
      </c>
      <c r="AB479" s="22" t="s">
        <v>220</v>
      </c>
      <c r="AC479" s="42">
        <f>IFERROR(LOOKUP(M479,打分卡!$F$7:$J$7,打分卡!$K$7:$O$7),1)</f>
        <v>2</v>
      </c>
      <c r="AD479" s="42">
        <f>IFERROR(LOOKUP(S479,打分卡!$F$8:$J$8,打分卡!$K$8:$O$8),1)</f>
        <v>3</v>
      </c>
      <c r="AE479" s="42">
        <f>IFERROR(LOOKUP(T479,打分卡!$F$9:$I$9,打分卡!$K$9:$N$9),1)</f>
        <v>2</v>
      </c>
      <c r="AF479" s="42">
        <f>IFERROR(LOOKUP(Q479,打分卡!$F$10:$J$10,打分卡!$K$10:$O$10),1)</f>
        <v>2</v>
      </c>
      <c r="AG479" s="42">
        <f>IFERROR(LOOKUP(R479,打分卡!$F$11:$J$11,打分卡!$K$11:$O$11),1)</f>
        <v>3</v>
      </c>
      <c r="AH479" s="42">
        <f>IFERROR(LOOKUP(U479,打分卡!$F$12:$J$12,打分卡!$K$12:$O$12),1)</f>
        <v>4</v>
      </c>
      <c r="AI479" s="42">
        <f>IFERROR(LOOKUP(X479,打分卡!$F$13:$J$13,打分卡!$K$13:$O$13),1)</f>
        <v>4</v>
      </c>
      <c r="AJ479" s="42">
        <f>IFERROR(LOOKUP(Y479,打分卡!$F$14:$J$14,打分卡!$K$14:$O$14),1)</f>
        <v>4</v>
      </c>
      <c r="AK479" s="42">
        <f>IFERROR(LOOKUP(W479,打分卡!$F$15:$J$15,打分卡!$K$15:$O$15),1)</f>
        <v>3</v>
      </c>
      <c r="AL479" s="45">
        <f t="shared" si="57"/>
        <v>2</v>
      </c>
      <c r="AM479" s="42">
        <f>IFERROR(LOOKUP(Z479,打分卡!$F$17:$H$17,打分卡!$K$17:$M$17),1)</f>
        <v>1</v>
      </c>
      <c r="AN479" s="46">
        <f>(打分卡!$D$7*AC479+打分卡!$D$8*AD479+打分卡!$D$9*AE479)/5</f>
        <v>17.6</v>
      </c>
      <c r="AO479" s="46">
        <f>(打分卡!$D$10*AF479+打分卡!$D$11*AG479)/5</f>
        <v>10</v>
      </c>
      <c r="AP479" s="46">
        <f>(打分卡!$D$12*AH479+打分卡!$D$13*AI479+打分卡!$D$14*AJ479+打分卡!$D$15*AK479)/5</f>
        <v>23.2</v>
      </c>
      <c r="AQ479" s="46">
        <f>(打分卡!$D$16*AL479+打分卡!$D$17*AM479)/5</f>
        <v>3.2</v>
      </c>
      <c r="AR479" s="48">
        <f t="shared" si="58"/>
        <v>54</v>
      </c>
      <c r="AS479" s="45" t="str">
        <f t="shared" si="59"/>
        <v>腰部</v>
      </c>
      <c r="AT479" s="45" t="str">
        <f t="shared" si="60"/>
        <v/>
      </c>
      <c r="AU479" s="45" t="str">
        <f t="shared" si="61"/>
        <v>拉·主攻：主推AI外呼+大促作战包</v>
      </c>
    </row>
    <row r="480" ht="15" customHeight="1" spans="1:47">
      <c r="A480" s="30" t="s">
        <v>1511</v>
      </c>
      <c r="B480" s="31" t="s">
        <v>1512</v>
      </c>
      <c r="C480" s="31" t="s">
        <v>218</v>
      </c>
      <c r="D480" s="31" t="s">
        <v>202</v>
      </c>
      <c r="E480" s="31" t="s">
        <v>181</v>
      </c>
      <c r="F480" s="30" t="s">
        <v>1513</v>
      </c>
      <c r="G480" s="31">
        <v>13</v>
      </c>
      <c r="H480" s="31" t="s">
        <v>301</v>
      </c>
      <c r="I480" s="31" t="s">
        <v>302</v>
      </c>
      <c r="J480" s="33">
        <v>35400</v>
      </c>
      <c r="K480" s="33">
        <v>19000</v>
      </c>
      <c r="L480" s="33">
        <v>2900</v>
      </c>
      <c r="M480" s="33">
        <f t="shared" si="56"/>
        <v>57300</v>
      </c>
      <c r="N480" s="34">
        <f t="shared" si="62"/>
        <v>0.00030040326385787</v>
      </c>
      <c r="O480" s="35">
        <f>SUM($M$2:M480)</f>
        <v>177681600</v>
      </c>
      <c r="P480" s="34">
        <f t="shared" si="63"/>
        <v>0.931520638176065</v>
      </c>
      <c r="Q480" s="37">
        <v>4.6</v>
      </c>
      <c r="R480" s="31">
        <v>1</v>
      </c>
      <c r="S480" s="31">
        <v>1</v>
      </c>
      <c r="T480" s="31">
        <v>1</v>
      </c>
      <c r="U480" s="37">
        <v>70.9</v>
      </c>
      <c r="V480" s="31">
        <v>23</v>
      </c>
      <c r="W480" s="31">
        <v>1</v>
      </c>
      <c r="X480" s="38">
        <v>12</v>
      </c>
      <c r="Y480" s="31">
        <v>0</v>
      </c>
      <c r="Z480" s="31">
        <v>1</v>
      </c>
      <c r="AA480" s="31" t="s">
        <v>199</v>
      </c>
      <c r="AB480" s="31" t="s">
        <v>220</v>
      </c>
      <c r="AC480" s="41">
        <f>IFERROR(LOOKUP(M480,打分卡!$F$7:$J$7,打分卡!$K$7:$O$7),1)</f>
        <v>2</v>
      </c>
      <c r="AD480" s="41">
        <f>IFERROR(LOOKUP(S480,打分卡!$F$8:$J$8,打分卡!$K$8:$O$8),1)</f>
        <v>1</v>
      </c>
      <c r="AE480" s="41">
        <f>IFERROR(LOOKUP(T480,打分卡!$F$9:$I$9,打分卡!$K$9:$N$9),1)</f>
        <v>2</v>
      </c>
      <c r="AF480" s="41">
        <f>IFERROR(LOOKUP(Q480,打分卡!$F$10:$J$10,打分卡!$K$10:$O$10),1)</f>
        <v>2</v>
      </c>
      <c r="AG480" s="41">
        <f>IFERROR(LOOKUP(R480,打分卡!$F$11:$J$11,打分卡!$K$11:$O$11),1)</f>
        <v>1</v>
      </c>
      <c r="AH480" s="41">
        <f>IFERROR(LOOKUP(U480,打分卡!$F$12:$J$12,打分卡!$K$12:$O$12),1)</f>
        <v>5</v>
      </c>
      <c r="AI480" s="41">
        <f>IFERROR(LOOKUP(X480,打分卡!$F$13:$J$13,打分卡!$K$13:$O$13),1)</f>
        <v>1</v>
      </c>
      <c r="AJ480" s="41">
        <f>IFERROR(LOOKUP(Y480,打分卡!$F$14:$J$14,打分卡!$K$14:$O$14),1)</f>
        <v>1</v>
      </c>
      <c r="AK480" s="41">
        <f>IFERROR(LOOKUP(W480,打分卡!$F$15:$J$15,打分卡!$K$15:$O$15),1)</f>
        <v>2</v>
      </c>
      <c r="AL480" s="43">
        <f t="shared" si="57"/>
        <v>5</v>
      </c>
      <c r="AM480" s="41">
        <f>IFERROR(LOOKUP(Z480,打分卡!$F$17:$H$17,打分卡!$K$17:$M$17),1)</f>
        <v>3</v>
      </c>
      <c r="AN480" s="44">
        <f>(打分卡!$D$7*AC480+打分卡!$D$8*AD480+打分卡!$D$9*AE480)/5</f>
        <v>14.4</v>
      </c>
      <c r="AO480" s="44">
        <f>(打分卡!$D$10*AF480+打分卡!$D$11*AG480)/5</f>
        <v>6</v>
      </c>
      <c r="AP480" s="44">
        <f>(打分卡!$D$12*AH480+打分卡!$D$13*AI480+打分卡!$D$14*AJ480+打分卡!$D$15*AK480)/5</f>
        <v>16.4</v>
      </c>
      <c r="AQ480" s="44">
        <f>(打分卡!$D$16*AL480+打分卡!$D$17*AM480)/5</f>
        <v>8.4</v>
      </c>
      <c r="AR480" s="47">
        <f t="shared" si="58"/>
        <v>45.2</v>
      </c>
      <c r="AS480" s="43" t="str">
        <f t="shared" si="59"/>
        <v>腰部</v>
      </c>
      <c r="AT480" s="43" t="str">
        <f t="shared" si="60"/>
        <v/>
      </c>
      <c r="AU480" s="43" t="str">
        <f t="shared" si="61"/>
        <v>拉·主攻：主推AI外呼+大促作战包</v>
      </c>
    </row>
    <row r="481" ht="15" customHeight="1" spans="1:47">
      <c r="A481" s="20" t="s">
        <v>1514</v>
      </c>
      <c r="B481" s="22" t="s">
        <v>1515</v>
      </c>
      <c r="C481" s="22" t="s">
        <v>189</v>
      </c>
      <c r="D481" s="22" t="s">
        <v>252</v>
      </c>
      <c r="E481" s="22" t="s">
        <v>197</v>
      </c>
      <c r="F481" s="20" t="s">
        <v>1516</v>
      </c>
      <c r="G481" s="22">
        <v>8</v>
      </c>
      <c r="H481" s="22" t="s">
        <v>301</v>
      </c>
      <c r="I481" s="22" t="s">
        <v>184</v>
      </c>
      <c r="J481" s="36">
        <v>31300</v>
      </c>
      <c r="K481" s="36">
        <v>14300</v>
      </c>
      <c r="L481" s="36">
        <v>11700</v>
      </c>
      <c r="M481" s="36">
        <f t="shared" si="56"/>
        <v>57300</v>
      </c>
      <c r="N481" s="34">
        <f t="shared" si="62"/>
        <v>0.00030040326385787</v>
      </c>
      <c r="O481" s="35">
        <f>SUM($M$2:M481)</f>
        <v>177738900</v>
      </c>
      <c r="P481" s="34">
        <f t="shared" si="63"/>
        <v>0.931821041439923</v>
      </c>
      <c r="Q481" s="39">
        <v>4.1</v>
      </c>
      <c r="R481" s="22">
        <v>10</v>
      </c>
      <c r="S481" s="22">
        <v>2</v>
      </c>
      <c r="T481" s="22">
        <v>0</v>
      </c>
      <c r="U481" s="39">
        <v>2.5</v>
      </c>
      <c r="V481" s="22">
        <v>26</v>
      </c>
      <c r="W481" s="22">
        <v>2</v>
      </c>
      <c r="X481" s="40">
        <v>26</v>
      </c>
      <c r="Y481" s="22">
        <v>1</v>
      </c>
      <c r="Z481" s="22">
        <v>0</v>
      </c>
      <c r="AA481" s="22" t="s">
        <v>315</v>
      </c>
      <c r="AB481" s="22" t="s">
        <v>220</v>
      </c>
      <c r="AC481" s="42">
        <f>IFERROR(LOOKUP(M481,打分卡!$F$7:$J$7,打分卡!$K$7:$O$7),1)</f>
        <v>2</v>
      </c>
      <c r="AD481" s="42">
        <f>IFERROR(LOOKUP(S481,打分卡!$F$8:$J$8,打分卡!$K$8:$O$8),1)</f>
        <v>2</v>
      </c>
      <c r="AE481" s="42">
        <f>IFERROR(LOOKUP(T481,打分卡!$F$9:$I$9,打分卡!$K$9:$N$9),1)</f>
        <v>1</v>
      </c>
      <c r="AF481" s="42">
        <f>IFERROR(LOOKUP(Q481,打分卡!$F$10:$J$10,打分卡!$K$10:$O$10),1)</f>
        <v>2</v>
      </c>
      <c r="AG481" s="42">
        <f>IFERROR(LOOKUP(R481,打分卡!$F$11:$J$11,打分卡!$K$11:$O$11),1)</f>
        <v>4</v>
      </c>
      <c r="AH481" s="42">
        <f>IFERROR(LOOKUP(U481,打分卡!$F$12:$J$12,打分卡!$K$12:$O$12),1)</f>
        <v>1</v>
      </c>
      <c r="AI481" s="42">
        <f>IFERROR(LOOKUP(X481,打分卡!$F$13:$J$13,打分卡!$K$13:$O$13),1)</f>
        <v>2</v>
      </c>
      <c r="AJ481" s="42">
        <f>IFERROR(LOOKUP(Y481,打分卡!$F$14:$J$14,打分卡!$K$14:$O$14),1)</f>
        <v>2</v>
      </c>
      <c r="AK481" s="42">
        <f>IFERROR(LOOKUP(W481,打分卡!$F$15:$J$15,打分卡!$K$15:$O$15),1)</f>
        <v>2</v>
      </c>
      <c r="AL481" s="45">
        <f t="shared" si="57"/>
        <v>2</v>
      </c>
      <c r="AM481" s="42">
        <f>IFERROR(LOOKUP(Z481,打分卡!$F$17:$H$17,打分卡!$K$17:$M$17),1)</f>
        <v>1</v>
      </c>
      <c r="AN481" s="46">
        <f>(打分卡!$D$7*AC481+打分卡!$D$8*AD481+打分卡!$D$9*AE481)/5</f>
        <v>14.6</v>
      </c>
      <c r="AO481" s="46">
        <f>(打分卡!$D$10*AF481+打分卡!$D$11*AG481)/5</f>
        <v>12</v>
      </c>
      <c r="AP481" s="46">
        <f>(打分卡!$D$12*AH481+打分卡!$D$13*AI481+打分卡!$D$14*AJ481+打分卡!$D$15*AK481)/5</f>
        <v>9.6</v>
      </c>
      <c r="AQ481" s="46">
        <f>(打分卡!$D$16*AL481+打分卡!$D$17*AM481)/5</f>
        <v>3.2</v>
      </c>
      <c r="AR481" s="48">
        <f t="shared" si="58"/>
        <v>39.4</v>
      </c>
      <c r="AS481" s="45" t="str">
        <f t="shared" si="59"/>
        <v>基础长尾</v>
      </c>
      <c r="AT481" s="45" t="str">
        <f t="shared" si="60"/>
        <v/>
      </c>
      <c r="AU481" s="45" t="str">
        <f t="shared" si="61"/>
        <v>激活：企微+Push低成本先跑</v>
      </c>
    </row>
    <row r="482" ht="15" customHeight="1" spans="1:47">
      <c r="A482" s="30" t="s">
        <v>1517</v>
      </c>
      <c r="B482" s="31" t="s">
        <v>1518</v>
      </c>
      <c r="C482" s="31" t="s">
        <v>223</v>
      </c>
      <c r="D482" s="31" t="s">
        <v>202</v>
      </c>
      <c r="E482" s="31" t="s">
        <v>181</v>
      </c>
      <c r="F482" s="30" t="s">
        <v>1519</v>
      </c>
      <c r="G482" s="31">
        <v>10</v>
      </c>
      <c r="H482" s="31" t="s">
        <v>301</v>
      </c>
      <c r="I482" s="31" t="s">
        <v>302</v>
      </c>
      <c r="J482" s="33">
        <v>33300</v>
      </c>
      <c r="K482" s="33">
        <v>14100</v>
      </c>
      <c r="L482" s="33">
        <v>9700</v>
      </c>
      <c r="M482" s="33">
        <f t="shared" si="56"/>
        <v>57100</v>
      </c>
      <c r="N482" s="34">
        <f t="shared" si="62"/>
        <v>0.000299354735886289</v>
      </c>
      <c r="O482" s="35">
        <f>SUM($M$2:M482)</f>
        <v>177796000</v>
      </c>
      <c r="P482" s="34">
        <f t="shared" si="63"/>
        <v>0.932120396175809</v>
      </c>
      <c r="Q482" s="37">
        <v>9.1</v>
      </c>
      <c r="R482" s="31">
        <v>6</v>
      </c>
      <c r="S482" s="31">
        <v>2</v>
      </c>
      <c r="T482" s="31">
        <v>1</v>
      </c>
      <c r="U482" s="37">
        <v>5.6</v>
      </c>
      <c r="V482" s="31">
        <v>11</v>
      </c>
      <c r="W482" s="31">
        <v>1</v>
      </c>
      <c r="X482" s="38">
        <v>16</v>
      </c>
      <c r="Y482" s="31">
        <v>3</v>
      </c>
      <c r="Z482" s="31">
        <v>0</v>
      </c>
      <c r="AA482" s="31" t="s">
        <v>315</v>
      </c>
      <c r="AB482" s="31" t="s">
        <v>220</v>
      </c>
      <c r="AC482" s="41">
        <f>IFERROR(LOOKUP(M482,打分卡!$F$7:$J$7,打分卡!$K$7:$O$7),1)</f>
        <v>2</v>
      </c>
      <c r="AD482" s="41">
        <f>IFERROR(LOOKUP(S482,打分卡!$F$8:$J$8,打分卡!$K$8:$O$8),1)</f>
        <v>2</v>
      </c>
      <c r="AE482" s="41">
        <f>IFERROR(LOOKUP(T482,打分卡!$F$9:$I$9,打分卡!$K$9:$N$9),1)</f>
        <v>2</v>
      </c>
      <c r="AF482" s="41">
        <f>IFERROR(LOOKUP(Q482,打分卡!$F$10:$J$10,打分卡!$K$10:$O$10),1)</f>
        <v>2</v>
      </c>
      <c r="AG482" s="41">
        <f>IFERROR(LOOKUP(R482,打分卡!$F$11:$J$11,打分卡!$K$11:$O$11),1)</f>
        <v>3</v>
      </c>
      <c r="AH482" s="41">
        <f>IFERROR(LOOKUP(U482,打分卡!$F$12:$J$12,打分卡!$K$12:$O$12),1)</f>
        <v>2</v>
      </c>
      <c r="AI482" s="41">
        <f>IFERROR(LOOKUP(X482,打分卡!$F$13:$J$13,打分卡!$K$13:$O$13),1)</f>
        <v>1</v>
      </c>
      <c r="AJ482" s="41">
        <f>IFERROR(LOOKUP(Y482,打分卡!$F$14:$J$14,打分卡!$K$14:$O$14),1)</f>
        <v>4</v>
      </c>
      <c r="AK482" s="41">
        <f>IFERROR(LOOKUP(W482,打分卡!$F$15:$J$15,打分卡!$K$15:$O$15),1)</f>
        <v>2</v>
      </c>
      <c r="AL482" s="43">
        <f t="shared" si="57"/>
        <v>2</v>
      </c>
      <c r="AM482" s="41">
        <f>IFERROR(LOOKUP(Z482,打分卡!$F$17:$H$17,打分卡!$K$17:$M$17),1)</f>
        <v>1</v>
      </c>
      <c r="AN482" s="44">
        <f>(打分卡!$D$7*AC482+打分卡!$D$8*AD482+打分卡!$D$9*AE482)/5</f>
        <v>16</v>
      </c>
      <c r="AO482" s="44">
        <f>(打分卡!$D$10*AF482+打分卡!$D$11*AG482)/5</f>
        <v>10</v>
      </c>
      <c r="AP482" s="44">
        <f>(打分卡!$D$12*AH482+打分卡!$D$13*AI482+打分卡!$D$14*AJ482+打分卡!$D$15*AK482)/5</f>
        <v>12.8</v>
      </c>
      <c r="AQ482" s="44">
        <f>(打分卡!$D$16*AL482+打分卡!$D$17*AM482)/5</f>
        <v>3.2</v>
      </c>
      <c r="AR482" s="47">
        <f t="shared" si="58"/>
        <v>42</v>
      </c>
      <c r="AS482" s="43" t="str">
        <f t="shared" si="59"/>
        <v>腰部</v>
      </c>
      <c r="AT482" s="43" t="str">
        <f t="shared" si="60"/>
        <v/>
      </c>
      <c r="AU482" s="43" t="str">
        <f t="shared" si="61"/>
        <v>拉·主攻：主推AI外呼+大促作战包</v>
      </c>
    </row>
    <row r="483" ht="15" customHeight="1" spans="1:47">
      <c r="A483" s="20" t="s">
        <v>1520</v>
      </c>
      <c r="B483" s="22" t="s">
        <v>1521</v>
      </c>
      <c r="C483" s="22" t="s">
        <v>239</v>
      </c>
      <c r="D483" s="22" t="s">
        <v>180</v>
      </c>
      <c r="E483" s="22" t="s">
        <v>181</v>
      </c>
      <c r="F483" s="20" t="s">
        <v>1522</v>
      </c>
      <c r="G483" s="22">
        <v>17</v>
      </c>
      <c r="H483" s="22" t="s">
        <v>301</v>
      </c>
      <c r="I483" s="22" t="s">
        <v>184</v>
      </c>
      <c r="J483" s="36">
        <v>33300</v>
      </c>
      <c r="K483" s="36">
        <v>17300</v>
      </c>
      <c r="L483" s="36">
        <v>6300</v>
      </c>
      <c r="M483" s="36">
        <f t="shared" si="56"/>
        <v>56900</v>
      </c>
      <c r="N483" s="34">
        <f t="shared" si="62"/>
        <v>0.000298306207914709</v>
      </c>
      <c r="O483" s="35">
        <f>SUM($M$2:M483)</f>
        <v>177852900</v>
      </c>
      <c r="P483" s="34">
        <f t="shared" si="63"/>
        <v>0.932418702383723</v>
      </c>
      <c r="Q483" s="39">
        <v>4.8</v>
      </c>
      <c r="R483" s="22">
        <v>3</v>
      </c>
      <c r="S483" s="22">
        <v>1</v>
      </c>
      <c r="T483" s="22">
        <v>1</v>
      </c>
      <c r="U483" s="39">
        <v>5.4</v>
      </c>
      <c r="V483" s="22">
        <v>15</v>
      </c>
      <c r="W483" s="22">
        <v>1</v>
      </c>
      <c r="X483" s="40">
        <v>75</v>
      </c>
      <c r="Y483" s="22">
        <v>2</v>
      </c>
      <c r="Z483" s="22">
        <v>0</v>
      </c>
      <c r="AA483" s="22" t="s">
        <v>199</v>
      </c>
      <c r="AB483" s="22" t="s">
        <v>220</v>
      </c>
      <c r="AC483" s="42">
        <f>IFERROR(LOOKUP(M483,打分卡!$F$7:$J$7,打分卡!$K$7:$O$7),1)</f>
        <v>2</v>
      </c>
      <c r="AD483" s="42">
        <f>IFERROR(LOOKUP(S483,打分卡!$F$8:$J$8,打分卡!$K$8:$O$8),1)</f>
        <v>1</v>
      </c>
      <c r="AE483" s="42">
        <f>IFERROR(LOOKUP(T483,打分卡!$F$9:$I$9,打分卡!$K$9:$N$9),1)</f>
        <v>2</v>
      </c>
      <c r="AF483" s="42">
        <f>IFERROR(LOOKUP(Q483,打分卡!$F$10:$J$10,打分卡!$K$10:$O$10),1)</f>
        <v>2</v>
      </c>
      <c r="AG483" s="42">
        <f>IFERROR(LOOKUP(R483,打分卡!$F$11:$J$11,打分卡!$K$11:$O$11),1)</f>
        <v>2</v>
      </c>
      <c r="AH483" s="42">
        <f>IFERROR(LOOKUP(U483,打分卡!$F$12:$J$12,打分卡!$K$12:$O$12),1)</f>
        <v>2</v>
      </c>
      <c r="AI483" s="42">
        <f>IFERROR(LOOKUP(X483,打分卡!$F$13:$J$13,打分卡!$K$13:$O$13),1)</f>
        <v>3</v>
      </c>
      <c r="AJ483" s="42">
        <f>IFERROR(LOOKUP(Y483,打分卡!$F$14:$J$14,打分卡!$K$14:$O$14),1)</f>
        <v>3</v>
      </c>
      <c r="AK483" s="42">
        <f>IFERROR(LOOKUP(W483,打分卡!$F$15:$J$15,打分卡!$K$15:$O$15),1)</f>
        <v>2</v>
      </c>
      <c r="AL483" s="45">
        <f t="shared" si="57"/>
        <v>5</v>
      </c>
      <c r="AM483" s="42">
        <f>IFERROR(LOOKUP(Z483,打分卡!$F$17:$H$17,打分卡!$K$17:$M$17),1)</f>
        <v>1</v>
      </c>
      <c r="AN483" s="46">
        <f>(打分卡!$D$7*AC483+打分卡!$D$8*AD483+打分卡!$D$9*AE483)/5</f>
        <v>14.4</v>
      </c>
      <c r="AO483" s="46">
        <f>(打分卡!$D$10*AF483+打分卡!$D$11*AG483)/5</f>
        <v>8</v>
      </c>
      <c r="AP483" s="46">
        <f>(打分卡!$D$12*AH483+打分卡!$D$13*AI483+打分卡!$D$14*AJ483+打分卡!$D$15*AK483)/5</f>
        <v>14.8</v>
      </c>
      <c r="AQ483" s="46">
        <f>(打分卡!$D$16*AL483+打分卡!$D$17*AM483)/5</f>
        <v>6.8</v>
      </c>
      <c r="AR483" s="48">
        <f t="shared" si="58"/>
        <v>44</v>
      </c>
      <c r="AS483" s="45" t="str">
        <f t="shared" si="59"/>
        <v>腰部</v>
      </c>
      <c r="AT483" s="45" t="str">
        <f t="shared" si="60"/>
        <v/>
      </c>
      <c r="AU483" s="45" t="str">
        <f t="shared" si="61"/>
        <v>拉·主攻：主推AI外呼+大促作战包</v>
      </c>
    </row>
    <row r="484" ht="15" customHeight="1" spans="1:47">
      <c r="A484" s="30" t="s">
        <v>1523</v>
      </c>
      <c r="B484" s="31" t="s">
        <v>1524</v>
      </c>
      <c r="C484" s="31" t="s">
        <v>223</v>
      </c>
      <c r="D484" s="31" t="s">
        <v>202</v>
      </c>
      <c r="E484" s="31" t="s">
        <v>181</v>
      </c>
      <c r="F484" s="30" t="s">
        <v>1525</v>
      </c>
      <c r="G484" s="31">
        <v>11</v>
      </c>
      <c r="H484" s="31" t="s">
        <v>301</v>
      </c>
      <c r="I484" s="31" t="s">
        <v>184</v>
      </c>
      <c r="J484" s="33">
        <v>27800</v>
      </c>
      <c r="K484" s="33">
        <v>18500</v>
      </c>
      <c r="L484" s="33">
        <v>10400</v>
      </c>
      <c r="M484" s="33">
        <f t="shared" si="56"/>
        <v>56700</v>
      </c>
      <c r="N484" s="34">
        <f t="shared" si="62"/>
        <v>0.000297257679943128</v>
      </c>
      <c r="O484" s="35">
        <f>SUM($M$2:M484)</f>
        <v>177909600</v>
      </c>
      <c r="P484" s="34">
        <f t="shared" si="63"/>
        <v>0.932715960063667</v>
      </c>
      <c r="Q484" s="37">
        <v>8.1</v>
      </c>
      <c r="R484" s="31">
        <v>4</v>
      </c>
      <c r="S484" s="31">
        <v>2</v>
      </c>
      <c r="T484" s="31">
        <v>0</v>
      </c>
      <c r="U484" s="37">
        <v>6.3</v>
      </c>
      <c r="V484" s="31">
        <v>26</v>
      </c>
      <c r="W484" s="31">
        <v>4</v>
      </c>
      <c r="X484" s="38">
        <v>48</v>
      </c>
      <c r="Y484" s="31">
        <v>2</v>
      </c>
      <c r="Z484" s="31">
        <v>1</v>
      </c>
      <c r="AA484" s="31" t="s">
        <v>199</v>
      </c>
      <c r="AB484" s="31" t="s">
        <v>220</v>
      </c>
      <c r="AC484" s="41">
        <f>IFERROR(LOOKUP(M484,打分卡!$F$7:$J$7,打分卡!$K$7:$O$7),1)</f>
        <v>2</v>
      </c>
      <c r="AD484" s="41">
        <f>IFERROR(LOOKUP(S484,打分卡!$F$8:$J$8,打分卡!$K$8:$O$8),1)</f>
        <v>2</v>
      </c>
      <c r="AE484" s="41">
        <f>IFERROR(LOOKUP(T484,打分卡!$F$9:$I$9,打分卡!$K$9:$N$9),1)</f>
        <v>1</v>
      </c>
      <c r="AF484" s="41">
        <f>IFERROR(LOOKUP(Q484,打分卡!$F$10:$J$10,打分卡!$K$10:$O$10),1)</f>
        <v>2</v>
      </c>
      <c r="AG484" s="41">
        <f>IFERROR(LOOKUP(R484,打分卡!$F$11:$J$11,打分卡!$K$11:$O$11),1)</f>
        <v>2</v>
      </c>
      <c r="AH484" s="41">
        <f>IFERROR(LOOKUP(U484,打分卡!$F$12:$J$12,打分卡!$K$12:$O$12),1)</f>
        <v>2</v>
      </c>
      <c r="AI484" s="41">
        <f>IFERROR(LOOKUP(X484,打分卡!$F$13:$J$13,打分卡!$K$13:$O$13),1)</f>
        <v>3</v>
      </c>
      <c r="AJ484" s="41">
        <f>IFERROR(LOOKUP(Y484,打分卡!$F$14:$J$14,打分卡!$K$14:$O$14),1)</f>
        <v>3</v>
      </c>
      <c r="AK484" s="41">
        <f>IFERROR(LOOKUP(W484,打分卡!$F$15:$J$15,打分卡!$K$15:$O$15),1)</f>
        <v>3</v>
      </c>
      <c r="AL484" s="43">
        <f t="shared" si="57"/>
        <v>5</v>
      </c>
      <c r="AM484" s="41">
        <f>IFERROR(LOOKUP(Z484,打分卡!$F$17:$H$17,打分卡!$K$17:$M$17),1)</f>
        <v>3</v>
      </c>
      <c r="AN484" s="44">
        <f>(打分卡!$D$7*AC484+打分卡!$D$8*AD484+打分卡!$D$9*AE484)/5</f>
        <v>14.6</v>
      </c>
      <c r="AO484" s="44">
        <f>(打分卡!$D$10*AF484+打分卡!$D$11*AG484)/5</f>
        <v>8</v>
      </c>
      <c r="AP484" s="44">
        <f>(打分卡!$D$12*AH484+打分卡!$D$13*AI484+打分卡!$D$14*AJ484+打分卡!$D$15*AK484)/5</f>
        <v>15.6</v>
      </c>
      <c r="AQ484" s="44">
        <f>(打分卡!$D$16*AL484+打分卡!$D$17*AM484)/5</f>
        <v>8.4</v>
      </c>
      <c r="AR484" s="47">
        <f t="shared" si="58"/>
        <v>46.6</v>
      </c>
      <c r="AS484" s="43" t="str">
        <f t="shared" si="59"/>
        <v>腰部</v>
      </c>
      <c r="AT484" s="43" t="str">
        <f t="shared" si="60"/>
        <v/>
      </c>
      <c r="AU484" s="43" t="str">
        <f t="shared" si="61"/>
        <v>拉·主攻：主推AI外呼+大促作战包</v>
      </c>
    </row>
    <row r="485" ht="15" customHeight="1" spans="1:47">
      <c r="A485" s="20" t="s">
        <v>1526</v>
      </c>
      <c r="B485" s="22" t="s">
        <v>1527</v>
      </c>
      <c r="C485" s="22" t="s">
        <v>218</v>
      </c>
      <c r="D485" s="22" t="s">
        <v>196</v>
      </c>
      <c r="E485" s="22" t="s">
        <v>181</v>
      </c>
      <c r="F485" s="20" t="s">
        <v>502</v>
      </c>
      <c r="G485" s="22">
        <v>13</v>
      </c>
      <c r="H485" s="22" t="s">
        <v>301</v>
      </c>
      <c r="I485" s="22" t="s">
        <v>302</v>
      </c>
      <c r="J485" s="36">
        <v>31900</v>
      </c>
      <c r="K485" s="36">
        <v>13400</v>
      </c>
      <c r="L485" s="36">
        <v>11200</v>
      </c>
      <c r="M485" s="36">
        <f t="shared" si="56"/>
        <v>56500</v>
      </c>
      <c r="N485" s="34">
        <f t="shared" si="62"/>
        <v>0.000296209151971547</v>
      </c>
      <c r="O485" s="35">
        <f>SUM($M$2:M485)</f>
        <v>177966100</v>
      </c>
      <c r="P485" s="34">
        <f t="shared" si="63"/>
        <v>0.933012169215638</v>
      </c>
      <c r="Q485" s="39">
        <v>4.1</v>
      </c>
      <c r="R485" s="22">
        <v>10</v>
      </c>
      <c r="S485" s="22">
        <v>3</v>
      </c>
      <c r="T485" s="22">
        <v>0</v>
      </c>
      <c r="U485" s="39">
        <v>1.5</v>
      </c>
      <c r="V485" s="22">
        <v>23</v>
      </c>
      <c r="W485" s="22">
        <v>3</v>
      </c>
      <c r="X485" s="40">
        <v>14</v>
      </c>
      <c r="Y485" s="22">
        <v>0</v>
      </c>
      <c r="Z485" s="22">
        <v>0</v>
      </c>
      <c r="AA485" s="22" t="s">
        <v>315</v>
      </c>
      <c r="AB485" s="22" t="s">
        <v>220</v>
      </c>
      <c r="AC485" s="42">
        <f>IFERROR(LOOKUP(M485,打分卡!$F$7:$J$7,打分卡!$K$7:$O$7),1)</f>
        <v>2</v>
      </c>
      <c r="AD485" s="42">
        <f>IFERROR(LOOKUP(S485,打分卡!$F$8:$J$8,打分卡!$K$8:$O$8),1)</f>
        <v>3</v>
      </c>
      <c r="AE485" s="42">
        <f>IFERROR(LOOKUP(T485,打分卡!$F$9:$I$9,打分卡!$K$9:$N$9),1)</f>
        <v>1</v>
      </c>
      <c r="AF485" s="42">
        <f>IFERROR(LOOKUP(Q485,打分卡!$F$10:$J$10,打分卡!$K$10:$O$10),1)</f>
        <v>2</v>
      </c>
      <c r="AG485" s="42">
        <f>IFERROR(LOOKUP(R485,打分卡!$F$11:$J$11,打分卡!$K$11:$O$11),1)</f>
        <v>4</v>
      </c>
      <c r="AH485" s="42">
        <f>IFERROR(LOOKUP(U485,打分卡!$F$12:$J$12,打分卡!$K$12:$O$12),1)</f>
        <v>1</v>
      </c>
      <c r="AI485" s="42">
        <f>IFERROR(LOOKUP(X485,打分卡!$F$13:$J$13,打分卡!$K$13:$O$13),1)</f>
        <v>1</v>
      </c>
      <c r="AJ485" s="42">
        <f>IFERROR(LOOKUP(Y485,打分卡!$F$14:$J$14,打分卡!$K$14:$O$14),1)</f>
        <v>1</v>
      </c>
      <c r="AK485" s="42">
        <f>IFERROR(LOOKUP(W485,打分卡!$F$15:$J$15,打分卡!$K$15:$O$15),1)</f>
        <v>3</v>
      </c>
      <c r="AL485" s="45">
        <f t="shared" si="57"/>
        <v>2</v>
      </c>
      <c r="AM485" s="42">
        <f>IFERROR(LOOKUP(Z485,打分卡!$F$17:$H$17,打分卡!$K$17:$M$17),1)</f>
        <v>1</v>
      </c>
      <c r="AN485" s="46">
        <f>(打分卡!$D$7*AC485+打分卡!$D$8*AD485+打分卡!$D$9*AE485)/5</f>
        <v>16.2</v>
      </c>
      <c r="AO485" s="46">
        <f>(打分卡!$D$10*AF485+打分卡!$D$11*AG485)/5</f>
        <v>12</v>
      </c>
      <c r="AP485" s="46">
        <f>(打分卡!$D$12*AH485+打分卡!$D$13*AI485+打分卡!$D$14*AJ485+打分卡!$D$15*AK485)/5</f>
        <v>7.6</v>
      </c>
      <c r="AQ485" s="46">
        <f>(打分卡!$D$16*AL485+打分卡!$D$17*AM485)/5</f>
        <v>3.2</v>
      </c>
      <c r="AR485" s="48">
        <f t="shared" si="58"/>
        <v>39</v>
      </c>
      <c r="AS485" s="45" t="str">
        <f t="shared" si="59"/>
        <v>基础长尾</v>
      </c>
      <c r="AT485" s="45" t="str">
        <f t="shared" si="60"/>
        <v/>
      </c>
      <c r="AU485" s="45" t="str">
        <f t="shared" si="61"/>
        <v>激活：企微+Push低成本先跑</v>
      </c>
    </row>
    <row r="486" ht="15" customHeight="1" spans="1:47">
      <c r="A486" s="30" t="s">
        <v>1528</v>
      </c>
      <c r="B486" s="31" t="s">
        <v>1529</v>
      </c>
      <c r="C486" s="31" t="s">
        <v>179</v>
      </c>
      <c r="D486" s="31" t="s">
        <v>235</v>
      </c>
      <c r="E486" s="31" t="s">
        <v>181</v>
      </c>
      <c r="F486" s="30" t="s">
        <v>481</v>
      </c>
      <c r="G486" s="31">
        <v>13</v>
      </c>
      <c r="H486" s="31" t="s">
        <v>301</v>
      </c>
      <c r="I486" s="31" t="s">
        <v>302</v>
      </c>
      <c r="J486" s="33">
        <v>34400</v>
      </c>
      <c r="K486" s="33">
        <v>19200</v>
      </c>
      <c r="L486" s="33">
        <v>2800</v>
      </c>
      <c r="M486" s="33">
        <f t="shared" si="56"/>
        <v>56400</v>
      </c>
      <c r="N486" s="34">
        <f t="shared" si="62"/>
        <v>0.000295684887985757</v>
      </c>
      <c r="O486" s="35">
        <f>SUM($M$2:M486)</f>
        <v>178022500</v>
      </c>
      <c r="P486" s="34">
        <f t="shared" si="63"/>
        <v>0.933307854103624</v>
      </c>
      <c r="Q486" s="37">
        <v>8.5</v>
      </c>
      <c r="R486" s="31">
        <v>9</v>
      </c>
      <c r="S486" s="31">
        <v>1</v>
      </c>
      <c r="T486" s="31">
        <v>2</v>
      </c>
      <c r="U486" s="37">
        <v>20.8</v>
      </c>
      <c r="V486" s="31">
        <v>5</v>
      </c>
      <c r="W486" s="31">
        <v>4</v>
      </c>
      <c r="X486" s="38">
        <v>95</v>
      </c>
      <c r="Y486" s="31">
        <v>2</v>
      </c>
      <c r="Z486" s="31">
        <v>0</v>
      </c>
      <c r="AA486" s="31" t="s">
        <v>185</v>
      </c>
      <c r="AB486" s="31" t="s">
        <v>220</v>
      </c>
      <c r="AC486" s="41">
        <f>IFERROR(LOOKUP(M486,打分卡!$F$7:$J$7,打分卡!$K$7:$O$7),1)</f>
        <v>2</v>
      </c>
      <c r="AD486" s="41">
        <f>IFERROR(LOOKUP(S486,打分卡!$F$8:$J$8,打分卡!$K$8:$O$8),1)</f>
        <v>1</v>
      </c>
      <c r="AE486" s="41">
        <f>IFERROR(LOOKUP(T486,打分卡!$F$9:$I$9,打分卡!$K$9:$N$9),1)</f>
        <v>3</v>
      </c>
      <c r="AF486" s="41">
        <f>IFERROR(LOOKUP(Q486,打分卡!$F$10:$J$10,打分卡!$K$10:$O$10),1)</f>
        <v>2</v>
      </c>
      <c r="AG486" s="41">
        <f>IFERROR(LOOKUP(R486,打分卡!$F$11:$J$11,打分卡!$K$11:$O$11),1)</f>
        <v>4</v>
      </c>
      <c r="AH486" s="41">
        <f>IFERROR(LOOKUP(U486,打分卡!$F$12:$J$12,打分卡!$K$12:$O$12),1)</f>
        <v>3</v>
      </c>
      <c r="AI486" s="41">
        <f>IFERROR(LOOKUP(X486,打分卡!$F$13:$J$13,打分卡!$K$13:$O$13),1)</f>
        <v>4</v>
      </c>
      <c r="AJ486" s="41">
        <f>IFERROR(LOOKUP(Y486,打分卡!$F$14:$J$14,打分卡!$K$14:$O$14),1)</f>
        <v>3</v>
      </c>
      <c r="AK486" s="41">
        <f>IFERROR(LOOKUP(W486,打分卡!$F$15:$J$15,打分卡!$K$15:$O$15),1)</f>
        <v>3</v>
      </c>
      <c r="AL486" s="43">
        <f t="shared" si="57"/>
        <v>3</v>
      </c>
      <c r="AM486" s="41">
        <f>IFERROR(LOOKUP(Z486,打分卡!$F$17:$H$17,打分卡!$K$17:$M$17),1)</f>
        <v>1</v>
      </c>
      <c r="AN486" s="44">
        <f>(打分卡!$D$7*AC486+打分卡!$D$8*AD486+打分卡!$D$9*AE486)/5</f>
        <v>15.8</v>
      </c>
      <c r="AO486" s="44">
        <f>(打分卡!$D$10*AF486+打分卡!$D$11*AG486)/5</f>
        <v>12</v>
      </c>
      <c r="AP486" s="44">
        <f>(打分卡!$D$12*AH486+打分卡!$D$13*AI486+打分卡!$D$14*AJ486+打分卡!$D$15*AK486)/5</f>
        <v>19.6</v>
      </c>
      <c r="AQ486" s="44">
        <f>(打分卡!$D$16*AL486+打分卡!$D$17*AM486)/5</f>
        <v>4.4</v>
      </c>
      <c r="AR486" s="47">
        <f t="shared" si="58"/>
        <v>51.8</v>
      </c>
      <c r="AS486" s="43" t="str">
        <f t="shared" si="59"/>
        <v>腰部</v>
      </c>
      <c r="AT486" s="43" t="str">
        <f t="shared" si="60"/>
        <v/>
      </c>
      <c r="AU486" s="43" t="str">
        <f t="shared" si="61"/>
        <v>拉·主攻：主推AI外呼+大促作战包</v>
      </c>
    </row>
    <row r="487" ht="15" customHeight="1" spans="1:47">
      <c r="A487" s="20" t="s">
        <v>1530</v>
      </c>
      <c r="B487" s="22" t="s">
        <v>1531</v>
      </c>
      <c r="C487" s="22" t="s">
        <v>239</v>
      </c>
      <c r="D487" s="22" t="s">
        <v>196</v>
      </c>
      <c r="E487" s="22" t="s">
        <v>197</v>
      </c>
      <c r="F487" s="20" t="s">
        <v>1532</v>
      </c>
      <c r="G487" s="22">
        <v>15</v>
      </c>
      <c r="H487" s="22" t="s">
        <v>301</v>
      </c>
      <c r="I487" s="22" t="s">
        <v>184</v>
      </c>
      <c r="J487" s="36">
        <v>31300</v>
      </c>
      <c r="K487" s="36">
        <v>16500</v>
      </c>
      <c r="L487" s="36">
        <v>8300</v>
      </c>
      <c r="M487" s="36">
        <f t="shared" si="56"/>
        <v>56100</v>
      </c>
      <c r="N487" s="34">
        <f t="shared" si="62"/>
        <v>0.000294112096028386</v>
      </c>
      <c r="O487" s="35">
        <f>SUM($M$2:M487)</f>
        <v>178078600</v>
      </c>
      <c r="P487" s="34">
        <f t="shared" si="63"/>
        <v>0.933601966199652</v>
      </c>
      <c r="Q487" s="39">
        <v>6.1</v>
      </c>
      <c r="R487" s="22">
        <v>4</v>
      </c>
      <c r="S487" s="22">
        <v>1</v>
      </c>
      <c r="T487" s="22">
        <v>1</v>
      </c>
      <c r="U487" s="39">
        <v>10.3</v>
      </c>
      <c r="V487" s="22">
        <v>8</v>
      </c>
      <c r="W487" s="22">
        <v>0</v>
      </c>
      <c r="X487" s="40">
        <v>40</v>
      </c>
      <c r="Y487" s="22">
        <v>2</v>
      </c>
      <c r="Z487" s="22">
        <v>0</v>
      </c>
      <c r="AA487" s="22" t="s">
        <v>199</v>
      </c>
      <c r="AB487" s="22" t="s">
        <v>220</v>
      </c>
      <c r="AC487" s="42">
        <f>IFERROR(LOOKUP(M487,打分卡!$F$7:$J$7,打分卡!$K$7:$O$7),1)</f>
        <v>2</v>
      </c>
      <c r="AD487" s="42">
        <f>IFERROR(LOOKUP(S487,打分卡!$F$8:$J$8,打分卡!$K$8:$O$8),1)</f>
        <v>1</v>
      </c>
      <c r="AE487" s="42">
        <f>IFERROR(LOOKUP(T487,打分卡!$F$9:$I$9,打分卡!$K$9:$N$9),1)</f>
        <v>2</v>
      </c>
      <c r="AF487" s="42">
        <f>IFERROR(LOOKUP(Q487,打分卡!$F$10:$J$10,打分卡!$K$10:$O$10),1)</f>
        <v>2</v>
      </c>
      <c r="AG487" s="42">
        <f>IFERROR(LOOKUP(R487,打分卡!$F$11:$J$11,打分卡!$K$11:$O$11),1)</f>
        <v>2</v>
      </c>
      <c r="AH487" s="42">
        <f>IFERROR(LOOKUP(U487,打分卡!$F$12:$J$12,打分卡!$K$12:$O$12),1)</f>
        <v>2</v>
      </c>
      <c r="AI487" s="42">
        <f>IFERROR(LOOKUP(X487,打分卡!$F$13:$J$13,打分卡!$K$13:$O$13),1)</f>
        <v>3</v>
      </c>
      <c r="AJ487" s="42">
        <f>IFERROR(LOOKUP(Y487,打分卡!$F$14:$J$14,打分卡!$K$14:$O$14),1)</f>
        <v>3</v>
      </c>
      <c r="AK487" s="42">
        <f>IFERROR(LOOKUP(W487,打分卡!$F$15:$J$15,打分卡!$K$15:$O$15),1)</f>
        <v>1</v>
      </c>
      <c r="AL487" s="45">
        <f t="shared" si="57"/>
        <v>5</v>
      </c>
      <c r="AM487" s="42">
        <f>IFERROR(LOOKUP(Z487,打分卡!$F$17:$H$17,打分卡!$K$17:$M$17),1)</f>
        <v>1</v>
      </c>
      <c r="AN487" s="46">
        <f>(打分卡!$D$7*AC487+打分卡!$D$8*AD487+打分卡!$D$9*AE487)/5</f>
        <v>14.4</v>
      </c>
      <c r="AO487" s="46">
        <f>(打分卡!$D$10*AF487+打分卡!$D$11*AG487)/5</f>
        <v>8</v>
      </c>
      <c r="AP487" s="46">
        <f>(打分卡!$D$12*AH487+打分卡!$D$13*AI487+打分卡!$D$14*AJ487+打分卡!$D$15*AK487)/5</f>
        <v>14</v>
      </c>
      <c r="AQ487" s="46">
        <f>(打分卡!$D$16*AL487+打分卡!$D$17*AM487)/5</f>
        <v>6.8</v>
      </c>
      <c r="AR487" s="48">
        <f t="shared" si="58"/>
        <v>43.2</v>
      </c>
      <c r="AS487" s="45" t="str">
        <f t="shared" si="59"/>
        <v>腰部</v>
      </c>
      <c r="AT487" s="45" t="str">
        <f t="shared" si="60"/>
        <v/>
      </c>
      <c r="AU487" s="45" t="str">
        <f t="shared" si="61"/>
        <v>拉·主攻：主推AI外呼+大促作战包</v>
      </c>
    </row>
    <row r="488" ht="15" customHeight="1" spans="1:47">
      <c r="A488" s="30" t="s">
        <v>1533</v>
      </c>
      <c r="B488" s="31" t="s">
        <v>1534</v>
      </c>
      <c r="C488" s="31" t="s">
        <v>218</v>
      </c>
      <c r="D488" s="31" t="s">
        <v>190</v>
      </c>
      <c r="E488" s="31" t="s">
        <v>181</v>
      </c>
      <c r="F488" s="30" t="s">
        <v>1126</v>
      </c>
      <c r="G488" s="31">
        <v>7</v>
      </c>
      <c r="H488" s="31" t="s">
        <v>183</v>
      </c>
      <c r="I488" s="31" t="s">
        <v>184</v>
      </c>
      <c r="J488" s="33">
        <v>29800</v>
      </c>
      <c r="K488" s="33">
        <v>15200</v>
      </c>
      <c r="L488" s="33">
        <v>11000</v>
      </c>
      <c r="M488" s="33">
        <f t="shared" si="56"/>
        <v>56000</v>
      </c>
      <c r="N488" s="34">
        <f t="shared" si="62"/>
        <v>0.000293587832042595</v>
      </c>
      <c r="O488" s="35">
        <f>SUM($M$2:M488)</f>
        <v>178134600</v>
      </c>
      <c r="P488" s="34">
        <f t="shared" si="63"/>
        <v>0.933895554031695</v>
      </c>
      <c r="Q488" s="37">
        <v>6</v>
      </c>
      <c r="R488" s="31">
        <v>3</v>
      </c>
      <c r="S488" s="31">
        <v>1</v>
      </c>
      <c r="T488" s="31">
        <v>0</v>
      </c>
      <c r="U488" s="37">
        <v>8.7</v>
      </c>
      <c r="V488" s="31">
        <v>15</v>
      </c>
      <c r="W488" s="31">
        <v>1</v>
      </c>
      <c r="X488" s="38">
        <v>12</v>
      </c>
      <c r="Y488" s="31">
        <v>2</v>
      </c>
      <c r="Z488" s="31">
        <v>0</v>
      </c>
      <c r="AA488" s="31" t="s">
        <v>185</v>
      </c>
      <c r="AB488" s="31" t="s">
        <v>220</v>
      </c>
      <c r="AC488" s="41">
        <f>IFERROR(LOOKUP(M488,打分卡!$F$7:$J$7,打分卡!$K$7:$O$7),1)</f>
        <v>2</v>
      </c>
      <c r="AD488" s="41">
        <f>IFERROR(LOOKUP(S488,打分卡!$F$8:$J$8,打分卡!$K$8:$O$8),1)</f>
        <v>1</v>
      </c>
      <c r="AE488" s="41">
        <f>IFERROR(LOOKUP(T488,打分卡!$F$9:$I$9,打分卡!$K$9:$N$9),1)</f>
        <v>1</v>
      </c>
      <c r="AF488" s="41">
        <f>IFERROR(LOOKUP(Q488,打分卡!$F$10:$J$10,打分卡!$K$10:$O$10),1)</f>
        <v>2</v>
      </c>
      <c r="AG488" s="41">
        <f>IFERROR(LOOKUP(R488,打分卡!$F$11:$J$11,打分卡!$K$11:$O$11),1)</f>
        <v>2</v>
      </c>
      <c r="AH488" s="41">
        <f>IFERROR(LOOKUP(U488,打分卡!$F$12:$J$12,打分卡!$K$12:$O$12),1)</f>
        <v>2</v>
      </c>
      <c r="AI488" s="41">
        <f>IFERROR(LOOKUP(X488,打分卡!$F$13:$J$13,打分卡!$K$13:$O$13),1)</f>
        <v>1</v>
      </c>
      <c r="AJ488" s="41">
        <f>IFERROR(LOOKUP(Y488,打分卡!$F$14:$J$14,打分卡!$K$14:$O$14),1)</f>
        <v>3</v>
      </c>
      <c r="AK488" s="41">
        <f>IFERROR(LOOKUP(W488,打分卡!$F$15:$J$15,打分卡!$K$15:$O$15),1)</f>
        <v>2</v>
      </c>
      <c r="AL488" s="43">
        <f t="shared" si="57"/>
        <v>3</v>
      </c>
      <c r="AM488" s="41">
        <f>IFERROR(LOOKUP(Z488,打分卡!$F$17:$H$17,打分卡!$K$17:$M$17),1)</f>
        <v>1</v>
      </c>
      <c r="AN488" s="44">
        <f>(打分卡!$D$7*AC488+打分卡!$D$8*AD488+打分卡!$D$9*AE488)/5</f>
        <v>13</v>
      </c>
      <c r="AO488" s="44">
        <f>(打分卡!$D$10*AF488+打分卡!$D$11*AG488)/5</f>
        <v>8</v>
      </c>
      <c r="AP488" s="44">
        <f>(打分卡!$D$12*AH488+打分卡!$D$13*AI488+打分卡!$D$14*AJ488+打分卡!$D$15*AK488)/5</f>
        <v>11.6</v>
      </c>
      <c r="AQ488" s="44">
        <f>(打分卡!$D$16*AL488+打分卡!$D$17*AM488)/5</f>
        <v>4.4</v>
      </c>
      <c r="AR488" s="47">
        <f t="shared" si="58"/>
        <v>37</v>
      </c>
      <c r="AS488" s="43" t="str">
        <f t="shared" si="59"/>
        <v>基础长尾</v>
      </c>
      <c r="AT488" s="43" t="str">
        <f t="shared" si="60"/>
        <v/>
      </c>
      <c r="AU488" s="43" t="str">
        <f t="shared" si="61"/>
        <v>激活：企微+Push低成本先跑</v>
      </c>
    </row>
    <row r="489" ht="15" customHeight="1" spans="1:47">
      <c r="A489" s="20" t="s">
        <v>1535</v>
      </c>
      <c r="B489" s="22" t="s">
        <v>1536</v>
      </c>
      <c r="C489" s="22" t="s">
        <v>239</v>
      </c>
      <c r="D489" s="22" t="s">
        <v>196</v>
      </c>
      <c r="E489" s="22" t="s">
        <v>181</v>
      </c>
      <c r="F489" s="20" t="s">
        <v>1537</v>
      </c>
      <c r="G489" s="22">
        <v>12</v>
      </c>
      <c r="H489" s="22" t="s">
        <v>183</v>
      </c>
      <c r="I489" s="22" t="s">
        <v>302</v>
      </c>
      <c r="J489" s="36">
        <v>27700</v>
      </c>
      <c r="K489" s="36">
        <v>16500</v>
      </c>
      <c r="L489" s="36">
        <v>11700</v>
      </c>
      <c r="M489" s="36">
        <f t="shared" si="56"/>
        <v>55900</v>
      </c>
      <c r="N489" s="34">
        <f t="shared" si="62"/>
        <v>0.000293063568056805</v>
      </c>
      <c r="O489" s="35">
        <f>SUM($M$2:M489)</f>
        <v>178190500</v>
      </c>
      <c r="P489" s="34">
        <f t="shared" si="63"/>
        <v>0.934188617599752</v>
      </c>
      <c r="Q489" s="39">
        <v>5.9</v>
      </c>
      <c r="R489" s="22">
        <v>5</v>
      </c>
      <c r="S489" s="22">
        <v>1</v>
      </c>
      <c r="T489" s="22">
        <v>2</v>
      </c>
      <c r="U489" s="39">
        <v>1.8</v>
      </c>
      <c r="V489" s="22">
        <v>29</v>
      </c>
      <c r="W489" s="22">
        <v>2</v>
      </c>
      <c r="X489" s="40">
        <v>12</v>
      </c>
      <c r="Y489" s="22">
        <v>0</v>
      </c>
      <c r="Z489" s="22">
        <v>1</v>
      </c>
      <c r="AA489" s="22" t="s">
        <v>185</v>
      </c>
      <c r="AB489" s="22" t="s">
        <v>220</v>
      </c>
      <c r="AC489" s="42">
        <f>IFERROR(LOOKUP(M489,打分卡!$F$7:$J$7,打分卡!$K$7:$O$7),1)</f>
        <v>2</v>
      </c>
      <c r="AD489" s="42">
        <f>IFERROR(LOOKUP(S489,打分卡!$F$8:$J$8,打分卡!$K$8:$O$8),1)</f>
        <v>1</v>
      </c>
      <c r="AE489" s="42">
        <f>IFERROR(LOOKUP(T489,打分卡!$F$9:$I$9,打分卡!$K$9:$N$9),1)</f>
        <v>3</v>
      </c>
      <c r="AF489" s="42">
        <f>IFERROR(LOOKUP(Q489,打分卡!$F$10:$J$10,打分卡!$K$10:$O$10),1)</f>
        <v>2</v>
      </c>
      <c r="AG489" s="42">
        <f>IFERROR(LOOKUP(R489,打分卡!$F$11:$J$11,打分卡!$K$11:$O$11),1)</f>
        <v>3</v>
      </c>
      <c r="AH489" s="42">
        <f>IFERROR(LOOKUP(U489,打分卡!$F$12:$J$12,打分卡!$K$12:$O$12),1)</f>
        <v>1</v>
      </c>
      <c r="AI489" s="42">
        <f>IFERROR(LOOKUP(X489,打分卡!$F$13:$J$13,打分卡!$K$13:$O$13),1)</f>
        <v>1</v>
      </c>
      <c r="AJ489" s="42">
        <f>IFERROR(LOOKUP(Y489,打分卡!$F$14:$J$14,打分卡!$K$14:$O$14),1)</f>
        <v>1</v>
      </c>
      <c r="AK489" s="42">
        <f>IFERROR(LOOKUP(W489,打分卡!$F$15:$J$15,打分卡!$K$15:$O$15),1)</f>
        <v>2</v>
      </c>
      <c r="AL489" s="45">
        <f t="shared" si="57"/>
        <v>3</v>
      </c>
      <c r="AM489" s="42">
        <f>IFERROR(LOOKUP(Z489,打分卡!$F$17:$H$17,打分卡!$K$17:$M$17),1)</f>
        <v>3</v>
      </c>
      <c r="AN489" s="46">
        <f>(打分卡!$D$7*AC489+打分卡!$D$8*AD489+打分卡!$D$9*AE489)/5</f>
        <v>15.8</v>
      </c>
      <c r="AO489" s="46">
        <f>(打分卡!$D$10*AF489+打分卡!$D$11*AG489)/5</f>
        <v>10</v>
      </c>
      <c r="AP489" s="46">
        <f>(打分卡!$D$12*AH489+打分卡!$D$13*AI489+打分卡!$D$14*AJ489+打分卡!$D$15*AK489)/5</f>
        <v>6.8</v>
      </c>
      <c r="AQ489" s="46">
        <f>(打分卡!$D$16*AL489+打分卡!$D$17*AM489)/5</f>
        <v>6</v>
      </c>
      <c r="AR489" s="48">
        <f t="shared" si="58"/>
        <v>38.6</v>
      </c>
      <c r="AS489" s="45" t="str">
        <f t="shared" si="59"/>
        <v>基础长尾</v>
      </c>
      <c r="AT489" s="45" t="str">
        <f t="shared" si="60"/>
        <v/>
      </c>
      <c r="AU489" s="45" t="str">
        <f t="shared" si="61"/>
        <v>激活：企微+Push低成本先跑</v>
      </c>
    </row>
    <row r="490" ht="15" customHeight="1" spans="1:47">
      <c r="A490" s="30" t="s">
        <v>1538</v>
      </c>
      <c r="B490" s="31" t="s">
        <v>1539</v>
      </c>
      <c r="C490" s="31" t="s">
        <v>223</v>
      </c>
      <c r="D490" s="31" t="s">
        <v>227</v>
      </c>
      <c r="E490" s="31" t="s">
        <v>181</v>
      </c>
      <c r="F490" s="30" t="s">
        <v>1540</v>
      </c>
      <c r="G490" s="31">
        <v>9</v>
      </c>
      <c r="H490" s="31" t="s">
        <v>183</v>
      </c>
      <c r="I490" s="31" t="s">
        <v>302</v>
      </c>
      <c r="J490" s="33">
        <v>32000</v>
      </c>
      <c r="K490" s="33">
        <v>20900</v>
      </c>
      <c r="L490" s="33">
        <v>2800</v>
      </c>
      <c r="M490" s="33">
        <f t="shared" si="56"/>
        <v>55700</v>
      </c>
      <c r="N490" s="34">
        <f t="shared" si="62"/>
        <v>0.000292015040085224</v>
      </c>
      <c r="O490" s="35">
        <f>SUM($M$2:M490)</f>
        <v>178246200</v>
      </c>
      <c r="P490" s="34">
        <f t="shared" si="63"/>
        <v>0.934480632639837</v>
      </c>
      <c r="Q490" s="37">
        <v>8.7</v>
      </c>
      <c r="R490" s="31">
        <v>4</v>
      </c>
      <c r="S490" s="31">
        <v>2</v>
      </c>
      <c r="T490" s="31">
        <v>1</v>
      </c>
      <c r="U490" s="37">
        <v>1.5</v>
      </c>
      <c r="V490" s="31">
        <v>4</v>
      </c>
      <c r="W490" s="31">
        <v>1</v>
      </c>
      <c r="X490" s="38">
        <v>23</v>
      </c>
      <c r="Y490" s="31">
        <v>2</v>
      </c>
      <c r="Z490" s="31">
        <v>0</v>
      </c>
      <c r="AA490" s="31" t="s">
        <v>199</v>
      </c>
      <c r="AB490" s="31" t="s">
        <v>220</v>
      </c>
      <c r="AC490" s="41">
        <f>IFERROR(LOOKUP(M490,打分卡!$F$7:$J$7,打分卡!$K$7:$O$7),1)</f>
        <v>2</v>
      </c>
      <c r="AD490" s="41">
        <f>IFERROR(LOOKUP(S490,打分卡!$F$8:$J$8,打分卡!$K$8:$O$8),1)</f>
        <v>2</v>
      </c>
      <c r="AE490" s="41">
        <f>IFERROR(LOOKUP(T490,打分卡!$F$9:$I$9,打分卡!$K$9:$N$9),1)</f>
        <v>2</v>
      </c>
      <c r="AF490" s="41">
        <f>IFERROR(LOOKUP(Q490,打分卡!$F$10:$J$10,打分卡!$K$10:$O$10),1)</f>
        <v>2</v>
      </c>
      <c r="AG490" s="41">
        <f>IFERROR(LOOKUP(R490,打分卡!$F$11:$J$11,打分卡!$K$11:$O$11),1)</f>
        <v>2</v>
      </c>
      <c r="AH490" s="41">
        <f>IFERROR(LOOKUP(U490,打分卡!$F$12:$J$12,打分卡!$K$12:$O$12),1)</f>
        <v>1</v>
      </c>
      <c r="AI490" s="41">
        <f>IFERROR(LOOKUP(X490,打分卡!$F$13:$J$13,打分卡!$K$13:$O$13),1)</f>
        <v>2</v>
      </c>
      <c r="AJ490" s="41">
        <f>IFERROR(LOOKUP(Y490,打分卡!$F$14:$J$14,打分卡!$K$14:$O$14),1)</f>
        <v>3</v>
      </c>
      <c r="AK490" s="41">
        <f>IFERROR(LOOKUP(W490,打分卡!$F$15:$J$15,打分卡!$K$15:$O$15),1)</f>
        <v>2</v>
      </c>
      <c r="AL490" s="43">
        <f t="shared" si="57"/>
        <v>5</v>
      </c>
      <c r="AM490" s="41">
        <f>IFERROR(LOOKUP(Z490,打分卡!$F$17:$H$17,打分卡!$K$17:$M$17),1)</f>
        <v>1</v>
      </c>
      <c r="AN490" s="44">
        <f>(打分卡!$D$7*AC490+打分卡!$D$8*AD490+打分卡!$D$9*AE490)/5</f>
        <v>16</v>
      </c>
      <c r="AO490" s="44">
        <f>(打分卡!$D$10*AF490+打分卡!$D$11*AG490)/5</f>
        <v>8</v>
      </c>
      <c r="AP490" s="44">
        <f>(打分卡!$D$12*AH490+打分卡!$D$13*AI490+打分卡!$D$14*AJ490+打分卡!$D$15*AK490)/5</f>
        <v>10.8</v>
      </c>
      <c r="AQ490" s="44">
        <f>(打分卡!$D$16*AL490+打分卡!$D$17*AM490)/5</f>
        <v>6.8</v>
      </c>
      <c r="AR490" s="47">
        <f t="shared" si="58"/>
        <v>41.6</v>
      </c>
      <c r="AS490" s="43" t="str">
        <f t="shared" si="59"/>
        <v>腰部</v>
      </c>
      <c r="AT490" s="43" t="str">
        <f t="shared" si="60"/>
        <v/>
      </c>
      <c r="AU490" s="43" t="str">
        <f t="shared" si="61"/>
        <v>拉·主攻：主推AI外呼+大促作战包</v>
      </c>
    </row>
    <row r="491" ht="15" customHeight="1" spans="1:47">
      <c r="A491" s="20" t="s">
        <v>1541</v>
      </c>
      <c r="B491" s="22" t="s">
        <v>1542</v>
      </c>
      <c r="C491" s="22" t="s">
        <v>179</v>
      </c>
      <c r="D491" s="22" t="s">
        <v>227</v>
      </c>
      <c r="E491" s="22" t="s">
        <v>181</v>
      </c>
      <c r="F491" s="20" t="s">
        <v>1543</v>
      </c>
      <c r="G491" s="22">
        <v>12</v>
      </c>
      <c r="H491" s="22" t="s">
        <v>301</v>
      </c>
      <c r="I491" s="22" t="s">
        <v>302</v>
      </c>
      <c r="J491" s="36">
        <v>27100</v>
      </c>
      <c r="K491" s="36">
        <v>12600</v>
      </c>
      <c r="L491" s="36">
        <v>15600</v>
      </c>
      <c r="M491" s="36">
        <f t="shared" si="56"/>
        <v>55300</v>
      </c>
      <c r="N491" s="34">
        <f t="shared" si="62"/>
        <v>0.000289917984142063</v>
      </c>
      <c r="O491" s="35">
        <f>SUM($M$2:M491)</f>
        <v>178301500</v>
      </c>
      <c r="P491" s="34">
        <f t="shared" si="63"/>
        <v>0.934770550623979</v>
      </c>
      <c r="Q491" s="39">
        <v>3.5</v>
      </c>
      <c r="R491" s="22">
        <v>6</v>
      </c>
      <c r="S491" s="22">
        <v>1</v>
      </c>
      <c r="T491" s="22">
        <v>0</v>
      </c>
      <c r="U491" s="39">
        <v>3.5</v>
      </c>
      <c r="V491" s="22">
        <v>14</v>
      </c>
      <c r="W491" s="22">
        <v>1</v>
      </c>
      <c r="X491" s="40">
        <v>93</v>
      </c>
      <c r="Y491" s="22">
        <v>1</v>
      </c>
      <c r="Z491" s="22">
        <v>1</v>
      </c>
      <c r="AA491" s="22" t="s">
        <v>185</v>
      </c>
      <c r="AB491" s="22" t="s">
        <v>220</v>
      </c>
      <c r="AC491" s="42">
        <f>IFERROR(LOOKUP(M491,打分卡!$F$7:$J$7,打分卡!$K$7:$O$7),1)</f>
        <v>2</v>
      </c>
      <c r="AD491" s="42">
        <f>IFERROR(LOOKUP(S491,打分卡!$F$8:$J$8,打分卡!$K$8:$O$8),1)</f>
        <v>1</v>
      </c>
      <c r="AE491" s="42">
        <f>IFERROR(LOOKUP(T491,打分卡!$F$9:$I$9,打分卡!$K$9:$N$9),1)</f>
        <v>1</v>
      </c>
      <c r="AF491" s="42">
        <f>IFERROR(LOOKUP(Q491,打分卡!$F$10:$J$10,打分卡!$K$10:$O$10),1)</f>
        <v>2</v>
      </c>
      <c r="AG491" s="42">
        <f>IFERROR(LOOKUP(R491,打分卡!$F$11:$J$11,打分卡!$K$11:$O$11),1)</f>
        <v>3</v>
      </c>
      <c r="AH491" s="42">
        <f>IFERROR(LOOKUP(U491,打分卡!$F$12:$J$12,打分卡!$K$12:$O$12),1)</f>
        <v>2</v>
      </c>
      <c r="AI491" s="42">
        <f>IFERROR(LOOKUP(X491,打分卡!$F$13:$J$13,打分卡!$K$13:$O$13),1)</f>
        <v>4</v>
      </c>
      <c r="AJ491" s="42">
        <f>IFERROR(LOOKUP(Y491,打分卡!$F$14:$J$14,打分卡!$K$14:$O$14),1)</f>
        <v>2</v>
      </c>
      <c r="AK491" s="42">
        <f>IFERROR(LOOKUP(W491,打分卡!$F$15:$J$15,打分卡!$K$15:$O$15),1)</f>
        <v>2</v>
      </c>
      <c r="AL491" s="45">
        <f t="shared" si="57"/>
        <v>3</v>
      </c>
      <c r="AM491" s="42">
        <f>IFERROR(LOOKUP(Z491,打分卡!$F$17:$H$17,打分卡!$K$17:$M$17),1)</f>
        <v>3</v>
      </c>
      <c r="AN491" s="46">
        <f>(打分卡!$D$7*AC491+打分卡!$D$8*AD491+打分卡!$D$9*AE491)/5</f>
        <v>13</v>
      </c>
      <c r="AO491" s="46">
        <f>(打分卡!$D$10*AF491+打分卡!$D$11*AG491)/5</f>
        <v>10</v>
      </c>
      <c r="AP491" s="46">
        <f>(打分卡!$D$12*AH491+打分卡!$D$13*AI491+打分卡!$D$14*AJ491+打分卡!$D$15*AK491)/5</f>
        <v>15.2</v>
      </c>
      <c r="AQ491" s="46">
        <f>(打分卡!$D$16*AL491+打分卡!$D$17*AM491)/5</f>
        <v>6</v>
      </c>
      <c r="AR491" s="48">
        <f t="shared" si="58"/>
        <v>44.2</v>
      </c>
      <c r="AS491" s="45" t="str">
        <f t="shared" si="59"/>
        <v>腰部</v>
      </c>
      <c r="AT491" s="45" t="str">
        <f t="shared" si="60"/>
        <v/>
      </c>
      <c r="AU491" s="45" t="str">
        <f t="shared" si="61"/>
        <v>拉·主攻：主推AI外呼+大促作战包</v>
      </c>
    </row>
    <row r="492" ht="15" customHeight="1" spans="1:47">
      <c r="A492" s="30" t="s">
        <v>1544</v>
      </c>
      <c r="B492" s="31" t="s">
        <v>1545</v>
      </c>
      <c r="C492" s="31" t="s">
        <v>239</v>
      </c>
      <c r="D492" s="31" t="s">
        <v>180</v>
      </c>
      <c r="E492" s="31" t="s">
        <v>181</v>
      </c>
      <c r="F492" s="30" t="s">
        <v>1546</v>
      </c>
      <c r="G492" s="31">
        <v>13</v>
      </c>
      <c r="H492" s="31" t="s">
        <v>301</v>
      </c>
      <c r="I492" s="31" t="s">
        <v>184</v>
      </c>
      <c r="J492" s="33">
        <v>26400</v>
      </c>
      <c r="K492" s="33">
        <v>14600</v>
      </c>
      <c r="L492" s="33">
        <v>14200</v>
      </c>
      <c r="M492" s="33">
        <f t="shared" si="56"/>
        <v>55200</v>
      </c>
      <c r="N492" s="34">
        <f t="shared" si="62"/>
        <v>0.000289393720156273</v>
      </c>
      <c r="O492" s="35">
        <f>SUM($M$2:M492)</f>
        <v>178356700</v>
      </c>
      <c r="P492" s="34">
        <f t="shared" si="63"/>
        <v>0.935059944344135</v>
      </c>
      <c r="Q492" s="37">
        <v>4.5</v>
      </c>
      <c r="R492" s="31">
        <v>4</v>
      </c>
      <c r="S492" s="31">
        <v>2</v>
      </c>
      <c r="T492" s="31">
        <v>0</v>
      </c>
      <c r="U492" s="37">
        <v>2.3</v>
      </c>
      <c r="V492" s="31">
        <v>22</v>
      </c>
      <c r="W492" s="31">
        <v>2</v>
      </c>
      <c r="X492" s="38">
        <v>70</v>
      </c>
      <c r="Y492" s="31">
        <v>2</v>
      </c>
      <c r="Z492" s="31">
        <v>0</v>
      </c>
      <c r="AA492" s="31" t="s">
        <v>185</v>
      </c>
      <c r="AB492" s="31" t="s">
        <v>220</v>
      </c>
      <c r="AC492" s="41">
        <f>IFERROR(LOOKUP(M492,打分卡!$F$7:$J$7,打分卡!$K$7:$O$7),1)</f>
        <v>2</v>
      </c>
      <c r="AD492" s="41">
        <f>IFERROR(LOOKUP(S492,打分卡!$F$8:$J$8,打分卡!$K$8:$O$8),1)</f>
        <v>2</v>
      </c>
      <c r="AE492" s="41">
        <f>IFERROR(LOOKUP(T492,打分卡!$F$9:$I$9,打分卡!$K$9:$N$9),1)</f>
        <v>1</v>
      </c>
      <c r="AF492" s="41">
        <f>IFERROR(LOOKUP(Q492,打分卡!$F$10:$J$10,打分卡!$K$10:$O$10),1)</f>
        <v>2</v>
      </c>
      <c r="AG492" s="41">
        <f>IFERROR(LOOKUP(R492,打分卡!$F$11:$J$11,打分卡!$K$11:$O$11),1)</f>
        <v>2</v>
      </c>
      <c r="AH492" s="41">
        <f>IFERROR(LOOKUP(U492,打分卡!$F$12:$J$12,打分卡!$K$12:$O$12),1)</f>
        <v>1</v>
      </c>
      <c r="AI492" s="41">
        <f>IFERROR(LOOKUP(X492,打分卡!$F$13:$J$13,打分卡!$K$13:$O$13),1)</f>
        <v>3</v>
      </c>
      <c r="AJ492" s="41">
        <f>IFERROR(LOOKUP(Y492,打分卡!$F$14:$J$14,打分卡!$K$14:$O$14),1)</f>
        <v>3</v>
      </c>
      <c r="AK492" s="41">
        <f>IFERROR(LOOKUP(W492,打分卡!$F$15:$J$15,打分卡!$K$15:$O$15),1)</f>
        <v>2</v>
      </c>
      <c r="AL492" s="43">
        <f t="shared" si="57"/>
        <v>3</v>
      </c>
      <c r="AM492" s="41">
        <f>IFERROR(LOOKUP(Z492,打分卡!$F$17:$H$17,打分卡!$K$17:$M$17),1)</f>
        <v>1</v>
      </c>
      <c r="AN492" s="44">
        <f>(打分卡!$D$7*AC492+打分卡!$D$8*AD492+打分卡!$D$9*AE492)/5</f>
        <v>14.6</v>
      </c>
      <c r="AO492" s="44">
        <f>(打分卡!$D$10*AF492+打分卡!$D$11*AG492)/5</f>
        <v>8</v>
      </c>
      <c r="AP492" s="44">
        <f>(打分卡!$D$12*AH492+打分卡!$D$13*AI492+打分卡!$D$14*AJ492+打分卡!$D$15*AK492)/5</f>
        <v>12.4</v>
      </c>
      <c r="AQ492" s="44">
        <f>(打分卡!$D$16*AL492+打分卡!$D$17*AM492)/5</f>
        <v>4.4</v>
      </c>
      <c r="AR492" s="47">
        <f t="shared" si="58"/>
        <v>39.4</v>
      </c>
      <c r="AS492" s="43" t="str">
        <f t="shared" si="59"/>
        <v>基础长尾</v>
      </c>
      <c r="AT492" s="43" t="str">
        <f t="shared" si="60"/>
        <v/>
      </c>
      <c r="AU492" s="43" t="str">
        <f t="shared" si="61"/>
        <v>激活：企微+Push低成本先跑</v>
      </c>
    </row>
    <row r="493" ht="15" customHeight="1" spans="1:47">
      <c r="A493" s="20" t="s">
        <v>1547</v>
      </c>
      <c r="B493" s="22" t="s">
        <v>1548</v>
      </c>
      <c r="C493" s="22" t="s">
        <v>218</v>
      </c>
      <c r="D493" s="22" t="s">
        <v>202</v>
      </c>
      <c r="E493" s="22" t="s">
        <v>181</v>
      </c>
      <c r="F493" s="20" t="s">
        <v>893</v>
      </c>
      <c r="G493" s="22">
        <v>8</v>
      </c>
      <c r="H493" s="22" t="s">
        <v>301</v>
      </c>
      <c r="I493" s="22" t="s">
        <v>302</v>
      </c>
      <c r="J493" s="36">
        <v>31100</v>
      </c>
      <c r="K493" s="36">
        <v>16600</v>
      </c>
      <c r="L493" s="36">
        <v>7300</v>
      </c>
      <c r="M493" s="36">
        <f t="shared" si="56"/>
        <v>55000</v>
      </c>
      <c r="N493" s="34">
        <f t="shared" si="62"/>
        <v>0.000288345192184692</v>
      </c>
      <c r="O493" s="35">
        <f>SUM($M$2:M493)</f>
        <v>178411700</v>
      </c>
      <c r="P493" s="34">
        <f t="shared" si="63"/>
        <v>0.93534828953632</v>
      </c>
      <c r="Q493" s="39">
        <v>7</v>
      </c>
      <c r="R493" s="22">
        <v>10</v>
      </c>
      <c r="S493" s="22">
        <v>3</v>
      </c>
      <c r="T493" s="22">
        <v>1</v>
      </c>
      <c r="U493" s="39">
        <v>15.6</v>
      </c>
      <c r="V493" s="22">
        <v>27</v>
      </c>
      <c r="W493" s="22">
        <v>1</v>
      </c>
      <c r="X493" s="40">
        <v>90</v>
      </c>
      <c r="Y493" s="22">
        <v>2</v>
      </c>
      <c r="Z493" s="22">
        <v>0</v>
      </c>
      <c r="AA493" s="22" t="s">
        <v>185</v>
      </c>
      <c r="AB493" s="22" t="s">
        <v>220</v>
      </c>
      <c r="AC493" s="42">
        <f>IFERROR(LOOKUP(M493,打分卡!$F$7:$J$7,打分卡!$K$7:$O$7),1)</f>
        <v>2</v>
      </c>
      <c r="AD493" s="42">
        <f>IFERROR(LOOKUP(S493,打分卡!$F$8:$J$8,打分卡!$K$8:$O$8),1)</f>
        <v>3</v>
      </c>
      <c r="AE493" s="42">
        <f>IFERROR(LOOKUP(T493,打分卡!$F$9:$I$9,打分卡!$K$9:$N$9),1)</f>
        <v>2</v>
      </c>
      <c r="AF493" s="42">
        <f>IFERROR(LOOKUP(Q493,打分卡!$F$10:$J$10,打分卡!$K$10:$O$10),1)</f>
        <v>2</v>
      </c>
      <c r="AG493" s="42">
        <f>IFERROR(LOOKUP(R493,打分卡!$F$11:$J$11,打分卡!$K$11:$O$11),1)</f>
        <v>4</v>
      </c>
      <c r="AH493" s="42">
        <f>IFERROR(LOOKUP(U493,打分卡!$F$12:$J$12,打分卡!$K$12:$O$12),1)</f>
        <v>3</v>
      </c>
      <c r="AI493" s="42">
        <f>IFERROR(LOOKUP(X493,打分卡!$F$13:$J$13,打分卡!$K$13:$O$13),1)</f>
        <v>4</v>
      </c>
      <c r="AJ493" s="42">
        <f>IFERROR(LOOKUP(Y493,打分卡!$F$14:$J$14,打分卡!$K$14:$O$14),1)</f>
        <v>3</v>
      </c>
      <c r="AK493" s="42">
        <f>IFERROR(LOOKUP(W493,打分卡!$F$15:$J$15,打分卡!$K$15:$O$15),1)</f>
        <v>2</v>
      </c>
      <c r="AL493" s="45">
        <f t="shared" si="57"/>
        <v>3</v>
      </c>
      <c r="AM493" s="42">
        <f>IFERROR(LOOKUP(Z493,打分卡!$F$17:$H$17,打分卡!$K$17:$M$17),1)</f>
        <v>1</v>
      </c>
      <c r="AN493" s="46">
        <f>(打分卡!$D$7*AC493+打分卡!$D$8*AD493+打分卡!$D$9*AE493)/5</f>
        <v>17.6</v>
      </c>
      <c r="AO493" s="46">
        <f>(打分卡!$D$10*AF493+打分卡!$D$11*AG493)/5</f>
        <v>12</v>
      </c>
      <c r="AP493" s="46">
        <f>(打分卡!$D$12*AH493+打分卡!$D$13*AI493+打分卡!$D$14*AJ493+打分卡!$D$15*AK493)/5</f>
        <v>18.8</v>
      </c>
      <c r="AQ493" s="46">
        <f>(打分卡!$D$16*AL493+打分卡!$D$17*AM493)/5</f>
        <v>4.4</v>
      </c>
      <c r="AR493" s="48">
        <f t="shared" si="58"/>
        <v>52.8</v>
      </c>
      <c r="AS493" s="45" t="str">
        <f t="shared" si="59"/>
        <v>腰部</v>
      </c>
      <c r="AT493" s="45" t="str">
        <f t="shared" si="60"/>
        <v/>
      </c>
      <c r="AU493" s="45" t="str">
        <f t="shared" si="61"/>
        <v>拉·主攻：主推AI外呼+大促作战包</v>
      </c>
    </row>
    <row r="494" ht="15" customHeight="1" spans="1:47">
      <c r="A494" s="30" t="s">
        <v>1549</v>
      </c>
      <c r="B494" s="31" t="s">
        <v>1550</v>
      </c>
      <c r="C494" s="31" t="s">
        <v>189</v>
      </c>
      <c r="D494" s="31" t="s">
        <v>196</v>
      </c>
      <c r="E494" s="31" t="s">
        <v>181</v>
      </c>
      <c r="F494" s="30" t="s">
        <v>1551</v>
      </c>
      <c r="G494" s="31">
        <v>3</v>
      </c>
      <c r="H494" s="31" t="s">
        <v>301</v>
      </c>
      <c r="I494" s="31" t="s">
        <v>302</v>
      </c>
      <c r="J494" s="33">
        <v>35000</v>
      </c>
      <c r="K494" s="33">
        <v>14100</v>
      </c>
      <c r="L494" s="33">
        <v>5800</v>
      </c>
      <c r="M494" s="33">
        <f t="shared" si="56"/>
        <v>54900</v>
      </c>
      <c r="N494" s="34">
        <f t="shared" si="62"/>
        <v>0.000287820928198902</v>
      </c>
      <c r="O494" s="35">
        <f>SUM($M$2:M494)</f>
        <v>178466600</v>
      </c>
      <c r="P494" s="34">
        <f t="shared" si="63"/>
        <v>0.935636110464519</v>
      </c>
      <c r="Q494" s="37">
        <v>8.7</v>
      </c>
      <c r="R494" s="31">
        <v>2</v>
      </c>
      <c r="S494" s="31">
        <v>3</v>
      </c>
      <c r="T494" s="31">
        <v>2</v>
      </c>
      <c r="U494" s="37">
        <v>6.1</v>
      </c>
      <c r="V494" s="31">
        <v>24</v>
      </c>
      <c r="W494" s="31">
        <v>4</v>
      </c>
      <c r="X494" s="38">
        <v>36</v>
      </c>
      <c r="Y494" s="31">
        <v>2</v>
      </c>
      <c r="Z494" s="31">
        <v>0</v>
      </c>
      <c r="AA494" s="31" t="s">
        <v>185</v>
      </c>
      <c r="AB494" s="31" t="s">
        <v>220</v>
      </c>
      <c r="AC494" s="41">
        <f>IFERROR(LOOKUP(M494,打分卡!$F$7:$J$7,打分卡!$K$7:$O$7),1)</f>
        <v>2</v>
      </c>
      <c r="AD494" s="41">
        <f>IFERROR(LOOKUP(S494,打分卡!$F$8:$J$8,打分卡!$K$8:$O$8),1)</f>
        <v>3</v>
      </c>
      <c r="AE494" s="41">
        <f>IFERROR(LOOKUP(T494,打分卡!$F$9:$I$9,打分卡!$K$9:$N$9),1)</f>
        <v>3</v>
      </c>
      <c r="AF494" s="41">
        <f>IFERROR(LOOKUP(Q494,打分卡!$F$10:$J$10,打分卡!$K$10:$O$10),1)</f>
        <v>2</v>
      </c>
      <c r="AG494" s="41">
        <f>IFERROR(LOOKUP(R494,打分卡!$F$11:$J$11,打分卡!$K$11:$O$11),1)</f>
        <v>1</v>
      </c>
      <c r="AH494" s="41">
        <f>IFERROR(LOOKUP(U494,打分卡!$F$12:$J$12,打分卡!$K$12:$O$12),1)</f>
        <v>2</v>
      </c>
      <c r="AI494" s="41">
        <f>IFERROR(LOOKUP(X494,打分卡!$F$13:$J$13,打分卡!$K$13:$O$13),1)</f>
        <v>2</v>
      </c>
      <c r="AJ494" s="41">
        <f>IFERROR(LOOKUP(Y494,打分卡!$F$14:$J$14,打分卡!$K$14:$O$14),1)</f>
        <v>3</v>
      </c>
      <c r="AK494" s="41">
        <f>IFERROR(LOOKUP(W494,打分卡!$F$15:$J$15,打分卡!$K$15:$O$15),1)</f>
        <v>3</v>
      </c>
      <c r="AL494" s="43">
        <f t="shared" si="57"/>
        <v>3</v>
      </c>
      <c r="AM494" s="41">
        <f>IFERROR(LOOKUP(Z494,打分卡!$F$17:$H$17,打分卡!$K$17:$M$17),1)</f>
        <v>1</v>
      </c>
      <c r="AN494" s="44">
        <f>(打分卡!$D$7*AC494+打分卡!$D$8*AD494+打分卡!$D$9*AE494)/5</f>
        <v>19</v>
      </c>
      <c r="AO494" s="44">
        <f>(打分卡!$D$10*AF494+打分卡!$D$11*AG494)/5</f>
        <v>6</v>
      </c>
      <c r="AP494" s="44">
        <f>(打分卡!$D$12*AH494+打分卡!$D$13*AI494+打分卡!$D$14*AJ494+打分卡!$D$15*AK494)/5</f>
        <v>14</v>
      </c>
      <c r="AQ494" s="44">
        <f>(打分卡!$D$16*AL494+打分卡!$D$17*AM494)/5</f>
        <v>4.4</v>
      </c>
      <c r="AR494" s="47">
        <f t="shared" si="58"/>
        <v>43.4</v>
      </c>
      <c r="AS494" s="43" t="str">
        <f t="shared" si="59"/>
        <v>腰部</v>
      </c>
      <c r="AT494" s="43" t="str">
        <f t="shared" si="60"/>
        <v/>
      </c>
      <c r="AU494" s="43" t="str">
        <f t="shared" si="61"/>
        <v>拉·主攻：主推AI外呼+大促作战包</v>
      </c>
    </row>
    <row r="495" ht="15" customHeight="1" spans="1:47">
      <c r="A495" s="20" t="s">
        <v>1552</v>
      </c>
      <c r="B495" s="22" t="s">
        <v>1553</v>
      </c>
      <c r="C495" s="22" t="s">
        <v>189</v>
      </c>
      <c r="D495" s="22" t="s">
        <v>252</v>
      </c>
      <c r="E495" s="22" t="s">
        <v>181</v>
      </c>
      <c r="F495" s="20" t="s">
        <v>1554</v>
      </c>
      <c r="G495" s="22">
        <v>7</v>
      </c>
      <c r="H495" s="22" t="s">
        <v>183</v>
      </c>
      <c r="I495" s="22" t="s">
        <v>184</v>
      </c>
      <c r="J495" s="36">
        <v>32700</v>
      </c>
      <c r="K495" s="36">
        <v>16300</v>
      </c>
      <c r="L495" s="36">
        <v>5800</v>
      </c>
      <c r="M495" s="36">
        <f t="shared" si="56"/>
        <v>54800</v>
      </c>
      <c r="N495" s="34">
        <f t="shared" si="62"/>
        <v>0.000287296664213111</v>
      </c>
      <c r="O495" s="35">
        <f>SUM($M$2:M495)</f>
        <v>178521400</v>
      </c>
      <c r="P495" s="34">
        <f t="shared" si="63"/>
        <v>0.935923407128732</v>
      </c>
      <c r="Q495" s="39">
        <v>7.6</v>
      </c>
      <c r="R495" s="22">
        <v>8</v>
      </c>
      <c r="S495" s="22">
        <v>3</v>
      </c>
      <c r="T495" s="22">
        <v>0</v>
      </c>
      <c r="U495" s="39">
        <v>7.9</v>
      </c>
      <c r="V495" s="22">
        <v>8</v>
      </c>
      <c r="W495" s="22">
        <v>2</v>
      </c>
      <c r="X495" s="40">
        <v>76</v>
      </c>
      <c r="Y495" s="22">
        <v>3</v>
      </c>
      <c r="Z495" s="22">
        <v>0</v>
      </c>
      <c r="AA495" s="22" t="s">
        <v>185</v>
      </c>
      <c r="AB495" s="22" t="s">
        <v>220</v>
      </c>
      <c r="AC495" s="42">
        <f>IFERROR(LOOKUP(M495,打分卡!$F$7:$J$7,打分卡!$K$7:$O$7),1)</f>
        <v>2</v>
      </c>
      <c r="AD495" s="42">
        <f>IFERROR(LOOKUP(S495,打分卡!$F$8:$J$8,打分卡!$K$8:$O$8),1)</f>
        <v>3</v>
      </c>
      <c r="AE495" s="42">
        <f>IFERROR(LOOKUP(T495,打分卡!$F$9:$I$9,打分卡!$K$9:$N$9),1)</f>
        <v>1</v>
      </c>
      <c r="AF495" s="42">
        <f>IFERROR(LOOKUP(Q495,打分卡!$F$10:$J$10,打分卡!$K$10:$O$10),1)</f>
        <v>2</v>
      </c>
      <c r="AG495" s="42">
        <f>IFERROR(LOOKUP(R495,打分卡!$F$11:$J$11,打分卡!$K$11:$O$11),1)</f>
        <v>3</v>
      </c>
      <c r="AH495" s="42">
        <f>IFERROR(LOOKUP(U495,打分卡!$F$12:$J$12,打分卡!$K$12:$O$12),1)</f>
        <v>2</v>
      </c>
      <c r="AI495" s="42">
        <f>IFERROR(LOOKUP(X495,打分卡!$F$13:$J$13,打分卡!$K$13:$O$13),1)</f>
        <v>3</v>
      </c>
      <c r="AJ495" s="42">
        <f>IFERROR(LOOKUP(Y495,打分卡!$F$14:$J$14,打分卡!$K$14:$O$14),1)</f>
        <v>4</v>
      </c>
      <c r="AK495" s="42">
        <f>IFERROR(LOOKUP(W495,打分卡!$F$15:$J$15,打分卡!$K$15:$O$15),1)</f>
        <v>2</v>
      </c>
      <c r="AL495" s="45">
        <f t="shared" si="57"/>
        <v>3</v>
      </c>
      <c r="AM495" s="42">
        <f>IFERROR(LOOKUP(Z495,打分卡!$F$17:$H$17,打分卡!$K$17:$M$17),1)</f>
        <v>1</v>
      </c>
      <c r="AN495" s="46">
        <f>(打分卡!$D$7*AC495+打分卡!$D$8*AD495+打分卡!$D$9*AE495)/5</f>
        <v>16.2</v>
      </c>
      <c r="AO495" s="46">
        <f>(打分卡!$D$10*AF495+打分卡!$D$11*AG495)/5</f>
        <v>10</v>
      </c>
      <c r="AP495" s="46">
        <f>(打分卡!$D$12*AH495+打分卡!$D$13*AI495+打分卡!$D$14*AJ495+打分卡!$D$15*AK495)/5</f>
        <v>16</v>
      </c>
      <c r="AQ495" s="46">
        <f>(打分卡!$D$16*AL495+打分卡!$D$17*AM495)/5</f>
        <v>4.4</v>
      </c>
      <c r="AR495" s="48">
        <f t="shared" si="58"/>
        <v>46.6</v>
      </c>
      <c r="AS495" s="45" t="str">
        <f t="shared" si="59"/>
        <v>腰部</v>
      </c>
      <c r="AT495" s="45" t="str">
        <f t="shared" si="60"/>
        <v/>
      </c>
      <c r="AU495" s="45" t="str">
        <f t="shared" si="61"/>
        <v>拉·主攻：主推AI外呼+大促作战包</v>
      </c>
    </row>
    <row r="496" ht="15" customHeight="1" spans="1:47">
      <c r="A496" s="30" t="s">
        <v>1555</v>
      </c>
      <c r="B496" s="31" t="s">
        <v>1556</v>
      </c>
      <c r="C496" s="31" t="s">
        <v>209</v>
      </c>
      <c r="D496" s="31" t="s">
        <v>227</v>
      </c>
      <c r="E496" s="31" t="s">
        <v>181</v>
      </c>
      <c r="F496" s="30" t="s">
        <v>1557</v>
      </c>
      <c r="G496" s="31">
        <v>3</v>
      </c>
      <c r="H496" s="31" t="s">
        <v>183</v>
      </c>
      <c r="I496" s="31" t="s">
        <v>184</v>
      </c>
      <c r="J496" s="33">
        <v>27500</v>
      </c>
      <c r="K496" s="33">
        <v>19800</v>
      </c>
      <c r="L496" s="33">
        <v>7500</v>
      </c>
      <c r="M496" s="33">
        <f t="shared" si="56"/>
        <v>54800</v>
      </c>
      <c r="N496" s="34">
        <f t="shared" si="62"/>
        <v>0.000287296664213111</v>
      </c>
      <c r="O496" s="35">
        <f>SUM($M$2:M496)</f>
        <v>178576200</v>
      </c>
      <c r="P496" s="34">
        <f t="shared" si="63"/>
        <v>0.936210703792945</v>
      </c>
      <c r="Q496" s="37">
        <v>5.2</v>
      </c>
      <c r="R496" s="31">
        <v>2</v>
      </c>
      <c r="S496" s="31">
        <v>2</v>
      </c>
      <c r="T496" s="31">
        <v>0</v>
      </c>
      <c r="U496" s="37">
        <v>58.6</v>
      </c>
      <c r="V496" s="31">
        <v>5</v>
      </c>
      <c r="W496" s="31">
        <v>0</v>
      </c>
      <c r="X496" s="38">
        <v>23</v>
      </c>
      <c r="Y496" s="31">
        <v>1</v>
      </c>
      <c r="Z496" s="31">
        <v>0</v>
      </c>
      <c r="AA496" s="31" t="s">
        <v>315</v>
      </c>
      <c r="AB496" s="31" t="s">
        <v>220</v>
      </c>
      <c r="AC496" s="41">
        <f>IFERROR(LOOKUP(M496,打分卡!$F$7:$J$7,打分卡!$K$7:$O$7),1)</f>
        <v>2</v>
      </c>
      <c r="AD496" s="41">
        <f>IFERROR(LOOKUP(S496,打分卡!$F$8:$J$8,打分卡!$K$8:$O$8),1)</f>
        <v>2</v>
      </c>
      <c r="AE496" s="41">
        <f>IFERROR(LOOKUP(T496,打分卡!$F$9:$I$9,打分卡!$K$9:$N$9),1)</f>
        <v>1</v>
      </c>
      <c r="AF496" s="41">
        <f>IFERROR(LOOKUP(Q496,打分卡!$F$10:$J$10,打分卡!$K$10:$O$10),1)</f>
        <v>2</v>
      </c>
      <c r="AG496" s="41">
        <f>IFERROR(LOOKUP(R496,打分卡!$F$11:$J$11,打分卡!$K$11:$O$11),1)</f>
        <v>1</v>
      </c>
      <c r="AH496" s="41">
        <f>IFERROR(LOOKUP(U496,打分卡!$F$12:$J$12,打分卡!$K$12:$O$12),1)</f>
        <v>4</v>
      </c>
      <c r="AI496" s="41">
        <f>IFERROR(LOOKUP(X496,打分卡!$F$13:$J$13,打分卡!$K$13:$O$13),1)</f>
        <v>2</v>
      </c>
      <c r="AJ496" s="41">
        <f>IFERROR(LOOKUP(Y496,打分卡!$F$14:$J$14,打分卡!$K$14:$O$14),1)</f>
        <v>2</v>
      </c>
      <c r="AK496" s="41">
        <f>IFERROR(LOOKUP(W496,打分卡!$F$15:$J$15,打分卡!$K$15:$O$15),1)</f>
        <v>1</v>
      </c>
      <c r="AL496" s="43">
        <f t="shared" si="57"/>
        <v>2</v>
      </c>
      <c r="AM496" s="41">
        <f>IFERROR(LOOKUP(Z496,打分卡!$F$17:$H$17,打分卡!$K$17:$M$17),1)</f>
        <v>1</v>
      </c>
      <c r="AN496" s="44">
        <f>(打分卡!$D$7*AC496+打分卡!$D$8*AD496+打分卡!$D$9*AE496)/5</f>
        <v>14.6</v>
      </c>
      <c r="AO496" s="44">
        <f>(打分卡!$D$10*AF496+打分卡!$D$11*AG496)/5</f>
        <v>6</v>
      </c>
      <c r="AP496" s="44">
        <f>(打分卡!$D$12*AH496+打分卡!$D$13*AI496+打分卡!$D$14*AJ496+打分卡!$D$15*AK496)/5</f>
        <v>16</v>
      </c>
      <c r="AQ496" s="44">
        <f>(打分卡!$D$16*AL496+打分卡!$D$17*AM496)/5</f>
        <v>3.2</v>
      </c>
      <c r="AR496" s="47">
        <f t="shared" si="58"/>
        <v>39.8</v>
      </c>
      <c r="AS496" s="43" t="str">
        <f t="shared" si="59"/>
        <v>基础长尾</v>
      </c>
      <c r="AT496" s="43" t="str">
        <f t="shared" si="60"/>
        <v/>
      </c>
      <c r="AU496" s="43" t="str">
        <f t="shared" si="61"/>
        <v>激活：企微+Push低成本先跑</v>
      </c>
    </row>
    <row r="497" ht="15" customHeight="1" spans="1:47">
      <c r="A497" s="20" t="s">
        <v>1558</v>
      </c>
      <c r="B497" s="22" t="s">
        <v>1559</v>
      </c>
      <c r="C497" s="22" t="s">
        <v>179</v>
      </c>
      <c r="D497" s="22" t="s">
        <v>235</v>
      </c>
      <c r="E497" s="22" t="s">
        <v>181</v>
      </c>
      <c r="F497" s="20" t="s">
        <v>1560</v>
      </c>
      <c r="G497" s="22">
        <v>1</v>
      </c>
      <c r="H497" s="22" t="s">
        <v>642</v>
      </c>
      <c r="I497" s="22" t="s">
        <v>302</v>
      </c>
      <c r="J497" s="36">
        <v>27900</v>
      </c>
      <c r="K497" s="36">
        <v>17100</v>
      </c>
      <c r="L497" s="36">
        <v>9300</v>
      </c>
      <c r="M497" s="36">
        <f t="shared" si="56"/>
        <v>54300</v>
      </c>
      <c r="N497" s="34">
        <f t="shared" si="62"/>
        <v>0.000284675344284159</v>
      </c>
      <c r="O497" s="35">
        <f>SUM($M$2:M497)</f>
        <v>178630500</v>
      </c>
      <c r="P497" s="34">
        <f t="shared" si="63"/>
        <v>0.936495379137229</v>
      </c>
      <c r="Q497" s="39">
        <v>3.9</v>
      </c>
      <c r="R497" s="22">
        <v>2</v>
      </c>
      <c r="S497" s="22">
        <v>3</v>
      </c>
      <c r="T497" s="22">
        <v>2</v>
      </c>
      <c r="U497" s="39">
        <v>298</v>
      </c>
      <c r="V497" s="22">
        <v>11</v>
      </c>
      <c r="W497" s="22">
        <v>17</v>
      </c>
      <c r="X497" s="40">
        <v>905</v>
      </c>
      <c r="Y497" s="22">
        <v>5</v>
      </c>
      <c r="Z497" s="22">
        <v>1</v>
      </c>
      <c r="AA497" s="22" t="s">
        <v>199</v>
      </c>
      <c r="AB497" s="22" t="s">
        <v>220</v>
      </c>
      <c r="AC497" s="42">
        <f>IFERROR(LOOKUP(M497,打分卡!$F$7:$J$7,打分卡!$K$7:$O$7),1)</f>
        <v>2</v>
      </c>
      <c r="AD497" s="42">
        <f>IFERROR(LOOKUP(S497,打分卡!$F$8:$J$8,打分卡!$K$8:$O$8),1)</f>
        <v>3</v>
      </c>
      <c r="AE497" s="42">
        <f>IFERROR(LOOKUP(T497,打分卡!$F$9:$I$9,打分卡!$K$9:$N$9),1)</f>
        <v>3</v>
      </c>
      <c r="AF497" s="42">
        <f>IFERROR(LOOKUP(Q497,打分卡!$F$10:$J$10,打分卡!$K$10:$O$10),1)</f>
        <v>2</v>
      </c>
      <c r="AG497" s="42">
        <f>IFERROR(LOOKUP(R497,打分卡!$F$11:$J$11,打分卡!$K$11:$O$11),1)</f>
        <v>1</v>
      </c>
      <c r="AH497" s="42">
        <f>IFERROR(LOOKUP(U497,打分卡!$F$12:$J$12,打分卡!$K$12:$O$12),1)</f>
        <v>5</v>
      </c>
      <c r="AI497" s="42">
        <f>IFERROR(LOOKUP(X497,打分卡!$F$13:$J$13,打分卡!$K$13:$O$13),1)</f>
        <v>5</v>
      </c>
      <c r="AJ497" s="42">
        <f>IFERROR(LOOKUP(Y497,打分卡!$F$14:$J$14,打分卡!$K$14:$O$14),1)</f>
        <v>5</v>
      </c>
      <c r="AK497" s="42">
        <f>IFERROR(LOOKUP(W497,打分卡!$F$15:$J$15,打分卡!$K$15:$O$15),1)</f>
        <v>5</v>
      </c>
      <c r="AL497" s="45">
        <f t="shared" si="57"/>
        <v>5</v>
      </c>
      <c r="AM497" s="42">
        <f>IFERROR(LOOKUP(Z497,打分卡!$F$17:$H$17,打分卡!$K$17:$M$17),1)</f>
        <v>3</v>
      </c>
      <c r="AN497" s="46">
        <f>(打分卡!$D$7*AC497+打分卡!$D$8*AD497+打分卡!$D$9*AE497)/5</f>
        <v>19</v>
      </c>
      <c r="AO497" s="46">
        <f>(打分卡!$D$10*AF497+打分卡!$D$11*AG497)/5</f>
        <v>6</v>
      </c>
      <c r="AP497" s="46">
        <f>(打分卡!$D$12*AH497+打分卡!$D$13*AI497+打分卡!$D$14*AJ497+打分卡!$D$15*AK497)/5</f>
        <v>30</v>
      </c>
      <c r="AQ497" s="46">
        <f>(打分卡!$D$16*AL497+打分卡!$D$17*AM497)/5</f>
        <v>8.4</v>
      </c>
      <c r="AR497" s="48">
        <f t="shared" si="58"/>
        <v>84.4</v>
      </c>
      <c r="AS497" s="45" t="str">
        <f t="shared" si="59"/>
        <v>KA</v>
      </c>
      <c r="AT497" s="45" t="str">
        <f t="shared" si="60"/>
        <v/>
      </c>
      <c r="AU497" s="45" t="str">
        <f t="shared" si="61"/>
        <v>扩·深化：AI外呼场景深化+Push/企微补全</v>
      </c>
    </row>
    <row r="498" ht="15" customHeight="1" spans="1:47">
      <c r="A498" s="30" t="s">
        <v>1561</v>
      </c>
      <c r="B498" s="31" t="s">
        <v>1562</v>
      </c>
      <c r="C498" s="31" t="s">
        <v>179</v>
      </c>
      <c r="D498" s="31" t="s">
        <v>202</v>
      </c>
      <c r="E498" s="31" t="s">
        <v>181</v>
      </c>
      <c r="F498" s="30" t="s">
        <v>1563</v>
      </c>
      <c r="G498" s="31">
        <v>4</v>
      </c>
      <c r="H498" s="31" t="s">
        <v>301</v>
      </c>
      <c r="I498" s="31" t="s">
        <v>302</v>
      </c>
      <c r="J498" s="33">
        <v>26800</v>
      </c>
      <c r="K498" s="33">
        <v>18200</v>
      </c>
      <c r="L498" s="33">
        <v>8900</v>
      </c>
      <c r="M498" s="33">
        <f t="shared" si="56"/>
        <v>53900</v>
      </c>
      <c r="N498" s="34">
        <f t="shared" si="62"/>
        <v>0.000282578288340998</v>
      </c>
      <c r="O498" s="35">
        <f>SUM($M$2:M498)</f>
        <v>178684400</v>
      </c>
      <c r="P498" s="34">
        <f t="shared" si="63"/>
        <v>0.93677795742557</v>
      </c>
      <c r="Q498" s="37">
        <v>5.8</v>
      </c>
      <c r="R498" s="31">
        <v>7</v>
      </c>
      <c r="S498" s="31">
        <v>3</v>
      </c>
      <c r="T498" s="31">
        <v>2</v>
      </c>
      <c r="U498" s="37">
        <v>3.4</v>
      </c>
      <c r="V498" s="31">
        <v>22</v>
      </c>
      <c r="W498" s="31">
        <v>2</v>
      </c>
      <c r="X498" s="38">
        <v>52</v>
      </c>
      <c r="Y498" s="31">
        <v>3</v>
      </c>
      <c r="Z498" s="31">
        <v>1</v>
      </c>
      <c r="AA498" s="31" t="s">
        <v>199</v>
      </c>
      <c r="AB498" s="31" t="s">
        <v>220</v>
      </c>
      <c r="AC498" s="41">
        <f>IFERROR(LOOKUP(M498,打分卡!$F$7:$J$7,打分卡!$K$7:$O$7),1)</f>
        <v>2</v>
      </c>
      <c r="AD498" s="41">
        <f>IFERROR(LOOKUP(S498,打分卡!$F$8:$J$8,打分卡!$K$8:$O$8),1)</f>
        <v>3</v>
      </c>
      <c r="AE498" s="41">
        <f>IFERROR(LOOKUP(T498,打分卡!$F$9:$I$9,打分卡!$K$9:$N$9),1)</f>
        <v>3</v>
      </c>
      <c r="AF498" s="41">
        <f>IFERROR(LOOKUP(Q498,打分卡!$F$10:$J$10,打分卡!$K$10:$O$10),1)</f>
        <v>2</v>
      </c>
      <c r="AG498" s="41">
        <f>IFERROR(LOOKUP(R498,打分卡!$F$11:$J$11,打分卡!$K$11:$O$11),1)</f>
        <v>3</v>
      </c>
      <c r="AH498" s="41">
        <f>IFERROR(LOOKUP(U498,打分卡!$F$12:$J$12,打分卡!$K$12:$O$12),1)</f>
        <v>2</v>
      </c>
      <c r="AI498" s="41">
        <f>IFERROR(LOOKUP(X498,打分卡!$F$13:$J$13,打分卡!$K$13:$O$13),1)</f>
        <v>3</v>
      </c>
      <c r="AJ498" s="41">
        <f>IFERROR(LOOKUP(Y498,打分卡!$F$14:$J$14,打分卡!$K$14:$O$14),1)</f>
        <v>4</v>
      </c>
      <c r="AK498" s="41">
        <f>IFERROR(LOOKUP(W498,打分卡!$F$15:$J$15,打分卡!$K$15:$O$15),1)</f>
        <v>2</v>
      </c>
      <c r="AL498" s="43">
        <f t="shared" si="57"/>
        <v>5</v>
      </c>
      <c r="AM498" s="41">
        <f>IFERROR(LOOKUP(Z498,打分卡!$F$17:$H$17,打分卡!$K$17:$M$17),1)</f>
        <v>3</v>
      </c>
      <c r="AN498" s="44">
        <f>(打分卡!$D$7*AC498+打分卡!$D$8*AD498+打分卡!$D$9*AE498)/5</f>
        <v>19</v>
      </c>
      <c r="AO498" s="44">
        <f>(打分卡!$D$10*AF498+打分卡!$D$11*AG498)/5</f>
        <v>10</v>
      </c>
      <c r="AP498" s="44">
        <f>(打分卡!$D$12*AH498+打分卡!$D$13*AI498+打分卡!$D$14*AJ498+打分卡!$D$15*AK498)/5</f>
        <v>16</v>
      </c>
      <c r="AQ498" s="44">
        <f>(打分卡!$D$16*AL498+打分卡!$D$17*AM498)/5</f>
        <v>8.4</v>
      </c>
      <c r="AR498" s="47">
        <f t="shared" si="58"/>
        <v>53.4</v>
      </c>
      <c r="AS498" s="43" t="str">
        <f t="shared" si="59"/>
        <v>腰部</v>
      </c>
      <c r="AT498" s="43" t="str">
        <f t="shared" si="60"/>
        <v/>
      </c>
      <c r="AU498" s="43" t="str">
        <f t="shared" si="61"/>
        <v>拉·主攻：主推AI外呼+大促作战包</v>
      </c>
    </row>
    <row r="499" ht="15" customHeight="1" spans="1:47">
      <c r="A499" s="20" t="s">
        <v>1564</v>
      </c>
      <c r="B499" s="22" t="s">
        <v>1565</v>
      </c>
      <c r="C499" s="22" t="s">
        <v>234</v>
      </c>
      <c r="D499" s="22" t="s">
        <v>196</v>
      </c>
      <c r="E499" s="22" t="s">
        <v>181</v>
      </c>
      <c r="F499" s="20" t="s">
        <v>1566</v>
      </c>
      <c r="G499" s="22">
        <v>16</v>
      </c>
      <c r="H499" s="22" t="s">
        <v>183</v>
      </c>
      <c r="I499" s="22" t="s">
        <v>184</v>
      </c>
      <c r="J499" s="36">
        <v>24600</v>
      </c>
      <c r="K499" s="36">
        <v>11000</v>
      </c>
      <c r="L499" s="36">
        <v>18000</v>
      </c>
      <c r="M499" s="36">
        <f t="shared" si="56"/>
        <v>53600</v>
      </c>
      <c r="N499" s="34">
        <f t="shared" si="62"/>
        <v>0.000281005496383627</v>
      </c>
      <c r="O499" s="35">
        <f>SUM($M$2:M499)</f>
        <v>178738000</v>
      </c>
      <c r="P499" s="34">
        <f t="shared" si="63"/>
        <v>0.937058962921954</v>
      </c>
      <c r="Q499" s="39">
        <v>6.9</v>
      </c>
      <c r="R499" s="22">
        <v>2</v>
      </c>
      <c r="S499" s="22">
        <v>1</v>
      </c>
      <c r="T499" s="22">
        <v>0</v>
      </c>
      <c r="U499" s="39">
        <v>4.2</v>
      </c>
      <c r="V499" s="22">
        <v>9</v>
      </c>
      <c r="W499" s="22">
        <v>2</v>
      </c>
      <c r="X499" s="40">
        <v>16</v>
      </c>
      <c r="Y499" s="22">
        <v>2</v>
      </c>
      <c r="Z499" s="22">
        <v>1</v>
      </c>
      <c r="AA499" s="22" t="s">
        <v>199</v>
      </c>
      <c r="AB499" s="22" t="s">
        <v>220</v>
      </c>
      <c r="AC499" s="42">
        <f>IFERROR(LOOKUP(M499,打分卡!$F$7:$J$7,打分卡!$K$7:$O$7),1)</f>
        <v>2</v>
      </c>
      <c r="AD499" s="42">
        <f>IFERROR(LOOKUP(S499,打分卡!$F$8:$J$8,打分卡!$K$8:$O$8),1)</f>
        <v>1</v>
      </c>
      <c r="AE499" s="42">
        <f>IFERROR(LOOKUP(T499,打分卡!$F$9:$I$9,打分卡!$K$9:$N$9),1)</f>
        <v>1</v>
      </c>
      <c r="AF499" s="42">
        <f>IFERROR(LOOKUP(Q499,打分卡!$F$10:$J$10,打分卡!$K$10:$O$10),1)</f>
        <v>2</v>
      </c>
      <c r="AG499" s="42">
        <f>IFERROR(LOOKUP(R499,打分卡!$F$11:$J$11,打分卡!$K$11:$O$11),1)</f>
        <v>1</v>
      </c>
      <c r="AH499" s="42">
        <f>IFERROR(LOOKUP(U499,打分卡!$F$12:$J$12,打分卡!$K$12:$O$12),1)</f>
        <v>2</v>
      </c>
      <c r="AI499" s="42">
        <f>IFERROR(LOOKUP(X499,打分卡!$F$13:$J$13,打分卡!$K$13:$O$13),1)</f>
        <v>1</v>
      </c>
      <c r="AJ499" s="42">
        <f>IFERROR(LOOKUP(Y499,打分卡!$F$14:$J$14,打分卡!$K$14:$O$14),1)</f>
        <v>3</v>
      </c>
      <c r="AK499" s="42">
        <f>IFERROR(LOOKUP(W499,打分卡!$F$15:$J$15,打分卡!$K$15:$O$15),1)</f>
        <v>2</v>
      </c>
      <c r="AL499" s="45">
        <f t="shared" si="57"/>
        <v>5</v>
      </c>
      <c r="AM499" s="42">
        <f>IFERROR(LOOKUP(Z499,打分卡!$F$17:$H$17,打分卡!$K$17:$M$17),1)</f>
        <v>3</v>
      </c>
      <c r="AN499" s="46">
        <f>(打分卡!$D$7*AC499+打分卡!$D$8*AD499+打分卡!$D$9*AE499)/5</f>
        <v>13</v>
      </c>
      <c r="AO499" s="46">
        <f>(打分卡!$D$10*AF499+打分卡!$D$11*AG499)/5</f>
        <v>6</v>
      </c>
      <c r="AP499" s="46">
        <f>(打分卡!$D$12*AH499+打分卡!$D$13*AI499+打分卡!$D$14*AJ499+打分卡!$D$15*AK499)/5</f>
        <v>11.6</v>
      </c>
      <c r="AQ499" s="46">
        <f>(打分卡!$D$16*AL499+打分卡!$D$17*AM499)/5</f>
        <v>8.4</v>
      </c>
      <c r="AR499" s="48">
        <f t="shared" si="58"/>
        <v>39</v>
      </c>
      <c r="AS499" s="45" t="str">
        <f t="shared" si="59"/>
        <v>基础长尾</v>
      </c>
      <c r="AT499" s="45" t="str">
        <f t="shared" si="60"/>
        <v/>
      </c>
      <c r="AU499" s="45" t="str">
        <f t="shared" si="61"/>
        <v>激活：企微+Push低成本先跑</v>
      </c>
    </row>
    <row r="500" ht="15" customHeight="1" spans="1:47">
      <c r="A500" s="30" t="s">
        <v>1567</v>
      </c>
      <c r="B500" s="31" t="s">
        <v>1568</v>
      </c>
      <c r="C500" s="31" t="s">
        <v>189</v>
      </c>
      <c r="D500" s="31" t="s">
        <v>202</v>
      </c>
      <c r="E500" s="31" t="s">
        <v>181</v>
      </c>
      <c r="F500" s="30" t="s">
        <v>1569</v>
      </c>
      <c r="G500" s="31">
        <v>6</v>
      </c>
      <c r="H500" s="31" t="s">
        <v>301</v>
      </c>
      <c r="I500" s="31" t="s">
        <v>184</v>
      </c>
      <c r="J500" s="33">
        <v>25700</v>
      </c>
      <c r="K500" s="33">
        <v>13500</v>
      </c>
      <c r="L500" s="33">
        <v>14000</v>
      </c>
      <c r="M500" s="33">
        <f t="shared" si="56"/>
        <v>53200</v>
      </c>
      <c r="N500" s="34">
        <f t="shared" si="62"/>
        <v>0.000278908440440466</v>
      </c>
      <c r="O500" s="35">
        <f>SUM($M$2:M500)</f>
        <v>178791200</v>
      </c>
      <c r="P500" s="34">
        <f t="shared" si="63"/>
        <v>0.937337871362394</v>
      </c>
      <c r="Q500" s="37">
        <v>8.3</v>
      </c>
      <c r="R500" s="31">
        <v>10</v>
      </c>
      <c r="S500" s="31">
        <v>1</v>
      </c>
      <c r="T500" s="31">
        <v>0</v>
      </c>
      <c r="U500" s="37">
        <v>22.7</v>
      </c>
      <c r="V500" s="31">
        <v>11</v>
      </c>
      <c r="W500" s="31">
        <v>3</v>
      </c>
      <c r="X500" s="38">
        <v>28</v>
      </c>
      <c r="Y500" s="31">
        <v>0</v>
      </c>
      <c r="Z500" s="31">
        <v>0</v>
      </c>
      <c r="AA500" s="31" t="s">
        <v>199</v>
      </c>
      <c r="AB500" s="31" t="s">
        <v>220</v>
      </c>
      <c r="AC500" s="41">
        <f>IFERROR(LOOKUP(M500,打分卡!$F$7:$J$7,打分卡!$K$7:$O$7),1)</f>
        <v>2</v>
      </c>
      <c r="AD500" s="41">
        <f>IFERROR(LOOKUP(S500,打分卡!$F$8:$J$8,打分卡!$K$8:$O$8),1)</f>
        <v>1</v>
      </c>
      <c r="AE500" s="41">
        <f>IFERROR(LOOKUP(T500,打分卡!$F$9:$I$9,打分卡!$K$9:$N$9),1)</f>
        <v>1</v>
      </c>
      <c r="AF500" s="41">
        <f>IFERROR(LOOKUP(Q500,打分卡!$F$10:$J$10,打分卡!$K$10:$O$10),1)</f>
        <v>2</v>
      </c>
      <c r="AG500" s="41">
        <f>IFERROR(LOOKUP(R500,打分卡!$F$11:$J$11,打分卡!$K$11:$O$11),1)</f>
        <v>4</v>
      </c>
      <c r="AH500" s="41">
        <f>IFERROR(LOOKUP(U500,打分卡!$F$12:$J$12,打分卡!$K$12:$O$12),1)</f>
        <v>3</v>
      </c>
      <c r="AI500" s="41">
        <f>IFERROR(LOOKUP(X500,打分卡!$F$13:$J$13,打分卡!$K$13:$O$13),1)</f>
        <v>2</v>
      </c>
      <c r="AJ500" s="41">
        <f>IFERROR(LOOKUP(Y500,打分卡!$F$14:$J$14,打分卡!$K$14:$O$14),1)</f>
        <v>1</v>
      </c>
      <c r="AK500" s="41">
        <f>IFERROR(LOOKUP(W500,打分卡!$F$15:$J$15,打分卡!$K$15:$O$15),1)</f>
        <v>3</v>
      </c>
      <c r="AL500" s="43">
        <f t="shared" si="57"/>
        <v>5</v>
      </c>
      <c r="AM500" s="41">
        <f>IFERROR(LOOKUP(Z500,打分卡!$F$17:$H$17,打分卡!$K$17:$M$17),1)</f>
        <v>1</v>
      </c>
      <c r="AN500" s="44">
        <f>(打分卡!$D$7*AC500+打分卡!$D$8*AD500+打分卡!$D$9*AE500)/5</f>
        <v>13</v>
      </c>
      <c r="AO500" s="44">
        <f>(打分卡!$D$10*AF500+打分卡!$D$11*AG500)/5</f>
        <v>12</v>
      </c>
      <c r="AP500" s="44">
        <f>(打分卡!$D$12*AH500+打分卡!$D$13*AI500+打分卡!$D$14*AJ500+打分卡!$D$15*AK500)/5</f>
        <v>14</v>
      </c>
      <c r="AQ500" s="44">
        <f>(打分卡!$D$16*AL500+打分卡!$D$17*AM500)/5</f>
        <v>6.8</v>
      </c>
      <c r="AR500" s="47">
        <f t="shared" si="58"/>
        <v>45.8</v>
      </c>
      <c r="AS500" s="43" t="str">
        <f t="shared" si="59"/>
        <v>腰部</v>
      </c>
      <c r="AT500" s="43" t="str">
        <f t="shared" si="60"/>
        <v/>
      </c>
      <c r="AU500" s="43" t="str">
        <f t="shared" si="61"/>
        <v>拉·主攻：主推AI外呼+大促作战包</v>
      </c>
    </row>
    <row r="501" ht="15" customHeight="1" spans="1:47">
      <c r="A501" s="20" t="s">
        <v>1570</v>
      </c>
      <c r="B501" s="22" t="s">
        <v>1571</v>
      </c>
      <c r="C501" s="22" t="s">
        <v>189</v>
      </c>
      <c r="D501" s="22" t="s">
        <v>202</v>
      </c>
      <c r="E501" s="22" t="s">
        <v>181</v>
      </c>
      <c r="F501" s="20" t="s">
        <v>1468</v>
      </c>
      <c r="G501" s="22">
        <v>24</v>
      </c>
      <c r="H501" s="22" t="s">
        <v>183</v>
      </c>
      <c r="I501" s="22" t="s">
        <v>302</v>
      </c>
      <c r="J501" s="36">
        <v>24100</v>
      </c>
      <c r="K501" s="36">
        <v>19600</v>
      </c>
      <c r="L501" s="36">
        <v>9300</v>
      </c>
      <c r="M501" s="36">
        <f t="shared" si="56"/>
        <v>53000</v>
      </c>
      <c r="N501" s="34">
        <f t="shared" si="62"/>
        <v>0.000277859912468885</v>
      </c>
      <c r="O501" s="35">
        <f>SUM($M$2:M501)</f>
        <v>178844200</v>
      </c>
      <c r="P501" s="34">
        <f t="shared" si="63"/>
        <v>0.937615731274863</v>
      </c>
      <c r="Q501" s="39">
        <v>5.6</v>
      </c>
      <c r="R501" s="22">
        <v>1</v>
      </c>
      <c r="S501" s="22">
        <v>1</v>
      </c>
      <c r="T501" s="22">
        <v>0</v>
      </c>
      <c r="U501" s="39">
        <v>27.9</v>
      </c>
      <c r="V501" s="22">
        <v>27</v>
      </c>
      <c r="W501" s="22">
        <v>0</v>
      </c>
      <c r="X501" s="40">
        <v>47</v>
      </c>
      <c r="Y501" s="22">
        <v>0</v>
      </c>
      <c r="Z501" s="22">
        <v>0</v>
      </c>
      <c r="AA501" s="22" t="s">
        <v>199</v>
      </c>
      <c r="AB501" s="22" t="s">
        <v>220</v>
      </c>
      <c r="AC501" s="42">
        <f>IFERROR(LOOKUP(M501,打分卡!$F$7:$J$7,打分卡!$K$7:$O$7),1)</f>
        <v>2</v>
      </c>
      <c r="AD501" s="42">
        <f>IFERROR(LOOKUP(S501,打分卡!$F$8:$J$8,打分卡!$K$8:$O$8),1)</f>
        <v>1</v>
      </c>
      <c r="AE501" s="42">
        <f>IFERROR(LOOKUP(T501,打分卡!$F$9:$I$9,打分卡!$K$9:$N$9),1)</f>
        <v>1</v>
      </c>
      <c r="AF501" s="42">
        <f>IFERROR(LOOKUP(Q501,打分卡!$F$10:$J$10,打分卡!$K$10:$O$10),1)</f>
        <v>2</v>
      </c>
      <c r="AG501" s="42">
        <f>IFERROR(LOOKUP(R501,打分卡!$F$11:$J$11,打分卡!$K$11:$O$11),1)</f>
        <v>1</v>
      </c>
      <c r="AH501" s="42">
        <f>IFERROR(LOOKUP(U501,打分卡!$F$12:$J$12,打分卡!$K$12:$O$12),1)</f>
        <v>3</v>
      </c>
      <c r="AI501" s="42">
        <f>IFERROR(LOOKUP(X501,打分卡!$F$13:$J$13,打分卡!$K$13:$O$13),1)</f>
        <v>3</v>
      </c>
      <c r="AJ501" s="42">
        <f>IFERROR(LOOKUP(Y501,打分卡!$F$14:$J$14,打分卡!$K$14:$O$14),1)</f>
        <v>1</v>
      </c>
      <c r="AK501" s="42">
        <f>IFERROR(LOOKUP(W501,打分卡!$F$15:$J$15,打分卡!$K$15:$O$15),1)</f>
        <v>1</v>
      </c>
      <c r="AL501" s="45">
        <f t="shared" si="57"/>
        <v>5</v>
      </c>
      <c r="AM501" s="42">
        <f>IFERROR(LOOKUP(Z501,打分卡!$F$17:$H$17,打分卡!$K$17:$M$17),1)</f>
        <v>1</v>
      </c>
      <c r="AN501" s="46">
        <f>(打分卡!$D$7*AC501+打分卡!$D$8*AD501+打分卡!$D$9*AE501)/5</f>
        <v>13</v>
      </c>
      <c r="AO501" s="46">
        <f>(打分卡!$D$10*AF501+打分卡!$D$11*AG501)/5</f>
        <v>6</v>
      </c>
      <c r="AP501" s="46">
        <f>(打分卡!$D$12*AH501+打分卡!$D$13*AI501+打分卡!$D$14*AJ501+打分卡!$D$15*AK501)/5</f>
        <v>14</v>
      </c>
      <c r="AQ501" s="46">
        <f>(打分卡!$D$16*AL501+打分卡!$D$17*AM501)/5</f>
        <v>6.8</v>
      </c>
      <c r="AR501" s="48">
        <f t="shared" si="58"/>
        <v>39.8</v>
      </c>
      <c r="AS501" s="45" t="str">
        <f t="shared" si="59"/>
        <v>基础长尾</v>
      </c>
      <c r="AT501" s="45" t="str">
        <f t="shared" si="60"/>
        <v/>
      </c>
      <c r="AU501" s="45" t="str">
        <f t="shared" si="61"/>
        <v>激活：企微+Push低成本先跑</v>
      </c>
    </row>
    <row r="502" ht="15" customHeight="1" spans="1:47">
      <c r="A502" s="30" t="s">
        <v>1572</v>
      </c>
      <c r="B502" s="31" t="s">
        <v>1573</v>
      </c>
      <c r="C502" s="31" t="s">
        <v>239</v>
      </c>
      <c r="D502" s="31" t="s">
        <v>196</v>
      </c>
      <c r="E502" s="31" t="s">
        <v>181</v>
      </c>
      <c r="F502" s="30" t="s">
        <v>1574</v>
      </c>
      <c r="G502" s="31">
        <v>24</v>
      </c>
      <c r="H502" s="31" t="s">
        <v>301</v>
      </c>
      <c r="I502" s="31" t="s">
        <v>184</v>
      </c>
      <c r="J502" s="33">
        <v>32800</v>
      </c>
      <c r="K502" s="33">
        <v>17300</v>
      </c>
      <c r="L502" s="33">
        <v>2600</v>
      </c>
      <c r="M502" s="33">
        <f t="shared" si="56"/>
        <v>52700</v>
      </c>
      <c r="N502" s="34">
        <f t="shared" si="62"/>
        <v>0.000276287120511514</v>
      </c>
      <c r="O502" s="35">
        <f>SUM($M$2:M502)</f>
        <v>178896900</v>
      </c>
      <c r="P502" s="34">
        <f t="shared" si="63"/>
        <v>0.937892018395375</v>
      </c>
      <c r="Q502" s="37">
        <v>3.2</v>
      </c>
      <c r="R502" s="31">
        <v>10</v>
      </c>
      <c r="S502" s="31">
        <v>1</v>
      </c>
      <c r="T502" s="31">
        <v>2</v>
      </c>
      <c r="U502" s="37">
        <v>5.9</v>
      </c>
      <c r="V502" s="31">
        <v>6</v>
      </c>
      <c r="W502" s="31">
        <v>2</v>
      </c>
      <c r="X502" s="38">
        <v>47</v>
      </c>
      <c r="Y502" s="31">
        <v>1</v>
      </c>
      <c r="Z502" s="31">
        <v>0</v>
      </c>
      <c r="AA502" s="31" t="s">
        <v>199</v>
      </c>
      <c r="AB502" s="31" t="s">
        <v>220</v>
      </c>
      <c r="AC502" s="41">
        <f>IFERROR(LOOKUP(M502,打分卡!$F$7:$J$7,打分卡!$K$7:$O$7),1)</f>
        <v>2</v>
      </c>
      <c r="AD502" s="41">
        <f>IFERROR(LOOKUP(S502,打分卡!$F$8:$J$8,打分卡!$K$8:$O$8),1)</f>
        <v>1</v>
      </c>
      <c r="AE502" s="41">
        <f>IFERROR(LOOKUP(T502,打分卡!$F$9:$I$9,打分卡!$K$9:$N$9),1)</f>
        <v>3</v>
      </c>
      <c r="AF502" s="41">
        <f>IFERROR(LOOKUP(Q502,打分卡!$F$10:$J$10,打分卡!$K$10:$O$10),1)</f>
        <v>2</v>
      </c>
      <c r="AG502" s="41">
        <f>IFERROR(LOOKUP(R502,打分卡!$F$11:$J$11,打分卡!$K$11:$O$11),1)</f>
        <v>4</v>
      </c>
      <c r="AH502" s="41">
        <f>IFERROR(LOOKUP(U502,打分卡!$F$12:$J$12,打分卡!$K$12:$O$12),1)</f>
        <v>2</v>
      </c>
      <c r="AI502" s="41">
        <f>IFERROR(LOOKUP(X502,打分卡!$F$13:$J$13,打分卡!$K$13:$O$13),1)</f>
        <v>3</v>
      </c>
      <c r="AJ502" s="41">
        <f>IFERROR(LOOKUP(Y502,打分卡!$F$14:$J$14,打分卡!$K$14:$O$14),1)</f>
        <v>2</v>
      </c>
      <c r="AK502" s="41">
        <f>IFERROR(LOOKUP(W502,打分卡!$F$15:$J$15,打分卡!$K$15:$O$15),1)</f>
        <v>2</v>
      </c>
      <c r="AL502" s="43">
        <f t="shared" si="57"/>
        <v>5</v>
      </c>
      <c r="AM502" s="41">
        <f>IFERROR(LOOKUP(Z502,打分卡!$F$17:$H$17,打分卡!$K$17:$M$17),1)</f>
        <v>1</v>
      </c>
      <c r="AN502" s="44">
        <f>(打分卡!$D$7*AC502+打分卡!$D$8*AD502+打分卡!$D$9*AE502)/5</f>
        <v>15.8</v>
      </c>
      <c r="AO502" s="44">
        <f>(打分卡!$D$10*AF502+打分卡!$D$11*AG502)/5</f>
        <v>12</v>
      </c>
      <c r="AP502" s="44">
        <f>(打分卡!$D$12*AH502+打分卡!$D$13*AI502+打分卡!$D$14*AJ502+打分卡!$D$15*AK502)/5</f>
        <v>13.6</v>
      </c>
      <c r="AQ502" s="44">
        <f>(打分卡!$D$16*AL502+打分卡!$D$17*AM502)/5</f>
        <v>6.8</v>
      </c>
      <c r="AR502" s="47">
        <f t="shared" si="58"/>
        <v>48.2</v>
      </c>
      <c r="AS502" s="43" t="str">
        <f t="shared" si="59"/>
        <v>腰部</v>
      </c>
      <c r="AT502" s="43" t="str">
        <f t="shared" si="60"/>
        <v/>
      </c>
      <c r="AU502" s="43" t="str">
        <f t="shared" si="61"/>
        <v>拉·主攻：主推AI外呼+大促作战包</v>
      </c>
    </row>
    <row r="503" ht="15" customHeight="1" spans="1:47">
      <c r="A503" s="20" t="s">
        <v>1575</v>
      </c>
      <c r="B503" s="22" t="s">
        <v>1576</v>
      </c>
      <c r="C503" s="22" t="s">
        <v>189</v>
      </c>
      <c r="D503" s="22" t="s">
        <v>235</v>
      </c>
      <c r="E503" s="22" t="s">
        <v>181</v>
      </c>
      <c r="F503" s="20" t="s">
        <v>1577</v>
      </c>
      <c r="G503" s="22">
        <v>16</v>
      </c>
      <c r="H503" s="22" t="s">
        <v>301</v>
      </c>
      <c r="I503" s="22" t="s">
        <v>302</v>
      </c>
      <c r="J503" s="36">
        <v>30200</v>
      </c>
      <c r="K503" s="36">
        <v>15100</v>
      </c>
      <c r="L503" s="36">
        <v>7300</v>
      </c>
      <c r="M503" s="36">
        <f t="shared" si="56"/>
        <v>52600</v>
      </c>
      <c r="N503" s="34">
        <f t="shared" si="62"/>
        <v>0.000275762856525724</v>
      </c>
      <c r="O503" s="35">
        <f>SUM($M$2:M503)</f>
        <v>178949500</v>
      </c>
      <c r="P503" s="34">
        <f t="shared" si="63"/>
        <v>0.9381677812519</v>
      </c>
      <c r="Q503" s="39">
        <v>5.8</v>
      </c>
      <c r="R503" s="22">
        <v>4</v>
      </c>
      <c r="S503" s="22">
        <v>2</v>
      </c>
      <c r="T503" s="22">
        <v>0</v>
      </c>
      <c r="U503" s="39">
        <v>3.2</v>
      </c>
      <c r="V503" s="22">
        <v>20</v>
      </c>
      <c r="W503" s="22">
        <v>3</v>
      </c>
      <c r="X503" s="40">
        <v>10</v>
      </c>
      <c r="Y503" s="22">
        <v>2</v>
      </c>
      <c r="Z503" s="22">
        <v>0</v>
      </c>
      <c r="AA503" s="22" t="s">
        <v>315</v>
      </c>
      <c r="AB503" s="22" t="s">
        <v>220</v>
      </c>
      <c r="AC503" s="42">
        <f>IFERROR(LOOKUP(M503,打分卡!$F$7:$J$7,打分卡!$K$7:$O$7),1)</f>
        <v>2</v>
      </c>
      <c r="AD503" s="42">
        <f>IFERROR(LOOKUP(S503,打分卡!$F$8:$J$8,打分卡!$K$8:$O$8),1)</f>
        <v>2</v>
      </c>
      <c r="AE503" s="42">
        <f>IFERROR(LOOKUP(T503,打分卡!$F$9:$I$9,打分卡!$K$9:$N$9),1)</f>
        <v>1</v>
      </c>
      <c r="AF503" s="42">
        <f>IFERROR(LOOKUP(Q503,打分卡!$F$10:$J$10,打分卡!$K$10:$O$10),1)</f>
        <v>2</v>
      </c>
      <c r="AG503" s="42">
        <f>IFERROR(LOOKUP(R503,打分卡!$F$11:$J$11,打分卡!$K$11:$O$11),1)</f>
        <v>2</v>
      </c>
      <c r="AH503" s="42">
        <f>IFERROR(LOOKUP(U503,打分卡!$F$12:$J$12,打分卡!$K$12:$O$12),1)</f>
        <v>2</v>
      </c>
      <c r="AI503" s="42">
        <f>IFERROR(LOOKUP(X503,打分卡!$F$13:$J$13,打分卡!$K$13:$O$13),1)</f>
        <v>1</v>
      </c>
      <c r="AJ503" s="42">
        <f>IFERROR(LOOKUP(Y503,打分卡!$F$14:$J$14,打分卡!$K$14:$O$14),1)</f>
        <v>3</v>
      </c>
      <c r="AK503" s="42">
        <f>IFERROR(LOOKUP(W503,打分卡!$F$15:$J$15,打分卡!$K$15:$O$15),1)</f>
        <v>3</v>
      </c>
      <c r="AL503" s="45">
        <f t="shared" si="57"/>
        <v>2</v>
      </c>
      <c r="AM503" s="42">
        <f>IFERROR(LOOKUP(Z503,打分卡!$F$17:$H$17,打分卡!$K$17:$M$17),1)</f>
        <v>1</v>
      </c>
      <c r="AN503" s="46">
        <f>(打分卡!$D$7*AC503+打分卡!$D$8*AD503+打分卡!$D$9*AE503)/5</f>
        <v>14.6</v>
      </c>
      <c r="AO503" s="46">
        <f>(打分卡!$D$10*AF503+打分卡!$D$11*AG503)/5</f>
        <v>8</v>
      </c>
      <c r="AP503" s="46">
        <f>(打分卡!$D$12*AH503+打分卡!$D$13*AI503+打分卡!$D$14*AJ503+打分卡!$D$15*AK503)/5</f>
        <v>12.4</v>
      </c>
      <c r="AQ503" s="46">
        <f>(打分卡!$D$16*AL503+打分卡!$D$17*AM503)/5</f>
        <v>3.2</v>
      </c>
      <c r="AR503" s="48">
        <f t="shared" si="58"/>
        <v>38.2</v>
      </c>
      <c r="AS503" s="45" t="str">
        <f t="shared" si="59"/>
        <v>基础长尾</v>
      </c>
      <c r="AT503" s="45" t="str">
        <f t="shared" si="60"/>
        <v/>
      </c>
      <c r="AU503" s="45" t="str">
        <f t="shared" si="61"/>
        <v>激活：企微+Push低成本先跑</v>
      </c>
    </row>
    <row r="504" ht="15" customHeight="1" spans="1:47">
      <c r="A504" s="30" t="s">
        <v>1578</v>
      </c>
      <c r="B504" s="31" t="s">
        <v>1579</v>
      </c>
      <c r="C504" s="31" t="s">
        <v>239</v>
      </c>
      <c r="D504" s="31" t="s">
        <v>202</v>
      </c>
      <c r="E504" s="31" t="s">
        <v>181</v>
      </c>
      <c r="F504" s="30" t="s">
        <v>1580</v>
      </c>
      <c r="G504" s="31">
        <v>18</v>
      </c>
      <c r="H504" s="31" t="s">
        <v>301</v>
      </c>
      <c r="I504" s="31" t="s">
        <v>302</v>
      </c>
      <c r="J504" s="33">
        <v>25800</v>
      </c>
      <c r="K504" s="33">
        <v>12300</v>
      </c>
      <c r="L504" s="33">
        <v>14000</v>
      </c>
      <c r="M504" s="33">
        <f t="shared" si="56"/>
        <v>52100</v>
      </c>
      <c r="N504" s="34">
        <f t="shared" si="62"/>
        <v>0.000273141536596772</v>
      </c>
      <c r="O504" s="35">
        <f>SUM($M$2:M504)</f>
        <v>179001600</v>
      </c>
      <c r="P504" s="34">
        <f t="shared" si="63"/>
        <v>0.938440922788497</v>
      </c>
      <c r="Q504" s="37">
        <v>5.4</v>
      </c>
      <c r="R504" s="31">
        <v>8</v>
      </c>
      <c r="S504" s="31">
        <v>3</v>
      </c>
      <c r="T504" s="31">
        <v>1</v>
      </c>
      <c r="U504" s="37">
        <v>35.1</v>
      </c>
      <c r="V504" s="31">
        <v>8</v>
      </c>
      <c r="W504" s="31">
        <v>0</v>
      </c>
      <c r="X504" s="38">
        <v>91</v>
      </c>
      <c r="Y504" s="31">
        <v>0</v>
      </c>
      <c r="Z504" s="31">
        <v>0</v>
      </c>
      <c r="AA504" s="31" t="s">
        <v>185</v>
      </c>
      <c r="AB504" s="31" t="s">
        <v>220</v>
      </c>
      <c r="AC504" s="41">
        <f>IFERROR(LOOKUP(M504,打分卡!$F$7:$J$7,打分卡!$K$7:$O$7),1)</f>
        <v>2</v>
      </c>
      <c r="AD504" s="41">
        <f>IFERROR(LOOKUP(S504,打分卡!$F$8:$J$8,打分卡!$K$8:$O$8),1)</f>
        <v>3</v>
      </c>
      <c r="AE504" s="41">
        <f>IFERROR(LOOKUP(T504,打分卡!$F$9:$I$9,打分卡!$K$9:$N$9),1)</f>
        <v>2</v>
      </c>
      <c r="AF504" s="41">
        <f>IFERROR(LOOKUP(Q504,打分卡!$F$10:$J$10,打分卡!$K$10:$O$10),1)</f>
        <v>2</v>
      </c>
      <c r="AG504" s="41">
        <f>IFERROR(LOOKUP(R504,打分卡!$F$11:$J$11,打分卡!$K$11:$O$11),1)</f>
        <v>3</v>
      </c>
      <c r="AH504" s="41">
        <f>IFERROR(LOOKUP(U504,打分卡!$F$12:$J$12,打分卡!$K$12:$O$12),1)</f>
        <v>4</v>
      </c>
      <c r="AI504" s="41">
        <f>IFERROR(LOOKUP(X504,打分卡!$F$13:$J$13,打分卡!$K$13:$O$13),1)</f>
        <v>4</v>
      </c>
      <c r="AJ504" s="41">
        <f>IFERROR(LOOKUP(Y504,打分卡!$F$14:$J$14,打分卡!$K$14:$O$14),1)</f>
        <v>1</v>
      </c>
      <c r="AK504" s="41">
        <f>IFERROR(LOOKUP(W504,打分卡!$F$15:$J$15,打分卡!$K$15:$O$15),1)</f>
        <v>1</v>
      </c>
      <c r="AL504" s="43">
        <f t="shared" si="57"/>
        <v>3</v>
      </c>
      <c r="AM504" s="41">
        <f>IFERROR(LOOKUP(Z504,打分卡!$F$17:$H$17,打分卡!$K$17:$M$17),1)</f>
        <v>1</v>
      </c>
      <c r="AN504" s="44">
        <f>(打分卡!$D$7*AC504+打分卡!$D$8*AD504+打分卡!$D$9*AE504)/5</f>
        <v>17.6</v>
      </c>
      <c r="AO504" s="44">
        <f>(打分卡!$D$10*AF504+打分卡!$D$11*AG504)/5</f>
        <v>10</v>
      </c>
      <c r="AP504" s="44">
        <f>(打分卡!$D$12*AH504+打分卡!$D$13*AI504+打分卡!$D$14*AJ504+打分卡!$D$15*AK504)/5</f>
        <v>18</v>
      </c>
      <c r="AQ504" s="44">
        <f>(打分卡!$D$16*AL504+打分卡!$D$17*AM504)/5</f>
        <v>4.4</v>
      </c>
      <c r="AR504" s="47">
        <f t="shared" si="58"/>
        <v>50</v>
      </c>
      <c r="AS504" s="43" t="str">
        <f t="shared" si="59"/>
        <v>腰部</v>
      </c>
      <c r="AT504" s="43" t="str">
        <f t="shared" si="60"/>
        <v/>
      </c>
      <c r="AU504" s="43" t="str">
        <f t="shared" si="61"/>
        <v>拉·主攻：主推AI外呼+大促作战包</v>
      </c>
    </row>
    <row r="505" ht="15" customHeight="1" spans="1:47">
      <c r="A505" s="20" t="s">
        <v>1581</v>
      </c>
      <c r="B505" s="22" t="s">
        <v>1582</v>
      </c>
      <c r="C505" s="22" t="s">
        <v>234</v>
      </c>
      <c r="D505" s="22" t="s">
        <v>190</v>
      </c>
      <c r="E505" s="22" t="s">
        <v>181</v>
      </c>
      <c r="F505" s="20" t="s">
        <v>1178</v>
      </c>
      <c r="G505" s="22">
        <v>23</v>
      </c>
      <c r="H505" s="22" t="s">
        <v>301</v>
      </c>
      <c r="I505" s="22" t="s">
        <v>302</v>
      </c>
      <c r="J505" s="36">
        <v>25200</v>
      </c>
      <c r="K505" s="36">
        <v>10700</v>
      </c>
      <c r="L505" s="36">
        <v>16100</v>
      </c>
      <c r="M505" s="36">
        <f t="shared" si="56"/>
        <v>52000</v>
      </c>
      <c r="N505" s="34">
        <f t="shared" si="62"/>
        <v>0.000272617272610981</v>
      </c>
      <c r="O505" s="35">
        <f>SUM($M$2:M505)</f>
        <v>179053600</v>
      </c>
      <c r="P505" s="34">
        <f t="shared" si="63"/>
        <v>0.938713540061108</v>
      </c>
      <c r="Q505" s="39">
        <v>5.3</v>
      </c>
      <c r="R505" s="22">
        <v>9</v>
      </c>
      <c r="S505" s="22">
        <v>1</v>
      </c>
      <c r="T505" s="22">
        <v>0</v>
      </c>
      <c r="U505" s="39">
        <v>31.8</v>
      </c>
      <c r="V505" s="22">
        <v>21</v>
      </c>
      <c r="W505" s="22">
        <v>1</v>
      </c>
      <c r="X505" s="40">
        <v>66</v>
      </c>
      <c r="Y505" s="22">
        <v>3</v>
      </c>
      <c r="Z505" s="22">
        <v>1</v>
      </c>
      <c r="AA505" s="22" t="s">
        <v>185</v>
      </c>
      <c r="AB505" s="22" t="s">
        <v>220</v>
      </c>
      <c r="AC505" s="42">
        <f>IFERROR(LOOKUP(M505,打分卡!$F$7:$J$7,打分卡!$K$7:$O$7),1)</f>
        <v>2</v>
      </c>
      <c r="AD505" s="42">
        <f>IFERROR(LOOKUP(S505,打分卡!$F$8:$J$8,打分卡!$K$8:$O$8),1)</f>
        <v>1</v>
      </c>
      <c r="AE505" s="42">
        <f>IFERROR(LOOKUP(T505,打分卡!$F$9:$I$9,打分卡!$K$9:$N$9),1)</f>
        <v>1</v>
      </c>
      <c r="AF505" s="42">
        <f>IFERROR(LOOKUP(Q505,打分卡!$F$10:$J$10,打分卡!$K$10:$O$10),1)</f>
        <v>2</v>
      </c>
      <c r="AG505" s="42">
        <f>IFERROR(LOOKUP(R505,打分卡!$F$11:$J$11,打分卡!$K$11:$O$11),1)</f>
        <v>4</v>
      </c>
      <c r="AH505" s="42">
        <f>IFERROR(LOOKUP(U505,打分卡!$F$12:$J$12,打分卡!$K$12:$O$12),1)</f>
        <v>3</v>
      </c>
      <c r="AI505" s="42">
        <f>IFERROR(LOOKUP(X505,打分卡!$F$13:$J$13,打分卡!$K$13:$O$13),1)</f>
        <v>3</v>
      </c>
      <c r="AJ505" s="42">
        <f>IFERROR(LOOKUP(Y505,打分卡!$F$14:$J$14,打分卡!$K$14:$O$14),1)</f>
        <v>4</v>
      </c>
      <c r="AK505" s="42">
        <f>IFERROR(LOOKUP(W505,打分卡!$F$15:$J$15,打分卡!$K$15:$O$15),1)</f>
        <v>2</v>
      </c>
      <c r="AL505" s="45">
        <f t="shared" si="57"/>
        <v>3</v>
      </c>
      <c r="AM505" s="42">
        <f>IFERROR(LOOKUP(Z505,打分卡!$F$17:$H$17,打分卡!$K$17:$M$17),1)</f>
        <v>3</v>
      </c>
      <c r="AN505" s="46">
        <f>(打分卡!$D$7*AC505+打分卡!$D$8*AD505+打分卡!$D$9*AE505)/5</f>
        <v>13</v>
      </c>
      <c r="AO505" s="46">
        <f>(打分卡!$D$10*AF505+打分卡!$D$11*AG505)/5</f>
        <v>12</v>
      </c>
      <c r="AP505" s="46">
        <f>(打分卡!$D$12*AH505+打分卡!$D$13*AI505+打分卡!$D$14*AJ505+打分卡!$D$15*AK505)/5</f>
        <v>18.4</v>
      </c>
      <c r="AQ505" s="46">
        <f>(打分卡!$D$16*AL505+打分卡!$D$17*AM505)/5</f>
        <v>6</v>
      </c>
      <c r="AR505" s="48">
        <f t="shared" si="58"/>
        <v>49.4</v>
      </c>
      <c r="AS505" s="45" t="str">
        <f t="shared" si="59"/>
        <v>腰部</v>
      </c>
      <c r="AT505" s="45" t="str">
        <f t="shared" si="60"/>
        <v/>
      </c>
      <c r="AU505" s="45" t="str">
        <f t="shared" si="61"/>
        <v>拉·主攻：主推AI外呼+大促作战包</v>
      </c>
    </row>
    <row r="506" ht="15" customHeight="1" spans="1:47">
      <c r="A506" s="30" t="s">
        <v>1583</v>
      </c>
      <c r="B506" s="31" t="s">
        <v>1584</v>
      </c>
      <c r="C506" s="31" t="s">
        <v>179</v>
      </c>
      <c r="D506" s="31" t="s">
        <v>180</v>
      </c>
      <c r="E506" s="31" t="s">
        <v>181</v>
      </c>
      <c r="F506" s="30" t="s">
        <v>519</v>
      </c>
      <c r="G506" s="31">
        <v>13</v>
      </c>
      <c r="H506" s="31" t="s">
        <v>301</v>
      </c>
      <c r="I506" s="31" t="s">
        <v>302</v>
      </c>
      <c r="J506" s="33">
        <v>28700</v>
      </c>
      <c r="K506" s="33">
        <v>19200</v>
      </c>
      <c r="L506" s="33">
        <v>4100</v>
      </c>
      <c r="M506" s="33">
        <f t="shared" si="56"/>
        <v>52000</v>
      </c>
      <c r="N506" s="34">
        <f t="shared" si="62"/>
        <v>0.000272617272610981</v>
      </c>
      <c r="O506" s="35">
        <f>SUM($M$2:M506)</f>
        <v>179105600</v>
      </c>
      <c r="P506" s="34">
        <f t="shared" si="63"/>
        <v>0.938986157333719</v>
      </c>
      <c r="Q506" s="37">
        <v>4.3</v>
      </c>
      <c r="R506" s="31">
        <v>9</v>
      </c>
      <c r="S506" s="31">
        <v>1</v>
      </c>
      <c r="T506" s="31">
        <v>0</v>
      </c>
      <c r="U506" s="37">
        <v>5.2</v>
      </c>
      <c r="V506" s="31">
        <v>26</v>
      </c>
      <c r="W506" s="31">
        <v>2</v>
      </c>
      <c r="X506" s="38">
        <v>78</v>
      </c>
      <c r="Y506" s="31">
        <v>1</v>
      </c>
      <c r="Z506" s="31">
        <v>1</v>
      </c>
      <c r="AA506" s="31" t="s">
        <v>199</v>
      </c>
      <c r="AB506" s="31" t="s">
        <v>220</v>
      </c>
      <c r="AC506" s="41">
        <f>IFERROR(LOOKUP(M506,打分卡!$F$7:$J$7,打分卡!$K$7:$O$7),1)</f>
        <v>2</v>
      </c>
      <c r="AD506" s="41">
        <f>IFERROR(LOOKUP(S506,打分卡!$F$8:$J$8,打分卡!$K$8:$O$8),1)</f>
        <v>1</v>
      </c>
      <c r="AE506" s="41">
        <f>IFERROR(LOOKUP(T506,打分卡!$F$9:$I$9,打分卡!$K$9:$N$9),1)</f>
        <v>1</v>
      </c>
      <c r="AF506" s="41">
        <f>IFERROR(LOOKUP(Q506,打分卡!$F$10:$J$10,打分卡!$K$10:$O$10),1)</f>
        <v>2</v>
      </c>
      <c r="AG506" s="41">
        <f>IFERROR(LOOKUP(R506,打分卡!$F$11:$J$11,打分卡!$K$11:$O$11),1)</f>
        <v>4</v>
      </c>
      <c r="AH506" s="41">
        <f>IFERROR(LOOKUP(U506,打分卡!$F$12:$J$12,打分卡!$K$12:$O$12),1)</f>
        <v>2</v>
      </c>
      <c r="AI506" s="41">
        <f>IFERROR(LOOKUP(X506,打分卡!$F$13:$J$13,打分卡!$K$13:$O$13),1)</f>
        <v>3</v>
      </c>
      <c r="AJ506" s="41">
        <f>IFERROR(LOOKUP(Y506,打分卡!$F$14:$J$14,打分卡!$K$14:$O$14),1)</f>
        <v>2</v>
      </c>
      <c r="AK506" s="41">
        <f>IFERROR(LOOKUP(W506,打分卡!$F$15:$J$15,打分卡!$K$15:$O$15),1)</f>
        <v>2</v>
      </c>
      <c r="AL506" s="43">
        <f t="shared" si="57"/>
        <v>5</v>
      </c>
      <c r="AM506" s="41">
        <f>IFERROR(LOOKUP(Z506,打分卡!$F$17:$H$17,打分卡!$K$17:$M$17),1)</f>
        <v>3</v>
      </c>
      <c r="AN506" s="44">
        <f>(打分卡!$D$7*AC506+打分卡!$D$8*AD506+打分卡!$D$9*AE506)/5</f>
        <v>13</v>
      </c>
      <c r="AO506" s="44">
        <f>(打分卡!$D$10*AF506+打分卡!$D$11*AG506)/5</f>
        <v>12</v>
      </c>
      <c r="AP506" s="44">
        <f>(打分卡!$D$12*AH506+打分卡!$D$13*AI506+打分卡!$D$14*AJ506+打分卡!$D$15*AK506)/5</f>
        <v>13.6</v>
      </c>
      <c r="AQ506" s="44">
        <f>(打分卡!$D$16*AL506+打分卡!$D$17*AM506)/5</f>
        <v>8.4</v>
      </c>
      <c r="AR506" s="47">
        <f t="shared" si="58"/>
        <v>47</v>
      </c>
      <c r="AS506" s="43" t="str">
        <f t="shared" si="59"/>
        <v>腰部</v>
      </c>
      <c r="AT506" s="43" t="str">
        <f t="shared" si="60"/>
        <v/>
      </c>
      <c r="AU506" s="43" t="str">
        <f t="shared" si="61"/>
        <v>拉·主攻：主推AI外呼+大促作战包</v>
      </c>
    </row>
    <row r="507" ht="15" customHeight="1" spans="1:47">
      <c r="A507" s="20" t="s">
        <v>1585</v>
      </c>
      <c r="B507" s="22" t="s">
        <v>1586</v>
      </c>
      <c r="C507" s="22" t="s">
        <v>179</v>
      </c>
      <c r="D507" s="22" t="s">
        <v>196</v>
      </c>
      <c r="E507" s="22" t="s">
        <v>181</v>
      </c>
      <c r="F507" s="20" t="s">
        <v>793</v>
      </c>
      <c r="G507" s="22">
        <v>11</v>
      </c>
      <c r="H507" s="22" t="s">
        <v>301</v>
      </c>
      <c r="I507" s="22" t="s">
        <v>302</v>
      </c>
      <c r="J507" s="36">
        <v>29900</v>
      </c>
      <c r="K507" s="36">
        <v>15900</v>
      </c>
      <c r="L507" s="36">
        <v>6000</v>
      </c>
      <c r="M507" s="36">
        <f t="shared" si="56"/>
        <v>51800</v>
      </c>
      <c r="N507" s="34">
        <f t="shared" si="62"/>
        <v>0.000271568744639401</v>
      </c>
      <c r="O507" s="35">
        <f>SUM($M$2:M507)</f>
        <v>179157400</v>
      </c>
      <c r="P507" s="34">
        <f t="shared" si="63"/>
        <v>0.939257726078359</v>
      </c>
      <c r="Q507" s="39">
        <v>3.5</v>
      </c>
      <c r="R507" s="22">
        <v>7</v>
      </c>
      <c r="S507" s="22">
        <v>2</v>
      </c>
      <c r="T507" s="22">
        <v>2</v>
      </c>
      <c r="U507" s="39">
        <v>1.4</v>
      </c>
      <c r="V507" s="22">
        <v>4</v>
      </c>
      <c r="W507" s="22">
        <v>2</v>
      </c>
      <c r="X507" s="40">
        <v>78</v>
      </c>
      <c r="Y507" s="22">
        <v>0</v>
      </c>
      <c r="Z507" s="22">
        <v>0</v>
      </c>
      <c r="AA507" s="22" t="s">
        <v>185</v>
      </c>
      <c r="AB507" s="22" t="s">
        <v>220</v>
      </c>
      <c r="AC507" s="42">
        <f>IFERROR(LOOKUP(M507,打分卡!$F$7:$J$7,打分卡!$K$7:$O$7),1)</f>
        <v>2</v>
      </c>
      <c r="AD507" s="42">
        <f>IFERROR(LOOKUP(S507,打分卡!$F$8:$J$8,打分卡!$K$8:$O$8),1)</f>
        <v>2</v>
      </c>
      <c r="AE507" s="42">
        <f>IFERROR(LOOKUP(T507,打分卡!$F$9:$I$9,打分卡!$K$9:$N$9),1)</f>
        <v>3</v>
      </c>
      <c r="AF507" s="42">
        <f>IFERROR(LOOKUP(Q507,打分卡!$F$10:$J$10,打分卡!$K$10:$O$10),1)</f>
        <v>2</v>
      </c>
      <c r="AG507" s="42">
        <f>IFERROR(LOOKUP(R507,打分卡!$F$11:$J$11,打分卡!$K$11:$O$11),1)</f>
        <v>3</v>
      </c>
      <c r="AH507" s="42">
        <f>IFERROR(LOOKUP(U507,打分卡!$F$12:$J$12,打分卡!$K$12:$O$12),1)</f>
        <v>1</v>
      </c>
      <c r="AI507" s="42">
        <f>IFERROR(LOOKUP(X507,打分卡!$F$13:$J$13,打分卡!$K$13:$O$13),1)</f>
        <v>3</v>
      </c>
      <c r="AJ507" s="42">
        <f>IFERROR(LOOKUP(Y507,打分卡!$F$14:$J$14,打分卡!$K$14:$O$14),1)</f>
        <v>1</v>
      </c>
      <c r="AK507" s="42">
        <f>IFERROR(LOOKUP(W507,打分卡!$F$15:$J$15,打分卡!$K$15:$O$15),1)</f>
        <v>2</v>
      </c>
      <c r="AL507" s="45">
        <f t="shared" si="57"/>
        <v>3</v>
      </c>
      <c r="AM507" s="42">
        <f>IFERROR(LOOKUP(Z507,打分卡!$F$17:$H$17,打分卡!$K$17:$M$17),1)</f>
        <v>1</v>
      </c>
      <c r="AN507" s="46">
        <f>(打分卡!$D$7*AC507+打分卡!$D$8*AD507+打分卡!$D$9*AE507)/5</f>
        <v>17.4</v>
      </c>
      <c r="AO507" s="46">
        <f>(打分卡!$D$10*AF507+打分卡!$D$11*AG507)/5</f>
        <v>10</v>
      </c>
      <c r="AP507" s="46">
        <f>(打分卡!$D$12*AH507+打分卡!$D$13*AI507+打分卡!$D$14*AJ507+打分卡!$D$15*AK507)/5</f>
        <v>10</v>
      </c>
      <c r="AQ507" s="46">
        <f>(打分卡!$D$16*AL507+打分卡!$D$17*AM507)/5</f>
        <v>4.4</v>
      </c>
      <c r="AR507" s="48">
        <f t="shared" si="58"/>
        <v>41.8</v>
      </c>
      <c r="AS507" s="45" t="str">
        <f t="shared" si="59"/>
        <v>腰部</v>
      </c>
      <c r="AT507" s="45" t="str">
        <f t="shared" si="60"/>
        <v/>
      </c>
      <c r="AU507" s="45" t="str">
        <f t="shared" si="61"/>
        <v>拉·主攻：主推AI外呼+大促作战包</v>
      </c>
    </row>
    <row r="508" ht="15" customHeight="1" spans="1:47">
      <c r="A508" s="30" t="s">
        <v>1587</v>
      </c>
      <c r="B508" s="31" t="s">
        <v>1588</v>
      </c>
      <c r="C508" s="31" t="s">
        <v>189</v>
      </c>
      <c r="D508" s="31" t="s">
        <v>202</v>
      </c>
      <c r="E508" s="31" t="s">
        <v>181</v>
      </c>
      <c r="F508" s="30" t="s">
        <v>1589</v>
      </c>
      <c r="G508" s="31">
        <v>5</v>
      </c>
      <c r="H508" s="31" t="s">
        <v>183</v>
      </c>
      <c r="I508" s="31" t="s">
        <v>184</v>
      </c>
      <c r="J508" s="33">
        <v>23300</v>
      </c>
      <c r="K508" s="33">
        <v>15100</v>
      </c>
      <c r="L508" s="33">
        <v>13300</v>
      </c>
      <c r="M508" s="33">
        <f t="shared" si="56"/>
        <v>51700</v>
      </c>
      <c r="N508" s="34">
        <f t="shared" si="62"/>
        <v>0.00027104448065361</v>
      </c>
      <c r="O508" s="35">
        <f>SUM($M$2:M508)</f>
        <v>179209100</v>
      </c>
      <c r="P508" s="34">
        <f t="shared" si="63"/>
        <v>0.939528770559012</v>
      </c>
      <c r="Q508" s="37">
        <v>8</v>
      </c>
      <c r="R508" s="31">
        <v>8</v>
      </c>
      <c r="S508" s="31">
        <v>2</v>
      </c>
      <c r="T508" s="31">
        <v>0</v>
      </c>
      <c r="U508" s="37">
        <v>7.2</v>
      </c>
      <c r="V508" s="31">
        <v>3</v>
      </c>
      <c r="W508" s="31">
        <v>0</v>
      </c>
      <c r="X508" s="38">
        <v>19</v>
      </c>
      <c r="Y508" s="31">
        <v>2</v>
      </c>
      <c r="Z508" s="31">
        <v>1</v>
      </c>
      <c r="AA508" s="31" t="s">
        <v>199</v>
      </c>
      <c r="AB508" s="31" t="s">
        <v>220</v>
      </c>
      <c r="AC508" s="41">
        <f>IFERROR(LOOKUP(M508,打分卡!$F$7:$J$7,打分卡!$K$7:$O$7),1)</f>
        <v>2</v>
      </c>
      <c r="AD508" s="41">
        <f>IFERROR(LOOKUP(S508,打分卡!$F$8:$J$8,打分卡!$K$8:$O$8),1)</f>
        <v>2</v>
      </c>
      <c r="AE508" s="41">
        <f>IFERROR(LOOKUP(T508,打分卡!$F$9:$I$9,打分卡!$K$9:$N$9),1)</f>
        <v>1</v>
      </c>
      <c r="AF508" s="41">
        <f>IFERROR(LOOKUP(Q508,打分卡!$F$10:$J$10,打分卡!$K$10:$O$10),1)</f>
        <v>2</v>
      </c>
      <c r="AG508" s="41">
        <f>IFERROR(LOOKUP(R508,打分卡!$F$11:$J$11,打分卡!$K$11:$O$11),1)</f>
        <v>3</v>
      </c>
      <c r="AH508" s="41">
        <f>IFERROR(LOOKUP(U508,打分卡!$F$12:$J$12,打分卡!$K$12:$O$12),1)</f>
        <v>2</v>
      </c>
      <c r="AI508" s="41">
        <f>IFERROR(LOOKUP(X508,打分卡!$F$13:$J$13,打分卡!$K$13:$O$13),1)</f>
        <v>2</v>
      </c>
      <c r="AJ508" s="41">
        <f>IFERROR(LOOKUP(Y508,打分卡!$F$14:$J$14,打分卡!$K$14:$O$14),1)</f>
        <v>3</v>
      </c>
      <c r="AK508" s="41">
        <f>IFERROR(LOOKUP(W508,打分卡!$F$15:$J$15,打分卡!$K$15:$O$15),1)</f>
        <v>1</v>
      </c>
      <c r="AL508" s="43">
        <f t="shared" si="57"/>
        <v>5</v>
      </c>
      <c r="AM508" s="41">
        <f>IFERROR(LOOKUP(Z508,打分卡!$F$17:$H$17,打分卡!$K$17:$M$17),1)</f>
        <v>3</v>
      </c>
      <c r="AN508" s="44">
        <f>(打分卡!$D$7*AC508+打分卡!$D$8*AD508+打分卡!$D$9*AE508)/5</f>
        <v>14.6</v>
      </c>
      <c r="AO508" s="44">
        <f>(打分卡!$D$10*AF508+打分卡!$D$11*AG508)/5</f>
        <v>10</v>
      </c>
      <c r="AP508" s="44">
        <f>(打分卡!$D$12*AH508+打分卡!$D$13*AI508+打分卡!$D$14*AJ508+打分卡!$D$15*AK508)/5</f>
        <v>12.4</v>
      </c>
      <c r="AQ508" s="44">
        <f>(打分卡!$D$16*AL508+打分卡!$D$17*AM508)/5</f>
        <v>8.4</v>
      </c>
      <c r="AR508" s="47">
        <f t="shared" si="58"/>
        <v>45.4</v>
      </c>
      <c r="AS508" s="43" t="str">
        <f t="shared" si="59"/>
        <v>腰部</v>
      </c>
      <c r="AT508" s="43" t="str">
        <f t="shared" si="60"/>
        <v/>
      </c>
      <c r="AU508" s="43" t="str">
        <f t="shared" si="61"/>
        <v>拉·主攻：主推AI外呼+大促作战包</v>
      </c>
    </row>
    <row r="509" ht="15" customHeight="1" spans="1:47">
      <c r="A509" s="20" t="s">
        <v>1590</v>
      </c>
      <c r="B509" s="22" t="s">
        <v>1591</v>
      </c>
      <c r="C509" s="22" t="s">
        <v>218</v>
      </c>
      <c r="D509" s="22" t="s">
        <v>202</v>
      </c>
      <c r="E509" s="22" t="s">
        <v>181</v>
      </c>
      <c r="F509" s="20" t="s">
        <v>1592</v>
      </c>
      <c r="G509" s="22">
        <v>6</v>
      </c>
      <c r="H509" s="22" t="s">
        <v>301</v>
      </c>
      <c r="I509" s="22" t="s">
        <v>184</v>
      </c>
      <c r="J509" s="36">
        <v>31700</v>
      </c>
      <c r="K509" s="36">
        <v>15900</v>
      </c>
      <c r="L509" s="36">
        <v>3600</v>
      </c>
      <c r="M509" s="36">
        <f t="shared" si="56"/>
        <v>51200</v>
      </c>
      <c r="N509" s="34">
        <f t="shared" si="62"/>
        <v>0.000268423160724659</v>
      </c>
      <c r="O509" s="35">
        <f>SUM($M$2:M509)</f>
        <v>179260300</v>
      </c>
      <c r="P509" s="34">
        <f t="shared" si="63"/>
        <v>0.939797193719737</v>
      </c>
      <c r="Q509" s="39">
        <v>5.3</v>
      </c>
      <c r="R509" s="22">
        <v>4</v>
      </c>
      <c r="S509" s="22">
        <v>2</v>
      </c>
      <c r="T509" s="22">
        <v>0</v>
      </c>
      <c r="U509" s="39">
        <v>24.6</v>
      </c>
      <c r="V509" s="22">
        <v>11</v>
      </c>
      <c r="W509" s="22">
        <v>1</v>
      </c>
      <c r="X509" s="40">
        <v>97</v>
      </c>
      <c r="Y509" s="22">
        <v>1</v>
      </c>
      <c r="Z509" s="22">
        <v>0</v>
      </c>
      <c r="AA509" s="22" t="s">
        <v>185</v>
      </c>
      <c r="AB509" s="22" t="s">
        <v>220</v>
      </c>
      <c r="AC509" s="42">
        <f>IFERROR(LOOKUP(M509,打分卡!$F$7:$J$7,打分卡!$K$7:$O$7),1)</f>
        <v>2</v>
      </c>
      <c r="AD509" s="42">
        <f>IFERROR(LOOKUP(S509,打分卡!$F$8:$J$8,打分卡!$K$8:$O$8),1)</f>
        <v>2</v>
      </c>
      <c r="AE509" s="42">
        <f>IFERROR(LOOKUP(T509,打分卡!$F$9:$I$9,打分卡!$K$9:$N$9),1)</f>
        <v>1</v>
      </c>
      <c r="AF509" s="42">
        <f>IFERROR(LOOKUP(Q509,打分卡!$F$10:$J$10,打分卡!$K$10:$O$10),1)</f>
        <v>2</v>
      </c>
      <c r="AG509" s="42">
        <f>IFERROR(LOOKUP(R509,打分卡!$F$11:$J$11,打分卡!$K$11:$O$11),1)</f>
        <v>2</v>
      </c>
      <c r="AH509" s="42">
        <f>IFERROR(LOOKUP(U509,打分卡!$F$12:$J$12,打分卡!$K$12:$O$12),1)</f>
        <v>3</v>
      </c>
      <c r="AI509" s="42">
        <f>IFERROR(LOOKUP(X509,打分卡!$F$13:$J$13,打分卡!$K$13:$O$13),1)</f>
        <v>4</v>
      </c>
      <c r="AJ509" s="42">
        <f>IFERROR(LOOKUP(Y509,打分卡!$F$14:$J$14,打分卡!$K$14:$O$14),1)</f>
        <v>2</v>
      </c>
      <c r="AK509" s="42">
        <f>IFERROR(LOOKUP(W509,打分卡!$F$15:$J$15,打分卡!$K$15:$O$15),1)</f>
        <v>2</v>
      </c>
      <c r="AL509" s="45">
        <f t="shared" si="57"/>
        <v>3</v>
      </c>
      <c r="AM509" s="42">
        <f>IFERROR(LOOKUP(Z509,打分卡!$F$17:$H$17,打分卡!$K$17:$M$17),1)</f>
        <v>1</v>
      </c>
      <c r="AN509" s="46">
        <f>(打分卡!$D$7*AC509+打分卡!$D$8*AD509+打分卡!$D$9*AE509)/5</f>
        <v>14.6</v>
      </c>
      <c r="AO509" s="46">
        <f>(打分卡!$D$10*AF509+打分卡!$D$11*AG509)/5</f>
        <v>8</v>
      </c>
      <c r="AP509" s="46">
        <f>(打分卡!$D$12*AH509+打分卡!$D$13*AI509+打分卡!$D$14*AJ509+打分卡!$D$15*AK509)/5</f>
        <v>17.6</v>
      </c>
      <c r="AQ509" s="46">
        <f>(打分卡!$D$16*AL509+打分卡!$D$17*AM509)/5</f>
        <v>4.4</v>
      </c>
      <c r="AR509" s="48">
        <f t="shared" si="58"/>
        <v>44.6</v>
      </c>
      <c r="AS509" s="45" t="str">
        <f t="shared" si="59"/>
        <v>腰部</v>
      </c>
      <c r="AT509" s="45" t="str">
        <f t="shared" si="60"/>
        <v/>
      </c>
      <c r="AU509" s="45" t="str">
        <f t="shared" si="61"/>
        <v>拉·主攻：主推AI外呼+大促作战包</v>
      </c>
    </row>
    <row r="510" ht="15" customHeight="1" spans="1:47">
      <c r="A510" s="30" t="s">
        <v>1593</v>
      </c>
      <c r="B510" s="31" t="s">
        <v>1594</v>
      </c>
      <c r="C510" s="31" t="s">
        <v>195</v>
      </c>
      <c r="D510" s="31" t="s">
        <v>202</v>
      </c>
      <c r="E510" s="31" t="s">
        <v>181</v>
      </c>
      <c r="F510" s="30" t="s">
        <v>1595</v>
      </c>
      <c r="G510" s="31">
        <v>21</v>
      </c>
      <c r="H510" s="31" t="s">
        <v>301</v>
      </c>
      <c r="I510" s="31" t="s">
        <v>184</v>
      </c>
      <c r="J510" s="33">
        <v>24500</v>
      </c>
      <c r="K510" s="33">
        <v>19700</v>
      </c>
      <c r="L510" s="33">
        <v>6900</v>
      </c>
      <c r="M510" s="33">
        <f t="shared" si="56"/>
        <v>51100</v>
      </c>
      <c r="N510" s="34">
        <f t="shared" si="62"/>
        <v>0.000267898896738868</v>
      </c>
      <c r="O510" s="35">
        <f>SUM($M$2:M510)</f>
        <v>179311400</v>
      </c>
      <c r="P510" s="34">
        <f t="shared" si="63"/>
        <v>0.940065092616476</v>
      </c>
      <c r="Q510" s="37">
        <v>6</v>
      </c>
      <c r="R510" s="31">
        <v>4</v>
      </c>
      <c r="S510" s="31">
        <v>3</v>
      </c>
      <c r="T510" s="31">
        <v>2</v>
      </c>
      <c r="U510" s="37">
        <v>41.6</v>
      </c>
      <c r="V510" s="31">
        <v>5</v>
      </c>
      <c r="W510" s="31">
        <v>4</v>
      </c>
      <c r="X510" s="38">
        <v>30</v>
      </c>
      <c r="Y510" s="31">
        <v>1</v>
      </c>
      <c r="Z510" s="31">
        <v>0</v>
      </c>
      <c r="AA510" s="31" t="s">
        <v>315</v>
      </c>
      <c r="AB510" s="31" t="s">
        <v>220</v>
      </c>
      <c r="AC510" s="41">
        <f>IFERROR(LOOKUP(M510,打分卡!$F$7:$J$7,打分卡!$K$7:$O$7),1)</f>
        <v>2</v>
      </c>
      <c r="AD510" s="41">
        <f>IFERROR(LOOKUP(S510,打分卡!$F$8:$J$8,打分卡!$K$8:$O$8),1)</f>
        <v>3</v>
      </c>
      <c r="AE510" s="41">
        <f>IFERROR(LOOKUP(T510,打分卡!$F$9:$I$9,打分卡!$K$9:$N$9),1)</f>
        <v>3</v>
      </c>
      <c r="AF510" s="41">
        <f>IFERROR(LOOKUP(Q510,打分卡!$F$10:$J$10,打分卡!$K$10:$O$10),1)</f>
        <v>2</v>
      </c>
      <c r="AG510" s="41">
        <f>IFERROR(LOOKUP(R510,打分卡!$F$11:$J$11,打分卡!$K$11:$O$11),1)</f>
        <v>2</v>
      </c>
      <c r="AH510" s="41">
        <f>IFERROR(LOOKUP(U510,打分卡!$F$12:$J$12,打分卡!$K$12:$O$12),1)</f>
        <v>4</v>
      </c>
      <c r="AI510" s="41">
        <f>IFERROR(LOOKUP(X510,打分卡!$F$13:$J$13,打分卡!$K$13:$O$13),1)</f>
        <v>2</v>
      </c>
      <c r="AJ510" s="41">
        <f>IFERROR(LOOKUP(Y510,打分卡!$F$14:$J$14,打分卡!$K$14:$O$14),1)</f>
        <v>2</v>
      </c>
      <c r="AK510" s="41">
        <f>IFERROR(LOOKUP(W510,打分卡!$F$15:$J$15,打分卡!$K$15:$O$15),1)</f>
        <v>3</v>
      </c>
      <c r="AL510" s="43">
        <f t="shared" si="57"/>
        <v>2</v>
      </c>
      <c r="AM510" s="41">
        <f>IFERROR(LOOKUP(Z510,打分卡!$F$17:$H$17,打分卡!$K$17:$M$17),1)</f>
        <v>1</v>
      </c>
      <c r="AN510" s="44">
        <f>(打分卡!$D$7*AC510+打分卡!$D$8*AD510+打分卡!$D$9*AE510)/5</f>
        <v>19</v>
      </c>
      <c r="AO510" s="44">
        <f>(打分卡!$D$10*AF510+打分卡!$D$11*AG510)/5</f>
        <v>8</v>
      </c>
      <c r="AP510" s="44">
        <f>(打分卡!$D$12*AH510+打分卡!$D$13*AI510+打分卡!$D$14*AJ510+打分卡!$D$15*AK510)/5</f>
        <v>17.6</v>
      </c>
      <c r="AQ510" s="44">
        <f>(打分卡!$D$16*AL510+打分卡!$D$17*AM510)/5</f>
        <v>3.2</v>
      </c>
      <c r="AR510" s="47">
        <f t="shared" si="58"/>
        <v>47.8</v>
      </c>
      <c r="AS510" s="43" t="str">
        <f t="shared" si="59"/>
        <v>腰部</v>
      </c>
      <c r="AT510" s="43" t="str">
        <f t="shared" si="60"/>
        <v/>
      </c>
      <c r="AU510" s="43" t="str">
        <f t="shared" si="61"/>
        <v>拉·主攻：主推AI外呼+大促作战包</v>
      </c>
    </row>
    <row r="511" ht="15" customHeight="1" spans="1:47">
      <c r="A511" s="20" t="s">
        <v>1596</v>
      </c>
      <c r="B511" s="22" t="s">
        <v>1597</v>
      </c>
      <c r="C511" s="22" t="s">
        <v>209</v>
      </c>
      <c r="D511" s="22" t="s">
        <v>196</v>
      </c>
      <c r="E511" s="22" t="s">
        <v>181</v>
      </c>
      <c r="F511" s="20" t="s">
        <v>389</v>
      </c>
      <c r="G511" s="22">
        <v>14</v>
      </c>
      <c r="H511" s="22" t="s">
        <v>301</v>
      </c>
      <c r="I511" s="22" t="s">
        <v>184</v>
      </c>
      <c r="J511" s="36">
        <v>24500</v>
      </c>
      <c r="K511" s="36">
        <v>19200</v>
      </c>
      <c r="L511" s="36">
        <v>7400</v>
      </c>
      <c r="M511" s="36">
        <f t="shared" si="56"/>
        <v>51100</v>
      </c>
      <c r="N511" s="34">
        <f t="shared" si="62"/>
        <v>0.000267898896738868</v>
      </c>
      <c r="O511" s="35">
        <f>SUM($M$2:M511)</f>
        <v>179362500</v>
      </c>
      <c r="P511" s="34">
        <f t="shared" si="63"/>
        <v>0.940332991513215</v>
      </c>
      <c r="Q511" s="39">
        <v>5.3</v>
      </c>
      <c r="R511" s="22">
        <v>10</v>
      </c>
      <c r="S511" s="22">
        <v>3</v>
      </c>
      <c r="T511" s="22">
        <v>0</v>
      </c>
      <c r="U511" s="39">
        <v>2.2</v>
      </c>
      <c r="V511" s="22">
        <v>23</v>
      </c>
      <c r="W511" s="22">
        <v>0</v>
      </c>
      <c r="X511" s="40">
        <v>16</v>
      </c>
      <c r="Y511" s="22">
        <v>2</v>
      </c>
      <c r="Z511" s="22">
        <v>0</v>
      </c>
      <c r="AA511" s="22" t="s">
        <v>315</v>
      </c>
      <c r="AB511" s="22" t="s">
        <v>220</v>
      </c>
      <c r="AC511" s="42">
        <f>IFERROR(LOOKUP(M511,打分卡!$F$7:$J$7,打分卡!$K$7:$O$7),1)</f>
        <v>2</v>
      </c>
      <c r="AD511" s="42">
        <f>IFERROR(LOOKUP(S511,打分卡!$F$8:$J$8,打分卡!$K$8:$O$8),1)</f>
        <v>3</v>
      </c>
      <c r="AE511" s="42">
        <f>IFERROR(LOOKUP(T511,打分卡!$F$9:$I$9,打分卡!$K$9:$N$9),1)</f>
        <v>1</v>
      </c>
      <c r="AF511" s="42">
        <f>IFERROR(LOOKUP(Q511,打分卡!$F$10:$J$10,打分卡!$K$10:$O$10),1)</f>
        <v>2</v>
      </c>
      <c r="AG511" s="42">
        <f>IFERROR(LOOKUP(R511,打分卡!$F$11:$J$11,打分卡!$K$11:$O$11),1)</f>
        <v>4</v>
      </c>
      <c r="AH511" s="42">
        <f>IFERROR(LOOKUP(U511,打分卡!$F$12:$J$12,打分卡!$K$12:$O$12),1)</f>
        <v>1</v>
      </c>
      <c r="AI511" s="42">
        <f>IFERROR(LOOKUP(X511,打分卡!$F$13:$J$13,打分卡!$K$13:$O$13),1)</f>
        <v>1</v>
      </c>
      <c r="AJ511" s="42">
        <f>IFERROR(LOOKUP(Y511,打分卡!$F$14:$J$14,打分卡!$K$14:$O$14),1)</f>
        <v>3</v>
      </c>
      <c r="AK511" s="42">
        <f>IFERROR(LOOKUP(W511,打分卡!$F$15:$J$15,打分卡!$K$15:$O$15),1)</f>
        <v>1</v>
      </c>
      <c r="AL511" s="45">
        <f t="shared" si="57"/>
        <v>2</v>
      </c>
      <c r="AM511" s="42">
        <f>IFERROR(LOOKUP(Z511,打分卡!$F$17:$H$17,打分卡!$K$17:$M$17),1)</f>
        <v>1</v>
      </c>
      <c r="AN511" s="46">
        <f>(打分卡!$D$7*AC511+打分卡!$D$8*AD511+打分卡!$D$9*AE511)/5</f>
        <v>16.2</v>
      </c>
      <c r="AO511" s="46">
        <f>(打分卡!$D$10*AF511+打分卡!$D$11*AG511)/5</f>
        <v>12</v>
      </c>
      <c r="AP511" s="46">
        <f>(打分卡!$D$12*AH511+打分卡!$D$13*AI511+打分卡!$D$14*AJ511+打分卡!$D$15*AK511)/5</f>
        <v>8.4</v>
      </c>
      <c r="AQ511" s="46">
        <f>(打分卡!$D$16*AL511+打分卡!$D$17*AM511)/5</f>
        <v>3.2</v>
      </c>
      <c r="AR511" s="48">
        <f t="shared" si="58"/>
        <v>39.8</v>
      </c>
      <c r="AS511" s="45" t="str">
        <f t="shared" si="59"/>
        <v>基础长尾</v>
      </c>
      <c r="AT511" s="45" t="str">
        <f t="shared" si="60"/>
        <v/>
      </c>
      <c r="AU511" s="45" t="str">
        <f t="shared" si="61"/>
        <v>激活：企微+Push低成本先跑</v>
      </c>
    </row>
    <row r="512" ht="15" customHeight="1" spans="1:47">
      <c r="A512" s="30" t="s">
        <v>1598</v>
      </c>
      <c r="B512" s="31" t="s">
        <v>1599</v>
      </c>
      <c r="C512" s="31" t="s">
        <v>209</v>
      </c>
      <c r="D512" s="31" t="s">
        <v>235</v>
      </c>
      <c r="E512" s="31" t="s">
        <v>181</v>
      </c>
      <c r="F512" s="30" t="s">
        <v>1600</v>
      </c>
      <c r="G512" s="31">
        <v>20</v>
      </c>
      <c r="H512" s="31" t="s">
        <v>301</v>
      </c>
      <c r="I512" s="31" t="s">
        <v>302</v>
      </c>
      <c r="J512" s="33">
        <v>24100</v>
      </c>
      <c r="K512" s="33">
        <v>14700</v>
      </c>
      <c r="L512" s="33">
        <v>12300</v>
      </c>
      <c r="M512" s="33">
        <f t="shared" si="56"/>
        <v>51100</v>
      </c>
      <c r="N512" s="34">
        <f t="shared" si="62"/>
        <v>0.000267898896738868</v>
      </c>
      <c r="O512" s="35">
        <f>SUM($M$2:M512)</f>
        <v>179413600</v>
      </c>
      <c r="P512" s="34">
        <f t="shared" si="63"/>
        <v>0.940600890409953</v>
      </c>
      <c r="Q512" s="37">
        <v>8.1</v>
      </c>
      <c r="R512" s="31">
        <v>4</v>
      </c>
      <c r="S512" s="31">
        <v>1</v>
      </c>
      <c r="T512" s="31">
        <v>2</v>
      </c>
      <c r="U512" s="37">
        <v>45.5</v>
      </c>
      <c r="V512" s="31">
        <v>15</v>
      </c>
      <c r="W512" s="31">
        <v>2</v>
      </c>
      <c r="X512" s="38">
        <v>139</v>
      </c>
      <c r="Y512" s="31">
        <v>1</v>
      </c>
      <c r="Z512" s="31">
        <v>1</v>
      </c>
      <c r="AA512" s="31" t="s">
        <v>185</v>
      </c>
      <c r="AB512" s="31" t="s">
        <v>220</v>
      </c>
      <c r="AC512" s="41">
        <f>IFERROR(LOOKUP(M512,打分卡!$F$7:$J$7,打分卡!$K$7:$O$7),1)</f>
        <v>2</v>
      </c>
      <c r="AD512" s="41">
        <f>IFERROR(LOOKUP(S512,打分卡!$F$8:$J$8,打分卡!$K$8:$O$8),1)</f>
        <v>1</v>
      </c>
      <c r="AE512" s="41">
        <f>IFERROR(LOOKUP(T512,打分卡!$F$9:$I$9,打分卡!$K$9:$N$9),1)</f>
        <v>3</v>
      </c>
      <c r="AF512" s="41">
        <f>IFERROR(LOOKUP(Q512,打分卡!$F$10:$J$10,打分卡!$K$10:$O$10),1)</f>
        <v>2</v>
      </c>
      <c r="AG512" s="41">
        <f>IFERROR(LOOKUP(R512,打分卡!$F$11:$J$11,打分卡!$K$11:$O$11),1)</f>
        <v>2</v>
      </c>
      <c r="AH512" s="41">
        <f>IFERROR(LOOKUP(U512,打分卡!$F$12:$J$12,打分卡!$K$12:$O$12),1)</f>
        <v>4</v>
      </c>
      <c r="AI512" s="41">
        <f>IFERROR(LOOKUP(X512,打分卡!$F$13:$J$13,打分卡!$K$13:$O$13),1)</f>
        <v>4</v>
      </c>
      <c r="AJ512" s="41">
        <f>IFERROR(LOOKUP(Y512,打分卡!$F$14:$J$14,打分卡!$K$14:$O$14),1)</f>
        <v>2</v>
      </c>
      <c r="AK512" s="41">
        <f>IFERROR(LOOKUP(W512,打分卡!$F$15:$J$15,打分卡!$K$15:$O$15),1)</f>
        <v>2</v>
      </c>
      <c r="AL512" s="43">
        <f t="shared" si="57"/>
        <v>3</v>
      </c>
      <c r="AM512" s="41">
        <f>IFERROR(LOOKUP(Z512,打分卡!$F$17:$H$17,打分卡!$K$17:$M$17),1)</f>
        <v>3</v>
      </c>
      <c r="AN512" s="44">
        <f>(打分卡!$D$7*AC512+打分卡!$D$8*AD512+打分卡!$D$9*AE512)/5</f>
        <v>15.8</v>
      </c>
      <c r="AO512" s="44">
        <f>(打分卡!$D$10*AF512+打分卡!$D$11*AG512)/5</f>
        <v>8</v>
      </c>
      <c r="AP512" s="44">
        <f>(打分卡!$D$12*AH512+打分卡!$D$13*AI512+打分卡!$D$14*AJ512+打分卡!$D$15*AK512)/5</f>
        <v>20</v>
      </c>
      <c r="AQ512" s="44">
        <f>(打分卡!$D$16*AL512+打分卡!$D$17*AM512)/5</f>
        <v>6</v>
      </c>
      <c r="AR512" s="47">
        <f t="shared" si="58"/>
        <v>49.8</v>
      </c>
      <c r="AS512" s="43" t="str">
        <f t="shared" si="59"/>
        <v>腰部</v>
      </c>
      <c r="AT512" s="43" t="str">
        <f t="shared" si="60"/>
        <v/>
      </c>
      <c r="AU512" s="43" t="str">
        <f t="shared" si="61"/>
        <v>拉·主攻：主推AI外呼+大促作战包</v>
      </c>
    </row>
    <row r="513" ht="15" customHeight="1" spans="1:47">
      <c r="A513" s="20" t="s">
        <v>1601</v>
      </c>
      <c r="B513" s="22" t="s">
        <v>1602</v>
      </c>
      <c r="C513" s="22" t="s">
        <v>189</v>
      </c>
      <c r="D513" s="22" t="s">
        <v>235</v>
      </c>
      <c r="E513" s="22" t="s">
        <v>181</v>
      </c>
      <c r="F513" s="20" t="s">
        <v>1186</v>
      </c>
      <c r="G513" s="22">
        <v>22</v>
      </c>
      <c r="H513" s="22" t="s">
        <v>301</v>
      </c>
      <c r="I513" s="22" t="s">
        <v>302</v>
      </c>
      <c r="J513" s="36">
        <v>26900</v>
      </c>
      <c r="K513" s="36">
        <v>12100</v>
      </c>
      <c r="L513" s="36">
        <v>12000</v>
      </c>
      <c r="M513" s="36">
        <f t="shared" si="56"/>
        <v>51000</v>
      </c>
      <c r="N513" s="34">
        <f t="shared" si="62"/>
        <v>0.000267374632753078</v>
      </c>
      <c r="O513" s="35">
        <f>SUM($M$2:M513)</f>
        <v>179464600</v>
      </c>
      <c r="P513" s="34">
        <f t="shared" si="63"/>
        <v>0.940868265042707</v>
      </c>
      <c r="Q513" s="39">
        <v>4.2</v>
      </c>
      <c r="R513" s="22">
        <v>9</v>
      </c>
      <c r="S513" s="22">
        <v>1</v>
      </c>
      <c r="T513" s="22">
        <v>0</v>
      </c>
      <c r="U513" s="39">
        <v>1.3</v>
      </c>
      <c r="V513" s="22">
        <v>15</v>
      </c>
      <c r="W513" s="22">
        <v>1</v>
      </c>
      <c r="X513" s="40">
        <v>18</v>
      </c>
      <c r="Y513" s="22">
        <v>1</v>
      </c>
      <c r="Z513" s="22">
        <v>1</v>
      </c>
      <c r="AA513" s="22" t="s">
        <v>315</v>
      </c>
      <c r="AB513" s="22" t="s">
        <v>220</v>
      </c>
      <c r="AC513" s="42">
        <f>IFERROR(LOOKUP(M513,打分卡!$F$7:$J$7,打分卡!$K$7:$O$7),1)</f>
        <v>2</v>
      </c>
      <c r="AD513" s="42">
        <f>IFERROR(LOOKUP(S513,打分卡!$F$8:$J$8,打分卡!$K$8:$O$8),1)</f>
        <v>1</v>
      </c>
      <c r="AE513" s="42">
        <f>IFERROR(LOOKUP(T513,打分卡!$F$9:$I$9,打分卡!$K$9:$N$9),1)</f>
        <v>1</v>
      </c>
      <c r="AF513" s="42">
        <f>IFERROR(LOOKUP(Q513,打分卡!$F$10:$J$10,打分卡!$K$10:$O$10),1)</f>
        <v>2</v>
      </c>
      <c r="AG513" s="42">
        <f>IFERROR(LOOKUP(R513,打分卡!$F$11:$J$11,打分卡!$K$11:$O$11),1)</f>
        <v>4</v>
      </c>
      <c r="AH513" s="42">
        <f>IFERROR(LOOKUP(U513,打分卡!$F$12:$J$12,打分卡!$K$12:$O$12),1)</f>
        <v>1</v>
      </c>
      <c r="AI513" s="42">
        <f>IFERROR(LOOKUP(X513,打分卡!$F$13:$J$13,打分卡!$K$13:$O$13),1)</f>
        <v>2</v>
      </c>
      <c r="AJ513" s="42">
        <f>IFERROR(LOOKUP(Y513,打分卡!$F$14:$J$14,打分卡!$K$14:$O$14),1)</f>
        <v>2</v>
      </c>
      <c r="AK513" s="42">
        <f>IFERROR(LOOKUP(W513,打分卡!$F$15:$J$15,打分卡!$K$15:$O$15),1)</f>
        <v>2</v>
      </c>
      <c r="AL513" s="45">
        <f t="shared" si="57"/>
        <v>2</v>
      </c>
      <c r="AM513" s="42">
        <f>IFERROR(LOOKUP(Z513,打分卡!$F$17:$H$17,打分卡!$K$17:$M$17),1)</f>
        <v>3</v>
      </c>
      <c r="AN513" s="46">
        <f>(打分卡!$D$7*AC513+打分卡!$D$8*AD513+打分卡!$D$9*AE513)/5</f>
        <v>13</v>
      </c>
      <c r="AO513" s="46">
        <f>(打分卡!$D$10*AF513+打分卡!$D$11*AG513)/5</f>
        <v>12</v>
      </c>
      <c r="AP513" s="46">
        <f>(打分卡!$D$12*AH513+打分卡!$D$13*AI513+打分卡!$D$14*AJ513+打分卡!$D$15*AK513)/5</f>
        <v>9.6</v>
      </c>
      <c r="AQ513" s="46">
        <f>(打分卡!$D$16*AL513+打分卡!$D$17*AM513)/5</f>
        <v>4.8</v>
      </c>
      <c r="AR513" s="48">
        <f t="shared" si="58"/>
        <v>39.4</v>
      </c>
      <c r="AS513" s="45" t="str">
        <f t="shared" si="59"/>
        <v>基础长尾</v>
      </c>
      <c r="AT513" s="45" t="str">
        <f t="shared" si="60"/>
        <v/>
      </c>
      <c r="AU513" s="45" t="str">
        <f t="shared" si="61"/>
        <v>激活：企微+Push低成本先跑</v>
      </c>
    </row>
    <row r="514" ht="15" customHeight="1" spans="1:47">
      <c r="A514" s="30" t="s">
        <v>1603</v>
      </c>
      <c r="B514" s="31" t="s">
        <v>1604</v>
      </c>
      <c r="C514" s="31" t="s">
        <v>218</v>
      </c>
      <c r="D514" s="31" t="s">
        <v>202</v>
      </c>
      <c r="E514" s="31" t="s">
        <v>197</v>
      </c>
      <c r="F514" s="30" t="s">
        <v>1605</v>
      </c>
      <c r="G514" s="31">
        <v>5</v>
      </c>
      <c r="H514" s="31" t="s">
        <v>301</v>
      </c>
      <c r="I514" s="31" t="s">
        <v>302</v>
      </c>
      <c r="J514" s="33">
        <v>24800</v>
      </c>
      <c r="K514" s="33">
        <v>12100</v>
      </c>
      <c r="L514" s="33">
        <v>13300</v>
      </c>
      <c r="M514" s="33">
        <f t="shared" ref="M514:M577" si="64">SUM(J514:L514)</f>
        <v>50200</v>
      </c>
      <c r="N514" s="34">
        <f t="shared" si="62"/>
        <v>0.000263180520866755</v>
      </c>
      <c r="O514" s="35">
        <f>SUM($M$2:M514)</f>
        <v>179514800</v>
      </c>
      <c r="P514" s="34">
        <f t="shared" si="63"/>
        <v>0.941131445563573</v>
      </c>
      <c r="Q514" s="37">
        <v>7.6</v>
      </c>
      <c r="R514" s="31">
        <v>6</v>
      </c>
      <c r="S514" s="31">
        <v>3</v>
      </c>
      <c r="T514" s="31">
        <v>1</v>
      </c>
      <c r="U514" s="37">
        <v>1</v>
      </c>
      <c r="V514" s="31">
        <v>21</v>
      </c>
      <c r="W514" s="31">
        <v>4</v>
      </c>
      <c r="X514" s="38">
        <v>44</v>
      </c>
      <c r="Y514" s="31">
        <v>3</v>
      </c>
      <c r="Z514" s="31">
        <v>1</v>
      </c>
      <c r="AA514" s="31" t="s">
        <v>315</v>
      </c>
      <c r="AB514" s="31" t="s">
        <v>220</v>
      </c>
      <c r="AC514" s="41">
        <f>IFERROR(LOOKUP(M514,打分卡!$F$7:$J$7,打分卡!$K$7:$O$7),1)</f>
        <v>2</v>
      </c>
      <c r="AD514" s="41">
        <f>IFERROR(LOOKUP(S514,打分卡!$F$8:$J$8,打分卡!$K$8:$O$8),1)</f>
        <v>3</v>
      </c>
      <c r="AE514" s="41">
        <f>IFERROR(LOOKUP(T514,打分卡!$F$9:$I$9,打分卡!$K$9:$N$9),1)</f>
        <v>2</v>
      </c>
      <c r="AF514" s="41">
        <f>IFERROR(LOOKUP(Q514,打分卡!$F$10:$J$10,打分卡!$K$10:$O$10),1)</f>
        <v>2</v>
      </c>
      <c r="AG514" s="41">
        <f>IFERROR(LOOKUP(R514,打分卡!$F$11:$J$11,打分卡!$K$11:$O$11),1)</f>
        <v>3</v>
      </c>
      <c r="AH514" s="41">
        <f>IFERROR(LOOKUP(U514,打分卡!$F$12:$J$12,打分卡!$K$12:$O$12),1)</f>
        <v>1</v>
      </c>
      <c r="AI514" s="41">
        <f>IFERROR(LOOKUP(X514,打分卡!$F$13:$J$13,打分卡!$K$13:$O$13),1)</f>
        <v>3</v>
      </c>
      <c r="AJ514" s="41">
        <f>IFERROR(LOOKUP(Y514,打分卡!$F$14:$J$14,打分卡!$K$14:$O$14),1)</f>
        <v>4</v>
      </c>
      <c r="AK514" s="41">
        <f>IFERROR(LOOKUP(W514,打分卡!$F$15:$J$15,打分卡!$K$15:$O$15),1)</f>
        <v>3</v>
      </c>
      <c r="AL514" s="43">
        <f t="shared" ref="AL514:AL577" si="65">IF(AA514="连续下降",1,IF(AA514="下降",2,IF(AA514="上升",5,3)))</f>
        <v>2</v>
      </c>
      <c r="AM514" s="41">
        <f>IFERROR(LOOKUP(Z514,打分卡!$F$17:$H$17,打分卡!$K$17:$M$17),1)</f>
        <v>3</v>
      </c>
      <c r="AN514" s="44">
        <f>(打分卡!$D$7*AC514+打分卡!$D$8*AD514+打分卡!$D$9*AE514)/5</f>
        <v>17.6</v>
      </c>
      <c r="AO514" s="44">
        <f>(打分卡!$D$10*AF514+打分卡!$D$11*AG514)/5</f>
        <v>10</v>
      </c>
      <c r="AP514" s="44">
        <f>(打分卡!$D$12*AH514+打分卡!$D$13*AI514+打分卡!$D$14*AJ514+打分卡!$D$15*AK514)/5</f>
        <v>14.4</v>
      </c>
      <c r="AQ514" s="44">
        <f>(打分卡!$D$16*AL514+打分卡!$D$17*AM514)/5</f>
        <v>4.8</v>
      </c>
      <c r="AR514" s="47">
        <f t="shared" ref="AR514:AR577" si="66">IF(G514&lt;3,AP514/30*40+AO514+AP514+AQ514,AN514+AO514+AP514+AQ514)</f>
        <v>46.8</v>
      </c>
      <c r="AS514" s="43" t="str">
        <f t="shared" ref="AS514:AS577" si="67">IF(M514=0,IF(G514&lt;3,"新客观察期","未激活"),IF(AR514&gt;=90,"SKA",IF(AR514&gt;=75,"KA",IF(AR514&gt;=40,"腰部","基础长尾"))))</f>
        <v>腰部</v>
      </c>
      <c r="AT514" s="43" t="str">
        <f t="shared" ref="AT514:AT577" si="68">IF(AA514="连续下降","连续下降-预警","")</f>
        <v/>
      </c>
      <c r="AU514" s="43" t="str">
        <f t="shared" ref="AU514:AU577" si="69">IF(AS514="SKA","守·共创：卡片短信/AI外呼新场景POC",IF(AS514="KA","扩·深化：AI外呼场景深化+Push/企微补全",IF(AS514="腰部","拉·主攻：主推AI外呼+大促作战包",IF(AS514="新客观察期","培育：入门包+1v1场景教育",IF(AS514="基础长尾","激活：企微+Push低成本先跑","唤醒：短信模板+首充补贴")))))</f>
        <v>拉·主攻：主推AI外呼+大促作战包</v>
      </c>
    </row>
    <row r="515" ht="15" customHeight="1" spans="1:47">
      <c r="A515" s="20" t="s">
        <v>1606</v>
      </c>
      <c r="B515" s="22" t="s">
        <v>1607</v>
      </c>
      <c r="C515" s="22" t="s">
        <v>218</v>
      </c>
      <c r="D515" s="22" t="s">
        <v>202</v>
      </c>
      <c r="E515" s="22" t="s">
        <v>181</v>
      </c>
      <c r="F515" s="20" t="s">
        <v>1608</v>
      </c>
      <c r="G515" s="22">
        <v>18</v>
      </c>
      <c r="H515" s="22" t="s">
        <v>301</v>
      </c>
      <c r="I515" s="22" t="s">
        <v>184</v>
      </c>
      <c r="J515" s="36">
        <v>23400</v>
      </c>
      <c r="K515" s="36">
        <v>17400</v>
      </c>
      <c r="L515" s="36">
        <v>9300</v>
      </c>
      <c r="M515" s="36">
        <f t="shared" si="64"/>
        <v>50100</v>
      </c>
      <c r="N515" s="34">
        <f t="shared" ref="N515:N578" si="70">M515/$M$2002</f>
        <v>0.000262656256880965</v>
      </c>
      <c r="O515" s="35">
        <f>SUM($M$2:M515)</f>
        <v>179564900</v>
      </c>
      <c r="P515" s="34">
        <f t="shared" ref="P515:P578" si="71">O515/$M$2002</f>
        <v>0.941394101820454</v>
      </c>
      <c r="Q515" s="39">
        <v>5.9</v>
      </c>
      <c r="R515" s="22">
        <v>9</v>
      </c>
      <c r="S515" s="22">
        <v>3</v>
      </c>
      <c r="T515" s="22">
        <v>0</v>
      </c>
      <c r="U515" s="39">
        <v>22.9</v>
      </c>
      <c r="V515" s="22">
        <v>8</v>
      </c>
      <c r="W515" s="22">
        <v>3</v>
      </c>
      <c r="X515" s="40">
        <v>46</v>
      </c>
      <c r="Y515" s="22">
        <v>0</v>
      </c>
      <c r="Z515" s="22">
        <v>0</v>
      </c>
      <c r="AA515" s="22" t="s">
        <v>185</v>
      </c>
      <c r="AB515" s="22" t="s">
        <v>220</v>
      </c>
      <c r="AC515" s="42">
        <f>IFERROR(LOOKUP(M515,打分卡!$F$7:$J$7,打分卡!$K$7:$O$7),1)</f>
        <v>2</v>
      </c>
      <c r="AD515" s="42">
        <f>IFERROR(LOOKUP(S515,打分卡!$F$8:$J$8,打分卡!$K$8:$O$8),1)</f>
        <v>3</v>
      </c>
      <c r="AE515" s="42">
        <f>IFERROR(LOOKUP(T515,打分卡!$F$9:$I$9,打分卡!$K$9:$N$9),1)</f>
        <v>1</v>
      </c>
      <c r="AF515" s="42">
        <f>IFERROR(LOOKUP(Q515,打分卡!$F$10:$J$10,打分卡!$K$10:$O$10),1)</f>
        <v>2</v>
      </c>
      <c r="AG515" s="42">
        <f>IFERROR(LOOKUP(R515,打分卡!$F$11:$J$11,打分卡!$K$11:$O$11),1)</f>
        <v>4</v>
      </c>
      <c r="AH515" s="42">
        <f>IFERROR(LOOKUP(U515,打分卡!$F$12:$J$12,打分卡!$K$12:$O$12),1)</f>
        <v>3</v>
      </c>
      <c r="AI515" s="42">
        <f>IFERROR(LOOKUP(X515,打分卡!$F$13:$J$13,打分卡!$K$13:$O$13),1)</f>
        <v>3</v>
      </c>
      <c r="AJ515" s="42">
        <f>IFERROR(LOOKUP(Y515,打分卡!$F$14:$J$14,打分卡!$K$14:$O$14),1)</f>
        <v>1</v>
      </c>
      <c r="AK515" s="42">
        <f>IFERROR(LOOKUP(W515,打分卡!$F$15:$J$15,打分卡!$K$15:$O$15),1)</f>
        <v>3</v>
      </c>
      <c r="AL515" s="45">
        <f t="shared" si="65"/>
        <v>3</v>
      </c>
      <c r="AM515" s="42">
        <f>IFERROR(LOOKUP(Z515,打分卡!$F$17:$H$17,打分卡!$K$17:$M$17),1)</f>
        <v>1</v>
      </c>
      <c r="AN515" s="46">
        <f>(打分卡!$D$7*AC515+打分卡!$D$8*AD515+打分卡!$D$9*AE515)/5</f>
        <v>16.2</v>
      </c>
      <c r="AO515" s="46">
        <f>(打分卡!$D$10*AF515+打分卡!$D$11*AG515)/5</f>
        <v>12</v>
      </c>
      <c r="AP515" s="46">
        <f>(打分卡!$D$12*AH515+打分卡!$D$13*AI515+打分卡!$D$14*AJ515+打分卡!$D$15*AK515)/5</f>
        <v>15.6</v>
      </c>
      <c r="AQ515" s="46">
        <f>(打分卡!$D$16*AL515+打分卡!$D$17*AM515)/5</f>
        <v>4.4</v>
      </c>
      <c r="AR515" s="48">
        <f t="shared" si="66"/>
        <v>48.2</v>
      </c>
      <c r="AS515" s="45" t="str">
        <f t="shared" si="67"/>
        <v>腰部</v>
      </c>
      <c r="AT515" s="45" t="str">
        <f t="shared" si="68"/>
        <v/>
      </c>
      <c r="AU515" s="45" t="str">
        <f t="shared" si="69"/>
        <v>拉·主攻：主推AI外呼+大促作战包</v>
      </c>
    </row>
    <row r="516" ht="15" customHeight="1" spans="1:47">
      <c r="A516" s="30" t="s">
        <v>1609</v>
      </c>
      <c r="B516" s="31" t="s">
        <v>1610</v>
      </c>
      <c r="C516" s="31" t="s">
        <v>239</v>
      </c>
      <c r="D516" s="31" t="s">
        <v>196</v>
      </c>
      <c r="E516" s="31" t="s">
        <v>181</v>
      </c>
      <c r="F516" s="30" t="s">
        <v>1611</v>
      </c>
      <c r="G516" s="31">
        <v>2</v>
      </c>
      <c r="H516" s="31" t="s">
        <v>642</v>
      </c>
      <c r="I516" s="31" t="s">
        <v>302</v>
      </c>
      <c r="J516" s="33">
        <v>23700</v>
      </c>
      <c r="K516" s="33">
        <v>11100</v>
      </c>
      <c r="L516" s="33">
        <v>15400</v>
      </c>
      <c r="M516" s="33">
        <f t="shared" si="64"/>
        <v>50200</v>
      </c>
      <c r="N516" s="34">
        <f t="shared" si="70"/>
        <v>0.000263180520866755</v>
      </c>
      <c r="O516" s="35">
        <f>SUM($M$2:M516)</f>
        <v>179615100</v>
      </c>
      <c r="P516" s="34">
        <f t="shared" si="71"/>
        <v>0.941657282341321</v>
      </c>
      <c r="Q516" s="37">
        <v>6.4</v>
      </c>
      <c r="R516" s="31">
        <v>7</v>
      </c>
      <c r="S516" s="31">
        <v>3</v>
      </c>
      <c r="T516" s="31">
        <v>2</v>
      </c>
      <c r="U516" s="37">
        <v>435</v>
      </c>
      <c r="V516" s="31">
        <v>7</v>
      </c>
      <c r="W516" s="31">
        <v>10</v>
      </c>
      <c r="X516" s="38">
        <v>718</v>
      </c>
      <c r="Y516" s="31">
        <v>3</v>
      </c>
      <c r="Z516" s="31">
        <v>0</v>
      </c>
      <c r="AA516" s="31" t="s">
        <v>199</v>
      </c>
      <c r="AB516" s="31" t="s">
        <v>220</v>
      </c>
      <c r="AC516" s="41">
        <f>IFERROR(LOOKUP(M516,打分卡!$F$7:$J$7,打分卡!$K$7:$O$7),1)</f>
        <v>2</v>
      </c>
      <c r="AD516" s="41">
        <f>IFERROR(LOOKUP(S516,打分卡!$F$8:$J$8,打分卡!$K$8:$O$8),1)</f>
        <v>3</v>
      </c>
      <c r="AE516" s="41">
        <f>IFERROR(LOOKUP(T516,打分卡!$F$9:$I$9,打分卡!$K$9:$N$9),1)</f>
        <v>3</v>
      </c>
      <c r="AF516" s="41">
        <f>IFERROR(LOOKUP(Q516,打分卡!$F$10:$J$10,打分卡!$K$10:$O$10),1)</f>
        <v>2</v>
      </c>
      <c r="AG516" s="41">
        <f>IFERROR(LOOKUP(R516,打分卡!$F$11:$J$11,打分卡!$K$11:$O$11),1)</f>
        <v>3</v>
      </c>
      <c r="AH516" s="41">
        <f>IFERROR(LOOKUP(U516,打分卡!$F$12:$J$12,打分卡!$K$12:$O$12),1)</f>
        <v>5</v>
      </c>
      <c r="AI516" s="41">
        <f>IFERROR(LOOKUP(X516,打分卡!$F$13:$J$13,打分卡!$K$13:$O$13),1)</f>
        <v>5</v>
      </c>
      <c r="AJ516" s="41">
        <f>IFERROR(LOOKUP(Y516,打分卡!$F$14:$J$14,打分卡!$K$14:$O$14),1)</f>
        <v>4</v>
      </c>
      <c r="AK516" s="41">
        <f>IFERROR(LOOKUP(W516,打分卡!$F$15:$J$15,打分卡!$K$15:$O$15),1)</f>
        <v>4</v>
      </c>
      <c r="AL516" s="43">
        <f t="shared" si="65"/>
        <v>5</v>
      </c>
      <c r="AM516" s="41">
        <f>IFERROR(LOOKUP(Z516,打分卡!$F$17:$H$17,打分卡!$K$17:$M$17),1)</f>
        <v>1</v>
      </c>
      <c r="AN516" s="44">
        <f>(打分卡!$D$7*AC516+打分卡!$D$8*AD516+打分卡!$D$9*AE516)/5</f>
        <v>19</v>
      </c>
      <c r="AO516" s="44">
        <f>(打分卡!$D$10*AF516+打分卡!$D$11*AG516)/5</f>
        <v>10</v>
      </c>
      <c r="AP516" s="44">
        <f>(打分卡!$D$12*AH516+打分卡!$D$13*AI516+打分卡!$D$14*AJ516+打分卡!$D$15*AK516)/5</f>
        <v>28</v>
      </c>
      <c r="AQ516" s="44">
        <f>(打分卡!$D$16*AL516+打分卡!$D$17*AM516)/5</f>
        <v>6.8</v>
      </c>
      <c r="AR516" s="47">
        <f t="shared" si="66"/>
        <v>82.1333333333333</v>
      </c>
      <c r="AS516" s="43" t="str">
        <f t="shared" si="67"/>
        <v>KA</v>
      </c>
      <c r="AT516" s="43" t="str">
        <f t="shared" si="68"/>
        <v/>
      </c>
      <c r="AU516" s="43" t="str">
        <f t="shared" si="69"/>
        <v>扩·深化：AI外呼场景深化+Push/企微补全</v>
      </c>
    </row>
    <row r="517" ht="15" customHeight="1" spans="1:47">
      <c r="A517" s="20" t="s">
        <v>1612</v>
      </c>
      <c r="B517" s="22" t="s">
        <v>1613</v>
      </c>
      <c r="C517" s="22" t="s">
        <v>189</v>
      </c>
      <c r="D517" s="22" t="s">
        <v>196</v>
      </c>
      <c r="E517" s="22" t="s">
        <v>181</v>
      </c>
      <c r="F517" s="20" t="s">
        <v>1211</v>
      </c>
      <c r="G517" s="22">
        <v>5</v>
      </c>
      <c r="H517" s="22" t="s">
        <v>301</v>
      </c>
      <c r="I517" s="22" t="s">
        <v>302</v>
      </c>
      <c r="J517" s="36">
        <v>26000</v>
      </c>
      <c r="K517" s="36">
        <v>18600</v>
      </c>
      <c r="L517" s="36">
        <v>5400</v>
      </c>
      <c r="M517" s="36">
        <f t="shared" si="64"/>
        <v>50000</v>
      </c>
      <c r="N517" s="34">
        <f t="shared" si="70"/>
        <v>0.000262131992895174</v>
      </c>
      <c r="O517" s="35">
        <f>SUM($M$2:M517)</f>
        <v>179665100</v>
      </c>
      <c r="P517" s="34">
        <f t="shared" si="71"/>
        <v>0.941919414334216</v>
      </c>
      <c r="Q517" s="39">
        <v>7.6</v>
      </c>
      <c r="R517" s="22">
        <v>7</v>
      </c>
      <c r="S517" s="22">
        <v>2</v>
      </c>
      <c r="T517" s="22">
        <v>0</v>
      </c>
      <c r="U517" s="39">
        <v>35.7</v>
      </c>
      <c r="V517" s="22">
        <v>5</v>
      </c>
      <c r="W517" s="22">
        <v>0</v>
      </c>
      <c r="X517" s="40">
        <v>43</v>
      </c>
      <c r="Y517" s="22">
        <v>1</v>
      </c>
      <c r="Z517" s="22">
        <v>0</v>
      </c>
      <c r="AA517" s="22" t="s">
        <v>315</v>
      </c>
      <c r="AB517" s="22" t="s">
        <v>220</v>
      </c>
      <c r="AC517" s="42">
        <f>IFERROR(LOOKUP(M517,打分卡!$F$7:$J$7,打分卡!$K$7:$O$7),1)</f>
        <v>2</v>
      </c>
      <c r="AD517" s="42">
        <f>IFERROR(LOOKUP(S517,打分卡!$F$8:$J$8,打分卡!$K$8:$O$8),1)</f>
        <v>2</v>
      </c>
      <c r="AE517" s="42">
        <f>IFERROR(LOOKUP(T517,打分卡!$F$9:$I$9,打分卡!$K$9:$N$9),1)</f>
        <v>1</v>
      </c>
      <c r="AF517" s="42">
        <f>IFERROR(LOOKUP(Q517,打分卡!$F$10:$J$10,打分卡!$K$10:$O$10),1)</f>
        <v>2</v>
      </c>
      <c r="AG517" s="42">
        <f>IFERROR(LOOKUP(R517,打分卡!$F$11:$J$11,打分卡!$K$11:$O$11),1)</f>
        <v>3</v>
      </c>
      <c r="AH517" s="42">
        <f>IFERROR(LOOKUP(U517,打分卡!$F$12:$J$12,打分卡!$K$12:$O$12),1)</f>
        <v>4</v>
      </c>
      <c r="AI517" s="42">
        <f>IFERROR(LOOKUP(X517,打分卡!$F$13:$J$13,打分卡!$K$13:$O$13),1)</f>
        <v>3</v>
      </c>
      <c r="AJ517" s="42">
        <f>IFERROR(LOOKUP(Y517,打分卡!$F$14:$J$14,打分卡!$K$14:$O$14),1)</f>
        <v>2</v>
      </c>
      <c r="AK517" s="42">
        <f>IFERROR(LOOKUP(W517,打分卡!$F$15:$J$15,打分卡!$K$15:$O$15),1)</f>
        <v>1</v>
      </c>
      <c r="AL517" s="45">
        <f t="shared" si="65"/>
        <v>2</v>
      </c>
      <c r="AM517" s="42">
        <f>IFERROR(LOOKUP(Z517,打分卡!$F$17:$H$17,打分卡!$K$17:$M$17),1)</f>
        <v>1</v>
      </c>
      <c r="AN517" s="46">
        <f>(打分卡!$D$7*AC517+打分卡!$D$8*AD517+打分卡!$D$9*AE517)/5</f>
        <v>14.6</v>
      </c>
      <c r="AO517" s="46">
        <f>(打分卡!$D$10*AF517+打分卡!$D$11*AG517)/5</f>
        <v>10</v>
      </c>
      <c r="AP517" s="46">
        <f>(打分卡!$D$12*AH517+打分卡!$D$13*AI517+打分卡!$D$14*AJ517+打分卡!$D$15*AK517)/5</f>
        <v>17.6</v>
      </c>
      <c r="AQ517" s="46">
        <f>(打分卡!$D$16*AL517+打分卡!$D$17*AM517)/5</f>
        <v>3.2</v>
      </c>
      <c r="AR517" s="48">
        <f t="shared" si="66"/>
        <v>45.4</v>
      </c>
      <c r="AS517" s="45" t="str">
        <f t="shared" si="67"/>
        <v>腰部</v>
      </c>
      <c r="AT517" s="45" t="str">
        <f t="shared" si="68"/>
        <v/>
      </c>
      <c r="AU517" s="45" t="str">
        <f t="shared" si="69"/>
        <v>拉·主攻：主推AI外呼+大促作战包</v>
      </c>
    </row>
    <row r="518" ht="15" customHeight="1" spans="1:47">
      <c r="A518" s="30" t="s">
        <v>1614</v>
      </c>
      <c r="B518" s="31" t="s">
        <v>1615</v>
      </c>
      <c r="C518" s="31" t="s">
        <v>189</v>
      </c>
      <c r="D518" s="31" t="s">
        <v>202</v>
      </c>
      <c r="E518" s="31" t="s">
        <v>181</v>
      </c>
      <c r="F518" s="30" t="s">
        <v>345</v>
      </c>
      <c r="G518" s="31">
        <v>17</v>
      </c>
      <c r="H518" s="31" t="s">
        <v>301</v>
      </c>
      <c r="I518" s="31" t="s">
        <v>184</v>
      </c>
      <c r="J518" s="33">
        <v>30500</v>
      </c>
      <c r="K518" s="33">
        <v>15600</v>
      </c>
      <c r="L518" s="33">
        <v>3400</v>
      </c>
      <c r="M518" s="33">
        <f t="shared" si="64"/>
        <v>49500</v>
      </c>
      <c r="N518" s="34">
        <f t="shared" si="70"/>
        <v>0.000259510672966223</v>
      </c>
      <c r="O518" s="35">
        <f>SUM($M$2:M518)</f>
        <v>179714600</v>
      </c>
      <c r="P518" s="34">
        <f t="shared" si="71"/>
        <v>0.942178925007182</v>
      </c>
      <c r="Q518" s="37">
        <v>4.4</v>
      </c>
      <c r="R518" s="31">
        <v>10</v>
      </c>
      <c r="S518" s="31">
        <v>2</v>
      </c>
      <c r="T518" s="31">
        <v>0</v>
      </c>
      <c r="U518" s="37">
        <v>40.1</v>
      </c>
      <c r="V518" s="31">
        <v>8</v>
      </c>
      <c r="W518" s="31">
        <v>4</v>
      </c>
      <c r="X518" s="38">
        <v>140</v>
      </c>
      <c r="Y518" s="31">
        <v>3</v>
      </c>
      <c r="Z518" s="31">
        <v>0</v>
      </c>
      <c r="AA518" s="31" t="s">
        <v>315</v>
      </c>
      <c r="AB518" s="31" t="s">
        <v>220</v>
      </c>
      <c r="AC518" s="41">
        <f>IFERROR(LOOKUP(M518,打分卡!$F$7:$J$7,打分卡!$K$7:$O$7),1)</f>
        <v>2</v>
      </c>
      <c r="AD518" s="41">
        <f>IFERROR(LOOKUP(S518,打分卡!$F$8:$J$8,打分卡!$K$8:$O$8),1)</f>
        <v>2</v>
      </c>
      <c r="AE518" s="41">
        <f>IFERROR(LOOKUP(T518,打分卡!$F$9:$I$9,打分卡!$K$9:$N$9),1)</f>
        <v>1</v>
      </c>
      <c r="AF518" s="41">
        <f>IFERROR(LOOKUP(Q518,打分卡!$F$10:$J$10,打分卡!$K$10:$O$10),1)</f>
        <v>2</v>
      </c>
      <c r="AG518" s="41">
        <f>IFERROR(LOOKUP(R518,打分卡!$F$11:$J$11,打分卡!$K$11:$O$11),1)</f>
        <v>4</v>
      </c>
      <c r="AH518" s="41">
        <f>IFERROR(LOOKUP(U518,打分卡!$F$12:$J$12,打分卡!$K$12:$O$12),1)</f>
        <v>4</v>
      </c>
      <c r="AI518" s="41">
        <f>IFERROR(LOOKUP(X518,打分卡!$F$13:$J$13,打分卡!$K$13:$O$13),1)</f>
        <v>4</v>
      </c>
      <c r="AJ518" s="41">
        <f>IFERROR(LOOKUP(Y518,打分卡!$F$14:$J$14,打分卡!$K$14:$O$14),1)</f>
        <v>4</v>
      </c>
      <c r="AK518" s="41">
        <f>IFERROR(LOOKUP(W518,打分卡!$F$15:$J$15,打分卡!$K$15:$O$15),1)</f>
        <v>3</v>
      </c>
      <c r="AL518" s="43">
        <f t="shared" si="65"/>
        <v>2</v>
      </c>
      <c r="AM518" s="41">
        <f>IFERROR(LOOKUP(Z518,打分卡!$F$17:$H$17,打分卡!$K$17:$M$17),1)</f>
        <v>1</v>
      </c>
      <c r="AN518" s="44">
        <f>(打分卡!$D$7*AC518+打分卡!$D$8*AD518+打分卡!$D$9*AE518)/5</f>
        <v>14.6</v>
      </c>
      <c r="AO518" s="44">
        <f>(打分卡!$D$10*AF518+打分卡!$D$11*AG518)/5</f>
        <v>12</v>
      </c>
      <c r="AP518" s="44">
        <f>(打分卡!$D$12*AH518+打分卡!$D$13*AI518+打分卡!$D$14*AJ518+打分卡!$D$15*AK518)/5</f>
        <v>23.2</v>
      </c>
      <c r="AQ518" s="44">
        <f>(打分卡!$D$16*AL518+打分卡!$D$17*AM518)/5</f>
        <v>3.2</v>
      </c>
      <c r="AR518" s="47">
        <f t="shared" si="66"/>
        <v>53</v>
      </c>
      <c r="AS518" s="43" t="str">
        <f t="shared" si="67"/>
        <v>腰部</v>
      </c>
      <c r="AT518" s="43" t="str">
        <f t="shared" si="68"/>
        <v/>
      </c>
      <c r="AU518" s="43" t="str">
        <f t="shared" si="69"/>
        <v>拉·主攻：主推AI外呼+大促作战包</v>
      </c>
    </row>
    <row r="519" ht="15" customHeight="1" spans="1:47">
      <c r="A519" s="20" t="s">
        <v>1616</v>
      </c>
      <c r="B519" s="22" t="s">
        <v>1617</v>
      </c>
      <c r="C519" s="22" t="s">
        <v>189</v>
      </c>
      <c r="D519" s="22" t="s">
        <v>202</v>
      </c>
      <c r="E519" s="22" t="s">
        <v>181</v>
      </c>
      <c r="F519" s="20" t="s">
        <v>1577</v>
      </c>
      <c r="G519" s="22">
        <v>16</v>
      </c>
      <c r="H519" s="22" t="s">
        <v>301</v>
      </c>
      <c r="I519" s="22" t="s">
        <v>302</v>
      </c>
      <c r="J519" s="36">
        <v>30000</v>
      </c>
      <c r="K519" s="36">
        <v>14900</v>
      </c>
      <c r="L519" s="36">
        <v>4400</v>
      </c>
      <c r="M519" s="36">
        <f t="shared" si="64"/>
        <v>49300</v>
      </c>
      <c r="N519" s="34">
        <f t="shared" si="70"/>
        <v>0.000258462144994642</v>
      </c>
      <c r="O519" s="35">
        <f>SUM($M$2:M519)</f>
        <v>179763900</v>
      </c>
      <c r="P519" s="34">
        <f t="shared" si="71"/>
        <v>0.942437387152177</v>
      </c>
      <c r="Q519" s="39">
        <v>5.1</v>
      </c>
      <c r="R519" s="22">
        <v>1</v>
      </c>
      <c r="S519" s="22">
        <v>2</v>
      </c>
      <c r="T519" s="22">
        <v>0</v>
      </c>
      <c r="U519" s="39">
        <v>26.8</v>
      </c>
      <c r="V519" s="22">
        <v>20</v>
      </c>
      <c r="W519" s="22">
        <v>0</v>
      </c>
      <c r="X519" s="40">
        <v>54</v>
      </c>
      <c r="Y519" s="22">
        <v>2</v>
      </c>
      <c r="Z519" s="22">
        <v>0</v>
      </c>
      <c r="AA519" s="22" t="s">
        <v>185</v>
      </c>
      <c r="AB519" s="22" t="s">
        <v>220</v>
      </c>
      <c r="AC519" s="42">
        <f>IFERROR(LOOKUP(M519,打分卡!$F$7:$J$7,打分卡!$K$7:$O$7),1)</f>
        <v>2</v>
      </c>
      <c r="AD519" s="42">
        <f>IFERROR(LOOKUP(S519,打分卡!$F$8:$J$8,打分卡!$K$8:$O$8),1)</f>
        <v>2</v>
      </c>
      <c r="AE519" s="42">
        <f>IFERROR(LOOKUP(T519,打分卡!$F$9:$I$9,打分卡!$K$9:$N$9),1)</f>
        <v>1</v>
      </c>
      <c r="AF519" s="42">
        <f>IFERROR(LOOKUP(Q519,打分卡!$F$10:$J$10,打分卡!$K$10:$O$10),1)</f>
        <v>2</v>
      </c>
      <c r="AG519" s="42">
        <f>IFERROR(LOOKUP(R519,打分卡!$F$11:$J$11,打分卡!$K$11:$O$11),1)</f>
        <v>1</v>
      </c>
      <c r="AH519" s="42">
        <f>IFERROR(LOOKUP(U519,打分卡!$F$12:$J$12,打分卡!$K$12:$O$12),1)</f>
        <v>3</v>
      </c>
      <c r="AI519" s="42">
        <f>IFERROR(LOOKUP(X519,打分卡!$F$13:$J$13,打分卡!$K$13:$O$13),1)</f>
        <v>3</v>
      </c>
      <c r="AJ519" s="42">
        <f>IFERROR(LOOKUP(Y519,打分卡!$F$14:$J$14,打分卡!$K$14:$O$14),1)</f>
        <v>3</v>
      </c>
      <c r="AK519" s="42">
        <f>IFERROR(LOOKUP(W519,打分卡!$F$15:$J$15,打分卡!$K$15:$O$15),1)</f>
        <v>1</v>
      </c>
      <c r="AL519" s="45">
        <f t="shared" si="65"/>
        <v>3</v>
      </c>
      <c r="AM519" s="42">
        <f>IFERROR(LOOKUP(Z519,打分卡!$F$17:$H$17,打分卡!$K$17:$M$17),1)</f>
        <v>1</v>
      </c>
      <c r="AN519" s="46">
        <f>(打分卡!$D$7*AC519+打分卡!$D$8*AD519+打分卡!$D$9*AE519)/5</f>
        <v>14.6</v>
      </c>
      <c r="AO519" s="46">
        <f>(打分卡!$D$10*AF519+打分卡!$D$11*AG519)/5</f>
        <v>6</v>
      </c>
      <c r="AP519" s="46">
        <f>(打分卡!$D$12*AH519+打分卡!$D$13*AI519+打分卡!$D$14*AJ519+打分卡!$D$15*AK519)/5</f>
        <v>16.4</v>
      </c>
      <c r="AQ519" s="46">
        <f>(打分卡!$D$16*AL519+打分卡!$D$17*AM519)/5</f>
        <v>4.4</v>
      </c>
      <c r="AR519" s="48">
        <f t="shared" si="66"/>
        <v>41.4</v>
      </c>
      <c r="AS519" s="45" t="str">
        <f t="shared" si="67"/>
        <v>腰部</v>
      </c>
      <c r="AT519" s="45" t="str">
        <f t="shared" si="68"/>
        <v/>
      </c>
      <c r="AU519" s="45" t="str">
        <f t="shared" si="69"/>
        <v>拉·主攻：主推AI外呼+大促作战包</v>
      </c>
    </row>
    <row r="520" ht="15" customHeight="1" spans="1:47">
      <c r="A520" s="30" t="s">
        <v>1618</v>
      </c>
      <c r="B520" s="31" t="s">
        <v>1619</v>
      </c>
      <c r="C520" s="31" t="s">
        <v>179</v>
      </c>
      <c r="D520" s="31" t="s">
        <v>196</v>
      </c>
      <c r="E520" s="31" t="s">
        <v>181</v>
      </c>
      <c r="F520" s="30" t="s">
        <v>1620</v>
      </c>
      <c r="G520" s="31">
        <v>7</v>
      </c>
      <c r="H520" s="31" t="s">
        <v>301</v>
      </c>
      <c r="I520" s="31" t="s">
        <v>184</v>
      </c>
      <c r="J520" s="33">
        <v>22700</v>
      </c>
      <c r="K520" s="33">
        <v>17700</v>
      </c>
      <c r="L520" s="33">
        <v>8800</v>
      </c>
      <c r="M520" s="33">
        <f t="shared" si="64"/>
        <v>49200</v>
      </c>
      <c r="N520" s="34">
        <f t="shared" si="70"/>
        <v>0.000257937881008852</v>
      </c>
      <c r="O520" s="35">
        <f>SUM($M$2:M520)</f>
        <v>179813100</v>
      </c>
      <c r="P520" s="34">
        <f t="shared" si="71"/>
        <v>0.942695325033186</v>
      </c>
      <c r="Q520" s="37">
        <v>6.8</v>
      </c>
      <c r="R520" s="31">
        <v>2</v>
      </c>
      <c r="S520" s="31">
        <v>1</v>
      </c>
      <c r="T520" s="31">
        <v>0</v>
      </c>
      <c r="U520" s="37">
        <v>8.6</v>
      </c>
      <c r="V520" s="31">
        <v>25</v>
      </c>
      <c r="W520" s="31">
        <v>2</v>
      </c>
      <c r="X520" s="38">
        <v>97</v>
      </c>
      <c r="Y520" s="31">
        <v>2</v>
      </c>
      <c r="Z520" s="31">
        <v>1</v>
      </c>
      <c r="AA520" s="31" t="s">
        <v>199</v>
      </c>
      <c r="AB520" s="31" t="s">
        <v>220</v>
      </c>
      <c r="AC520" s="41">
        <f>IFERROR(LOOKUP(M520,打分卡!$F$7:$J$7,打分卡!$K$7:$O$7),1)</f>
        <v>2</v>
      </c>
      <c r="AD520" s="41">
        <f>IFERROR(LOOKUP(S520,打分卡!$F$8:$J$8,打分卡!$K$8:$O$8),1)</f>
        <v>1</v>
      </c>
      <c r="AE520" s="41">
        <f>IFERROR(LOOKUP(T520,打分卡!$F$9:$I$9,打分卡!$K$9:$N$9),1)</f>
        <v>1</v>
      </c>
      <c r="AF520" s="41">
        <f>IFERROR(LOOKUP(Q520,打分卡!$F$10:$J$10,打分卡!$K$10:$O$10),1)</f>
        <v>2</v>
      </c>
      <c r="AG520" s="41">
        <f>IFERROR(LOOKUP(R520,打分卡!$F$11:$J$11,打分卡!$K$11:$O$11),1)</f>
        <v>1</v>
      </c>
      <c r="AH520" s="41">
        <f>IFERROR(LOOKUP(U520,打分卡!$F$12:$J$12,打分卡!$K$12:$O$12),1)</f>
        <v>2</v>
      </c>
      <c r="AI520" s="41">
        <f>IFERROR(LOOKUP(X520,打分卡!$F$13:$J$13,打分卡!$K$13:$O$13),1)</f>
        <v>4</v>
      </c>
      <c r="AJ520" s="41">
        <f>IFERROR(LOOKUP(Y520,打分卡!$F$14:$J$14,打分卡!$K$14:$O$14),1)</f>
        <v>3</v>
      </c>
      <c r="AK520" s="41">
        <f>IFERROR(LOOKUP(W520,打分卡!$F$15:$J$15,打分卡!$K$15:$O$15),1)</f>
        <v>2</v>
      </c>
      <c r="AL520" s="43">
        <f t="shared" si="65"/>
        <v>5</v>
      </c>
      <c r="AM520" s="41">
        <f>IFERROR(LOOKUP(Z520,打分卡!$F$17:$H$17,打分卡!$K$17:$M$17),1)</f>
        <v>3</v>
      </c>
      <c r="AN520" s="44">
        <f>(打分卡!$D$7*AC520+打分卡!$D$8*AD520+打分卡!$D$9*AE520)/5</f>
        <v>13</v>
      </c>
      <c r="AO520" s="44">
        <f>(打分卡!$D$10*AF520+打分卡!$D$11*AG520)/5</f>
        <v>6</v>
      </c>
      <c r="AP520" s="44">
        <f>(打分卡!$D$12*AH520+打分卡!$D$13*AI520+打分卡!$D$14*AJ520+打分卡!$D$15*AK520)/5</f>
        <v>16.4</v>
      </c>
      <c r="AQ520" s="44">
        <f>(打分卡!$D$16*AL520+打分卡!$D$17*AM520)/5</f>
        <v>8.4</v>
      </c>
      <c r="AR520" s="47">
        <f t="shared" si="66"/>
        <v>43.8</v>
      </c>
      <c r="AS520" s="43" t="str">
        <f t="shared" si="67"/>
        <v>腰部</v>
      </c>
      <c r="AT520" s="43" t="str">
        <f t="shared" si="68"/>
        <v/>
      </c>
      <c r="AU520" s="43" t="str">
        <f t="shared" si="69"/>
        <v>拉·主攻：主推AI外呼+大促作战包</v>
      </c>
    </row>
    <row r="521" ht="15" customHeight="1" spans="1:47">
      <c r="A521" s="20" t="s">
        <v>1621</v>
      </c>
      <c r="B521" s="22" t="s">
        <v>1622</v>
      </c>
      <c r="C521" s="22" t="s">
        <v>209</v>
      </c>
      <c r="D521" s="22" t="s">
        <v>235</v>
      </c>
      <c r="E521" s="22" t="s">
        <v>181</v>
      </c>
      <c r="F521" s="20" t="s">
        <v>1623</v>
      </c>
      <c r="G521" s="22">
        <v>3</v>
      </c>
      <c r="H521" s="22" t="s">
        <v>183</v>
      </c>
      <c r="I521" s="22" t="s">
        <v>184</v>
      </c>
      <c r="J521" s="36">
        <v>30100</v>
      </c>
      <c r="K521" s="36">
        <v>11900</v>
      </c>
      <c r="L521" s="36">
        <v>7000</v>
      </c>
      <c r="M521" s="36">
        <f t="shared" si="64"/>
        <v>49000</v>
      </c>
      <c r="N521" s="34">
        <f t="shared" si="70"/>
        <v>0.000256889353037271</v>
      </c>
      <c r="O521" s="35">
        <f>SUM($M$2:M521)</f>
        <v>179862100</v>
      </c>
      <c r="P521" s="34">
        <f t="shared" si="71"/>
        <v>0.942952214386223</v>
      </c>
      <c r="Q521" s="39">
        <v>3.2</v>
      </c>
      <c r="R521" s="22">
        <v>3</v>
      </c>
      <c r="S521" s="22">
        <v>1</v>
      </c>
      <c r="T521" s="22">
        <v>0</v>
      </c>
      <c r="U521" s="39">
        <v>6.5</v>
      </c>
      <c r="V521" s="22">
        <v>13</v>
      </c>
      <c r="W521" s="22">
        <v>4</v>
      </c>
      <c r="X521" s="40">
        <v>56</v>
      </c>
      <c r="Y521" s="22">
        <v>3</v>
      </c>
      <c r="Z521" s="22">
        <v>1</v>
      </c>
      <c r="AA521" s="22" t="s">
        <v>185</v>
      </c>
      <c r="AB521" s="22" t="s">
        <v>220</v>
      </c>
      <c r="AC521" s="42">
        <f>IFERROR(LOOKUP(M521,打分卡!$F$7:$J$7,打分卡!$K$7:$O$7),1)</f>
        <v>2</v>
      </c>
      <c r="AD521" s="42">
        <f>IFERROR(LOOKUP(S521,打分卡!$F$8:$J$8,打分卡!$K$8:$O$8),1)</f>
        <v>1</v>
      </c>
      <c r="AE521" s="42">
        <f>IFERROR(LOOKUP(T521,打分卡!$F$9:$I$9,打分卡!$K$9:$N$9),1)</f>
        <v>1</v>
      </c>
      <c r="AF521" s="42">
        <f>IFERROR(LOOKUP(Q521,打分卡!$F$10:$J$10,打分卡!$K$10:$O$10),1)</f>
        <v>2</v>
      </c>
      <c r="AG521" s="42">
        <f>IFERROR(LOOKUP(R521,打分卡!$F$11:$J$11,打分卡!$K$11:$O$11),1)</f>
        <v>2</v>
      </c>
      <c r="AH521" s="42">
        <f>IFERROR(LOOKUP(U521,打分卡!$F$12:$J$12,打分卡!$K$12:$O$12),1)</f>
        <v>2</v>
      </c>
      <c r="AI521" s="42">
        <f>IFERROR(LOOKUP(X521,打分卡!$F$13:$J$13,打分卡!$K$13:$O$13),1)</f>
        <v>3</v>
      </c>
      <c r="AJ521" s="42">
        <f>IFERROR(LOOKUP(Y521,打分卡!$F$14:$J$14,打分卡!$K$14:$O$14),1)</f>
        <v>4</v>
      </c>
      <c r="AK521" s="42">
        <f>IFERROR(LOOKUP(W521,打分卡!$F$15:$J$15,打分卡!$K$15:$O$15),1)</f>
        <v>3</v>
      </c>
      <c r="AL521" s="45">
        <f t="shared" si="65"/>
        <v>3</v>
      </c>
      <c r="AM521" s="42">
        <f>IFERROR(LOOKUP(Z521,打分卡!$F$17:$H$17,打分卡!$K$17:$M$17),1)</f>
        <v>3</v>
      </c>
      <c r="AN521" s="46">
        <f>(打分卡!$D$7*AC521+打分卡!$D$8*AD521+打分卡!$D$9*AE521)/5</f>
        <v>13</v>
      </c>
      <c r="AO521" s="46">
        <f>(打分卡!$D$10*AF521+打分卡!$D$11*AG521)/5</f>
        <v>8</v>
      </c>
      <c r="AP521" s="46">
        <f>(打分卡!$D$12*AH521+打分卡!$D$13*AI521+打分卡!$D$14*AJ521+打分卡!$D$15*AK521)/5</f>
        <v>16.8</v>
      </c>
      <c r="AQ521" s="46">
        <f>(打分卡!$D$16*AL521+打分卡!$D$17*AM521)/5</f>
        <v>6</v>
      </c>
      <c r="AR521" s="48">
        <f t="shared" si="66"/>
        <v>43.8</v>
      </c>
      <c r="AS521" s="45" t="str">
        <f t="shared" si="67"/>
        <v>腰部</v>
      </c>
      <c r="AT521" s="45" t="str">
        <f t="shared" si="68"/>
        <v/>
      </c>
      <c r="AU521" s="45" t="str">
        <f t="shared" si="69"/>
        <v>拉·主攻：主推AI外呼+大促作战包</v>
      </c>
    </row>
    <row r="522" ht="15" customHeight="1" spans="1:47">
      <c r="A522" s="30" t="s">
        <v>1624</v>
      </c>
      <c r="B522" s="31" t="s">
        <v>1625</v>
      </c>
      <c r="C522" s="31" t="s">
        <v>195</v>
      </c>
      <c r="D522" s="31" t="s">
        <v>202</v>
      </c>
      <c r="E522" s="31" t="s">
        <v>181</v>
      </c>
      <c r="F522" s="30" t="s">
        <v>268</v>
      </c>
      <c r="G522" s="31">
        <v>17</v>
      </c>
      <c r="H522" s="31" t="s">
        <v>301</v>
      </c>
      <c r="I522" s="31" t="s">
        <v>184</v>
      </c>
      <c r="J522" s="33">
        <v>23200</v>
      </c>
      <c r="K522" s="33">
        <v>13700</v>
      </c>
      <c r="L522" s="33">
        <v>12200</v>
      </c>
      <c r="M522" s="33">
        <f t="shared" si="64"/>
        <v>49100</v>
      </c>
      <c r="N522" s="34">
        <f t="shared" si="70"/>
        <v>0.000257413617023061</v>
      </c>
      <c r="O522" s="35">
        <f>SUM($M$2:M522)</f>
        <v>179911200</v>
      </c>
      <c r="P522" s="34">
        <f t="shared" si="71"/>
        <v>0.943209628003246</v>
      </c>
      <c r="Q522" s="37">
        <v>7</v>
      </c>
      <c r="R522" s="31">
        <v>6</v>
      </c>
      <c r="S522" s="31">
        <v>3</v>
      </c>
      <c r="T522" s="31">
        <v>2</v>
      </c>
      <c r="U522" s="37">
        <v>2.3</v>
      </c>
      <c r="V522" s="31">
        <v>16</v>
      </c>
      <c r="W522" s="31">
        <v>0</v>
      </c>
      <c r="X522" s="38">
        <v>12</v>
      </c>
      <c r="Y522" s="31">
        <v>2</v>
      </c>
      <c r="Z522" s="31">
        <v>1</v>
      </c>
      <c r="AA522" s="31" t="s">
        <v>199</v>
      </c>
      <c r="AB522" s="31" t="s">
        <v>220</v>
      </c>
      <c r="AC522" s="41">
        <f>IFERROR(LOOKUP(M522,打分卡!$F$7:$J$7,打分卡!$K$7:$O$7),1)</f>
        <v>2</v>
      </c>
      <c r="AD522" s="41">
        <f>IFERROR(LOOKUP(S522,打分卡!$F$8:$J$8,打分卡!$K$8:$O$8),1)</f>
        <v>3</v>
      </c>
      <c r="AE522" s="41">
        <f>IFERROR(LOOKUP(T522,打分卡!$F$9:$I$9,打分卡!$K$9:$N$9),1)</f>
        <v>3</v>
      </c>
      <c r="AF522" s="41">
        <f>IFERROR(LOOKUP(Q522,打分卡!$F$10:$J$10,打分卡!$K$10:$O$10),1)</f>
        <v>2</v>
      </c>
      <c r="AG522" s="41">
        <f>IFERROR(LOOKUP(R522,打分卡!$F$11:$J$11,打分卡!$K$11:$O$11),1)</f>
        <v>3</v>
      </c>
      <c r="AH522" s="41">
        <f>IFERROR(LOOKUP(U522,打分卡!$F$12:$J$12,打分卡!$K$12:$O$12),1)</f>
        <v>1</v>
      </c>
      <c r="AI522" s="41">
        <f>IFERROR(LOOKUP(X522,打分卡!$F$13:$J$13,打分卡!$K$13:$O$13),1)</f>
        <v>1</v>
      </c>
      <c r="AJ522" s="41">
        <f>IFERROR(LOOKUP(Y522,打分卡!$F$14:$J$14,打分卡!$K$14:$O$14),1)</f>
        <v>3</v>
      </c>
      <c r="AK522" s="41">
        <f>IFERROR(LOOKUP(W522,打分卡!$F$15:$J$15,打分卡!$K$15:$O$15),1)</f>
        <v>1</v>
      </c>
      <c r="AL522" s="43">
        <f t="shared" si="65"/>
        <v>5</v>
      </c>
      <c r="AM522" s="41">
        <f>IFERROR(LOOKUP(Z522,打分卡!$F$17:$H$17,打分卡!$K$17:$M$17),1)</f>
        <v>3</v>
      </c>
      <c r="AN522" s="44">
        <f>(打分卡!$D$7*AC522+打分卡!$D$8*AD522+打分卡!$D$9*AE522)/5</f>
        <v>19</v>
      </c>
      <c r="AO522" s="44">
        <f>(打分卡!$D$10*AF522+打分卡!$D$11*AG522)/5</f>
        <v>10</v>
      </c>
      <c r="AP522" s="44">
        <f>(打分卡!$D$12*AH522+打分卡!$D$13*AI522+打分卡!$D$14*AJ522+打分卡!$D$15*AK522)/5</f>
        <v>8.4</v>
      </c>
      <c r="AQ522" s="44">
        <f>(打分卡!$D$16*AL522+打分卡!$D$17*AM522)/5</f>
        <v>8.4</v>
      </c>
      <c r="AR522" s="47">
        <f t="shared" si="66"/>
        <v>45.8</v>
      </c>
      <c r="AS522" s="43" t="str">
        <f t="shared" si="67"/>
        <v>腰部</v>
      </c>
      <c r="AT522" s="43" t="str">
        <f t="shared" si="68"/>
        <v/>
      </c>
      <c r="AU522" s="43" t="str">
        <f t="shared" si="69"/>
        <v>拉·主攻：主推AI外呼+大促作战包</v>
      </c>
    </row>
    <row r="523" ht="15" customHeight="1" spans="1:47">
      <c r="A523" s="20" t="s">
        <v>1626</v>
      </c>
      <c r="B523" s="22" t="s">
        <v>1627</v>
      </c>
      <c r="C523" s="22" t="s">
        <v>179</v>
      </c>
      <c r="D523" s="22" t="s">
        <v>235</v>
      </c>
      <c r="E523" s="22" t="s">
        <v>181</v>
      </c>
      <c r="F523" s="20" t="s">
        <v>544</v>
      </c>
      <c r="G523" s="22">
        <v>11</v>
      </c>
      <c r="H523" s="22" t="s">
        <v>183</v>
      </c>
      <c r="I523" s="22" t="s">
        <v>302</v>
      </c>
      <c r="J523" s="36">
        <v>28000</v>
      </c>
      <c r="K523" s="36">
        <v>12600</v>
      </c>
      <c r="L523" s="36">
        <v>8400</v>
      </c>
      <c r="M523" s="36">
        <f t="shared" si="64"/>
        <v>49000</v>
      </c>
      <c r="N523" s="34">
        <f t="shared" si="70"/>
        <v>0.000256889353037271</v>
      </c>
      <c r="O523" s="35">
        <f>SUM($M$2:M523)</f>
        <v>179960200</v>
      </c>
      <c r="P523" s="34">
        <f t="shared" si="71"/>
        <v>0.943466517356284</v>
      </c>
      <c r="Q523" s="39">
        <v>4.2</v>
      </c>
      <c r="R523" s="22">
        <v>10</v>
      </c>
      <c r="S523" s="22">
        <v>3</v>
      </c>
      <c r="T523" s="22">
        <v>1</v>
      </c>
      <c r="U523" s="39">
        <v>41.7</v>
      </c>
      <c r="V523" s="22">
        <v>19</v>
      </c>
      <c r="W523" s="22">
        <v>3</v>
      </c>
      <c r="X523" s="40">
        <v>135</v>
      </c>
      <c r="Y523" s="22">
        <v>3</v>
      </c>
      <c r="Z523" s="22">
        <v>1</v>
      </c>
      <c r="AA523" s="22" t="s">
        <v>315</v>
      </c>
      <c r="AB523" s="22" t="s">
        <v>220</v>
      </c>
      <c r="AC523" s="42">
        <f>IFERROR(LOOKUP(M523,打分卡!$F$7:$J$7,打分卡!$K$7:$O$7),1)</f>
        <v>2</v>
      </c>
      <c r="AD523" s="42">
        <f>IFERROR(LOOKUP(S523,打分卡!$F$8:$J$8,打分卡!$K$8:$O$8),1)</f>
        <v>3</v>
      </c>
      <c r="AE523" s="42">
        <f>IFERROR(LOOKUP(T523,打分卡!$F$9:$I$9,打分卡!$K$9:$N$9),1)</f>
        <v>2</v>
      </c>
      <c r="AF523" s="42">
        <f>IFERROR(LOOKUP(Q523,打分卡!$F$10:$J$10,打分卡!$K$10:$O$10),1)</f>
        <v>2</v>
      </c>
      <c r="AG523" s="42">
        <f>IFERROR(LOOKUP(R523,打分卡!$F$11:$J$11,打分卡!$K$11:$O$11),1)</f>
        <v>4</v>
      </c>
      <c r="AH523" s="42">
        <f>IFERROR(LOOKUP(U523,打分卡!$F$12:$J$12,打分卡!$K$12:$O$12),1)</f>
        <v>4</v>
      </c>
      <c r="AI523" s="42">
        <f>IFERROR(LOOKUP(X523,打分卡!$F$13:$J$13,打分卡!$K$13:$O$13),1)</f>
        <v>4</v>
      </c>
      <c r="AJ523" s="42">
        <f>IFERROR(LOOKUP(Y523,打分卡!$F$14:$J$14,打分卡!$K$14:$O$14),1)</f>
        <v>4</v>
      </c>
      <c r="AK523" s="42">
        <f>IFERROR(LOOKUP(W523,打分卡!$F$15:$J$15,打分卡!$K$15:$O$15),1)</f>
        <v>3</v>
      </c>
      <c r="AL523" s="45">
        <f t="shared" si="65"/>
        <v>2</v>
      </c>
      <c r="AM523" s="42">
        <f>IFERROR(LOOKUP(Z523,打分卡!$F$17:$H$17,打分卡!$K$17:$M$17),1)</f>
        <v>3</v>
      </c>
      <c r="AN523" s="46">
        <f>(打分卡!$D$7*AC523+打分卡!$D$8*AD523+打分卡!$D$9*AE523)/5</f>
        <v>17.6</v>
      </c>
      <c r="AO523" s="46">
        <f>(打分卡!$D$10*AF523+打分卡!$D$11*AG523)/5</f>
        <v>12</v>
      </c>
      <c r="AP523" s="46">
        <f>(打分卡!$D$12*AH523+打分卡!$D$13*AI523+打分卡!$D$14*AJ523+打分卡!$D$15*AK523)/5</f>
        <v>23.2</v>
      </c>
      <c r="AQ523" s="46">
        <f>(打分卡!$D$16*AL523+打分卡!$D$17*AM523)/5</f>
        <v>4.8</v>
      </c>
      <c r="AR523" s="48">
        <f t="shared" si="66"/>
        <v>57.6</v>
      </c>
      <c r="AS523" s="45" t="str">
        <f t="shared" si="67"/>
        <v>腰部</v>
      </c>
      <c r="AT523" s="45" t="str">
        <f t="shared" si="68"/>
        <v/>
      </c>
      <c r="AU523" s="45" t="str">
        <f t="shared" si="69"/>
        <v>拉·主攻：主推AI外呼+大促作战包</v>
      </c>
    </row>
    <row r="524" ht="15" customHeight="1" spans="1:47">
      <c r="A524" s="30" t="s">
        <v>1628</v>
      </c>
      <c r="B524" s="31" t="s">
        <v>1629</v>
      </c>
      <c r="C524" s="31" t="s">
        <v>195</v>
      </c>
      <c r="D524" s="31" t="s">
        <v>235</v>
      </c>
      <c r="E524" s="31" t="s">
        <v>181</v>
      </c>
      <c r="F524" s="30" t="s">
        <v>1630</v>
      </c>
      <c r="G524" s="31">
        <v>16</v>
      </c>
      <c r="H524" s="31" t="s">
        <v>301</v>
      </c>
      <c r="I524" s="31" t="s">
        <v>184</v>
      </c>
      <c r="J524" s="33">
        <v>27400</v>
      </c>
      <c r="K524" s="33">
        <v>11900</v>
      </c>
      <c r="L524" s="33">
        <v>9700</v>
      </c>
      <c r="M524" s="33">
        <f t="shared" si="64"/>
        <v>49000</v>
      </c>
      <c r="N524" s="34">
        <f t="shared" si="70"/>
        <v>0.000256889353037271</v>
      </c>
      <c r="O524" s="35">
        <f>SUM($M$2:M524)</f>
        <v>180009200</v>
      </c>
      <c r="P524" s="34">
        <f t="shared" si="71"/>
        <v>0.943723406709321</v>
      </c>
      <c r="Q524" s="37">
        <v>6.9</v>
      </c>
      <c r="R524" s="31">
        <v>3</v>
      </c>
      <c r="S524" s="31">
        <v>1</v>
      </c>
      <c r="T524" s="31">
        <v>1</v>
      </c>
      <c r="U524" s="37">
        <v>23.2</v>
      </c>
      <c r="V524" s="31">
        <v>18</v>
      </c>
      <c r="W524" s="31">
        <v>3</v>
      </c>
      <c r="X524" s="38">
        <v>40</v>
      </c>
      <c r="Y524" s="31">
        <v>0</v>
      </c>
      <c r="Z524" s="31">
        <v>1</v>
      </c>
      <c r="AA524" s="31" t="s">
        <v>185</v>
      </c>
      <c r="AB524" s="31" t="s">
        <v>220</v>
      </c>
      <c r="AC524" s="41">
        <f>IFERROR(LOOKUP(M524,打分卡!$F$7:$J$7,打分卡!$K$7:$O$7),1)</f>
        <v>2</v>
      </c>
      <c r="AD524" s="41">
        <f>IFERROR(LOOKUP(S524,打分卡!$F$8:$J$8,打分卡!$K$8:$O$8),1)</f>
        <v>1</v>
      </c>
      <c r="AE524" s="41">
        <f>IFERROR(LOOKUP(T524,打分卡!$F$9:$I$9,打分卡!$K$9:$N$9),1)</f>
        <v>2</v>
      </c>
      <c r="AF524" s="41">
        <f>IFERROR(LOOKUP(Q524,打分卡!$F$10:$J$10,打分卡!$K$10:$O$10),1)</f>
        <v>2</v>
      </c>
      <c r="AG524" s="41">
        <f>IFERROR(LOOKUP(R524,打分卡!$F$11:$J$11,打分卡!$K$11:$O$11),1)</f>
        <v>2</v>
      </c>
      <c r="AH524" s="41">
        <f>IFERROR(LOOKUP(U524,打分卡!$F$12:$J$12,打分卡!$K$12:$O$12),1)</f>
        <v>3</v>
      </c>
      <c r="AI524" s="41">
        <f>IFERROR(LOOKUP(X524,打分卡!$F$13:$J$13,打分卡!$K$13:$O$13),1)</f>
        <v>3</v>
      </c>
      <c r="AJ524" s="41">
        <f>IFERROR(LOOKUP(Y524,打分卡!$F$14:$J$14,打分卡!$K$14:$O$14),1)</f>
        <v>1</v>
      </c>
      <c r="AK524" s="41">
        <f>IFERROR(LOOKUP(W524,打分卡!$F$15:$J$15,打分卡!$K$15:$O$15),1)</f>
        <v>3</v>
      </c>
      <c r="AL524" s="43">
        <f t="shared" si="65"/>
        <v>3</v>
      </c>
      <c r="AM524" s="41">
        <f>IFERROR(LOOKUP(Z524,打分卡!$F$17:$H$17,打分卡!$K$17:$M$17),1)</f>
        <v>3</v>
      </c>
      <c r="AN524" s="44">
        <f>(打分卡!$D$7*AC524+打分卡!$D$8*AD524+打分卡!$D$9*AE524)/5</f>
        <v>14.4</v>
      </c>
      <c r="AO524" s="44">
        <f>(打分卡!$D$10*AF524+打分卡!$D$11*AG524)/5</f>
        <v>8</v>
      </c>
      <c r="AP524" s="44">
        <f>(打分卡!$D$12*AH524+打分卡!$D$13*AI524+打分卡!$D$14*AJ524+打分卡!$D$15*AK524)/5</f>
        <v>15.6</v>
      </c>
      <c r="AQ524" s="44">
        <f>(打分卡!$D$16*AL524+打分卡!$D$17*AM524)/5</f>
        <v>6</v>
      </c>
      <c r="AR524" s="47">
        <f t="shared" si="66"/>
        <v>44</v>
      </c>
      <c r="AS524" s="43" t="str">
        <f t="shared" si="67"/>
        <v>腰部</v>
      </c>
      <c r="AT524" s="43" t="str">
        <f t="shared" si="68"/>
        <v/>
      </c>
      <c r="AU524" s="43" t="str">
        <f t="shared" si="69"/>
        <v>拉·主攻：主推AI外呼+大促作战包</v>
      </c>
    </row>
    <row r="525" ht="15" customHeight="1" spans="1:47">
      <c r="A525" s="20" t="s">
        <v>1631</v>
      </c>
      <c r="B525" s="22" t="s">
        <v>1632</v>
      </c>
      <c r="C525" s="22" t="s">
        <v>179</v>
      </c>
      <c r="D525" s="22" t="s">
        <v>190</v>
      </c>
      <c r="E525" s="22" t="s">
        <v>197</v>
      </c>
      <c r="F525" s="20" t="s">
        <v>1633</v>
      </c>
      <c r="G525" s="22">
        <v>8</v>
      </c>
      <c r="H525" s="22" t="s">
        <v>301</v>
      </c>
      <c r="I525" s="22" t="s">
        <v>302</v>
      </c>
      <c r="J525" s="36">
        <v>30300</v>
      </c>
      <c r="K525" s="36">
        <v>12000</v>
      </c>
      <c r="L525" s="36">
        <v>6300</v>
      </c>
      <c r="M525" s="36">
        <f t="shared" si="64"/>
        <v>48600</v>
      </c>
      <c r="N525" s="34">
        <f t="shared" si="70"/>
        <v>0.00025479229709411</v>
      </c>
      <c r="O525" s="35">
        <f>SUM($M$2:M525)</f>
        <v>180057800</v>
      </c>
      <c r="P525" s="34">
        <f t="shared" si="71"/>
        <v>0.943978199006415</v>
      </c>
      <c r="Q525" s="39">
        <v>6.8</v>
      </c>
      <c r="R525" s="22">
        <v>1</v>
      </c>
      <c r="S525" s="22">
        <v>2</v>
      </c>
      <c r="T525" s="22">
        <v>0</v>
      </c>
      <c r="U525" s="39">
        <v>1.6</v>
      </c>
      <c r="V525" s="22">
        <v>10</v>
      </c>
      <c r="W525" s="22">
        <v>4</v>
      </c>
      <c r="X525" s="40">
        <v>63</v>
      </c>
      <c r="Y525" s="22">
        <v>1</v>
      </c>
      <c r="Z525" s="22">
        <v>1</v>
      </c>
      <c r="AA525" s="22" t="s">
        <v>199</v>
      </c>
      <c r="AB525" s="22" t="s">
        <v>220</v>
      </c>
      <c r="AC525" s="42">
        <f>IFERROR(LOOKUP(M525,打分卡!$F$7:$J$7,打分卡!$K$7:$O$7),1)</f>
        <v>2</v>
      </c>
      <c r="AD525" s="42">
        <f>IFERROR(LOOKUP(S525,打分卡!$F$8:$J$8,打分卡!$K$8:$O$8),1)</f>
        <v>2</v>
      </c>
      <c r="AE525" s="42">
        <f>IFERROR(LOOKUP(T525,打分卡!$F$9:$I$9,打分卡!$K$9:$N$9),1)</f>
        <v>1</v>
      </c>
      <c r="AF525" s="42">
        <f>IFERROR(LOOKUP(Q525,打分卡!$F$10:$J$10,打分卡!$K$10:$O$10),1)</f>
        <v>2</v>
      </c>
      <c r="AG525" s="42">
        <f>IFERROR(LOOKUP(R525,打分卡!$F$11:$J$11,打分卡!$K$11:$O$11),1)</f>
        <v>1</v>
      </c>
      <c r="AH525" s="42">
        <f>IFERROR(LOOKUP(U525,打分卡!$F$12:$J$12,打分卡!$K$12:$O$12),1)</f>
        <v>1</v>
      </c>
      <c r="AI525" s="42">
        <f>IFERROR(LOOKUP(X525,打分卡!$F$13:$J$13,打分卡!$K$13:$O$13),1)</f>
        <v>3</v>
      </c>
      <c r="AJ525" s="42">
        <f>IFERROR(LOOKUP(Y525,打分卡!$F$14:$J$14,打分卡!$K$14:$O$14),1)</f>
        <v>2</v>
      </c>
      <c r="AK525" s="42">
        <f>IFERROR(LOOKUP(W525,打分卡!$F$15:$J$15,打分卡!$K$15:$O$15),1)</f>
        <v>3</v>
      </c>
      <c r="AL525" s="45">
        <f t="shared" si="65"/>
        <v>5</v>
      </c>
      <c r="AM525" s="42">
        <f>IFERROR(LOOKUP(Z525,打分卡!$F$17:$H$17,打分卡!$K$17:$M$17),1)</f>
        <v>3</v>
      </c>
      <c r="AN525" s="46">
        <f>(打分卡!$D$7*AC525+打分卡!$D$8*AD525+打分卡!$D$9*AE525)/5</f>
        <v>14.6</v>
      </c>
      <c r="AO525" s="46">
        <f>(打分卡!$D$10*AF525+打分卡!$D$11*AG525)/5</f>
        <v>6</v>
      </c>
      <c r="AP525" s="46">
        <f>(打分卡!$D$12*AH525+打分卡!$D$13*AI525+打分卡!$D$14*AJ525+打分卡!$D$15*AK525)/5</f>
        <v>12</v>
      </c>
      <c r="AQ525" s="46">
        <f>(打分卡!$D$16*AL525+打分卡!$D$17*AM525)/5</f>
        <v>8.4</v>
      </c>
      <c r="AR525" s="48">
        <f t="shared" si="66"/>
        <v>41</v>
      </c>
      <c r="AS525" s="45" t="str">
        <f t="shared" si="67"/>
        <v>腰部</v>
      </c>
      <c r="AT525" s="45" t="str">
        <f t="shared" si="68"/>
        <v/>
      </c>
      <c r="AU525" s="45" t="str">
        <f t="shared" si="69"/>
        <v>拉·主攻：主推AI外呼+大促作战包</v>
      </c>
    </row>
    <row r="526" ht="15" customHeight="1" spans="1:47">
      <c r="A526" s="30" t="s">
        <v>1634</v>
      </c>
      <c r="B526" s="31" t="s">
        <v>1635</v>
      </c>
      <c r="C526" s="31" t="s">
        <v>223</v>
      </c>
      <c r="D526" s="31" t="s">
        <v>227</v>
      </c>
      <c r="E526" s="31" t="s">
        <v>197</v>
      </c>
      <c r="F526" s="30" t="s">
        <v>1636</v>
      </c>
      <c r="G526" s="31">
        <v>17</v>
      </c>
      <c r="H526" s="31" t="s">
        <v>301</v>
      </c>
      <c r="I526" s="31" t="s">
        <v>302</v>
      </c>
      <c r="J526" s="33">
        <v>22500</v>
      </c>
      <c r="K526" s="33">
        <v>14600</v>
      </c>
      <c r="L526" s="33">
        <v>11300</v>
      </c>
      <c r="M526" s="33">
        <f t="shared" si="64"/>
        <v>48400</v>
      </c>
      <c r="N526" s="34">
        <f t="shared" si="70"/>
        <v>0.000253743769122529</v>
      </c>
      <c r="O526" s="35">
        <f>SUM($M$2:M526)</f>
        <v>180106200</v>
      </c>
      <c r="P526" s="34">
        <f t="shared" si="71"/>
        <v>0.944231942775537</v>
      </c>
      <c r="Q526" s="37">
        <v>3.7</v>
      </c>
      <c r="R526" s="31">
        <v>8</v>
      </c>
      <c r="S526" s="31">
        <v>3</v>
      </c>
      <c r="T526" s="31">
        <v>1</v>
      </c>
      <c r="U526" s="37">
        <v>43</v>
      </c>
      <c r="V526" s="31">
        <v>24</v>
      </c>
      <c r="W526" s="31">
        <v>2</v>
      </c>
      <c r="X526" s="38">
        <v>113</v>
      </c>
      <c r="Y526" s="31">
        <v>1</v>
      </c>
      <c r="Z526" s="31">
        <v>0</v>
      </c>
      <c r="AA526" s="31" t="s">
        <v>315</v>
      </c>
      <c r="AB526" s="31" t="s">
        <v>220</v>
      </c>
      <c r="AC526" s="41">
        <f>IFERROR(LOOKUP(M526,打分卡!$F$7:$J$7,打分卡!$K$7:$O$7),1)</f>
        <v>2</v>
      </c>
      <c r="AD526" s="41">
        <f>IFERROR(LOOKUP(S526,打分卡!$F$8:$J$8,打分卡!$K$8:$O$8),1)</f>
        <v>3</v>
      </c>
      <c r="AE526" s="41">
        <f>IFERROR(LOOKUP(T526,打分卡!$F$9:$I$9,打分卡!$K$9:$N$9),1)</f>
        <v>2</v>
      </c>
      <c r="AF526" s="41">
        <f>IFERROR(LOOKUP(Q526,打分卡!$F$10:$J$10,打分卡!$K$10:$O$10),1)</f>
        <v>2</v>
      </c>
      <c r="AG526" s="41">
        <f>IFERROR(LOOKUP(R526,打分卡!$F$11:$J$11,打分卡!$K$11:$O$11),1)</f>
        <v>3</v>
      </c>
      <c r="AH526" s="41">
        <f>IFERROR(LOOKUP(U526,打分卡!$F$12:$J$12,打分卡!$K$12:$O$12),1)</f>
        <v>4</v>
      </c>
      <c r="AI526" s="41">
        <f>IFERROR(LOOKUP(X526,打分卡!$F$13:$J$13,打分卡!$K$13:$O$13),1)</f>
        <v>4</v>
      </c>
      <c r="AJ526" s="41">
        <f>IFERROR(LOOKUP(Y526,打分卡!$F$14:$J$14,打分卡!$K$14:$O$14),1)</f>
        <v>2</v>
      </c>
      <c r="AK526" s="41">
        <f>IFERROR(LOOKUP(W526,打分卡!$F$15:$J$15,打分卡!$K$15:$O$15),1)</f>
        <v>2</v>
      </c>
      <c r="AL526" s="43">
        <f t="shared" si="65"/>
        <v>2</v>
      </c>
      <c r="AM526" s="41">
        <f>IFERROR(LOOKUP(Z526,打分卡!$F$17:$H$17,打分卡!$K$17:$M$17),1)</f>
        <v>1</v>
      </c>
      <c r="AN526" s="44">
        <f>(打分卡!$D$7*AC526+打分卡!$D$8*AD526+打分卡!$D$9*AE526)/5</f>
        <v>17.6</v>
      </c>
      <c r="AO526" s="44">
        <f>(打分卡!$D$10*AF526+打分卡!$D$11*AG526)/5</f>
        <v>10</v>
      </c>
      <c r="AP526" s="44">
        <f>(打分卡!$D$12*AH526+打分卡!$D$13*AI526+打分卡!$D$14*AJ526+打分卡!$D$15*AK526)/5</f>
        <v>20</v>
      </c>
      <c r="AQ526" s="44">
        <f>(打分卡!$D$16*AL526+打分卡!$D$17*AM526)/5</f>
        <v>3.2</v>
      </c>
      <c r="AR526" s="47">
        <f t="shared" si="66"/>
        <v>50.8</v>
      </c>
      <c r="AS526" s="43" t="str">
        <f t="shared" si="67"/>
        <v>腰部</v>
      </c>
      <c r="AT526" s="43" t="str">
        <f t="shared" si="68"/>
        <v/>
      </c>
      <c r="AU526" s="43" t="str">
        <f t="shared" si="69"/>
        <v>拉·主攻：主推AI外呼+大促作战包</v>
      </c>
    </row>
    <row r="527" ht="15" customHeight="1" spans="1:47">
      <c r="A527" s="20" t="s">
        <v>1637</v>
      </c>
      <c r="B527" s="22" t="s">
        <v>1638</v>
      </c>
      <c r="C527" s="22" t="s">
        <v>179</v>
      </c>
      <c r="D527" s="22" t="s">
        <v>235</v>
      </c>
      <c r="E527" s="22" t="s">
        <v>181</v>
      </c>
      <c r="F527" s="20" t="s">
        <v>1229</v>
      </c>
      <c r="G527" s="22">
        <v>11</v>
      </c>
      <c r="H527" s="22" t="s">
        <v>301</v>
      </c>
      <c r="I527" s="22" t="s">
        <v>184</v>
      </c>
      <c r="J527" s="36">
        <v>30500</v>
      </c>
      <c r="K527" s="36">
        <v>15000</v>
      </c>
      <c r="L527" s="36">
        <v>2800</v>
      </c>
      <c r="M527" s="36">
        <f t="shared" si="64"/>
        <v>48300</v>
      </c>
      <c r="N527" s="34">
        <f t="shared" si="70"/>
        <v>0.000253219505136739</v>
      </c>
      <c r="O527" s="35">
        <f>SUM($M$2:M527)</f>
        <v>180154500</v>
      </c>
      <c r="P527" s="34">
        <f t="shared" si="71"/>
        <v>0.944485162280674</v>
      </c>
      <c r="Q527" s="39">
        <v>6</v>
      </c>
      <c r="R527" s="22">
        <v>6</v>
      </c>
      <c r="S527" s="22">
        <v>1</v>
      </c>
      <c r="T527" s="22">
        <v>0</v>
      </c>
      <c r="U527" s="39">
        <v>3.6</v>
      </c>
      <c r="V527" s="22">
        <v>17</v>
      </c>
      <c r="W527" s="22">
        <v>4</v>
      </c>
      <c r="X527" s="40">
        <v>10</v>
      </c>
      <c r="Y527" s="22">
        <v>0</v>
      </c>
      <c r="Z527" s="22">
        <v>1</v>
      </c>
      <c r="AA527" s="22" t="s">
        <v>185</v>
      </c>
      <c r="AB527" s="22" t="s">
        <v>220</v>
      </c>
      <c r="AC527" s="42">
        <f>IFERROR(LOOKUP(M527,打分卡!$F$7:$J$7,打分卡!$K$7:$O$7),1)</f>
        <v>2</v>
      </c>
      <c r="AD527" s="42">
        <f>IFERROR(LOOKUP(S527,打分卡!$F$8:$J$8,打分卡!$K$8:$O$8),1)</f>
        <v>1</v>
      </c>
      <c r="AE527" s="42">
        <f>IFERROR(LOOKUP(T527,打分卡!$F$9:$I$9,打分卡!$K$9:$N$9),1)</f>
        <v>1</v>
      </c>
      <c r="AF527" s="42">
        <f>IFERROR(LOOKUP(Q527,打分卡!$F$10:$J$10,打分卡!$K$10:$O$10),1)</f>
        <v>2</v>
      </c>
      <c r="AG527" s="42">
        <f>IFERROR(LOOKUP(R527,打分卡!$F$11:$J$11,打分卡!$K$11:$O$11),1)</f>
        <v>3</v>
      </c>
      <c r="AH527" s="42">
        <f>IFERROR(LOOKUP(U527,打分卡!$F$12:$J$12,打分卡!$K$12:$O$12),1)</f>
        <v>2</v>
      </c>
      <c r="AI527" s="42">
        <f>IFERROR(LOOKUP(X527,打分卡!$F$13:$J$13,打分卡!$K$13:$O$13),1)</f>
        <v>1</v>
      </c>
      <c r="AJ527" s="42">
        <f>IFERROR(LOOKUP(Y527,打分卡!$F$14:$J$14,打分卡!$K$14:$O$14),1)</f>
        <v>1</v>
      </c>
      <c r="AK527" s="42">
        <f>IFERROR(LOOKUP(W527,打分卡!$F$15:$J$15,打分卡!$K$15:$O$15),1)</f>
        <v>3</v>
      </c>
      <c r="AL527" s="45">
        <f t="shared" si="65"/>
        <v>3</v>
      </c>
      <c r="AM527" s="42">
        <f>IFERROR(LOOKUP(Z527,打分卡!$F$17:$H$17,打分卡!$K$17:$M$17),1)</f>
        <v>3</v>
      </c>
      <c r="AN527" s="46">
        <f>(打分卡!$D$7*AC527+打分卡!$D$8*AD527+打分卡!$D$9*AE527)/5</f>
        <v>13</v>
      </c>
      <c r="AO527" s="46">
        <f>(打分卡!$D$10*AF527+打分卡!$D$11*AG527)/5</f>
        <v>10</v>
      </c>
      <c r="AP527" s="46">
        <f>(打分卡!$D$12*AH527+打分卡!$D$13*AI527+打分卡!$D$14*AJ527+打分卡!$D$15*AK527)/5</f>
        <v>10</v>
      </c>
      <c r="AQ527" s="46">
        <f>(打分卡!$D$16*AL527+打分卡!$D$17*AM527)/5</f>
        <v>6</v>
      </c>
      <c r="AR527" s="48">
        <f t="shared" si="66"/>
        <v>39</v>
      </c>
      <c r="AS527" s="45" t="str">
        <f t="shared" si="67"/>
        <v>基础长尾</v>
      </c>
      <c r="AT527" s="45" t="str">
        <f t="shared" si="68"/>
        <v/>
      </c>
      <c r="AU527" s="45" t="str">
        <f t="shared" si="69"/>
        <v>激活：企微+Push低成本先跑</v>
      </c>
    </row>
    <row r="528" ht="15" customHeight="1" spans="1:47">
      <c r="A528" s="30" t="s">
        <v>1639</v>
      </c>
      <c r="B528" s="31" t="s">
        <v>1640</v>
      </c>
      <c r="C528" s="31" t="s">
        <v>189</v>
      </c>
      <c r="D528" s="31" t="s">
        <v>227</v>
      </c>
      <c r="E528" s="31" t="s">
        <v>197</v>
      </c>
      <c r="F528" s="30" t="s">
        <v>1641</v>
      </c>
      <c r="G528" s="31">
        <v>10</v>
      </c>
      <c r="H528" s="31" t="s">
        <v>301</v>
      </c>
      <c r="I528" s="31" t="s">
        <v>184</v>
      </c>
      <c r="J528" s="33">
        <v>28700</v>
      </c>
      <c r="K528" s="33">
        <v>16700</v>
      </c>
      <c r="L528" s="33">
        <v>2800</v>
      </c>
      <c r="M528" s="33">
        <f t="shared" si="64"/>
        <v>48200</v>
      </c>
      <c r="N528" s="34">
        <f t="shared" si="70"/>
        <v>0.000252695241150948</v>
      </c>
      <c r="O528" s="35">
        <f>SUM($M$2:M528)</f>
        <v>180202700</v>
      </c>
      <c r="P528" s="34">
        <f t="shared" si="71"/>
        <v>0.944737857521825</v>
      </c>
      <c r="Q528" s="37">
        <v>6.5</v>
      </c>
      <c r="R528" s="31">
        <v>3</v>
      </c>
      <c r="S528" s="31">
        <v>1</v>
      </c>
      <c r="T528" s="31">
        <v>2</v>
      </c>
      <c r="U528" s="37">
        <v>1</v>
      </c>
      <c r="V528" s="31">
        <v>10</v>
      </c>
      <c r="W528" s="31">
        <v>0</v>
      </c>
      <c r="X528" s="38">
        <v>66</v>
      </c>
      <c r="Y528" s="31">
        <v>1</v>
      </c>
      <c r="Z528" s="31">
        <v>1</v>
      </c>
      <c r="AA528" s="31" t="s">
        <v>185</v>
      </c>
      <c r="AB528" s="31" t="s">
        <v>220</v>
      </c>
      <c r="AC528" s="41">
        <f>IFERROR(LOOKUP(M528,打分卡!$F$7:$J$7,打分卡!$K$7:$O$7),1)</f>
        <v>2</v>
      </c>
      <c r="AD528" s="41">
        <f>IFERROR(LOOKUP(S528,打分卡!$F$8:$J$8,打分卡!$K$8:$O$8),1)</f>
        <v>1</v>
      </c>
      <c r="AE528" s="41">
        <f>IFERROR(LOOKUP(T528,打分卡!$F$9:$I$9,打分卡!$K$9:$N$9),1)</f>
        <v>3</v>
      </c>
      <c r="AF528" s="41">
        <f>IFERROR(LOOKUP(Q528,打分卡!$F$10:$J$10,打分卡!$K$10:$O$10),1)</f>
        <v>2</v>
      </c>
      <c r="AG528" s="41">
        <f>IFERROR(LOOKUP(R528,打分卡!$F$11:$J$11,打分卡!$K$11:$O$11),1)</f>
        <v>2</v>
      </c>
      <c r="AH528" s="41">
        <f>IFERROR(LOOKUP(U528,打分卡!$F$12:$J$12,打分卡!$K$12:$O$12),1)</f>
        <v>1</v>
      </c>
      <c r="AI528" s="41">
        <f>IFERROR(LOOKUP(X528,打分卡!$F$13:$J$13,打分卡!$K$13:$O$13),1)</f>
        <v>3</v>
      </c>
      <c r="AJ528" s="41">
        <f>IFERROR(LOOKUP(Y528,打分卡!$F$14:$J$14,打分卡!$K$14:$O$14),1)</f>
        <v>2</v>
      </c>
      <c r="AK528" s="41">
        <f>IFERROR(LOOKUP(W528,打分卡!$F$15:$J$15,打分卡!$K$15:$O$15),1)</f>
        <v>1</v>
      </c>
      <c r="AL528" s="43">
        <f t="shared" si="65"/>
        <v>3</v>
      </c>
      <c r="AM528" s="41">
        <f>IFERROR(LOOKUP(Z528,打分卡!$F$17:$H$17,打分卡!$K$17:$M$17),1)</f>
        <v>3</v>
      </c>
      <c r="AN528" s="44">
        <f>(打分卡!$D$7*AC528+打分卡!$D$8*AD528+打分卡!$D$9*AE528)/5</f>
        <v>15.8</v>
      </c>
      <c r="AO528" s="44">
        <f>(打分卡!$D$10*AF528+打分卡!$D$11*AG528)/5</f>
        <v>8</v>
      </c>
      <c r="AP528" s="44">
        <f>(打分卡!$D$12*AH528+打分卡!$D$13*AI528+打分卡!$D$14*AJ528+打分卡!$D$15*AK528)/5</f>
        <v>10.4</v>
      </c>
      <c r="AQ528" s="44">
        <f>(打分卡!$D$16*AL528+打分卡!$D$17*AM528)/5</f>
        <v>6</v>
      </c>
      <c r="AR528" s="47">
        <f t="shared" si="66"/>
        <v>40.2</v>
      </c>
      <c r="AS528" s="43" t="str">
        <f t="shared" si="67"/>
        <v>腰部</v>
      </c>
      <c r="AT528" s="43" t="str">
        <f t="shared" si="68"/>
        <v/>
      </c>
      <c r="AU528" s="43" t="str">
        <f t="shared" si="69"/>
        <v>拉·主攻：主推AI外呼+大促作战包</v>
      </c>
    </row>
    <row r="529" ht="15" customHeight="1" spans="1:47">
      <c r="A529" s="20" t="s">
        <v>1642</v>
      </c>
      <c r="B529" s="22" t="s">
        <v>1643</v>
      </c>
      <c r="C529" s="22" t="s">
        <v>189</v>
      </c>
      <c r="D529" s="22" t="s">
        <v>227</v>
      </c>
      <c r="E529" s="22" t="s">
        <v>181</v>
      </c>
      <c r="F529" s="20" t="s">
        <v>1644</v>
      </c>
      <c r="G529" s="22">
        <v>23</v>
      </c>
      <c r="H529" s="22" t="s">
        <v>301</v>
      </c>
      <c r="I529" s="22" t="s">
        <v>184</v>
      </c>
      <c r="J529" s="36">
        <v>28600</v>
      </c>
      <c r="K529" s="36">
        <v>16800</v>
      </c>
      <c r="L529" s="36">
        <v>2400</v>
      </c>
      <c r="M529" s="36">
        <f t="shared" si="64"/>
        <v>47800</v>
      </c>
      <c r="N529" s="34">
        <f t="shared" si="70"/>
        <v>0.000250598185207787</v>
      </c>
      <c r="O529" s="35">
        <f>SUM($M$2:M529)</f>
        <v>180250500</v>
      </c>
      <c r="P529" s="34">
        <f t="shared" si="71"/>
        <v>0.944988455707033</v>
      </c>
      <c r="Q529" s="39">
        <v>5.1</v>
      </c>
      <c r="R529" s="22">
        <v>4</v>
      </c>
      <c r="S529" s="22">
        <v>3</v>
      </c>
      <c r="T529" s="22">
        <v>1</v>
      </c>
      <c r="U529" s="39">
        <v>23.9</v>
      </c>
      <c r="V529" s="22">
        <v>18</v>
      </c>
      <c r="W529" s="22">
        <v>1</v>
      </c>
      <c r="X529" s="40">
        <v>68</v>
      </c>
      <c r="Y529" s="22">
        <v>3</v>
      </c>
      <c r="Z529" s="22">
        <v>0</v>
      </c>
      <c r="AA529" s="22" t="s">
        <v>199</v>
      </c>
      <c r="AB529" s="22" t="s">
        <v>220</v>
      </c>
      <c r="AC529" s="42">
        <f>IFERROR(LOOKUP(M529,打分卡!$F$7:$J$7,打分卡!$K$7:$O$7),1)</f>
        <v>2</v>
      </c>
      <c r="AD529" s="42">
        <f>IFERROR(LOOKUP(S529,打分卡!$F$8:$J$8,打分卡!$K$8:$O$8),1)</f>
        <v>3</v>
      </c>
      <c r="AE529" s="42">
        <f>IFERROR(LOOKUP(T529,打分卡!$F$9:$I$9,打分卡!$K$9:$N$9),1)</f>
        <v>2</v>
      </c>
      <c r="AF529" s="42">
        <f>IFERROR(LOOKUP(Q529,打分卡!$F$10:$J$10,打分卡!$K$10:$O$10),1)</f>
        <v>2</v>
      </c>
      <c r="AG529" s="42">
        <f>IFERROR(LOOKUP(R529,打分卡!$F$11:$J$11,打分卡!$K$11:$O$11),1)</f>
        <v>2</v>
      </c>
      <c r="AH529" s="42">
        <f>IFERROR(LOOKUP(U529,打分卡!$F$12:$J$12,打分卡!$K$12:$O$12),1)</f>
        <v>3</v>
      </c>
      <c r="AI529" s="42">
        <f>IFERROR(LOOKUP(X529,打分卡!$F$13:$J$13,打分卡!$K$13:$O$13),1)</f>
        <v>3</v>
      </c>
      <c r="AJ529" s="42">
        <f>IFERROR(LOOKUP(Y529,打分卡!$F$14:$J$14,打分卡!$K$14:$O$14),1)</f>
        <v>4</v>
      </c>
      <c r="AK529" s="42">
        <f>IFERROR(LOOKUP(W529,打分卡!$F$15:$J$15,打分卡!$K$15:$O$15),1)</f>
        <v>2</v>
      </c>
      <c r="AL529" s="45">
        <f t="shared" si="65"/>
        <v>5</v>
      </c>
      <c r="AM529" s="42">
        <f>IFERROR(LOOKUP(Z529,打分卡!$F$17:$H$17,打分卡!$K$17:$M$17),1)</f>
        <v>1</v>
      </c>
      <c r="AN529" s="46">
        <f>(打分卡!$D$7*AC529+打分卡!$D$8*AD529+打分卡!$D$9*AE529)/5</f>
        <v>17.6</v>
      </c>
      <c r="AO529" s="46">
        <f>(打分卡!$D$10*AF529+打分卡!$D$11*AG529)/5</f>
        <v>8</v>
      </c>
      <c r="AP529" s="46">
        <f>(打分卡!$D$12*AH529+打分卡!$D$13*AI529+打分卡!$D$14*AJ529+打分卡!$D$15*AK529)/5</f>
        <v>18.4</v>
      </c>
      <c r="AQ529" s="46">
        <f>(打分卡!$D$16*AL529+打分卡!$D$17*AM529)/5</f>
        <v>6.8</v>
      </c>
      <c r="AR529" s="48">
        <f t="shared" si="66"/>
        <v>50.8</v>
      </c>
      <c r="AS529" s="45" t="str">
        <f t="shared" si="67"/>
        <v>腰部</v>
      </c>
      <c r="AT529" s="45" t="str">
        <f t="shared" si="68"/>
        <v/>
      </c>
      <c r="AU529" s="45" t="str">
        <f t="shared" si="69"/>
        <v>拉·主攻：主推AI外呼+大促作战包</v>
      </c>
    </row>
    <row r="530" ht="15" customHeight="1" spans="1:47">
      <c r="A530" s="30" t="s">
        <v>1645</v>
      </c>
      <c r="B530" s="31" t="s">
        <v>1646</v>
      </c>
      <c r="C530" s="31" t="s">
        <v>239</v>
      </c>
      <c r="D530" s="31" t="s">
        <v>202</v>
      </c>
      <c r="E530" s="31" t="s">
        <v>181</v>
      </c>
      <c r="F530" s="30" t="s">
        <v>1647</v>
      </c>
      <c r="G530" s="31">
        <v>3</v>
      </c>
      <c r="H530" s="31" t="s">
        <v>301</v>
      </c>
      <c r="I530" s="31" t="s">
        <v>302</v>
      </c>
      <c r="J530" s="33">
        <v>30100</v>
      </c>
      <c r="K530" s="33">
        <v>14700</v>
      </c>
      <c r="L530" s="33">
        <v>2400</v>
      </c>
      <c r="M530" s="33">
        <f t="shared" si="64"/>
        <v>47200</v>
      </c>
      <c r="N530" s="34">
        <f t="shared" si="70"/>
        <v>0.000247452601293045</v>
      </c>
      <c r="O530" s="35">
        <f>SUM($M$2:M530)</f>
        <v>180297700</v>
      </c>
      <c r="P530" s="34">
        <f t="shared" si="71"/>
        <v>0.945235908308326</v>
      </c>
      <c r="Q530" s="37">
        <v>5.1</v>
      </c>
      <c r="R530" s="31">
        <v>3</v>
      </c>
      <c r="S530" s="31">
        <v>1</v>
      </c>
      <c r="T530" s="31">
        <v>0</v>
      </c>
      <c r="U530" s="37">
        <v>7.6</v>
      </c>
      <c r="V530" s="31">
        <v>15</v>
      </c>
      <c r="W530" s="31">
        <v>1</v>
      </c>
      <c r="X530" s="38">
        <v>19</v>
      </c>
      <c r="Y530" s="31">
        <v>3</v>
      </c>
      <c r="Z530" s="31">
        <v>1</v>
      </c>
      <c r="AA530" s="31" t="s">
        <v>199</v>
      </c>
      <c r="AB530" s="31" t="s">
        <v>220</v>
      </c>
      <c r="AC530" s="41">
        <f>IFERROR(LOOKUP(M530,打分卡!$F$7:$J$7,打分卡!$K$7:$O$7),1)</f>
        <v>2</v>
      </c>
      <c r="AD530" s="41">
        <f>IFERROR(LOOKUP(S530,打分卡!$F$8:$J$8,打分卡!$K$8:$O$8),1)</f>
        <v>1</v>
      </c>
      <c r="AE530" s="41">
        <f>IFERROR(LOOKUP(T530,打分卡!$F$9:$I$9,打分卡!$K$9:$N$9),1)</f>
        <v>1</v>
      </c>
      <c r="AF530" s="41">
        <f>IFERROR(LOOKUP(Q530,打分卡!$F$10:$J$10,打分卡!$K$10:$O$10),1)</f>
        <v>2</v>
      </c>
      <c r="AG530" s="41">
        <f>IFERROR(LOOKUP(R530,打分卡!$F$11:$J$11,打分卡!$K$11:$O$11),1)</f>
        <v>2</v>
      </c>
      <c r="AH530" s="41">
        <f>IFERROR(LOOKUP(U530,打分卡!$F$12:$J$12,打分卡!$K$12:$O$12),1)</f>
        <v>2</v>
      </c>
      <c r="AI530" s="41">
        <f>IFERROR(LOOKUP(X530,打分卡!$F$13:$J$13,打分卡!$K$13:$O$13),1)</f>
        <v>2</v>
      </c>
      <c r="AJ530" s="41">
        <f>IFERROR(LOOKUP(Y530,打分卡!$F$14:$J$14,打分卡!$K$14:$O$14),1)</f>
        <v>4</v>
      </c>
      <c r="AK530" s="41">
        <f>IFERROR(LOOKUP(W530,打分卡!$F$15:$J$15,打分卡!$K$15:$O$15),1)</f>
        <v>2</v>
      </c>
      <c r="AL530" s="43">
        <f t="shared" si="65"/>
        <v>5</v>
      </c>
      <c r="AM530" s="41">
        <f>IFERROR(LOOKUP(Z530,打分卡!$F$17:$H$17,打分卡!$K$17:$M$17),1)</f>
        <v>3</v>
      </c>
      <c r="AN530" s="44">
        <f>(打分卡!$D$7*AC530+打分卡!$D$8*AD530+打分卡!$D$9*AE530)/5</f>
        <v>13</v>
      </c>
      <c r="AO530" s="44">
        <f>(打分卡!$D$10*AF530+打分卡!$D$11*AG530)/5</f>
        <v>8</v>
      </c>
      <c r="AP530" s="44">
        <f>(打分卡!$D$12*AH530+打分卡!$D$13*AI530+打分卡!$D$14*AJ530+打分卡!$D$15*AK530)/5</f>
        <v>14.4</v>
      </c>
      <c r="AQ530" s="44">
        <f>(打分卡!$D$16*AL530+打分卡!$D$17*AM530)/5</f>
        <v>8.4</v>
      </c>
      <c r="AR530" s="47">
        <f t="shared" si="66"/>
        <v>43.8</v>
      </c>
      <c r="AS530" s="43" t="str">
        <f t="shared" si="67"/>
        <v>腰部</v>
      </c>
      <c r="AT530" s="43" t="str">
        <f t="shared" si="68"/>
        <v/>
      </c>
      <c r="AU530" s="43" t="str">
        <f t="shared" si="69"/>
        <v>拉·主攻：主推AI外呼+大促作战包</v>
      </c>
    </row>
    <row r="531" ht="15" customHeight="1" spans="1:47">
      <c r="A531" s="20" t="s">
        <v>1648</v>
      </c>
      <c r="B531" s="22" t="s">
        <v>1649</v>
      </c>
      <c r="C531" s="22" t="s">
        <v>223</v>
      </c>
      <c r="D531" s="22" t="s">
        <v>252</v>
      </c>
      <c r="E531" s="22" t="s">
        <v>181</v>
      </c>
      <c r="F531" s="20" t="s">
        <v>796</v>
      </c>
      <c r="G531" s="22">
        <v>17</v>
      </c>
      <c r="H531" s="22" t="s">
        <v>183</v>
      </c>
      <c r="I531" s="22" t="s">
        <v>184</v>
      </c>
      <c r="J531" s="36">
        <v>25500</v>
      </c>
      <c r="K531" s="36">
        <v>14100</v>
      </c>
      <c r="L531" s="36">
        <v>7100</v>
      </c>
      <c r="M531" s="36">
        <f t="shared" si="64"/>
        <v>46700</v>
      </c>
      <c r="N531" s="34">
        <f t="shared" si="70"/>
        <v>0.000244831281364093</v>
      </c>
      <c r="O531" s="35">
        <f>SUM($M$2:M531)</f>
        <v>180344400</v>
      </c>
      <c r="P531" s="34">
        <f t="shared" si="71"/>
        <v>0.94548073958969</v>
      </c>
      <c r="Q531" s="39">
        <v>6.8</v>
      </c>
      <c r="R531" s="22">
        <v>4</v>
      </c>
      <c r="S531" s="22">
        <v>2</v>
      </c>
      <c r="T531" s="22">
        <v>2</v>
      </c>
      <c r="U531" s="39">
        <v>1.1</v>
      </c>
      <c r="V531" s="22">
        <v>7</v>
      </c>
      <c r="W531" s="22">
        <v>3</v>
      </c>
      <c r="X531" s="40">
        <v>58</v>
      </c>
      <c r="Y531" s="22">
        <v>1</v>
      </c>
      <c r="Z531" s="22">
        <v>0</v>
      </c>
      <c r="AA531" s="22" t="s">
        <v>199</v>
      </c>
      <c r="AB531" s="22" t="s">
        <v>220</v>
      </c>
      <c r="AC531" s="42">
        <f>IFERROR(LOOKUP(M531,打分卡!$F$7:$J$7,打分卡!$K$7:$O$7),1)</f>
        <v>2</v>
      </c>
      <c r="AD531" s="42">
        <f>IFERROR(LOOKUP(S531,打分卡!$F$8:$J$8,打分卡!$K$8:$O$8),1)</f>
        <v>2</v>
      </c>
      <c r="AE531" s="42">
        <f>IFERROR(LOOKUP(T531,打分卡!$F$9:$I$9,打分卡!$K$9:$N$9),1)</f>
        <v>3</v>
      </c>
      <c r="AF531" s="42">
        <f>IFERROR(LOOKUP(Q531,打分卡!$F$10:$J$10,打分卡!$K$10:$O$10),1)</f>
        <v>2</v>
      </c>
      <c r="AG531" s="42">
        <f>IFERROR(LOOKUP(R531,打分卡!$F$11:$J$11,打分卡!$K$11:$O$11),1)</f>
        <v>2</v>
      </c>
      <c r="AH531" s="42">
        <f>IFERROR(LOOKUP(U531,打分卡!$F$12:$J$12,打分卡!$K$12:$O$12),1)</f>
        <v>1</v>
      </c>
      <c r="AI531" s="42">
        <f>IFERROR(LOOKUP(X531,打分卡!$F$13:$J$13,打分卡!$K$13:$O$13),1)</f>
        <v>3</v>
      </c>
      <c r="AJ531" s="42">
        <f>IFERROR(LOOKUP(Y531,打分卡!$F$14:$J$14,打分卡!$K$14:$O$14),1)</f>
        <v>2</v>
      </c>
      <c r="AK531" s="42">
        <f>IFERROR(LOOKUP(W531,打分卡!$F$15:$J$15,打分卡!$K$15:$O$15),1)</f>
        <v>3</v>
      </c>
      <c r="AL531" s="45">
        <f t="shared" si="65"/>
        <v>5</v>
      </c>
      <c r="AM531" s="42">
        <f>IFERROR(LOOKUP(Z531,打分卡!$F$17:$H$17,打分卡!$K$17:$M$17),1)</f>
        <v>1</v>
      </c>
      <c r="AN531" s="46">
        <f>(打分卡!$D$7*AC531+打分卡!$D$8*AD531+打分卡!$D$9*AE531)/5</f>
        <v>17.4</v>
      </c>
      <c r="AO531" s="46">
        <f>(打分卡!$D$10*AF531+打分卡!$D$11*AG531)/5</f>
        <v>8</v>
      </c>
      <c r="AP531" s="46">
        <f>(打分卡!$D$12*AH531+打分卡!$D$13*AI531+打分卡!$D$14*AJ531+打分卡!$D$15*AK531)/5</f>
        <v>12</v>
      </c>
      <c r="AQ531" s="46">
        <f>(打分卡!$D$16*AL531+打分卡!$D$17*AM531)/5</f>
        <v>6.8</v>
      </c>
      <c r="AR531" s="48">
        <f t="shared" si="66"/>
        <v>44.2</v>
      </c>
      <c r="AS531" s="45" t="str">
        <f t="shared" si="67"/>
        <v>腰部</v>
      </c>
      <c r="AT531" s="45" t="str">
        <f t="shared" si="68"/>
        <v/>
      </c>
      <c r="AU531" s="45" t="str">
        <f t="shared" si="69"/>
        <v>拉·主攻：主推AI外呼+大促作战包</v>
      </c>
    </row>
    <row r="532" ht="15" customHeight="1" spans="1:47">
      <c r="A532" s="30" t="s">
        <v>1650</v>
      </c>
      <c r="B532" s="31" t="s">
        <v>1651</v>
      </c>
      <c r="C532" s="31" t="s">
        <v>239</v>
      </c>
      <c r="D532" s="31" t="s">
        <v>202</v>
      </c>
      <c r="E532" s="31" t="s">
        <v>181</v>
      </c>
      <c r="F532" s="30" t="s">
        <v>1652</v>
      </c>
      <c r="G532" s="31">
        <v>23</v>
      </c>
      <c r="H532" s="31" t="s">
        <v>301</v>
      </c>
      <c r="I532" s="31" t="s">
        <v>302</v>
      </c>
      <c r="J532" s="33">
        <v>21500</v>
      </c>
      <c r="K532" s="33">
        <v>10300</v>
      </c>
      <c r="L532" s="33">
        <v>14500</v>
      </c>
      <c r="M532" s="33">
        <f t="shared" si="64"/>
        <v>46300</v>
      </c>
      <c r="N532" s="34">
        <f t="shared" si="70"/>
        <v>0.000242734225420932</v>
      </c>
      <c r="O532" s="35">
        <f>SUM($M$2:M532)</f>
        <v>180390700</v>
      </c>
      <c r="P532" s="34">
        <f t="shared" si="71"/>
        <v>0.945723473815111</v>
      </c>
      <c r="Q532" s="37">
        <v>7.1</v>
      </c>
      <c r="R532" s="31">
        <v>10</v>
      </c>
      <c r="S532" s="31">
        <v>3</v>
      </c>
      <c r="T532" s="31">
        <v>1</v>
      </c>
      <c r="U532" s="37">
        <v>3.2</v>
      </c>
      <c r="V532" s="31">
        <v>15</v>
      </c>
      <c r="W532" s="31">
        <v>4</v>
      </c>
      <c r="X532" s="38">
        <v>66</v>
      </c>
      <c r="Y532" s="31">
        <v>0</v>
      </c>
      <c r="Z532" s="31">
        <v>0</v>
      </c>
      <c r="AA532" s="31" t="s">
        <v>199</v>
      </c>
      <c r="AB532" s="31" t="s">
        <v>220</v>
      </c>
      <c r="AC532" s="41">
        <f>IFERROR(LOOKUP(M532,打分卡!$F$7:$J$7,打分卡!$K$7:$O$7),1)</f>
        <v>2</v>
      </c>
      <c r="AD532" s="41">
        <f>IFERROR(LOOKUP(S532,打分卡!$F$8:$J$8,打分卡!$K$8:$O$8),1)</f>
        <v>3</v>
      </c>
      <c r="AE532" s="41">
        <f>IFERROR(LOOKUP(T532,打分卡!$F$9:$I$9,打分卡!$K$9:$N$9),1)</f>
        <v>2</v>
      </c>
      <c r="AF532" s="41">
        <f>IFERROR(LOOKUP(Q532,打分卡!$F$10:$J$10,打分卡!$K$10:$O$10),1)</f>
        <v>2</v>
      </c>
      <c r="AG532" s="41">
        <f>IFERROR(LOOKUP(R532,打分卡!$F$11:$J$11,打分卡!$K$11:$O$11),1)</f>
        <v>4</v>
      </c>
      <c r="AH532" s="41">
        <f>IFERROR(LOOKUP(U532,打分卡!$F$12:$J$12,打分卡!$K$12:$O$12),1)</f>
        <v>2</v>
      </c>
      <c r="AI532" s="41">
        <f>IFERROR(LOOKUP(X532,打分卡!$F$13:$J$13,打分卡!$K$13:$O$13),1)</f>
        <v>3</v>
      </c>
      <c r="AJ532" s="41">
        <f>IFERROR(LOOKUP(Y532,打分卡!$F$14:$J$14,打分卡!$K$14:$O$14),1)</f>
        <v>1</v>
      </c>
      <c r="AK532" s="41">
        <f>IFERROR(LOOKUP(W532,打分卡!$F$15:$J$15,打分卡!$K$15:$O$15),1)</f>
        <v>3</v>
      </c>
      <c r="AL532" s="43">
        <f t="shared" si="65"/>
        <v>5</v>
      </c>
      <c r="AM532" s="41">
        <f>IFERROR(LOOKUP(Z532,打分卡!$F$17:$H$17,打分卡!$K$17:$M$17),1)</f>
        <v>1</v>
      </c>
      <c r="AN532" s="44">
        <f>(打分卡!$D$7*AC532+打分卡!$D$8*AD532+打分卡!$D$9*AE532)/5</f>
        <v>17.6</v>
      </c>
      <c r="AO532" s="44">
        <f>(打分卡!$D$10*AF532+打分卡!$D$11*AG532)/5</f>
        <v>12</v>
      </c>
      <c r="AP532" s="44">
        <f>(打分卡!$D$12*AH532+打分卡!$D$13*AI532+打分卡!$D$14*AJ532+打分卡!$D$15*AK532)/5</f>
        <v>13.2</v>
      </c>
      <c r="AQ532" s="44">
        <f>(打分卡!$D$16*AL532+打分卡!$D$17*AM532)/5</f>
        <v>6.8</v>
      </c>
      <c r="AR532" s="47">
        <f t="shared" si="66"/>
        <v>49.6</v>
      </c>
      <c r="AS532" s="43" t="str">
        <f t="shared" si="67"/>
        <v>腰部</v>
      </c>
      <c r="AT532" s="43" t="str">
        <f t="shared" si="68"/>
        <v/>
      </c>
      <c r="AU532" s="43" t="str">
        <f t="shared" si="69"/>
        <v>拉·主攻：主推AI外呼+大促作战包</v>
      </c>
    </row>
    <row r="533" ht="15" customHeight="1" spans="1:47">
      <c r="A533" s="20" t="s">
        <v>1653</v>
      </c>
      <c r="B533" s="22" t="s">
        <v>1654</v>
      </c>
      <c r="C533" s="22" t="s">
        <v>189</v>
      </c>
      <c r="D533" s="22" t="s">
        <v>202</v>
      </c>
      <c r="E533" s="22" t="s">
        <v>181</v>
      </c>
      <c r="F533" s="20" t="s">
        <v>1046</v>
      </c>
      <c r="G533" s="22">
        <v>23</v>
      </c>
      <c r="H533" s="22" t="s">
        <v>301</v>
      </c>
      <c r="I533" s="22" t="s">
        <v>302</v>
      </c>
      <c r="J533" s="36">
        <v>22700</v>
      </c>
      <c r="K533" s="36">
        <v>18300</v>
      </c>
      <c r="L533" s="36">
        <v>5200</v>
      </c>
      <c r="M533" s="36">
        <f t="shared" si="64"/>
        <v>46200</v>
      </c>
      <c r="N533" s="34">
        <f t="shared" si="70"/>
        <v>0.000242209961435141</v>
      </c>
      <c r="O533" s="35">
        <f>SUM($M$2:M533)</f>
        <v>180436900</v>
      </c>
      <c r="P533" s="34">
        <f t="shared" si="71"/>
        <v>0.945965683776546</v>
      </c>
      <c r="Q533" s="39">
        <v>5.8</v>
      </c>
      <c r="R533" s="22">
        <v>6</v>
      </c>
      <c r="S533" s="22">
        <v>1</v>
      </c>
      <c r="T533" s="22">
        <v>0</v>
      </c>
      <c r="U533" s="39">
        <v>32</v>
      </c>
      <c r="V533" s="22">
        <v>20</v>
      </c>
      <c r="W533" s="22">
        <v>4</v>
      </c>
      <c r="X533" s="40">
        <v>23</v>
      </c>
      <c r="Y533" s="22">
        <v>3</v>
      </c>
      <c r="Z533" s="22">
        <v>1</v>
      </c>
      <c r="AA533" s="22" t="s">
        <v>185</v>
      </c>
      <c r="AB533" s="22" t="s">
        <v>220</v>
      </c>
      <c r="AC533" s="42">
        <f>IFERROR(LOOKUP(M533,打分卡!$F$7:$J$7,打分卡!$K$7:$O$7),1)</f>
        <v>2</v>
      </c>
      <c r="AD533" s="42">
        <f>IFERROR(LOOKUP(S533,打分卡!$F$8:$J$8,打分卡!$K$8:$O$8),1)</f>
        <v>1</v>
      </c>
      <c r="AE533" s="42">
        <f>IFERROR(LOOKUP(T533,打分卡!$F$9:$I$9,打分卡!$K$9:$N$9),1)</f>
        <v>1</v>
      </c>
      <c r="AF533" s="42">
        <f>IFERROR(LOOKUP(Q533,打分卡!$F$10:$J$10,打分卡!$K$10:$O$10),1)</f>
        <v>2</v>
      </c>
      <c r="AG533" s="42">
        <f>IFERROR(LOOKUP(R533,打分卡!$F$11:$J$11,打分卡!$K$11:$O$11),1)</f>
        <v>3</v>
      </c>
      <c r="AH533" s="42">
        <f>IFERROR(LOOKUP(U533,打分卡!$F$12:$J$12,打分卡!$K$12:$O$12),1)</f>
        <v>3</v>
      </c>
      <c r="AI533" s="42">
        <f>IFERROR(LOOKUP(X533,打分卡!$F$13:$J$13,打分卡!$K$13:$O$13),1)</f>
        <v>2</v>
      </c>
      <c r="AJ533" s="42">
        <f>IFERROR(LOOKUP(Y533,打分卡!$F$14:$J$14,打分卡!$K$14:$O$14),1)</f>
        <v>4</v>
      </c>
      <c r="AK533" s="42">
        <f>IFERROR(LOOKUP(W533,打分卡!$F$15:$J$15,打分卡!$K$15:$O$15),1)</f>
        <v>3</v>
      </c>
      <c r="AL533" s="45">
        <f t="shared" si="65"/>
        <v>3</v>
      </c>
      <c r="AM533" s="42">
        <f>IFERROR(LOOKUP(Z533,打分卡!$F$17:$H$17,打分卡!$K$17:$M$17),1)</f>
        <v>3</v>
      </c>
      <c r="AN533" s="46">
        <f>(打分卡!$D$7*AC533+打分卡!$D$8*AD533+打分卡!$D$9*AE533)/5</f>
        <v>13</v>
      </c>
      <c r="AO533" s="46">
        <f>(打分卡!$D$10*AF533+打分卡!$D$11*AG533)/5</f>
        <v>10</v>
      </c>
      <c r="AP533" s="46">
        <f>(打分卡!$D$12*AH533+打分卡!$D$13*AI533+打分卡!$D$14*AJ533+打分卡!$D$15*AK533)/5</f>
        <v>17.6</v>
      </c>
      <c r="AQ533" s="46">
        <f>(打分卡!$D$16*AL533+打分卡!$D$17*AM533)/5</f>
        <v>6</v>
      </c>
      <c r="AR533" s="48">
        <f t="shared" si="66"/>
        <v>46.6</v>
      </c>
      <c r="AS533" s="45" t="str">
        <f t="shared" si="67"/>
        <v>腰部</v>
      </c>
      <c r="AT533" s="45" t="str">
        <f t="shared" si="68"/>
        <v/>
      </c>
      <c r="AU533" s="45" t="str">
        <f t="shared" si="69"/>
        <v>拉·主攻：主推AI外呼+大促作战包</v>
      </c>
    </row>
    <row r="534" ht="15" customHeight="1" spans="1:47">
      <c r="A534" s="30" t="s">
        <v>1655</v>
      </c>
      <c r="B534" s="31" t="s">
        <v>1656</v>
      </c>
      <c r="C534" s="31" t="s">
        <v>209</v>
      </c>
      <c r="D534" s="31" t="s">
        <v>196</v>
      </c>
      <c r="E534" s="31" t="s">
        <v>197</v>
      </c>
      <c r="F534" s="30" t="s">
        <v>1019</v>
      </c>
      <c r="G534" s="31">
        <v>12</v>
      </c>
      <c r="H534" s="31" t="s">
        <v>301</v>
      </c>
      <c r="I534" s="31" t="s">
        <v>302</v>
      </c>
      <c r="J534" s="33">
        <v>29500</v>
      </c>
      <c r="K534" s="33">
        <v>14300</v>
      </c>
      <c r="L534" s="33">
        <v>2300</v>
      </c>
      <c r="M534" s="33">
        <f t="shared" si="64"/>
        <v>46100</v>
      </c>
      <c r="N534" s="34">
        <f t="shared" si="70"/>
        <v>0.000241685697449351</v>
      </c>
      <c r="O534" s="35">
        <f>SUM($M$2:M534)</f>
        <v>180483000</v>
      </c>
      <c r="P534" s="34">
        <f t="shared" si="71"/>
        <v>0.946207369473995</v>
      </c>
      <c r="Q534" s="37">
        <v>3.1</v>
      </c>
      <c r="R534" s="31">
        <v>3</v>
      </c>
      <c r="S534" s="31">
        <v>1</v>
      </c>
      <c r="T534" s="31">
        <v>1</v>
      </c>
      <c r="U534" s="37">
        <v>59.5</v>
      </c>
      <c r="V534" s="31">
        <v>28</v>
      </c>
      <c r="W534" s="31">
        <v>0</v>
      </c>
      <c r="X534" s="38">
        <v>115</v>
      </c>
      <c r="Y534" s="31">
        <v>3</v>
      </c>
      <c r="Z534" s="31">
        <v>0</v>
      </c>
      <c r="AA534" s="31" t="s">
        <v>185</v>
      </c>
      <c r="AB534" s="31" t="s">
        <v>220</v>
      </c>
      <c r="AC534" s="41">
        <f>IFERROR(LOOKUP(M534,打分卡!$F$7:$J$7,打分卡!$K$7:$O$7),1)</f>
        <v>2</v>
      </c>
      <c r="AD534" s="41">
        <f>IFERROR(LOOKUP(S534,打分卡!$F$8:$J$8,打分卡!$K$8:$O$8),1)</f>
        <v>1</v>
      </c>
      <c r="AE534" s="41">
        <f>IFERROR(LOOKUP(T534,打分卡!$F$9:$I$9,打分卡!$K$9:$N$9),1)</f>
        <v>2</v>
      </c>
      <c r="AF534" s="41">
        <f>IFERROR(LOOKUP(Q534,打分卡!$F$10:$J$10,打分卡!$K$10:$O$10),1)</f>
        <v>2</v>
      </c>
      <c r="AG534" s="41">
        <f>IFERROR(LOOKUP(R534,打分卡!$F$11:$J$11,打分卡!$K$11:$O$11),1)</f>
        <v>2</v>
      </c>
      <c r="AH534" s="41">
        <f>IFERROR(LOOKUP(U534,打分卡!$F$12:$J$12,打分卡!$K$12:$O$12),1)</f>
        <v>4</v>
      </c>
      <c r="AI534" s="41">
        <f>IFERROR(LOOKUP(X534,打分卡!$F$13:$J$13,打分卡!$K$13:$O$13),1)</f>
        <v>4</v>
      </c>
      <c r="AJ534" s="41">
        <f>IFERROR(LOOKUP(Y534,打分卡!$F$14:$J$14,打分卡!$K$14:$O$14),1)</f>
        <v>4</v>
      </c>
      <c r="AK534" s="41">
        <f>IFERROR(LOOKUP(W534,打分卡!$F$15:$J$15,打分卡!$K$15:$O$15),1)</f>
        <v>1</v>
      </c>
      <c r="AL534" s="43">
        <f t="shared" si="65"/>
        <v>3</v>
      </c>
      <c r="AM534" s="41">
        <f>IFERROR(LOOKUP(Z534,打分卡!$F$17:$H$17,打分卡!$K$17:$M$17),1)</f>
        <v>1</v>
      </c>
      <c r="AN534" s="44">
        <f>(打分卡!$D$7*AC534+打分卡!$D$8*AD534+打分卡!$D$9*AE534)/5</f>
        <v>14.4</v>
      </c>
      <c r="AO534" s="44">
        <f>(打分卡!$D$10*AF534+打分卡!$D$11*AG534)/5</f>
        <v>8</v>
      </c>
      <c r="AP534" s="44">
        <f>(打分卡!$D$12*AH534+打分卡!$D$13*AI534+打分卡!$D$14*AJ534+打分卡!$D$15*AK534)/5</f>
        <v>21.6</v>
      </c>
      <c r="AQ534" s="44">
        <f>(打分卡!$D$16*AL534+打分卡!$D$17*AM534)/5</f>
        <v>4.4</v>
      </c>
      <c r="AR534" s="47">
        <f t="shared" si="66"/>
        <v>48.4</v>
      </c>
      <c r="AS534" s="43" t="str">
        <f t="shared" si="67"/>
        <v>腰部</v>
      </c>
      <c r="AT534" s="43" t="str">
        <f t="shared" si="68"/>
        <v/>
      </c>
      <c r="AU534" s="43" t="str">
        <f t="shared" si="69"/>
        <v>拉·主攻：主推AI外呼+大促作战包</v>
      </c>
    </row>
    <row r="535" ht="15" customHeight="1" spans="1:47">
      <c r="A535" s="20" t="s">
        <v>1657</v>
      </c>
      <c r="B535" s="22" t="s">
        <v>1658</v>
      </c>
      <c r="C535" s="22" t="s">
        <v>239</v>
      </c>
      <c r="D535" s="22" t="s">
        <v>202</v>
      </c>
      <c r="E535" s="22" t="s">
        <v>181</v>
      </c>
      <c r="F535" s="20" t="s">
        <v>1659</v>
      </c>
      <c r="G535" s="22">
        <v>18</v>
      </c>
      <c r="H535" s="22" t="s">
        <v>183</v>
      </c>
      <c r="I535" s="22" t="s">
        <v>302</v>
      </c>
      <c r="J535" s="36">
        <v>23800</v>
      </c>
      <c r="K535" s="36">
        <v>13300</v>
      </c>
      <c r="L535" s="36">
        <v>9100</v>
      </c>
      <c r="M535" s="36">
        <f t="shared" si="64"/>
        <v>46200</v>
      </c>
      <c r="N535" s="34">
        <f t="shared" si="70"/>
        <v>0.000242209961435141</v>
      </c>
      <c r="O535" s="35">
        <f>SUM($M$2:M535)</f>
        <v>180529200</v>
      </c>
      <c r="P535" s="34">
        <f t="shared" si="71"/>
        <v>0.946449579435431</v>
      </c>
      <c r="Q535" s="39">
        <v>3.5</v>
      </c>
      <c r="R535" s="22">
        <v>6</v>
      </c>
      <c r="S535" s="22">
        <v>3</v>
      </c>
      <c r="T535" s="22">
        <v>2</v>
      </c>
      <c r="U535" s="39">
        <v>1.4</v>
      </c>
      <c r="V535" s="22">
        <v>15</v>
      </c>
      <c r="W535" s="22">
        <v>0</v>
      </c>
      <c r="X535" s="40">
        <v>97</v>
      </c>
      <c r="Y535" s="22">
        <v>1</v>
      </c>
      <c r="Z535" s="22">
        <v>0</v>
      </c>
      <c r="AA535" s="22" t="s">
        <v>199</v>
      </c>
      <c r="AB535" s="22" t="s">
        <v>220</v>
      </c>
      <c r="AC535" s="42">
        <f>IFERROR(LOOKUP(M535,打分卡!$F$7:$J$7,打分卡!$K$7:$O$7),1)</f>
        <v>2</v>
      </c>
      <c r="AD535" s="42">
        <f>IFERROR(LOOKUP(S535,打分卡!$F$8:$J$8,打分卡!$K$8:$O$8),1)</f>
        <v>3</v>
      </c>
      <c r="AE535" s="42">
        <f>IFERROR(LOOKUP(T535,打分卡!$F$9:$I$9,打分卡!$K$9:$N$9),1)</f>
        <v>3</v>
      </c>
      <c r="AF535" s="42">
        <f>IFERROR(LOOKUP(Q535,打分卡!$F$10:$J$10,打分卡!$K$10:$O$10),1)</f>
        <v>2</v>
      </c>
      <c r="AG535" s="42">
        <f>IFERROR(LOOKUP(R535,打分卡!$F$11:$J$11,打分卡!$K$11:$O$11),1)</f>
        <v>3</v>
      </c>
      <c r="AH535" s="42">
        <f>IFERROR(LOOKUP(U535,打分卡!$F$12:$J$12,打分卡!$K$12:$O$12),1)</f>
        <v>1</v>
      </c>
      <c r="AI535" s="42">
        <f>IFERROR(LOOKUP(X535,打分卡!$F$13:$J$13,打分卡!$K$13:$O$13),1)</f>
        <v>4</v>
      </c>
      <c r="AJ535" s="42">
        <f>IFERROR(LOOKUP(Y535,打分卡!$F$14:$J$14,打分卡!$K$14:$O$14),1)</f>
        <v>2</v>
      </c>
      <c r="AK535" s="42">
        <f>IFERROR(LOOKUP(W535,打分卡!$F$15:$J$15,打分卡!$K$15:$O$15),1)</f>
        <v>1</v>
      </c>
      <c r="AL535" s="45">
        <f t="shared" si="65"/>
        <v>5</v>
      </c>
      <c r="AM535" s="42">
        <f>IFERROR(LOOKUP(Z535,打分卡!$F$17:$H$17,打分卡!$K$17:$M$17),1)</f>
        <v>1</v>
      </c>
      <c r="AN535" s="46">
        <f>(打分卡!$D$7*AC535+打分卡!$D$8*AD535+打分卡!$D$9*AE535)/5</f>
        <v>19</v>
      </c>
      <c r="AO535" s="46">
        <f>(打分卡!$D$10*AF535+打分卡!$D$11*AG535)/5</f>
        <v>10</v>
      </c>
      <c r="AP535" s="46">
        <f>(打分卡!$D$12*AH535+打分卡!$D$13*AI535+打分卡!$D$14*AJ535+打分卡!$D$15*AK535)/5</f>
        <v>12</v>
      </c>
      <c r="AQ535" s="46">
        <f>(打分卡!$D$16*AL535+打分卡!$D$17*AM535)/5</f>
        <v>6.8</v>
      </c>
      <c r="AR535" s="48">
        <f t="shared" si="66"/>
        <v>47.8</v>
      </c>
      <c r="AS535" s="45" t="str">
        <f t="shared" si="67"/>
        <v>腰部</v>
      </c>
      <c r="AT535" s="45" t="str">
        <f t="shared" si="68"/>
        <v/>
      </c>
      <c r="AU535" s="45" t="str">
        <f t="shared" si="69"/>
        <v>拉·主攻：主推AI外呼+大促作战包</v>
      </c>
    </row>
    <row r="536" ht="15" customHeight="1" spans="1:47">
      <c r="A536" s="30" t="s">
        <v>1660</v>
      </c>
      <c r="B536" s="31" t="s">
        <v>1661</v>
      </c>
      <c r="C536" s="31" t="s">
        <v>239</v>
      </c>
      <c r="D536" s="31" t="s">
        <v>235</v>
      </c>
      <c r="E536" s="31" t="s">
        <v>181</v>
      </c>
      <c r="F536" s="30" t="s">
        <v>555</v>
      </c>
      <c r="G536" s="31">
        <v>10</v>
      </c>
      <c r="H536" s="31" t="s">
        <v>301</v>
      </c>
      <c r="I536" s="31" t="s">
        <v>302</v>
      </c>
      <c r="J536" s="33">
        <v>26100</v>
      </c>
      <c r="K536" s="33">
        <v>12700</v>
      </c>
      <c r="L536" s="33">
        <v>7200</v>
      </c>
      <c r="M536" s="33">
        <f t="shared" si="64"/>
        <v>46000</v>
      </c>
      <c r="N536" s="34">
        <f t="shared" si="70"/>
        <v>0.00024116143346356</v>
      </c>
      <c r="O536" s="35">
        <f>SUM($M$2:M536)</f>
        <v>180575200</v>
      </c>
      <c r="P536" s="34">
        <f t="shared" si="71"/>
        <v>0.946690740868894</v>
      </c>
      <c r="Q536" s="37">
        <v>6.7</v>
      </c>
      <c r="R536" s="31">
        <v>4</v>
      </c>
      <c r="S536" s="31">
        <v>1</v>
      </c>
      <c r="T536" s="31">
        <v>2</v>
      </c>
      <c r="U536" s="37">
        <v>2</v>
      </c>
      <c r="V536" s="31">
        <v>22</v>
      </c>
      <c r="W536" s="31">
        <v>0</v>
      </c>
      <c r="X536" s="38">
        <v>37</v>
      </c>
      <c r="Y536" s="31">
        <v>0</v>
      </c>
      <c r="Z536" s="31">
        <v>0</v>
      </c>
      <c r="AA536" s="31" t="s">
        <v>199</v>
      </c>
      <c r="AB536" s="31" t="s">
        <v>220</v>
      </c>
      <c r="AC536" s="41">
        <f>IFERROR(LOOKUP(M536,打分卡!$F$7:$J$7,打分卡!$K$7:$O$7),1)</f>
        <v>2</v>
      </c>
      <c r="AD536" s="41">
        <f>IFERROR(LOOKUP(S536,打分卡!$F$8:$J$8,打分卡!$K$8:$O$8),1)</f>
        <v>1</v>
      </c>
      <c r="AE536" s="41">
        <f>IFERROR(LOOKUP(T536,打分卡!$F$9:$I$9,打分卡!$K$9:$N$9),1)</f>
        <v>3</v>
      </c>
      <c r="AF536" s="41">
        <f>IFERROR(LOOKUP(Q536,打分卡!$F$10:$J$10,打分卡!$K$10:$O$10),1)</f>
        <v>2</v>
      </c>
      <c r="AG536" s="41">
        <f>IFERROR(LOOKUP(R536,打分卡!$F$11:$J$11,打分卡!$K$11:$O$11),1)</f>
        <v>2</v>
      </c>
      <c r="AH536" s="41">
        <f>IFERROR(LOOKUP(U536,打分卡!$F$12:$J$12,打分卡!$K$12:$O$12),1)</f>
        <v>1</v>
      </c>
      <c r="AI536" s="41">
        <f>IFERROR(LOOKUP(X536,打分卡!$F$13:$J$13,打分卡!$K$13:$O$13),1)</f>
        <v>2</v>
      </c>
      <c r="AJ536" s="41">
        <f>IFERROR(LOOKUP(Y536,打分卡!$F$14:$J$14,打分卡!$K$14:$O$14),1)</f>
        <v>1</v>
      </c>
      <c r="AK536" s="41">
        <f>IFERROR(LOOKUP(W536,打分卡!$F$15:$J$15,打分卡!$K$15:$O$15),1)</f>
        <v>1</v>
      </c>
      <c r="AL536" s="43">
        <f t="shared" si="65"/>
        <v>5</v>
      </c>
      <c r="AM536" s="41">
        <f>IFERROR(LOOKUP(Z536,打分卡!$F$17:$H$17,打分卡!$K$17:$M$17),1)</f>
        <v>1</v>
      </c>
      <c r="AN536" s="44">
        <f>(打分卡!$D$7*AC536+打分卡!$D$8*AD536+打分卡!$D$9*AE536)/5</f>
        <v>15.8</v>
      </c>
      <c r="AO536" s="44">
        <f>(打分卡!$D$10*AF536+打分卡!$D$11*AG536)/5</f>
        <v>8</v>
      </c>
      <c r="AP536" s="44">
        <f>(打分卡!$D$12*AH536+打分卡!$D$13*AI536+打分卡!$D$14*AJ536+打分卡!$D$15*AK536)/5</f>
        <v>7.6</v>
      </c>
      <c r="AQ536" s="44">
        <f>(打分卡!$D$16*AL536+打分卡!$D$17*AM536)/5</f>
        <v>6.8</v>
      </c>
      <c r="AR536" s="47">
        <f t="shared" si="66"/>
        <v>38.2</v>
      </c>
      <c r="AS536" s="43" t="str">
        <f t="shared" si="67"/>
        <v>基础长尾</v>
      </c>
      <c r="AT536" s="43" t="str">
        <f t="shared" si="68"/>
        <v/>
      </c>
      <c r="AU536" s="43" t="str">
        <f t="shared" si="69"/>
        <v>激活：企微+Push低成本先跑</v>
      </c>
    </row>
    <row r="537" ht="15" customHeight="1" spans="1:47">
      <c r="A537" s="20" t="s">
        <v>1662</v>
      </c>
      <c r="B537" s="22" t="s">
        <v>1663</v>
      </c>
      <c r="C537" s="22" t="s">
        <v>209</v>
      </c>
      <c r="D537" s="22" t="s">
        <v>202</v>
      </c>
      <c r="E537" s="22" t="s">
        <v>181</v>
      </c>
      <c r="F537" s="20" t="s">
        <v>1307</v>
      </c>
      <c r="G537" s="22">
        <v>17</v>
      </c>
      <c r="H537" s="22" t="s">
        <v>301</v>
      </c>
      <c r="I537" s="22" t="s">
        <v>302</v>
      </c>
      <c r="J537" s="36">
        <v>20800</v>
      </c>
      <c r="K537" s="36">
        <v>14000</v>
      </c>
      <c r="L537" s="36">
        <v>10700</v>
      </c>
      <c r="M537" s="36">
        <f t="shared" si="64"/>
        <v>45500</v>
      </c>
      <c r="N537" s="34">
        <f t="shared" si="70"/>
        <v>0.000238540113534609</v>
      </c>
      <c r="O537" s="35">
        <f>SUM($M$2:M537)</f>
        <v>180620700</v>
      </c>
      <c r="P537" s="34">
        <f t="shared" si="71"/>
        <v>0.946929280982429</v>
      </c>
      <c r="Q537" s="39">
        <v>4.6</v>
      </c>
      <c r="R537" s="22">
        <v>9</v>
      </c>
      <c r="S537" s="22">
        <v>1</v>
      </c>
      <c r="T537" s="22">
        <v>0</v>
      </c>
      <c r="U537" s="39">
        <v>1.6</v>
      </c>
      <c r="V537" s="22">
        <v>7</v>
      </c>
      <c r="W537" s="22">
        <v>4</v>
      </c>
      <c r="X537" s="40">
        <v>40</v>
      </c>
      <c r="Y537" s="22">
        <v>0</v>
      </c>
      <c r="Z537" s="22">
        <v>0</v>
      </c>
      <c r="AA537" s="22" t="s">
        <v>199</v>
      </c>
      <c r="AB537" s="22" t="s">
        <v>220</v>
      </c>
      <c r="AC537" s="42">
        <f>IFERROR(LOOKUP(M537,打分卡!$F$7:$J$7,打分卡!$K$7:$O$7),1)</f>
        <v>2</v>
      </c>
      <c r="AD537" s="42">
        <f>IFERROR(LOOKUP(S537,打分卡!$F$8:$J$8,打分卡!$K$8:$O$8),1)</f>
        <v>1</v>
      </c>
      <c r="AE537" s="42">
        <f>IFERROR(LOOKUP(T537,打分卡!$F$9:$I$9,打分卡!$K$9:$N$9),1)</f>
        <v>1</v>
      </c>
      <c r="AF537" s="42">
        <f>IFERROR(LOOKUP(Q537,打分卡!$F$10:$J$10,打分卡!$K$10:$O$10),1)</f>
        <v>2</v>
      </c>
      <c r="AG537" s="42">
        <f>IFERROR(LOOKUP(R537,打分卡!$F$11:$J$11,打分卡!$K$11:$O$11),1)</f>
        <v>4</v>
      </c>
      <c r="AH537" s="42">
        <f>IFERROR(LOOKUP(U537,打分卡!$F$12:$J$12,打分卡!$K$12:$O$12),1)</f>
        <v>1</v>
      </c>
      <c r="AI537" s="42">
        <f>IFERROR(LOOKUP(X537,打分卡!$F$13:$J$13,打分卡!$K$13:$O$13),1)</f>
        <v>3</v>
      </c>
      <c r="AJ537" s="42">
        <f>IFERROR(LOOKUP(Y537,打分卡!$F$14:$J$14,打分卡!$K$14:$O$14),1)</f>
        <v>1</v>
      </c>
      <c r="AK537" s="42">
        <f>IFERROR(LOOKUP(W537,打分卡!$F$15:$J$15,打分卡!$K$15:$O$15),1)</f>
        <v>3</v>
      </c>
      <c r="AL537" s="45">
        <f t="shared" si="65"/>
        <v>5</v>
      </c>
      <c r="AM537" s="42">
        <f>IFERROR(LOOKUP(Z537,打分卡!$F$17:$H$17,打分卡!$K$17:$M$17),1)</f>
        <v>1</v>
      </c>
      <c r="AN537" s="46">
        <f>(打分卡!$D$7*AC537+打分卡!$D$8*AD537+打分卡!$D$9*AE537)/5</f>
        <v>13</v>
      </c>
      <c r="AO537" s="46">
        <f>(打分卡!$D$10*AF537+打分卡!$D$11*AG537)/5</f>
        <v>12</v>
      </c>
      <c r="AP537" s="46">
        <f>(打分卡!$D$12*AH537+打分卡!$D$13*AI537+打分卡!$D$14*AJ537+打分卡!$D$15*AK537)/5</f>
        <v>10.8</v>
      </c>
      <c r="AQ537" s="46">
        <f>(打分卡!$D$16*AL537+打分卡!$D$17*AM537)/5</f>
        <v>6.8</v>
      </c>
      <c r="AR537" s="48">
        <f t="shared" si="66"/>
        <v>42.6</v>
      </c>
      <c r="AS537" s="45" t="str">
        <f t="shared" si="67"/>
        <v>腰部</v>
      </c>
      <c r="AT537" s="45" t="str">
        <f t="shared" si="68"/>
        <v/>
      </c>
      <c r="AU537" s="45" t="str">
        <f t="shared" si="69"/>
        <v>拉·主攻：主推AI外呼+大促作战包</v>
      </c>
    </row>
    <row r="538" ht="15" customHeight="1" spans="1:47">
      <c r="A538" s="30" t="s">
        <v>1664</v>
      </c>
      <c r="B538" s="31" t="s">
        <v>1665</v>
      </c>
      <c r="C538" s="31" t="s">
        <v>189</v>
      </c>
      <c r="D538" s="31" t="s">
        <v>235</v>
      </c>
      <c r="E538" s="31" t="s">
        <v>181</v>
      </c>
      <c r="F538" s="30" t="s">
        <v>1666</v>
      </c>
      <c r="G538" s="31">
        <v>14</v>
      </c>
      <c r="H538" s="31" t="s">
        <v>301</v>
      </c>
      <c r="I538" s="31" t="s">
        <v>184</v>
      </c>
      <c r="J538" s="33">
        <v>21100</v>
      </c>
      <c r="K538" s="33">
        <v>12200</v>
      </c>
      <c r="L538" s="33">
        <v>11800</v>
      </c>
      <c r="M538" s="33">
        <f t="shared" si="64"/>
        <v>45100</v>
      </c>
      <c r="N538" s="34">
        <f t="shared" si="70"/>
        <v>0.000236443057591447</v>
      </c>
      <c r="O538" s="35">
        <f>SUM($M$2:M538)</f>
        <v>180665800</v>
      </c>
      <c r="P538" s="34">
        <f t="shared" si="71"/>
        <v>0.94716572404002</v>
      </c>
      <c r="Q538" s="37">
        <v>5.7</v>
      </c>
      <c r="R538" s="31">
        <v>7</v>
      </c>
      <c r="S538" s="31">
        <v>1</v>
      </c>
      <c r="T538" s="31">
        <v>1</v>
      </c>
      <c r="U538" s="37">
        <v>10.8</v>
      </c>
      <c r="V538" s="31">
        <v>4</v>
      </c>
      <c r="W538" s="31">
        <v>1</v>
      </c>
      <c r="X538" s="38">
        <v>32</v>
      </c>
      <c r="Y538" s="31">
        <v>1</v>
      </c>
      <c r="Z538" s="31">
        <v>0</v>
      </c>
      <c r="AA538" s="31" t="s">
        <v>199</v>
      </c>
      <c r="AB538" s="31" t="s">
        <v>220</v>
      </c>
      <c r="AC538" s="41">
        <f>IFERROR(LOOKUP(M538,打分卡!$F$7:$J$7,打分卡!$K$7:$O$7),1)</f>
        <v>2</v>
      </c>
      <c r="AD538" s="41">
        <f>IFERROR(LOOKUP(S538,打分卡!$F$8:$J$8,打分卡!$K$8:$O$8),1)</f>
        <v>1</v>
      </c>
      <c r="AE538" s="41">
        <f>IFERROR(LOOKUP(T538,打分卡!$F$9:$I$9,打分卡!$K$9:$N$9),1)</f>
        <v>2</v>
      </c>
      <c r="AF538" s="41">
        <f>IFERROR(LOOKUP(Q538,打分卡!$F$10:$J$10,打分卡!$K$10:$O$10),1)</f>
        <v>2</v>
      </c>
      <c r="AG538" s="41">
        <f>IFERROR(LOOKUP(R538,打分卡!$F$11:$J$11,打分卡!$K$11:$O$11),1)</f>
        <v>3</v>
      </c>
      <c r="AH538" s="41">
        <f>IFERROR(LOOKUP(U538,打分卡!$F$12:$J$12,打分卡!$K$12:$O$12),1)</f>
        <v>3</v>
      </c>
      <c r="AI538" s="41">
        <f>IFERROR(LOOKUP(X538,打分卡!$F$13:$J$13,打分卡!$K$13:$O$13),1)</f>
        <v>2</v>
      </c>
      <c r="AJ538" s="41">
        <f>IFERROR(LOOKUP(Y538,打分卡!$F$14:$J$14,打分卡!$K$14:$O$14),1)</f>
        <v>2</v>
      </c>
      <c r="AK538" s="41">
        <f>IFERROR(LOOKUP(W538,打分卡!$F$15:$J$15,打分卡!$K$15:$O$15),1)</f>
        <v>2</v>
      </c>
      <c r="AL538" s="43">
        <f t="shared" si="65"/>
        <v>5</v>
      </c>
      <c r="AM538" s="41">
        <f>IFERROR(LOOKUP(Z538,打分卡!$F$17:$H$17,打分卡!$K$17:$M$17),1)</f>
        <v>1</v>
      </c>
      <c r="AN538" s="44">
        <f>(打分卡!$D$7*AC538+打分卡!$D$8*AD538+打分卡!$D$9*AE538)/5</f>
        <v>14.4</v>
      </c>
      <c r="AO538" s="44">
        <f>(打分卡!$D$10*AF538+打分卡!$D$11*AG538)/5</f>
        <v>10</v>
      </c>
      <c r="AP538" s="44">
        <f>(打分卡!$D$12*AH538+打分卡!$D$13*AI538+打分卡!$D$14*AJ538+打分卡!$D$15*AK538)/5</f>
        <v>14.4</v>
      </c>
      <c r="AQ538" s="44">
        <f>(打分卡!$D$16*AL538+打分卡!$D$17*AM538)/5</f>
        <v>6.8</v>
      </c>
      <c r="AR538" s="47">
        <f t="shared" si="66"/>
        <v>45.6</v>
      </c>
      <c r="AS538" s="43" t="str">
        <f t="shared" si="67"/>
        <v>腰部</v>
      </c>
      <c r="AT538" s="43" t="str">
        <f t="shared" si="68"/>
        <v/>
      </c>
      <c r="AU538" s="43" t="str">
        <f t="shared" si="69"/>
        <v>拉·主攻：主推AI外呼+大促作战包</v>
      </c>
    </row>
    <row r="539" ht="15" customHeight="1" spans="1:47">
      <c r="A539" s="20" t="s">
        <v>1667</v>
      </c>
      <c r="B539" s="22" t="s">
        <v>1668</v>
      </c>
      <c r="C539" s="22" t="s">
        <v>189</v>
      </c>
      <c r="D539" s="22" t="s">
        <v>252</v>
      </c>
      <c r="E539" s="22" t="s">
        <v>181</v>
      </c>
      <c r="F539" s="20" t="s">
        <v>1669</v>
      </c>
      <c r="G539" s="22">
        <v>18</v>
      </c>
      <c r="H539" s="22" t="s">
        <v>301</v>
      </c>
      <c r="I539" s="22" t="s">
        <v>302</v>
      </c>
      <c r="J539" s="36">
        <v>25300</v>
      </c>
      <c r="K539" s="36">
        <v>10300</v>
      </c>
      <c r="L539" s="36">
        <v>9500</v>
      </c>
      <c r="M539" s="36">
        <f t="shared" si="64"/>
        <v>45100</v>
      </c>
      <c r="N539" s="34">
        <f t="shared" si="70"/>
        <v>0.000236443057591447</v>
      </c>
      <c r="O539" s="35">
        <f>SUM($M$2:M539)</f>
        <v>180710900</v>
      </c>
      <c r="P539" s="34">
        <f t="shared" si="71"/>
        <v>0.947402167097612</v>
      </c>
      <c r="Q539" s="39">
        <v>6</v>
      </c>
      <c r="R539" s="22">
        <v>6</v>
      </c>
      <c r="S539" s="22">
        <v>3</v>
      </c>
      <c r="T539" s="22">
        <v>1</v>
      </c>
      <c r="U539" s="39">
        <v>18</v>
      </c>
      <c r="V539" s="22">
        <v>22</v>
      </c>
      <c r="W539" s="22">
        <v>1</v>
      </c>
      <c r="X539" s="40">
        <v>135</v>
      </c>
      <c r="Y539" s="22">
        <v>0</v>
      </c>
      <c r="Z539" s="22">
        <v>0</v>
      </c>
      <c r="AA539" s="22" t="s">
        <v>185</v>
      </c>
      <c r="AB539" s="22" t="s">
        <v>220</v>
      </c>
      <c r="AC539" s="42">
        <f>IFERROR(LOOKUP(M539,打分卡!$F$7:$J$7,打分卡!$K$7:$O$7),1)</f>
        <v>2</v>
      </c>
      <c r="AD539" s="42">
        <f>IFERROR(LOOKUP(S539,打分卡!$F$8:$J$8,打分卡!$K$8:$O$8),1)</f>
        <v>3</v>
      </c>
      <c r="AE539" s="42">
        <f>IFERROR(LOOKUP(T539,打分卡!$F$9:$I$9,打分卡!$K$9:$N$9),1)</f>
        <v>2</v>
      </c>
      <c r="AF539" s="42">
        <f>IFERROR(LOOKUP(Q539,打分卡!$F$10:$J$10,打分卡!$K$10:$O$10),1)</f>
        <v>2</v>
      </c>
      <c r="AG539" s="42">
        <f>IFERROR(LOOKUP(R539,打分卡!$F$11:$J$11,打分卡!$K$11:$O$11),1)</f>
        <v>3</v>
      </c>
      <c r="AH539" s="42">
        <f>IFERROR(LOOKUP(U539,打分卡!$F$12:$J$12,打分卡!$K$12:$O$12),1)</f>
        <v>3</v>
      </c>
      <c r="AI539" s="42">
        <f>IFERROR(LOOKUP(X539,打分卡!$F$13:$J$13,打分卡!$K$13:$O$13),1)</f>
        <v>4</v>
      </c>
      <c r="AJ539" s="42">
        <f>IFERROR(LOOKUP(Y539,打分卡!$F$14:$J$14,打分卡!$K$14:$O$14),1)</f>
        <v>1</v>
      </c>
      <c r="AK539" s="42">
        <f>IFERROR(LOOKUP(W539,打分卡!$F$15:$J$15,打分卡!$K$15:$O$15),1)</f>
        <v>2</v>
      </c>
      <c r="AL539" s="45">
        <f t="shared" si="65"/>
        <v>3</v>
      </c>
      <c r="AM539" s="42">
        <f>IFERROR(LOOKUP(Z539,打分卡!$F$17:$H$17,打分卡!$K$17:$M$17),1)</f>
        <v>1</v>
      </c>
      <c r="AN539" s="46">
        <f>(打分卡!$D$7*AC539+打分卡!$D$8*AD539+打分卡!$D$9*AE539)/5</f>
        <v>17.6</v>
      </c>
      <c r="AO539" s="46">
        <f>(打分卡!$D$10*AF539+打分卡!$D$11*AG539)/5</f>
        <v>10</v>
      </c>
      <c r="AP539" s="46">
        <f>(打分卡!$D$12*AH539+打分卡!$D$13*AI539+打分卡!$D$14*AJ539+打分卡!$D$15*AK539)/5</f>
        <v>16.4</v>
      </c>
      <c r="AQ539" s="46">
        <f>(打分卡!$D$16*AL539+打分卡!$D$17*AM539)/5</f>
        <v>4.4</v>
      </c>
      <c r="AR539" s="48">
        <f t="shared" si="66"/>
        <v>48.4</v>
      </c>
      <c r="AS539" s="45" t="str">
        <f t="shared" si="67"/>
        <v>腰部</v>
      </c>
      <c r="AT539" s="45" t="str">
        <f t="shared" si="68"/>
        <v/>
      </c>
      <c r="AU539" s="45" t="str">
        <f t="shared" si="69"/>
        <v>拉·主攻：主推AI外呼+大促作战包</v>
      </c>
    </row>
    <row r="540" ht="15" customHeight="1" spans="1:47">
      <c r="A540" s="30" t="s">
        <v>1670</v>
      </c>
      <c r="B540" s="31" t="s">
        <v>1671</v>
      </c>
      <c r="C540" s="31" t="s">
        <v>195</v>
      </c>
      <c r="D540" s="31" t="s">
        <v>252</v>
      </c>
      <c r="E540" s="31" t="s">
        <v>181</v>
      </c>
      <c r="F540" s="30" t="s">
        <v>1107</v>
      </c>
      <c r="G540" s="31">
        <v>10</v>
      </c>
      <c r="H540" s="31" t="s">
        <v>301</v>
      </c>
      <c r="I540" s="31" t="s">
        <v>184</v>
      </c>
      <c r="J540" s="33">
        <v>20500</v>
      </c>
      <c r="K540" s="33">
        <v>15900</v>
      </c>
      <c r="L540" s="33">
        <v>8500</v>
      </c>
      <c r="M540" s="33">
        <f t="shared" si="64"/>
        <v>44900</v>
      </c>
      <c r="N540" s="34">
        <f t="shared" si="70"/>
        <v>0.000235394529619867</v>
      </c>
      <c r="O540" s="35">
        <f>SUM($M$2:M540)</f>
        <v>180755800</v>
      </c>
      <c r="P540" s="34">
        <f t="shared" si="71"/>
        <v>0.947637561627232</v>
      </c>
      <c r="Q540" s="37">
        <v>5</v>
      </c>
      <c r="R540" s="31">
        <v>8</v>
      </c>
      <c r="S540" s="31">
        <v>3</v>
      </c>
      <c r="T540" s="31">
        <v>0</v>
      </c>
      <c r="U540" s="37">
        <v>34.5</v>
      </c>
      <c r="V540" s="31">
        <v>30</v>
      </c>
      <c r="W540" s="31">
        <v>2</v>
      </c>
      <c r="X540" s="38">
        <v>37</v>
      </c>
      <c r="Y540" s="31">
        <v>2</v>
      </c>
      <c r="Z540" s="31">
        <v>0</v>
      </c>
      <c r="AA540" s="31" t="s">
        <v>185</v>
      </c>
      <c r="AB540" s="31" t="s">
        <v>220</v>
      </c>
      <c r="AC540" s="41">
        <f>IFERROR(LOOKUP(M540,打分卡!$F$7:$J$7,打分卡!$K$7:$O$7),1)</f>
        <v>2</v>
      </c>
      <c r="AD540" s="41">
        <f>IFERROR(LOOKUP(S540,打分卡!$F$8:$J$8,打分卡!$K$8:$O$8),1)</f>
        <v>3</v>
      </c>
      <c r="AE540" s="41">
        <f>IFERROR(LOOKUP(T540,打分卡!$F$9:$I$9,打分卡!$K$9:$N$9),1)</f>
        <v>1</v>
      </c>
      <c r="AF540" s="41">
        <f>IFERROR(LOOKUP(Q540,打分卡!$F$10:$J$10,打分卡!$K$10:$O$10),1)</f>
        <v>2</v>
      </c>
      <c r="AG540" s="41">
        <f>IFERROR(LOOKUP(R540,打分卡!$F$11:$J$11,打分卡!$K$11:$O$11),1)</f>
        <v>3</v>
      </c>
      <c r="AH540" s="41">
        <f>IFERROR(LOOKUP(U540,打分卡!$F$12:$J$12,打分卡!$K$12:$O$12),1)</f>
        <v>4</v>
      </c>
      <c r="AI540" s="41">
        <f>IFERROR(LOOKUP(X540,打分卡!$F$13:$J$13,打分卡!$K$13:$O$13),1)</f>
        <v>2</v>
      </c>
      <c r="AJ540" s="41">
        <f>IFERROR(LOOKUP(Y540,打分卡!$F$14:$J$14,打分卡!$K$14:$O$14),1)</f>
        <v>3</v>
      </c>
      <c r="AK540" s="41">
        <f>IFERROR(LOOKUP(W540,打分卡!$F$15:$J$15,打分卡!$K$15:$O$15),1)</f>
        <v>2</v>
      </c>
      <c r="AL540" s="43">
        <f t="shared" si="65"/>
        <v>3</v>
      </c>
      <c r="AM540" s="41">
        <f>IFERROR(LOOKUP(Z540,打分卡!$F$17:$H$17,打分卡!$K$17:$M$17),1)</f>
        <v>1</v>
      </c>
      <c r="AN540" s="44">
        <f>(打分卡!$D$7*AC540+打分卡!$D$8*AD540+打分卡!$D$9*AE540)/5</f>
        <v>16.2</v>
      </c>
      <c r="AO540" s="44">
        <f>(打分卡!$D$10*AF540+打分卡!$D$11*AG540)/5</f>
        <v>10</v>
      </c>
      <c r="AP540" s="44">
        <f>(打分卡!$D$12*AH540+打分卡!$D$13*AI540+打分卡!$D$14*AJ540+打分卡!$D$15*AK540)/5</f>
        <v>18</v>
      </c>
      <c r="AQ540" s="44">
        <f>(打分卡!$D$16*AL540+打分卡!$D$17*AM540)/5</f>
        <v>4.4</v>
      </c>
      <c r="AR540" s="47">
        <f t="shared" si="66"/>
        <v>48.6</v>
      </c>
      <c r="AS540" s="43" t="str">
        <f t="shared" si="67"/>
        <v>腰部</v>
      </c>
      <c r="AT540" s="43" t="str">
        <f t="shared" si="68"/>
        <v/>
      </c>
      <c r="AU540" s="43" t="str">
        <f t="shared" si="69"/>
        <v>拉·主攻：主推AI外呼+大促作战包</v>
      </c>
    </row>
    <row r="541" ht="15" customHeight="1" spans="1:47">
      <c r="A541" s="20" t="s">
        <v>1672</v>
      </c>
      <c r="B541" s="22" t="s">
        <v>1673</v>
      </c>
      <c r="C541" s="22" t="s">
        <v>239</v>
      </c>
      <c r="D541" s="22" t="s">
        <v>227</v>
      </c>
      <c r="E541" s="22" t="s">
        <v>181</v>
      </c>
      <c r="F541" s="20" t="s">
        <v>1577</v>
      </c>
      <c r="G541" s="22">
        <v>16</v>
      </c>
      <c r="H541" s="22" t="s">
        <v>301</v>
      </c>
      <c r="I541" s="22" t="s">
        <v>184</v>
      </c>
      <c r="J541" s="36">
        <v>23000</v>
      </c>
      <c r="K541" s="36">
        <v>16500</v>
      </c>
      <c r="L541" s="36">
        <v>5300</v>
      </c>
      <c r="M541" s="36">
        <f t="shared" si="64"/>
        <v>44800</v>
      </c>
      <c r="N541" s="34">
        <f t="shared" si="70"/>
        <v>0.000234870265634076</v>
      </c>
      <c r="O541" s="35">
        <f>SUM($M$2:M541)</f>
        <v>180800600</v>
      </c>
      <c r="P541" s="34">
        <f t="shared" si="71"/>
        <v>0.947872431892866</v>
      </c>
      <c r="Q541" s="39">
        <v>4.3</v>
      </c>
      <c r="R541" s="22">
        <v>4</v>
      </c>
      <c r="S541" s="22">
        <v>2</v>
      </c>
      <c r="T541" s="22">
        <v>2</v>
      </c>
      <c r="U541" s="39">
        <v>34.3</v>
      </c>
      <c r="V541" s="22">
        <v>23</v>
      </c>
      <c r="W541" s="22">
        <v>2</v>
      </c>
      <c r="X541" s="40">
        <v>121</v>
      </c>
      <c r="Y541" s="22">
        <v>1</v>
      </c>
      <c r="Z541" s="22">
        <v>1</v>
      </c>
      <c r="AA541" s="22" t="s">
        <v>199</v>
      </c>
      <c r="AB541" s="22" t="s">
        <v>220</v>
      </c>
      <c r="AC541" s="42">
        <f>IFERROR(LOOKUP(M541,打分卡!$F$7:$J$7,打分卡!$K$7:$O$7),1)</f>
        <v>2</v>
      </c>
      <c r="AD541" s="42">
        <f>IFERROR(LOOKUP(S541,打分卡!$F$8:$J$8,打分卡!$K$8:$O$8),1)</f>
        <v>2</v>
      </c>
      <c r="AE541" s="42">
        <f>IFERROR(LOOKUP(T541,打分卡!$F$9:$I$9,打分卡!$K$9:$N$9),1)</f>
        <v>3</v>
      </c>
      <c r="AF541" s="42">
        <f>IFERROR(LOOKUP(Q541,打分卡!$F$10:$J$10,打分卡!$K$10:$O$10),1)</f>
        <v>2</v>
      </c>
      <c r="AG541" s="42">
        <f>IFERROR(LOOKUP(R541,打分卡!$F$11:$J$11,打分卡!$K$11:$O$11),1)</f>
        <v>2</v>
      </c>
      <c r="AH541" s="42">
        <f>IFERROR(LOOKUP(U541,打分卡!$F$12:$J$12,打分卡!$K$12:$O$12),1)</f>
        <v>4</v>
      </c>
      <c r="AI541" s="42">
        <f>IFERROR(LOOKUP(X541,打分卡!$F$13:$J$13,打分卡!$K$13:$O$13),1)</f>
        <v>4</v>
      </c>
      <c r="AJ541" s="42">
        <f>IFERROR(LOOKUP(Y541,打分卡!$F$14:$J$14,打分卡!$K$14:$O$14),1)</f>
        <v>2</v>
      </c>
      <c r="AK541" s="42">
        <f>IFERROR(LOOKUP(W541,打分卡!$F$15:$J$15,打分卡!$K$15:$O$15),1)</f>
        <v>2</v>
      </c>
      <c r="AL541" s="45">
        <f t="shared" si="65"/>
        <v>5</v>
      </c>
      <c r="AM541" s="42">
        <f>IFERROR(LOOKUP(Z541,打分卡!$F$17:$H$17,打分卡!$K$17:$M$17),1)</f>
        <v>3</v>
      </c>
      <c r="AN541" s="46">
        <f>(打分卡!$D$7*AC541+打分卡!$D$8*AD541+打分卡!$D$9*AE541)/5</f>
        <v>17.4</v>
      </c>
      <c r="AO541" s="46">
        <f>(打分卡!$D$10*AF541+打分卡!$D$11*AG541)/5</f>
        <v>8</v>
      </c>
      <c r="AP541" s="46">
        <f>(打分卡!$D$12*AH541+打分卡!$D$13*AI541+打分卡!$D$14*AJ541+打分卡!$D$15*AK541)/5</f>
        <v>20</v>
      </c>
      <c r="AQ541" s="46">
        <f>(打分卡!$D$16*AL541+打分卡!$D$17*AM541)/5</f>
        <v>8.4</v>
      </c>
      <c r="AR541" s="48">
        <f t="shared" si="66"/>
        <v>53.8</v>
      </c>
      <c r="AS541" s="45" t="str">
        <f t="shared" si="67"/>
        <v>腰部</v>
      </c>
      <c r="AT541" s="45" t="str">
        <f t="shared" si="68"/>
        <v/>
      </c>
      <c r="AU541" s="45" t="str">
        <f t="shared" si="69"/>
        <v>拉·主攻：主推AI外呼+大促作战包</v>
      </c>
    </row>
    <row r="542" ht="15" customHeight="1" spans="1:47">
      <c r="A542" s="30" t="s">
        <v>1674</v>
      </c>
      <c r="B542" s="31" t="s">
        <v>1675</v>
      </c>
      <c r="C542" s="31" t="s">
        <v>223</v>
      </c>
      <c r="D542" s="31" t="s">
        <v>196</v>
      </c>
      <c r="E542" s="31" t="s">
        <v>197</v>
      </c>
      <c r="F542" s="30" t="s">
        <v>1676</v>
      </c>
      <c r="G542" s="31">
        <v>17</v>
      </c>
      <c r="H542" s="31" t="s">
        <v>301</v>
      </c>
      <c r="I542" s="31" t="s">
        <v>302</v>
      </c>
      <c r="J542" s="33">
        <v>24700</v>
      </c>
      <c r="K542" s="33">
        <v>13400</v>
      </c>
      <c r="L542" s="33">
        <v>6400</v>
      </c>
      <c r="M542" s="33">
        <f t="shared" si="64"/>
        <v>44500</v>
      </c>
      <c r="N542" s="34">
        <f t="shared" si="70"/>
        <v>0.000233297473676705</v>
      </c>
      <c r="O542" s="35">
        <f>SUM($M$2:M542)</f>
        <v>180845100</v>
      </c>
      <c r="P542" s="34">
        <f t="shared" si="71"/>
        <v>0.948105729366542</v>
      </c>
      <c r="Q542" s="37">
        <v>6.1</v>
      </c>
      <c r="R542" s="31">
        <v>6</v>
      </c>
      <c r="S542" s="31">
        <v>3</v>
      </c>
      <c r="T542" s="31">
        <v>2</v>
      </c>
      <c r="U542" s="37">
        <v>2.8</v>
      </c>
      <c r="V542" s="31">
        <v>8</v>
      </c>
      <c r="W542" s="31">
        <v>0</v>
      </c>
      <c r="X542" s="38">
        <v>32</v>
      </c>
      <c r="Y542" s="31">
        <v>0</v>
      </c>
      <c r="Z542" s="31">
        <v>0</v>
      </c>
      <c r="AA542" s="31" t="s">
        <v>185</v>
      </c>
      <c r="AB542" s="31" t="s">
        <v>220</v>
      </c>
      <c r="AC542" s="41">
        <f>IFERROR(LOOKUP(M542,打分卡!$F$7:$J$7,打分卡!$K$7:$O$7),1)</f>
        <v>2</v>
      </c>
      <c r="AD542" s="41">
        <f>IFERROR(LOOKUP(S542,打分卡!$F$8:$J$8,打分卡!$K$8:$O$8),1)</f>
        <v>3</v>
      </c>
      <c r="AE542" s="41">
        <f>IFERROR(LOOKUP(T542,打分卡!$F$9:$I$9,打分卡!$K$9:$N$9),1)</f>
        <v>3</v>
      </c>
      <c r="AF542" s="41">
        <f>IFERROR(LOOKUP(Q542,打分卡!$F$10:$J$10,打分卡!$K$10:$O$10),1)</f>
        <v>2</v>
      </c>
      <c r="AG542" s="41">
        <f>IFERROR(LOOKUP(R542,打分卡!$F$11:$J$11,打分卡!$K$11:$O$11),1)</f>
        <v>3</v>
      </c>
      <c r="AH542" s="41">
        <f>IFERROR(LOOKUP(U542,打分卡!$F$12:$J$12,打分卡!$K$12:$O$12),1)</f>
        <v>2</v>
      </c>
      <c r="AI542" s="41">
        <f>IFERROR(LOOKUP(X542,打分卡!$F$13:$J$13,打分卡!$K$13:$O$13),1)</f>
        <v>2</v>
      </c>
      <c r="AJ542" s="41">
        <f>IFERROR(LOOKUP(Y542,打分卡!$F$14:$J$14,打分卡!$K$14:$O$14),1)</f>
        <v>1</v>
      </c>
      <c r="AK542" s="41">
        <f>IFERROR(LOOKUP(W542,打分卡!$F$15:$J$15,打分卡!$K$15:$O$15),1)</f>
        <v>1</v>
      </c>
      <c r="AL542" s="43">
        <f t="shared" si="65"/>
        <v>3</v>
      </c>
      <c r="AM542" s="41">
        <f>IFERROR(LOOKUP(Z542,打分卡!$F$17:$H$17,打分卡!$K$17:$M$17),1)</f>
        <v>1</v>
      </c>
      <c r="AN542" s="44">
        <f>(打分卡!$D$7*AC542+打分卡!$D$8*AD542+打分卡!$D$9*AE542)/5</f>
        <v>19</v>
      </c>
      <c r="AO542" s="44">
        <f>(打分卡!$D$10*AF542+打分卡!$D$11*AG542)/5</f>
        <v>10</v>
      </c>
      <c r="AP542" s="44">
        <f>(打分卡!$D$12*AH542+打分卡!$D$13*AI542+打分卡!$D$14*AJ542+打分卡!$D$15*AK542)/5</f>
        <v>10</v>
      </c>
      <c r="AQ542" s="44">
        <f>(打分卡!$D$16*AL542+打分卡!$D$17*AM542)/5</f>
        <v>4.4</v>
      </c>
      <c r="AR542" s="47">
        <f t="shared" si="66"/>
        <v>43.4</v>
      </c>
      <c r="AS542" s="43" t="str">
        <f t="shared" si="67"/>
        <v>腰部</v>
      </c>
      <c r="AT542" s="43" t="str">
        <f t="shared" si="68"/>
        <v/>
      </c>
      <c r="AU542" s="43" t="str">
        <f t="shared" si="69"/>
        <v>拉·主攻：主推AI外呼+大促作战包</v>
      </c>
    </row>
    <row r="543" ht="15" customHeight="1" spans="1:47">
      <c r="A543" s="20" t="s">
        <v>1677</v>
      </c>
      <c r="B543" s="22" t="s">
        <v>1678</v>
      </c>
      <c r="C543" s="22" t="s">
        <v>189</v>
      </c>
      <c r="D543" s="22" t="s">
        <v>202</v>
      </c>
      <c r="E543" s="22" t="s">
        <v>181</v>
      </c>
      <c r="F543" s="20" t="s">
        <v>1202</v>
      </c>
      <c r="G543" s="22">
        <v>5</v>
      </c>
      <c r="H543" s="22" t="s">
        <v>301</v>
      </c>
      <c r="I543" s="22" t="s">
        <v>302</v>
      </c>
      <c r="J543" s="36">
        <v>22900</v>
      </c>
      <c r="K543" s="36">
        <v>10200</v>
      </c>
      <c r="L543" s="36">
        <v>11300</v>
      </c>
      <c r="M543" s="36">
        <f t="shared" si="64"/>
        <v>44400</v>
      </c>
      <c r="N543" s="34">
        <f t="shared" si="70"/>
        <v>0.000232773209690915</v>
      </c>
      <c r="O543" s="35">
        <f>SUM($M$2:M543)</f>
        <v>180889500</v>
      </c>
      <c r="P543" s="34">
        <f t="shared" si="71"/>
        <v>0.948338502576233</v>
      </c>
      <c r="Q543" s="39">
        <v>4.1</v>
      </c>
      <c r="R543" s="22">
        <v>3</v>
      </c>
      <c r="S543" s="22">
        <v>2</v>
      </c>
      <c r="T543" s="22">
        <v>2</v>
      </c>
      <c r="U543" s="39">
        <v>42</v>
      </c>
      <c r="V543" s="22">
        <v>10</v>
      </c>
      <c r="W543" s="22">
        <v>3</v>
      </c>
      <c r="X543" s="40">
        <v>55</v>
      </c>
      <c r="Y543" s="22">
        <v>1</v>
      </c>
      <c r="Z543" s="22">
        <v>1</v>
      </c>
      <c r="AA543" s="22" t="s">
        <v>185</v>
      </c>
      <c r="AB543" s="22" t="s">
        <v>220</v>
      </c>
      <c r="AC543" s="42">
        <f>IFERROR(LOOKUP(M543,打分卡!$F$7:$J$7,打分卡!$K$7:$O$7),1)</f>
        <v>2</v>
      </c>
      <c r="AD543" s="42">
        <f>IFERROR(LOOKUP(S543,打分卡!$F$8:$J$8,打分卡!$K$8:$O$8),1)</f>
        <v>2</v>
      </c>
      <c r="AE543" s="42">
        <f>IFERROR(LOOKUP(T543,打分卡!$F$9:$I$9,打分卡!$K$9:$N$9),1)</f>
        <v>3</v>
      </c>
      <c r="AF543" s="42">
        <f>IFERROR(LOOKUP(Q543,打分卡!$F$10:$J$10,打分卡!$K$10:$O$10),1)</f>
        <v>2</v>
      </c>
      <c r="AG543" s="42">
        <f>IFERROR(LOOKUP(R543,打分卡!$F$11:$J$11,打分卡!$K$11:$O$11),1)</f>
        <v>2</v>
      </c>
      <c r="AH543" s="42">
        <f>IFERROR(LOOKUP(U543,打分卡!$F$12:$J$12,打分卡!$K$12:$O$12),1)</f>
        <v>4</v>
      </c>
      <c r="AI543" s="42">
        <f>IFERROR(LOOKUP(X543,打分卡!$F$13:$J$13,打分卡!$K$13:$O$13),1)</f>
        <v>3</v>
      </c>
      <c r="AJ543" s="42">
        <f>IFERROR(LOOKUP(Y543,打分卡!$F$14:$J$14,打分卡!$K$14:$O$14),1)</f>
        <v>2</v>
      </c>
      <c r="AK543" s="42">
        <f>IFERROR(LOOKUP(W543,打分卡!$F$15:$J$15,打分卡!$K$15:$O$15),1)</f>
        <v>3</v>
      </c>
      <c r="AL543" s="45">
        <f t="shared" si="65"/>
        <v>3</v>
      </c>
      <c r="AM543" s="42">
        <f>IFERROR(LOOKUP(Z543,打分卡!$F$17:$H$17,打分卡!$K$17:$M$17),1)</f>
        <v>3</v>
      </c>
      <c r="AN543" s="46">
        <f>(打分卡!$D$7*AC543+打分卡!$D$8*AD543+打分卡!$D$9*AE543)/5</f>
        <v>17.4</v>
      </c>
      <c r="AO543" s="46">
        <f>(打分卡!$D$10*AF543+打分卡!$D$11*AG543)/5</f>
        <v>8</v>
      </c>
      <c r="AP543" s="46">
        <f>(打分卡!$D$12*AH543+打分卡!$D$13*AI543+打分卡!$D$14*AJ543+打分卡!$D$15*AK543)/5</f>
        <v>19.2</v>
      </c>
      <c r="AQ543" s="46">
        <f>(打分卡!$D$16*AL543+打分卡!$D$17*AM543)/5</f>
        <v>6</v>
      </c>
      <c r="AR543" s="48">
        <f t="shared" si="66"/>
        <v>50.6</v>
      </c>
      <c r="AS543" s="45" t="str">
        <f t="shared" si="67"/>
        <v>腰部</v>
      </c>
      <c r="AT543" s="45" t="str">
        <f t="shared" si="68"/>
        <v/>
      </c>
      <c r="AU543" s="45" t="str">
        <f t="shared" si="69"/>
        <v>拉·主攻：主推AI外呼+大促作战包</v>
      </c>
    </row>
    <row r="544" ht="15" customHeight="1" spans="1:47">
      <c r="A544" s="30" t="s">
        <v>1679</v>
      </c>
      <c r="B544" s="31" t="s">
        <v>1680</v>
      </c>
      <c r="C544" s="31" t="s">
        <v>189</v>
      </c>
      <c r="D544" s="31" t="s">
        <v>235</v>
      </c>
      <c r="E544" s="31" t="s">
        <v>181</v>
      </c>
      <c r="F544" s="30" t="s">
        <v>711</v>
      </c>
      <c r="G544" s="31">
        <v>23</v>
      </c>
      <c r="H544" s="31" t="s">
        <v>301</v>
      </c>
      <c r="I544" s="31" t="s">
        <v>184</v>
      </c>
      <c r="J544" s="33">
        <v>28400</v>
      </c>
      <c r="K544" s="33">
        <v>9700</v>
      </c>
      <c r="L544" s="33">
        <v>6100</v>
      </c>
      <c r="M544" s="33">
        <f t="shared" si="64"/>
        <v>44200</v>
      </c>
      <c r="N544" s="34">
        <f t="shared" si="70"/>
        <v>0.000231724681719334</v>
      </c>
      <c r="O544" s="35">
        <f>SUM($M$2:M544)</f>
        <v>180933700</v>
      </c>
      <c r="P544" s="34">
        <f t="shared" si="71"/>
        <v>0.948570227257953</v>
      </c>
      <c r="Q544" s="37">
        <v>3.9</v>
      </c>
      <c r="R544" s="31">
        <v>2</v>
      </c>
      <c r="S544" s="31">
        <v>1</v>
      </c>
      <c r="T544" s="31">
        <v>2</v>
      </c>
      <c r="U544" s="37">
        <v>12</v>
      </c>
      <c r="V544" s="31">
        <v>22</v>
      </c>
      <c r="W544" s="31">
        <v>1</v>
      </c>
      <c r="X544" s="38">
        <v>33</v>
      </c>
      <c r="Y544" s="31">
        <v>3</v>
      </c>
      <c r="Z544" s="31">
        <v>0</v>
      </c>
      <c r="AA544" s="31" t="s">
        <v>199</v>
      </c>
      <c r="AB544" s="31" t="s">
        <v>220</v>
      </c>
      <c r="AC544" s="41">
        <f>IFERROR(LOOKUP(M544,打分卡!$F$7:$J$7,打分卡!$K$7:$O$7),1)</f>
        <v>2</v>
      </c>
      <c r="AD544" s="41">
        <f>IFERROR(LOOKUP(S544,打分卡!$F$8:$J$8,打分卡!$K$8:$O$8),1)</f>
        <v>1</v>
      </c>
      <c r="AE544" s="41">
        <f>IFERROR(LOOKUP(T544,打分卡!$F$9:$I$9,打分卡!$K$9:$N$9),1)</f>
        <v>3</v>
      </c>
      <c r="AF544" s="41">
        <f>IFERROR(LOOKUP(Q544,打分卡!$F$10:$J$10,打分卡!$K$10:$O$10),1)</f>
        <v>2</v>
      </c>
      <c r="AG544" s="41">
        <f>IFERROR(LOOKUP(R544,打分卡!$F$11:$J$11,打分卡!$K$11:$O$11),1)</f>
        <v>1</v>
      </c>
      <c r="AH544" s="41">
        <f>IFERROR(LOOKUP(U544,打分卡!$F$12:$J$12,打分卡!$K$12:$O$12),1)</f>
        <v>3</v>
      </c>
      <c r="AI544" s="41">
        <f>IFERROR(LOOKUP(X544,打分卡!$F$13:$J$13,打分卡!$K$13:$O$13),1)</f>
        <v>2</v>
      </c>
      <c r="AJ544" s="41">
        <f>IFERROR(LOOKUP(Y544,打分卡!$F$14:$J$14,打分卡!$K$14:$O$14),1)</f>
        <v>4</v>
      </c>
      <c r="AK544" s="41">
        <f>IFERROR(LOOKUP(W544,打分卡!$F$15:$J$15,打分卡!$K$15:$O$15),1)</f>
        <v>2</v>
      </c>
      <c r="AL544" s="43">
        <f t="shared" si="65"/>
        <v>5</v>
      </c>
      <c r="AM544" s="41">
        <f>IFERROR(LOOKUP(Z544,打分卡!$F$17:$H$17,打分卡!$K$17:$M$17),1)</f>
        <v>1</v>
      </c>
      <c r="AN544" s="44">
        <f>(打分卡!$D$7*AC544+打分卡!$D$8*AD544+打分卡!$D$9*AE544)/5</f>
        <v>15.8</v>
      </c>
      <c r="AO544" s="44">
        <f>(打分卡!$D$10*AF544+打分卡!$D$11*AG544)/5</f>
        <v>6</v>
      </c>
      <c r="AP544" s="44">
        <f>(打分卡!$D$12*AH544+打分卡!$D$13*AI544+打分卡!$D$14*AJ544+打分卡!$D$15*AK544)/5</f>
        <v>16.8</v>
      </c>
      <c r="AQ544" s="44">
        <f>(打分卡!$D$16*AL544+打分卡!$D$17*AM544)/5</f>
        <v>6.8</v>
      </c>
      <c r="AR544" s="47">
        <f t="shared" si="66"/>
        <v>45.4</v>
      </c>
      <c r="AS544" s="43" t="str">
        <f t="shared" si="67"/>
        <v>腰部</v>
      </c>
      <c r="AT544" s="43" t="str">
        <f t="shared" si="68"/>
        <v/>
      </c>
      <c r="AU544" s="43" t="str">
        <f t="shared" si="69"/>
        <v>拉·主攻：主推AI外呼+大促作战包</v>
      </c>
    </row>
    <row r="545" ht="15" customHeight="1" spans="1:47">
      <c r="A545" s="20" t="s">
        <v>1681</v>
      </c>
      <c r="B545" s="22" t="s">
        <v>1682</v>
      </c>
      <c r="C545" s="22" t="s">
        <v>189</v>
      </c>
      <c r="D545" s="22" t="s">
        <v>190</v>
      </c>
      <c r="E545" s="22" t="s">
        <v>181</v>
      </c>
      <c r="F545" s="20" t="s">
        <v>1683</v>
      </c>
      <c r="G545" s="22">
        <v>14</v>
      </c>
      <c r="H545" s="22" t="s">
        <v>301</v>
      </c>
      <c r="I545" s="22" t="s">
        <v>184</v>
      </c>
      <c r="J545" s="36">
        <v>27700</v>
      </c>
      <c r="K545" s="36">
        <v>14300</v>
      </c>
      <c r="L545" s="36">
        <v>2200</v>
      </c>
      <c r="M545" s="36">
        <f t="shared" si="64"/>
        <v>44200</v>
      </c>
      <c r="N545" s="34">
        <f t="shared" si="70"/>
        <v>0.000231724681719334</v>
      </c>
      <c r="O545" s="35">
        <f>SUM($M$2:M545)</f>
        <v>180977900</v>
      </c>
      <c r="P545" s="34">
        <f t="shared" si="71"/>
        <v>0.948801951939672</v>
      </c>
      <c r="Q545" s="39">
        <v>2.9</v>
      </c>
      <c r="R545" s="22">
        <v>5</v>
      </c>
      <c r="S545" s="22">
        <v>2</v>
      </c>
      <c r="T545" s="22">
        <v>0</v>
      </c>
      <c r="U545" s="39">
        <v>14.5</v>
      </c>
      <c r="V545" s="22">
        <v>26</v>
      </c>
      <c r="W545" s="22">
        <v>3</v>
      </c>
      <c r="X545" s="40">
        <v>11</v>
      </c>
      <c r="Y545" s="22">
        <v>2</v>
      </c>
      <c r="Z545" s="22">
        <v>0</v>
      </c>
      <c r="AA545" s="22" t="s">
        <v>315</v>
      </c>
      <c r="AB545" s="22" t="s">
        <v>220</v>
      </c>
      <c r="AC545" s="42">
        <f>IFERROR(LOOKUP(M545,打分卡!$F$7:$J$7,打分卡!$K$7:$O$7),1)</f>
        <v>2</v>
      </c>
      <c r="AD545" s="42">
        <f>IFERROR(LOOKUP(S545,打分卡!$F$8:$J$8,打分卡!$K$8:$O$8),1)</f>
        <v>2</v>
      </c>
      <c r="AE545" s="42">
        <f>IFERROR(LOOKUP(T545,打分卡!$F$9:$I$9,打分卡!$K$9:$N$9),1)</f>
        <v>1</v>
      </c>
      <c r="AF545" s="42">
        <f>IFERROR(LOOKUP(Q545,打分卡!$F$10:$J$10,打分卡!$K$10:$O$10),1)</f>
        <v>2</v>
      </c>
      <c r="AG545" s="42">
        <f>IFERROR(LOOKUP(R545,打分卡!$F$11:$J$11,打分卡!$K$11:$O$11),1)</f>
        <v>3</v>
      </c>
      <c r="AH545" s="42">
        <f>IFERROR(LOOKUP(U545,打分卡!$F$12:$J$12,打分卡!$K$12:$O$12),1)</f>
        <v>3</v>
      </c>
      <c r="AI545" s="42">
        <f>IFERROR(LOOKUP(X545,打分卡!$F$13:$J$13,打分卡!$K$13:$O$13),1)</f>
        <v>1</v>
      </c>
      <c r="AJ545" s="42">
        <f>IFERROR(LOOKUP(Y545,打分卡!$F$14:$J$14,打分卡!$K$14:$O$14),1)</f>
        <v>3</v>
      </c>
      <c r="AK545" s="42">
        <f>IFERROR(LOOKUP(W545,打分卡!$F$15:$J$15,打分卡!$K$15:$O$15),1)</f>
        <v>3</v>
      </c>
      <c r="AL545" s="45">
        <f t="shared" si="65"/>
        <v>2</v>
      </c>
      <c r="AM545" s="42">
        <f>IFERROR(LOOKUP(Z545,打分卡!$F$17:$H$17,打分卡!$K$17:$M$17),1)</f>
        <v>1</v>
      </c>
      <c r="AN545" s="46">
        <f>(打分卡!$D$7*AC545+打分卡!$D$8*AD545+打分卡!$D$9*AE545)/5</f>
        <v>14.6</v>
      </c>
      <c r="AO545" s="46">
        <f>(打分卡!$D$10*AF545+打分卡!$D$11*AG545)/5</f>
        <v>10</v>
      </c>
      <c r="AP545" s="46">
        <f>(打分卡!$D$12*AH545+打分卡!$D$13*AI545+打分卡!$D$14*AJ545+打分卡!$D$15*AK545)/5</f>
        <v>14.8</v>
      </c>
      <c r="AQ545" s="46">
        <f>(打分卡!$D$16*AL545+打分卡!$D$17*AM545)/5</f>
        <v>3.2</v>
      </c>
      <c r="AR545" s="48">
        <f t="shared" si="66"/>
        <v>42.6</v>
      </c>
      <c r="AS545" s="45" t="str">
        <f t="shared" si="67"/>
        <v>腰部</v>
      </c>
      <c r="AT545" s="45" t="str">
        <f t="shared" si="68"/>
        <v/>
      </c>
      <c r="AU545" s="45" t="str">
        <f t="shared" si="69"/>
        <v>拉·主攻：主推AI外呼+大促作战包</v>
      </c>
    </row>
    <row r="546" ht="15" customHeight="1" spans="1:47">
      <c r="A546" s="30" t="s">
        <v>1684</v>
      </c>
      <c r="B546" s="31" t="s">
        <v>1685</v>
      </c>
      <c r="C546" s="31" t="s">
        <v>218</v>
      </c>
      <c r="D546" s="31" t="s">
        <v>196</v>
      </c>
      <c r="E546" s="31" t="s">
        <v>197</v>
      </c>
      <c r="F546" s="30" t="s">
        <v>505</v>
      </c>
      <c r="G546" s="31">
        <v>23</v>
      </c>
      <c r="H546" s="31" t="s">
        <v>301</v>
      </c>
      <c r="I546" s="31" t="s">
        <v>184</v>
      </c>
      <c r="J546" s="33">
        <v>20500</v>
      </c>
      <c r="K546" s="33">
        <v>9000</v>
      </c>
      <c r="L546" s="33">
        <v>14500</v>
      </c>
      <c r="M546" s="33">
        <f t="shared" si="64"/>
        <v>44000</v>
      </c>
      <c r="N546" s="34">
        <f t="shared" si="70"/>
        <v>0.000230676153747754</v>
      </c>
      <c r="O546" s="35">
        <f>SUM($M$2:M546)</f>
        <v>181021900</v>
      </c>
      <c r="P546" s="34">
        <f t="shared" si="71"/>
        <v>0.94903262809342</v>
      </c>
      <c r="Q546" s="37">
        <v>6.1</v>
      </c>
      <c r="R546" s="31">
        <v>4</v>
      </c>
      <c r="S546" s="31">
        <v>1</v>
      </c>
      <c r="T546" s="31">
        <v>0</v>
      </c>
      <c r="U546" s="37">
        <v>2.4</v>
      </c>
      <c r="V546" s="31">
        <v>15</v>
      </c>
      <c r="W546" s="31">
        <v>0</v>
      </c>
      <c r="X546" s="38">
        <v>65</v>
      </c>
      <c r="Y546" s="31">
        <v>3</v>
      </c>
      <c r="Z546" s="31">
        <v>0</v>
      </c>
      <c r="AA546" s="31" t="s">
        <v>185</v>
      </c>
      <c r="AB546" s="31" t="s">
        <v>220</v>
      </c>
      <c r="AC546" s="41">
        <f>IFERROR(LOOKUP(M546,打分卡!$F$7:$J$7,打分卡!$K$7:$O$7),1)</f>
        <v>2</v>
      </c>
      <c r="AD546" s="41">
        <f>IFERROR(LOOKUP(S546,打分卡!$F$8:$J$8,打分卡!$K$8:$O$8),1)</f>
        <v>1</v>
      </c>
      <c r="AE546" s="41">
        <f>IFERROR(LOOKUP(T546,打分卡!$F$9:$I$9,打分卡!$K$9:$N$9),1)</f>
        <v>1</v>
      </c>
      <c r="AF546" s="41">
        <f>IFERROR(LOOKUP(Q546,打分卡!$F$10:$J$10,打分卡!$K$10:$O$10),1)</f>
        <v>2</v>
      </c>
      <c r="AG546" s="41">
        <f>IFERROR(LOOKUP(R546,打分卡!$F$11:$J$11,打分卡!$K$11:$O$11),1)</f>
        <v>2</v>
      </c>
      <c r="AH546" s="41">
        <f>IFERROR(LOOKUP(U546,打分卡!$F$12:$J$12,打分卡!$K$12:$O$12),1)</f>
        <v>1</v>
      </c>
      <c r="AI546" s="41">
        <f>IFERROR(LOOKUP(X546,打分卡!$F$13:$J$13,打分卡!$K$13:$O$13),1)</f>
        <v>3</v>
      </c>
      <c r="AJ546" s="41">
        <f>IFERROR(LOOKUP(Y546,打分卡!$F$14:$J$14,打分卡!$K$14:$O$14),1)</f>
        <v>4</v>
      </c>
      <c r="AK546" s="41">
        <f>IFERROR(LOOKUP(W546,打分卡!$F$15:$J$15,打分卡!$K$15:$O$15),1)</f>
        <v>1</v>
      </c>
      <c r="AL546" s="43">
        <f t="shared" si="65"/>
        <v>3</v>
      </c>
      <c r="AM546" s="41">
        <f>IFERROR(LOOKUP(Z546,打分卡!$F$17:$H$17,打分卡!$K$17:$M$17),1)</f>
        <v>1</v>
      </c>
      <c r="AN546" s="44">
        <f>(打分卡!$D$7*AC546+打分卡!$D$8*AD546+打分卡!$D$9*AE546)/5</f>
        <v>13</v>
      </c>
      <c r="AO546" s="44">
        <f>(打分卡!$D$10*AF546+打分卡!$D$11*AG546)/5</f>
        <v>8</v>
      </c>
      <c r="AP546" s="44">
        <f>(打分卡!$D$12*AH546+打分卡!$D$13*AI546+打分卡!$D$14*AJ546+打分卡!$D$15*AK546)/5</f>
        <v>12.8</v>
      </c>
      <c r="AQ546" s="44">
        <f>(打分卡!$D$16*AL546+打分卡!$D$17*AM546)/5</f>
        <v>4.4</v>
      </c>
      <c r="AR546" s="47">
        <f t="shared" si="66"/>
        <v>38.2</v>
      </c>
      <c r="AS546" s="43" t="str">
        <f t="shared" si="67"/>
        <v>基础长尾</v>
      </c>
      <c r="AT546" s="43" t="str">
        <f t="shared" si="68"/>
        <v/>
      </c>
      <c r="AU546" s="43" t="str">
        <f t="shared" si="69"/>
        <v>激活：企微+Push低成本先跑</v>
      </c>
    </row>
    <row r="547" ht="15" customHeight="1" spans="1:47">
      <c r="A547" s="20" t="s">
        <v>1686</v>
      </c>
      <c r="B547" s="22" t="s">
        <v>1687</v>
      </c>
      <c r="C547" s="22" t="s">
        <v>234</v>
      </c>
      <c r="D547" s="22" t="s">
        <v>227</v>
      </c>
      <c r="E547" s="22" t="s">
        <v>181</v>
      </c>
      <c r="F547" s="20" t="s">
        <v>508</v>
      </c>
      <c r="G547" s="22">
        <v>17</v>
      </c>
      <c r="H547" s="22" t="s">
        <v>301</v>
      </c>
      <c r="I547" s="22" t="s">
        <v>184</v>
      </c>
      <c r="J547" s="36">
        <v>27200</v>
      </c>
      <c r="K547" s="36">
        <v>11300</v>
      </c>
      <c r="L547" s="36">
        <v>5200</v>
      </c>
      <c r="M547" s="36">
        <f t="shared" si="64"/>
        <v>43700</v>
      </c>
      <c r="N547" s="34">
        <f t="shared" si="70"/>
        <v>0.000229103361790382</v>
      </c>
      <c r="O547" s="35">
        <f>SUM($M$2:M547)</f>
        <v>181065600</v>
      </c>
      <c r="P547" s="34">
        <f t="shared" si="71"/>
        <v>0.94926173145521</v>
      </c>
      <c r="Q547" s="39">
        <v>6.8</v>
      </c>
      <c r="R547" s="22">
        <v>3</v>
      </c>
      <c r="S547" s="22">
        <v>3</v>
      </c>
      <c r="T547" s="22">
        <v>2</v>
      </c>
      <c r="U547" s="39">
        <v>50.8</v>
      </c>
      <c r="V547" s="22">
        <v>19</v>
      </c>
      <c r="W547" s="22">
        <v>1</v>
      </c>
      <c r="X547" s="40">
        <v>65</v>
      </c>
      <c r="Y547" s="22">
        <v>3</v>
      </c>
      <c r="Z547" s="22">
        <v>0</v>
      </c>
      <c r="AA547" s="22" t="s">
        <v>185</v>
      </c>
      <c r="AB547" s="22" t="s">
        <v>220</v>
      </c>
      <c r="AC547" s="42">
        <f>IFERROR(LOOKUP(M547,打分卡!$F$7:$J$7,打分卡!$K$7:$O$7),1)</f>
        <v>2</v>
      </c>
      <c r="AD547" s="42">
        <f>IFERROR(LOOKUP(S547,打分卡!$F$8:$J$8,打分卡!$K$8:$O$8),1)</f>
        <v>3</v>
      </c>
      <c r="AE547" s="42">
        <f>IFERROR(LOOKUP(T547,打分卡!$F$9:$I$9,打分卡!$K$9:$N$9),1)</f>
        <v>3</v>
      </c>
      <c r="AF547" s="42">
        <f>IFERROR(LOOKUP(Q547,打分卡!$F$10:$J$10,打分卡!$K$10:$O$10),1)</f>
        <v>2</v>
      </c>
      <c r="AG547" s="42">
        <f>IFERROR(LOOKUP(R547,打分卡!$F$11:$J$11,打分卡!$K$11:$O$11),1)</f>
        <v>2</v>
      </c>
      <c r="AH547" s="42">
        <f>IFERROR(LOOKUP(U547,打分卡!$F$12:$J$12,打分卡!$K$12:$O$12),1)</f>
        <v>4</v>
      </c>
      <c r="AI547" s="42">
        <f>IFERROR(LOOKUP(X547,打分卡!$F$13:$J$13,打分卡!$K$13:$O$13),1)</f>
        <v>3</v>
      </c>
      <c r="AJ547" s="42">
        <f>IFERROR(LOOKUP(Y547,打分卡!$F$14:$J$14,打分卡!$K$14:$O$14),1)</f>
        <v>4</v>
      </c>
      <c r="AK547" s="42">
        <f>IFERROR(LOOKUP(W547,打分卡!$F$15:$J$15,打分卡!$K$15:$O$15),1)</f>
        <v>2</v>
      </c>
      <c r="AL547" s="45">
        <f t="shared" si="65"/>
        <v>3</v>
      </c>
      <c r="AM547" s="42">
        <f>IFERROR(LOOKUP(Z547,打分卡!$F$17:$H$17,打分卡!$K$17:$M$17),1)</f>
        <v>1</v>
      </c>
      <c r="AN547" s="46">
        <f>(打分卡!$D$7*AC547+打分卡!$D$8*AD547+打分卡!$D$9*AE547)/5</f>
        <v>19</v>
      </c>
      <c r="AO547" s="46">
        <f>(打分卡!$D$10*AF547+打分卡!$D$11*AG547)/5</f>
        <v>8</v>
      </c>
      <c r="AP547" s="46">
        <f>(打分卡!$D$12*AH547+打分卡!$D$13*AI547+打分卡!$D$14*AJ547+打分卡!$D$15*AK547)/5</f>
        <v>20.8</v>
      </c>
      <c r="AQ547" s="46">
        <f>(打分卡!$D$16*AL547+打分卡!$D$17*AM547)/5</f>
        <v>4.4</v>
      </c>
      <c r="AR547" s="48">
        <f t="shared" si="66"/>
        <v>52.2</v>
      </c>
      <c r="AS547" s="45" t="str">
        <f t="shared" si="67"/>
        <v>腰部</v>
      </c>
      <c r="AT547" s="45" t="str">
        <f t="shared" si="68"/>
        <v/>
      </c>
      <c r="AU547" s="45" t="str">
        <f t="shared" si="69"/>
        <v>拉·主攻：主推AI外呼+大促作战包</v>
      </c>
    </row>
    <row r="548" ht="15" customHeight="1" spans="1:47">
      <c r="A548" s="30" t="s">
        <v>1688</v>
      </c>
      <c r="B548" s="31" t="s">
        <v>1689</v>
      </c>
      <c r="C548" s="31" t="s">
        <v>189</v>
      </c>
      <c r="D548" s="31" t="s">
        <v>227</v>
      </c>
      <c r="E548" s="31" t="s">
        <v>181</v>
      </c>
      <c r="F548" s="30" t="s">
        <v>1574</v>
      </c>
      <c r="G548" s="31">
        <v>24</v>
      </c>
      <c r="H548" s="31" t="s">
        <v>301</v>
      </c>
      <c r="I548" s="31" t="s">
        <v>302</v>
      </c>
      <c r="J548" s="33">
        <v>24300</v>
      </c>
      <c r="K548" s="33">
        <v>9700</v>
      </c>
      <c r="L548" s="33">
        <v>9600</v>
      </c>
      <c r="M548" s="33">
        <f t="shared" si="64"/>
        <v>43600</v>
      </c>
      <c r="N548" s="34">
        <f t="shared" si="70"/>
        <v>0.000228579097804592</v>
      </c>
      <c r="O548" s="35">
        <f>SUM($M$2:M548)</f>
        <v>181109200</v>
      </c>
      <c r="P548" s="34">
        <f t="shared" si="71"/>
        <v>0.949490310553015</v>
      </c>
      <c r="Q548" s="37">
        <v>5.9</v>
      </c>
      <c r="R548" s="31">
        <v>8</v>
      </c>
      <c r="S548" s="31">
        <v>3</v>
      </c>
      <c r="T548" s="31">
        <v>2</v>
      </c>
      <c r="U548" s="37">
        <v>4.3</v>
      </c>
      <c r="V548" s="31">
        <v>3</v>
      </c>
      <c r="W548" s="31">
        <v>2</v>
      </c>
      <c r="X548" s="38">
        <v>18</v>
      </c>
      <c r="Y548" s="31">
        <v>3</v>
      </c>
      <c r="Z548" s="31">
        <v>0</v>
      </c>
      <c r="AA548" s="31" t="s">
        <v>185</v>
      </c>
      <c r="AB548" s="31" t="s">
        <v>220</v>
      </c>
      <c r="AC548" s="41">
        <f>IFERROR(LOOKUP(M548,打分卡!$F$7:$J$7,打分卡!$K$7:$O$7),1)</f>
        <v>2</v>
      </c>
      <c r="AD548" s="41">
        <f>IFERROR(LOOKUP(S548,打分卡!$F$8:$J$8,打分卡!$K$8:$O$8),1)</f>
        <v>3</v>
      </c>
      <c r="AE548" s="41">
        <f>IFERROR(LOOKUP(T548,打分卡!$F$9:$I$9,打分卡!$K$9:$N$9),1)</f>
        <v>3</v>
      </c>
      <c r="AF548" s="41">
        <f>IFERROR(LOOKUP(Q548,打分卡!$F$10:$J$10,打分卡!$K$10:$O$10),1)</f>
        <v>2</v>
      </c>
      <c r="AG548" s="41">
        <f>IFERROR(LOOKUP(R548,打分卡!$F$11:$J$11,打分卡!$K$11:$O$11),1)</f>
        <v>3</v>
      </c>
      <c r="AH548" s="41">
        <f>IFERROR(LOOKUP(U548,打分卡!$F$12:$J$12,打分卡!$K$12:$O$12),1)</f>
        <v>2</v>
      </c>
      <c r="AI548" s="41">
        <f>IFERROR(LOOKUP(X548,打分卡!$F$13:$J$13,打分卡!$K$13:$O$13),1)</f>
        <v>2</v>
      </c>
      <c r="AJ548" s="41">
        <f>IFERROR(LOOKUP(Y548,打分卡!$F$14:$J$14,打分卡!$K$14:$O$14),1)</f>
        <v>4</v>
      </c>
      <c r="AK548" s="41">
        <f>IFERROR(LOOKUP(W548,打分卡!$F$15:$J$15,打分卡!$K$15:$O$15),1)</f>
        <v>2</v>
      </c>
      <c r="AL548" s="43">
        <f t="shared" si="65"/>
        <v>3</v>
      </c>
      <c r="AM548" s="41">
        <f>IFERROR(LOOKUP(Z548,打分卡!$F$17:$H$17,打分卡!$K$17:$M$17),1)</f>
        <v>1</v>
      </c>
      <c r="AN548" s="44">
        <f>(打分卡!$D$7*AC548+打分卡!$D$8*AD548+打分卡!$D$9*AE548)/5</f>
        <v>19</v>
      </c>
      <c r="AO548" s="44">
        <f>(打分卡!$D$10*AF548+打分卡!$D$11*AG548)/5</f>
        <v>10</v>
      </c>
      <c r="AP548" s="44">
        <f>(打分卡!$D$12*AH548+打分卡!$D$13*AI548+打分卡!$D$14*AJ548+打分卡!$D$15*AK548)/5</f>
        <v>14.4</v>
      </c>
      <c r="AQ548" s="44">
        <f>(打分卡!$D$16*AL548+打分卡!$D$17*AM548)/5</f>
        <v>4.4</v>
      </c>
      <c r="AR548" s="47">
        <f t="shared" si="66"/>
        <v>47.8</v>
      </c>
      <c r="AS548" s="43" t="str">
        <f t="shared" si="67"/>
        <v>腰部</v>
      </c>
      <c r="AT548" s="43" t="str">
        <f t="shared" si="68"/>
        <v/>
      </c>
      <c r="AU548" s="43" t="str">
        <f t="shared" si="69"/>
        <v>拉·主攻：主推AI外呼+大促作战包</v>
      </c>
    </row>
    <row r="549" ht="15" customHeight="1" spans="1:47">
      <c r="A549" s="20" t="s">
        <v>1690</v>
      </c>
      <c r="B549" s="22" t="s">
        <v>1691</v>
      </c>
      <c r="C549" s="22" t="s">
        <v>179</v>
      </c>
      <c r="D549" s="22" t="s">
        <v>235</v>
      </c>
      <c r="E549" s="22" t="s">
        <v>197</v>
      </c>
      <c r="F549" s="20" t="s">
        <v>1692</v>
      </c>
      <c r="G549" s="22">
        <v>6</v>
      </c>
      <c r="H549" s="22" t="s">
        <v>183</v>
      </c>
      <c r="I549" s="22" t="s">
        <v>184</v>
      </c>
      <c r="J549" s="36">
        <v>26500</v>
      </c>
      <c r="K549" s="36">
        <v>14700</v>
      </c>
      <c r="L549" s="36">
        <v>2400</v>
      </c>
      <c r="M549" s="36">
        <f t="shared" si="64"/>
        <v>43600</v>
      </c>
      <c r="N549" s="34">
        <f t="shared" si="70"/>
        <v>0.000228579097804592</v>
      </c>
      <c r="O549" s="35">
        <f>SUM($M$2:M549)</f>
        <v>181152800</v>
      </c>
      <c r="P549" s="34">
        <f t="shared" si="71"/>
        <v>0.949718889650819</v>
      </c>
      <c r="Q549" s="39">
        <v>3.8</v>
      </c>
      <c r="R549" s="22">
        <v>9</v>
      </c>
      <c r="S549" s="22">
        <v>3</v>
      </c>
      <c r="T549" s="22">
        <v>0</v>
      </c>
      <c r="U549" s="39">
        <v>32.2</v>
      </c>
      <c r="V549" s="22">
        <v>16</v>
      </c>
      <c r="W549" s="22">
        <v>4</v>
      </c>
      <c r="X549" s="40">
        <v>96</v>
      </c>
      <c r="Y549" s="22">
        <v>2</v>
      </c>
      <c r="Z549" s="22">
        <v>0</v>
      </c>
      <c r="AA549" s="22" t="s">
        <v>185</v>
      </c>
      <c r="AB549" s="22" t="s">
        <v>220</v>
      </c>
      <c r="AC549" s="42">
        <f>IFERROR(LOOKUP(M549,打分卡!$F$7:$J$7,打分卡!$K$7:$O$7),1)</f>
        <v>2</v>
      </c>
      <c r="AD549" s="42">
        <f>IFERROR(LOOKUP(S549,打分卡!$F$8:$J$8,打分卡!$K$8:$O$8),1)</f>
        <v>3</v>
      </c>
      <c r="AE549" s="42">
        <f>IFERROR(LOOKUP(T549,打分卡!$F$9:$I$9,打分卡!$K$9:$N$9),1)</f>
        <v>1</v>
      </c>
      <c r="AF549" s="42">
        <f>IFERROR(LOOKUP(Q549,打分卡!$F$10:$J$10,打分卡!$K$10:$O$10),1)</f>
        <v>2</v>
      </c>
      <c r="AG549" s="42">
        <f>IFERROR(LOOKUP(R549,打分卡!$F$11:$J$11,打分卡!$K$11:$O$11),1)</f>
        <v>4</v>
      </c>
      <c r="AH549" s="42">
        <f>IFERROR(LOOKUP(U549,打分卡!$F$12:$J$12,打分卡!$K$12:$O$12),1)</f>
        <v>3</v>
      </c>
      <c r="AI549" s="42">
        <f>IFERROR(LOOKUP(X549,打分卡!$F$13:$J$13,打分卡!$K$13:$O$13),1)</f>
        <v>4</v>
      </c>
      <c r="AJ549" s="42">
        <f>IFERROR(LOOKUP(Y549,打分卡!$F$14:$J$14,打分卡!$K$14:$O$14),1)</f>
        <v>3</v>
      </c>
      <c r="AK549" s="42">
        <f>IFERROR(LOOKUP(W549,打分卡!$F$15:$J$15,打分卡!$K$15:$O$15),1)</f>
        <v>3</v>
      </c>
      <c r="AL549" s="45">
        <f t="shared" si="65"/>
        <v>3</v>
      </c>
      <c r="AM549" s="42">
        <f>IFERROR(LOOKUP(Z549,打分卡!$F$17:$H$17,打分卡!$K$17:$M$17),1)</f>
        <v>1</v>
      </c>
      <c r="AN549" s="46">
        <f>(打分卡!$D$7*AC549+打分卡!$D$8*AD549+打分卡!$D$9*AE549)/5</f>
        <v>16.2</v>
      </c>
      <c r="AO549" s="46">
        <f>(打分卡!$D$10*AF549+打分卡!$D$11*AG549)/5</f>
        <v>12</v>
      </c>
      <c r="AP549" s="46">
        <f>(打分卡!$D$12*AH549+打分卡!$D$13*AI549+打分卡!$D$14*AJ549+打分卡!$D$15*AK549)/5</f>
        <v>19.6</v>
      </c>
      <c r="AQ549" s="46">
        <f>(打分卡!$D$16*AL549+打分卡!$D$17*AM549)/5</f>
        <v>4.4</v>
      </c>
      <c r="AR549" s="48">
        <f t="shared" si="66"/>
        <v>52.2</v>
      </c>
      <c r="AS549" s="45" t="str">
        <f t="shared" si="67"/>
        <v>腰部</v>
      </c>
      <c r="AT549" s="45" t="str">
        <f t="shared" si="68"/>
        <v/>
      </c>
      <c r="AU549" s="45" t="str">
        <f t="shared" si="69"/>
        <v>拉·主攻：主推AI外呼+大促作战包</v>
      </c>
    </row>
    <row r="550" ht="15" customHeight="1" spans="1:47">
      <c r="A550" s="30" t="s">
        <v>1693</v>
      </c>
      <c r="B550" s="31" t="s">
        <v>1694</v>
      </c>
      <c r="C550" s="31" t="s">
        <v>179</v>
      </c>
      <c r="D550" s="31" t="s">
        <v>235</v>
      </c>
      <c r="E550" s="31" t="s">
        <v>181</v>
      </c>
      <c r="F550" s="30" t="s">
        <v>1695</v>
      </c>
      <c r="G550" s="31">
        <v>14</v>
      </c>
      <c r="H550" s="31" t="s">
        <v>301</v>
      </c>
      <c r="I550" s="31" t="s">
        <v>184</v>
      </c>
      <c r="J550" s="33">
        <v>21900</v>
      </c>
      <c r="K550" s="33">
        <v>11800</v>
      </c>
      <c r="L550" s="33">
        <v>9900</v>
      </c>
      <c r="M550" s="33">
        <f t="shared" si="64"/>
        <v>43600</v>
      </c>
      <c r="N550" s="34">
        <f t="shared" si="70"/>
        <v>0.000228579097804592</v>
      </c>
      <c r="O550" s="35">
        <f>SUM($M$2:M550)</f>
        <v>181196400</v>
      </c>
      <c r="P550" s="34">
        <f t="shared" si="71"/>
        <v>0.949947468748624</v>
      </c>
      <c r="Q550" s="37">
        <v>5.6</v>
      </c>
      <c r="R550" s="31">
        <v>6</v>
      </c>
      <c r="S550" s="31">
        <v>3</v>
      </c>
      <c r="T550" s="31">
        <v>2</v>
      </c>
      <c r="U550" s="37">
        <v>2.3</v>
      </c>
      <c r="V550" s="31">
        <v>22</v>
      </c>
      <c r="W550" s="31">
        <v>1</v>
      </c>
      <c r="X550" s="38">
        <v>11</v>
      </c>
      <c r="Y550" s="31">
        <v>1</v>
      </c>
      <c r="Z550" s="31">
        <v>0</v>
      </c>
      <c r="AA550" s="31" t="s">
        <v>185</v>
      </c>
      <c r="AB550" s="31" t="s">
        <v>220</v>
      </c>
      <c r="AC550" s="41">
        <f>IFERROR(LOOKUP(M550,打分卡!$F$7:$J$7,打分卡!$K$7:$O$7),1)</f>
        <v>2</v>
      </c>
      <c r="AD550" s="41">
        <f>IFERROR(LOOKUP(S550,打分卡!$F$8:$J$8,打分卡!$K$8:$O$8),1)</f>
        <v>3</v>
      </c>
      <c r="AE550" s="41">
        <f>IFERROR(LOOKUP(T550,打分卡!$F$9:$I$9,打分卡!$K$9:$N$9),1)</f>
        <v>3</v>
      </c>
      <c r="AF550" s="41">
        <f>IFERROR(LOOKUP(Q550,打分卡!$F$10:$J$10,打分卡!$K$10:$O$10),1)</f>
        <v>2</v>
      </c>
      <c r="AG550" s="41">
        <f>IFERROR(LOOKUP(R550,打分卡!$F$11:$J$11,打分卡!$K$11:$O$11),1)</f>
        <v>3</v>
      </c>
      <c r="AH550" s="41">
        <f>IFERROR(LOOKUP(U550,打分卡!$F$12:$J$12,打分卡!$K$12:$O$12),1)</f>
        <v>1</v>
      </c>
      <c r="AI550" s="41">
        <f>IFERROR(LOOKUP(X550,打分卡!$F$13:$J$13,打分卡!$K$13:$O$13),1)</f>
        <v>1</v>
      </c>
      <c r="AJ550" s="41">
        <f>IFERROR(LOOKUP(Y550,打分卡!$F$14:$J$14,打分卡!$K$14:$O$14),1)</f>
        <v>2</v>
      </c>
      <c r="AK550" s="41">
        <f>IFERROR(LOOKUP(W550,打分卡!$F$15:$J$15,打分卡!$K$15:$O$15),1)</f>
        <v>2</v>
      </c>
      <c r="AL550" s="43">
        <f t="shared" si="65"/>
        <v>3</v>
      </c>
      <c r="AM550" s="41">
        <f>IFERROR(LOOKUP(Z550,打分卡!$F$17:$H$17,打分卡!$K$17:$M$17),1)</f>
        <v>1</v>
      </c>
      <c r="AN550" s="44">
        <f>(打分卡!$D$7*AC550+打分卡!$D$8*AD550+打分卡!$D$9*AE550)/5</f>
        <v>19</v>
      </c>
      <c r="AO550" s="44">
        <f>(打分卡!$D$10*AF550+打分卡!$D$11*AG550)/5</f>
        <v>10</v>
      </c>
      <c r="AP550" s="44">
        <f>(打分卡!$D$12*AH550+打分卡!$D$13*AI550+打分卡!$D$14*AJ550+打分卡!$D$15*AK550)/5</f>
        <v>8</v>
      </c>
      <c r="AQ550" s="44">
        <f>(打分卡!$D$16*AL550+打分卡!$D$17*AM550)/5</f>
        <v>4.4</v>
      </c>
      <c r="AR550" s="47">
        <f t="shared" si="66"/>
        <v>41.4</v>
      </c>
      <c r="AS550" s="43" t="str">
        <f t="shared" si="67"/>
        <v>腰部</v>
      </c>
      <c r="AT550" s="43" t="str">
        <f t="shared" si="68"/>
        <v/>
      </c>
      <c r="AU550" s="43" t="str">
        <f t="shared" si="69"/>
        <v>拉·主攻：主推AI外呼+大促作战包</v>
      </c>
    </row>
    <row r="551" ht="15" customHeight="1" spans="1:47">
      <c r="A551" s="20" t="s">
        <v>1696</v>
      </c>
      <c r="B551" s="22" t="s">
        <v>1697</v>
      </c>
      <c r="C551" s="22" t="s">
        <v>189</v>
      </c>
      <c r="D551" s="22" t="s">
        <v>235</v>
      </c>
      <c r="E551" s="22" t="s">
        <v>181</v>
      </c>
      <c r="F551" s="20" t="s">
        <v>1698</v>
      </c>
      <c r="G551" s="22">
        <v>17</v>
      </c>
      <c r="H551" s="22" t="s">
        <v>183</v>
      </c>
      <c r="I551" s="22" t="s">
        <v>302</v>
      </c>
      <c r="J551" s="36">
        <v>25000</v>
      </c>
      <c r="K551" s="36">
        <v>11900</v>
      </c>
      <c r="L551" s="36">
        <v>6500</v>
      </c>
      <c r="M551" s="36">
        <f t="shared" si="64"/>
        <v>43400</v>
      </c>
      <c r="N551" s="34">
        <f t="shared" si="70"/>
        <v>0.000227530569833011</v>
      </c>
      <c r="O551" s="35">
        <f>SUM($M$2:M551)</f>
        <v>181239800</v>
      </c>
      <c r="P551" s="34">
        <f t="shared" si="71"/>
        <v>0.950174999318457</v>
      </c>
      <c r="Q551" s="39">
        <v>3</v>
      </c>
      <c r="R551" s="22">
        <v>3</v>
      </c>
      <c r="S551" s="22">
        <v>1</v>
      </c>
      <c r="T551" s="22">
        <v>0</v>
      </c>
      <c r="U551" s="39">
        <v>21</v>
      </c>
      <c r="V551" s="22">
        <v>26</v>
      </c>
      <c r="W551" s="22">
        <v>4</v>
      </c>
      <c r="X551" s="40">
        <v>95</v>
      </c>
      <c r="Y551" s="22">
        <v>0</v>
      </c>
      <c r="Z551" s="22">
        <v>0</v>
      </c>
      <c r="AA551" s="22" t="s">
        <v>199</v>
      </c>
      <c r="AB551" s="22" t="s">
        <v>220</v>
      </c>
      <c r="AC551" s="42">
        <f>IFERROR(LOOKUP(M551,打分卡!$F$7:$J$7,打分卡!$K$7:$O$7),1)</f>
        <v>2</v>
      </c>
      <c r="AD551" s="42">
        <f>IFERROR(LOOKUP(S551,打分卡!$F$8:$J$8,打分卡!$K$8:$O$8),1)</f>
        <v>1</v>
      </c>
      <c r="AE551" s="42">
        <f>IFERROR(LOOKUP(T551,打分卡!$F$9:$I$9,打分卡!$K$9:$N$9),1)</f>
        <v>1</v>
      </c>
      <c r="AF551" s="42">
        <f>IFERROR(LOOKUP(Q551,打分卡!$F$10:$J$10,打分卡!$K$10:$O$10),1)</f>
        <v>2</v>
      </c>
      <c r="AG551" s="42">
        <f>IFERROR(LOOKUP(R551,打分卡!$F$11:$J$11,打分卡!$K$11:$O$11),1)</f>
        <v>2</v>
      </c>
      <c r="AH551" s="42">
        <f>IFERROR(LOOKUP(U551,打分卡!$F$12:$J$12,打分卡!$K$12:$O$12),1)</f>
        <v>3</v>
      </c>
      <c r="AI551" s="42">
        <f>IFERROR(LOOKUP(X551,打分卡!$F$13:$J$13,打分卡!$K$13:$O$13),1)</f>
        <v>4</v>
      </c>
      <c r="AJ551" s="42">
        <f>IFERROR(LOOKUP(Y551,打分卡!$F$14:$J$14,打分卡!$K$14:$O$14),1)</f>
        <v>1</v>
      </c>
      <c r="AK551" s="42">
        <f>IFERROR(LOOKUP(W551,打分卡!$F$15:$J$15,打分卡!$K$15:$O$15),1)</f>
        <v>3</v>
      </c>
      <c r="AL551" s="45">
        <f t="shared" si="65"/>
        <v>5</v>
      </c>
      <c r="AM551" s="42">
        <f>IFERROR(LOOKUP(Z551,打分卡!$F$17:$H$17,打分卡!$K$17:$M$17),1)</f>
        <v>1</v>
      </c>
      <c r="AN551" s="46">
        <f>(打分卡!$D$7*AC551+打分卡!$D$8*AD551+打分卡!$D$9*AE551)/5</f>
        <v>13</v>
      </c>
      <c r="AO551" s="46">
        <f>(打分卡!$D$10*AF551+打分卡!$D$11*AG551)/5</f>
        <v>8</v>
      </c>
      <c r="AP551" s="46">
        <f>(打分卡!$D$12*AH551+打分卡!$D$13*AI551+打分卡!$D$14*AJ551+打分卡!$D$15*AK551)/5</f>
        <v>17.2</v>
      </c>
      <c r="AQ551" s="46">
        <f>(打分卡!$D$16*AL551+打分卡!$D$17*AM551)/5</f>
        <v>6.8</v>
      </c>
      <c r="AR551" s="48">
        <f t="shared" si="66"/>
        <v>45</v>
      </c>
      <c r="AS551" s="45" t="str">
        <f t="shared" si="67"/>
        <v>腰部</v>
      </c>
      <c r="AT551" s="45" t="str">
        <f t="shared" si="68"/>
        <v/>
      </c>
      <c r="AU551" s="45" t="str">
        <f t="shared" si="69"/>
        <v>拉·主攻：主推AI外呼+大促作战包</v>
      </c>
    </row>
    <row r="552" ht="15" customHeight="1" spans="1:47">
      <c r="A552" s="30" t="s">
        <v>1699</v>
      </c>
      <c r="B552" s="31" t="s">
        <v>1700</v>
      </c>
      <c r="C552" s="31" t="s">
        <v>223</v>
      </c>
      <c r="D552" s="31" t="s">
        <v>190</v>
      </c>
      <c r="E552" s="31" t="s">
        <v>181</v>
      </c>
      <c r="F552" s="30" t="s">
        <v>1243</v>
      </c>
      <c r="G552" s="31">
        <v>3</v>
      </c>
      <c r="H552" s="31" t="s">
        <v>301</v>
      </c>
      <c r="I552" s="31" t="s">
        <v>302</v>
      </c>
      <c r="J552" s="33">
        <v>24200</v>
      </c>
      <c r="K552" s="33">
        <v>12500</v>
      </c>
      <c r="L552" s="33">
        <v>6700</v>
      </c>
      <c r="M552" s="33">
        <f t="shared" si="64"/>
        <v>43400</v>
      </c>
      <c r="N552" s="34">
        <f t="shared" si="70"/>
        <v>0.000227530569833011</v>
      </c>
      <c r="O552" s="35">
        <f>SUM($M$2:M552)</f>
        <v>181283200</v>
      </c>
      <c r="P552" s="34">
        <f t="shared" si="71"/>
        <v>0.95040252988829</v>
      </c>
      <c r="Q552" s="37">
        <v>3.7</v>
      </c>
      <c r="R552" s="31">
        <v>1</v>
      </c>
      <c r="S552" s="31">
        <v>3</v>
      </c>
      <c r="T552" s="31">
        <v>0</v>
      </c>
      <c r="U552" s="37">
        <v>5.4</v>
      </c>
      <c r="V552" s="31">
        <v>17</v>
      </c>
      <c r="W552" s="31">
        <v>2</v>
      </c>
      <c r="X552" s="38">
        <v>20</v>
      </c>
      <c r="Y552" s="31">
        <v>0</v>
      </c>
      <c r="Z552" s="31">
        <v>0</v>
      </c>
      <c r="AA552" s="31" t="s">
        <v>185</v>
      </c>
      <c r="AB552" s="31" t="s">
        <v>220</v>
      </c>
      <c r="AC552" s="41">
        <f>IFERROR(LOOKUP(M552,打分卡!$F$7:$J$7,打分卡!$K$7:$O$7),1)</f>
        <v>2</v>
      </c>
      <c r="AD552" s="41">
        <f>IFERROR(LOOKUP(S552,打分卡!$F$8:$J$8,打分卡!$K$8:$O$8),1)</f>
        <v>3</v>
      </c>
      <c r="AE552" s="41">
        <f>IFERROR(LOOKUP(T552,打分卡!$F$9:$I$9,打分卡!$K$9:$N$9),1)</f>
        <v>1</v>
      </c>
      <c r="AF552" s="41">
        <f>IFERROR(LOOKUP(Q552,打分卡!$F$10:$J$10,打分卡!$K$10:$O$10),1)</f>
        <v>2</v>
      </c>
      <c r="AG552" s="41">
        <f>IFERROR(LOOKUP(R552,打分卡!$F$11:$J$11,打分卡!$K$11:$O$11),1)</f>
        <v>1</v>
      </c>
      <c r="AH552" s="41">
        <f>IFERROR(LOOKUP(U552,打分卡!$F$12:$J$12,打分卡!$K$12:$O$12),1)</f>
        <v>2</v>
      </c>
      <c r="AI552" s="41">
        <f>IFERROR(LOOKUP(X552,打分卡!$F$13:$J$13,打分卡!$K$13:$O$13),1)</f>
        <v>2</v>
      </c>
      <c r="AJ552" s="41">
        <f>IFERROR(LOOKUP(Y552,打分卡!$F$14:$J$14,打分卡!$K$14:$O$14),1)</f>
        <v>1</v>
      </c>
      <c r="AK552" s="41">
        <f>IFERROR(LOOKUP(W552,打分卡!$F$15:$J$15,打分卡!$K$15:$O$15),1)</f>
        <v>2</v>
      </c>
      <c r="AL552" s="43">
        <f t="shared" si="65"/>
        <v>3</v>
      </c>
      <c r="AM552" s="41">
        <f>IFERROR(LOOKUP(Z552,打分卡!$F$17:$H$17,打分卡!$K$17:$M$17),1)</f>
        <v>1</v>
      </c>
      <c r="AN552" s="44">
        <f>(打分卡!$D$7*AC552+打分卡!$D$8*AD552+打分卡!$D$9*AE552)/5</f>
        <v>16.2</v>
      </c>
      <c r="AO552" s="44">
        <f>(打分卡!$D$10*AF552+打分卡!$D$11*AG552)/5</f>
        <v>6</v>
      </c>
      <c r="AP552" s="44">
        <f>(打分卡!$D$12*AH552+打分卡!$D$13*AI552+打分卡!$D$14*AJ552+打分卡!$D$15*AK552)/5</f>
        <v>10.8</v>
      </c>
      <c r="AQ552" s="44">
        <f>(打分卡!$D$16*AL552+打分卡!$D$17*AM552)/5</f>
        <v>4.4</v>
      </c>
      <c r="AR552" s="47">
        <f t="shared" si="66"/>
        <v>37.4</v>
      </c>
      <c r="AS552" s="43" t="str">
        <f t="shared" si="67"/>
        <v>基础长尾</v>
      </c>
      <c r="AT552" s="43" t="str">
        <f t="shared" si="68"/>
        <v/>
      </c>
      <c r="AU552" s="43" t="str">
        <f t="shared" si="69"/>
        <v>激活：企微+Push低成本先跑</v>
      </c>
    </row>
    <row r="553" ht="15" customHeight="1" spans="1:47">
      <c r="A553" s="20" t="s">
        <v>1701</v>
      </c>
      <c r="B553" s="22" t="s">
        <v>1702</v>
      </c>
      <c r="C553" s="22" t="s">
        <v>209</v>
      </c>
      <c r="D553" s="22" t="s">
        <v>202</v>
      </c>
      <c r="E553" s="22" t="s">
        <v>181</v>
      </c>
      <c r="F553" s="20" t="s">
        <v>1703</v>
      </c>
      <c r="G553" s="22">
        <v>4</v>
      </c>
      <c r="H553" s="22" t="s">
        <v>301</v>
      </c>
      <c r="I553" s="22" t="s">
        <v>184</v>
      </c>
      <c r="J553" s="36">
        <v>25600</v>
      </c>
      <c r="K553" s="36">
        <v>15500</v>
      </c>
      <c r="L553" s="36">
        <v>2200</v>
      </c>
      <c r="M553" s="36">
        <f t="shared" si="64"/>
        <v>43300</v>
      </c>
      <c r="N553" s="34">
        <f t="shared" si="70"/>
        <v>0.000227006305847221</v>
      </c>
      <c r="O553" s="35">
        <f>SUM($M$2:M553)</f>
        <v>181326500</v>
      </c>
      <c r="P553" s="34">
        <f t="shared" si="71"/>
        <v>0.950629536194137</v>
      </c>
      <c r="Q553" s="39">
        <v>3</v>
      </c>
      <c r="R553" s="22">
        <v>2</v>
      </c>
      <c r="S553" s="22">
        <v>3</v>
      </c>
      <c r="T553" s="22">
        <v>1</v>
      </c>
      <c r="U553" s="39">
        <v>16.4</v>
      </c>
      <c r="V553" s="22">
        <v>21</v>
      </c>
      <c r="W553" s="22">
        <v>1</v>
      </c>
      <c r="X553" s="40">
        <v>18</v>
      </c>
      <c r="Y553" s="22">
        <v>2</v>
      </c>
      <c r="Z553" s="22">
        <v>1</v>
      </c>
      <c r="AA553" s="22" t="s">
        <v>185</v>
      </c>
      <c r="AB553" s="22" t="s">
        <v>220</v>
      </c>
      <c r="AC553" s="42">
        <f>IFERROR(LOOKUP(M553,打分卡!$F$7:$J$7,打分卡!$K$7:$O$7),1)</f>
        <v>2</v>
      </c>
      <c r="AD553" s="42">
        <f>IFERROR(LOOKUP(S553,打分卡!$F$8:$J$8,打分卡!$K$8:$O$8),1)</f>
        <v>3</v>
      </c>
      <c r="AE553" s="42">
        <f>IFERROR(LOOKUP(T553,打分卡!$F$9:$I$9,打分卡!$K$9:$N$9),1)</f>
        <v>2</v>
      </c>
      <c r="AF553" s="42">
        <f>IFERROR(LOOKUP(Q553,打分卡!$F$10:$J$10,打分卡!$K$10:$O$10),1)</f>
        <v>2</v>
      </c>
      <c r="AG553" s="42">
        <f>IFERROR(LOOKUP(R553,打分卡!$F$11:$J$11,打分卡!$K$11:$O$11),1)</f>
        <v>1</v>
      </c>
      <c r="AH553" s="42">
        <f>IFERROR(LOOKUP(U553,打分卡!$F$12:$J$12,打分卡!$K$12:$O$12),1)</f>
        <v>3</v>
      </c>
      <c r="AI553" s="42">
        <f>IFERROR(LOOKUP(X553,打分卡!$F$13:$J$13,打分卡!$K$13:$O$13),1)</f>
        <v>2</v>
      </c>
      <c r="AJ553" s="42">
        <f>IFERROR(LOOKUP(Y553,打分卡!$F$14:$J$14,打分卡!$K$14:$O$14),1)</f>
        <v>3</v>
      </c>
      <c r="AK553" s="42">
        <f>IFERROR(LOOKUP(W553,打分卡!$F$15:$J$15,打分卡!$K$15:$O$15),1)</f>
        <v>2</v>
      </c>
      <c r="AL553" s="45">
        <f t="shared" si="65"/>
        <v>3</v>
      </c>
      <c r="AM553" s="42">
        <f>IFERROR(LOOKUP(Z553,打分卡!$F$17:$H$17,打分卡!$K$17:$M$17),1)</f>
        <v>3</v>
      </c>
      <c r="AN553" s="46">
        <f>(打分卡!$D$7*AC553+打分卡!$D$8*AD553+打分卡!$D$9*AE553)/5</f>
        <v>17.6</v>
      </c>
      <c r="AO553" s="46">
        <f>(打分卡!$D$10*AF553+打分卡!$D$11*AG553)/5</f>
        <v>6</v>
      </c>
      <c r="AP553" s="46">
        <f>(打分卡!$D$12*AH553+打分卡!$D$13*AI553+打分卡!$D$14*AJ553+打分卡!$D$15*AK553)/5</f>
        <v>15.6</v>
      </c>
      <c r="AQ553" s="46">
        <f>(打分卡!$D$16*AL553+打分卡!$D$17*AM553)/5</f>
        <v>6</v>
      </c>
      <c r="AR553" s="48">
        <f t="shared" si="66"/>
        <v>45.2</v>
      </c>
      <c r="AS553" s="45" t="str">
        <f t="shared" si="67"/>
        <v>腰部</v>
      </c>
      <c r="AT553" s="45" t="str">
        <f t="shared" si="68"/>
        <v/>
      </c>
      <c r="AU553" s="45" t="str">
        <f t="shared" si="69"/>
        <v>拉·主攻：主推AI外呼+大促作战包</v>
      </c>
    </row>
    <row r="554" ht="15" customHeight="1" spans="1:47">
      <c r="A554" s="30" t="s">
        <v>1704</v>
      </c>
      <c r="B554" s="31" t="s">
        <v>1705</v>
      </c>
      <c r="C554" s="31" t="s">
        <v>189</v>
      </c>
      <c r="D554" s="31" t="s">
        <v>202</v>
      </c>
      <c r="E554" s="31" t="s">
        <v>181</v>
      </c>
      <c r="F554" s="30" t="s">
        <v>1706</v>
      </c>
      <c r="G554" s="31">
        <v>18</v>
      </c>
      <c r="H554" s="31" t="s">
        <v>301</v>
      </c>
      <c r="I554" s="31" t="s">
        <v>184</v>
      </c>
      <c r="J554" s="33">
        <v>22000</v>
      </c>
      <c r="K554" s="33">
        <v>8700</v>
      </c>
      <c r="L554" s="33">
        <v>12500</v>
      </c>
      <c r="M554" s="33">
        <f t="shared" si="64"/>
        <v>43200</v>
      </c>
      <c r="N554" s="34">
        <f t="shared" si="70"/>
        <v>0.000226482041861431</v>
      </c>
      <c r="O554" s="35">
        <f>SUM($M$2:M554)</f>
        <v>181369700</v>
      </c>
      <c r="P554" s="34">
        <f t="shared" si="71"/>
        <v>0.950856018235999</v>
      </c>
      <c r="Q554" s="37">
        <v>4.3</v>
      </c>
      <c r="R554" s="31">
        <v>7</v>
      </c>
      <c r="S554" s="31">
        <v>3</v>
      </c>
      <c r="T554" s="31">
        <v>2</v>
      </c>
      <c r="U554" s="37">
        <v>4.3</v>
      </c>
      <c r="V554" s="31">
        <v>22</v>
      </c>
      <c r="W554" s="31">
        <v>1</v>
      </c>
      <c r="X554" s="38">
        <v>83</v>
      </c>
      <c r="Y554" s="31">
        <v>2</v>
      </c>
      <c r="Z554" s="31">
        <v>0</v>
      </c>
      <c r="AA554" s="31" t="s">
        <v>199</v>
      </c>
      <c r="AB554" s="31" t="s">
        <v>220</v>
      </c>
      <c r="AC554" s="41">
        <f>IFERROR(LOOKUP(M554,打分卡!$F$7:$J$7,打分卡!$K$7:$O$7),1)</f>
        <v>2</v>
      </c>
      <c r="AD554" s="41">
        <f>IFERROR(LOOKUP(S554,打分卡!$F$8:$J$8,打分卡!$K$8:$O$8),1)</f>
        <v>3</v>
      </c>
      <c r="AE554" s="41">
        <f>IFERROR(LOOKUP(T554,打分卡!$F$9:$I$9,打分卡!$K$9:$N$9),1)</f>
        <v>3</v>
      </c>
      <c r="AF554" s="41">
        <f>IFERROR(LOOKUP(Q554,打分卡!$F$10:$J$10,打分卡!$K$10:$O$10),1)</f>
        <v>2</v>
      </c>
      <c r="AG554" s="41">
        <f>IFERROR(LOOKUP(R554,打分卡!$F$11:$J$11,打分卡!$K$11:$O$11),1)</f>
        <v>3</v>
      </c>
      <c r="AH554" s="41">
        <f>IFERROR(LOOKUP(U554,打分卡!$F$12:$J$12,打分卡!$K$12:$O$12),1)</f>
        <v>2</v>
      </c>
      <c r="AI554" s="41">
        <f>IFERROR(LOOKUP(X554,打分卡!$F$13:$J$13,打分卡!$K$13:$O$13),1)</f>
        <v>4</v>
      </c>
      <c r="AJ554" s="41">
        <f>IFERROR(LOOKUP(Y554,打分卡!$F$14:$J$14,打分卡!$K$14:$O$14),1)</f>
        <v>3</v>
      </c>
      <c r="AK554" s="41">
        <f>IFERROR(LOOKUP(W554,打分卡!$F$15:$J$15,打分卡!$K$15:$O$15),1)</f>
        <v>2</v>
      </c>
      <c r="AL554" s="43">
        <f t="shared" si="65"/>
        <v>5</v>
      </c>
      <c r="AM554" s="41">
        <f>IFERROR(LOOKUP(Z554,打分卡!$F$17:$H$17,打分卡!$K$17:$M$17),1)</f>
        <v>1</v>
      </c>
      <c r="AN554" s="44">
        <f>(打分卡!$D$7*AC554+打分卡!$D$8*AD554+打分卡!$D$9*AE554)/5</f>
        <v>19</v>
      </c>
      <c r="AO554" s="44">
        <f>(打分卡!$D$10*AF554+打分卡!$D$11*AG554)/5</f>
        <v>10</v>
      </c>
      <c r="AP554" s="44">
        <f>(打分卡!$D$12*AH554+打分卡!$D$13*AI554+打分卡!$D$14*AJ554+打分卡!$D$15*AK554)/5</f>
        <v>16.4</v>
      </c>
      <c r="AQ554" s="44">
        <f>(打分卡!$D$16*AL554+打分卡!$D$17*AM554)/5</f>
        <v>6.8</v>
      </c>
      <c r="AR554" s="47">
        <f t="shared" si="66"/>
        <v>52.2</v>
      </c>
      <c r="AS554" s="43" t="str">
        <f t="shared" si="67"/>
        <v>腰部</v>
      </c>
      <c r="AT554" s="43" t="str">
        <f t="shared" si="68"/>
        <v/>
      </c>
      <c r="AU554" s="43" t="str">
        <f t="shared" si="69"/>
        <v>拉·主攻：主推AI外呼+大促作战包</v>
      </c>
    </row>
    <row r="555" ht="15" customHeight="1" spans="1:47">
      <c r="A555" s="20" t="s">
        <v>1707</v>
      </c>
      <c r="B555" s="22" t="s">
        <v>1708</v>
      </c>
      <c r="C555" s="22" t="s">
        <v>189</v>
      </c>
      <c r="D555" s="22" t="s">
        <v>227</v>
      </c>
      <c r="E555" s="22" t="s">
        <v>181</v>
      </c>
      <c r="F555" s="20" t="s">
        <v>1709</v>
      </c>
      <c r="G555" s="22">
        <v>15</v>
      </c>
      <c r="H555" s="22" t="s">
        <v>301</v>
      </c>
      <c r="I555" s="22" t="s">
        <v>302</v>
      </c>
      <c r="J555" s="36">
        <v>23600</v>
      </c>
      <c r="K555" s="36">
        <v>10800</v>
      </c>
      <c r="L555" s="36">
        <v>8100</v>
      </c>
      <c r="M555" s="36">
        <f t="shared" si="64"/>
        <v>42500</v>
      </c>
      <c r="N555" s="34">
        <f t="shared" si="70"/>
        <v>0.000222812193960898</v>
      </c>
      <c r="O555" s="35">
        <f>SUM($M$2:M555)</f>
        <v>181412200</v>
      </c>
      <c r="P555" s="34">
        <f t="shared" si="71"/>
        <v>0.951078830429959</v>
      </c>
      <c r="Q555" s="39">
        <v>4.5</v>
      </c>
      <c r="R555" s="22">
        <v>5</v>
      </c>
      <c r="S555" s="22">
        <v>3</v>
      </c>
      <c r="T555" s="22">
        <v>2</v>
      </c>
      <c r="U555" s="39">
        <v>3.5</v>
      </c>
      <c r="V555" s="22">
        <v>5</v>
      </c>
      <c r="W555" s="22">
        <v>0</v>
      </c>
      <c r="X555" s="40">
        <v>127</v>
      </c>
      <c r="Y555" s="22">
        <v>3</v>
      </c>
      <c r="Z555" s="22">
        <v>0</v>
      </c>
      <c r="AA555" s="22" t="s">
        <v>199</v>
      </c>
      <c r="AB555" s="22" t="s">
        <v>220</v>
      </c>
      <c r="AC555" s="42">
        <f>IFERROR(LOOKUP(M555,打分卡!$F$7:$J$7,打分卡!$K$7:$O$7),1)</f>
        <v>2</v>
      </c>
      <c r="AD555" s="42">
        <f>IFERROR(LOOKUP(S555,打分卡!$F$8:$J$8,打分卡!$K$8:$O$8),1)</f>
        <v>3</v>
      </c>
      <c r="AE555" s="42">
        <f>IFERROR(LOOKUP(T555,打分卡!$F$9:$I$9,打分卡!$K$9:$N$9),1)</f>
        <v>3</v>
      </c>
      <c r="AF555" s="42">
        <f>IFERROR(LOOKUP(Q555,打分卡!$F$10:$J$10,打分卡!$K$10:$O$10),1)</f>
        <v>2</v>
      </c>
      <c r="AG555" s="42">
        <f>IFERROR(LOOKUP(R555,打分卡!$F$11:$J$11,打分卡!$K$11:$O$11),1)</f>
        <v>3</v>
      </c>
      <c r="AH555" s="42">
        <f>IFERROR(LOOKUP(U555,打分卡!$F$12:$J$12,打分卡!$K$12:$O$12),1)</f>
        <v>2</v>
      </c>
      <c r="AI555" s="42">
        <f>IFERROR(LOOKUP(X555,打分卡!$F$13:$J$13,打分卡!$K$13:$O$13),1)</f>
        <v>4</v>
      </c>
      <c r="AJ555" s="42">
        <f>IFERROR(LOOKUP(Y555,打分卡!$F$14:$J$14,打分卡!$K$14:$O$14),1)</f>
        <v>4</v>
      </c>
      <c r="AK555" s="42">
        <f>IFERROR(LOOKUP(W555,打分卡!$F$15:$J$15,打分卡!$K$15:$O$15),1)</f>
        <v>1</v>
      </c>
      <c r="AL555" s="45">
        <f t="shared" si="65"/>
        <v>5</v>
      </c>
      <c r="AM555" s="42">
        <f>IFERROR(LOOKUP(Z555,打分卡!$F$17:$H$17,打分卡!$K$17:$M$17),1)</f>
        <v>1</v>
      </c>
      <c r="AN555" s="46">
        <f>(打分卡!$D$7*AC555+打分卡!$D$8*AD555+打分卡!$D$9*AE555)/5</f>
        <v>19</v>
      </c>
      <c r="AO555" s="46">
        <f>(打分卡!$D$10*AF555+打分卡!$D$11*AG555)/5</f>
        <v>10</v>
      </c>
      <c r="AP555" s="46">
        <f>(打分卡!$D$12*AH555+打分卡!$D$13*AI555+打分卡!$D$14*AJ555+打分卡!$D$15*AK555)/5</f>
        <v>16.8</v>
      </c>
      <c r="AQ555" s="46">
        <f>(打分卡!$D$16*AL555+打分卡!$D$17*AM555)/5</f>
        <v>6.8</v>
      </c>
      <c r="AR555" s="48">
        <f t="shared" si="66"/>
        <v>52.6</v>
      </c>
      <c r="AS555" s="45" t="str">
        <f t="shared" si="67"/>
        <v>腰部</v>
      </c>
      <c r="AT555" s="45" t="str">
        <f t="shared" si="68"/>
        <v/>
      </c>
      <c r="AU555" s="45" t="str">
        <f t="shared" si="69"/>
        <v>拉·主攻：主推AI外呼+大促作战包</v>
      </c>
    </row>
    <row r="556" ht="15" customHeight="1" spans="1:47">
      <c r="A556" s="30" t="s">
        <v>1710</v>
      </c>
      <c r="B556" s="31" t="s">
        <v>1711</v>
      </c>
      <c r="C556" s="31" t="s">
        <v>218</v>
      </c>
      <c r="D556" s="31" t="s">
        <v>227</v>
      </c>
      <c r="E556" s="31" t="s">
        <v>181</v>
      </c>
      <c r="F556" s="30" t="s">
        <v>1712</v>
      </c>
      <c r="G556" s="31">
        <v>5</v>
      </c>
      <c r="H556" s="31" t="s">
        <v>301</v>
      </c>
      <c r="I556" s="31" t="s">
        <v>302</v>
      </c>
      <c r="J556" s="33">
        <v>20300</v>
      </c>
      <c r="K556" s="33">
        <v>10100</v>
      </c>
      <c r="L556" s="33">
        <v>12000</v>
      </c>
      <c r="M556" s="33">
        <f t="shared" si="64"/>
        <v>42400</v>
      </c>
      <c r="N556" s="34">
        <f t="shared" si="70"/>
        <v>0.000222287929975108</v>
      </c>
      <c r="O556" s="35">
        <f>SUM($M$2:M556)</f>
        <v>181454600</v>
      </c>
      <c r="P556" s="34">
        <f t="shared" si="71"/>
        <v>0.951301118359934</v>
      </c>
      <c r="Q556" s="37">
        <v>5.1</v>
      </c>
      <c r="R556" s="31">
        <v>5</v>
      </c>
      <c r="S556" s="31">
        <v>2</v>
      </c>
      <c r="T556" s="31">
        <v>0</v>
      </c>
      <c r="U556" s="37">
        <v>19.8</v>
      </c>
      <c r="V556" s="31">
        <v>16</v>
      </c>
      <c r="W556" s="31">
        <v>3</v>
      </c>
      <c r="X556" s="38">
        <v>11</v>
      </c>
      <c r="Y556" s="31">
        <v>3</v>
      </c>
      <c r="Z556" s="31">
        <v>1</v>
      </c>
      <c r="AA556" s="31" t="s">
        <v>199</v>
      </c>
      <c r="AB556" s="31" t="s">
        <v>220</v>
      </c>
      <c r="AC556" s="41">
        <f>IFERROR(LOOKUP(M556,打分卡!$F$7:$J$7,打分卡!$K$7:$O$7),1)</f>
        <v>2</v>
      </c>
      <c r="AD556" s="41">
        <f>IFERROR(LOOKUP(S556,打分卡!$F$8:$J$8,打分卡!$K$8:$O$8),1)</f>
        <v>2</v>
      </c>
      <c r="AE556" s="41">
        <f>IFERROR(LOOKUP(T556,打分卡!$F$9:$I$9,打分卡!$K$9:$N$9),1)</f>
        <v>1</v>
      </c>
      <c r="AF556" s="41">
        <f>IFERROR(LOOKUP(Q556,打分卡!$F$10:$J$10,打分卡!$K$10:$O$10),1)</f>
        <v>2</v>
      </c>
      <c r="AG556" s="41">
        <f>IFERROR(LOOKUP(R556,打分卡!$F$11:$J$11,打分卡!$K$11:$O$11),1)</f>
        <v>3</v>
      </c>
      <c r="AH556" s="41">
        <f>IFERROR(LOOKUP(U556,打分卡!$F$12:$J$12,打分卡!$K$12:$O$12),1)</f>
        <v>3</v>
      </c>
      <c r="AI556" s="41">
        <f>IFERROR(LOOKUP(X556,打分卡!$F$13:$J$13,打分卡!$K$13:$O$13),1)</f>
        <v>1</v>
      </c>
      <c r="AJ556" s="41">
        <f>IFERROR(LOOKUP(Y556,打分卡!$F$14:$J$14,打分卡!$K$14:$O$14),1)</f>
        <v>4</v>
      </c>
      <c r="AK556" s="41">
        <f>IFERROR(LOOKUP(W556,打分卡!$F$15:$J$15,打分卡!$K$15:$O$15),1)</f>
        <v>3</v>
      </c>
      <c r="AL556" s="43">
        <f t="shared" si="65"/>
        <v>5</v>
      </c>
      <c r="AM556" s="41">
        <f>IFERROR(LOOKUP(Z556,打分卡!$F$17:$H$17,打分卡!$K$17:$M$17),1)</f>
        <v>3</v>
      </c>
      <c r="AN556" s="44">
        <f>(打分卡!$D$7*AC556+打分卡!$D$8*AD556+打分卡!$D$9*AE556)/5</f>
        <v>14.6</v>
      </c>
      <c r="AO556" s="44">
        <f>(打分卡!$D$10*AF556+打分卡!$D$11*AG556)/5</f>
        <v>10</v>
      </c>
      <c r="AP556" s="44">
        <f>(打分卡!$D$12*AH556+打分卡!$D$13*AI556+打分卡!$D$14*AJ556+打分卡!$D$15*AK556)/5</f>
        <v>16</v>
      </c>
      <c r="AQ556" s="44">
        <f>(打分卡!$D$16*AL556+打分卡!$D$17*AM556)/5</f>
        <v>8.4</v>
      </c>
      <c r="AR556" s="47">
        <f t="shared" si="66"/>
        <v>49</v>
      </c>
      <c r="AS556" s="43" t="str">
        <f t="shared" si="67"/>
        <v>腰部</v>
      </c>
      <c r="AT556" s="43" t="str">
        <f t="shared" si="68"/>
        <v/>
      </c>
      <c r="AU556" s="43" t="str">
        <f t="shared" si="69"/>
        <v>拉·主攻：主推AI外呼+大促作战包</v>
      </c>
    </row>
    <row r="557" ht="15" customHeight="1" spans="1:47">
      <c r="A557" s="20" t="s">
        <v>1713</v>
      </c>
      <c r="B557" s="22" t="s">
        <v>1714</v>
      </c>
      <c r="C557" s="22" t="s">
        <v>189</v>
      </c>
      <c r="D557" s="22" t="s">
        <v>202</v>
      </c>
      <c r="E557" s="22" t="s">
        <v>181</v>
      </c>
      <c r="F557" s="20" t="s">
        <v>1339</v>
      </c>
      <c r="G557" s="22">
        <v>7</v>
      </c>
      <c r="H557" s="22" t="s">
        <v>301</v>
      </c>
      <c r="I557" s="22" t="s">
        <v>184</v>
      </c>
      <c r="J557" s="36">
        <v>20600</v>
      </c>
      <c r="K557" s="36">
        <v>16100</v>
      </c>
      <c r="L557" s="36">
        <v>5400</v>
      </c>
      <c r="M557" s="36">
        <f t="shared" si="64"/>
        <v>42100</v>
      </c>
      <c r="N557" s="34">
        <f t="shared" si="70"/>
        <v>0.000220715138017737</v>
      </c>
      <c r="O557" s="35">
        <f>SUM($M$2:M557)</f>
        <v>181496700</v>
      </c>
      <c r="P557" s="34">
        <f t="shared" si="71"/>
        <v>0.951521833497952</v>
      </c>
      <c r="Q557" s="39">
        <v>3.4</v>
      </c>
      <c r="R557" s="22">
        <v>5</v>
      </c>
      <c r="S557" s="22">
        <v>2</v>
      </c>
      <c r="T557" s="22">
        <v>1</v>
      </c>
      <c r="U557" s="39">
        <v>47.1</v>
      </c>
      <c r="V557" s="22">
        <v>27</v>
      </c>
      <c r="W557" s="22">
        <v>4</v>
      </c>
      <c r="X557" s="40">
        <v>24</v>
      </c>
      <c r="Y557" s="22">
        <v>1</v>
      </c>
      <c r="Z557" s="22">
        <v>1</v>
      </c>
      <c r="AA557" s="22" t="s">
        <v>315</v>
      </c>
      <c r="AB557" s="22" t="s">
        <v>220</v>
      </c>
      <c r="AC557" s="42">
        <f>IFERROR(LOOKUP(M557,打分卡!$F$7:$J$7,打分卡!$K$7:$O$7),1)</f>
        <v>2</v>
      </c>
      <c r="AD557" s="42">
        <f>IFERROR(LOOKUP(S557,打分卡!$F$8:$J$8,打分卡!$K$8:$O$8),1)</f>
        <v>2</v>
      </c>
      <c r="AE557" s="42">
        <f>IFERROR(LOOKUP(T557,打分卡!$F$9:$I$9,打分卡!$K$9:$N$9),1)</f>
        <v>2</v>
      </c>
      <c r="AF557" s="42">
        <f>IFERROR(LOOKUP(Q557,打分卡!$F$10:$J$10,打分卡!$K$10:$O$10),1)</f>
        <v>2</v>
      </c>
      <c r="AG557" s="42">
        <f>IFERROR(LOOKUP(R557,打分卡!$F$11:$J$11,打分卡!$K$11:$O$11),1)</f>
        <v>3</v>
      </c>
      <c r="AH557" s="42">
        <f>IFERROR(LOOKUP(U557,打分卡!$F$12:$J$12,打分卡!$K$12:$O$12),1)</f>
        <v>4</v>
      </c>
      <c r="AI557" s="42">
        <f>IFERROR(LOOKUP(X557,打分卡!$F$13:$J$13,打分卡!$K$13:$O$13),1)</f>
        <v>2</v>
      </c>
      <c r="AJ557" s="42">
        <f>IFERROR(LOOKUP(Y557,打分卡!$F$14:$J$14,打分卡!$K$14:$O$14),1)</f>
        <v>2</v>
      </c>
      <c r="AK557" s="42">
        <f>IFERROR(LOOKUP(W557,打分卡!$F$15:$J$15,打分卡!$K$15:$O$15),1)</f>
        <v>3</v>
      </c>
      <c r="AL557" s="45">
        <f t="shared" si="65"/>
        <v>2</v>
      </c>
      <c r="AM557" s="42">
        <f>IFERROR(LOOKUP(Z557,打分卡!$F$17:$H$17,打分卡!$K$17:$M$17),1)</f>
        <v>3</v>
      </c>
      <c r="AN557" s="46">
        <f>(打分卡!$D$7*AC557+打分卡!$D$8*AD557+打分卡!$D$9*AE557)/5</f>
        <v>16</v>
      </c>
      <c r="AO557" s="46">
        <f>(打分卡!$D$10*AF557+打分卡!$D$11*AG557)/5</f>
        <v>10</v>
      </c>
      <c r="AP557" s="46">
        <f>(打分卡!$D$12*AH557+打分卡!$D$13*AI557+打分卡!$D$14*AJ557+打分卡!$D$15*AK557)/5</f>
        <v>17.6</v>
      </c>
      <c r="AQ557" s="46">
        <f>(打分卡!$D$16*AL557+打分卡!$D$17*AM557)/5</f>
        <v>4.8</v>
      </c>
      <c r="AR557" s="48">
        <f t="shared" si="66"/>
        <v>48.4</v>
      </c>
      <c r="AS557" s="45" t="str">
        <f t="shared" si="67"/>
        <v>腰部</v>
      </c>
      <c r="AT557" s="45" t="str">
        <f t="shared" si="68"/>
        <v/>
      </c>
      <c r="AU557" s="45" t="str">
        <f t="shared" si="69"/>
        <v>拉·主攻：主推AI外呼+大促作战包</v>
      </c>
    </row>
    <row r="558" ht="15" customHeight="1" spans="1:47">
      <c r="A558" s="30" t="s">
        <v>1715</v>
      </c>
      <c r="B558" s="31" t="s">
        <v>1716</v>
      </c>
      <c r="C558" s="31" t="s">
        <v>223</v>
      </c>
      <c r="D558" s="31" t="s">
        <v>227</v>
      </c>
      <c r="E558" s="31" t="s">
        <v>181</v>
      </c>
      <c r="F558" s="30" t="s">
        <v>1717</v>
      </c>
      <c r="G558" s="31">
        <v>22</v>
      </c>
      <c r="H558" s="31" t="s">
        <v>183</v>
      </c>
      <c r="I558" s="31" t="s">
        <v>302</v>
      </c>
      <c r="J558" s="33">
        <v>25000</v>
      </c>
      <c r="K558" s="33">
        <v>11000</v>
      </c>
      <c r="L558" s="33">
        <v>5600</v>
      </c>
      <c r="M558" s="33">
        <f t="shared" si="64"/>
        <v>41600</v>
      </c>
      <c r="N558" s="34">
        <f t="shared" si="70"/>
        <v>0.000218093818088785</v>
      </c>
      <c r="O558" s="35">
        <f>SUM($M$2:M558)</f>
        <v>181538300</v>
      </c>
      <c r="P558" s="34">
        <f t="shared" si="71"/>
        <v>0.951739927316041</v>
      </c>
      <c r="Q558" s="37">
        <v>6.2</v>
      </c>
      <c r="R558" s="31">
        <v>2</v>
      </c>
      <c r="S558" s="31">
        <v>1</v>
      </c>
      <c r="T558" s="31">
        <v>1</v>
      </c>
      <c r="U558" s="37">
        <v>19.3</v>
      </c>
      <c r="V558" s="31">
        <v>16</v>
      </c>
      <c r="W558" s="31">
        <v>3</v>
      </c>
      <c r="X558" s="38">
        <v>39</v>
      </c>
      <c r="Y558" s="31">
        <v>2</v>
      </c>
      <c r="Z558" s="31">
        <v>0</v>
      </c>
      <c r="AA558" s="31" t="s">
        <v>185</v>
      </c>
      <c r="AB558" s="31" t="s">
        <v>220</v>
      </c>
      <c r="AC558" s="41">
        <f>IFERROR(LOOKUP(M558,打分卡!$F$7:$J$7,打分卡!$K$7:$O$7),1)</f>
        <v>2</v>
      </c>
      <c r="AD558" s="41">
        <f>IFERROR(LOOKUP(S558,打分卡!$F$8:$J$8,打分卡!$K$8:$O$8),1)</f>
        <v>1</v>
      </c>
      <c r="AE558" s="41">
        <f>IFERROR(LOOKUP(T558,打分卡!$F$9:$I$9,打分卡!$K$9:$N$9),1)</f>
        <v>2</v>
      </c>
      <c r="AF558" s="41">
        <f>IFERROR(LOOKUP(Q558,打分卡!$F$10:$J$10,打分卡!$K$10:$O$10),1)</f>
        <v>2</v>
      </c>
      <c r="AG558" s="41">
        <f>IFERROR(LOOKUP(R558,打分卡!$F$11:$J$11,打分卡!$K$11:$O$11),1)</f>
        <v>1</v>
      </c>
      <c r="AH558" s="41">
        <f>IFERROR(LOOKUP(U558,打分卡!$F$12:$J$12,打分卡!$K$12:$O$12),1)</f>
        <v>3</v>
      </c>
      <c r="AI558" s="41">
        <f>IFERROR(LOOKUP(X558,打分卡!$F$13:$J$13,打分卡!$K$13:$O$13),1)</f>
        <v>3</v>
      </c>
      <c r="AJ558" s="41">
        <f>IFERROR(LOOKUP(Y558,打分卡!$F$14:$J$14,打分卡!$K$14:$O$14),1)</f>
        <v>3</v>
      </c>
      <c r="AK558" s="41">
        <f>IFERROR(LOOKUP(W558,打分卡!$F$15:$J$15,打分卡!$K$15:$O$15),1)</f>
        <v>3</v>
      </c>
      <c r="AL558" s="43">
        <f t="shared" si="65"/>
        <v>3</v>
      </c>
      <c r="AM558" s="41">
        <f>IFERROR(LOOKUP(Z558,打分卡!$F$17:$H$17,打分卡!$K$17:$M$17),1)</f>
        <v>1</v>
      </c>
      <c r="AN558" s="44">
        <f>(打分卡!$D$7*AC558+打分卡!$D$8*AD558+打分卡!$D$9*AE558)/5</f>
        <v>14.4</v>
      </c>
      <c r="AO558" s="44">
        <f>(打分卡!$D$10*AF558+打分卡!$D$11*AG558)/5</f>
        <v>6</v>
      </c>
      <c r="AP558" s="44">
        <f>(打分卡!$D$12*AH558+打分卡!$D$13*AI558+打分卡!$D$14*AJ558+打分卡!$D$15*AK558)/5</f>
        <v>18</v>
      </c>
      <c r="AQ558" s="44">
        <f>(打分卡!$D$16*AL558+打分卡!$D$17*AM558)/5</f>
        <v>4.4</v>
      </c>
      <c r="AR558" s="47">
        <f t="shared" si="66"/>
        <v>42.8</v>
      </c>
      <c r="AS558" s="43" t="str">
        <f t="shared" si="67"/>
        <v>腰部</v>
      </c>
      <c r="AT558" s="43" t="str">
        <f t="shared" si="68"/>
        <v/>
      </c>
      <c r="AU558" s="43" t="str">
        <f t="shared" si="69"/>
        <v>拉·主攻：主推AI外呼+大促作战包</v>
      </c>
    </row>
    <row r="559" ht="15" customHeight="1" spans="1:47">
      <c r="A559" s="20" t="s">
        <v>1718</v>
      </c>
      <c r="B559" s="22" t="s">
        <v>1719</v>
      </c>
      <c r="C559" s="22" t="s">
        <v>218</v>
      </c>
      <c r="D559" s="22" t="s">
        <v>202</v>
      </c>
      <c r="E559" s="22" t="s">
        <v>181</v>
      </c>
      <c r="F559" s="20" t="s">
        <v>647</v>
      </c>
      <c r="G559" s="22">
        <v>6</v>
      </c>
      <c r="H559" s="22" t="s">
        <v>183</v>
      </c>
      <c r="I559" s="22" t="s">
        <v>184</v>
      </c>
      <c r="J559" s="36">
        <v>22100</v>
      </c>
      <c r="K559" s="36">
        <v>16000</v>
      </c>
      <c r="L559" s="36">
        <v>3400</v>
      </c>
      <c r="M559" s="36">
        <f t="shared" si="64"/>
        <v>41500</v>
      </c>
      <c r="N559" s="34">
        <f t="shared" si="70"/>
        <v>0.000217569554102995</v>
      </c>
      <c r="O559" s="35">
        <f>SUM($M$2:M559)</f>
        <v>181579800</v>
      </c>
      <c r="P559" s="34">
        <f t="shared" si="71"/>
        <v>0.951957496870144</v>
      </c>
      <c r="Q559" s="39">
        <v>4.8</v>
      </c>
      <c r="R559" s="22">
        <v>3</v>
      </c>
      <c r="S559" s="22">
        <v>1</v>
      </c>
      <c r="T559" s="22">
        <v>0</v>
      </c>
      <c r="U559" s="39">
        <v>3.3</v>
      </c>
      <c r="V559" s="22">
        <v>7</v>
      </c>
      <c r="W559" s="22">
        <v>3</v>
      </c>
      <c r="X559" s="40">
        <v>125</v>
      </c>
      <c r="Y559" s="22">
        <v>0</v>
      </c>
      <c r="Z559" s="22">
        <v>1</v>
      </c>
      <c r="AA559" s="22" t="s">
        <v>185</v>
      </c>
      <c r="AB559" s="22" t="s">
        <v>220</v>
      </c>
      <c r="AC559" s="42">
        <f>IFERROR(LOOKUP(M559,打分卡!$F$7:$J$7,打分卡!$K$7:$O$7),1)</f>
        <v>2</v>
      </c>
      <c r="AD559" s="42">
        <f>IFERROR(LOOKUP(S559,打分卡!$F$8:$J$8,打分卡!$K$8:$O$8),1)</f>
        <v>1</v>
      </c>
      <c r="AE559" s="42">
        <f>IFERROR(LOOKUP(T559,打分卡!$F$9:$I$9,打分卡!$K$9:$N$9),1)</f>
        <v>1</v>
      </c>
      <c r="AF559" s="42">
        <f>IFERROR(LOOKUP(Q559,打分卡!$F$10:$J$10,打分卡!$K$10:$O$10),1)</f>
        <v>2</v>
      </c>
      <c r="AG559" s="42">
        <f>IFERROR(LOOKUP(R559,打分卡!$F$11:$J$11,打分卡!$K$11:$O$11),1)</f>
        <v>2</v>
      </c>
      <c r="AH559" s="42">
        <f>IFERROR(LOOKUP(U559,打分卡!$F$12:$J$12,打分卡!$K$12:$O$12),1)</f>
        <v>2</v>
      </c>
      <c r="AI559" s="42">
        <f>IFERROR(LOOKUP(X559,打分卡!$F$13:$J$13,打分卡!$K$13:$O$13),1)</f>
        <v>4</v>
      </c>
      <c r="AJ559" s="42">
        <f>IFERROR(LOOKUP(Y559,打分卡!$F$14:$J$14,打分卡!$K$14:$O$14),1)</f>
        <v>1</v>
      </c>
      <c r="AK559" s="42">
        <f>IFERROR(LOOKUP(W559,打分卡!$F$15:$J$15,打分卡!$K$15:$O$15),1)</f>
        <v>3</v>
      </c>
      <c r="AL559" s="45">
        <f t="shared" si="65"/>
        <v>3</v>
      </c>
      <c r="AM559" s="42">
        <f>IFERROR(LOOKUP(Z559,打分卡!$F$17:$H$17,打分卡!$K$17:$M$17),1)</f>
        <v>3</v>
      </c>
      <c r="AN559" s="46">
        <f>(打分卡!$D$7*AC559+打分卡!$D$8*AD559+打分卡!$D$9*AE559)/5</f>
        <v>13</v>
      </c>
      <c r="AO559" s="46">
        <f>(打分卡!$D$10*AF559+打分卡!$D$11*AG559)/5</f>
        <v>8</v>
      </c>
      <c r="AP559" s="46">
        <f>(打分卡!$D$12*AH559+打分卡!$D$13*AI559+打分卡!$D$14*AJ559+打分卡!$D$15*AK559)/5</f>
        <v>14.8</v>
      </c>
      <c r="AQ559" s="46">
        <f>(打分卡!$D$16*AL559+打分卡!$D$17*AM559)/5</f>
        <v>6</v>
      </c>
      <c r="AR559" s="48">
        <f t="shared" si="66"/>
        <v>41.8</v>
      </c>
      <c r="AS559" s="45" t="str">
        <f t="shared" si="67"/>
        <v>腰部</v>
      </c>
      <c r="AT559" s="45" t="str">
        <f t="shared" si="68"/>
        <v/>
      </c>
      <c r="AU559" s="45" t="str">
        <f t="shared" si="69"/>
        <v>拉·主攻：主推AI外呼+大促作战包</v>
      </c>
    </row>
    <row r="560" ht="15" customHeight="1" spans="1:47">
      <c r="A560" s="30" t="s">
        <v>1720</v>
      </c>
      <c r="B560" s="31" t="s">
        <v>1721</v>
      </c>
      <c r="C560" s="31" t="s">
        <v>179</v>
      </c>
      <c r="D560" s="31" t="s">
        <v>252</v>
      </c>
      <c r="E560" s="31" t="s">
        <v>181</v>
      </c>
      <c r="F560" s="30" t="s">
        <v>1722</v>
      </c>
      <c r="G560" s="31">
        <v>20</v>
      </c>
      <c r="H560" s="31" t="s">
        <v>301</v>
      </c>
      <c r="I560" s="31" t="s">
        <v>302</v>
      </c>
      <c r="J560" s="33">
        <v>22100</v>
      </c>
      <c r="K560" s="33">
        <v>12500</v>
      </c>
      <c r="L560" s="33">
        <v>6800</v>
      </c>
      <c r="M560" s="33">
        <f t="shared" si="64"/>
        <v>41400</v>
      </c>
      <c r="N560" s="34">
        <f t="shared" si="70"/>
        <v>0.000217045290117204</v>
      </c>
      <c r="O560" s="35">
        <f>SUM($M$2:M560)</f>
        <v>181621200</v>
      </c>
      <c r="P560" s="34">
        <f t="shared" si="71"/>
        <v>0.952174542160261</v>
      </c>
      <c r="Q560" s="37">
        <v>5.7</v>
      </c>
      <c r="R560" s="31">
        <v>4</v>
      </c>
      <c r="S560" s="31">
        <v>2</v>
      </c>
      <c r="T560" s="31">
        <v>1</v>
      </c>
      <c r="U560" s="37">
        <v>5.8</v>
      </c>
      <c r="V560" s="31">
        <v>21</v>
      </c>
      <c r="W560" s="31">
        <v>4</v>
      </c>
      <c r="X560" s="38">
        <v>63</v>
      </c>
      <c r="Y560" s="31">
        <v>1</v>
      </c>
      <c r="Z560" s="31">
        <v>1</v>
      </c>
      <c r="AA560" s="31" t="s">
        <v>199</v>
      </c>
      <c r="AB560" s="31" t="s">
        <v>220</v>
      </c>
      <c r="AC560" s="41">
        <f>IFERROR(LOOKUP(M560,打分卡!$F$7:$J$7,打分卡!$K$7:$O$7),1)</f>
        <v>2</v>
      </c>
      <c r="AD560" s="41">
        <f>IFERROR(LOOKUP(S560,打分卡!$F$8:$J$8,打分卡!$K$8:$O$8),1)</f>
        <v>2</v>
      </c>
      <c r="AE560" s="41">
        <f>IFERROR(LOOKUP(T560,打分卡!$F$9:$I$9,打分卡!$K$9:$N$9),1)</f>
        <v>2</v>
      </c>
      <c r="AF560" s="41">
        <f>IFERROR(LOOKUP(Q560,打分卡!$F$10:$J$10,打分卡!$K$10:$O$10),1)</f>
        <v>2</v>
      </c>
      <c r="AG560" s="41">
        <f>IFERROR(LOOKUP(R560,打分卡!$F$11:$J$11,打分卡!$K$11:$O$11),1)</f>
        <v>2</v>
      </c>
      <c r="AH560" s="41">
        <f>IFERROR(LOOKUP(U560,打分卡!$F$12:$J$12,打分卡!$K$12:$O$12),1)</f>
        <v>2</v>
      </c>
      <c r="AI560" s="41">
        <f>IFERROR(LOOKUP(X560,打分卡!$F$13:$J$13,打分卡!$K$13:$O$13),1)</f>
        <v>3</v>
      </c>
      <c r="AJ560" s="41">
        <f>IFERROR(LOOKUP(Y560,打分卡!$F$14:$J$14,打分卡!$K$14:$O$14),1)</f>
        <v>2</v>
      </c>
      <c r="AK560" s="41">
        <f>IFERROR(LOOKUP(W560,打分卡!$F$15:$J$15,打分卡!$K$15:$O$15),1)</f>
        <v>3</v>
      </c>
      <c r="AL560" s="43">
        <f t="shared" si="65"/>
        <v>5</v>
      </c>
      <c r="AM560" s="41">
        <f>IFERROR(LOOKUP(Z560,打分卡!$F$17:$H$17,打分卡!$K$17:$M$17),1)</f>
        <v>3</v>
      </c>
      <c r="AN560" s="44">
        <f>(打分卡!$D$7*AC560+打分卡!$D$8*AD560+打分卡!$D$9*AE560)/5</f>
        <v>16</v>
      </c>
      <c r="AO560" s="44">
        <f>(打分卡!$D$10*AF560+打分卡!$D$11*AG560)/5</f>
        <v>8</v>
      </c>
      <c r="AP560" s="44">
        <f>(打分卡!$D$12*AH560+打分卡!$D$13*AI560+打分卡!$D$14*AJ560+打分卡!$D$15*AK560)/5</f>
        <v>14.4</v>
      </c>
      <c r="AQ560" s="44">
        <f>(打分卡!$D$16*AL560+打分卡!$D$17*AM560)/5</f>
        <v>8.4</v>
      </c>
      <c r="AR560" s="47">
        <f t="shared" si="66"/>
        <v>46.8</v>
      </c>
      <c r="AS560" s="43" t="str">
        <f t="shared" si="67"/>
        <v>腰部</v>
      </c>
      <c r="AT560" s="43" t="str">
        <f t="shared" si="68"/>
        <v/>
      </c>
      <c r="AU560" s="43" t="str">
        <f t="shared" si="69"/>
        <v>拉·主攻：主推AI外呼+大促作战包</v>
      </c>
    </row>
    <row r="561" ht="15" customHeight="1" spans="1:47">
      <c r="A561" s="20" t="s">
        <v>1723</v>
      </c>
      <c r="B561" s="22" t="s">
        <v>1724</v>
      </c>
      <c r="C561" s="22" t="s">
        <v>189</v>
      </c>
      <c r="D561" s="22" t="s">
        <v>202</v>
      </c>
      <c r="E561" s="22" t="s">
        <v>181</v>
      </c>
      <c r="F561" s="20" t="s">
        <v>1725</v>
      </c>
      <c r="G561" s="22">
        <v>3</v>
      </c>
      <c r="H561" s="22" t="s">
        <v>642</v>
      </c>
      <c r="I561" s="22" t="s">
        <v>184</v>
      </c>
      <c r="J561" s="36">
        <v>20400</v>
      </c>
      <c r="K561" s="36">
        <v>9900</v>
      </c>
      <c r="L561" s="36">
        <v>11100</v>
      </c>
      <c r="M561" s="36">
        <f t="shared" si="64"/>
        <v>41400</v>
      </c>
      <c r="N561" s="34">
        <f t="shared" si="70"/>
        <v>0.000217045290117204</v>
      </c>
      <c r="O561" s="35">
        <f>SUM($M$2:M561)</f>
        <v>181662600</v>
      </c>
      <c r="P561" s="34">
        <f t="shared" si="71"/>
        <v>0.952391587450378</v>
      </c>
      <c r="Q561" s="39">
        <v>3.3</v>
      </c>
      <c r="R561" s="22">
        <v>7</v>
      </c>
      <c r="S561" s="22">
        <v>3</v>
      </c>
      <c r="T561" s="22">
        <v>2</v>
      </c>
      <c r="U561" s="39">
        <v>1137</v>
      </c>
      <c r="V561" s="22">
        <v>21</v>
      </c>
      <c r="W561" s="22">
        <v>10</v>
      </c>
      <c r="X561" s="40">
        <v>874</v>
      </c>
      <c r="Y561" s="22">
        <v>2</v>
      </c>
      <c r="Z561" s="22">
        <v>1</v>
      </c>
      <c r="AA561" s="22" t="s">
        <v>199</v>
      </c>
      <c r="AB561" s="22" t="s">
        <v>220</v>
      </c>
      <c r="AC561" s="42">
        <f>IFERROR(LOOKUP(M561,打分卡!$F$7:$J$7,打分卡!$K$7:$O$7),1)</f>
        <v>2</v>
      </c>
      <c r="AD561" s="42">
        <f>IFERROR(LOOKUP(S561,打分卡!$F$8:$J$8,打分卡!$K$8:$O$8),1)</f>
        <v>3</v>
      </c>
      <c r="AE561" s="42">
        <f>IFERROR(LOOKUP(T561,打分卡!$F$9:$I$9,打分卡!$K$9:$N$9),1)</f>
        <v>3</v>
      </c>
      <c r="AF561" s="42">
        <f>IFERROR(LOOKUP(Q561,打分卡!$F$10:$J$10,打分卡!$K$10:$O$10),1)</f>
        <v>2</v>
      </c>
      <c r="AG561" s="42">
        <f>IFERROR(LOOKUP(R561,打分卡!$F$11:$J$11,打分卡!$K$11:$O$11),1)</f>
        <v>3</v>
      </c>
      <c r="AH561" s="42">
        <f>IFERROR(LOOKUP(U561,打分卡!$F$12:$J$12,打分卡!$K$12:$O$12),1)</f>
        <v>5</v>
      </c>
      <c r="AI561" s="42">
        <f>IFERROR(LOOKUP(X561,打分卡!$F$13:$J$13,打分卡!$K$13:$O$13),1)</f>
        <v>5</v>
      </c>
      <c r="AJ561" s="42">
        <f>IFERROR(LOOKUP(Y561,打分卡!$F$14:$J$14,打分卡!$K$14:$O$14),1)</f>
        <v>3</v>
      </c>
      <c r="AK561" s="42">
        <f>IFERROR(LOOKUP(W561,打分卡!$F$15:$J$15,打分卡!$K$15:$O$15),1)</f>
        <v>4</v>
      </c>
      <c r="AL561" s="45">
        <f t="shared" si="65"/>
        <v>5</v>
      </c>
      <c r="AM561" s="42">
        <f>IFERROR(LOOKUP(Z561,打分卡!$F$17:$H$17,打分卡!$K$17:$M$17),1)</f>
        <v>3</v>
      </c>
      <c r="AN561" s="46">
        <f>(打分卡!$D$7*AC561+打分卡!$D$8*AD561+打分卡!$D$9*AE561)/5</f>
        <v>19</v>
      </c>
      <c r="AO561" s="46">
        <f>(打分卡!$D$10*AF561+打分卡!$D$11*AG561)/5</f>
        <v>10</v>
      </c>
      <c r="AP561" s="46">
        <f>(打分卡!$D$12*AH561+打分卡!$D$13*AI561+打分卡!$D$14*AJ561+打分卡!$D$15*AK561)/5</f>
        <v>26.8</v>
      </c>
      <c r="AQ561" s="46">
        <f>(打分卡!$D$16*AL561+打分卡!$D$17*AM561)/5</f>
        <v>8.4</v>
      </c>
      <c r="AR561" s="48">
        <f t="shared" si="66"/>
        <v>64.2</v>
      </c>
      <c r="AS561" s="45" t="str">
        <f t="shared" si="67"/>
        <v>腰部</v>
      </c>
      <c r="AT561" s="45" t="str">
        <f t="shared" si="68"/>
        <v/>
      </c>
      <c r="AU561" s="45" t="str">
        <f t="shared" si="69"/>
        <v>拉·主攻：主推AI外呼+大促作战包</v>
      </c>
    </row>
    <row r="562" ht="15" customHeight="1" spans="1:47">
      <c r="A562" s="30" t="s">
        <v>1726</v>
      </c>
      <c r="B562" s="31" t="s">
        <v>1727</v>
      </c>
      <c r="C562" s="31" t="s">
        <v>179</v>
      </c>
      <c r="D562" s="31" t="s">
        <v>196</v>
      </c>
      <c r="E562" s="31" t="s">
        <v>181</v>
      </c>
      <c r="F562" s="30" t="s">
        <v>1243</v>
      </c>
      <c r="G562" s="31">
        <v>3</v>
      </c>
      <c r="H562" s="31" t="s">
        <v>301</v>
      </c>
      <c r="I562" s="31" t="s">
        <v>184</v>
      </c>
      <c r="J562" s="33">
        <v>26500</v>
      </c>
      <c r="K562" s="33">
        <v>12600</v>
      </c>
      <c r="L562" s="33">
        <v>2100</v>
      </c>
      <c r="M562" s="33">
        <f t="shared" si="64"/>
        <v>41200</v>
      </c>
      <c r="N562" s="34">
        <f t="shared" si="70"/>
        <v>0.000215996762145624</v>
      </c>
      <c r="O562" s="35">
        <f>SUM($M$2:M562)</f>
        <v>181703800</v>
      </c>
      <c r="P562" s="34">
        <f t="shared" si="71"/>
        <v>0.952607584212524</v>
      </c>
      <c r="Q562" s="37">
        <v>5.3</v>
      </c>
      <c r="R562" s="31">
        <v>8</v>
      </c>
      <c r="S562" s="31">
        <v>3</v>
      </c>
      <c r="T562" s="31">
        <v>0</v>
      </c>
      <c r="U562" s="37">
        <v>21.7</v>
      </c>
      <c r="V562" s="31">
        <v>10</v>
      </c>
      <c r="W562" s="31">
        <v>2</v>
      </c>
      <c r="X562" s="38">
        <v>79</v>
      </c>
      <c r="Y562" s="31">
        <v>3</v>
      </c>
      <c r="Z562" s="31">
        <v>0</v>
      </c>
      <c r="AA562" s="31" t="s">
        <v>315</v>
      </c>
      <c r="AB562" s="31" t="s">
        <v>220</v>
      </c>
      <c r="AC562" s="41">
        <f>IFERROR(LOOKUP(M562,打分卡!$F$7:$J$7,打分卡!$K$7:$O$7),1)</f>
        <v>2</v>
      </c>
      <c r="AD562" s="41">
        <f>IFERROR(LOOKUP(S562,打分卡!$F$8:$J$8,打分卡!$K$8:$O$8),1)</f>
        <v>3</v>
      </c>
      <c r="AE562" s="41">
        <f>IFERROR(LOOKUP(T562,打分卡!$F$9:$I$9,打分卡!$K$9:$N$9),1)</f>
        <v>1</v>
      </c>
      <c r="AF562" s="41">
        <f>IFERROR(LOOKUP(Q562,打分卡!$F$10:$J$10,打分卡!$K$10:$O$10),1)</f>
        <v>2</v>
      </c>
      <c r="AG562" s="41">
        <f>IFERROR(LOOKUP(R562,打分卡!$F$11:$J$11,打分卡!$K$11:$O$11),1)</f>
        <v>3</v>
      </c>
      <c r="AH562" s="41">
        <f>IFERROR(LOOKUP(U562,打分卡!$F$12:$J$12,打分卡!$K$12:$O$12),1)</f>
        <v>3</v>
      </c>
      <c r="AI562" s="41">
        <f>IFERROR(LOOKUP(X562,打分卡!$F$13:$J$13,打分卡!$K$13:$O$13),1)</f>
        <v>3</v>
      </c>
      <c r="AJ562" s="41">
        <f>IFERROR(LOOKUP(Y562,打分卡!$F$14:$J$14,打分卡!$K$14:$O$14),1)</f>
        <v>4</v>
      </c>
      <c r="AK562" s="41">
        <f>IFERROR(LOOKUP(W562,打分卡!$F$15:$J$15,打分卡!$K$15:$O$15),1)</f>
        <v>2</v>
      </c>
      <c r="AL562" s="43">
        <f t="shared" si="65"/>
        <v>2</v>
      </c>
      <c r="AM562" s="41">
        <f>IFERROR(LOOKUP(Z562,打分卡!$F$17:$H$17,打分卡!$K$17:$M$17),1)</f>
        <v>1</v>
      </c>
      <c r="AN562" s="44">
        <f>(打分卡!$D$7*AC562+打分卡!$D$8*AD562+打分卡!$D$9*AE562)/5</f>
        <v>16.2</v>
      </c>
      <c r="AO562" s="44">
        <f>(打分卡!$D$10*AF562+打分卡!$D$11*AG562)/5</f>
        <v>10</v>
      </c>
      <c r="AP562" s="44">
        <f>(打分卡!$D$12*AH562+打分卡!$D$13*AI562+打分卡!$D$14*AJ562+打分卡!$D$15*AK562)/5</f>
        <v>18.4</v>
      </c>
      <c r="AQ562" s="44">
        <f>(打分卡!$D$16*AL562+打分卡!$D$17*AM562)/5</f>
        <v>3.2</v>
      </c>
      <c r="AR562" s="47">
        <f t="shared" si="66"/>
        <v>47.8</v>
      </c>
      <c r="AS562" s="43" t="str">
        <f t="shared" si="67"/>
        <v>腰部</v>
      </c>
      <c r="AT562" s="43" t="str">
        <f t="shared" si="68"/>
        <v/>
      </c>
      <c r="AU562" s="43" t="str">
        <f t="shared" si="69"/>
        <v>拉·主攻：主推AI外呼+大促作战包</v>
      </c>
    </row>
    <row r="563" ht="15" customHeight="1" spans="1:47">
      <c r="A563" s="20" t="s">
        <v>1728</v>
      </c>
      <c r="B563" s="22" t="s">
        <v>1729</v>
      </c>
      <c r="C563" s="22" t="s">
        <v>239</v>
      </c>
      <c r="D563" s="22" t="s">
        <v>196</v>
      </c>
      <c r="E563" s="22" t="s">
        <v>181</v>
      </c>
      <c r="F563" s="20" t="s">
        <v>1132</v>
      </c>
      <c r="G563" s="22">
        <v>6</v>
      </c>
      <c r="H563" s="22" t="s">
        <v>183</v>
      </c>
      <c r="I563" s="22" t="s">
        <v>302</v>
      </c>
      <c r="J563" s="36">
        <v>20200</v>
      </c>
      <c r="K563" s="36">
        <v>14300</v>
      </c>
      <c r="L563" s="36">
        <v>6200</v>
      </c>
      <c r="M563" s="36">
        <f t="shared" si="64"/>
        <v>40700</v>
      </c>
      <c r="N563" s="34">
        <f t="shared" si="70"/>
        <v>0.000213375442216672</v>
      </c>
      <c r="O563" s="35">
        <f>SUM($M$2:M563)</f>
        <v>181744500</v>
      </c>
      <c r="P563" s="34">
        <f t="shared" si="71"/>
        <v>0.952820959654741</v>
      </c>
      <c r="Q563" s="39">
        <v>6.2</v>
      </c>
      <c r="R563" s="22">
        <v>2</v>
      </c>
      <c r="S563" s="22">
        <v>3</v>
      </c>
      <c r="T563" s="22">
        <v>0</v>
      </c>
      <c r="U563" s="39">
        <v>3.6</v>
      </c>
      <c r="V563" s="22">
        <v>28</v>
      </c>
      <c r="W563" s="22">
        <v>2</v>
      </c>
      <c r="X563" s="40">
        <v>12</v>
      </c>
      <c r="Y563" s="22">
        <v>0</v>
      </c>
      <c r="Z563" s="22">
        <v>1</v>
      </c>
      <c r="AA563" s="22" t="s">
        <v>199</v>
      </c>
      <c r="AB563" s="22" t="s">
        <v>220</v>
      </c>
      <c r="AC563" s="42">
        <f>IFERROR(LOOKUP(M563,打分卡!$F$7:$J$7,打分卡!$K$7:$O$7),1)</f>
        <v>2</v>
      </c>
      <c r="AD563" s="42">
        <f>IFERROR(LOOKUP(S563,打分卡!$F$8:$J$8,打分卡!$K$8:$O$8),1)</f>
        <v>3</v>
      </c>
      <c r="AE563" s="42">
        <f>IFERROR(LOOKUP(T563,打分卡!$F$9:$I$9,打分卡!$K$9:$N$9),1)</f>
        <v>1</v>
      </c>
      <c r="AF563" s="42">
        <f>IFERROR(LOOKUP(Q563,打分卡!$F$10:$J$10,打分卡!$K$10:$O$10),1)</f>
        <v>2</v>
      </c>
      <c r="AG563" s="42">
        <f>IFERROR(LOOKUP(R563,打分卡!$F$11:$J$11,打分卡!$K$11:$O$11),1)</f>
        <v>1</v>
      </c>
      <c r="AH563" s="42">
        <f>IFERROR(LOOKUP(U563,打分卡!$F$12:$J$12,打分卡!$K$12:$O$12),1)</f>
        <v>2</v>
      </c>
      <c r="AI563" s="42">
        <f>IFERROR(LOOKUP(X563,打分卡!$F$13:$J$13,打分卡!$K$13:$O$13),1)</f>
        <v>1</v>
      </c>
      <c r="AJ563" s="42">
        <f>IFERROR(LOOKUP(Y563,打分卡!$F$14:$J$14,打分卡!$K$14:$O$14),1)</f>
        <v>1</v>
      </c>
      <c r="AK563" s="42">
        <f>IFERROR(LOOKUP(W563,打分卡!$F$15:$J$15,打分卡!$K$15:$O$15),1)</f>
        <v>2</v>
      </c>
      <c r="AL563" s="45">
        <f t="shared" si="65"/>
        <v>5</v>
      </c>
      <c r="AM563" s="42">
        <f>IFERROR(LOOKUP(Z563,打分卡!$F$17:$H$17,打分卡!$K$17:$M$17),1)</f>
        <v>3</v>
      </c>
      <c r="AN563" s="46">
        <f>(打分卡!$D$7*AC563+打分卡!$D$8*AD563+打分卡!$D$9*AE563)/5</f>
        <v>16.2</v>
      </c>
      <c r="AO563" s="46">
        <f>(打分卡!$D$10*AF563+打分卡!$D$11*AG563)/5</f>
        <v>6</v>
      </c>
      <c r="AP563" s="46">
        <f>(打分卡!$D$12*AH563+打分卡!$D$13*AI563+打分卡!$D$14*AJ563+打分卡!$D$15*AK563)/5</f>
        <v>9.2</v>
      </c>
      <c r="AQ563" s="46">
        <f>(打分卡!$D$16*AL563+打分卡!$D$17*AM563)/5</f>
        <v>8.4</v>
      </c>
      <c r="AR563" s="48">
        <f t="shared" si="66"/>
        <v>39.8</v>
      </c>
      <c r="AS563" s="45" t="str">
        <f t="shared" si="67"/>
        <v>基础长尾</v>
      </c>
      <c r="AT563" s="45" t="str">
        <f t="shared" si="68"/>
        <v/>
      </c>
      <c r="AU563" s="45" t="str">
        <f t="shared" si="69"/>
        <v>激活：企微+Push低成本先跑</v>
      </c>
    </row>
    <row r="564" ht="15" customHeight="1" spans="1:47">
      <c r="A564" s="30" t="s">
        <v>1730</v>
      </c>
      <c r="B564" s="31" t="s">
        <v>1731</v>
      </c>
      <c r="C564" s="31" t="s">
        <v>189</v>
      </c>
      <c r="D564" s="31" t="s">
        <v>202</v>
      </c>
      <c r="E564" s="31" t="s">
        <v>197</v>
      </c>
      <c r="F564" s="30" t="s">
        <v>956</v>
      </c>
      <c r="G564" s="31">
        <v>3</v>
      </c>
      <c r="H564" s="31" t="s">
        <v>183</v>
      </c>
      <c r="I564" s="31" t="s">
        <v>184</v>
      </c>
      <c r="J564" s="33">
        <v>25000</v>
      </c>
      <c r="K564" s="33">
        <v>8300</v>
      </c>
      <c r="L564" s="33">
        <v>7300</v>
      </c>
      <c r="M564" s="33">
        <f t="shared" si="64"/>
        <v>40600</v>
      </c>
      <c r="N564" s="34">
        <f t="shared" si="70"/>
        <v>0.000212851178230882</v>
      </c>
      <c r="O564" s="35">
        <f>SUM($M$2:M564)</f>
        <v>181785100</v>
      </c>
      <c r="P564" s="34">
        <f t="shared" si="71"/>
        <v>0.953033810832972</v>
      </c>
      <c r="Q564" s="37">
        <v>5</v>
      </c>
      <c r="R564" s="31">
        <v>4</v>
      </c>
      <c r="S564" s="31">
        <v>2</v>
      </c>
      <c r="T564" s="31">
        <v>0</v>
      </c>
      <c r="U564" s="37">
        <v>33</v>
      </c>
      <c r="V564" s="31">
        <v>24</v>
      </c>
      <c r="W564" s="31">
        <v>2</v>
      </c>
      <c r="X564" s="38">
        <v>56</v>
      </c>
      <c r="Y564" s="31">
        <v>1</v>
      </c>
      <c r="Z564" s="31">
        <v>0</v>
      </c>
      <c r="AA564" s="31" t="s">
        <v>199</v>
      </c>
      <c r="AB564" s="31" t="s">
        <v>220</v>
      </c>
      <c r="AC564" s="41">
        <f>IFERROR(LOOKUP(M564,打分卡!$F$7:$J$7,打分卡!$K$7:$O$7),1)</f>
        <v>2</v>
      </c>
      <c r="AD564" s="41">
        <f>IFERROR(LOOKUP(S564,打分卡!$F$8:$J$8,打分卡!$K$8:$O$8),1)</f>
        <v>2</v>
      </c>
      <c r="AE564" s="41">
        <f>IFERROR(LOOKUP(T564,打分卡!$F$9:$I$9,打分卡!$K$9:$N$9),1)</f>
        <v>1</v>
      </c>
      <c r="AF564" s="41">
        <f>IFERROR(LOOKUP(Q564,打分卡!$F$10:$J$10,打分卡!$K$10:$O$10),1)</f>
        <v>2</v>
      </c>
      <c r="AG564" s="41">
        <f>IFERROR(LOOKUP(R564,打分卡!$F$11:$J$11,打分卡!$K$11:$O$11),1)</f>
        <v>2</v>
      </c>
      <c r="AH564" s="41">
        <f>IFERROR(LOOKUP(U564,打分卡!$F$12:$J$12,打分卡!$K$12:$O$12),1)</f>
        <v>4</v>
      </c>
      <c r="AI564" s="41">
        <f>IFERROR(LOOKUP(X564,打分卡!$F$13:$J$13,打分卡!$K$13:$O$13),1)</f>
        <v>3</v>
      </c>
      <c r="AJ564" s="41">
        <f>IFERROR(LOOKUP(Y564,打分卡!$F$14:$J$14,打分卡!$K$14:$O$14),1)</f>
        <v>2</v>
      </c>
      <c r="AK564" s="41">
        <f>IFERROR(LOOKUP(W564,打分卡!$F$15:$J$15,打分卡!$K$15:$O$15),1)</f>
        <v>2</v>
      </c>
      <c r="AL564" s="43">
        <f t="shared" si="65"/>
        <v>5</v>
      </c>
      <c r="AM564" s="41">
        <f>IFERROR(LOOKUP(Z564,打分卡!$F$17:$H$17,打分卡!$K$17:$M$17),1)</f>
        <v>1</v>
      </c>
      <c r="AN564" s="44">
        <f>(打分卡!$D$7*AC564+打分卡!$D$8*AD564+打分卡!$D$9*AE564)/5</f>
        <v>14.6</v>
      </c>
      <c r="AO564" s="44">
        <f>(打分卡!$D$10*AF564+打分卡!$D$11*AG564)/5</f>
        <v>8</v>
      </c>
      <c r="AP564" s="44">
        <f>(打分卡!$D$12*AH564+打分卡!$D$13*AI564+打分卡!$D$14*AJ564+打分卡!$D$15*AK564)/5</f>
        <v>18.4</v>
      </c>
      <c r="AQ564" s="44">
        <f>(打分卡!$D$16*AL564+打分卡!$D$17*AM564)/5</f>
        <v>6.8</v>
      </c>
      <c r="AR564" s="47">
        <f t="shared" si="66"/>
        <v>47.8</v>
      </c>
      <c r="AS564" s="43" t="str">
        <f t="shared" si="67"/>
        <v>腰部</v>
      </c>
      <c r="AT564" s="43" t="str">
        <f t="shared" si="68"/>
        <v/>
      </c>
      <c r="AU564" s="43" t="str">
        <f t="shared" si="69"/>
        <v>拉·主攻：主推AI外呼+大促作战包</v>
      </c>
    </row>
    <row r="565" ht="15" customHeight="1" spans="1:47">
      <c r="A565" s="20" t="s">
        <v>1732</v>
      </c>
      <c r="B565" s="22" t="s">
        <v>1733</v>
      </c>
      <c r="C565" s="22" t="s">
        <v>189</v>
      </c>
      <c r="D565" s="22" t="s">
        <v>202</v>
      </c>
      <c r="E565" s="22" t="s">
        <v>197</v>
      </c>
      <c r="F565" s="20" t="s">
        <v>1202</v>
      </c>
      <c r="G565" s="22">
        <v>5</v>
      </c>
      <c r="H565" s="22" t="s">
        <v>301</v>
      </c>
      <c r="I565" s="22" t="s">
        <v>302</v>
      </c>
      <c r="J565" s="36">
        <v>23600</v>
      </c>
      <c r="K565" s="36">
        <v>14700</v>
      </c>
      <c r="L565" s="36">
        <v>2000</v>
      </c>
      <c r="M565" s="36">
        <f t="shared" si="64"/>
        <v>40300</v>
      </c>
      <c r="N565" s="34">
        <f t="shared" si="70"/>
        <v>0.000211278386273511</v>
      </c>
      <c r="O565" s="35">
        <f>SUM($M$2:M565)</f>
        <v>181825400</v>
      </c>
      <c r="P565" s="34">
        <f t="shared" si="71"/>
        <v>0.953245089219245</v>
      </c>
      <c r="Q565" s="39">
        <v>6</v>
      </c>
      <c r="R565" s="22">
        <v>6</v>
      </c>
      <c r="S565" s="22">
        <v>2</v>
      </c>
      <c r="T565" s="22">
        <v>1</v>
      </c>
      <c r="U565" s="39">
        <v>11</v>
      </c>
      <c r="V565" s="22">
        <v>10</v>
      </c>
      <c r="W565" s="22">
        <v>4</v>
      </c>
      <c r="X565" s="40">
        <v>11</v>
      </c>
      <c r="Y565" s="22">
        <v>3</v>
      </c>
      <c r="Z565" s="22">
        <v>0</v>
      </c>
      <c r="AA565" s="22" t="s">
        <v>185</v>
      </c>
      <c r="AB565" s="22" t="s">
        <v>220</v>
      </c>
      <c r="AC565" s="42">
        <f>IFERROR(LOOKUP(M565,打分卡!$F$7:$J$7,打分卡!$K$7:$O$7),1)</f>
        <v>2</v>
      </c>
      <c r="AD565" s="42">
        <f>IFERROR(LOOKUP(S565,打分卡!$F$8:$J$8,打分卡!$K$8:$O$8),1)</f>
        <v>2</v>
      </c>
      <c r="AE565" s="42">
        <f>IFERROR(LOOKUP(T565,打分卡!$F$9:$I$9,打分卡!$K$9:$N$9),1)</f>
        <v>2</v>
      </c>
      <c r="AF565" s="42">
        <f>IFERROR(LOOKUP(Q565,打分卡!$F$10:$J$10,打分卡!$K$10:$O$10),1)</f>
        <v>2</v>
      </c>
      <c r="AG565" s="42">
        <f>IFERROR(LOOKUP(R565,打分卡!$F$11:$J$11,打分卡!$K$11:$O$11),1)</f>
        <v>3</v>
      </c>
      <c r="AH565" s="42">
        <f>IFERROR(LOOKUP(U565,打分卡!$F$12:$J$12,打分卡!$K$12:$O$12),1)</f>
        <v>3</v>
      </c>
      <c r="AI565" s="42">
        <f>IFERROR(LOOKUP(X565,打分卡!$F$13:$J$13,打分卡!$K$13:$O$13),1)</f>
        <v>1</v>
      </c>
      <c r="AJ565" s="42">
        <f>IFERROR(LOOKUP(Y565,打分卡!$F$14:$J$14,打分卡!$K$14:$O$14),1)</f>
        <v>4</v>
      </c>
      <c r="AK565" s="42">
        <f>IFERROR(LOOKUP(W565,打分卡!$F$15:$J$15,打分卡!$K$15:$O$15),1)</f>
        <v>3</v>
      </c>
      <c r="AL565" s="45">
        <f t="shared" si="65"/>
        <v>3</v>
      </c>
      <c r="AM565" s="42">
        <f>IFERROR(LOOKUP(Z565,打分卡!$F$17:$H$17,打分卡!$K$17:$M$17),1)</f>
        <v>1</v>
      </c>
      <c r="AN565" s="46">
        <f>(打分卡!$D$7*AC565+打分卡!$D$8*AD565+打分卡!$D$9*AE565)/5</f>
        <v>16</v>
      </c>
      <c r="AO565" s="46">
        <f>(打分卡!$D$10*AF565+打分卡!$D$11*AG565)/5</f>
        <v>10</v>
      </c>
      <c r="AP565" s="46">
        <f>(打分卡!$D$12*AH565+打分卡!$D$13*AI565+打分卡!$D$14*AJ565+打分卡!$D$15*AK565)/5</f>
        <v>16</v>
      </c>
      <c r="AQ565" s="46">
        <f>(打分卡!$D$16*AL565+打分卡!$D$17*AM565)/5</f>
        <v>4.4</v>
      </c>
      <c r="AR565" s="48">
        <f t="shared" si="66"/>
        <v>46.4</v>
      </c>
      <c r="AS565" s="45" t="str">
        <f t="shared" si="67"/>
        <v>腰部</v>
      </c>
      <c r="AT565" s="45" t="str">
        <f t="shared" si="68"/>
        <v/>
      </c>
      <c r="AU565" s="45" t="str">
        <f t="shared" si="69"/>
        <v>拉·主攻：主推AI外呼+大促作战包</v>
      </c>
    </row>
    <row r="566" ht="15" customHeight="1" spans="1:47">
      <c r="A566" s="30" t="s">
        <v>1734</v>
      </c>
      <c r="B566" s="31" t="s">
        <v>1735</v>
      </c>
      <c r="C566" s="31" t="s">
        <v>218</v>
      </c>
      <c r="D566" s="31" t="s">
        <v>180</v>
      </c>
      <c r="E566" s="31" t="s">
        <v>197</v>
      </c>
      <c r="F566" s="30" t="s">
        <v>1736</v>
      </c>
      <c r="G566" s="31">
        <v>13</v>
      </c>
      <c r="H566" s="31" t="s">
        <v>183</v>
      </c>
      <c r="I566" s="31" t="s">
        <v>302</v>
      </c>
      <c r="J566" s="33">
        <v>21200</v>
      </c>
      <c r="K566" s="33">
        <v>12600</v>
      </c>
      <c r="L566" s="33">
        <v>6300</v>
      </c>
      <c r="M566" s="33">
        <f t="shared" si="64"/>
        <v>40100</v>
      </c>
      <c r="N566" s="34">
        <f t="shared" si="70"/>
        <v>0.00021022985830193</v>
      </c>
      <c r="O566" s="35">
        <f>SUM($M$2:M566)</f>
        <v>181865500</v>
      </c>
      <c r="P566" s="34">
        <f t="shared" si="71"/>
        <v>0.953455319077547</v>
      </c>
      <c r="Q566" s="37">
        <v>5.8</v>
      </c>
      <c r="R566" s="31">
        <v>6</v>
      </c>
      <c r="S566" s="31">
        <v>3</v>
      </c>
      <c r="T566" s="31">
        <v>0</v>
      </c>
      <c r="U566" s="37">
        <v>15.1</v>
      </c>
      <c r="V566" s="31">
        <v>16</v>
      </c>
      <c r="W566" s="31">
        <v>3</v>
      </c>
      <c r="X566" s="38">
        <v>47</v>
      </c>
      <c r="Y566" s="31">
        <v>1</v>
      </c>
      <c r="Z566" s="31">
        <v>0</v>
      </c>
      <c r="AA566" s="31" t="s">
        <v>185</v>
      </c>
      <c r="AB566" s="31" t="s">
        <v>220</v>
      </c>
      <c r="AC566" s="41">
        <f>IFERROR(LOOKUP(M566,打分卡!$F$7:$J$7,打分卡!$K$7:$O$7),1)</f>
        <v>2</v>
      </c>
      <c r="AD566" s="41">
        <f>IFERROR(LOOKUP(S566,打分卡!$F$8:$J$8,打分卡!$K$8:$O$8),1)</f>
        <v>3</v>
      </c>
      <c r="AE566" s="41">
        <f>IFERROR(LOOKUP(T566,打分卡!$F$9:$I$9,打分卡!$K$9:$N$9),1)</f>
        <v>1</v>
      </c>
      <c r="AF566" s="41">
        <f>IFERROR(LOOKUP(Q566,打分卡!$F$10:$J$10,打分卡!$K$10:$O$10),1)</f>
        <v>2</v>
      </c>
      <c r="AG566" s="41">
        <f>IFERROR(LOOKUP(R566,打分卡!$F$11:$J$11,打分卡!$K$11:$O$11),1)</f>
        <v>3</v>
      </c>
      <c r="AH566" s="41">
        <f>IFERROR(LOOKUP(U566,打分卡!$F$12:$J$12,打分卡!$K$12:$O$12),1)</f>
        <v>3</v>
      </c>
      <c r="AI566" s="41">
        <f>IFERROR(LOOKUP(X566,打分卡!$F$13:$J$13,打分卡!$K$13:$O$13),1)</f>
        <v>3</v>
      </c>
      <c r="AJ566" s="41">
        <f>IFERROR(LOOKUP(Y566,打分卡!$F$14:$J$14,打分卡!$K$14:$O$14),1)</f>
        <v>2</v>
      </c>
      <c r="AK566" s="41">
        <f>IFERROR(LOOKUP(W566,打分卡!$F$15:$J$15,打分卡!$K$15:$O$15),1)</f>
        <v>3</v>
      </c>
      <c r="AL566" s="43">
        <f t="shared" si="65"/>
        <v>3</v>
      </c>
      <c r="AM566" s="41">
        <f>IFERROR(LOOKUP(Z566,打分卡!$F$17:$H$17,打分卡!$K$17:$M$17),1)</f>
        <v>1</v>
      </c>
      <c r="AN566" s="44">
        <f>(打分卡!$D$7*AC566+打分卡!$D$8*AD566+打分卡!$D$9*AE566)/5</f>
        <v>16.2</v>
      </c>
      <c r="AO566" s="44">
        <f>(打分卡!$D$10*AF566+打分卡!$D$11*AG566)/5</f>
        <v>10</v>
      </c>
      <c r="AP566" s="44">
        <f>(打分卡!$D$12*AH566+打分卡!$D$13*AI566+打分卡!$D$14*AJ566+打分卡!$D$15*AK566)/5</f>
        <v>16.8</v>
      </c>
      <c r="AQ566" s="44">
        <f>(打分卡!$D$16*AL566+打分卡!$D$17*AM566)/5</f>
        <v>4.4</v>
      </c>
      <c r="AR566" s="47">
        <f t="shared" si="66"/>
        <v>47.4</v>
      </c>
      <c r="AS566" s="43" t="str">
        <f t="shared" si="67"/>
        <v>腰部</v>
      </c>
      <c r="AT566" s="43" t="str">
        <f t="shared" si="68"/>
        <v/>
      </c>
      <c r="AU566" s="43" t="str">
        <f t="shared" si="69"/>
        <v>拉·主攻：主推AI外呼+大促作战包</v>
      </c>
    </row>
    <row r="567" ht="15" customHeight="1" spans="1:47">
      <c r="A567" s="20" t="s">
        <v>1737</v>
      </c>
      <c r="B567" s="22" t="s">
        <v>1738</v>
      </c>
      <c r="C567" s="22" t="s">
        <v>239</v>
      </c>
      <c r="D567" s="22" t="s">
        <v>196</v>
      </c>
      <c r="E567" s="22" t="s">
        <v>181</v>
      </c>
      <c r="F567" s="20" t="s">
        <v>1739</v>
      </c>
      <c r="G567" s="22">
        <v>12</v>
      </c>
      <c r="H567" s="22" t="s">
        <v>301</v>
      </c>
      <c r="I567" s="22" t="s">
        <v>302</v>
      </c>
      <c r="J567" s="36">
        <v>23500</v>
      </c>
      <c r="K567" s="36">
        <v>8300</v>
      </c>
      <c r="L567" s="36">
        <v>7700</v>
      </c>
      <c r="M567" s="36">
        <f t="shared" si="64"/>
        <v>39500</v>
      </c>
      <c r="N567" s="34">
        <f t="shared" si="70"/>
        <v>0.000207084274387188</v>
      </c>
      <c r="O567" s="35">
        <f>SUM($M$2:M567)</f>
        <v>181905000</v>
      </c>
      <c r="P567" s="34">
        <f t="shared" si="71"/>
        <v>0.953662403351934</v>
      </c>
      <c r="Q567" s="39">
        <v>4.9</v>
      </c>
      <c r="R567" s="22">
        <v>8</v>
      </c>
      <c r="S567" s="22">
        <v>2</v>
      </c>
      <c r="T567" s="22">
        <v>2</v>
      </c>
      <c r="U567" s="39">
        <v>19.5</v>
      </c>
      <c r="V567" s="22">
        <v>10</v>
      </c>
      <c r="W567" s="22">
        <v>0</v>
      </c>
      <c r="X567" s="40">
        <v>18</v>
      </c>
      <c r="Y567" s="22">
        <v>0</v>
      </c>
      <c r="Z567" s="22">
        <v>0</v>
      </c>
      <c r="AA567" s="22" t="s">
        <v>199</v>
      </c>
      <c r="AB567" s="22" t="s">
        <v>220</v>
      </c>
      <c r="AC567" s="42">
        <f>IFERROR(LOOKUP(M567,打分卡!$F$7:$J$7,打分卡!$K$7:$O$7),1)</f>
        <v>2</v>
      </c>
      <c r="AD567" s="42">
        <f>IFERROR(LOOKUP(S567,打分卡!$F$8:$J$8,打分卡!$K$8:$O$8),1)</f>
        <v>2</v>
      </c>
      <c r="AE567" s="42">
        <f>IFERROR(LOOKUP(T567,打分卡!$F$9:$I$9,打分卡!$K$9:$N$9),1)</f>
        <v>3</v>
      </c>
      <c r="AF567" s="42">
        <f>IFERROR(LOOKUP(Q567,打分卡!$F$10:$J$10,打分卡!$K$10:$O$10),1)</f>
        <v>2</v>
      </c>
      <c r="AG567" s="42">
        <f>IFERROR(LOOKUP(R567,打分卡!$F$11:$J$11,打分卡!$K$11:$O$11),1)</f>
        <v>3</v>
      </c>
      <c r="AH567" s="42">
        <f>IFERROR(LOOKUP(U567,打分卡!$F$12:$J$12,打分卡!$K$12:$O$12),1)</f>
        <v>3</v>
      </c>
      <c r="AI567" s="42">
        <f>IFERROR(LOOKUP(X567,打分卡!$F$13:$J$13,打分卡!$K$13:$O$13),1)</f>
        <v>2</v>
      </c>
      <c r="AJ567" s="42">
        <f>IFERROR(LOOKUP(Y567,打分卡!$F$14:$J$14,打分卡!$K$14:$O$14),1)</f>
        <v>1</v>
      </c>
      <c r="AK567" s="42">
        <f>IFERROR(LOOKUP(W567,打分卡!$F$15:$J$15,打分卡!$K$15:$O$15),1)</f>
        <v>1</v>
      </c>
      <c r="AL567" s="45">
        <f t="shared" si="65"/>
        <v>5</v>
      </c>
      <c r="AM567" s="42">
        <f>IFERROR(LOOKUP(Z567,打分卡!$F$17:$H$17,打分卡!$K$17:$M$17),1)</f>
        <v>1</v>
      </c>
      <c r="AN567" s="46">
        <f>(打分卡!$D$7*AC567+打分卡!$D$8*AD567+打分卡!$D$9*AE567)/5</f>
        <v>17.4</v>
      </c>
      <c r="AO567" s="46">
        <f>(打分卡!$D$10*AF567+打分卡!$D$11*AG567)/5</f>
        <v>10</v>
      </c>
      <c r="AP567" s="46">
        <f>(打分卡!$D$12*AH567+打分卡!$D$13*AI567+打分卡!$D$14*AJ567+打分卡!$D$15*AK567)/5</f>
        <v>12.4</v>
      </c>
      <c r="AQ567" s="46">
        <f>(打分卡!$D$16*AL567+打分卡!$D$17*AM567)/5</f>
        <v>6.8</v>
      </c>
      <c r="AR567" s="48">
        <f t="shared" si="66"/>
        <v>46.6</v>
      </c>
      <c r="AS567" s="45" t="str">
        <f t="shared" si="67"/>
        <v>腰部</v>
      </c>
      <c r="AT567" s="45" t="str">
        <f t="shared" si="68"/>
        <v/>
      </c>
      <c r="AU567" s="45" t="str">
        <f t="shared" si="69"/>
        <v>拉·主攻：主推AI外呼+大促作战包</v>
      </c>
    </row>
    <row r="568" ht="15" customHeight="1" spans="1:47">
      <c r="A568" s="30" t="s">
        <v>1740</v>
      </c>
      <c r="B568" s="31" t="s">
        <v>1741</v>
      </c>
      <c r="C568" s="31" t="s">
        <v>195</v>
      </c>
      <c r="D568" s="31" t="s">
        <v>190</v>
      </c>
      <c r="E568" s="31" t="s">
        <v>181</v>
      </c>
      <c r="F568" s="30" t="s">
        <v>1742</v>
      </c>
      <c r="G568" s="31">
        <v>17</v>
      </c>
      <c r="H568" s="31" t="s">
        <v>301</v>
      </c>
      <c r="I568" s="31" t="s">
        <v>184</v>
      </c>
      <c r="J568" s="33">
        <v>23400</v>
      </c>
      <c r="K568" s="33">
        <v>13700</v>
      </c>
      <c r="L568" s="33">
        <v>2200</v>
      </c>
      <c r="M568" s="33">
        <f t="shared" si="64"/>
        <v>39300</v>
      </c>
      <c r="N568" s="34">
        <f t="shared" si="70"/>
        <v>0.000206035746415607</v>
      </c>
      <c r="O568" s="35">
        <f>SUM($M$2:M568)</f>
        <v>181944300</v>
      </c>
      <c r="P568" s="34">
        <f t="shared" si="71"/>
        <v>0.95386843909835</v>
      </c>
      <c r="Q568" s="37">
        <v>5.3</v>
      </c>
      <c r="R568" s="31">
        <v>5</v>
      </c>
      <c r="S568" s="31">
        <v>1</v>
      </c>
      <c r="T568" s="31">
        <v>2</v>
      </c>
      <c r="U568" s="37">
        <v>60.1</v>
      </c>
      <c r="V568" s="31">
        <v>24</v>
      </c>
      <c r="W568" s="31">
        <v>1</v>
      </c>
      <c r="X568" s="38">
        <v>85</v>
      </c>
      <c r="Y568" s="31">
        <v>1</v>
      </c>
      <c r="Z568" s="31">
        <v>0</v>
      </c>
      <c r="AA568" s="31" t="s">
        <v>185</v>
      </c>
      <c r="AB568" s="31" t="s">
        <v>220</v>
      </c>
      <c r="AC568" s="41">
        <f>IFERROR(LOOKUP(M568,打分卡!$F$7:$J$7,打分卡!$K$7:$O$7),1)</f>
        <v>2</v>
      </c>
      <c r="AD568" s="41">
        <f>IFERROR(LOOKUP(S568,打分卡!$F$8:$J$8,打分卡!$K$8:$O$8),1)</f>
        <v>1</v>
      </c>
      <c r="AE568" s="41">
        <f>IFERROR(LOOKUP(T568,打分卡!$F$9:$I$9,打分卡!$K$9:$N$9),1)</f>
        <v>3</v>
      </c>
      <c r="AF568" s="41">
        <f>IFERROR(LOOKUP(Q568,打分卡!$F$10:$J$10,打分卡!$K$10:$O$10),1)</f>
        <v>2</v>
      </c>
      <c r="AG568" s="41">
        <f>IFERROR(LOOKUP(R568,打分卡!$F$11:$J$11,打分卡!$K$11:$O$11),1)</f>
        <v>3</v>
      </c>
      <c r="AH568" s="41">
        <f>IFERROR(LOOKUP(U568,打分卡!$F$12:$J$12,打分卡!$K$12:$O$12),1)</f>
        <v>4</v>
      </c>
      <c r="AI568" s="41">
        <f>IFERROR(LOOKUP(X568,打分卡!$F$13:$J$13,打分卡!$K$13:$O$13),1)</f>
        <v>4</v>
      </c>
      <c r="AJ568" s="41">
        <f>IFERROR(LOOKUP(Y568,打分卡!$F$14:$J$14,打分卡!$K$14:$O$14),1)</f>
        <v>2</v>
      </c>
      <c r="AK568" s="41">
        <f>IFERROR(LOOKUP(W568,打分卡!$F$15:$J$15,打分卡!$K$15:$O$15),1)</f>
        <v>2</v>
      </c>
      <c r="AL568" s="43">
        <f t="shared" si="65"/>
        <v>3</v>
      </c>
      <c r="AM568" s="41">
        <f>IFERROR(LOOKUP(Z568,打分卡!$F$17:$H$17,打分卡!$K$17:$M$17),1)</f>
        <v>1</v>
      </c>
      <c r="AN568" s="44">
        <f>(打分卡!$D$7*AC568+打分卡!$D$8*AD568+打分卡!$D$9*AE568)/5</f>
        <v>15.8</v>
      </c>
      <c r="AO568" s="44">
        <f>(打分卡!$D$10*AF568+打分卡!$D$11*AG568)/5</f>
        <v>10</v>
      </c>
      <c r="AP568" s="44">
        <f>(打分卡!$D$12*AH568+打分卡!$D$13*AI568+打分卡!$D$14*AJ568+打分卡!$D$15*AK568)/5</f>
        <v>20</v>
      </c>
      <c r="AQ568" s="44">
        <f>(打分卡!$D$16*AL568+打分卡!$D$17*AM568)/5</f>
        <v>4.4</v>
      </c>
      <c r="AR568" s="47">
        <f t="shared" si="66"/>
        <v>50.2</v>
      </c>
      <c r="AS568" s="43" t="str">
        <f t="shared" si="67"/>
        <v>腰部</v>
      </c>
      <c r="AT568" s="43" t="str">
        <f t="shared" si="68"/>
        <v/>
      </c>
      <c r="AU568" s="43" t="str">
        <f t="shared" si="69"/>
        <v>拉·主攻：主推AI外呼+大促作战包</v>
      </c>
    </row>
    <row r="569" ht="15" customHeight="1" spans="1:47">
      <c r="A569" s="20" t="s">
        <v>1743</v>
      </c>
      <c r="B569" s="22" t="s">
        <v>1744</v>
      </c>
      <c r="C569" s="22" t="s">
        <v>218</v>
      </c>
      <c r="D569" s="22" t="s">
        <v>190</v>
      </c>
      <c r="E569" s="22" t="s">
        <v>197</v>
      </c>
      <c r="F569" s="20" t="s">
        <v>1551</v>
      </c>
      <c r="G569" s="22">
        <v>3</v>
      </c>
      <c r="H569" s="22" t="s">
        <v>183</v>
      </c>
      <c r="I569" s="22" t="s">
        <v>184</v>
      </c>
      <c r="J569" s="36">
        <v>19000</v>
      </c>
      <c r="K569" s="36">
        <v>14900</v>
      </c>
      <c r="L569" s="36">
        <v>5400</v>
      </c>
      <c r="M569" s="36">
        <f t="shared" si="64"/>
        <v>39300</v>
      </c>
      <c r="N569" s="34">
        <f t="shared" si="70"/>
        <v>0.000206035746415607</v>
      </c>
      <c r="O569" s="35">
        <f>SUM($M$2:M569)</f>
        <v>181983600</v>
      </c>
      <c r="P569" s="34">
        <f t="shared" si="71"/>
        <v>0.954074474844765</v>
      </c>
      <c r="Q569" s="39">
        <v>4.4</v>
      </c>
      <c r="R569" s="22">
        <v>10</v>
      </c>
      <c r="S569" s="22">
        <v>3</v>
      </c>
      <c r="T569" s="22">
        <v>0</v>
      </c>
      <c r="U569" s="39">
        <v>1.2</v>
      </c>
      <c r="V569" s="22">
        <v>25</v>
      </c>
      <c r="W569" s="22">
        <v>0</v>
      </c>
      <c r="X569" s="40">
        <v>94</v>
      </c>
      <c r="Y569" s="22">
        <v>3</v>
      </c>
      <c r="Z569" s="22">
        <v>1</v>
      </c>
      <c r="AA569" s="22" t="s">
        <v>199</v>
      </c>
      <c r="AB569" s="22" t="s">
        <v>220</v>
      </c>
      <c r="AC569" s="42">
        <f>IFERROR(LOOKUP(M569,打分卡!$F$7:$J$7,打分卡!$K$7:$O$7),1)</f>
        <v>2</v>
      </c>
      <c r="AD569" s="42">
        <f>IFERROR(LOOKUP(S569,打分卡!$F$8:$J$8,打分卡!$K$8:$O$8),1)</f>
        <v>3</v>
      </c>
      <c r="AE569" s="42">
        <f>IFERROR(LOOKUP(T569,打分卡!$F$9:$I$9,打分卡!$K$9:$N$9),1)</f>
        <v>1</v>
      </c>
      <c r="AF569" s="42">
        <f>IFERROR(LOOKUP(Q569,打分卡!$F$10:$J$10,打分卡!$K$10:$O$10),1)</f>
        <v>2</v>
      </c>
      <c r="AG569" s="42">
        <f>IFERROR(LOOKUP(R569,打分卡!$F$11:$J$11,打分卡!$K$11:$O$11),1)</f>
        <v>4</v>
      </c>
      <c r="AH569" s="42">
        <f>IFERROR(LOOKUP(U569,打分卡!$F$12:$J$12,打分卡!$K$12:$O$12),1)</f>
        <v>1</v>
      </c>
      <c r="AI569" s="42">
        <f>IFERROR(LOOKUP(X569,打分卡!$F$13:$J$13,打分卡!$K$13:$O$13),1)</f>
        <v>4</v>
      </c>
      <c r="AJ569" s="42">
        <f>IFERROR(LOOKUP(Y569,打分卡!$F$14:$J$14,打分卡!$K$14:$O$14),1)</f>
        <v>4</v>
      </c>
      <c r="AK569" s="42">
        <f>IFERROR(LOOKUP(W569,打分卡!$F$15:$J$15,打分卡!$K$15:$O$15),1)</f>
        <v>1</v>
      </c>
      <c r="AL569" s="45">
        <f t="shared" si="65"/>
        <v>5</v>
      </c>
      <c r="AM569" s="42">
        <f>IFERROR(LOOKUP(Z569,打分卡!$F$17:$H$17,打分卡!$K$17:$M$17),1)</f>
        <v>3</v>
      </c>
      <c r="AN569" s="46">
        <f>(打分卡!$D$7*AC569+打分卡!$D$8*AD569+打分卡!$D$9*AE569)/5</f>
        <v>16.2</v>
      </c>
      <c r="AO569" s="46">
        <f>(打分卡!$D$10*AF569+打分卡!$D$11*AG569)/5</f>
        <v>12</v>
      </c>
      <c r="AP569" s="46">
        <f>(打分卡!$D$12*AH569+打分卡!$D$13*AI569+打分卡!$D$14*AJ569+打分卡!$D$15*AK569)/5</f>
        <v>14.4</v>
      </c>
      <c r="AQ569" s="46">
        <f>(打分卡!$D$16*AL569+打分卡!$D$17*AM569)/5</f>
        <v>8.4</v>
      </c>
      <c r="AR569" s="48">
        <f t="shared" si="66"/>
        <v>51</v>
      </c>
      <c r="AS569" s="45" t="str">
        <f t="shared" si="67"/>
        <v>腰部</v>
      </c>
      <c r="AT569" s="45" t="str">
        <f t="shared" si="68"/>
        <v/>
      </c>
      <c r="AU569" s="45" t="str">
        <f t="shared" si="69"/>
        <v>拉·主攻：主推AI外呼+大促作战包</v>
      </c>
    </row>
    <row r="570" ht="15" customHeight="1" spans="1:47">
      <c r="A570" s="30" t="s">
        <v>1745</v>
      </c>
      <c r="B570" s="31" t="s">
        <v>1746</v>
      </c>
      <c r="C570" s="31" t="s">
        <v>218</v>
      </c>
      <c r="D570" s="31" t="s">
        <v>180</v>
      </c>
      <c r="E570" s="31" t="s">
        <v>181</v>
      </c>
      <c r="F570" s="30" t="s">
        <v>1373</v>
      </c>
      <c r="G570" s="31">
        <v>6</v>
      </c>
      <c r="H570" s="31" t="s">
        <v>301</v>
      </c>
      <c r="I570" s="31" t="s">
        <v>302</v>
      </c>
      <c r="J570" s="33">
        <v>18200</v>
      </c>
      <c r="K570" s="33">
        <v>15300</v>
      </c>
      <c r="L570" s="33">
        <v>5600</v>
      </c>
      <c r="M570" s="33">
        <f t="shared" si="64"/>
        <v>39100</v>
      </c>
      <c r="N570" s="34">
        <f t="shared" si="70"/>
        <v>0.000204987218444026</v>
      </c>
      <c r="O570" s="35">
        <f>SUM($M$2:M570)</f>
        <v>182022700</v>
      </c>
      <c r="P570" s="34">
        <f t="shared" si="71"/>
        <v>0.954279462063209</v>
      </c>
      <c r="Q570" s="37">
        <v>4.4</v>
      </c>
      <c r="R570" s="31">
        <v>9</v>
      </c>
      <c r="S570" s="31">
        <v>3</v>
      </c>
      <c r="T570" s="31">
        <v>1</v>
      </c>
      <c r="U570" s="37">
        <v>1.6</v>
      </c>
      <c r="V570" s="31">
        <v>26</v>
      </c>
      <c r="W570" s="31">
        <v>3</v>
      </c>
      <c r="X570" s="38">
        <v>20</v>
      </c>
      <c r="Y570" s="31">
        <v>1</v>
      </c>
      <c r="Z570" s="31">
        <v>1</v>
      </c>
      <c r="AA570" s="31" t="s">
        <v>199</v>
      </c>
      <c r="AB570" s="31" t="s">
        <v>220</v>
      </c>
      <c r="AC570" s="41">
        <f>IFERROR(LOOKUP(M570,打分卡!$F$7:$J$7,打分卡!$K$7:$O$7),1)</f>
        <v>2</v>
      </c>
      <c r="AD570" s="41">
        <f>IFERROR(LOOKUP(S570,打分卡!$F$8:$J$8,打分卡!$K$8:$O$8),1)</f>
        <v>3</v>
      </c>
      <c r="AE570" s="41">
        <f>IFERROR(LOOKUP(T570,打分卡!$F$9:$I$9,打分卡!$K$9:$N$9),1)</f>
        <v>2</v>
      </c>
      <c r="AF570" s="41">
        <f>IFERROR(LOOKUP(Q570,打分卡!$F$10:$J$10,打分卡!$K$10:$O$10),1)</f>
        <v>2</v>
      </c>
      <c r="AG570" s="41">
        <f>IFERROR(LOOKUP(R570,打分卡!$F$11:$J$11,打分卡!$K$11:$O$11),1)</f>
        <v>4</v>
      </c>
      <c r="AH570" s="41">
        <f>IFERROR(LOOKUP(U570,打分卡!$F$12:$J$12,打分卡!$K$12:$O$12),1)</f>
        <v>1</v>
      </c>
      <c r="AI570" s="41">
        <f>IFERROR(LOOKUP(X570,打分卡!$F$13:$J$13,打分卡!$K$13:$O$13),1)</f>
        <v>2</v>
      </c>
      <c r="AJ570" s="41">
        <f>IFERROR(LOOKUP(Y570,打分卡!$F$14:$J$14,打分卡!$K$14:$O$14),1)</f>
        <v>2</v>
      </c>
      <c r="AK570" s="41">
        <f>IFERROR(LOOKUP(W570,打分卡!$F$15:$J$15,打分卡!$K$15:$O$15),1)</f>
        <v>3</v>
      </c>
      <c r="AL570" s="43">
        <f t="shared" si="65"/>
        <v>5</v>
      </c>
      <c r="AM570" s="41">
        <f>IFERROR(LOOKUP(Z570,打分卡!$F$17:$H$17,打分卡!$K$17:$M$17),1)</f>
        <v>3</v>
      </c>
      <c r="AN570" s="44">
        <f>(打分卡!$D$7*AC570+打分卡!$D$8*AD570+打分卡!$D$9*AE570)/5</f>
        <v>17.6</v>
      </c>
      <c r="AO570" s="44">
        <f>(打分卡!$D$10*AF570+打分卡!$D$11*AG570)/5</f>
        <v>12</v>
      </c>
      <c r="AP570" s="44">
        <f>(打分卡!$D$12*AH570+打分卡!$D$13*AI570+打分卡!$D$14*AJ570+打分卡!$D$15*AK570)/5</f>
        <v>10.4</v>
      </c>
      <c r="AQ570" s="44">
        <f>(打分卡!$D$16*AL570+打分卡!$D$17*AM570)/5</f>
        <v>8.4</v>
      </c>
      <c r="AR570" s="47">
        <f t="shared" si="66"/>
        <v>48.4</v>
      </c>
      <c r="AS570" s="43" t="str">
        <f t="shared" si="67"/>
        <v>腰部</v>
      </c>
      <c r="AT570" s="43" t="str">
        <f t="shared" si="68"/>
        <v/>
      </c>
      <c r="AU570" s="43" t="str">
        <f t="shared" si="69"/>
        <v>拉·主攻：主推AI外呼+大促作战包</v>
      </c>
    </row>
    <row r="571" ht="15" customHeight="1" spans="1:47">
      <c r="A571" s="20" t="s">
        <v>1747</v>
      </c>
      <c r="B571" s="22" t="s">
        <v>1748</v>
      </c>
      <c r="C571" s="22" t="s">
        <v>179</v>
      </c>
      <c r="D571" s="22" t="s">
        <v>202</v>
      </c>
      <c r="E571" s="22" t="s">
        <v>197</v>
      </c>
      <c r="F571" s="20" t="s">
        <v>1749</v>
      </c>
      <c r="G571" s="22">
        <v>10</v>
      </c>
      <c r="H571" s="22" t="s">
        <v>301</v>
      </c>
      <c r="I571" s="22" t="s">
        <v>302</v>
      </c>
      <c r="J571" s="36">
        <v>22300</v>
      </c>
      <c r="K571" s="36">
        <v>9400</v>
      </c>
      <c r="L571" s="36">
        <v>7200</v>
      </c>
      <c r="M571" s="36">
        <f t="shared" si="64"/>
        <v>38900</v>
      </c>
      <c r="N571" s="34">
        <f t="shared" si="70"/>
        <v>0.000203938690472446</v>
      </c>
      <c r="O571" s="35">
        <f>SUM($M$2:M571)</f>
        <v>182061600</v>
      </c>
      <c r="P571" s="34">
        <f t="shared" si="71"/>
        <v>0.954483400753682</v>
      </c>
      <c r="Q571" s="39">
        <v>3.9</v>
      </c>
      <c r="R571" s="22">
        <v>1</v>
      </c>
      <c r="S571" s="22">
        <v>3</v>
      </c>
      <c r="T571" s="22">
        <v>2</v>
      </c>
      <c r="U571" s="39">
        <v>45.1</v>
      </c>
      <c r="V571" s="22">
        <v>25</v>
      </c>
      <c r="W571" s="22">
        <v>2</v>
      </c>
      <c r="X571" s="40">
        <v>13</v>
      </c>
      <c r="Y571" s="22">
        <v>3</v>
      </c>
      <c r="Z571" s="22">
        <v>0</v>
      </c>
      <c r="AA571" s="22" t="s">
        <v>315</v>
      </c>
      <c r="AB571" s="22" t="s">
        <v>220</v>
      </c>
      <c r="AC571" s="42">
        <f>IFERROR(LOOKUP(M571,打分卡!$F$7:$J$7,打分卡!$K$7:$O$7),1)</f>
        <v>2</v>
      </c>
      <c r="AD571" s="42">
        <f>IFERROR(LOOKUP(S571,打分卡!$F$8:$J$8,打分卡!$K$8:$O$8),1)</f>
        <v>3</v>
      </c>
      <c r="AE571" s="42">
        <f>IFERROR(LOOKUP(T571,打分卡!$F$9:$I$9,打分卡!$K$9:$N$9),1)</f>
        <v>3</v>
      </c>
      <c r="AF571" s="42">
        <f>IFERROR(LOOKUP(Q571,打分卡!$F$10:$J$10,打分卡!$K$10:$O$10),1)</f>
        <v>2</v>
      </c>
      <c r="AG571" s="42">
        <f>IFERROR(LOOKUP(R571,打分卡!$F$11:$J$11,打分卡!$K$11:$O$11),1)</f>
        <v>1</v>
      </c>
      <c r="AH571" s="42">
        <f>IFERROR(LOOKUP(U571,打分卡!$F$12:$J$12,打分卡!$K$12:$O$12),1)</f>
        <v>4</v>
      </c>
      <c r="AI571" s="42">
        <f>IFERROR(LOOKUP(X571,打分卡!$F$13:$J$13,打分卡!$K$13:$O$13),1)</f>
        <v>1</v>
      </c>
      <c r="AJ571" s="42">
        <f>IFERROR(LOOKUP(Y571,打分卡!$F$14:$J$14,打分卡!$K$14:$O$14),1)</f>
        <v>4</v>
      </c>
      <c r="AK571" s="42">
        <f>IFERROR(LOOKUP(W571,打分卡!$F$15:$J$15,打分卡!$K$15:$O$15),1)</f>
        <v>2</v>
      </c>
      <c r="AL571" s="45">
        <f t="shared" si="65"/>
        <v>2</v>
      </c>
      <c r="AM571" s="42">
        <f>IFERROR(LOOKUP(Z571,打分卡!$F$17:$H$17,打分卡!$K$17:$M$17),1)</f>
        <v>1</v>
      </c>
      <c r="AN571" s="46">
        <f>(打分卡!$D$7*AC571+打分卡!$D$8*AD571+打分卡!$D$9*AE571)/5</f>
        <v>19</v>
      </c>
      <c r="AO571" s="46">
        <f>(打分卡!$D$10*AF571+打分卡!$D$11*AG571)/5</f>
        <v>6</v>
      </c>
      <c r="AP571" s="46">
        <f>(打分卡!$D$12*AH571+打分卡!$D$13*AI571+打分卡!$D$14*AJ571+打分卡!$D$15*AK571)/5</f>
        <v>17.6</v>
      </c>
      <c r="AQ571" s="46">
        <f>(打分卡!$D$16*AL571+打分卡!$D$17*AM571)/5</f>
        <v>3.2</v>
      </c>
      <c r="AR571" s="48">
        <f t="shared" si="66"/>
        <v>45.8</v>
      </c>
      <c r="AS571" s="45" t="str">
        <f t="shared" si="67"/>
        <v>腰部</v>
      </c>
      <c r="AT571" s="45" t="str">
        <f t="shared" si="68"/>
        <v/>
      </c>
      <c r="AU571" s="45" t="str">
        <f t="shared" si="69"/>
        <v>拉·主攻：主推AI外呼+大促作战包</v>
      </c>
    </row>
    <row r="572" ht="15" customHeight="1" spans="1:47">
      <c r="A572" s="30" t="s">
        <v>1750</v>
      </c>
      <c r="B572" s="31" t="s">
        <v>1751</v>
      </c>
      <c r="C572" s="31" t="s">
        <v>239</v>
      </c>
      <c r="D572" s="31" t="s">
        <v>227</v>
      </c>
      <c r="E572" s="31" t="s">
        <v>197</v>
      </c>
      <c r="F572" s="30" t="s">
        <v>1465</v>
      </c>
      <c r="G572" s="31">
        <v>22</v>
      </c>
      <c r="H572" s="31" t="s">
        <v>301</v>
      </c>
      <c r="I572" s="31" t="s">
        <v>184</v>
      </c>
      <c r="J572" s="33">
        <v>19900</v>
      </c>
      <c r="K572" s="33">
        <v>10700</v>
      </c>
      <c r="L572" s="33">
        <v>8300</v>
      </c>
      <c r="M572" s="33">
        <f t="shared" si="64"/>
        <v>38900</v>
      </c>
      <c r="N572" s="34">
        <f t="shared" si="70"/>
        <v>0.000203938690472446</v>
      </c>
      <c r="O572" s="35">
        <f>SUM($M$2:M572)</f>
        <v>182100500</v>
      </c>
      <c r="P572" s="34">
        <f t="shared" si="71"/>
        <v>0.954687339444154</v>
      </c>
      <c r="Q572" s="37">
        <v>6</v>
      </c>
      <c r="R572" s="31">
        <v>4</v>
      </c>
      <c r="S572" s="31">
        <v>1</v>
      </c>
      <c r="T572" s="31">
        <v>1</v>
      </c>
      <c r="U572" s="37">
        <v>78.5</v>
      </c>
      <c r="V572" s="31">
        <v>13</v>
      </c>
      <c r="W572" s="31">
        <v>2</v>
      </c>
      <c r="X572" s="38">
        <v>14</v>
      </c>
      <c r="Y572" s="31">
        <v>0</v>
      </c>
      <c r="Z572" s="31">
        <v>1</v>
      </c>
      <c r="AA572" s="31" t="s">
        <v>199</v>
      </c>
      <c r="AB572" s="31" t="s">
        <v>220</v>
      </c>
      <c r="AC572" s="41">
        <f>IFERROR(LOOKUP(M572,打分卡!$F$7:$J$7,打分卡!$K$7:$O$7),1)</f>
        <v>2</v>
      </c>
      <c r="AD572" s="41">
        <f>IFERROR(LOOKUP(S572,打分卡!$F$8:$J$8,打分卡!$K$8:$O$8),1)</f>
        <v>1</v>
      </c>
      <c r="AE572" s="41">
        <f>IFERROR(LOOKUP(T572,打分卡!$F$9:$I$9,打分卡!$K$9:$N$9),1)</f>
        <v>2</v>
      </c>
      <c r="AF572" s="41">
        <f>IFERROR(LOOKUP(Q572,打分卡!$F$10:$J$10,打分卡!$K$10:$O$10),1)</f>
        <v>2</v>
      </c>
      <c r="AG572" s="41">
        <f>IFERROR(LOOKUP(R572,打分卡!$F$11:$J$11,打分卡!$K$11:$O$11),1)</f>
        <v>2</v>
      </c>
      <c r="AH572" s="41">
        <f>IFERROR(LOOKUP(U572,打分卡!$F$12:$J$12,打分卡!$K$12:$O$12),1)</f>
        <v>5</v>
      </c>
      <c r="AI572" s="41">
        <f>IFERROR(LOOKUP(X572,打分卡!$F$13:$J$13,打分卡!$K$13:$O$13),1)</f>
        <v>1</v>
      </c>
      <c r="AJ572" s="41">
        <f>IFERROR(LOOKUP(Y572,打分卡!$F$14:$J$14,打分卡!$K$14:$O$14),1)</f>
        <v>1</v>
      </c>
      <c r="AK572" s="41">
        <f>IFERROR(LOOKUP(W572,打分卡!$F$15:$J$15,打分卡!$K$15:$O$15),1)</f>
        <v>2</v>
      </c>
      <c r="AL572" s="43">
        <f t="shared" si="65"/>
        <v>5</v>
      </c>
      <c r="AM572" s="41">
        <f>IFERROR(LOOKUP(Z572,打分卡!$F$17:$H$17,打分卡!$K$17:$M$17),1)</f>
        <v>3</v>
      </c>
      <c r="AN572" s="44">
        <f>(打分卡!$D$7*AC572+打分卡!$D$8*AD572+打分卡!$D$9*AE572)/5</f>
        <v>14.4</v>
      </c>
      <c r="AO572" s="44">
        <f>(打分卡!$D$10*AF572+打分卡!$D$11*AG572)/5</f>
        <v>8</v>
      </c>
      <c r="AP572" s="44">
        <f>(打分卡!$D$12*AH572+打分卡!$D$13*AI572+打分卡!$D$14*AJ572+打分卡!$D$15*AK572)/5</f>
        <v>16.4</v>
      </c>
      <c r="AQ572" s="44">
        <f>(打分卡!$D$16*AL572+打分卡!$D$17*AM572)/5</f>
        <v>8.4</v>
      </c>
      <c r="AR572" s="47">
        <f t="shared" si="66"/>
        <v>47.2</v>
      </c>
      <c r="AS572" s="43" t="str">
        <f t="shared" si="67"/>
        <v>腰部</v>
      </c>
      <c r="AT572" s="43" t="str">
        <f t="shared" si="68"/>
        <v/>
      </c>
      <c r="AU572" s="43" t="str">
        <f t="shared" si="69"/>
        <v>拉·主攻：主推AI外呼+大促作战包</v>
      </c>
    </row>
    <row r="573" ht="15" customHeight="1" spans="1:47">
      <c r="A573" s="20" t="s">
        <v>1752</v>
      </c>
      <c r="B573" s="22" t="s">
        <v>1753</v>
      </c>
      <c r="C573" s="22" t="s">
        <v>234</v>
      </c>
      <c r="D573" s="22" t="s">
        <v>202</v>
      </c>
      <c r="E573" s="22" t="s">
        <v>181</v>
      </c>
      <c r="F573" s="20" t="s">
        <v>947</v>
      </c>
      <c r="G573" s="22">
        <v>12</v>
      </c>
      <c r="H573" s="22" t="s">
        <v>301</v>
      </c>
      <c r="I573" s="22" t="s">
        <v>184</v>
      </c>
      <c r="J573" s="36">
        <v>24000</v>
      </c>
      <c r="K573" s="36">
        <v>12900</v>
      </c>
      <c r="L573" s="36">
        <v>1900</v>
      </c>
      <c r="M573" s="36">
        <f t="shared" si="64"/>
        <v>38800</v>
      </c>
      <c r="N573" s="34">
        <f t="shared" si="70"/>
        <v>0.000203414426486655</v>
      </c>
      <c r="O573" s="35">
        <f>SUM($M$2:M573)</f>
        <v>182139300</v>
      </c>
      <c r="P573" s="34">
        <f t="shared" si="71"/>
        <v>0.954890753870641</v>
      </c>
      <c r="Q573" s="39">
        <v>4.8</v>
      </c>
      <c r="R573" s="22">
        <v>9</v>
      </c>
      <c r="S573" s="22">
        <v>1</v>
      </c>
      <c r="T573" s="22">
        <v>1</v>
      </c>
      <c r="U573" s="39">
        <v>14.2</v>
      </c>
      <c r="V573" s="22">
        <v>17</v>
      </c>
      <c r="W573" s="22">
        <v>2</v>
      </c>
      <c r="X573" s="40">
        <v>15</v>
      </c>
      <c r="Y573" s="22">
        <v>0</v>
      </c>
      <c r="Z573" s="22">
        <v>1</v>
      </c>
      <c r="AA573" s="22" t="s">
        <v>199</v>
      </c>
      <c r="AB573" s="22" t="s">
        <v>220</v>
      </c>
      <c r="AC573" s="42">
        <f>IFERROR(LOOKUP(M573,打分卡!$F$7:$J$7,打分卡!$K$7:$O$7),1)</f>
        <v>2</v>
      </c>
      <c r="AD573" s="42">
        <f>IFERROR(LOOKUP(S573,打分卡!$F$8:$J$8,打分卡!$K$8:$O$8),1)</f>
        <v>1</v>
      </c>
      <c r="AE573" s="42">
        <f>IFERROR(LOOKUP(T573,打分卡!$F$9:$I$9,打分卡!$K$9:$N$9),1)</f>
        <v>2</v>
      </c>
      <c r="AF573" s="42">
        <f>IFERROR(LOOKUP(Q573,打分卡!$F$10:$J$10,打分卡!$K$10:$O$10),1)</f>
        <v>2</v>
      </c>
      <c r="AG573" s="42">
        <f>IFERROR(LOOKUP(R573,打分卡!$F$11:$J$11,打分卡!$K$11:$O$11),1)</f>
        <v>4</v>
      </c>
      <c r="AH573" s="42">
        <f>IFERROR(LOOKUP(U573,打分卡!$F$12:$J$12,打分卡!$K$12:$O$12),1)</f>
        <v>3</v>
      </c>
      <c r="AI573" s="42">
        <f>IFERROR(LOOKUP(X573,打分卡!$F$13:$J$13,打分卡!$K$13:$O$13),1)</f>
        <v>1</v>
      </c>
      <c r="AJ573" s="42">
        <f>IFERROR(LOOKUP(Y573,打分卡!$F$14:$J$14,打分卡!$K$14:$O$14),1)</f>
        <v>1</v>
      </c>
      <c r="AK573" s="42">
        <f>IFERROR(LOOKUP(W573,打分卡!$F$15:$J$15,打分卡!$K$15:$O$15),1)</f>
        <v>2</v>
      </c>
      <c r="AL573" s="45">
        <f t="shared" si="65"/>
        <v>5</v>
      </c>
      <c r="AM573" s="42">
        <f>IFERROR(LOOKUP(Z573,打分卡!$F$17:$H$17,打分卡!$K$17:$M$17),1)</f>
        <v>3</v>
      </c>
      <c r="AN573" s="46">
        <f>(打分卡!$D$7*AC573+打分卡!$D$8*AD573+打分卡!$D$9*AE573)/5</f>
        <v>14.4</v>
      </c>
      <c r="AO573" s="46">
        <f>(打分卡!$D$10*AF573+打分卡!$D$11*AG573)/5</f>
        <v>12</v>
      </c>
      <c r="AP573" s="46">
        <f>(打分卡!$D$12*AH573+打分卡!$D$13*AI573+打分卡!$D$14*AJ573+打分卡!$D$15*AK573)/5</f>
        <v>11.6</v>
      </c>
      <c r="AQ573" s="46">
        <f>(打分卡!$D$16*AL573+打分卡!$D$17*AM573)/5</f>
        <v>8.4</v>
      </c>
      <c r="AR573" s="48">
        <f t="shared" si="66"/>
        <v>46.4</v>
      </c>
      <c r="AS573" s="45" t="str">
        <f t="shared" si="67"/>
        <v>腰部</v>
      </c>
      <c r="AT573" s="45" t="str">
        <f t="shared" si="68"/>
        <v/>
      </c>
      <c r="AU573" s="45" t="str">
        <f t="shared" si="69"/>
        <v>拉·主攻：主推AI外呼+大促作战包</v>
      </c>
    </row>
    <row r="574" ht="15" customHeight="1" spans="1:47">
      <c r="A574" s="30" t="s">
        <v>1754</v>
      </c>
      <c r="B574" s="31" t="s">
        <v>1755</v>
      </c>
      <c r="C574" s="31" t="s">
        <v>189</v>
      </c>
      <c r="D574" s="31" t="s">
        <v>190</v>
      </c>
      <c r="E574" s="31" t="s">
        <v>181</v>
      </c>
      <c r="F574" s="30" t="s">
        <v>1739</v>
      </c>
      <c r="G574" s="31">
        <v>12</v>
      </c>
      <c r="H574" s="31" t="s">
        <v>183</v>
      </c>
      <c r="I574" s="31" t="s">
        <v>302</v>
      </c>
      <c r="J574" s="33">
        <v>24300</v>
      </c>
      <c r="K574" s="33">
        <v>10700</v>
      </c>
      <c r="L574" s="33">
        <v>3800</v>
      </c>
      <c r="M574" s="33">
        <f t="shared" si="64"/>
        <v>38800</v>
      </c>
      <c r="N574" s="34">
        <f t="shared" si="70"/>
        <v>0.000203414426486655</v>
      </c>
      <c r="O574" s="35">
        <f>SUM($M$2:M574)</f>
        <v>182178100</v>
      </c>
      <c r="P574" s="34">
        <f t="shared" si="71"/>
        <v>0.955094168297128</v>
      </c>
      <c r="Q574" s="37">
        <v>3.8</v>
      </c>
      <c r="R574" s="31">
        <v>10</v>
      </c>
      <c r="S574" s="31">
        <v>3</v>
      </c>
      <c r="T574" s="31">
        <v>1</v>
      </c>
      <c r="U574" s="37">
        <v>65.6</v>
      </c>
      <c r="V574" s="31">
        <v>4</v>
      </c>
      <c r="W574" s="31">
        <v>4</v>
      </c>
      <c r="X574" s="38">
        <v>14</v>
      </c>
      <c r="Y574" s="31">
        <v>1</v>
      </c>
      <c r="Z574" s="31">
        <v>0</v>
      </c>
      <c r="AA574" s="31" t="s">
        <v>315</v>
      </c>
      <c r="AB574" s="31" t="s">
        <v>220</v>
      </c>
      <c r="AC574" s="41">
        <f>IFERROR(LOOKUP(M574,打分卡!$F$7:$J$7,打分卡!$K$7:$O$7),1)</f>
        <v>2</v>
      </c>
      <c r="AD574" s="41">
        <f>IFERROR(LOOKUP(S574,打分卡!$F$8:$J$8,打分卡!$K$8:$O$8),1)</f>
        <v>3</v>
      </c>
      <c r="AE574" s="41">
        <f>IFERROR(LOOKUP(T574,打分卡!$F$9:$I$9,打分卡!$K$9:$N$9),1)</f>
        <v>2</v>
      </c>
      <c r="AF574" s="41">
        <f>IFERROR(LOOKUP(Q574,打分卡!$F$10:$J$10,打分卡!$K$10:$O$10),1)</f>
        <v>2</v>
      </c>
      <c r="AG574" s="41">
        <f>IFERROR(LOOKUP(R574,打分卡!$F$11:$J$11,打分卡!$K$11:$O$11),1)</f>
        <v>4</v>
      </c>
      <c r="AH574" s="41">
        <f>IFERROR(LOOKUP(U574,打分卡!$F$12:$J$12,打分卡!$K$12:$O$12),1)</f>
        <v>4</v>
      </c>
      <c r="AI574" s="41">
        <f>IFERROR(LOOKUP(X574,打分卡!$F$13:$J$13,打分卡!$K$13:$O$13),1)</f>
        <v>1</v>
      </c>
      <c r="AJ574" s="41">
        <f>IFERROR(LOOKUP(Y574,打分卡!$F$14:$J$14,打分卡!$K$14:$O$14),1)</f>
        <v>2</v>
      </c>
      <c r="AK574" s="41">
        <f>IFERROR(LOOKUP(W574,打分卡!$F$15:$J$15,打分卡!$K$15:$O$15),1)</f>
        <v>3</v>
      </c>
      <c r="AL574" s="43">
        <f t="shared" si="65"/>
        <v>2</v>
      </c>
      <c r="AM574" s="41">
        <f>IFERROR(LOOKUP(Z574,打分卡!$F$17:$H$17,打分卡!$K$17:$M$17),1)</f>
        <v>1</v>
      </c>
      <c r="AN574" s="44">
        <f>(打分卡!$D$7*AC574+打分卡!$D$8*AD574+打分卡!$D$9*AE574)/5</f>
        <v>17.6</v>
      </c>
      <c r="AO574" s="44">
        <f>(打分卡!$D$10*AF574+打分卡!$D$11*AG574)/5</f>
        <v>12</v>
      </c>
      <c r="AP574" s="44">
        <f>(打分卡!$D$12*AH574+打分卡!$D$13*AI574+打分卡!$D$14*AJ574+打分卡!$D$15*AK574)/5</f>
        <v>16</v>
      </c>
      <c r="AQ574" s="44">
        <f>(打分卡!$D$16*AL574+打分卡!$D$17*AM574)/5</f>
        <v>3.2</v>
      </c>
      <c r="AR574" s="47">
        <f t="shared" si="66"/>
        <v>48.8</v>
      </c>
      <c r="AS574" s="43" t="str">
        <f t="shared" si="67"/>
        <v>腰部</v>
      </c>
      <c r="AT574" s="43" t="str">
        <f t="shared" si="68"/>
        <v/>
      </c>
      <c r="AU574" s="43" t="str">
        <f t="shared" si="69"/>
        <v>拉·主攻：主推AI外呼+大促作战包</v>
      </c>
    </row>
    <row r="575" ht="15" customHeight="1" spans="1:47">
      <c r="A575" s="20" t="s">
        <v>1756</v>
      </c>
      <c r="B575" s="22" t="s">
        <v>1757</v>
      </c>
      <c r="C575" s="22" t="s">
        <v>223</v>
      </c>
      <c r="D575" s="22" t="s">
        <v>227</v>
      </c>
      <c r="E575" s="22" t="s">
        <v>181</v>
      </c>
      <c r="F575" s="20" t="s">
        <v>1758</v>
      </c>
      <c r="G575" s="22">
        <v>12</v>
      </c>
      <c r="H575" s="22" t="s">
        <v>301</v>
      </c>
      <c r="I575" s="22" t="s">
        <v>184</v>
      </c>
      <c r="J575" s="36">
        <v>24900</v>
      </c>
      <c r="K575" s="36">
        <v>11200</v>
      </c>
      <c r="L575" s="36">
        <v>2500</v>
      </c>
      <c r="M575" s="36">
        <f t="shared" si="64"/>
        <v>38600</v>
      </c>
      <c r="N575" s="34">
        <f t="shared" si="70"/>
        <v>0.000202365898515075</v>
      </c>
      <c r="O575" s="35">
        <f>SUM($M$2:M575)</f>
        <v>182216700</v>
      </c>
      <c r="P575" s="34">
        <f t="shared" si="71"/>
        <v>0.955296534195643</v>
      </c>
      <c r="Q575" s="39">
        <v>5</v>
      </c>
      <c r="R575" s="22">
        <v>8</v>
      </c>
      <c r="S575" s="22">
        <v>2</v>
      </c>
      <c r="T575" s="22">
        <v>1</v>
      </c>
      <c r="U575" s="39">
        <v>28.2</v>
      </c>
      <c r="V575" s="22">
        <v>26</v>
      </c>
      <c r="W575" s="22">
        <v>1</v>
      </c>
      <c r="X575" s="40">
        <v>18</v>
      </c>
      <c r="Y575" s="22">
        <v>1</v>
      </c>
      <c r="Z575" s="22">
        <v>1</v>
      </c>
      <c r="AA575" s="22" t="s">
        <v>199</v>
      </c>
      <c r="AB575" s="22" t="s">
        <v>220</v>
      </c>
      <c r="AC575" s="42">
        <f>IFERROR(LOOKUP(M575,打分卡!$F$7:$J$7,打分卡!$K$7:$O$7),1)</f>
        <v>2</v>
      </c>
      <c r="AD575" s="42">
        <f>IFERROR(LOOKUP(S575,打分卡!$F$8:$J$8,打分卡!$K$8:$O$8),1)</f>
        <v>2</v>
      </c>
      <c r="AE575" s="42">
        <f>IFERROR(LOOKUP(T575,打分卡!$F$9:$I$9,打分卡!$K$9:$N$9),1)</f>
        <v>2</v>
      </c>
      <c r="AF575" s="42">
        <f>IFERROR(LOOKUP(Q575,打分卡!$F$10:$J$10,打分卡!$K$10:$O$10),1)</f>
        <v>2</v>
      </c>
      <c r="AG575" s="42">
        <f>IFERROR(LOOKUP(R575,打分卡!$F$11:$J$11,打分卡!$K$11:$O$11),1)</f>
        <v>3</v>
      </c>
      <c r="AH575" s="42">
        <f>IFERROR(LOOKUP(U575,打分卡!$F$12:$J$12,打分卡!$K$12:$O$12),1)</f>
        <v>3</v>
      </c>
      <c r="AI575" s="42">
        <f>IFERROR(LOOKUP(X575,打分卡!$F$13:$J$13,打分卡!$K$13:$O$13),1)</f>
        <v>2</v>
      </c>
      <c r="AJ575" s="42">
        <f>IFERROR(LOOKUP(Y575,打分卡!$F$14:$J$14,打分卡!$K$14:$O$14),1)</f>
        <v>2</v>
      </c>
      <c r="AK575" s="42">
        <f>IFERROR(LOOKUP(W575,打分卡!$F$15:$J$15,打分卡!$K$15:$O$15),1)</f>
        <v>2</v>
      </c>
      <c r="AL575" s="45">
        <f t="shared" si="65"/>
        <v>5</v>
      </c>
      <c r="AM575" s="42">
        <f>IFERROR(LOOKUP(Z575,打分卡!$F$17:$H$17,打分卡!$K$17:$M$17),1)</f>
        <v>3</v>
      </c>
      <c r="AN575" s="46">
        <f>(打分卡!$D$7*AC575+打分卡!$D$8*AD575+打分卡!$D$9*AE575)/5</f>
        <v>16</v>
      </c>
      <c r="AO575" s="46">
        <f>(打分卡!$D$10*AF575+打分卡!$D$11*AG575)/5</f>
        <v>10</v>
      </c>
      <c r="AP575" s="46">
        <f>(打分卡!$D$12*AH575+打分卡!$D$13*AI575+打分卡!$D$14*AJ575+打分卡!$D$15*AK575)/5</f>
        <v>14.4</v>
      </c>
      <c r="AQ575" s="46">
        <f>(打分卡!$D$16*AL575+打分卡!$D$17*AM575)/5</f>
        <v>8.4</v>
      </c>
      <c r="AR575" s="48">
        <f t="shared" si="66"/>
        <v>48.8</v>
      </c>
      <c r="AS575" s="45" t="str">
        <f t="shared" si="67"/>
        <v>腰部</v>
      </c>
      <c r="AT575" s="45" t="str">
        <f t="shared" si="68"/>
        <v/>
      </c>
      <c r="AU575" s="45" t="str">
        <f t="shared" si="69"/>
        <v>拉·主攻：主推AI外呼+大促作战包</v>
      </c>
    </row>
    <row r="576" ht="15" customHeight="1" spans="1:47">
      <c r="A576" s="30" t="s">
        <v>1759</v>
      </c>
      <c r="B576" s="31" t="s">
        <v>1760</v>
      </c>
      <c r="C576" s="31" t="s">
        <v>179</v>
      </c>
      <c r="D576" s="31" t="s">
        <v>190</v>
      </c>
      <c r="E576" s="31" t="s">
        <v>197</v>
      </c>
      <c r="F576" s="30" t="s">
        <v>1761</v>
      </c>
      <c r="G576" s="31">
        <v>17</v>
      </c>
      <c r="H576" s="31" t="s">
        <v>183</v>
      </c>
      <c r="I576" s="31" t="s">
        <v>302</v>
      </c>
      <c r="J576" s="33">
        <v>21200</v>
      </c>
      <c r="K576" s="33">
        <v>12800</v>
      </c>
      <c r="L576" s="33">
        <v>4400</v>
      </c>
      <c r="M576" s="33">
        <f t="shared" si="64"/>
        <v>38400</v>
      </c>
      <c r="N576" s="34">
        <f t="shared" si="70"/>
        <v>0.000201317370543494</v>
      </c>
      <c r="O576" s="35">
        <f>SUM($M$2:M576)</f>
        <v>182255100</v>
      </c>
      <c r="P576" s="34">
        <f t="shared" si="71"/>
        <v>0.955497851566186</v>
      </c>
      <c r="Q576" s="37">
        <v>3.2</v>
      </c>
      <c r="R576" s="31">
        <v>3</v>
      </c>
      <c r="S576" s="31">
        <v>3</v>
      </c>
      <c r="T576" s="31">
        <v>0</v>
      </c>
      <c r="U576" s="37">
        <v>31.3</v>
      </c>
      <c r="V576" s="31">
        <v>4</v>
      </c>
      <c r="W576" s="31">
        <v>2</v>
      </c>
      <c r="X576" s="38">
        <v>18</v>
      </c>
      <c r="Y576" s="31">
        <v>3</v>
      </c>
      <c r="Z576" s="31">
        <v>1</v>
      </c>
      <c r="AA576" s="31" t="s">
        <v>199</v>
      </c>
      <c r="AB576" s="31" t="s">
        <v>220</v>
      </c>
      <c r="AC576" s="41">
        <f>IFERROR(LOOKUP(M576,打分卡!$F$7:$J$7,打分卡!$K$7:$O$7),1)</f>
        <v>2</v>
      </c>
      <c r="AD576" s="41">
        <f>IFERROR(LOOKUP(S576,打分卡!$F$8:$J$8,打分卡!$K$8:$O$8),1)</f>
        <v>3</v>
      </c>
      <c r="AE576" s="41">
        <f>IFERROR(LOOKUP(T576,打分卡!$F$9:$I$9,打分卡!$K$9:$N$9),1)</f>
        <v>1</v>
      </c>
      <c r="AF576" s="41">
        <f>IFERROR(LOOKUP(Q576,打分卡!$F$10:$J$10,打分卡!$K$10:$O$10),1)</f>
        <v>2</v>
      </c>
      <c r="AG576" s="41">
        <f>IFERROR(LOOKUP(R576,打分卡!$F$11:$J$11,打分卡!$K$11:$O$11),1)</f>
        <v>2</v>
      </c>
      <c r="AH576" s="41">
        <f>IFERROR(LOOKUP(U576,打分卡!$F$12:$J$12,打分卡!$K$12:$O$12),1)</f>
        <v>3</v>
      </c>
      <c r="AI576" s="41">
        <f>IFERROR(LOOKUP(X576,打分卡!$F$13:$J$13,打分卡!$K$13:$O$13),1)</f>
        <v>2</v>
      </c>
      <c r="AJ576" s="41">
        <f>IFERROR(LOOKUP(Y576,打分卡!$F$14:$J$14,打分卡!$K$14:$O$14),1)</f>
        <v>4</v>
      </c>
      <c r="AK576" s="41">
        <f>IFERROR(LOOKUP(W576,打分卡!$F$15:$J$15,打分卡!$K$15:$O$15),1)</f>
        <v>2</v>
      </c>
      <c r="AL576" s="43">
        <f t="shared" si="65"/>
        <v>5</v>
      </c>
      <c r="AM576" s="41">
        <f>IFERROR(LOOKUP(Z576,打分卡!$F$17:$H$17,打分卡!$K$17:$M$17),1)</f>
        <v>3</v>
      </c>
      <c r="AN576" s="44">
        <f>(打分卡!$D$7*AC576+打分卡!$D$8*AD576+打分卡!$D$9*AE576)/5</f>
        <v>16.2</v>
      </c>
      <c r="AO576" s="44">
        <f>(打分卡!$D$10*AF576+打分卡!$D$11*AG576)/5</f>
        <v>8</v>
      </c>
      <c r="AP576" s="44">
        <f>(打分卡!$D$12*AH576+打分卡!$D$13*AI576+打分卡!$D$14*AJ576+打分卡!$D$15*AK576)/5</f>
        <v>16.8</v>
      </c>
      <c r="AQ576" s="44">
        <f>(打分卡!$D$16*AL576+打分卡!$D$17*AM576)/5</f>
        <v>8.4</v>
      </c>
      <c r="AR576" s="47">
        <f t="shared" si="66"/>
        <v>49.4</v>
      </c>
      <c r="AS576" s="43" t="str">
        <f t="shared" si="67"/>
        <v>腰部</v>
      </c>
      <c r="AT576" s="43" t="str">
        <f t="shared" si="68"/>
        <v/>
      </c>
      <c r="AU576" s="43" t="str">
        <f t="shared" si="69"/>
        <v>拉·主攻：主推AI外呼+大促作战包</v>
      </c>
    </row>
    <row r="577" ht="15" customHeight="1" spans="1:47">
      <c r="A577" s="20" t="s">
        <v>1762</v>
      </c>
      <c r="B577" s="22" t="s">
        <v>1763</v>
      </c>
      <c r="C577" s="22" t="s">
        <v>239</v>
      </c>
      <c r="D577" s="22" t="s">
        <v>190</v>
      </c>
      <c r="E577" s="22" t="s">
        <v>181</v>
      </c>
      <c r="F577" s="20" t="s">
        <v>987</v>
      </c>
      <c r="G577" s="22">
        <v>18</v>
      </c>
      <c r="H577" s="22" t="s">
        <v>183</v>
      </c>
      <c r="I577" s="22" t="s">
        <v>302</v>
      </c>
      <c r="J577" s="36">
        <v>20300</v>
      </c>
      <c r="K577" s="36">
        <v>13300</v>
      </c>
      <c r="L577" s="36">
        <v>4700</v>
      </c>
      <c r="M577" s="36">
        <f t="shared" si="64"/>
        <v>38300</v>
      </c>
      <c r="N577" s="34">
        <f t="shared" si="70"/>
        <v>0.000200793106557704</v>
      </c>
      <c r="O577" s="35">
        <f>SUM($M$2:M577)</f>
        <v>182293400</v>
      </c>
      <c r="P577" s="34">
        <f t="shared" si="71"/>
        <v>0.955698644672744</v>
      </c>
      <c r="Q577" s="39">
        <v>4.4</v>
      </c>
      <c r="R577" s="22">
        <v>3</v>
      </c>
      <c r="S577" s="22">
        <v>1</v>
      </c>
      <c r="T577" s="22">
        <v>1</v>
      </c>
      <c r="U577" s="39">
        <v>17</v>
      </c>
      <c r="V577" s="22">
        <v>22</v>
      </c>
      <c r="W577" s="22">
        <v>3</v>
      </c>
      <c r="X577" s="40">
        <v>26</v>
      </c>
      <c r="Y577" s="22">
        <v>1</v>
      </c>
      <c r="Z577" s="22">
        <v>0</v>
      </c>
      <c r="AA577" s="22" t="s">
        <v>315</v>
      </c>
      <c r="AB577" s="22" t="s">
        <v>220</v>
      </c>
      <c r="AC577" s="42">
        <f>IFERROR(LOOKUP(M577,打分卡!$F$7:$J$7,打分卡!$K$7:$O$7),1)</f>
        <v>2</v>
      </c>
      <c r="AD577" s="42">
        <f>IFERROR(LOOKUP(S577,打分卡!$F$8:$J$8,打分卡!$K$8:$O$8),1)</f>
        <v>1</v>
      </c>
      <c r="AE577" s="42">
        <f>IFERROR(LOOKUP(T577,打分卡!$F$9:$I$9,打分卡!$K$9:$N$9),1)</f>
        <v>2</v>
      </c>
      <c r="AF577" s="42">
        <f>IFERROR(LOOKUP(Q577,打分卡!$F$10:$J$10,打分卡!$K$10:$O$10),1)</f>
        <v>2</v>
      </c>
      <c r="AG577" s="42">
        <f>IFERROR(LOOKUP(R577,打分卡!$F$11:$J$11,打分卡!$K$11:$O$11),1)</f>
        <v>2</v>
      </c>
      <c r="AH577" s="42">
        <f>IFERROR(LOOKUP(U577,打分卡!$F$12:$J$12,打分卡!$K$12:$O$12),1)</f>
        <v>3</v>
      </c>
      <c r="AI577" s="42">
        <f>IFERROR(LOOKUP(X577,打分卡!$F$13:$J$13,打分卡!$K$13:$O$13),1)</f>
        <v>2</v>
      </c>
      <c r="AJ577" s="42">
        <f>IFERROR(LOOKUP(Y577,打分卡!$F$14:$J$14,打分卡!$K$14:$O$14),1)</f>
        <v>2</v>
      </c>
      <c r="AK577" s="42">
        <f>IFERROR(LOOKUP(W577,打分卡!$F$15:$J$15,打分卡!$K$15:$O$15),1)</f>
        <v>3</v>
      </c>
      <c r="AL577" s="45">
        <f t="shared" si="65"/>
        <v>2</v>
      </c>
      <c r="AM577" s="42">
        <f>IFERROR(LOOKUP(Z577,打分卡!$F$17:$H$17,打分卡!$K$17:$M$17),1)</f>
        <v>1</v>
      </c>
      <c r="AN577" s="46">
        <f>(打分卡!$D$7*AC577+打分卡!$D$8*AD577+打分卡!$D$9*AE577)/5</f>
        <v>14.4</v>
      </c>
      <c r="AO577" s="46">
        <f>(打分卡!$D$10*AF577+打分卡!$D$11*AG577)/5</f>
        <v>8</v>
      </c>
      <c r="AP577" s="46">
        <f>(打分卡!$D$12*AH577+打分卡!$D$13*AI577+打分卡!$D$14*AJ577+打分卡!$D$15*AK577)/5</f>
        <v>15.2</v>
      </c>
      <c r="AQ577" s="46">
        <f>(打分卡!$D$16*AL577+打分卡!$D$17*AM577)/5</f>
        <v>3.2</v>
      </c>
      <c r="AR577" s="48">
        <f t="shared" si="66"/>
        <v>40.8</v>
      </c>
      <c r="AS577" s="45" t="str">
        <f t="shared" si="67"/>
        <v>腰部</v>
      </c>
      <c r="AT577" s="45" t="str">
        <f t="shared" si="68"/>
        <v/>
      </c>
      <c r="AU577" s="45" t="str">
        <f t="shared" si="69"/>
        <v>拉·主攻：主推AI外呼+大促作战包</v>
      </c>
    </row>
    <row r="578" ht="15" customHeight="1" spans="1:47">
      <c r="A578" s="30" t="s">
        <v>1764</v>
      </c>
      <c r="B578" s="31" t="s">
        <v>1765</v>
      </c>
      <c r="C578" s="31" t="s">
        <v>189</v>
      </c>
      <c r="D578" s="31" t="s">
        <v>196</v>
      </c>
      <c r="E578" s="31" t="s">
        <v>181</v>
      </c>
      <c r="F578" s="30" t="s">
        <v>1766</v>
      </c>
      <c r="G578" s="31">
        <v>19</v>
      </c>
      <c r="H578" s="31" t="s">
        <v>301</v>
      </c>
      <c r="I578" s="31" t="s">
        <v>302</v>
      </c>
      <c r="J578" s="33">
        <v>20600</v>
      </c>
      <c r="K578" s="33">
        <v>12700</v>
      </c>
      <c r="L578" s="33">
        <v>5000</v>
      </c>
      <c r="M578" s="33">
        <f t="shared" ref="M578:M641" si="72">SUM(J578:L578)</f>
        <v>38300</v>
      </c>
      <c r="N578" s="34">
        <f t="shared" si="70"/>
        <v>0.000200793106557704</v>
      </c>
      <c r="O578" s="35">
        <f>SUM($M$2:M578)</f>
        <v>182331700</v>
      </c>
      <c r="P578" s="34">
        <f t="shared" si="71"/>
        <v>0.955899437779302</v>
      </c>
      <c r="Q578" s="37">
        <v>3.7</v>
      </c>
      <c r="R578" s="31">
        <v>9</v>
      </c>
      <c r="S578" s="31">
        <v>3</v>
      </c>
      <c r="T578" s="31">
        <v>0</v>
      </c>
      <c r="U578" s="37">
        <v>59.5</v>
      </c>
      <c r="V578" s="31">
        <v>3</v>
      </c>
      <c r="W578" s="31">
        <v>0</v>
      </c>
      <c r="X578" s="38">
        <v>131</v>
      </c>
      <c r="Y578" s="31">
        <v>2</v>
      </c>
      <c r="Z578" s="31">
        <v>0</v>
      </c>
      <c r="AA578" s="31" t="s">
        <v>315</v>
      </c>
      <c r="AB578" s="31" t="s">
        <v>220</v>
      </c>
      <c r="AC578" s="41">
        <f>IFERROR(LOOKUP(M578,打分卡!$F$7:$J$7,打分卡!$K$7:$O$7),1)</f>
        <v>2</v>
      </c>
      <c r="AD578" s="41">
        <f>IFERROR(LOOKUP(S578,打分卡!$F$8:$J$8,打分卡!$K$8:$O$8),1)</f>
        <v>3</v>
      </c>
      <c r="AE578" s="41">
        <f>IFERROR(LOOKUP(T578,打分卡!$F$9:$I$9,打分卡!$K$9:$N$9),1)</f>
        <v>1</v>
      </c>
      <c r="AF578" s="41">
        <f>IFERROR(LOOKUP(Q578,打分卡!$F$10:$J$10,打分卡!$K$10:$O$10),1)</f>
        <v>2</v>
      </c>
      <c r="AG578" s="41">
        <f>IFERROR(LOOKUP(R578,打分卡!$F$11:$J$11,打分卡!$K$11:$O$11),1)</f>
        <v>4</v>
      </c>
      <c r="AH578" s="41">
        <f>IFERROR(LOOKUP(U578,打分卡!$F$12:$J$12,打分卡!$K$12:$O$12),1)</f>
        <v>4</v>
      </c>
      <c r="AI578" s="41">
        <f>IFERROR(LOOKUP(X578,打分卡!$F$13:$J$13,打分卡!$K$13:$O$13),1)</f>
        <v>4</v>
      </c>
      <c r="AJ578" s="41">
        <f>IFERROR(LOOKUP(Y578,打分卡!$F$14:$J$14,打分卡!$K$14:$O$14),1)</f>
        <v>3</v>
      </c>
      <c r="AK578" s="41">
        <f>IFERROR(LOOKUP(W578,打分卡!$F$15:$J$15,打分卡!$K$15:$O$15),1)</f>
        <v>1</v>
      </c>
      <c r="AL578" s="43">
        <f t="shared" ref="AL578:AL641" si="73">IF(AA578="连续下降",1,IF(AA578="下降",2,IF(AA578="上升",5,3)))</f>
        <v>2</v>
      </c>
      <c r="AM578" s="41">
        <f>IFERROR(LOOKUP(Z578,打分卡!$F$17:$H$17,打分卡!$K$17:$M$17),1)</f>
        <v>1</v>
      </c>
      <c r="AN578" s="44">
        <f>(打分卡!$D$7*AC578+打分卡!$D$8*AD578+打分卡!$D$9*AE578)/5</f>
        <v>16.2</v>
      </c>
      <c r="AO578" s="44">
        <f>(打分卡!$D$10*AF578+打分卡!$D$11*AG578)/5</f>
        <v>12</v>
      </c>
      <c r="AP578" s="44">
        <f>(打分卡!$D$12*AH578+打分卡!$D$13*AI578+打分卡!$D$14*AJ578+打分卡!$D$15*AK578)/5</f>
        <v>20.4</v>
      </c>
      <c r="AQ578" s="44">
        <f>(打分卡!$D$16*AL578+打分卡!$D$17*AM578)/5</f>
        <v>3.2</v>
      </c>
      <c r="AR578" s="47">
        <f t="shared" ref="AR578:AR641" si="74">IF(G578&lt;3,AP578/30*40+AO578+AP578+AQ578,AN578+AO578+AP578+AQ578)</f>
        <v>51.8</v>
      </c>
      <c r="AS578" s="43" t="str">
        <f t="shared" ref="AS578:AS641" si="75">IF(M578=0,IF(G578&lt;3,"新客观察期","未激活"),IF(AR578&gt;=90,"SKA",IF(AR578&gt;=75,"KA",IF(AR578&gt;=40,"腰部","基础长尾"))))</f>
        <v>腰部</v>
      </c>
      <c r="AT578" s="43" t="str">
        <f t="shared" ref="AT578:AT641" si="76">IF(AA578="连续下降","连续下降-预警","")</f>
        <v/>
      </c>
      <c r="AU578" s="43" t="str">
        <f t="shared" ref="AU578:AU641" si="77">IF(AS578="SKA","守·共创：卡片短信/AI外呼新场景POC",IF(AS578="KA","扩·深化：AI外呼场景深化+Push/企微补全",IF(AS578="腰部","拉·主攻：主推AI外呼+大促作战包",IF(AS578="新客观察期","培育：入门包+1v1场景教育",IF(AS578="基础长尾","激活：企微+Push低成本先跑","唤醒：短信模板+首充补贴")))))</f>
        <v>拉·主攻：主推AI外呼+大促作战包</v>
      </c>
    </row>
    <row r="579" ht="15" customHeight="1" spans="1:47">
      <c r="A579" s="20" t="s">
        <v>1767</v>
      </c>
      <c r="B579" s="22" t="s">
        <v>1768</v>
      </c>
      <c r="C579" s="22" t="s">
        <v>234</v>
      </c>
      <c r="D579" s="22" t="s">
        <v>227</v>
      </c>
      <c r="E579" s="22" t="s">
        <v>181</v>
      </c>
      <c r="F579" s="20" t="s">
        <v>1307</v>
      </c>
      <c r="G579" s="22">
        <v>17</v>
      </c>
      <c r="H579" s="22" t="s">
        <v>301</v>
      </c>
      <c r="I579" s="22" t="s">
        <v>302</v>
      </c>
      <c r="J579" s="36">
        <v>20800</v>
      </c>
      <c r="K579" s="36">
        <v>10200</v>
      </c>
      <c r="L579" s="36">
        <v>7100</v>
      </c>
      <c r="M579" s="36">
        <f t="shared" si="72"/>
        <v>38100</v>
      </c>
      <c r="N579" s="34">
        <f t="shared" ref="N579:N642" si="78">M579/$M$2002</f>
        <v>0.000199744578586123</v>
      </c>
      <c r="O579" s="35">
        <f>SUM($M$2:M579)</f>
        <v>182369800</v>
      </c>
      <c r="P579" s="34">
        <f t="shared" ref="P579:P642" si="79">O579/$M$2002</f>
        <v>0.956099182357888</v>
      </c>
      <c r="Q579" s="39">
        <v>2.6</v>
      </c>
      <c r="R579" s="22">
        <v>1</v>
      </c>
      <c r="S579" s="22">
        <v>1</v>
      </c>
      <c r="T579" s="22">
        <v>0</v>
      </c>
      <c r="U579" s="39">
        <v>1.6</v>
      </c>
      <c r="V579" s="22">
        <v>25</v>
      </c>
      <c r="W579" s="22">
        <v>4</v>
      </c>
      <c r="X579" s="40">
        <v>46</v>
      </c>
      <c r="Y579" s="22">
        <v>1</v>
      </c>
      <c r="Z579" s="22">
        <v>0</v>
      </c>
      <c r="AA579" s="22" t="s">
        <v>199</v>
      </c>
      <c r="AB579" s="22" t="s">
        <v>220</v>
      </c>
      <c r="AC579" s="42">
        <f>IFERROR(LOOKUP(M579,打分卡!$F$7:$J$7,打分卡!$K$7:$O$7),1)</f>
        <v>2</v>
      </c>
      <c r="AD579" s="42">
        <f>IFERROR(LOOKUP(S579,打分卡!$F$8:$J$8,打分卡!$K$8:$O$8),1)</f>
        <v>1</v>
      </c>
      <c r="AE579" s="42">
        <f>IFERROR(LOOKUP(T579,打分卡!$F$9:$I$9,打分卡!$K$9:$N$9),1)</f>
        <v>1</v>
      </c>
      <c r="AF579" s="42">
        <f>IFERROR(LOOKUP(Q579,打分卡!$F$10:$J$10,打分卡!$K$10:$O$10),1)</f>
        <v>2</v>
      </c>
      <c r="AG579" s="42">
        <f>IFERROR(LOOKUP(R579,打分卡!$F$11:$J$11,打分卡!$K$11:$O$11),1)</f>
        <v>1</v>
      </c>
      <c r="AH579" s="42">
        <f>IFERROR(LOOKUP(U579,打分卡!$F$12:$J$12,打分卡!$K$12:$O$12),1)</f>
        <v>1</v>
      </c>
      <c r="AI579" s="42">
        <f>IFERROR(LOOKUP(X579,打分卡!$F$13:$J$13,打分卡!$K$13:$O$13),1)</f>
        <v>3</v>
      </c>
      <c r="AJ579" s="42">
        <f>IFERROR(LOOKUP(Y579,打分卡!$F$14:$J$14,打分卡!$K$14:$O$14),1)</f>
        <v>2</v>
      </c>
      <c r="AK579" s="42">
        <f>IFERROR(LOOKUP(W579,打分卡!$F$15:$J$15,打分卡!$K$15:$O$15),1)</f>
        <v>3</v>
      </c>
      <c r="AL579" s="45">
        <f t="shared" si="73"/>
        <v>5</v>
      </c>
      <c r="AM579" s="42">
        <f>IFERROR(LOOKUP(Z579,打分卡!$F$17:$H$17,打分卡!$K$17:$M$17),1)</f>
        <v>1</v>
      </c>
      <c r="AN579" s="46">
        <f>(打分卡!$D$7*AC579+打分卡!$D$8*AD579+打分卡!$D$9*AE579)/5</f>
        <v>13</v>
      </c>
      <c r="AO579" s="46">
        <f>(打分卡!$D$10*AF579+打分卡!$D$11*AG579)/5</f>
        <v>6</v>
      </c>
      <c r="AP579" s="46">
        <f>(打分卡!$D$12*AH579+打分卡!$D$13*AI579+打分卡!$D$14*AJ579+打分卡!$D$15*AK579)/5</f>
        <v>12</v>
      </c>
      <c r="AQ579" s="46">
        <f>(打分卡!$D$16*AL579+打分卡!$D$17*AM579)/5</f>
        <v>6.8</v>
      </c>
      <c r="AR579" s="48">
        <f t="shared" si="74"/>
        <v>37.8</v>
      </c>
      <c r="AS579" s="45" t="str">
        <f t="shared" si="75"/>
        <v>基础长尾</v>
      </c>
      <c r="AT579" s="45" t="str">
        <f t="shared" si="76"/>
        <v/>
      </c>
      <c r="AU579" s="45" t="str">
        <f t="shared" si="77"/>
        <v>激活：企微+Push低成本先跑</v>
      </c>
    </row>
    <row r="580" ht="15" customHeight="1" spans="1:47">
      <c r="A580" s="30" t="s">
        <v>1769</v>
      </c>
      <c r="B580" s="31" t="s">
        <v>1770</v>
      </c>
      <c r="C580" s="31" t="s">
        <v>189</v>
      </c>
      <c r="D580" s="31" t="s">
        <v>196</v>
      </c>
      <c r="E580" s="31" t="s">
        <v>197</v>
      </c>
      <c r="F580" s="30" t="s">
        <v>451</v>
      </c>
      <c r="G580" s="31">
        <v>8</v>
      </c>
      <c r="H580" s="31" t="s">
        <v>301</v>
      </c>
      <c r="I580" s="31" t="s">
        <v>302</v>
      </c>
      <c r="J580" s="33">
        <v>23500</v>
      </c>
      <c r="K580" s="33">
        <v>12500</v>
      </c>
      <c r="L580" s="33">
        <v>1900</v>
      </c>
      <c r="M580" s="33">
        <f t="shared" si="72"/>
        <v>37900</v>
      </c>
      <c r="N580" s="34">
        <f t="shared" si="78"/>
        <v>0.000198696050614542</v>
      </c>
      <c r="O580" s="35">
        <f>SUM($M$2:M580)</f>
        <v>182407700</v>
      </c>
      <c r="P580" s="34">
        <f t="shared" si="79"/>
        <v>0.956297878408502</v>
      </c>
      <c r="Q580" s="37">
        <v>5</v>
      </c>
      <c r="R580" s="31">
        <v>9</v>
      </c>
      <c r="S580" s="31">
        <v>3</v>
      </c>
      <c r="T580" s="31">
        <v>2</v>
      </c>
      <c r="U580" s="37">
        <v>34.4</v>
      </c>
      <c r="V580" s="31">
        <v>28</v>
      </c>
      <c r="W580" s="31">
        <v>3</v>
      </c>
      <c r="X580" s="38">
        <v>124</v>
      </c>
      <c r="Y580" s="31">
        <v>3</v>
      </c>
      <c r="Z580" s="31">
        <v>0</v>
      </c>
      <c r="AA580" s="31" t="s">
        <v>199</v>
      </c>
      <c r="AB580" s="31" t="s">
        <v>220</v>
      </c>
      <c r="AC580" s="41">
        <f>IFERROR(LOOKUP(M580,打分卡!$F$7:$J$7,打分卡!$K$7:$O$7),1)</f>
        <v>2</v>
      </c>
      <c r="AD580" s="41">
        <f>IFERROR(LOOKUP(S580,打分卡!$F$8:$J$8,打分卡!$K$8:$O$8),1)</f>
        <v>3</v>
      </c>
      <c r="AE580" s="41">
        <f>IFERROR(LOOKUP(T580,打分卡!$F$9:$I$9,打分卡!$K$9:$N$9),1)</f>
        <v>3</v>
      </c>
      <c r="AF580" s="41">
        <f>IFERROR(LOOKUP(Q580,打分卡!$F$10:$J$10,打分卡!$K$10:$O$10),1)</f>
        <v>2</v>
      </c>
      <c r="AG580" s="41">
        <f>IFERROR(LOOKUP(R580,打分卡!$F$11:$J$11,打分卡!$K$11:$O$11),1)</f>
        <v>4</v>
      </c>
      <c r="AH580" s="41">
        <f>IFERROR(LOOKUP(U580,打分卡!$F$12:$J$12,打分卡!$K$12:$O$12),1)</f>
        <v>4</v>
      </c>
      <c r="AI580" s="41">
        <f>IFERROR(LOOKUP(X580,打分卡!$F$13:$J$13,打分卡!$K$13:$O$13),1)</f>
        <v>4</v>
      </c>
      <c r="AJ580" s="41">
        <f>IFERROR(LOOKUP(Y580,打分卡!$F$14:$J$14,打分卡!$K$14:$O$14),1)</f>
        <v>4</v>
      </c>
      <c r="AK580" s="41">
        <f>IFERROR(LOOKUP(W580,打分卡!$F$15:$J$15,打分卡!$K$15:$O$15),1)</f>
        <v>3</v>
      </c>
      <c r="AL580" s="43">
        <f t="shared" si="73"/>
        <v>5</v>
      </c>
      <c r="AM580" s="41">
        <f>IFERROR(LOOKUP(Z580,打分卡!$F$17:$H$17,打分卡!$K$17:$M$17),1)</f>
        <v>1</v>
      </c>
      <c r="AN580" s="44">
        <f>(打分卡!$D$7*AC580+打分卡!$D$8*AD580+打分卡!$D$9*AE580)/5</f>
        <v>19</v>
      </c>
      <c r="AO580" s="44">
        <f>(打分卡!$D$10*AF580+打分卡!$D$11*AG580)/5</f>
        <v>12</v>
      </c>
      <c r="AP580" s="44">
        <f>(打分卡!$D$12*AH580+打分卡!$D$13*AI580+打分卡!$D$14*AJ580+打分卡!$D$15*AK580)/5</f>
        <v>23.2</v>
      </c>
      <c r="AQ580" s="44">
        <f>(打分卡!$D$16*AL580+打分卡!$D$17*AM580)/5</f>
        <v>6.8</v>
      </c>
      <c r="AR580" s="47">
        <f t="shared" si="74"/>
        <v>61</v>
      </c>
      <c r="AS580" s="43" t="str">
        <f t="shared" si="75"/>
        <v>腰部</v>
      </c>
      <c r="AT580" s="43" t="str">
        <f t="shared" si="76"/>
        <v/>
      </c>
      <c r="AU580" s="43" t="str">
        <f t="shared" si="77"/>
        <v>拉·主攻：主推AI外呼+大促作战包</v>
      </c>
    </row>
    <row r="581" ht="15" customHeight="1" spans="1:47">
      <c r="A581" s="20" t="s">
        <v>1771</v>
      </c>
      <c r="B581" s="22" t="s">
        <v>1772</v>
      </c>
      <c r="C581" s="22" t="s">
        <v>189</v>
      </c>
      <c r="D581" s="22" t="s">
        <v>202</v>
      </c>
      <c r="E581" s="22" t="s">
        <v>181</v>
      </c>
      <c r="F581" s="20" t="s">
        <v>1773</v>
      </c>
      <c r="G581" s="22">
        <v>14</v>
      </c>
      <c r="H581" s="22" t="s">
        <v>301</v>
      </c>
      <c r="I581" s="22" t="s">
        <v>302</v>
      </c>
      <c r="J581" s="36">
        <v>19500</v>
      </c>
      <c r="K581" s="36">
        <v>12100</v>
      </c>
      <c r="L581" s="36">
        <v>6300</v>
      </c>
      <c r="M581" s="36">
        <f t="shared" si="72"/>
        <v>37900</v>
      </c>
      <c r="N581" s="34">
        <f t="shared" si="78"/>
        <v>0.000198696050614542</v>
      </c>
      <c r="O581" s="35">
        <f>SUM($M$2:M581)</f>
        <v>182445600</v>
      </c>
      <c r="P581" s="34">
        <f t="shared" si="79"/>
        <v>0.956496574459117</v>
      </c>
      <c r="Q581" s="39">
        <v>3.9</v>
      </c>
      <c r="R581" s="22">
        <v>5</v>
      </c>
      <c r="S581" s="22">
        <v>2</v>
      </c>
      <c r="T581" s="22">
        <v>1</v>
      </c>
      <c r="U581" s="39">
        <v>6.8</v>
      </c>
      <c r="V581" s="22">
        <v>19</v>
      </c>
      <c r="W581" s="22">
        <v>4</v>
      </c>
      <c r="X581" s="40">
        <v>97</v>
      </c>
      <c r="Y581" s="22">
        <v>2</v>
      </c>
      <c r="Z581" s="22">
        <v>1</v>
      </c>
      <c r="AA581" s="22" t="s">
        <v>185</v>
      </c>
      <c r="AB581" s="22" t="s">
        <v>220</v>
      </c>
      <c r="AC581" s="42">
        <f>IFERROR(LOOKUP(M581,打分卡!$F$7:$J$7,打分卡!$K$7:$O$7),1)</f>
        <v>2</v>
      </c>
      <c r="AD581" s="42">
        <f>IFERROR(LOOKUP(S581,打分卡!$F$8:$J$8,打分卡!$K$8:$O$8),1)</f>
        <v>2</v>
      </c>
      <c r="AE581" s="42">
        <f>IFERROR(LOOKUP(T581,打分卡!$F$9:$I$9,打分卡!$K$9:$N$9),1)</f>
        <v>2</v>
      </c>
      <c r="AF581" s="42">
        <f>IFERROR(LOOKUP(Q581,打分卡!$F$10:$J$10,打分卡!$K$10:$O$10),1)</f>
        <v>2</v>
      </c>
      <c r="AG581" s="42">
        <f>IFERROR(LOOKUP(R581,打分卡!$F$11:$J$11,打分卡!$K$11:$O$11),1)</f>
        <v>3</v>
      </c>
      <c r="AH581" s="42">
        <f>IFERROR(LOOKUP(U581,打分卡!$F$12:$J$12,打分卡!$K$12:$O$12),1)</f>
        <v>2</v>
      </c>
      <c r="AI581" s="42">
        <f>IFERROR(LOOKUP(X581,打分卡!$F$13:$J$13,打分卡!$K$13:$O$13),1)</f>
        <v>4</v>
      </c>
      <c r="AJ581" s="42">
        <f>IFERROR(LOOKUP(Y581,打分卡!$F$14:$J$14,打分卡!$K$14:$O$14),1)</f>
        <v>3</v>
      </c>
      <c r="AK581" s="42">
        <f>IFERROR(LOOKUP(W581,打分卡!$F$15:$J$15,打分卡!$K$15:$O$15),1)</f>
        <v>3</v>
      </c>
      <c r="AL581" s="45">
        <f t="shared" si="73"/>
        <v>3</v>
      </c>
      <c r="AM581" s="42">
        <f>IFERROR(LOOKUP(Z581,打分卡!$F$17:$H$17,打分卡!$K$17:$M$17),1)</f>
        <v>3</v>
      </c>
      <c r="AN581" s="46">
        <f>(打分卡!$D$7*AC581+打分卡!$D$8*AD581+打分卡!$D$9*AE581)/5</f>
        <v>16</v>
      </c>
      <c r="AO581" s="46">
        <f>(打分卡!$D$10*AF581+打分卡!$D$11*AG581)/5</f>
        <v>10</v>
      </c>
      <c r="AP581" s="46">
        <f>(打分卡!$D$12*AH581+打分卡!$D$13*AI581+打分卡!$D$14*AJ581+打分卡!$D$15*AK581)/5</f>
        <v>17.2</v>
      </c>
      <c r="AQ581" s="46">
        <f>(打分卡!$D$16*AL581+打分卡!$D$17*AM581)/5</f>
        <v>6</v>
      </c>
      <c r="AR581" s="48">
        <f t="shared" si="74"/>
        <v>49.2</v>
      </c>
      <c r="AS581" s="45" t="str">
        <f t="shared" si="75"/>
        <v>腰部</v>
      </c>
      <c r="AT581" s="45" t="str">
        <f t="shared" si="76"/>
        <v/>
      </c>
      <c r="AU581" s="45" t="str">
        <f t="shared" si="77"/>
        <v>拉·主攻：主推AI外呼+大促作战包</v>
      </c>
    </row>
    <row r="582" ht="15" customHeight="1" spans="1:47">
      <c r="A582" s="30" t="s">
        <v>1774</v>
      </c>
      <c r="B582" s="31" t="s">
        <v>1775</v>
      </c>
      <c r="C582" s="31" t="s">
        <v>195</v>
      </c>
      <c r="D582" s="31" t="s">
        <v>180</v>
      </c>
      <c r="E582" s="31" t="s">
        <v>197</v>
      </c>
      <c r="F582" s="30" t="s">
        <v>1776</v>
      </c>
      <c r="G582" s="31">
        <v>20</v>
      </c>
      <c r="H582" s="31" t="s">
        <v>301</v>
      </c>
      <c r="I582" s="31" t="s">
        <v>302</v>
      </c>
      <c r="J582" s="33">
        <v>21400</v>
      </c>
      <c r="K582" s="33">
        <v>7700</v>
      </c>
      <c r="L582" s="33">
        <v>8200</v>
      </c>
      <c r="M582" s="33">
        <f t="shared" si="72"/>
        <v>37300</v>
      </c>
      <c r="N582" s="34">
        <f t="shared" si="78"/>
        <v>0.0001955504666998</v>
      </c>
      <c r="O582" s="35">
        <f>SUM($M$2:M582)</f>
        <v>182482900</v>
      </c>
      <c r="P582" s="34">
        <f t="shared" si="79"/>
        <v>0.956692124925817</v>
      </c>
      <c r="Q582" s="37">
        <v>5.7</v>
      </c>
      <c r="R582" s="31">
        <v>8</v>
      </c>
      <c r="S582" s="31">
        <v>2</v>
      </c>
      <c r="T582" s="31">
        <v>1</v>
      </c>
      <c r="U582" s="37">
        <v>5.4</v>
      </c>
      <c r="V582" s="31">
        <v>10</v>
      </c>
      <c r="W582" s="31">
        <v>1</v>
      </c>
      <c r="X582" s="38">
        <v>29</v>
      </c>
      <c r="Y582" s="31">
        <v>0</v>
      </c>
      <c r="Z582" s="31">
        <v>0</v>
      </c>
      <c r="AA582" s="31" t="s">
        <v>315</v>
      </c>
      <c r="AB582" s="31" t="s">
        <v>220</v>
      </c>
      <c r="AC582" s="41">
        <f>IFERROR(LOOKUP(M582,打分卡!$F$7:$J$7,打分卡!$K$7:$O$7),1)</f>
        <v>2</v>
      </c>
      <c r="AD582" s="41">
        <f>IFERROR(LOOKUP(S582,打分卡!$F$8:$J$8,打分卡!$K$8:$O$8),1)</f>
        <v>2</v>
      </c>
      <c r="AE582" s="41">
        <f>IFERROR(LOOKUP(T582,打分卡!$F$9:$I$9,打分卡!$K$9:$N$9),1)</f>
        <v>2</v>
      </c>
      <c r="AF582" s="41">
        <f>IFERROR(LOOKUP(Q582,打分卡!$F$10:$J$10,打分卡!$K$10:$O$10),1)</f>
        <v>2</v>
      </c>
      <c r="AG582" s="41">
        <f>IFERROR(LOOKUP(R582,打分卡!$F$11:$J$11,打分卡!$K$11:$O$11),1)</f>
        <v>3</v>
      </c>
      <c r="AH582" s="41">
        <f>IFERROR(LOOKUP(U582,打分卡!$F$12:$J$12,打分卡!$K$12:$O$12),1)</f>
        <v>2</v>
      </c>
      <c r="AI582" s="41">
        <f>IFERROR(LOOKUP(X582,打分卡!$F$13:$J$13,打分卡!$K$13:$O$13),1)</f>
        <v>2</v>
      </c>
      <c r="AJ582" s="41">
        <f>IFERROR(LOOKUP(Y582,打分卡!$F$14:$J$14,打分卡!$K$14:$O$14),1)</f>
        <v>1</v>
      </c>
      <c r="AK582" s="41">
        <f>IFERROR(LOOKUP(W582,打分卡!$F$15:$J$15,打分卡!$K$15:$O$15),1)</f>
        <v>2</v>
      </c>
      <c r="AL582" s="43">
        <f t="shared" si="73"/>
        <v>2</v>
      </c>
      <c r="AM582" s="41">
        <f>IFERROR(LOOKUP(Z582,打分卡!$F$17:$H$17,打分卡!$K$17:$M$17),1)</f>
        <v>1</v>
      </c>
      <c r="AN582" s="44">
        <f>(打分卡!$D$7*AC582+打分卡!$D$8*AD582+打分卡!$D$9*AE582)/5</f>
        <v>16</v>
      </c>
      <c r="AO582" s="44">
        <f>(打分卡!$D$10*AF582+打分卡!$D$11*AG582)/5</f>
        <v>10</v>
      </c>
      <c r="AP582" s="44">
        <f>(打分卡!$D$12*AH582+打分卡!$D$13*AI582+打分卡!$D$14*AJ582+打分卡!$D$15*AK582)/5</f>
        <v>10.8</v>
      </c>
      <c r="AQ582" s="44">
        <f>(打分卡!$D$16*AL582+打分卡!$D$17*AM582)/5</f>
        <v>3.2</v>
      </c>
      <c r="AR582" s="47">
        <f t="shared" si="74"/>
        <v>40</v>
      </c>
      <c r="AS582" s="43" t="str">
        <f t="shared" si="75"/>
        <v>腰部</v>
      </c>
      <c r="AT582" s="43" t="str">
        <f t="shared" si="76"/>
        <v/>
      </c>
      <c r="AU582" s="43" t="str">
        <f t="shared" si="77"/>
        <v>拉·主攻：主推AI外呼+大促作战包</v>
      </c>
    </row>
    <row r="583" ht="15" customHeight="1" spans="1:47">
      <c r="A583" s="20" t="s">
        <v>1777</v>
      </c>
      <c r="B583" s="22" t="s">
        <v>1778</v>
      </c>
      <c r="C583" s="22" t="s">
        <v>223</v>
      </c>
      <c r="D583" s="22" t="s">
        <v>235</v>
      </c>
      <c r="E583" s="22" t="s">
        <v>181</v>
      </c>
      <c r="F583" s="20" t="s">
        <v>1779</v>
      </c>
      <c r="G583" s="22">
        <v>13</v>
      </c>
      <c r="H583" s="22" t="s">
        <v>301</v>
      </c>
      <c r="I583" s="22" t="s">
        <v>302</v>
      </c>
      <c r="J583" s="36">
        <v>23200</v>
      </c>
      <c r="K583" s="36">
        <v>11400</v>
      </c>
      <c r="L583" s="36">
        <v>2600</v>
      </c>
      <c r="M583" s="36">
        <f t="shared" si="72"/>
        <v>37200</v>
      </c>
      <c r="N583" s="34">
        <f t="shared" si="78"/>
        <v>0.00019502620271401</v>
      </c>
      <c r="O583" s="35">
        <f>SUM($M$2:M583)</f>
        <v>182520100</v>
      </c>
      <c r="P583" s="34">
        <f t="shared" si="79"/>
        <v>0.956887151128531</v>
      </c>
      <c r="Q583" s="39">
        <v>5.1</v>
      </c>
      <c r="R583" s="22">
        <v>4</v>
      </c>
      <c r="S583" s="22">
        <v>2</v>
      </c>
      <c r="T583" s="22">
        <v>1</v>
      </c>
      <c r="U583" s="39">
        <v>1.1</v>
      </c>
      <c r="V583" s="22">
        <v>3</v>
      </c>
      <c r="W583" s="22">
        <v>1</v>
      </c>
      <c r="X583" s="40">
        <v>15</v>
      </c>
      <c r="Y583" s="22">
        <v>3</v>
      </c>
      <c r="Z583" s="22">
        <v>0</v>
      </c>
      <c r="AA583" s="22" t="s">
        <v>199</v>
      </c>
      <c r="AB583" s="22" t="s">
        <v>220</v>
      </c>
      <c r="AC583" s="42">
        <f>IFERROR(LOOKUP(M583,打分卡!$F$7:$J$7,打分卡!$K$7:$O$7),1)</f>
        <v>2</v>
      </c>
      <c r="AD583" s="42">
        <f>IFERROR(LOOKUP(S583,打分卡!$F$8:$J$8,打分卡!$K$8:$O$8),1)</f>
        <v>2</v>
      </c>
      <c r="AE583" s="42">
        <f>IFERROR(LOOKUP(T583,打分卡!$F$9:$I$9,打分卡!$K$9:$N$9),1)</f>
        <v>2</v>
      </c>
      <c r="AF583" s="42">
        <f>IFERROR(LOOKUP(Q583,打分卡!$F$10:$J$10,打分卡!$K$10:$O$10),1)</f>
        <v>2</v>
      </c>
      <c r="AG583" s="42">
        <f>IFERROR(LOOKUP(R583,打分卡!$F$11:$J$11,打分卡!$K$11:$O$11),1)</f>
        <v>2</v>
      </c>
      <c r="AH583" s="42">
        <f>IFERROR(LOOKUP(U583,打分卡!$F$12:$J$12,打分卡!$K$12:$O$12),1)</f>
        <v>1</v>
      </c>
      <c r="AI583" s="42">
        <f>IFERROR(LOOKUP(X583,打分卡!$F$13:$J$13,打分卡!$K$13:$O$13),1)</f>
        <v>1</v>
      </c>
      <c r="AJ583" s="42">
        <f>IFERROR(LOOKUP(Y583,打分卡!$F$14:$J$14,打分卡!$K$14:$O$14),1)</f>
        <v>4</v>
      </c>
      <c r="AK583" s="42">
        <f>IFERROR(LOOKUP(W583,打分卡!$F$15:$J$15,打分卡!$K$15:$O$15),1)</f>
        <v>2</v>
      </c>
      <c r="AL583" s="45">
        <f t="shared" si="73"/>
        <v>5</v>
      </c>
      <c r="AM583" s="42">
        <f>IFERROR(LOOKUP(Z583,打分卡!$F$17:$H$17,打分卡!$K$17:$M$17),1)</f>
        <v>1</v>
      </c>
      <c r="AN583" s="46">
        <f>(打分卡!$D$7*AC583+打分卡!$D$8*AD583+打分卡!$D$9*AE583)/5</f>
        <v>16</v>
      </c>
      <c r="AO583" s="46">
        <f>(打分卡!$D$10*AF583+打分卡!$D$11*AG583)/5</f>
        <v>8</v>
      </c>
      <c r="AP583" s="46">
        <f>(打分卡!$D$12*AH583+打分卡!$D$13*AI583+打分卡!$D$14*AJ583+打分卡!$D$15*AK583)/5</f>
        <v>10.4</v>
      </c>
      <c r="AQ583" s="46">
        <f>(打分卡!$D$16*AL583+打分卡!$D$17*AM583)/5</f>
        <v>6.8</v>
      </c>
      <c r="AR583" s="48">
        <f t="shared" si="74"/>
        <v>41.2</v>
      </c>
      <c r="AS583" s="45" t="str">
        <f t="shared" si="75"/>
        <v>腰部</v>
      </c>
      <c r="AT583" s="45" t="str">
        <f t="shared" si="76"/>
        <v/>
      </c>
      <c r="AU583" s="45" t="str">
        <f t="shared" si="77"/>
        <v>拉·主攻：主推AI外呼+大促作战包</v>
      </c>
    </row>
    <row r="584" ht="15" customHeight="1" spans="1:47">
      <c r="A584" s="30" t="s">
        <v>1780</v>
      </c>
      <c r="B584" s="31" t="s">
        <v>1781</v>
      </c>
      <c r="C584" s="31" t="s">
        <v>189</v>
      </c>
      <c r="D584" s="31" t="s">
        <v>196</v>
      </c>
      <c r="E584" s="31" t="s">
        <v>181</v>
      </c>
      <c r="F584" s="30" t="s">
        <v>1782</v>
      </c>
      <c r="G584" s="31">
        <v>10</v>
      </c>
      <c r="H584" s="31" t="s">
        <v>301</v>
      </c>
      <c r="I584" s="31" t="s">
        <v>302</v>
      </c>
      <c r="J584" s="33">
        <v>22100</v>
      </c>
      <c r="K584" s="33">
        <v>11600</v>
      </c>
      <c r="L584" s="33">
        <v>3400</v>
      </c>
      <c r="M584" s="33">
        <f t="shared" si="72"/>
        <v>37100</v>
      </c>
      <c r="N584" s="34">
        <f t="shared" si="78"/>
        <v>0.000194501938728219</v>
      </c>
      <c r="O584" s="35">
        <f>SUM($M$2:M584)</f>
        <v>182557200</v>
      </c>
      <c r="P584" s="34">
        <f t="shared" si="79"/>
        <v>0.957081653067259</v>
      </c>
      <c r="Q584" s="37">
        <v>2.9</v>
      </c>
      <c r="R584" s="31">
        <v>8</v>
      </c>
      <c r="S584" s="31">
        <v>3</v>
      </c>
      <c r="T584" s="31">
        <v>2</v>
      </c>
      <c r="U584" s="37">
        <v>3.3</v>
      </c>
      <c r="V584" s="31">
        <v>24</v>
      </c>
      <c r="W584" s="31">
        <v>2</v>
      </c>
      <c r="X584" s="38">
        <v>25</v>
      </c>
      <c r="Y584" s="31">
        <v>0</v>
      </c>
      <c r="Z584" s="31">
        <v>1</v>
      </c>
      <c r="AA584" s="31" t="s">
        <v>199</v>
      </c>
      <c r="AB584" s="31" t="s">
        <v>220</v>
      </c>
      <c r="AC584" s="41">
        <f>IFERROR(LOOKUP(M584,打分卡!$F$7:$J$7,打分卡!$K$7:$O$7),1)</f>
        <v>2</v>
      </c>
      <c r="AD584" s="41">
        <f>IFERROR(LOOKUP(S584,打分卡!$F$8:$J$8,打分卡!$K$8:$O$8),1)</f>
        <v>3</v>
      </c>
      <c r="AE584" s="41">
        <f>IFERROR(LOOKUP(T584,打分卡!$F$9:$I$9,打分卡!$K$9:$N$9),1)</f>
        <v>3</v>
      </c>
      <c r="AF584" s="41">
        <f>IFERROR(LOOKUP(Q584,打分卡!$F$10:$J$10,打分卡!$K$10:$O$10),1)</f>
        <v>2</v>
      </c>
      <c r="AG584" s="41">
        <f>IFERROR(LOOKUP(R584,打分卡!$F$11:$J$11,打分卡!$K$11:$O$11),1)</f>
        <v>3</v>
      </c>
      <c r="AH584" s="41">
        <f>IFERROR(LOOKUP(U584,打分卡!$F$12:$J$12,打分卡!$K$12:$O$12),1)</f>
        <v>2</v>
      </c>
      <c r="AI584" s="41">
        <f>IFERROR(LOOKUP(X584,打分卡!$F$13:$J$13,打分卡!$K$13:$O$13),1)</f>
        <v>2</v>
      </c>
      <c r="AJ584" s="41">
        <f>IFERROR(LOOKUP(Y584,打分卡!$F$14:$J$14,打分卡!$K$14:$O$14),1)</f>
        <v>1</v>
      </c>
      <c r="AK584" s="41">
        <f>IFERROR(LOOKUP(W584,打分卡!$F$15:$J$15,打分卡!$K$15:$O$15),1)</f>
        <v>2</v>
      </c>
      <c r="AL584" s="43">
        <f t="shared" si="73"/>
        <v>5</v>
      </c>
      <c r="AM584" s="41">
        <f>IFERROR(LOOKUP(Z584,打分卡!$F$17:$H$17,打分卡!$K$17:$M$17),1)</f>
        <v>3</v>
      </c>
      <c r="AN584" s="44">
        <f>(打分卡!$D$7*AC584+打分卡!$D$8*AD584+打分卡!$D$9*AE584)/5</f>
        <v>19</v>
      </c>
      <c r="AO584" s="44">
        <f>(打分卡!$D$10*AF584+打分卡!$D$11*AG584)/5</f>
        <v>10</v>
      </c>
      <c r="AP584" s="44">
        <f>(打分卡!$D$12*AH584+打分卡!$D$13*AI584+打分卡!$D$14*AJ584+打分卡!$D$15*AK584)/5</f>
        <v>10.8</v>
      </c>
      <c r="AQ584" s="44">
        <f>(打分卡!$D$16*AL584+打分卡!$D$17*AM584)/5</f>
        <v>8.4</v>
      </c>
      <c r="AR584" s="47">
        <f t="shared" si="74"/>
        <v>48.2</v>
      </c>
      <c r="AS584" s="43" t="str">
        <f t="shared" si="75"/>
        <v>腰部</v>
      </c>
      <c r="AT584" s="43" t="str">
        <f t="shared" si="76"/>
        <v/>
      </c>
      <c r="AU584" s="43" t="str">
        <f t="shared" si="77"/>
        <v>拉·主攻：主推AI外呼+大促作战包</v>
      </c>
    </row>
    <row r="585" ht="15" customHeight="1" spans="1:47">
      <c r="A585" s="20" t="s">
        <v>1783</v>
      </c>
      <c r="B585" s="22" t="s">
        <v>1784</v>
      </c>
      <c r="C585" s="22" t="s">
        <v>234</v>
      </c>
      <c r="D585" s="22" t="s">
        <v>227</v>
      </c>
      <c r="E585" s="22" t="s">
        <v>181</v>
      </c>
      <c r="F585" s="20" t="s">
        <v>1416</v>
      </c>
      <c r="G585" s="22">
        <v>14</v>
      </c>
      <c r="H585" s="22" t="s">
        <v>183</v>
      </c>
      <c r="I585" s="22" t="s">
        <v>302</v>
      </c>
      <c r="J585" s="36">
        <v>23300</v>
      </c>
      <c r="K585" s="36">
        <v>11800</v>
      </c>
      <c r="L585" s="36">
        <v>1800</v>
      </c>
      <c r="M585" s="36">
        <f t="shared" si="72"/>
        <v>36900</v>
      </c>
      <c r="N585" s="34">
        <f t="shared" si="78"/>
        <v>0.000193453410756639</v>
      </c>
      <c r="O585" s="35">
        <f>SUM($M$2:M585)</f>
        <v>182594100</v>
      </c>
      <c r="P585" s="34">
        <f t="shared" si="79"/>
        <v>0.957275106478016</v>
      </c>
      <c r="Q585" s="39">
        <v>4.6</v>
      </c>
      <c r="R585" s="22">
        <v>1</v>
      </c>
      <c r="S585" s="22">
        <v>1</v>
      </c>
      <c r="T585" s="22">
        <v>2</v>
      </c>
      <c r="U585" s="39">
        <v>55.2</v>
      </c>
      <c r="V585" s="22">
        <v>14</v>
      </c>
      <c r="W585" s="22">
        <v>1</v>
      </c>
      <c r="X585" s="40">
        <v>131</v>
      </c>
      <c r="Y585" s="22">
        <v>0</v>
      </c>
      <c r="Z585" s="22">
        <v>1</v>
      </c>
      <c r="AA585" s="22" t="s">
        <v>185</v>
      </c>
      <c r="AB585" s="22" t="s">
        <v>220</v>
      </c>
      <c r="AC585" s="42">
        <f>IFERROR(LOOKUP(M585,打分卡!$F$7:$J$7,打分卡!$K$7:$O$7),1)</f>
        <v>2</v>
      </c>
      <c r="AD585" s="42">
        <f>IFERROR(LOOKUP(S585,打分卡!$F$8:$J$8,打分卡!$K$8:$O$8),1)</f>
        <v>1</v>
      </c>
      <c r="AE585" s="42">
        <f>IFERROR(LOOKUP(T585,打分卡!$F$9:$I$9,打分卡!$K$9:$N$9),1)</f>
        <v>3</v>
      </c>
      <c r="AF585" s="42">
        <f>IFERROR(LOOKUP(Q585,打分卡!$F$10:$J$10,打分卡!$K$10:$O$10),1)</f>
        <v>2</v>
      </c>
      <c r="AG585" s="42">
        <f>IFERROR(LOOKUP(R585,打分卡!$F$11:$J$11,打分卡!$K$11:$O$11),1)</f>
        <v>1</v>
      </c>
      <c r="AH585" s="42">
        <f>IFERROR(LOOKUP(U585,打分卡!$F$12:$J$12,打分卡!$K$12:$O$12),1)</f>
        <v>4</v>
      </c>
      <c r="AI585" s="42">
        <f>IFERROR(LOOKUP(X585,打分卡!$F$13:$J$13,打分卡!$K$13:$O$13),1)</f>
        <v>4</v>
      </c>
      <c r="AJ585" s="42">
        <f>IFERROR(LOOKUP(Y585,打分卡!$F$14:$J$14,打分卡!$K$14:$O$14),1)</f>
        <v>1</v>
      </c>
      <c r="AK585" s="42">
        <f>IFERROR(LOOKUP(W585,打分卡!$F$15:$J$15,打分卡!$K$15:$O$15),1)</f>
        <v>2</v>
      </c>
      <c r="AL585" s="45">
        <f t="shared" si="73"/>
        <v>3</v>
      </c>
      <c r="AM585" s="42">
        <f>IFERROR(LOOKUP(Z585,打分卡!$F$17:$H$17,打分卡!$K$17:$M$17),1)</f>
        <v>3</v>
      </c>
      <c r="AN585" s="46">
        <f>(打分卡!$D$7*AC585+打分卡!$D$8*AD585+打分卡!$D$9*AE585)/5</f>
        <v>15.8</v>
      </c>
      <c r="AO585" s="46">
        <f>(打分卡!$D$10*AF585+打分卡!$D$11*AG585)/5</f>
        <v>6</v>
      </c>
      <c r="AP585" s="46">
        <f>(打分卡!$D$12*AH585+打分卡!$D$13*AI585+打分卡!$D$14*AJ585+打分卡!$D$15*AK585)/5</f>
        <v>18.8</v>
      </c>
      <c r="AQ585" s="46">
        <f>(打分卡!$D$16*AL585+打分卡!$D$17*AM585)/5</f>
        <v>6</v>
      </c>
      <c r="AR585" s="48">
        <f t="shared" si="74"/>
        <v>46.6</v>
      </c>
      <c r="AS585" s="45" t="str">
        <f t="shared" si="75"/>
        <v>腰部</v>
      </c>
      <c r="AT585" s="45" t="str">
        <f t="shared" si="76"/>
        <v/>
      </c>
      <c r="AU585" s="45" t="str">
        <f t="shared" si="77"/>
        <v>拉·主攻：主推AI外呼+大促作战包</v>
      </c>
    </row>
    <row r="586" ht="15" customHeight="1" spans="1:47">
      <c r="A586" s="30" t="s">
        <v>1785</v>
      </c>
      <c r="B586" s="31" t="s">
        <v>1786</v>
      </c>
      <c r="C586" s="31" t="s">
        <v>179</v>
      </c>
      <c r="D586" s="31" t="s">
        <v>202</v>
      </c>
      <c r="E586" s="31" t="s">
        <v>197</v>
      </c>
      <c r="F586" s="30" t="s">
        <v>1389</v>
      </c>
      <c r="G586" s="31">
        <v>6</v>
      </c>
      <c r="H586" s="31" t="s">
        <v>301</v>
      </c>
      <c r="I586" s="31" t="s">
        <v>184</v>
      </c>
      <c r="J586" s="33">
        <v>20500</v>
      </c>
      <c r="K586" s="33">
        <v>10100</v>
      </c>
      <c r="L586" s="33">
        <v>5600</v>
      </c>
      <c r="M586" s="33">
        <f t="shared" si="72"/>
        <v>36200</v>
      </c>
      <c r="N586" s="34">
        <f t="shared" si="78"/>
        <v>0.000189783562856106</v>
      </c>
      <c r="O586" s="35">
        <f>SUM($M$2:M586)</f>
        <v>182630300</v>
      </c>
      <c r="P586" s="34">
        <f t="shared" si="79"/>
        <v>0.957464890040872</v>
      </c>
      <c r="Q586" s="37">
        <v>5.8</v>
      </c>
      <c r="R586" s="31">
        <v>5</v>
      </c>
      <c r="S586" s="31">
        <v>3</v>
      </c>
      <c r="T586" s="31">
        <v>1</v>
      </c>
      <c r="U586" s="37">
        <v>1</v>
      </c>
      <c r="V586" s="31">
        <v>29</v>
      </c>
      <c r="W586" s="31">
        <v>4</v>
      </c>
      <c r="X586" s="38">
        <v>14</v>
      </c>
      <c r="Y586" s="31">
        <v>2</v>
      </c>
      <c r="Z586" s="31">
        <v>0</v>
      </c>
      <c r="AA586" s="31" t="s">
        <v>315</v>
      </c>
      <c r="AB586" s="31" t="s">
        <v>220</v>
      </c>
      <c r="AC586" s="41">
        <f>IFERROR(LOOKUP(M586,打分卡!$F$7:$J$7,打分卡!$K$7:$O$7),1)</f>
        <v>2</v>
      </c>
      <c r="AD586" s="41">
        <f>IFERROR(LOOKUP(S586,打分卡!$F$8:$J$8,打分卡!$K$8:$O$8),1)</f>
        <v>3</v>
      </c>
      <c r="AE586" s="41">
        <f>IFERROR(LOOKUP(T586,打分卡!$F$9:$I$9,打分卡!$K$9:$N$9),1)</f>
        <v>2</v>
      </c>
      <c r="AF586" s="41">
        <f>IFERROR(LOOKUP(Q586,打分卡!$F$10:$J$10,打分卡!$K$10:$O$10),1)</f>
        <v>2</v>
      </c>
      <c r="AG586" s="41">
        <f>IFERROR(LOOKUP(R586,打分卡!$F$11:$J$11,打分卡!$K$11:$O$11),1)</f>
        <v>3</v>
      </c>
      <c r="AH586" s="41">
        <f>IFERROR(LOOKUP(U586,打分卡!$F$12:$J$12,打分卡!$K$12:$O$12),1)</f>
        <v>1</v>
      </c>
      <c r="AI586" s="41">
        <f>IFERROR(LOOKUP(X586,打分卡!$F$13:$J$13,打分卡!$K$13:$O$13),1)</f>
        <v>1</v>
      </c>
      <c r="AJ586" s="41">
        <f>IFERROR(LOOKUP(Y586,打分卡!$F$14:$J$14,打分卡!$K$14:$O$14),1)</f>
        <v>3</v>
      </c>
      <c r="AK586" s="41">
        <f>IFERROR(LOOKUP(W586,打分卡!$F$15:$J$15,打分卡!$K$15:$O$15),1)</f>
        <v>3</v>
      </c>
      <c r="AL586" s="43">
        <f t="shared" si="73"/>
        <v>2</v>
      </c>
      <c r="AM586" s="41">
        <f>IFERROR(LOOKUP(Z586,打分卡!$F$17:$H$17,打分卡!$K$17:$M$17),1)</f>
        <v>1</v>
      </c>
      <c r="AN586" s="44">
        <f>(打分卡!$D$7*AC586+打分卡!$D$8*AD586+打分卡!$D$9*AE586)/5</f>
        <v>17.6</v>
      </c>
      <c r="AO586" s="44">
        <f>(打分卡!$D$10*AF586+打分卡!$D$11*AG586)/5</f>
        <v>10</v>
      </c>
      <c r="AP586" s="44">
        <f>(打分卡!$D$12*AH586+打分卡!$D$13*AI586+打分卡!$D$14*AJ586+打分卡!$D$15*AK586)/5</f>
        <v>10</v>
      </c>
      <c r="AQ586" s="44">
        <f>(打分卡!$D$16*AL586+打分卡!$D$17*AM586)/5</f>
        <v>3.2</v>
      </c>
      <c r="AR586" s="47">
        <f t="shared" si="74"/>
        <v>40.8</v>
      </c>
      <c r="AS586" s="43" t="str">
        <f t="shared" si="75"/>
        <v>腰部</v>
      </c>
      <c r="AT586" s="43" t="str">
        <f t="shared" si="76"/>
        <v/>
      </c>
      <c r="AU586" s="43" t="str">
        <f t="shared" si="77"/>
        <v>拉·主攻：主推AI外呼+大促作战包</v>
      </c>
    </row>
    <row r="587" ht="15" customHeight="1" spans="1:47">
      <c r="A587" s="20" t="s">
        <v>1787</v>
      </c>
      <c r="B587" s="22" t="s">
        <v>1788</v>
      </c>
      <c r="C587" s="22" t="s">
        <v>223</v>
      </c>
      <c r="D587" s="22" t="s">
        <v>202</v>
      </c>
      <c r="E587" s="22" t="s">
        <v>197</v>
      </c>
      <c r="F587" s="20" t="s">
        <v>974</v>
      </c>
      <c r="G587" s="22">
        <v>6</v>
      </c>
      <c r="H587" s="22" t="s">
        <v>301</v>
      </c>
      <c r="I587" s="22" t="s">
        <v>302</v>
      </c>
      <c r="J587" s="36">
        <v>17600</v>
      </c>
      <c r="K587" s="36">
        <v>11500</v>
      </c>
      <c r="L587" s="36">
        <v>6900</v>
      </c>
      <c r="M587" s="36">
        <f t="shared" si="72"/>
        <v>36000</v>
      </c>
      <c r="N587" s="34">
        <f t="shared" si="78"/>
        <v>0.000188735034884526</v>
      </c>
      <c r="O587" s="35">
        <f>SUM($M$2:M587)</f>
        <v>182666300</v>
      </c>
      <c r="P587" s="34">
        <f t="shared" si="79"/>
        <v>0.957653625075756</v>
      </c>
      <c r="Q587" s="39">
        <v>4.2</v>
      </c>
      <c r="R587" s="22">
        <v>4</v>
      </c>
      <c r="S587" s="22">
        <v>2</v>
      </c>
      <c r="T587" s="22">
        <v>0</v>
      </c>
      <c r="U587" s="39">
        <v>3.7</v>
      </c>
      <c r="V587" s="22">
        <v>6</v>
      </c>
      <c r="W587" s="22">
        <v>2</v>
      </c>
      <c r="X587" s="40">
        <v>10</v>
      </c>
      <c r="Y587" s="22">
        <v>2</v>
      </c>
      <c r="Z587" s="22">
        <v>0</v>
      </c>
      <c r="AA587" s="22" t="s">
        <v>185</v>
      </c>
      <c r="AB587" s="22" t="s">
        <v>220</v>
      </c>
      <c r="AC587" s="42">
        <f>IFERROR(LOOKUP(M587,打分卡!$F$7:$J$7,打分卡!$K$7:$O$7),1)</f>
        <v>2</v>
      </c>
      <c r="AD587" s="42">
        <f>IFERROR(LOOKUP(S587,打分卡!$F$8:$J$8,打分卡!$K$8:$O$8),1)</f>
        <v>2</v>
      </c>
      <c r="AE587" s="42">
        <f>IFERROR(LOOKUP(T587,打分卡!$F$9:$I$9,打分卡!$K$9:$N$9),1)</f>
        <v>1</v>
      </c>
      <c r="AF587" s="42">
        <f>IFERROR(LOOKUP(Q587,打分卡!$F$10:$J$10,打分卡!$K$10:$O$10),1)</f>
        <v>2</v>
      </c>
      <c r="AG587" s="42">
        <f>IFERROR(LOOKUP(R587,打分卡!$F$11:$J$11,打分卡!$K$11:$O$11),1)</f>
        <v>2</v>
      </c>
      <c r="AH587" s="42">
        <f>IFERROR(LOOKUP(U587,打分卡!$F$12:$J$12,打分卡!$K$12:$O$12),1)</f>
        <v>2</v>
      </c>
      <c r="AI587" s="42">
        <f>IFERROR(LOOKUP(X587,打分卡!$F$13:$J$13,打分卡!$K$13:$O$13),1)</f>
        <v>1</v>
      </c>
      <c r="AJ587" s="42">
        <f>IFERROR(LOOKUP(Y587,打分卡!$F$14:$J$14,打分卡!$K$14:$O$14),1)</f>
        <v>3</v>
      </c>
      <c r="AK587" s="42">
        <f>IFERROR(LOOKUP(W587,打分卡!$F$15:$J$15,打分卡!$K$15:$O$15),1)</f>
        <v>2</v>
      </c>
      <c r="AL587" s="45">
        <f t="shared" si="73"/>
        <v>3</v>
      </c>
      <c r="AM587" s="42">
        <f>IFERROR(LOOKUP(Z587,打分卡!$F$17:$H$17,打分卡!$K$17:$M$17),1)</f>
        <v>1</v>
      </c>
      <c r="AN587" s="46">
        <f>(打分卡!$D$7*AC587+打分卡!$D$8*AD587+打分卡!$D$9*AE587)/5</f>
        <v>14.6</v>
      </c>
      <c r="AO587" s="46">
        <f>(打分卡!$D$10*AF587+打分卡!$D$11*AG587)/5</f>
        <v>8</v>
      </c>
      <c r="AP587" s="46">
        <f>(打分卡!$D$12*AH587+打分卡!$D$13*AI587+打分卡!$D$14*AJ587+打分卡!$D$15*AK587)/5</f>
        <v>11.6</v>
      </c>
      <c r="AQ587" s="46">
        <f>(打分卡!$D$16*AL587+打分卡!$D$17*AM587)/5</f>
        <v>4.4</v>
      </c>
      <c r="AR587" s="48">
        <f t="shared" si="74"/>
        <v>38.6</v>
      </c>
      <c r="AS587" s="45" t="str">
        <f t="shared" si="75"/>
        <v>基础长尾</v>
      </c>
      <c r="AT587" s="45" t="str">
        <f t="shared" si="76"/>
        <v/>
      </c>
      <c r="AU587" s="45" t="str">
        <f t="shared" si="77"/>
        <v>激活：企微+Push低成本先跑</v>
      </c>
    </row>
    <row r="588" ht="15" customHeight="1" spans="1:47">
      <c r="A588" s="30" t="s">
        <v>1789</v>
      </c>
      <c r="B588" s="31" t="s">
        <v>1790</v>
      </c>
      <c r="C588" s="31" t="s">
        <v>234</v>
      </c>
      <c r="D588" s="31" t="s">
        <v>235</v>
      </c>
      <c r="E588" s="31" t="s">
        <v>181</v>
      </c>
      <c r="F588" s="30" t="s">
        <v>1791</v>
      </c>
      <c r="G588" s="31">
        <v>23</v>
      </c>
      <c r="H588" s="31" t="s">
        <v>301</v>
      </c>
      <c r="I588" s="31" t="s">
        <v>184</v>
      </c>
      <c r="J588" s="33">
        <v>20900</v>
      </c>
      <c r="K588" s="33">
        <v>10300</v>
      </c>
      <c r="L588" s="33">
        <v>4800</v>
      </c>
      <c r="M588" s="33">
        <f t="shared" si="72"/>
        <v>36000</v>
      </c>
      <c r="N588" s="34">
        <f t="shared" si="78"/>
        <v>0.000188735034884526</v>
      </c>
      <c r="O588" s="35">
        <f>SUM($M$2:M588)</f>
        <v>182702300</v>
      </c>
      <c r="P588" s="34">
        <f t="shared" si="79"/>
        <v>0.957842360110641</v>
      </c>
      <c r="Q588" s="37">
        <v>3.1</v>
      </c>
      <c r="R588" s="31">
        <v>4</v>
      </c>
      <c r="S588" s="31">
        <v>3</v>
      </c>
      <c r="T588" s="31">
        <v>2</v>
      </c>
      <c r="U588" s="37">
        <v>19.3</v>
      </c>
      <c r="V588" s="31">
        <v>25</v>
      </c>
      <c r="W588" s="31">
        <v>2</v>
      </c>
      <c r="X588" s="38">
        <v>40</v>
      </c>
      <c r="Y588" s="31">
        <v>1</v>
      </c>
      <c r="Z588" s="31">
        <v>0</v>
      </c>
      <c r="AA588" s="31" t="s">
        <v>199</v>
      </c>
      <c r="AB588" s="31" t="s">
        <v>220</v>
      </c>
      <c r="AC588" s="41">
        <f>IFERROR(LOOKUP(M588,打分卡!$F$7:$J$7,打分卡!$K$7:$O$7),1)</f>
        <v>2</v>
      </c>
      <c r="AD588" s="41">
        <f>IFERROR(LOOKUP(S588,打分卡!$F$8:$J$8,打分卡!$K$8:$O$8),1)</f>
        <v>3</v>
      </c>
      <c r="AE588" s="41">
        <f>IFERROR(LOOKUP(T588,打分卡!$F$9:$I$9,打分卡!$K$9:$N$9),1)</f>
        <v>3</v>
      </c>
      <c r="AF588" s="41">
        <f>IFERROR(LOOKUP(Q588,打分卡!$F$10:$J$10,打分卡!$K$10:$O$10),1)</f>
        <v>2</v>
      </c>
      <c r="AG588" s="41">
        <f>IFERROR(LOOKUP(R588,打分卡!$F$11:$J$11,打分卡!$K$11:$O$11),1)</f>
        <v>2</v>
      </c>
      <c r="AH588" s="41">
        <f>IFERROR(LOOKUP(U588,打分卡!$F$12:$J$12,打分卡!$K$12:$O$12),1)</f>
        <v>3</v>
      </c>
      <c r="AI588" s="41">
        <f>IFERROR(LOOKUP(X588,打分卡!$F$13:$J$13,打分卡!$K$13:$O$13),1)</f>
        <v>3</v>
      </c>
      <c r="AJ588" s="41">
        <f>IFERROR(LOOKUP(Y588,打分卡!$F$14:$J$14,打分卡!$K$14:$O$14),1)</f>
        <v>2</v>
      </c>
      <c r="AK588" s="41">
        <f>IFERROR(LOOKUP(W588,打分卡!$F$15:$J$15,打分卡!$K$15:$O$15),1)</f>
        <v>2</v>
      </c>
      <c r="AL588" s="43">
        <f t="shared" si="73"/>
        <v>5</v>
      </c>
      <c r="AM588" s="41">
        <f>IFERROR(LOOKUP(Z588,打分卡!$F$17:$H$17,打分卡!$K$17:$M$17),1)</f>
        <v>1</v>
      </c>
      <c r="AN588" s="44">
        <f>(打分卡!$D$7*AC588+打分卡!$D$8*AD588+打分卡!$D$9*AE588)/5</f>
        <v>19</v>
      </c>
      <c r="AO588" s="44">
        <f>(打分卡!$D$10*AF588+打分卡!$D$11*AG588)/5</f>
        <v>8</v>
      </c>
      <c r="AP588" s="44">
        <f>(打分卡!$D$12*AH588+打分卡!$D$13*AI588+打分卡!$D$14*AJ588+打分卡!$D$15*AK588)/5</f>
        <v>16</v>
      </c>
      <c r="AQ588" s="44">
        <f>(打分卡!$D$16*AL588+打分卡!$D$17*AM588)/5</f>
        <v>6.8</v>
      </c>
      <c r="AR588" s="47">
        <f t="shared" si="74"/>
        <v>49.8</v>
      </c>
      <c r="AS588" s="43" t="str">
        <f t="shared" si="75"/>
        <v>腰部</v>
      </c>
      <c r="AT588" s="43" t="str">
        <f t="shared" si="76"/>
        <v/>
      </c>
      <c r="AU588" s="43" t="str">
        <f t="shared" si="77"/>
        <v>拉·主攻：主推AI外呼+大促作战包</v>
      </c>
    </row>
    <row r="589" ht="15" customHeight="1" spans="1:47">
      <c r="A589" s="20" t="s">
        <v>1792</v>
      </c>
      <c r="B589" s="22" t="s">
        <v>1793</v>
      </c>
      <c r="C589" s="22" t="s">
        <v>218</v>
      </c>
      <c r="D589" s="22" t="s">
        <v>190</v>
      </c>
      <c r="E589" s="22" t="s">
        <v>197</v>
      </c>
      <c r="F589" s="20" t="s">
        <v>311</v>
      </c>
      <c r="G589" s="22">
        <v>18</v>
      </c>
      <c r="H589" s="22" t="s">
        <v>301</v>
      </c>
      <c r="I589" s="22" t="s">
        <v>302</v>
      </c>
      <c r="J589" s="36">
        <v>17900</v>
      </c>
      <c r="K589" s="36">
        <v>8300</v>
      </c>
      <c r="L589" s="36">
        <v>9700</v>
      </c>
      <c r="M589" s="36">
        <f t="shared" si="72"/>
        <v>35900</v>
      </c>
      <c r="N589" s="34">
        <f t="shared" si="78"/>
        <v>0.000188210770898735</v>
      </c>
      <c r="O589" s="35">
        <f>SUM($M$2:M589)</f>
        <v>182738200</v>
      </c>
      <c r="P589" s="34">
        <f t="shared" si="79"/>
        <v>0.958030570881539</v>
      </c>
      <c r="Q589" s="39">
        <v>3.8</v>
      </c>
      <c r="R589" s="22">
        <v>3</v>
      </c>
      <c r="S589" s="22">
        <v>1</v>
      </c>
      <c r="T589" s="22">
        <v>0</v>
      </c>
      <c r="U589" s="39">
        <v>28.6</v>
      </c>
      <c r="V589" s="22">
        <v>11</v>
      </c>
      <c r="W589" s="22">
        <v>4</v>
      </c>
      <c r="X589" s="40">
        <v>68</v>
      </c>
      <c r="Y589" s="22">
        <v>0</v>
      </c>
      <c r="Z589" s="22">
        <v>1</v>
      </c>
      <c r="AA589" s="22" t="s">
        <v>185</v>
      </c>
      <c r="AB589" s="22" t="s">
        <v>220</v>
      </c>
      <c r="AC589" s="42">
        <f>IFERROR(LOOKUP(M589,打分卡!$F$7:$J$7,打分卡!$K$7:$O$7),1)</f>
        <v>2</v>
      </c>
      <c r="AD589" s="42">
        <f>IFERROR(LOOKUP(S589,打分卡!$F$8:$J$8,打分卡!$K$8:$O$8),1)</f>
        <v>1</v>
      </c>
      <c r="AE589" s="42">
        <f>IFERROR(LOOKUP(T589,打分卡!$F$9:$I$9,打分卡!$K$9:$N$9),1)</f>
        <v>1</v>
      </c>
      <c r="AF589" s="42">
        <f>IFERROR(LOOKUP(Q589,打分卡!$F$10:$J$10,打分卡!$K$10:$O$10),1)</f>
        <v>2</v>
      </c>
      <c r="AG589" s="42">
        <f>IFERROR(LOOKUP(R589,打分卡!$F$11:$J$11,打分卡!$K$11:$O$11),1)</f>
        <v>2</v>
      </c>
      <c r="AH589" s="42">
        <f>IFERROR(LOOKUP(U589,打分卡!$F$12:$J$12,打分卡!$K$12:$O$12),1)</f>
        <v>3</v>
      </c>
      <c r="AI589" s="42">
        <f>IFERROR(LOOKUP(X589,打分卡!$F$13:$J$13,打分卡!$K$13:$O$13),1)</f>
        <v>3</v>
      </c>
      <c r="AJ589" s="42">
        <f>IFERROR(LOOKUP(Y589,打分卡!$F$14:$J$14,打分卡!$K$14:$O$14),1)</f>
        <v>1</v>
      </c>
      <c r="AK589" s="42">
        <f>IFERROR(LOOKUP(W589,打分卡!$F$15:$J$15,打分卡!$K$15:$O$15),1)</f>
        <v>3</v>
      </c>
      <c r="AL589" s="45">
        <f t="shared" si="73"/>
        <v>3</v>
      </c>
      <c r="AM589" s="42">
        <f>IFERROR(LOOKUP(Z589,打分卡!$F$17:$H$17,打分卡!$K$17:$M$17),1)</f>
        <v>3</v>
      </c>
      <c r="AN589" s="46">
        <f>(打分卡!$D$7*AC589+打分卡!$D$8*AD589+打分卡!$D$9*AE589)/5</f>
        <v>13</v>
      </c>
      <c r="AO589" s="46">
        <f>(打分卡!$D$10*AF589+打分卡!$D$11*AG589)/5</f>
        <v>8</v>
      </c>
      <c r="AP589" s="46">
        <f>(打分卡!$D$12*AH589+打分卡!$D$13*AI589+打分卡!$D$14*AJ589+打分卡!$D$15*AK589)/5</f>
        <v>15.6</v>
      </c>
      <c r="AQ589" s="46">
        <f>(打分卡!$D$16*AL589+打分卡!$D$17*AM589)/5</f>
        <v>6</v>
      </c>
      <c r="AR589" s="48">
        <f t="shared" si="74"/>
        <v>42.6</v>
      </c>
      <c r="AS589" s="45" t="str">
        <f t="shared" si="75"/>
        <v>腰部</v>
      </c>
      <c r="AT589" s="45" t="str">
        <f t="shared" si="76"/>
        <v/>
      </c>
      <c r="AU589" s="45" t="str">
        <f t="shared" si="77"/>
        <v>拉·主攻：主推AI外呼+大促作战包</v>
      </c>
    </row>
    <row r="590" ht="15" customHeight="1" spans="1:47">
      <c r="A590" s="30" t="s">
        <v>1794</v>
      </c>
      <c r="B590" s="31" t="s">
        <v>1795</v>
      </c>
      <c r="C590" s="31" t="s">
        <v>179</v>
      </c>
      <c r="D590" s="31" t="s">
        <v>190</v>
      </c>
      <c r="E590" s="31" t="s">
        <v>181</v>
      </c>
      <c r="F590" s="30" t="s">
        <v>265</v>
      </c>
      <c r="G590" s="31">
        <v>20</v>
      </c>
      <c r="H590" s="31" t="s">
        <v>301</v>
      </c>
      <c r="I590" s="31" t="s">
        <v>184</v>
      </c>
      <c r="J590" s="33">
        <v>18800</v>
      </c>
      <c r="K590" s="33">
        <v>8600</v>
      </c>
      <c r="L590" s="33">
        <v>8400</v>
      </c>
      <c r="M590" s="33">
        <f t="shared" si="72"/>
        <v>35800</v>
      </c>
      <c r="N590" s="34">
        <f t="shared" si="78"/>
        <v>0.000187686506912945</v>
      </c>
      <c r="O590" s="35">
        <f>SUM($M$2:M590)</f>
        <v>182774000</v>
      </c>
      <c r="P590" s="34">
        <f t="shared" si="79"/>
        <v>0.958218257388452</v>
      </c>
      <c r="Q590" s="37">
        <v>3.8</v>
      </c>
      <c r="R590" s="31">
        <v>6</v>
      </c>
      <c r="S590" s="31">
        <v>1</v>
      </c>
      <c r="T590" s="31">
        <v>2</v>
      </c>
      <c r="U590" s="37">
        <v>4.5</v>
      </c>
      <c r="V590" s="31">
        <v>21</v>
      </c>
      <c r="W590" s="31">
        <v>1</v>
      </c>
      <c r="X590" s="38">
        <v>24</v>
      </c>
      <c r="Y590" s="31">
        <v>3</v>
      </c>
      <c r="Z590" s="31">
        <v>0</v>
      </c>
      <c r="AA590" s="31" t="s">
        <v>199</v>
      </c>
      <c r="AB590" s="31" t="s">
        <v>220</v>
      </c>
      <c r="AC590" s="41">
        <f>IFERROR(LOOKUP(M590,打分卡!$F$7:$J$7,打分卡!$K$7:$O$7),1)</f>
        <v>2</v>
      </c>
      <c r="AD590" s="41">
        <f>IFERROR(LOOKUP(S590,打分卡!$F$8:$J$8,打分卡!$K$8:$O$8),1)</f>
        <v>1</v>
      </c>
      <c r="AE590" s="41">
        <f>IFERROR(LOOKUP(T590,打分卡!$F$9:$I$9,打分卡!$K$9:$N$9),1)</f>
        <v>3</v>
      </c>
      <c r="AF590" s="41">
        <f>IFERROR(LOOKUP(Q590,打分卡!$F$10:$J$10,打分卡!$K$10:$O$10),1)</f>
        <v>2</v>
      </c>
      <c r="AG590" s="41">
        <f>IFERROR(LOOKUP(R590,打分卡!$F$11:$J$11,打分卡!$K$11:$O$11),1)</f>
        <v>3</v>
      </c>
      <c r="AH590" s="41">
        <f>IFERROR(LOOKUP(U590,打分卡!$F$12:$J$12,打分卡!$K$12:$O$12),1)</f>
        <v>2</v>
      </c>
      <c r="AI590" s="41">
        <f>IFERROR(LOOKUP(X590,打分卡!$F$13:$J$13,打分卡!$K$13:$O$13),1)</f>
        <v>2</v>
      </c>
      <c r="AJ590" s="41">
        <f>IFERROR(LOOKUP(Y590,打分卡!$F$14:$J$14,打分卡!$K$14:$O$14),1)</f>
        <v>4</v>
      </c>
      <c r="AK590" s="41">
        <f>IFERROR(LOOKUP(W590,打分卡!$F$15:$J$15,打分卡!$K$15:$O$15),1)</f>
        <v>2</v>
      </c>
      <c r="AL590" s="43">
        <f t="shared" si="73"/>
        <v>5</v>
      </c>
      <c r="AM590" s="41">
        <f>IFERROR(LOOKUP(Z590,打分卡!$F$17:$H$17,打分卡!$K$17:$M$17),1)</f>
        <v>1</v>
      </c>
      <c r="AN590" s="44">
        <f>(打分卡!$D$7*AC590+打分卡!$D$8*AD590+打分卡!$D$9*AE590)/5</f>
        <v>15.8</v>
      </c>
      <c r="AO590" s="44">
        <f>(打分卡!$D$10*AF590+打分卡!$D$11*AG590)/5</f>
        <v>10</v>
      </c>
      <c r="AP590" s="44">
        <f>(打分卡!$D$12*AH590+打分卡!$D$13*AI590+打分卡!$D$14*AJ590+打分卡!$D$15*AK590)/5</f>
        <v>14.4</v>
      </c>
      <c r="AQ590" s="44">
        <f>(打分卡!$D$16*AL590+打分卡!$D$17*AM590)/5</f>
        <v>6.8</v>
      </c>
      <c r="AR590" s="47">
        <f t="shared" si="74"/>
        <v>47</v>
      </c>
      <c r="AS590" s="43" t="str">
        <f t="shared" si="75"/>
        <v>腰部</v>
      </c>
      <c r="AT590" s="43" t="str">
        <f t="shared" si="76"/>
        <v/>
      </c>
      <c r="AU590" s="43" t="str">
        <f t="shared" si="77"/>
        <v>拉·主攻：主推AI外呼+大促作战包</v>
      </c>
    </row>
    <row r="591" ht="15" customHeight="1" spans="1:47">
      <c r="A591" s="20" t="s">
        <v>1796</v>
      </c>
      <c r="B591" s="22" t="s">
        <v>1797</v>
      </c>
      <c r="C591" s="22" t="s">
        <v>179</v>
      </c>
      <c r="D591" s="22" t="s">
        <v>202</v>
      </c>
      <c r="E591" s="22" t="s">
        <v>181</v>
      </c>
      <c r="F591" s="20" t="s">
        <v>1312</v>
      </c>
      <c r="G591" s="22">
        <v>12</v>
      </c>
      <c r="H591" s="22" t="s">
        <v>301</v>
      </c>
      <c r="I591" s="22" t="s">
        <v>302</v>
      </c>
      <c r="J591" s="36">
        <v>18600</v>
      </c>
      <c r="K591" s="36">
        <v>11600</v>
      </c>
      <c r="L591" s="36">
        <v>5600</v>
      </c>
      <c r="M591" s="36">
        <f t="shared" si="72"/>
        <v>35800</v>
      </c>
      <c r="N591" s="34">
        <f t="shared" si="78"/>
        <v>0.000187686506912945</v>
      </c>
      <c r="O591" s="35">
        <f>SUM($M$2:M591)</f>
        <v>182809800</v>
      </c>
      <c r="P591" s="34">
        <f t="shared" si="79"/>
        <v>0.958405943895365</v>
      </c>
      <c r="Q591" s="39">
        <v>2.7</v>
      </c>
      <c r="R591" s="22">
        <v>8</v>
      </c>
      <c r="S591" s="22">
        <v>3</v>
      </c>
      <c r="T591" s="22">
        <v>2</v>
      </c>
      <c r="U591" s="39">
        <v>3.3</v>
      </c>
      <c r="V591" s="22">
        <v>5</v>
      </c>
      <c r="W591" s="22">
        <v>3</v>
      </c>
      <c r="X591" s="40">
        <v>30</v>
      </c>
      <c r="Y591" s="22">
        <v>3</v>
      </c>
      <c r="Z591" s="22">
        <v>1</v>
      </c>
      <c r="AA591" s="22" t="s">
        <v>185</v>
      </c>
      <c r="AB591" s="22" t="s">
        <v>220</v>
      </c>
      <c r="AC591" s="42">
        <f>IFERROR(LOOKUP(M591,打分卡!$F$7:$J$7,打分卡!$K$7:$O$7),1)</f>
        <v>2</v>
      </c>
      <c r="AD591" s="42">
        <f>IFERROR(LOOKUP(S591,打分卡!$F$8:$J$8,打分卡!$K$8:$O$8),1)</f>
        <v>3</v>
      </c>
      <c r="AE591" s="42">
        <f>IFERROR(LOOKUP(T591,打分卡!$F$9:$I$9,打分卡!$K$9:$N$9),1)</f>
        <v>3</v>
      </c>
      <c r="AF591" s="42">
        <f>IFERROR(LOOKUP(Q591,打分卡!$F$10:$J$10,打分卡!$K$10:$O$10),1)</f>
        <v>2</v>
      </c>
      <c r="AG591" s="42">
        <f>IFERROR(LOOKUP(R591,打分卡!$F$11:$J$11,打分卡!$K$11:$O$11),1)</f>
        <v>3</v>
      </c>
      <c r="AH591" s="42">
        <f>IFERROR(LOOKUP(U591,打分卡!$F$12:$J$12,打分卡!$K$12:$O$12),1)</f>
        <v>2</v>
      </c>
      <c r="AI591" s="42">
        <f>IFERROR(LOOKUP(X591,打分卡!$F$13:$J$13,打分卡!$K$13:$O$13),1)</f>
        <v>2</v>
      </c>
      <c r="AJ591" s="42">
        <f>IFERROR(LOOKUP(Y591,打分卡!$F$14:$J$14,打分卡!$K$14:$O$14),1)</f>
        <v>4</v>
      </c>
      <c r="AK591" s="42">
        <f>IFERROR(LOOKUP(W591,打分卡!$F$15:$J$15,打分卡!$K$15:$O$15),1)</f>
        <v>3</v>
      </c>
      <c r="AL591" s="45">
        <f t="shared" si="73"/>
        <v>3</v>
      </c>
      <c r="AM591" s="42">
        <f>IFERROR(LOOKUP(Z591,打分卡!$F$17:$H$17,打分卡!$K$17:$M$17),1)</f>
        <v>3</v>
      </c>
      <c r="AN591" s="46">
        <f>(打分卡!$D$7*AC591+打分卡!$D$8*AD591+打分卡!$D$9*AE591)/5</f>
        <v>19</v>
      </c>
      <c r="AO591" s="46">
        <f>(打分卡!$D$10*AF591+打分卡!$D$11*AG591)/5</f>
        <v>10</v>
      </c>
      <c r="AP591" s="46">
        <f>(打分卡!$D$12*AH591+打分卡!$D$13*AI591+打分卡!$D$14*AJ591+打分卡!$D$15*AK591)/5</f>
        <v>15.2</v>
      </c>
      <c r="AQ591" s="46">
        <f>(打分卡!$D$16*AL591+打分卡!$D$17*AM591)/5</f>
        <v>6</v>
      </c>
      <c r="AR591" s="48">
        <f t="shared" si="74"/>
        <v>50.2</v>
      </c>
      <c r="AS591" s="45" t="str">
        <f t="shared" si="75"/>
        <v>腰部</v>
      </c>
      <c r="AT591" s="45" t="str">
        <f t="shared" si="76"/>
        <v/>
      </c>
      <c r="AU591" s="45" t="str">
        <f t="shared" si="77"/>
        <v>拉·主攻：主推AI外呼+大促作战包</v>
      </c>
    </row>
    <row r="592" ht="15" customHeight="1" spans="1:47">
      <c r="A592" s="30" t="s">
        <v>1798</v>
      </c>
      <c r="B592" s="31" t="s">
        <v>1799</v>
      </c>
      <c r="C592" s="31" t="s">
        <v>189</v>
      </c>
      <c r="D592" s="31" t="s">
        <v>202</v>
      </c>
      <c r="E592" s="31" t="s">
        <v>181</v>
      </c>
      <c r="F592" s="30" t="s">
        <v>1406</v>
      </c>
      <c r="G592" s="31">
        <v>7</v>
      </c>
      <c r="H592" s="31" t="s">
        <v>183</v>
      </c>
      <c r="I592" s="31" t="s">
        <v>184</v>
      </c>
      <c r="J592" s="33">
        <v>20100</v>
      </c>
      <c r="K592" s="33">
        <v>9000</v>
      </c>
      <c r="L592" s="33">
        <v>6100</v>
      </c>
      <c r="M592" s="33">
        <f t="shared" si="72"/>
        <v>35200</v>
      </c>
      <c r="N592" s="34">
        <f t="shared" si="78"/>
        <v>0.000184540922998203</v>
      </c>
      <c r="O592" s="35">
        <f>SUM($M$2:M592)</f>
        <v>182845000</v>
      </c>
      <c r="P592" s="34">
        <f t="shared" si="79"/>
        <v>0.958590484818364</v>
      </c>
      <c r="Q592" s="37">
        <v>2.5</v>
      </c>
      <c r="R592" s="31">
        <v>5</v>
      </c>
      <c r="S592" s="31">
        <v>2</v>
      </c>
      <c r="T592" s="31">
        <v>0</v>
      </c>
      <c r="U592" s="37">
        <v>13.8</v>
      </c>
      <c r="V592" s="31">
        <v>24</v>
      </c>
      <c r="W592" s="31">
        <v>3</v>
      </c>
      <c r="X592" s="38">
        <v>79</v>
      </c>
      <c r="Y592" s="31">
        <v>0</v>
      </c>
      <c r="Z592" s="31">
        <v>0</v>
      </c>
      <c r="AA592" s="31" t="s">
        <v>185</v>
      </c>
      <c r="AB592" s="31" t="s">
        <v>220</v>
      </c>
      <c r="AC592" s="41">
        <f>IFERROR(LOOKUP(M592,打分卡!$F$7:$J$7,打分卡!$K$7:$O$7),1)</f>
        <v>2</v>
      </c>
      <c r="AD592" s="41">
        <f>IFERROR(LOOKUP(S592,打分卡!$F$8:$J$8,打分卡!$K$8:$O$8),1)</f>
        <v>2</v>
      </c>
      <c r="AE592" s="41">
        <f>IFERROR(LOOKUP(T592,打分卡!$F$9:$I$9,打分卡!$K$9:$N$9),1)</f>
        <v>1</v>
      </c>
      <c r="AF592" s="41">
        <f>IFERROR(LOOKUP(Q592,打分卡!$F$10:$J$10,打分卡!$K$10:$O$10),1)</f>
        <v>2</v>
      </c>
      <c r="AG592" s="41">
        <f>IFERROR(LOOKUP(R592,打分卡!$F$11:$J$11,打分卡!$K$11:$O$11),1)</f>
        <v>3</v>
      </c>
      <c r="AH592" s="41">
        <f>IFERROR(LOOKUP(U592,打分卡!$F$12:$J$12,打分卡!$K$12:$O$12),1)</f>
        <v>3</v>
      </c>
      <c r="AI592" s="41">
        <f>IFERROR(LOOKUP(X592,打分卡!$F$13:$J$13,打分卡!$K$13:$O$13),1)</f>
        <v>3</v>
      </c>
      <c r="AJ592" s="41">
        <f>IFERROR(LOOKUP(Y592,打分卡!$F$14:$J$14,打分卡!$K$14:$O$14),1)</f>
        <v>1</v>
      </c>
      <c r="AK592" s="41">
        <f>IFERROR(LOOKUP(W592,打分卡!$F$15:$J$15,打分卡!$K$15:$O$15),1)</f>
        <v>3</v>
      </c>
      <c r="AL592" s="43">
        <f t="shared" si="73"/>
        <v>3</v>
      </c>
      <c r="AM592" s="41">
        <f>IFERROR(LOOKUP(Z592,打分卡!$F$17:$H$17,打分卡!$K$17:$M$17),1)</f>
        <v>1</v>
      </c>
      <c r="AN592" s="44">
        <f>(打分卡!$D$7*AC592+打分卡!$D$8*AD592+打分卡!$D$9*AE592)/5</f>
        <v>14.6</v>
      </c>
      <c r="AO592" s="44">
        <f>(打分卡!$D$10*AF592+打分卡!$D$11*AG592)/5</f>
        <v>10</v>
      </c>
      <c r="AP592" s="44">
        <f>(打分卡!$D$12*AH592+打分卡!$D$13*AI592+打分卡!$D$14*AJ592+打分卡!$D$15*AK592)/5</f>
        <v>15.6</v>
      </c>
      <c r="AQ592" s="44">
        <f>(打分卡!$D$16*AL592+打分卡!$D$17*AM592)/5</f>
        <v>4.4</v>
      </c>
      <c r="AR592" s="47">
        <f t="shared" si="74"/>
        <v>44.6</v>
      </c>
      <c r="AS592" s="43" t="str">
        <f t="shared" si="75"/>
        <v>腰部</v>
      </c>
      <c r="AT592" s="43" t="str">
        <f t="shared" si="76"/>
        <v/>
      </c>
      <c r="AU592" s="43" t="str">
        <f t="shared" si="77"/>
        <v>拉·主攻：主推AI外呼+大促作战包</v>
      </c>
    </row>
    <row r="593" ht="15" customHeight="1" spans="1:47">
      <c r="A593" s="20" t="s">
        <v>1800</v>
      </c>
      <c r="B593" s="22" t="s">
        <v>1801</v>
      </c>
      <c r="C593" s="22" t="s">
        <v>179</v>
      </c>
      <c r="D593" s="22" t="s">
        <v>202</v>
      </c>
      <c r="E593" s="22" t="s">
        <v>181</v>
      </c>
      <c r="F593" s="20" t="s">
        <v>1482</v>
      </c>
      <c r="G593" s="22">
        <v>19</v>
      </c>
      <c r="H593" s="22" t="s">
        <v>301</v>
      </c>
      <c r="I593" s="22" t="s">
        <v>302</v>
      </c>
      <c r="J593" s="36">
        <v>21200</v>
      </c>
      <c r="K593" s="36">
        <v>10800</v>
      </c>
      <c r="L593" s="36">
        <v>3100</v>
      </c>
      <c r="M593" s="36">
        <f t="shared" si="72"/>
        <v>35100</v>
      </c>
      <c r="N593" s="34">
        <f t="shared" si="78"/>
        <v>0.000184016659012412</v>
      </c>
      <c r="O593" s="35">
        <f>SUM($M$2:M593)</f>
        <v>182880100</v>
      </c>
      <c r="P593" s="34">
        <f t="shared" si="79"/>
        <v>0.958774501477376</v>
      </c>
      <c r="Q593" s="39">
        <v>5.4</v>
      </c>
      <c r="R593" s="22">
        <v>1</v>
      </c>
      <c r="S593" s="22">
        <v>1</v>
      </c>
      <c r="T593" s="22">
        <v>1</v>
      </c>
      <c r="U593" s="39">
        <v>6.1</v>
      </c>
      <c r="V593" s="22">
        <v>3</v>
      </c>
      <c r="W593" s="22">
        <v>3</v>
      </c>
      <c r="X593" s="40">
        <v>31</v>
      </c>
      <c r="Y593" s="22">
        <v>0</v>
      </c>
      <c r="Z593" s="22">
        <v>0</v>
      </c>
      <c r="AA593" s="22" t="s">
        <v>185</v>
      </c>
      <c r="AB593" s="22" t="s">
        <v>220</v>
      </c>
      <c r="AC593" s="42">
        <f>IFERROR(LOOKUP(M593,打分卡!$F$7:$J$7,打分卡!$K$7:$O$7),1)</f>
        <v>2</v>
      </c>
      <c r="AD593" s="42">
        <f>IFERROR(LOOKUP(S593,打分卡!$F$8:$J$8,打分卡!$K$8:$O$8),1)</f>
        <v>1</v>
      </c>
      <c r="AE593" s="42">
        <f>IFERROR(LOOKUP(T593,打分卡!$F$9:$I$9,打分卡!$K$9:$N$9),1)</f>
        <v>2</v>
      </c>
      <c r="AF593" s="42">
        <f>IFERROR(LOOKUP(Q593,打分卡!$F$10:$J$10,打分卡!$K$10:$O$10),1)</f>
        <v>2</v>
      </c>
      <c r="AG593" s="42">
        <f>IFERROR(LOOKUP(R593,打分卡!$F$11:$J$11,打分卡!$K$11:$O$11),1)</f>
        <v>1</v>
      </c>
      <c r="AH593" s="42">
        <f>IFERROR(LOOKUP(U593,打分卡!$F$12:$J$12,打分卡!$K$12:$O$12),1)</f>
        <v>2</v>
      </c>
      <c r="AI593" s="42">
        <f>IFERROR(LOOKUP(X593,打分卡!$F$13:$J$13,打分卡!$K$13:$O$13),1)</f>
        <v>2</v>
      </c>
      <c r="AJ593" s="42">
        <f>IFERROR(LOOKUP(Y593,打分卡!$F$14:$J$14,打分卡!$K$14:$O$14),1)</f>
        <v>1</v>
      </c>
      <c r="AK593" s="42">
        <f>IFERROR(LOOKUP(W593,打分卡!$F$15:$J$15,打分卡!$K$15:$O$15),1)</f>
        <v>3</v>
      </c>
      <c r="AL593" s="45">
        <f t="shared" si="73"/>
        <v>3</v>
      </c>
      <c r="AM593" s="42">
        <f>IFERROR(LOOKUP(Z593,打分卡!$F$17:$H$17,打分卡!$K$17:$M$17),1)</f>
        <v>1</v>
      </c>
      <c r="AN593" s="46">
        <f>(打分卡!$D$7*AC593+打分卡!$D$8*AD593+打分卡!$D$9*AE593)/5</f>
        <v>14.4</v>
      </c>
      <c r="AO593" s="46">
        <f>(打分卡!$D$10*AF593+打分卡!$D$11*AG593)/5</f>
        <v>6</v>
      </c>
      <c r="AP593" s="46">
        <f>(打分卡!$D$12*AH593+打分卡!$D$13*AI593+打分卡!$D$14*AJ593+打分卡!$D$15*AK593)/5</f>
        <v>11.6</v>
      </c>
      <c r="AQ593" s="46">
        <f>(打分卡!$D$16*AL593+打分卡!$D$17*AM593)/5</f>
        <v>4.4</v>
      </c>
      <c r="AR593" s="48">
        <f t="shared" si="74"/>
        <v>36.4</v>
      </c>
      <c r="AS593" s="45" t="str">
        <f t="shared" si="75"/>
        <v>基础长尾</v>
      </c>
      <c r="AT593" s="45" t="str">
        <f t="shared" si="76"/>
        <v/>
      </c>
      <c r="AU593" s="45" t="str">
        <f t="shared" si="77"/>
        <v>激活：企微+Push低成本先跑</v>
      </c>
    </row>
    <row r="594" ht="15" customHeight="1" spans="1:47">
      <c r="A594" s="30" t="s">
        <v>1802</v>
      </c>
      <c r="B594" s="31" t="s">
        <v>1803</v>
      </c>
      <c r="C594" s="31" t="s">
        <v>189</v>
      </c>
      <c r="D594" s="31" t="s">
        <v>202</v>
      </c>
      <c r="E594" s="31" t="s">
        <v>197</v>
      </c>
      <c r="F594" s="30" t="s">
        <v>1804</v>
      </c>
      <c r="G594" s="31">
        <v>17</v>
      </c>
      <c r="H594" s="31" t="s">
        <v>301</v>
      </c>
      <c r="I594" s="31" t="s">
        <v>184</v>
      </c>
      <c r="J594" s="33">
        <v>17900</v>
      </c>
      <c r="K594" s="33">
        <v>8700</v>
      </c>
      <c r="L594" s="33">
        <v>8600</v>
      </c>
      <c r="M594" s="33">
        <f t="shared" si="72"/>
        <v>35200</v>
      </c>
      <c r="N594" s="34">
        <f t="shared" si="78"/>
        <v>0.000184540922998203</v>
      </c>
      <c r="O594" s="35">
        <f>SUM($M$2:M594)</f>
        <v>182915300</v>
      </c>
      <c r="P594" s="34">
        <f t="shared" si="79"/>
        <v>0.958959042400374</v>
      </c>
      <c r="Q594" s="37">
        <v>2.5</v>
      </c>
      <c r="R594" s="31">
        <v>3</v>
      </c>
      <c r="S594" s="31">
        <v>3</v>
      </c>
      <c r="T594" s="31">
        <v>1</v>
      </c>
      <c r="U594" s="37">
        <v>1.1</v>
      </c>
      <c r="V594" s="31">
        <v>18</v>
      </c>
      <c r="W594" s="31">
        <v>1</v>
      </c>
      <c r="X594" s="38">
        <v>39</v>
      </c>
      <c r="Y594" s="31">
        <v>0</v>
      </c>
      <c r="Z594" s="31">
        <v>1</v>
      </c>
      <c r="AA594" s="31" t="s">
        <v>315</v>
      </c>
      <c r="AB594" s="31" t="s">
        <v>220</v>
      </c>
      <c r="AC594" s="41">
        <f>IFERROR(LOOKUP(M594,打分卡!$F$7:$J$7,打分卡!$K$7:$O$7),1)</f>
        <v>2</v>
      </c>
      <c r="AD594" s="41">
        <f>IFERROR(LOOKUP(S594,打分卡!$F$8:$J$8,打分卡!$K$8:$O$8),1)</f>
        <v>3</v>
      </c>
      <c r="AE594" s="41">
        <f>IFERROR(LOOKUP(T594,打分卡!$F$9:$I$9,打分卡!$K$9:$N$9),1)</f>
        <v>2</v>
      </c>
      <c r="AF594" s="41">
        <f>IFERROR(LOOKUP(Q594,打分卡!$F$10:$J$10,打分卡!$K$10:$O$10),1)</f>
        <v>2</v>
      </c>
      <c r="AG594" s="41">
        <f>IFERROR(LOOKUP(R594,打分卡!$F$11:$J$11,打分卡!$K$11:$O$11),1)</f>
        <v>2</v>
      </c>
      <c r="AH594" s="41">
        <f>IFERROR(LOOKUP(U594,打分卡!$F$12:$J$12,打分卡!$K$12:$O$12),1)</f>
        <v>1</v>
      </c>
      <c r="AI594" s="41">
        <f>IFERROR(LOOKUP(X594,打分卡!$F$13:$J$13,打分卡!$K$13:$O$13),1)</f>
        <v>3</v>
      </c>
      <c r="AJ594" s="41">
        <f>IFERROR(LOOKUP(Y594,打分卡!$F$14:$J$14,打分卡!$K$14:$O$14),1)</f>
        <v>1</v>
      </c>
      <c r="AK594" s="41">
        <f>IFERROR(LOOKUP(W594,打分卡!$F$15:$J$15,打分卡!$K$15:$O$15),1)</f>
        <v>2</v>
      </c>
      <c r="AL594" s="43">
        <f t="shared" si="73"/>
        <v>2</v>
      </c>
      <c r="AM594" s="41">
        <f>IFERROR(LOOKUP(Z594,打分卡!$F$17:$H$17,打分卡!$K$17:$M$17),1)</f>
        <v>3</v>
      </c>
      <c r="AN594" s="44">
        <f>(打分卡!$D$7*AC594+打分卡!$D$8*AD594+打分卡!$D$9*AE594)/5</f>
        <v>17.6</v>
      </c>
      <c r="AO594" s="44">
        <f>(打分卡!$D$10*AF594+打分卡!$D$11*AG594)/5</f>
        <v>8</v>
      </c>
      <c r="AP594" s="44">
        <f>(打分卡!$D$12*AH594+打分卡!$D$13*AI594+打分卡!$D$14*AJ594+打分卡!$D$15*AK594)/5</f>
        <v>10</v>
      </c>
      <c r="AQ594" s="44">
        <f>(打分卡!$D$16*AL594+打分卡!$D$17*AM594)/5</f>
        <v>4.8</v>
      </c>
      <c r="AR594" s="47">
        <f t="shared" si="74"/>
        <v>40.4</v>
      </c>
      <c r="AS594" s="43" t="str">
        <f t="shared" si="75"/>
        <v>腰部</v>
      </c>
      <c r="AT594" s="43" t="str">
        <f t="shared" si="76"/>
        <v/>
      </c>
      <c r="AU594" s="43" t="str">
        <f t="shared" si="77"/>
        <v>拉·主攻：主推AI外呼+大促作战包</v>
      </c>
    </row>
    <row r="595" ht="15" customHeight="1" spans="1:47">
      <c r="A595" s="20" t="s">
        <v>1805</v>
      </c>
      <c r="B595" s="22" t="s">
        <v>1806</v>
      </c>
      <c r="C595" s="22" t="s">
        <v>218</v>
      </c>
      <c r="D595" s="22" t="s">
        <v>227</v>
      </c>
      <c r="E595" s="22" t="s">
        <v>181</v>
      </c>
      <c r="F595" s="20" t="s">
        <v>1807</v>
      </c>
      <c r="G595" s="22">
        <v>23</v>
      </c>
      <c r="H595" s="22" t="s">
        <v>301</v>
      </c>
      <c r="I595" s="22" t="s">
        <v>184</v>
      </c>
      <c r="J595" s="36">
        <v>18800</v>
      </c>
      <c r="K595" s="36">
        <v>11600</v>
      </c>
      <c r="L595" s="36">
        <v>4500</v>
      </c>
      <c r="M595" s="36">
        <f t="shared" si="72"/>
        <v>34900</v>
      </c>
      <c r="N595" s="34">
        <f t="shared" si="78"/>
        <v>0.000182968131040832</v>
      </c>
      <c r="O595" s="35">
        <f>SUM($M$2:M595)</f>
        <v>182950200</v>
      </c>
      <c r="P595" s="34">
        <f t="shared" si="79"/>
        <v>0.959142010531415</v>
      </c>
      <c r="Q595" s="39">
        <v>4.7</v>
      </c>
      <c r="R595" s="22">
        <v>6</v>
      </c>
      <c r="S595" s="22">
        <v>1</v>
      </c>
      <c r="T595" s="22">
        <v>2</v>
      </c>
      <c r="U595" s="39">
        <v>1.6</v>
      </c>
      <c r="V595" s="22">
        <v>30</v>
      </c>
      <c r="W595" s="22">
        <v>1</v>
      </c>
      <c r="X595" s="40">
        <v>37</v>
      </c>
      <c r="Y595" s="22">
        <v>2</v>
      </c>
      <c r="Z595" s="22">
        <v>1</v>
      </c>
      <c r="AA595" s="22" t="s">
        <v>315</v>
      </c>
      <c r="AB595" s="22" t="s">
        <v>220</v>
      </c>
      <c r="AC595" s="42">
        <f>IFERROR(LOOKUP(M595,打分卡!$F$7:$J$7,打分卡!$K$7:$O$7),1)</f>
        <v>2</v>
      </c>
      <c r="AD595" s="42">
        <f>IFERROR(LOOKUP(S595,打分卡!$F$8:$J$8,打分卡!$K$8:$O$8),1)</f>
        <v>1</v>
      </c>
      <c r="AE595" s="42">
        <f>IFERROR(LOOKUP(T595,打分卡!$F$9:$I$9,打分卡!$K$9:$N$9),1)</f>
        <v>3</v>
      </c>
      <c r="AF595" s="42">
        <f>IFERROR(LOOKUP(Q595,打分卡!$F$10:$J$10,打分卡!$K$10:$O$10),1)</f>
        <v>2</v>
      </c>
      <c r="AG595" s="42">
        <f>IFERROR(LOOKUP(R595,打分卡!$F$11:$J$11,打分卡!$K$11:$O$11),1)</f>
        <v>3</v>
      </c>
      <c r="AH595" s="42">
        <f>IFERROR(LOOKUP(U595,打分卡!$F$12:$J$12,打分卡!$K$12:$O$12),1)</f>
        <v>1</v>
      </c>
      <c r="AI595" s="42">
        <f>IFERROR(LOOKUP(X595,打分卡!$F$13:$J$13,打分卡!$K$13:$O$13),1)</f>
        <v>2</v>
      </c>
      <c r="AJ595" s="42">
        <f>IFERROR(LOOKUP(Y595,打分卡!$F$14:$J$14,打分卡!$K$14:$O$14),1)</f>
        <v>3</v>
      </c>
      <c r="AK595" s="42">
        <f>IFERROR(LOOKUP(W595,打分卡!$F$15:$J$15,打分卡!$K$15:$O$15),1)</f>
        <v>2</v>
      </c>
      <c r="AL595" s="45">
        <f t="shared" si="73"/>
        <v>2</v>
      </c>
      <c r="AM595" s="42">
        <f>IFERROR(LOOKUP(Z595,打分卡!$F$17:$H$17,打分卡!$K$17:$M$17),1)</f>
        <v>3</v>
      </c>
      <c r="AN595" s="46">
        <f>(打分卡!$D$7*AC595+打分卡!$D$8*AD595+打分卡!$D$9*AE595)/5</f>
        <v>15.8</v>
      </c>
      <c r="AO595" s="46">
        <f>(打分卡!$D$10*AF595+打分卡!$D$11*AG595)/5</f>
        <v>10</v>
      </c>
      <c r="AP595" s="46">
        <f>(打分卡!$D$12*AH595+打分卡!$D$13*AI595+打分卡!$D$14*AJ595+打分卡!$D$15*AK595)/5</f>
        <v>10.8</v>
      </c>
      <c r="AQ595" s="46">
        <f>(打分卡!$D$16*AL595+打分卡!$D$17*AM595)/5</f>
        <v>4.8</v>
      </c>
      <c r="AR595" s="48">
        <f t="shared" si="74"/>
        <v>41.4</v>
      </c>
      <c r="AS595" s="45" t="str">
        <f t="shared" si="75"/>
        <v>腰部</v>
      </c>
      <c r="AT595" s="45" t="str">
        <f t="shared" si="76"/>
        <v/>
      </c>
      <c r="AU595" s="45" t="str">
        <f t="shared" si="77"/>
        <v>拉·主攻：主推AI外呼+大促作战包</v>
      </c>
    </row>
    <row r="596" ht="15" customHeight="1" spans="1:47">
      <c r="A596" s="30" t="s">
        <v>1808</v>
      </c>
      <c r="B596" s="31" t="s">
        <v>1809</v>
      </c>
      <c r="C596" s="31" t="s">
        <v>223</v>
      </c>
      <c r="D596" s="31" t="s">
        <v>235</v>
      </c>
      <c r="E596" s="31" t="s">
        <v>181</v>
      </c>
      <c r="F596" s="30" t="s">
        <v>1016</v>
      </c>
      <c r="G596" s="31">
        <v>19</v>
      </c>
      <c r="H596" s="31" t="s">
        <v>301</v>
      </c>
      <c r="I596" s="31" t="s">
        <v>302</v>
      </c>
      <c r="J596" s="33">
        <v>16100</v>
      </c>
      <c r="K596" s="33">
        <v>7800</v>
      </c>
      <c r="L596" s="33">
        <v>10900</v>
      </c>
      <c r="M596" s="33">
        <f t="shared" si="72"/>
        <v>34800</v>
      </c>
      <c r="N596" s="34">
        <f t="shared" si="78"/>
        <v>0.000182443867055041</v>
      </c>
      <c r="O596" s="35">
        <f>SUM($M$2:M596)</f>
        <v>182985000</v>
      </c>
      <c r="P596" s="34">
        <f t="shared" si="79"/>
        <v>0.95932445439847</v>
      </c>
      <c r="Q596" s="37">
        <v>2.2</v>
      </c>
      <c r="R596" s="31">
        <v>3</v>
      </c>
      <c r="S596" s="31">
        <v>2</v>
      </c>
      <c r="T596" s="31">
        <v>0</v>
      </c>
      <c r="U596" s="37">
        <v>2.2</v>
      </c>
      <c r="V596" s="31">
        <v>11</v>
      </c>
      <c r="W596" s="31">
        <v>3</v>
      </c>
      <c r="X596" s="38">
        <v>17</v>
      </c>
      <c r="Y596" s="31">
        <v>3</v>
      </c>
      <c r="Z596" s="31">
        <v>0</v>
      </c>
      <c r="AA596" s="31" t="s">
        <v>185</v>
      </c>
      <c r="AB596" s="31" t="s">
        <v>220</v>
      </c>
      <c r="AC596" s="41">
        <f>IFERROR(LOOKUP(M596,打分卡!$F$7:$J$7,打分卡!$K$7:$O$7),1)</f>
        <v>2</v>
      </c>
      <c r="AD596" s="41">
        <f>IFERROR(LOOKUP(S596,打分卡!$F$8:$J$8,打分卡!$K$8:$O$8),1)</f>
        <v>2</v>
      </c>
      <c r="AE596" s="41">
        <f>IFERROR(LOOKUP(T596,打分卡!$F$9:$I$9,打分卡!$K$9:$N$9),1)</f>
        <v>1</v>
      </c>
      <c r="AF596" s="41">
        <f>IFERROR(LOOKUP(Q596,打分卡!$F$10:$J$10,打分卡!$K$10:$O$10),1)</f>
        <v>1</v>
      </c>
      <c r="AG596" s="41">
        <f>IFERROR(LOOKUP(R596,打分卡!$F$11:$J$11,打分卡!$K$11:$O$11),1)</f>
        <v>2</v>
      </c>
      <c r="AH596" s="41">
        <f>IFERROR(LOOKUP(U596,打分卡!$F$12:$J$12,打分卡!$K$12:$O$12),1)</f>
        <v>1</v>
      </c>
      <c r="AI596" s="41">
        <f>IFERROR(LOOKUP(X596,打分卡!$F$13:$J$13,打分卡!$K$13:$O$13),1)</f>
        <v>1</v>
      </c>
      <c r="AJ596" s="41">
        <f>IFERROR(LOOKUP(Y596,打分卡!$F$14:$J$14,打分卡!$K$14:$O$14),1)</f>
        <v>4</v>
      </c>
      <c r="AK596" s="41">
        <f>IFERROR(LOOKUP(W596,打分卡!$F$15:$J$15,打分卡!$K$15:$O$15),1)</f>
        <v>3</v>
      </c>
      <c r="AL596" s="43">
        <f t="shared" si="73"/>
        <v>3</v>
      </c>
      <c r="AM596" s="41">
        <f>IFERROR(LOOKUP(Z596,打分卡!$F$17:$H$17,打分卡!$K$17:$M$17),1)</f>
        <v>1</v>
      </c>
      <c r="AN596" s="44">
        <f>(打分卡!$D$7*AC596+打分卡!$D$8*AD596+打分卡!$D$9*AE596)/5</f>
        <v>14.6</v>
      </c>
      <c r="AO596" s="44">
        <f>(打分卡!$D$10*AF596+打分卡!$D$11*AG596)/5</f>
        <v>6</v>
      </c>
      <c r="AP596" s="44">
        <f>(打分卡!$D$12*AH596+打分卡!$D$13*AI596+打分卡!$D$14*AJ596+打分卡!$D$15*AK596)/5</f>
        <v>11.2</v>
      </c>
      <c r="AQ596" s="44">
        <f>(打分卡!$D$16*AL596+打分卡!$D$17*AM596)/5</f>
        <v>4.4</v>
      </c>
      <c r="AR596" s="47">
        <f t="shared" si="74"/>
        <v>36.2</v>
      </c>
      <c r="AS596" s="43" t="str">
        <f t="shared" si="75"/>
        <v>基础长尾</v>
      </c>
      <c r="AT596" s="43" t="str">
        <f t="shared" si="76"/>
        <v/>
      </c>
      <c r="AU596" s="43" t="str">
        <f t="shared" si="77"/>
        <v>激活：企微+Push低成本先跑</v>
      </c>
    </row>
    <row r="597" ht="15" customHeight="1" spans="1:47">
      <c r="A597" s="20" t="s">
        <v>1810</v>
      </c>
      <c r="B597" s="22" t="s">
        <v>1811</v>
      </c>
      <c r="C597" s="22" t="s">
        <v>179</v>
      </c>
      <c r="D597" s="22" t="s">
        <v>202</v>
      </c>
      <c r="E597" s="22" t="s">
        <v>181</v>
      </c>
      <c r="F597" s="20" t="s">
        <v>1812</v>
      </c>
      <c r="G597" s="22">
        <v>18</v>
      </c>
      <c r="H597" s="22" t="s">
        <v>301</v>
      </c>
      <c r="I597" s="22" t="s">
        <v>184</v>
      </c>
      <c r="J597" s="36">
        <v>21000</v>
      </c>
      <c r="K597" s="36">
        <v>10400</v>
      </c>
      <c r="L597" s="36">
        <v>3100</v>
      </c>
      <c r="M597" s="36">
        <f t="shared" si="72"/>
        <v>34500</v>
      </c>
      <c r="N597" s="34">
        <f t="shared" si="78"/>
        <v>0.00018087107509767</v>
      </c>
      <c r="O597" s="35">
        <f>SUM($M$2:M597)</f>
        <v>183019500</v>
      </c>
      <c r="P597" s="34">
        <f t="shared" si="79"/>
        <v>0.959505325473568</v>
      </c>
      <c r="Q597" s="39">
        <v>5.5</v>
      </c>
      <c r="R597" s="22">
        <v>5</v>
      </c>
      <c r="S597" s="22">
        <v>2</v>
      </c>
      <c r="T597" s="22">
        <v>0</v>
      </c>
      <c r="U597" s="39">
        <v>30.4</v>
      </c>
      <c r="V597" s="22">
        <v>10</v>
      </c>
      <c r="W597" s="22">
        <v>4</v>
      </c>
      <c r="X597" s="40">
        <v>10</v>
      </c>
      <c r="Y597" s="22">
        <v>0</v>
      </c>
      <c r="Z597" s="22">
        <v>1</v>
      </c>
      <c r="AA597" s="22" t="s">
        <v>199</v>
      </c>
      <c r="AB597" s="22" t="s">
        <v>220</v>
      </c>
      <c r="AC597" s="42">
        <f>IFERROR(LOOKUP(M597,打分卡!$F$7:$J$7,打分卡!$K$7:$O$7),1)</f>
        <v>2</v>
      </c>
      <c r="AD597" s="42">
        <f>IFERROR(LOOKUP(S597,打分卡!$F$8:$J$8,打分卡!$K$8:$O$8),1)</f>
        <v>2</v>
      </c>
      <c r="AE597" s="42">
        <f>IFERROR(LOOKUP(T597,打分卡!$F$9:$I$9,打分卡!$K$9:$N$9),1)</f>
        <v>1</v>
      </c>
      <c r="AF597" s="42">
        <f>IFERROR(LOOKUP(Q597,打分卡!$F$10:$J$10,打分卡!$K$10:$O$10),1)</f>
        <v>2</v>
      </c>
      <c r="AG597" s="42">
        <f>IFERROR(LOOKUP(R597,打分卡!$F$11:$J$11,打分卡!$K$11:$O$11),1)</f>
        <v>3</v>
      </c>
      <c r="AH597" s="42">
        <f>IFERROR(LOOKUP(U597,打分卡!$F$12:$J$12,打分卡!$K$12:$O$12),1)</f>
        <v>3</v>
      </c>
      <c r="AI597" s="42">
        <f>IFERROR(LOOKUP(X597,打分卡!$F$13:$J$13,打分卡!$K$13:$O$13),1)</f>
        <v>1</v>
      </c>
      <c r="AJ597" s="42">
        <f>IFERROR(LOOKUP(Y597,打分卡!$F$14:$J$14,打分卡!$K$14:$O$14),1)</f>
        <v>1</v>
      </c>
      <c r="AK597" s="42">
        <f>IFERROR(LOOKUP(W597,打分卡!$F$15:$J$15,打分卡!$K$15:$O$15),1)</f>
        <v>3</v>
      </c>
      <c r="AL597" s="45">
        <f t="shared" si="73"/>
        <v>5</v>
      </c>
      <c r="AM597" s="42">
        <f>IFERROR(LOOKUP(Z597,打分卡!$F$17:$H$17,打分卡!$K$17:$M$17),1)</f>
        <v>3</v>
      </c>
      <c r="AN597" s="46">
        <f>(打分卡!$D$7*AC597+打分卡!$D$8*AD597+打分卡!$D$9*AE597)/5</f>
        <v>14.6</v>
      </c>
      <c r="AO597" s="46">
        <f>(打分卡!$D$10*AF597+打分卡!$D$11*AG597)/5</f>
        <v>10</v>
      </c>
      <c r="AP597" s="46">
        <f>(打分卡!$D$12*AH597+打分卡!$D$13*AI597+打分卡!$D$14*AJ597+打分卡!$D$15*AK597)/5</f>
        <v>12.4</v>
      </c>
      <c r="AQ597" s="46">
        <f>(打分卡!$D$16*AL597+打分卡!$D$17*AM597)/5</f>
        <v>8.4</v>
      </c>
      <c r="AR597" s="48">
        <f t="shared" si="74"/>
        <v>45.4</v>
      </c>
      <c r="AS597" s="45" t="str">
        <f t="shared" si="75"/>
        <v>腰部</v>
      </c>
      <c r="AT597" s="45" t="str">
        <f t="shared" si="76"/>
        <v/>
      </c>
      <c r="AU597" s="45" t="str">
        <f t="shared" si="77"/>
        <v>拉·主攻：主推AI外呼+大促作战包</v>
      </c>
    </row>
    <row r="598" ht="15" customHeight="1" spans="1:47">
      <c r="A598" s="30" t="s">
        <v>1813</v>
      </c>
      <c r="B598" s="31" t="s">
        <v>1814</v>
      </c>
      <c r="C598" s="31" t="s">
        <v>209</v>
      </c>
      <c r="D598" s="31" t="s">
        <v>202</v>
      </c>
      <c r="E598" s="31" t="s">
        <v>181</v>
      </c>
      <c r="F598" s="30" t="s">
        <v>1815</v>
      </c>
      <c r="G598" s="31">
        <v>5</v>
      </c>
      <c r="H598" s="31" t="s">
        <v>301</v>
      </c>
      <c r="I598" s="31" t="s">
        <v>302</v>
      </c>
      <c r="J598" s="33">
        <v>15500</v>
      </c>
      <c r="K598" s="33">
        <v>12200</v>
      </c>
      <c r="L598" s="33">
        <v>6600</v>
      </c>
      <c r="M598" s="33">
        <f t="shared" si="72"/>
        <v>34300</v>
      </c>
      <c r="N598" s="34">
        <f t="shared" si="78"/>
        <v>0.00017982254712609</v>
      </c>
      <c r="O598" s="35">
        <f>SUM($M$2:M598)</f>
        <v>183053800</v>
      </c>
      <c r="P598" s="34">
        <f t="shared" si="79"/>
        <v>0.959685148020694</v>
      </c>
      <c r="Q598" s="37">
        <v>3.6</v>
      </c>
      <c r="R598" s="31">
        <v>2</v>
      </c>
      <c r="S598" s="31">
        <v>1</v>
      </c>
      <c r="T598" s="31">
        <v>0</v>
      </c>
      <c r="U598" s="37">
        <v>1.1</v>
      </c>
      <c r="V598" s="31">
        <v>28</v>
      </c>
      <c r="W598" s="31">
        <v>4</v>
      </c>
      <c r="X598" s="38">
        <v>107</v>
      </c>
      <c r="Y598" s="31">
        <v>1</v>
      </c>
      <c r="Z598" s="31">
        <v>1</v>
      </c>
      <c r="AA598" s="31" t="s">
        <v>199</v>
      </c>
      <c r="AB598" s="31" t="s">
        <v>220</v>
      </c>
      <c r="AC598" s="41">
        <f>IFERROR(LOOKUP(M598,打分卡!$F$7:$J$7,打分卡!$K$7:$O$7),1)</f>
        <v>2</v>
      </c>
      <c r="AD598" s="41">
        <f>IFERROR(LOOKUP(S598,打分卡!$F$8:$J$8,打分卡!$K$8:$O$8),1)</f>
        <v>1</v>
      </c>
      <c r="AE598" s="41">
        <f>IFERROR(LOOKUP(T598,打分卡!$F$9:$I$9,打分卡!$K$9:$N$9),1)</f>
        <v>1</v>
      </c>
      <c r="AF598" s="41">
        <f>IFERROR(LOOKUP(Q598,打分卡!$F$10:$J$10,打分卡!$K$10:$O$10),1)</f>
        <v>2</v>
      </c>
      <c r="AG598" s="41">
        <f>IFERROR(LOOKUP(R598,打分卡!$F$11:$J$11,打分卡!$K$11:$O$11),1)</f>
        <v>1</v>
      </c>
      <c r="AH598" s="41">
        <f>IFERROR(LOOKUP(U598,打分卡!$F$12:$J$12,打分卡!$K$12:$O$12),1)</f>
        <v>1</v>
      </c>
      <c r="AI598" s="41">
        <f>IFERROR(LOOKUP(X598,打分卡!$F$13:$J$13,打分卡!$K$13:$O$13),1)</f>
        <v>4</v>
      </c>
      <c r="AJ598" s="41">
        <f>IFERROR(LOOKUP(Y598,打分卡!$F$14:$J$14,打分卡!$K$14:$O$14),1)</f>
        <v>2</v>
      </c>
      <c r="AK598" s="41">
        <f>IFERROR(LOOKUP(W598,打分卡!$F$15:$J$15,打分卡!$K$15:$O$15),1)</f>
        <v>3</v>
      </c>
      <c r="AL598" s="43">
        <f t="shared" si="73"/>
        <v>5</v>
      </c>
      <c r="AM598" s="41">
        <f>IFERROR(LOOKUP(Z598,打分卡!$F$17:$H$17,打分卡!$K$17:$M$17),1)</f>
        <v>3</v>
      </c>
      <c r="AN598" s="44">
        <f>(打分卡!$D$7*AC598+打分卡!$D$8*AD598+打分卡!$D$9*AE598)/5</f>
        <v>13</v>
      </c>
      <c r="AO598" s="44">
        <f>(打分卡!$D$10*AF598+打分卡!$D$11*AG598)/5</f>
        <v>6</v>
      </c>
      <c r="AP598" s="44">
        <f>(打分卡!$D$12*AH598+打分卡!$D$13*AI598+打分卡!$D$14*AJ598+打分卡!$D$15*AK598)/5</f>
        <v>13.6</v>
      </c>
      <c r="AQ598" s="44">
        <f>(打分卡!$D$16*AL598+打分卡!$D$17*AM598)/5</f>
        <v>8.4</v>
      </c>
      <c r="AR598" s="47">
        <f t="shared" si="74"/>
        <v>41</v>
      </c>
      <c r="AS598" s="43" t="str">
        <f t="shared" si="75"/>
        <v>腰部</v>
      </c>
      <c r="AT598" s="43" t="str">
        <f t="shared" si="76"/>
        <v/>
      </c>
      <c r="AU598" s="43" t="str">
        <f t="shared" si="77"/>
        <v>拉·主攻：主推AI外呼+大促作战包</v>
      </c>
    </row>
    <row r="599" ht="15" customHeight="1" spans="1:47">
      <c r="A599" s="20" t="s">
        <v>1816</v>
      </c>
      <c r="B599" s="22" t="s">
        <v>1817</v>
      </c>
      <c r="C599" s="22" t="s">
        <v>195</v>
      </c>
      <c r="D599" s="22" t="s">
        <v>190</v>
      </c>
      <c r="E599" s="22" t="s">
        <v>181</v>
      </c>
      <c r="F599" s="20" t="s">
        <v>1818</v>
      </c>
      <c r="G599" s="22">
        <v>24</v>
      </c>
      <c r="H599" s="22" t="s">
        <v>301</v>
      </c>
      <c r="I599" s="22" t="s">
        <v>302</v>
      </c>
      <c r="J599" s="36">
        <v>18900</v>
      </c>
      <c r="K599" s="36">
        <v>12800</v>
      </c>
      <c r="L599" s="36">
        <v>2400</v>
      </c>
      <c r="M599" s="36">
        <f t="shared" si="72"/>
        <v>34100</v>
      </c>
      <c r="N599" s="34">
        <f t="shared" si="78"/>
        <v>0.000178774019154509</v>
      </c>
      <c r="O599" s="35">
        <f>SUM($M$2:M599)</f>
        <v>183087900</v>
      </c>
      <c r="P599" s="34">
        <f t="shared" si="79"/>
        <v>0.959863922039848</v>
      </c>
      <c r="Q599" s="39">
        <v>4.1</v>
      </c>
      <c r="R599" s="22">
        <v>9</v>
      </c>
      <c r="S599" s="22">
        <v>3</v>
      </c>
      <c r="T599" s="22">
        <v>1</v>
      </c>
      <c r="U599" s="39">
        <v>7.5</v>
      </c>
      <c r="V599" s="22">
        <v>3</v>
      </c>
      <c r="W599" s="22">
        <v>0</v>
      </c>
      <c r="X599" s="40">
        <v>29</v>
      </c>
      <c r="Y599" s="22">
        <v>3</v>
      </c>
      <c r="Z599" s="22">
        <v>0</v>
      </c>
      <c r="AA599" s="22" t="s">
        <v>315</v>
      </c>
      <c r="AB599" s="22" t="s">
        <v>220</v>
      </c>
      <c r="AC599" s="42">
        <f>IFERROR(LOOKUP(M599,打分卡!$F$7:$J$7,打分卡!$K$7:$O$7),1)</f>
        <v>2</v>
      </c>
      <c r="AD599" s="42">
        <f>IFERROR(LOOKUP(S599,打分卡!$F$8:$J$8,打分卡!$K$8:$O$8),1)</f>
        <v>3</v>
      </c>
      <c r="AE599" s="42">
        <f>IFERROR(LOOKUP(T599,打分卡!$F$9:$I$9,打分卡!$K$9:$N$9),1)</f>
        <v>2</v>
      </c>
      <c r="AF599" s="42">
        <f>IFERROR(LOOKUP(Q599,打分卡!$F$10:$J$10,打分卡!$K$10:$O$10),1)</f>
        <v>2</v>
      </c>
      <c r="AG599" s="42">
        <f>IFERROR(LOOKUP(R599,打分卡!$F$11:$J$11,打分卡!$K$11:$O$11),1)</f>
        <v>4</v>
      </c>
      <c r="AH599" s="42">
        <f>IFERROR(LOOKUP(U599,打分卡!$F$12:$J$12,打分卡!$K$12:$O$12),1)</f>
        <v>2</v>
      </c>
      <c r="AI599" s="42">
        <f>IFERROR(LOOKUP(X599,打分卡!$F$13:$J$13,打分卡!$K$13:$O$13),1)</f>
        <v>2</v>
      </c>
      <c r="AJ599" s="42">
        <f>IFERROR(LOOKUP(Y599,打分卡!$F$14:$J$14,打分卡!$K$14:$O$14),1)</f>
        <v>4</v>
      </c>
      <c r="AK599" s="42">
        <f>IFERROR(LOOKUP(W599,打分卡!$F$15:$J$15,打分卡!$K$15:$O$15),1)</f>
        <v>1</v>
      </c>
      <c r="AL599" s="45">
        <f t="shared" si="73"/>
        <v>2</v>
      </c>
      <c r="AM599" s="42">
        <f>IFERROR(LOOKUP(Z599,打分卡!$F$17:$H$17,打分卡!$K$17:$M$17),1)</f>
        <v>1</v>
      </c>
      <c r="AN599" s="46">
        <f>(打分卡!$D$7*AC599+打分卡!$D$8*AD599+打分卡!$D$9*AE599)/5</f>
        <v>17.6</v>
      </c>
      <c r="AO599" s="46">
        <f>(打分卡!$D$10*AF599+打分卡!$D$11*AG599)/5</f>
        <v>12</v>
      </c>
      <c r="AP599" s="46">
        <f>(打分卡!$D$12*AH599+打分卡!$D$13*AI599+打分卡!$D$14*AJ599+打分卡!$D$15*AK599)/5</f>
        <v>13.6</v>
      </c>
      <c r="AQ599" s="46">
        <f>(打分卡!$D$16*AL599+打分卡!$D$17*AM599)/5</f>
        <v>3.2</v>
      </c>
      <c r="AR599" s="48">
        <f t="shared" si="74"/>
        <v>46.4</v>
      </c>
      <c r="AS599" s="45" t="str">
        <f t="shared" si="75"/>
        <v>腰部</v>
      </c>
      <c r="AT599" s="45" t="str">
        <f t="shared" si="76"/>
        <v/>
      </c>
      <c r="AU599" s="45" t="str">
        <f t="shared" si="77"/>
        <v>拉·主攻：主推AI外呼+大促作战包</v>
      </c>
    </row>
    <row r="600" ht="15" customHeight="1" spans="1:47">
      <c r="A600" s="30" t="s">
        <v>1819</v>
      </c>
      <c r="B600" s="31" t="s">
        <v>1820</v>
      </c>
      <c r="C600" s="31" t="s">
        <v>223</v>
      </c>
      <c r="D600" s="31" t="s">
        <v>202</v>
      </c>
      <c r="E600" s="31" t="s">
        <v>181</v>
      </c>
      <c r="F600" s="30" t="s">
        <v>1146</v>
      </c>
      <c r="G600" s="31">
        <v>3</v>
      </c>
      <c r="H600" s="31" t="s">
        <v>301</v>
      </c>
      <c r="I600" s="31" t="s">
        <v>184</v>
      </c>
      <c r="J600" s="33">
        <v>20000</v>
      </c>
      <c r="K600" s="33">
        <v>12100</v>
      </c>
      <c r="L600" s="33">
        <v>2000</v>
      </c>
      <c r="M600" s="33">
        <f t="shared" si="72"/>
        <v>34100</v>
      </c>
      <c r="N600" s="34">
        <f t="shared" si="78"/>
        <v>0.000178774019154509</v>
      </c>
      <c r="O600" s="35">
        <f>SUM($M$2:M600)</f>
        <v>183122000</v>
      </c>
      <c r="P600" s="34">
        <f t="shared" si="79"/>
        <v>0.960042696059003</v>
      </c>
      <c r="Q600" s="37">
        <v>2.9</v>
      </c>
      <c r="R600" s="31">
        <v>6</v>
      </c>
      <c r="S600" s="31">
        <v>2</v>
      </c>
      <c r="T600" s="31">
        <v>1</v>
      </c>
      <c r="U600" s="37">
        <v>18.1</v>
      </c>
      <c r="V600" s="31">
        <v>29</v>
      </c>
      <c r="W600" s="31">
        <v>1</v>
      </c>
      <c r="X600" s="38">
        <v>39</v>
      </c>
      <c r="Y600" s="31">
        <v>2</v>
      </c>
      <c r="Z600" s="31">
        <v>0</v>
      </c>
      <c r="AA600" s="31" t="s">
        <v>315</v>
      </c>
      <c r="AB600" s="31" t="s">
        <v>220</v>
      </c>
      <c r="AC600" s="41">
        <f>IFERROR(LOOKUP(M600,打分卡!$F$7:$J$7,打分卡!$K$7:$O$7),1)</f>
        <v>2</v>
      </c>
      <c r="AD600" s="41">
        <f>IFERROR(LOOKUP(S600,打分卡!$F$8:$J$8,打分卡!$K$8:$O$8),1)</f>
        <v>2</v>
      </c>
      <c r="AE600" s="41">
        <f>IFERROR(LOOKUP(T600,打分卡!$F$9:$I$9,打分卡!$K$9:$N$9),1)</f>
        <v>2</v>
      </c>
      <c r="AF600" s="41">
        <f>IFERROR(LOOKUP(Q600,打分卡!$F$10:$J$10,打分卡!$K$10:$O$10),1)</f>
        <v>2</v>
      </c>
      <c r="AG600" s="41">
        <f>IFERROR(LOOKUP(R600,打分卡!$F$11:$J$11,打分卡!$K$11:$O$11),1)</f>
        <v>3</v>
      </c>
      <c r="AH600" s="41">
        <f>IFERROR(LOOKUP(U600,打分卡!$F$12:$J$12,打分卡!$K$12:$O$12),1)</f>
        <v>3</v>
      </c>
      <c r="AI600" s="41">
        <f>IFERROR(LOOKUP(X600,打分卡!$F$13:$J$13,打分卡!$K$13:$O$13),1)</f>
        <v>3</v>
      </c>
      <c r="AJ600" s="41">
        <f>IFERROR(LOOKUP(Y600,打分卡!$F$14:$J$14,打分卡!$K$14:$O$14),1)</f>
        <v>3</v>
      </c>
      <c r="AK600" s="41">
        <f>IFERROR(LOOKUP(W600,打分卡!$F$15:$J$15,打分卡!$K$15:$O$15),1)</f>
        <v>2</v>
      </c>
      <c r="AL600" s="43">
        <f t="shared" si="73"/>
        <v>2</v>
      </c>
      <c r="AM600" s="41">
        <f>IFERROR(LOOKUP(Z600,打分卡!$F$17:$H$17,打分卡!$K$17:$M$17),1)</f>
        <v>1</v>
      </c>
      <c r="AN600" s="44">
        <f>(打分卡!$D$7*AC600+打分卡!$D$8*AD600+打分卡!$D$9*AE600)/5</f>
        <v>16</v>
      </c>
      <c r="AO600" s="44">
        <f>(打分卡!$D$10*AF600+打分卡!$D$11*AG600)/5</f>
        <v>10</v>
      </c>
      <c r="AP600" s="44">
        <f>(打分卡!$D$12*AH600+打分卡!$D$13*AI600+打分卡!$D$14*AJ600+打分卡!$D$15*AK600)/5</f>
        <v>17.2</v>
      </c>
      <c r="AQ600" s="44">
        <f>(打分卡!$D$16*AL600+打分卡!$D$17*AM600)/5</f>
        <v>3.2</v>
      </c>
      <c r="AR600" s="47">
        <f t="shared" si="74"/>
        <v>46.4</v>
      </c>
      <c r="AS600" s="43" t="str">
        <f t="shared" si="75"/>
        <v>腰部</v>
      </c>
      <c r="AT600" s="43" t="str">
        <f t="shared" si="76"/>
        <v/>
      </c>
      <c r="AU600" s="43" t="str">
        <f t="shared" si="77"/>
        <v>拉·主攻：主推AI外呼+大促作战包</v>
      </c>
    </row>
    <row r="601" ht="15" customHeight="1" spans="1:47">
      <c r="A601" s="20" t="s">
        <v>1821</v>
      </c>
      <c r="B601" s="22" t="s">
        <v>1822</v>
      </c>
      <c r="C601" s="22" t="s">
        <v>189</v>
      </c>
      <c r="D601" s="22" t="s">
        <v>196</v>
      </c>
      <c r="E601" s="22" t="s">
        <v>181</v>
      </c>
      <c r="F601" s="20" t="s">
        <v>1823</v>
      </c>
      <c r="G601" s="22">
        <v>10</v>
      </c>
      <c r="H601" s="22" t="s">
        <v>301</v>
      </c>
      <c r="I601" s="22" t="s">
        <v>184</v>
      </c>
      <c r="J601" s="36">
        <v>17700</v>
      </c>
      <c r="K601" s="36">
        <v>7800</v>
      </c>
      <c r="L601" s="36">
        <v>8500</v>
      </c>
      <c r="M601" s="36">
        <f t="shared" si="72"/>
        <v>34000</v>
      </c>
      <c r="N601" s="34">
        <f t="shared" si="78"/>
        <v>0.000178249755168719</v>
      </c>
      <c r="O601" s="35">
        <f>SUM($M$2:M601)</f>
        <v>183156000</v>
      </c>
      <c r="P601" s="34">
        <f t="shared" si="79"/>
        <v>0.960220945814172</v>
      </c>
      <c r="Q601" s="39">
        <v>5</v>
      </c>
      <c r="R601" s="22">
        <v>3</v>
      </c>
      <c r="S601" s="22">
        <v>2</v>
      </c>
      <c r="T601" s="22">
        <v>1</v>
      </c>
      <c r="U601" s="39">
        <v>64.1</v>
      </c>
      <c r="V601" s="22">
        <v>24</v>
      </c>
      <c r="W601" s="22">
        <v>1</v>
      </c>
      <c r="X601" s="40">
        <v>16</v>
      </c>
      <c r="Y601" s="22">
        <v>1</v>
      </c>
      <c r="Z601" s="22">
        <v>1</v>
      </c>
      <c r="AA601" s="22" t="s">
        <v>199</v>
      </c>
      <c r="AB601" s="22" t="s">
        <v>220</v>
      </c>
      <c r="AC601" s="42">
        <f>IFERROR(LOOKUP(M601,打分卡!$F$7:$J$7,打分卡!$K$7:$O$7),1)</f>
        <v>2</v>
      </c>
      <c r="AD601" s="42">
        <f>IFERROR(LOOKUP(S601,打分卡!$F$8:$J$8,打分卡!$K$8:$O$8),1)</f>
        <v>2</v>
      </c>
      <c r="AE601" s="42">
        <f>IFERROR(LOOKUP(T601,打分卡!$F$9:$I$9,打分卡!$K$9:$N$9),1)</f>
        <v>2</v>
      </c>
      <c r="AF601" s="42">
        <f>IFERROR(LOOKUP(Q601,打分卡!$F$10:$J$10,打分卡!$K$10:$O$10),1)</f>
        <v>2</v>
      </c>
      <c r="AG601" s="42">
        <f>IFERROR(LOOKUP(R601,打分卡!$F$11:$J$11,打分卡!$K$11:$O$11),1)</f>
        <v>2</v>
      </c>
      <c r="AH601" s="42">
        <f>IFERROR(LOOKUP(U601,打分卡!$F$12:$J$12,打分卡!$K$12:$O$12),1)</f>
        <v>4</v>
      </c>
      <c r="AI601" s="42">
        <f>IFERROR(LOOKUP(X601,打分卡!$F$13:$J$13,打分卡!$K$13:$O$13),1)</f>
        <v>1</v>
      </c>
      <c r="AJ601" s="42">
        <f>IFERROR(LOOKUP(Y601,打分卡!$F$14:$J$14,打分卡!$K$14:$O$14),1)</f>
        <v>2</v>
      </c>
      <c r="AK601" s="42">
        <f>IFERROR(LOOKUP(W601,打分卡!$F$15:$J$15,打分卡!$K$15:$O$15),1)</f>
        <v>2</v>
      </c>
      <c r="AL601" s="45">
        <f t="shared" si="73"/>
        <v>5</v>
      </c>
      <c r="AM601" s="42">
        <f>IFERROR(LOOKUP(Z601,打分卡!$F$17:$H$17,打分卡!$K$17:$M$17),1)</f>
        <v>3</v>
      </c>
      <c r="AN601" s="46">
        <f>(打分卡!$D$7*AC601+打分卡!$D$8*AD601+打分卡!$D$9*AE601)/5</f>
        <v>16</v>
      </c>
      <c r="AO601" s="46">
        <f>(打分卡!$D$10*AF601+打分卡!$D$11*AG601)/5</f>
        <v>8</v>
      </c>
      <c r="AP601" s="46">
        <f>(打分卡!$D$12*AH601+打分卡!$D$13*AI601+打分卡!$D$14*AJ601+打分卡!$D$15*AK601)/5</f>
        <v>15.2</v>
      </c>
      <c r="AQ601" s="46">
        <f>(打分卡!$D$16*AL601+打分卡!$D$17*AM601)/5</f>
        <v>8.4</v>
      </c>
      <c r="AR601" s="48">
        <f t="shared" si="74"/>
        <v>47.6</v>
      </c>
      <c r="AS601" s="45" t="str">
        <f t="shared" si="75"/>
        <v>腰部</v>
      </c>
      <c r="AT601" s="45" t="str">
        <f t="shared" si="76"/>
        <v/>
      </c>
      <c r="AU601" s="45" t="str">
        <f t="shared" si="77"/>
        <v>拉·主攻：主推AI外呼+大促作战包</v>
      </c>
    </row>
    <row r="602" ht="15" customHeight="1" spans="1:47">
      <c r="A602" s="30" t="s">
        <v>1824</v>
      </c>
      <c r="B602" s="31" t="s">
        <v>1825</v>
      </c>
      <c r="C602" s="31" t="s">
        <v>234</v>
      </c>
      <c r="D602" s="31" t="s">
        <v>202</v>
      </c>
      <c r="E602" s="31" t="s">
        <v>181</v>
      </c>
      <c r="F602" s="30" t="s">
        <v>1826</v>
      </c>
      <c r="G602" s="31">
        <v>4</v>
      </c>
      <c r="H602" s="31" t="s">
        <v>301</v>
      </c>
      <c r="I602" s="31" t="s">
        <v>184</v>
      </c>
      <c r="J602" s="33">
        <v>18600</v>
      </c>
      <c r="K602" s="33">
        <v>10400</v>
      </c>
      <c r="L602" s="33">
        <v>5100</v>
      </c>
      <c r="M602" s="33">
        <f t="shared" si="72"/>
        <v>34100</v>
      </c>
      <c r="N602" s="34">
        <f t="shared" si="78"/>
        <v>0.000178774019154509</v>
      </c>
      <c r="O602" s="35">
        <f>SUM($M$2:M602)</f>
        <v>183190100</v>
      </c>
      <c r="P602" s="34">
        <f t="shared" si="79"/>
        <v>0.960399719833326</v>
      </c>
      <c r="Q602" s="37">
        <v>3.4</v>
      </c>
      <c r="R602" s="31">
        <v>8</v>
      </c>
      <c r="S602" s="31">
        <v>2</v>
      </c>
      <c r="T602" s="31">
        <v>2</v>
      </c>
      <c r="U602" s="37">
        <v>24.4</v>
      </c>
      <c r="V602" s="31">
        <v>3</v>
      </c>
      <c r="W602" s="31">
        <v>2</v>
      </c>
      <c r="X602" s="38">
        <v>19</v>
      </c>
      <c r="Y602" s="31">
        <v>1</v>
      </c>
      <c r="Z602" s="31">
        <v>1</v>
      </c>
      <c r="AA602" s="31" t="s">
        <v>185</v>
      </c>
      <c r="AB602" s="31" t="s">
        <v>220</v>
      </c>
      <c r="AC602" s="41">
        <f>IFERROR(LOOKUP(M602,打分卡!$F$7:$J$7,打分卡!$K$7:$O$7),1)</f>
        <v>2</v>
      </c>
      <c r="AD602" s="41">
        <f>IFERROR(LOOKUP(S602,打分卡!$F$8:$J$8,打分卡!$K$8:$O$8),1)</f>
        <v>2</v>
      </c>
      <c r="AE602" s="41">
        <f>IFERROR(LOOKUP(T602,打分卡!$F$9:$I$9,打分卡!$K$9:$N$9),1)</f>
        <v>3</v>
      </c>
      <c r="AF602" s="41">
        <f>IFERROR(LOOKUP(Q602,打分卡!$F$10:$J$10,打分卡!$K$10:$O$10),1)</f>
        <v>2</v>
      </c>
      <c r="AG602" s="41">
        <f>IFERROR(LOOKUP(R602,打分卡!$F$11:$J$11,打分卡!$K$11:$O$11),1)</f>
        <v>3</v>
      </c>
      <c r="AH602" s="41">
        <f>IFERROR(LOOKUP(U602,打分卡!$F$12:$J$12,打分卡!$K$12:$O$12),1)</f>
        <v>3</v>
      </c>
      <c r="AI602" s="41">
        <f>IFERROR(LOOKUP(X602,打分卡!$F$13:$J$13,打分卡!$K$13:$O$13),1)</f>
        <v>2</v>
      </c>
      <c r="AJ602" s="41">
        <f>IFERROR(LOOKUP(Y602,打分卡!$F$14:$J$14,打分卡!$K$14:$O$14),1)</f>
        <v>2</v>
      </c>
      <c r="AK602" s="41">
        <f>IFERROR(LOOKUP(W602,打分卡!$F$15:$J$15,打分卡!$K$15:$O$15),1)</f>
        <v>2</v>
      </c>
      <c r="AL602" s="43">
        <f t="shared" si="73"/>
        <v>3</v>
      </c>
      <c r="AM602" s="41">
        <f>IFERROR(LOOKUP(Z602,打分卡!$F$17:$H$17,打分卡!$K$17:$M$17),1)</f>
        <v>3</v>
      </c>
      <c r="AN602" s="44">
        <f>(打分卡!$D$7*AC602+打分卡!$D$8*AD602+打分卡!$D$9*AE602)/5</f>
        <v>17.4</v>
      </c>
      <c r="AO602" s="44">
        <f>(打分卡!$D$10*AF602+打分卡!$D$11*AG602)/5</f>
        <v>10</v>
      </c>
      <c r="AP602" s="44">
        <f>(打分卡!$D$12*AH602+打分卡!$D$13*AI602+打分卡!$D$14*AJ602+打分卡!$D$15*AK602)/5</f>
        <v>14.4</v>
      </c>
      <c r="AQ602" s="44">
        <f>(打分卡!$D$16*AL602+打分卡!$D$17*AM602)/5</f>
        <v>6</v>
      </c>
      <c r="AR602" s="47">
        <f t="shared" si="74"/>
        <v>47.8</v>
      </c>
      <c r="AS602" s="43" t="str">
        <f t="shared" si="75"/>
        <v>腰部</v>
      </c>
      <c r="AT602" s="43" t="str">
        <f t="shared" si="76"/>
        <v/>
      </c>
      <c r="AU602" s="43" t="str">
        <f t="shared" si="77"/>
        <v>拉·主攻：主推AI外呼+大促作战包</v>
      </c>
    </row>
    <row r="603" ht="15" customHeight="1" spans="1:47">
      <c r="A603" s="20" t="s">
        <v>1827</v>
      </c>
      <c r="B603" s="22" t="s">
        <v>1828</v>
      </c>
      <c r="C603" s="22" t="s">
        <v>239</v>
      </c>
      <c r="D603" s="22" t="s">
        <v>202</v>
      </c>
      <c r="E603" s="22" t="s">
        <v>181</v>
      </c>
      <c r="F603" s="20" t="s">
        <v>690</v>
      </c>
      <c r="G603" s="22">
        <v>10</v>
      </c>
      <c r="H603" s="22" t="s">
        <v>301</v>
      </c>
      <c r="I603" s="22" t="s">
        <v>184</v>
      </c>
      <c r="J603" s="36">
        <v>16400</v>
      </c>
      <c r="K603" s="36">
        <v>13100</v>
      </c>
      <c r="L603" s="36">
        <v>4400</v>
      </c>
      <c r="M603" s="36">
        <f t="shared" si="72"/>
        <v>33900</v>
      </c>
      <c r="N603" s="34">
        <f t="shared" si="78"/>
        <v>0.000177725491182928</v>
      </c>
      <c r="O603" s="35">
        <f>SUM($M$2:M603)</f>
        <v>183224000</v>
      </c>
      <c r="P603" s="34">
        <f t="shared" si="79"/>
        <v>0.960577445324509</v>
      </c>
      <c r="Q603" s="39">
        <v>4.5</v>
      </c>
      <c r="R603" s="22">
        <v>6</v>
      </c>
      <c r="S603" s="22">
        <v>1</v>
      </c>
      <c r="T603" s="22">
        <v>1</v>
      </c>
      <c r="U603" s="39">
        <v>19.6</v>
      </c>
      <c r="V603" s="22">
        <v>3</v>
      </c>
      <c r="W603" s="22">
        <v>3</v>
      </c>
      <c r="X603" s="40">
        <v>15</v>
      </c>
      <c r="Y603" s="22">
        <v>3</v>
      </c>
      <c r="Z603" s="22">
        <v>1</v>
      </c>
      <c r="AA603" s="22" t="s">
        <v>315</v>
      </c>
      <c r="AB603" s="22" t="s">
        <v>220</v>
      </c>
      <c r="AC603" s="42">
        <f>IFERROR(LOOKUP(M603,打分卡!$F$7:$J$7,打分卡!$K$7:$O$7),1)</f>
        <v>2</v>
      </c>
      <c r="AD603" s="42">
        <f>IFERROR(LOOKUP(S603,打分卡!$F$8:$J$8,打分卡!$K$8:$O$8),1)</f>
        <v>1</v>
      </c>
      <c r="AE603" s="42">
        <f>IFERROR(LOOKUP(T603,打分卡!$F$9:$I$9,打分卡!$K$9:$N$9),1)</f>
        <v>2</v>
      </c>
      <c r="AF603" s="42">
        <f>IFERROR(LOOKUP(Q603,打分卡!$F$10:$J$10,打分卡!$K$10:$O$10),1)</f>
        <v>2</v>
      </c>
      <c r="AG603" s="42">
        <f>IFERROR(LOOKUP(R603,打分卡!$F$11:$J$11,打分卡!$K$11:$O$11),1)</f>
        <v>3</v>
      </c>
      <c r="AH603" s="42">
        <f>IFERROR(LOOKUP(U603,打分卡!$F$12:$J$12,打分卡!$K$12:$O$12),1)</f>
        <v>3</v>
      </c>
      <c r="AI603" s="42">
        <f>IFERROR(LOOKUP(X603,打分卡!$F$13:$J$13,打分卡!$K$13:$O$13),1)</f>
        <v>1</v>
      </c>
      <c r="AJ603" s="42">
        <f>IFERROR(LOOKUP(Y603,打分卡!$F$14:$J$14,打分卡!$K$14:$O$14),1)</f>
        <v>4</v>
      </c>
      <c r="AK603" s="42">
        <f>IFERROR(LOOKUP(W603,打分卡!$F$15:$J$15,打分卡!$K$15:$O$15),1)</f>
        <v>3</v>
      </c>
      <c r="AL603" s="45">
        <f t="shared" si="73"/>
        <v>2</v>
      </c>
      <c r="AM603" s="42">
        <f>IFERROR(LOOKUP(Z603,打分卡!$F$17:$H$17,打分卡!$K$17:$M$17),1)</f>
        <v>3</v>
      </c>
      <c r="AN603" s="46">
        <f>(打分卡!$D$7*AC603+打分卡!$D$8*AD603+打分卡!$D$9*AE603)/5</f>
        <v>14.4</v>
      </c>
      <c r="AO603" s="46">
        <f>(打分卡!$D$10*AF603+打分卡!$D$11*AG603)/5</f>
        <v>10</v>
      </c>
      <c r="AP603" s="46">
        <f>(打分卡!$D$12*AH603+打分卡!$D$13*AI603+打分卡!$D$14*AJ603+打分卡!$D$15*AK603)/5</f>
        <v>16</v>
      </c>
      <c r="AQ603" s="46">
        <f>(打分卡!$D$16*AL603+打分卡!$D$17*AM603)/5</f>
        <v>4.8</v>
      </c>
      <c r="AR603" s="48">
        <f t="shared" si="74"/>
        <v>45.2</v>
      </c>
      <c r="AS603" s="45" t="str">
        <f t="shared" si="75"/>
        <v>腰部</v>
      </c>
      <c r="AT603" s="45" t="str">
        <f t="shared" si="76"/>
        <v/>
      </c>
      <c r="AU603" s="45" t="str">
        <f t="shared" si="77"/>
        <v>拉·主攻：主推AI外呼+大促作战包</v>
      </c>
    </row>
    <row r="604" ht="15" customHeight="1" spans="1:47">
      <c r="A604" s="30" t="s">
        <v>1829</v>
      </c>
      <c r="B604" s="31" t="s">
        <v>1830</v>
      </c>
      <c r="C604" s="31" t="s">
        <v>195</v>
      </c>
      <c r="D604" s="31" t="s">
        <v>227</v>
      </c>
      <c r="E604" s="31" t="s">
        <v>181</v>
      </c>
      <c r="F604" s="30" t="s">
        <v>246</v>
      </c>
      <c r="G604" s="31">
        <v>20</v>
      </c>
      <c r="H604" s="31" t="s">
        <v>301</v>
      </c>
      <c r="I604" s="31" t="s">
        <v>302</v>
      </c>
      <c r="J604" s="33">
        <v>16800</v>
      </c>
      <c r="K604" s="33">
        <v>11000</v>
      </c>
      <c r="L604" s="33">
        <v>6000</v>
      </c>
      <c r="M604" s="33">
        <f t="shared" si="72"/>
        <v>33800</v>
      </c>
      <c r="N604" s="34">
        <f t="shared" si="78"/>
        <v>0.000177201227197138</v>
      </c>
      <c r="O604" s="35">
        <f>SUM($M$2:M604)</f>
        <v>183257800</v>
      </c>
      <c r="P604" s="34">
        <f t="shared" si="79"/>
        <v>0.960754646551706</v>
      </c>
      <c r="Q604" s="37">
        <v>3.9</v>
      </c>
      <c r="R604" s="31">
        <v>4</v>
      </c>
      <c r="S604" s="31">
        <v>1</v>
      </c>
      <c r="T604" s="31">
        <v>0</v>
      </c>
      <c r="U604" s="37">
        <v>36.1</v>
      </c>
      <c r="V604" s="31">
        <v>27</v>
      </c>
      <c r="W604" s="31">
        <v>1</v>
      </c>
      <c r="X604" s="38">
        <v>21</v>
      </c>
      <c r="Y604" s="31">
        <v>1</v>
      </c>
      <c r="Z604" s="31">
        <v>1</v>
      </c>
      <c r="AA604" s="31" t="s">
        <v>199</v>
      </c>
      <c r="AB604" s="31" t="s">
        <v>220</v>
      </c>
      <c r="AC604" s="41">
        <f>IFERROR(LOOKUP(M604,打分卡!$F$7:$J$7,打分卡!$K$7:$O$7),1)</f>
        <v>2</v>
      </c>
      <c r="AD604" s="41">
        <f>IFERROR(LOOKUP(S604,打分卡!$F$8:$J$8,打分卡!$K$8:$O$8),1)</f>
        <v>1</v>
      </c>
      <c r="AE604" s="41">
        <f>IFERROR(LOOKUP(T604,打分卡!$F$9:$I$9,打分卡!$K$9:$N$9),1)</f>
        <v>1</v>
      </c>
      <c r="AF604" s="41">
        <f>IFERROR(LOOKUP(Q604,打分卡!$F$10:$J$10,打分卡!$K$10:$O$10),1)</f>
        <v>2</v>
      </c>
      <c r="AG604" s="41">
        <f>IFERROR(LOOKUP(R604,打分卡!$F$11:$J$11,打分卡!$K$11:$O$11),1)</f>
        <v>2</v>
      </c>
      <c r="AH604" s="41">
        <f>IFERROR(LOOKUP(U604,打分卡!$F$12:$J$12,打分卡!$K$12:$O$12),1)</f>
        <v>4</v>
      </c>
      <c r="AI604" s="41">
        <f>IFERROR(LOOKUP(X604,打分卡!$F$13:$J$13,打分卡!$K$13:$O$13),1)</f>
        <v>2</v>
      </c>
      <c r="AJ604" s="41">
        <f>IFERROR(LOOKUP(Y604,打分卡!$F$14:$J$14,打分卡!$K$14:$O$14),1)</f>
        <v>2</v>
      </c>
      <c r="AK604" s="41">
        <f>IFERROR(LOOKUP(W604,打分卡!$F$15:$J$15,打分卡!$K$15:$O$15),1)</f>
        <v>2</v>
      </c>
      <c r="AL604" s="43">
        <f t="shared" si="73"/>
        <v>5</v>
      </c>
      <c r="AM604" s="41">
        <f>IFERROR(LOOKUP(Z604,打分卡!$F$17:$H$17,打分卡!$K$17:$M$17),1)</f>
        <v>3</v>
      </c>
      <c r="AN604" s="44">
        <f>(打分卡!$D$7*AC604+打分卡!$D$8*AD604+打分卡!$D$9*AE604)/5</f>
        <v>13</v>
      </c>
      <c r="AO604" s="44">
        <f>(打分卡!$D$10*AF604+打分卡!$D$11*AG604)/5</f>
        <v>8</v>
      </c>
      <c r="AP604" s="44">
        <f>(打分卡!$D$12*AH604+打分卡!$D$13*AI604+打分卡!$D$14*AJ604+打分卡!$D$15*AK604)/5</f>
        <v>16.8</v>
      </c>
      <c r="AQ604" s="44">
        <f>(打分卡!$D$16*AL604+打分卡!$D$17*AM604)/5</f>
        <v>8.4</v>
      </c>
      <c r="AR604" s="47">
        <f t="shared" si="74"/>
        <v>46.2</v>
      </c>
      <c r="AS604" s="43" t="str">
        <f t="shared" si="75"/>
        <v>腰部</v>
      </c>
      <c r="AT604" s="43" t="str">
        <f t="shared" si="76"/>
        <v/>
      </c>
      <c r="AU604" s="43" t="str">
        <f t="shared" si="77"/>
        <v>拉·主攻：主推AI外呼+大促作战包</v>
      </c>
    </row>
    <row r="605" ht="15" customHeight="1" spans="1:47">
      <c r="A605" s="20" t="s">
        <v>1831</v>
      </c>
      <c r="B605" s="22" t="s">
        <v>1832</v>
      </c>
      <c r="C605" s="22" t="s">
        <v>179</v>
      </c>
      <c r="D605" s="22" t="s">
        <v>227</v>
      </c>
      <c r="E605" s="22" t="s">
        <v>181</v>
      </c>
      <c r="F605" s="20" t="s">
        <v>1779</v>
      </c>
      <c r="G605" s="22">
        <v>13</v>
      </c>
      <c r="H605" s="22" t="s">
        <v>301</v>
      </c>
      <c r="I605" s="22" t="s">
        <v>184</v>
      </c>
      <c r="J605" s="36">
        <v>15700</v>
      </c>
      <c r="K605" s="36">
        <v>8700</v>
      </c>
      <c r="L605" s="36">
        <v>9300</v>
      </c>
      <c r="M605" s="36">
        <f t="shared" si="72"/>
        <v>33700</v>
      </c>
      <c r="N605" s="34">
        <f t="shared" si="78"/>
        <v>0.000176676963211348</v>
      </c>
      <c r="O605" s="35">
        <f>SUM($M$2:M605)</f>
        <v>183291500</v>
      </c>
      <c r="P605" s="34">
        <f t="shared" si="79"/>
        <v>0.960931323514917</v>
      </c>
      <c r="Q605" s="39">
        <v>2.7</v>
      </c>
      <c r="R605" s="22">
        <v>1</v>
      </c>
      <c r="S605" s="22">
        <v>2</v>
      </c>
      <c r="T605" s="22">
        <v>2</v>
      </c>
      <c r="U605" s="39">
        <v>37.4</v>
      </c>
      <c r="V605" s="22">
        <v>16</v>
      </c>
      <c r="W605" s="22">
        <v>2</v>
      </c>
      <c r="X605" s="40">
        <v>48</v>
      </c>
      <c r="Y605" s="22">
        <v>2</v>
      </c>
      <c r="Z605" s="22">
        <v>1</v>
      </c>
      <c r="AA605" s="22" t="s">
        <v>199</v>
      </c>
      <c r="AB605" s="22" t="s">
        <v>220</v>
      </c>
      <c r="AC605" s="42">
        <f>IFERROR(LOOKUP(M605,打分卡!$F$7:$J$7,打分卡!$K$7:$O$7),1)</f>
        <v>2</v>
      </c>
      <c r="AD605" s="42">
        <f>IFERROR(LOOKUP(S605,打分卡!$F$8:$J$8,打分卡!$K$8:$O$8),1)</f>
        <v>2</v>
      </c>
      <c r="AE605" s="42">
        <f>IFERROR(LOOKUP(T605,打分卡!$F$9:$I$9,打分卡!$K$9:$N$9),1)</f>
        <v>3</v>
      </c>
      <c r="AF605" s="42">
        <f>IFERROR(LOOKUP(Q605,打分卡!$F$10:$J$10,打分卡!$K$10:$O$10),1)</f>
        <v>2</v>
      </c>
      <c r="AG605" s="42">
        <f>IFERROR(LOOKUP(R605,打分卡!$F$11:$J$11,打分卡!$K$11:$O$11),1)</f>
        <v>1</v>
      </c>
      <c r="AH605" s="42">
        <f>IFERROR(LOOKUP(U605,打分卡!$F$12:$J$12,打分卡!$K$12:$O$12),1)</f>
        <v>4</v>
      </c>
      <c r="AI605" s="42">
        <f>IFERROR(LOOKUP(X605,打分卡!$F$13:$J$13,打分卡!$K$13:$O$13),1)</f>
        <v>3</v>
      </c>
      <c r="AJ605" s="42">
        <f>IFERROR(LOOKUP(Y605,打分卡!$F$14:$J$14,打分卡!$K$14:$O$14),1)</f>
        <v>3</v>
      </c>
      <c r="AK605" s="42">
        <f>IFERROR(LOOKUP(W605,打分卡!$F$15:$J$15,打分卡!$K$15:$O$15),1)</f>
        <v>2</v>
      </c>
      <c r="AL605" s="45">
        <f t="shared" si="73"/>
        <v>5</v>
      </c>
      <c r="AM605" s="42">
        <f>IFERROR(LOOKUP(Z605,打分卡!$F$17:$H$17,打分卡!$K$17:$M$17),1)</f>
        <v>3</v>
      </c>
      <c r="AN605" s="46">
        <f>(打分卡!$D$7*AC605+打分卡!$D$8*AD605+打分卡!$D$9*AE605)/5</f>
        <v>17.4</v>
      </c>
      <c r="AO605" s="46">
        <f>(打分卡!$D$10*AF605+打分卡!$D$11*AG605)/5</f>
        <v>6</v>
      </c>
      <c r="AP605" s="46">
        <f>(打分卡!$D$12*AH605+打分卡!$D$13*AI605+打分卡!$D$14*AJ605+打分卡!$D$15*AK605)/5</f>
        <v>19.6</v>
      </c>
      <c r="AQ605" s="46">
        <f>(打分卡!$D$16*AL605+打分卡!$D$17*AM605)/5</f>
        <v>8.4</v>
      </c>
      <c r="AR605" s="48">
        <f t="shared" si="74"/>
        <v>51.4</v>
      </c>
      <c r="AS605" s="45" t="str">
        <f t="shared" si="75"/>
        <v>腰部</v>
      </c>
      <c r="AT605" s="45" t="str">
        <f t="shared" si="76"/>
        <v/>
      </c>
      <c r="AU605" s="45" t="str">
        <f t="shared" si="77"/>
        <v>拉·主攻：主推AI外呼+大促作战包</v>
      </c>
    </row>
    <row r="606" ht="15" customHeight="1" spans="1:47">
      <c r="A606" s="30" t="s">
        <v>1833</v>
      </c>
      <c r="B606" s="31" t="s">
        <v>1834</v>
      </c>
      <c r="C606" s="31" t="s">
        <v>239</v>
      </c>
      <c r="D606" s="31" t="s">
        <v>190</v>
      </c>
      <c r="E606" s="31" t="s">
        <v>181</v>
      </c>
      <c r="F606" s="30" t="s">
        <v>592</v>
      </c>
      <c r="G606" s="31">
        <v>17</v>
      </c>
      <c r="H606" s="31" t="s">
        <v>183</v>
      </c>
      <c r="I606" s="31" t="s">
        <v>302</v>
      </c>
      <c r="J606" s="33">
        <v>20900</v>
      </c>
      <c r="K606" s="33">
        <v>10100</v>
      </c>
      <c r="L606" s="33">
        <v>2500</v>
      </c>
      <c r="M606" s="33">
        <f t="shared" si="72"/>
        <v>33500</v>
      </c>
      <c r="N606" s="34">
        <f t="shared" si="78"/>
        <v>0.000175628435239767</v>
      </c>
      <c r="O606" s="35">
        <f>SUM($M$2:M606)</f>
        <v>183325000</v>
      </c>
      <c r="P606" s="34">
        <f t="shared" si="79"/>
        <v>0.961106951950157</v>
      </c>
      <c r="Q606" s="37">
        <v>2.8</v>
      </c>
      <c r="R606" s="31">
        <v>10</v>
      </c>
      <c r="S606" s="31">
        <v>3</v>
      </c>
      <c r="T606" s="31">
        <v>2</v>
      </c>
      <c r="U606" s="37">
        <v>1.6</v>
      </c>
      <c r="V606" s="31">
        <v>20</v>
      </c>
      <c r="W606" s="31">
        <v>4</v>
      </c>
      <c r="X606" s="38">
        <v>87</v>
      </c>
      <c r="Y606" s="31">
        <v>2</v>
      </c>
      <c r="Z606" s="31">
        <v>0</v>
      </c>
      <c r="AA606" s="31" t="s">
        <v>199</v>
      </c>
      <c r="AB606" s="31" t="s">
        <v>220</v>
      </c>
      <c r="AC606" s="41">
        <f>IFERROR(LOOKUP(M606,打分卡!$F$7:$J$7,打分卡!$K$7:$O$7),1)</f>
        <v>2</v>
      </c>
      <c r="AD606" s="41">
        <f>IFERROR(LOOKUP(S606,打分卡!$F$8:$J$8,打分卡!$K$8:$O$8),1)</f>
        <v>3</v>
      </c>
      <c r="AE606" s="41">
        <f>IFERROR(LOOKUP(T606,打分卡!$F$9:$I$9,打分卡!$K$9:$N$9),1)</f>
        <v>3</v>
      </c>
      <c r="AF606" s="41">
        <f>IFERROR(LOOKUP(Q606,打分卡!$F$10:$J$10,打分卡!$K$10:$O$10),1)</f>
        <v>2</v>
      </c>
      <c r="AG606" s="41">
        <f>IFERROR(LOOKUP(R606,打分卡!$F$11:$J$11,打分卡!$K$11:$O$11),1)</f>
        <v>4</v>
      </c>
      <c r="AH606" s="41">
        <f>IFERROR(LOOKUP(U606,打分卡!$F$12:$J$12,打分卡!$K$12:$O$12),1)</f>
        <v>1</v>
      </c>
      <c r="AI606" s="41">
        <f>IFERROR(LOOKUP(X606,打分卡!$F$13:$J$13,打分卡!$K$13:$O$13),1)</f>
        <v>4</v>
      </c>
      <c r="AJ606" s="41">
        <f>IFERROR(LOOKUP(Y606,打分卡!$F$14:$J$14,打分卡!$K$14:$O$14),1)</f>
        <v>3</v>
      </c>
      <c r="AK606" s="41">
        <f>IFERROR(LOOKUP(W606,打分卡!$F$15:$J$15,打分卡!$K$15:$O$15),1)</f>
        <v>3</v>
      </c>
      <c r="AL606" s="43">
        <f t="shared" si="73"/>
        <v>5</v>
      </c>
      <c r="AM606" s="41">
        <f>IFERROR(LOOKUP(Z606,打分卡!$F$17:$H$17,打分卡!$K$17:$M$17),1)</f>
        <v>1</v>
      </c>
      <c r="AN606" s="44">
        <f>(打分卡!$D$7*AC606+打分卡!$D$8*AD606+打分卡!$D$9*AE606)/5</f>
        <v>19</v>
      </c>
      <c r="AO606" s="44">
        <f>(打分卡!$D$10*AF606+打分卡!$D$11*AG606)/5</f>
        <v>12</v>
      </c>
      <c r="AP606" s="44">
        <f>(打分卡!$D$12*AH606+打分卡!$D$13*AI606+打分卡!$D$14*AJ606+打分卡!$D$15*AK606)/5</f>
        <v>14.8</v>
      </c>
      <c r="AQ606" s="44">
        <f>(打分卡!$D$16*AL606+打分卡!$D$17*AM606)/5</f>
        <v>6.8</v>
      </c>
      <c r="AR606" s="47">
        <f t="shared" si="74"/>
        <v>52.6</v>
      </c>
      <c r="AS606" s="43" t="str">
        <f t="shared" si="75"/>
        <v>腰部</v>
      </c>
      <c r="AT606" s="43" t="str">
        <f t="shared" si="76"/>
        <v/>
      </c>
      <c r="AU606" s="43" t="str">
        <f t="shared" si="77"/>
        <v>拉·主攻：主推AI外呼+大促作战包</v>
      </c>
    </row>
    <row r="607" ht="15" customHeight="1" spans="1:47">
      <c r="A607" s="20" t="s">
        <v>1835</v>
      </c>
      <c r="B607" s="22" t="s">
        <v>1836</v>
      </c>
      <c r="C607" s="22" t="s">
        <v>189</v>
      </c>
      <c r="D607" s="22" t="s">
        <v>190</v>
      </c>
      <c r="E607" s="22" t="s">
        <v>197</v>
      </c>
      <c r="F607" s="20" t="s">
        <v>1837</v>
      </c>
      <c r="G607" s="22">
        <v>19</v>
      </c>
      <c r="H607" s="22" t="s">
        <v>301</v>
      </c>
      <c r="I607" s="22" t="s">
        <v>302</v>
      </c>
      <c r="J607" s="36">
        <v>20800</v>
      </c>
      <c r="K607" s="36">
        <v>8500</v>
      </c>
      <c r="L607" s="36">
        <v>4100</v>
      </c>
      <c r="M607" s="36">
        <f t="shared" si="72"/>
        <v>33400</v>
      </c>
      <c r="N607" s="34">
        <f t="shared" si="78"/>
        <v>0.000175104171253977</v>
      </c>
      <c r="O607" s="35">
        <f>SUM($M$2:M607)</f>
        <v>183358400</v>
      </c>
      <c r="P607" s="34">
        <f t="shared" si="79"/>
        <v>0.961282056121411</v>
      </c>
      <c r="Q607" s="39">
        <v>3.2</v>
      </c>
      <c r="R607" s="22">
        <v>4</v>
      </c>
      <c r="S607" s="22">
        <v>1</v>
      </c>
      <c r="T607" s="22">
        <v>1</v>
      </c>
      <c r="U607" s="39">
        <v>2</v>
      </c>
      <c r="V607" s="22">
        <v>26</v>
      </c>
      <c r="W607" s="22">
        <v>0</v>
      </c>
      <c r="X607" s="40">
        <v>42</v>
      </c>
      <c r="Y607" s="22">
        <v>2</v>
      </c>
      <c r="Z607" s="22">
        <v>0</v>
      </c>
      <c r="AA607" s="22" t="s">
        <v>185</v>
      </c>
      <c r="AB607" s="22" t="s">
        <v>220</v>
      </c>
      <c r="AC607" s="42">
        <f>IFERROR(LOOKUP(M607,打分卡!$F$7:$J$7,打分卡!$K$7:$O$7),1)</f>
        <v>2</v>
      </c>
      <c r="AD607" s="42">
        <f>IFERROR(LOOKUP(S607,打分卡!$F$8:$J$8,打分卡!$K$8:$O$8),1)</f>
        <v>1</v>
      </c>
      <c r="AE607" s="42">
        <f>IFERROR(LOOKUP(T607,打分卡!$F$9:$I$9,打分卡!$K$9:$N$9),1)</f>
        <v>2</v>
      </c>
      <c r="AF607" s="42">
        <f>IFERROR(LOOKUP(Q607,打分卡!$F$10:$J$10,打分卡!$K$10:$O$10),1)</f>
        <v>2</v>
      </c>
      <c r="AG607" s="42">
        <f>IFERROR(LOOKUP(R607,打分卡!$F$11:$J$11,打分卡!$K$11:$O$11),1)</f>
        <v>2</v>
      </c>
      <c r="AH607" s="42">
        <f>IFERROR(LOOKUP(U607,打分卡!$F$12:$J$12,打分卡!$K$12:$O$12),1)</f>
        <v>1</v>
      </c>
      <c r="AI607" s="42">
        <f>IFERROR(LOOKUP(X607,打分卡!$F$13:$J$13,打分卡!$K$13:$O$13),1)</f>
        <v>3</v>
      </c>
      <c r="AJ607" s="42">
        <f>IFERROR(LOOKUP(Y607,打分卡!$F$14:$J$14,打分卡!$K$14:$O$14),1)</f>
        <v>3</v>
      </c>
      <c r="AK607" s="42">
        <f>IFERROR(LOOKUP(W607,打分卡!$F$15:$J$15,打分卡!$K$15:$O$15),1)</f>
        <v>1</v>
      </c>
      <c r="AL607" s="45">
        <f t="shared" si="73"/>
        <v>3</v>
      </c>
      <c r="AM607" s="42">
        <f>IFERROR(LOOKUP(Z607,打分卡!$F$17:$H$17,打分卡!$K$17:$M$17),1)</f>
        <v>1</v>
      </c>
      <c r="AN607" s="46">
        <f>(打分卡!$D$7*AC607+打分卡!$D$8*AD607+打分卡!$D$9*AE607)/5</f>
        <v>14.4</v>
      </c>
      <c r="AO607" s="46">
        <f>(打分卡!$D$10*AF607+打分卡!$D$11*AG607)/5</f>
        <v>8</v>
      </c>
      <c r="AP607" s="46">
        <f>(打分卡!$D$12*AH607+打分卡!$D$13*AI607+打分卡!$D$14*AJ607+打分卡!$D$15*AK607)/5</f>
        <v>11.6</v>
      </c>
      <c r="AQ607" s="46">
        <f>(打分卡!$D$16*AL607+打分卡!$D$17*AM607)/5</f>
        <v>4.4</v>
      </c>
      <c r="AR607" s="48">
        <f t="shared" si="74"/>
        <v>38.4</v>
      </c>
      <c r="AS607" s="45" t="str">
        <f t="shared" si="75"/>
        <v>基础长尾</v>
      </c>
      <c r="AT607" s="45" t="str">
        <f t="shared" si="76"/>
        <v/>
      </c>
      <c r="AU607" s="45" t="str">
        <f t="shared" si="77"/>
        <v>激活：企微+Push低成本先跑</v>
      </c>
    </row>
    <row r="608" ht="15" customHeight="1" spans="1:47">
      <c r="A608" s="30" t="s">
        <v>1838</v>
      </c>
      <c r="B608" s="31" t="s">
        <v>1839</v>
      </c>
      <c r="C608" s="31" t="s">
        <v>223</v>
      </c>
      <c r="D608" s="31" t="s">
        <v>202</v>
      </c>
      <c r="E608" s="31" t="s">
        <v>181</v>
      </c>
      <c r="F608" s="30" t="s">
        <v>1840</v>
      </c>
      <c r="G608" s="31">
        <v>2</v>
      </c>
      <c r="H608" s="31" t="s">
        <v>642</v>
      </c>
      <c r="I608" s="31" t="s">
        <v>302</v>
      </c>
      <c r="J608" s="33">
        <v>20900</v>
      </c>
      <c r="K608" s="33">
        <v>9900</v>
      </c>
      <c r="L608" s="33">
        <v>2300</v>
      </c>
      <c r="M608" s="33">
        <f t="shared" si="72"/>
        <v>33100</v>
      </c>
      <c r="N608" s="34">
        <f t="shared" si="78"/>
        <v>0.000173531379296606</v>
      </c>
      <c r="O608" s="35">
        <f>SUM($M$2:M608)</f>
        <v>183391500</v>
      </c>
      <c r="P608" s="34">
        <f t="shared" si="79"/>
        <v>0.961455587500708</v>
      </c>
      <c r="Q608" s="37">
        <v>3.4</v>
      </c>
      <c r="R608" s="31">
        <v>5</v>
      </c>
      <c r="S608" s="31">
        <v>1</v>
      </c>
      <c r="T608" s="31">
        <v>0</v>
      </c>
      <c r="U608" s="37">
        <v>735</v>
      </c>
      <c r="V608" s="31">
        <v>18</v>
      </c>
      <c r="W608" s="31">
        <v>8</v>
      </c>
      <c r="X608" s="38">
        <v>1152</v>
      </c>
      <c r="Y608" s="31">
        <v>3</v>
      </c>
      <c r="Z608" s="31">
        <v>1</v>
      </c>
      <c r="AA608" s="31" t="s">
        <v>199</v>
      </c>
      <c r="AB608" s="31" t="s">
        <v>220</v>
      </c>
      <c r="AC608" s="41">
        <f>IFERROR(LOOKUP(M608,打分卡!$F$7:$J$7,打分卡!$K$7:$O$7),1)</f>
        <v>2</v>
      </c>
      <c r="AD608" s="41">
        <f>IFERROR(LOOKUP(S608,打分卡!$F$8:$J$8,打分卡!$K$8:$O$8),1)</f>
        <v>1</v>
      </c>
      <c r="AE608" s="41">
        <f>IFERROR(LOOKUP(T608,打分卡!$F$9:$I$9,打分卡!$K$9:$N$9),1)</f>
        <v>1</v>
      </c>
      <c r="AF608" s="41">
        <f>IFERROR(LOOKUP(Q608,打分卡!$F$10:$J$10,打分卡!$K$10:$O$10),1)</f>
        <v>2</v>
      </c>
      <c r="AG608" s="41">
        <f>IFERROR(LOOKUP(R608,打分卡!$F$11:$J$11,打分卡!$K$11:$O$11),1)</f>
        <v>3</v>
      </c>
      <c r="AH608" s="41">
        <f>IFERROR(LOOKUP(U608,打分卡!$F$12:$J$12,打分卡!$K$12:$O$12),1)</f>
        <v>5</v>
      </c>
      <c r="AI608" s="41">
        <f>IFERROR(LOOKUP(X608,打分卡!$F$13:$J$13,打分卡!$K$13:$O$13),1)</f>
        <v>5</v>
      </c>
      <c r="AJ608" s="41">
        <f>IFERROR(LOOKUP(Y608,打分卡!$F$14:$J$14,打分卡!$K$14:$O$14),1)</f>
        <v>4</v>
      </c>
      <c r="AK608" s="41">
        <f>IFERROR(LOOKUP(W608,打分卡!$F$15:$J$15,打分卡!$K$15:$O$15),1)</f>
        <v>4</v>
      </c>
      <c r="AL608" s="43">
        <f t="shared" si="73"/>
        <v>5</v>
      </c>
      <c r="AM608" s="41">
        <f>IFERROR(LOOKUP(Z608,打分卡!$F$17:$H$17,打分卡!$K$17:$M$17),1)</f>
        <v>3</v>
      </c>
      <c r="AN608" s="44">
        <f>(打分卡!$D$7*AC608+打分卡!$D$8*AD608+打分卡!$D$9*AE608)/5</f>
        <v>13</v>
      </c>
      <c r="AO608" s="44">
        <f>(打分卡!$D$10*AF608+打分卡!$D$11*AG608)/5</f>
        <v>10</v>
      </c>
      <c r="AP608" s="44">
        <f>(打分卡!$D$12*AH608+打分卡!$D$13*AI608+打分卡!$D$14*AJ608+打分卡!$D$15*AK608)/5</f>
        <v>28</v>
      </c>
      <c r="AQ608" s="44">
        <f>(打分卡!$D$16*AL608+打分卡!$D$17*AM608)/5</f>
        <v>8.4</v>
      </c>
      <c r="AR608" s="47">
        <f t="shared" si="74"/>
        <v>83.7333333333333</v>
      </c>
      <c r="AS608" s="43" t="str">
        <f t="shared" si="75"/>
        <v>KA</v>
      </c>
      <c r="AT608" s="43" t="str">
        <f t="shared" si="76"/>
        <v/>
      </c>
      <c r="AU608" s="43" t="str">
        <f t="shared" si="77"/>
        <v>扩·深化：AI外呼场景深化+Push/企微补全</v>
      </c>
    </row>
    <row r="609" ht="15" customHeight="1" spans="1:47">
      <c r="A609" s="20" t="s">
        <v>1841</v>
      </c>
      <c r="B609" s="22" t="s">
        <v>1842</v>
      </c>
      <c r="C609" s="22" t="s">
        <v>209</v>
      </c>
      <c r="D609" s="22" t="s">
        <v>190</v>
      </c>
      <c r="E609" s="22" t="s">
        <v>181</v>
      </c>
      <c r="F609" s="20" t="s">
        <v>1843</v>
      </c>
      <c r="G609" s="22">
        <v>12</v>
      </c>
      <c r="H609" s="22" t="s">
        <v>301</v>
      </c>
      <c r="I609" s="22" t="s">
        <v>184</v>
      </c>
      <c r="J609" s="36">
        <v>18400</v>
      </c>
      <c r="K609" s="36">
        <v>12800</v>
      </c>
      <c r="L609" s="36">
        <v>1600</v>
      </c>
      <c r="M609" s="36">
        <f t="shared" si="72"/>
        <v>32800</v>
      </c>
      <c r="N609" s="34">
        <f t="shared" si="78"/>
        <v>0.000171958587339234</v>
      </c>
      <c r="O609" s="35">
        <f>SUM($M$2:M609)</f>
        <v>183424300</v>
      </c>
      <c r="P609" s="34">
        <f t="shared" si="79"/>
        <v>0.961627546088047</v>
      </c>
      <c r="Q609" s="39">
        <v>2.1</v>
      </c>
      <c r="R609" s="22">
        <v>5</v>
      </c>
      <c r="S609" s="22">
        <v>2</v>
      </c>
      <c r="T609" s="22">
        <v>0</v>
      </c>
      <c r="U609" s="39">
        <v>21.3</v>
      </c>
      <c r="V609" s="22">
        <v>21</v>
      </c>
      <c r="W609" s="22">
        <v>0</v>
      </c>
      <c r="X609" s="40">
        <v>141</v>
      </c>
      <c r="Y609" s="22">
        <v>3</v>
      </c>
      <c r="Z609" s="22">
        <v>0</v>
      </c>
      <c r="AA609" s="22" t="s">
        <v>315</v>
      </c>
      <c r="AB609" s="22" t="s">
        <v>220</v>
      </c>
      <c r="AC609" s="42">
        <f>IFERROR(LOOKUP(M609,打分卡!$F$7:$J$7,打分卡!$K$7:$O$7),1)</f>
        <v>2</v>
      </c>
      <c r="AD609" s="42">
        <f>IFERROR(LOOKUP(S609,打分卡!$F$8:$J$8,打分卡!$K$8:$O$8),1)</f>
        <v>2</v>
      </c>
      <c r="AE609" s="42">
        <f>IFERROR(LOOKUP(T609,打分卡!$F$9:$I$9,打分卡!$K$9:$N$9),1)</f>
        <v>1</v>
      </c>
      <c r="AF609" s="42">
        <f>IFERROR(LOOKUP(Q609,打分卡!$F$10:$J$10,打分卡!$K$10:$O$10),1)</f>
        <v>1</v>
      </c>
      <c r="AG609" s="42">
        <f>IFERROR(LOOKUP(R609,打分卡!$F$11:$J$11,打分卡!$K$11:$O$11),1)</f>
        <v>3</v>
      </c>
      <c r="AH609" s="42">
        <f>IFERROR(LOOKUP(U609,打分卡!$F$12:$J$12,打分卡!$K$12:$O$12),1)</f>
        <v>3</v>
      </c>
      <c r="AI609" s="42">
        <f>IFERROR(LOOKUP(X609,打分卡!$F$13:$J$13,打分卡!$K$13:$O$13),1)</f>
        <v>4</v>
      </c>
      <c r="AJ609" s="42">
        <f>IFERROR(LOOKUP(Y609,打分卡!$F$14:$J$14,打分卡!$K$14:$O$14),1)</f>
        <v>4</v>
      </c>
      <c r="AK609" s="42">
        <f>IFERROR(LOOKUP(W609,打分卡!$F$15:$J$15,打分卡!$K$15:$O$15),1)</f>
        <v>1</v>
      </c>
      <c r="AL609" s="45">
        <f t="shared" si="73"/>
        <v>2</v>
      </c>
      <c r="AM609" s="42">
        <f>IFERROR(LOOKUP(Z609,打分卡!$F$17:$H$17,打分卡!$K$17:$M$17),1)</f>
        <v>1</v>
      </c>
      <c r="AN609" s="46">
        <f>(打分卡!$D$7*AC609+打分卡!$D$8*AD609+打分卡!$D$9*AE609)/5</f>
        <v>14.6</v>
      </c>
      <c r="AO609" s="46">
        <f>(打分卡!$D$10*AF609+打分卡!$D$11*AG609)/5</f>
        <v>8</v>
      </c>
      <c r="AP609" s="46">
        <f>(打分卡!$D$12*AH609+打分卡!$D$13*AI609+打分卡!$D$14*AJ609+打分卡!$D$15*AK609)/5</f>
        <v>19.2</v>
      </c>
      <c r="AQ609" s="46">
        <f>(打分卡!$D$16*AL609+打分卡!$D$17*AM609)/5</f>
        <v>3.2</v>
      </c>
      <c r="AR609" s="48">
        <f t="shared" si="74"/>
        <v>45</v>
      </c>
      <c r="AS609" s="45" t="str">
        <f t="shared" si="75"/>
        <v>腰部</v>
      </c>
      <c r="AT609" s="45" t="str">
        <f t="shared" si="76"/>
        <v/>
      </c>
      <c r="AU609" s="45" t="str">
        <f t="shared" si="77"/>
        <v>拉·主攻：主推AI外呼+大促作战包</v>
      </c>
    </row>
    <row r="610" ht="15" customHeight="1" spans="1:47">
      <c r="A610" s="30" t="s">
        <v>1844</v>
      </c>
      <c r="B610" s="31" t="s">
        <v>1845</v>
      </c>
      <c r="C610" s="31" t="s">
        <v>218</v>
      </c>
      <c r="D610" s="31" t="s">
        <v>180</v>
      </c>
      <c r="E610" s="31" t="s">
        <v>181</v>
      </c>
      <c r="F610" s="30" t="s">
        <v>1846</v>
      </c>
      <c r="G610" s="31">
        <v>22</v>
      </c>
      <c r="H610" s="31" t="s">
        <v>301</v>
      </c>
      <c r="I610" s="31" t="s">
        <v>302</v>
      </c>
      <c r="J610" s="33">
        <v>16500</v>
      </c>
      <c r="K610" s="33">
        <v>8800</v>
      </c>
      <c r="L610" s="33">
        <v>7500</v>
      </c>
      <c r="M610" s="33">
        <f t="shared" si="72"/>
        <v>32800</v>
      </c>
      <c r="N610" s="34">
        <f t="shared" si="78"/>
        <v>0.000171958587339234</v>
      </c>
      <c r="O610" s="35">
        <f>SUM($M$2:M610)</f>
        <v>183457100</v>
      </c>
      <c r="P610" s="34">
        <f t="shared" si="79"/>
        <v>0.961799504675386</v>
      </c>
      <c r="Q610" s="37">
        <v>4.2</v>
      </c>
      <c r="R610" s="31">
        <v>2</v>
      </c>
      <c r="S610" s="31">
        <v>2</v>
      </c>
      <c r="T610" s="31">
        <v>2</v>
      </c>
      <c r="U610" s="37">
        <v>30.5</v>
      </c>
      <c r="V610" s="31">
        <v>3</v>
      </c>
      <c r="W610" s="31">
        <v>0</v>
      </c>
      <c r="X610" s="38">
        <v>33</v>
      </c>
      <c r="Y610" s="31">
        <v>3</v>
      </c>
      <c r="Z610" s="31">
        <v>1</v>
      </c>
      <c r="AA610" s="31" t="s">
        <v>199</v>
      </c>
      <c r="AB610" s="31" t="s">
        <v>220</v>
      </c>
      <c r="AC610" s="41">
        <f>IFERROR(LOOKUP(M610,打分卡!$F$7:$J$7,打分卡!$K$7:$O$7),1)</f>
        <v>2</v>
      </c>
      <c r="AD610" s="41">
        <f>IFERROR(LOOKUP(S610,打分卡!$F$8:$J$8,打分卡!$K$8:$O$8),1)</f>
        <v>2</v>
      </c>
      <c r="AE610" s="41">
        <f>IFERROR(LOOKUP(T610,打分卡!$F$9:$I$9,打分卡!$K$9:$N$9),1)</f>
        <v>3</v>
      </c>
      <c r="AF610" s="41">
        <f>IFERROR(LOOKUP(Q610,打分卡!$F$10:$J$10,打分卡!$K$10:$O$10),1)</f>
        <v>2</v>
      </c>
      <c r="AG610" s="41">
        <f>IFERROR(LOOKUP(R610,打分卡!$F$11:$J$11,打分卡!$K$11:$O$11),1)</f>
        <v>1</v>
      </c>
      <c r="AH610" s="41">
        <f>IFERROR(LOOKUP(U610,打分卡!$F$12:$J$12,打分卡!$K$12:$O$12),1)</f>
        <v>3</v>
      </c>
      <c r="AI610" s="41">
        <f>IFERROR(LOOKUP(X610,打分卡!$F$13:$J$13,打分卡!$K$13:$O$13),1)</f>
        <v>2</v>
      </c>
      <c r="AJ610" s="41">
        <f>IFERROR(LOOKUP(Y610,打分卡!$F$14:$J$14,打分卡!$K$14:$O$14),1)</f>
        <v>4</v>
      </c>
      <c r="AK610" s="41">
        <f>IFERROR(LOOKUP(W610,打分卡!$F$15:$J$15,打分卡!$K$15:$O$15),1)</f>
        <v>1</v>
      </c>
      <c r="AL610" s="43">
        <f t="shared" si="73"/>
        <v>5</v>
      </c>
      <c r="AM610" s="41">
        <f>IFERROR(LOOKUP(Z610,打分卡!$F$17:$H$17,打分卡!$K$17:$M$17),1)</f>
        <v>3</v>
      </c>
      <c r="AN610" s="44">
        <f>(打分卡!$D$7*AC610+打分卡!$D$8*AD610+打分卡!$D$9*AE610)/5</f>
        <v>17.4</v>
      </c>
      <c r="AO610" s="44">
        <f>(打分卡!$D$10*AF610+打分卡!$D$11*AG610)/5</f>
        <v>6</v>
      </c>
      <c r="AP610" s="44">
        <f>(打分卡!$D$12*AH610+打分卡!$D$13*AI610+打分卡!$D$14*AJ610+打分卡!$D$15*AK610)/5</f>
        <v>16</v>
      </c>
      <c r="AQ610" s="44">
        <f>(打分卡!$D$16*AL610+打分卡!$D$17*AM610)/5</f>
        <v>8.4</v>
      </c>
      <c r="AR610" s="47">
        <f t="shared" si="74"/>
        <v>47.8</v>
      </c>
      <c r="AS610" s="43" t="str">
        <f t="shared" si="75"/>
        <v>腰部</v>
      </c>
      <c r="AT610" s="43" t="str">
        <f t="shared" si="76"/>
        <v/>
      </c>
      <c r="AU610" s="43" t="str">
        <f t="shared" si="77"/>
        <v>拉·主攻：主推AI外呼+大促作战包</v>
      </c>
    </row>
    <row r="611" ht="15" customHeight="1" spans="1:47">
      <c r="A611" s="20" t="s">
        <v>1847</v>
      </c>
      <c r="B611" s="22" t="s">
        <v>1848</v>
      </c>
      <c r="C611" s="22" t="s">
        <v>189</v>
      </c>
      <c r="D611" s="22" t="s">
        <v>202</v>
      </c>
      <c r="E611" s="22" t="s">
        <v>181</v>
      </c>
      <c r="F611" s="20" t="s">
        <v>1849</v>
      </c>
      <c r="G611" s="22">
        <v>22</v>
      </c>
      <c r="H611" s="22" t="s">
        <v>301</v>
      </c>
      <c r="I611" s="22" t="s">
        <v>302</v>
      </c>
      <c r="J611" s="36">
        <v>15500</v>
      </c>
      <c r="K611" s="36">
        <v>8600</v>
      </c>
      <c r="L611" s="36">
        <v>8600</v>
      </c>
      <c r="M611" s="36">
        <f t="shared" si="72"/>
        <v>32700</v>
      </c>
      <c r="N611" s="34">
        <f t="shared" si="78"/>
        <v>0.000171434323353444</v>
      </c>
      <c r="O611" s="35">
        <f>SUM($M$2:M611)</f>
        <v>183489800</v>
      </c>
      <c r="P611" s="34">
        <f t="shared" si="79"/>
        <v>0.96197093899874</v>
      </c>
      <c r="Q611" s="39">
        <v>2.1</v>
      </c>
      <c r="R611" s="22">
        <v>5</v>
      </c>
      <c r="S611" s="22">
        <v>3</v>
      </c>
      <c r="T611" s="22">
        <v>2</v>
      </c>
      <c r="U611" s="39">
        <v>8.2</v>
      </c>
      <c r="V611" s="22">
        <v>28</v>
      </c>
      <c r="W611" s="22">
        <v>2</v>
      </c>
      <c r="X611" s="40">
        <v>18</v>
      </c>
      <c r="Y611" s="22">
        <v>2</v>
      </c>
      <c r="Z611" s="22">
        <v>0</v>
      </c>
      <c r="AA611" s="22" t="s">
        <v>199</v>
      </c>
      <c r="AB611" s="22" t="s">
        <v>220</v>
      </c>
      <c r="AC611" s="42">
        <f>IFERROR(LOOKUP(M611,打分卡!$F$7:$J$7,打分卡!$K$7:$O$7),1)</f>
        <v>2</v>
      </c>
      <c r="AD611" s="42">
        <f>IFERROR(LOOKUP(S611,打分卡!$F$8:$J$8,打分卡!$K$8:$O$8),1)</f>
        <v>3</v>
      </c>
      <c r="AE611" s="42">
        <f>IFERROR(LOOKUP(T611,打分卡!$F$9:$I$9,打分卡!$K$9:$N$9),1)</f>
        <v>3</v>
      </c>
      <c r="AF611" s="42">
        <f>IFERROR(LOOKUP(Q611,打分卡!$F$10:$J$10,打分卡!$K$10:$O$10),1)</f>
        <v>1</v>
      </c>
      <c r="AG611" s="42">
        <f>IFERROR(LOOKUP(R611,打分卡!$F$11:$J$11,打分卡!$K$11:$O$11),1)</f>
        <v>3</v>
      </c>
      <c r="AH611" s="42">
        <f>IFERROR(LOOKUP(U611,打分卡!$F$12:$J$12,打分卡!$K$12:$O$12),1)</f>
        <v>2</v>
      </c>
      <c r="AI611" s="42">
        <f>IFERROR(LOOKUP(X611,打分卡!$F$13:$J$13,打分卡!$K$13:$O$13),1)</f>
        <v>2</v>
      </c>
      <c r="AJ611" s="42">
        <f>IFERROR(LOOKUP(Y611,打分卡!$F$14:$J$14,打分卡!$K$14:$O$14),1)</f>
        <v>3</v>
      </c>
      <c r="AK611" s="42">
        <f>IFERROR(LOOKUP(W611,打分卡!$F$15:$J$15,打分卡!$K$15:$O$15),1)</f>
        <v>2</v>
      </c>
      <c r="AL611" s="45">
        <f t="shared" si="73"/>
        <v>5</v>
      </c>
      <c r="AM611" s="42">
        <f>IFERROR(LOOKUP(Z611,打分卡!$F$17:$H$17,打分卡!$K$17:$M$17),1)</f>
        <v>1</v>
      </c>
      <c r="AN611" s="46">
        <f>(打分卡!$D$7*AC611+打分卡!$D$8*AD611+打分卡!$D$9*AE611)/5</f>
        <v>19</v>
      </c>
      <c r="AO611" s="46">
        <f>(打分卡!$D$10*AF611+打分卡!$D$11*AG611)/5</f>
        <v>8</v>
      </c>
      <c r="AP611" s="46">
        <f>(打分卡!$D$12*AH611+打分卡!$D$13*AI611+打分卡!$D$14*AJ611+打分卡!$D$15*AK611)/5</f>
        <v>13.2</v>
      </c>
      <c r="AQ611" s="46">
        <f>(打分卡!$D$16*AL611+打分卡!$D$17*AM611)/5</f>
        <v>6.8</v>
      </c>
      <c r="AR611" s="48">
        <f t="shared" si="74"/>
        <v>47</v>
      </c>
      <c r="AS611" s="45" t="str">
        <f t="shared" si="75"/>
        <v>腰部</v>
      </c>
      <c r="AT611" s="45" t="str">
        <f t="shared" si="76"/>
        <v/>
      </c>
      <c r="AU611" s="45" t="str">
        <f t="shared" si="77"/>
        <v>拉·主攻：主推AI外呼+大促作战包</v>
      </c>
    </row>
    <row r="612" ht="15" customHeight="1" spans="1:47">
      <c r="A612" s="30" t="s">
        <v>1850</v>
      </c>
      <c r="B612" s="31" t="s">
        <v>1851</v>
      </c>
      <c r="C612" s="31" t="s">
        <v>179</v>
      </c>
      <c r="D612" s="31" t="s">
        <v>196</v>
      </c>
      <c r="E612" s="31" t="s">
        <v>181</v>
      </c>
      <c r="F612" s="30" t="s">
        <v>1852</v>
      </c>
      <c r="G612" s="31">
        <v>18</v>
      </c>
      <c r="H612" s="31" t="s">
        <v>301</v>
      </c>
      <c r="I612" s="31" t="s">
        <v>184</v>
      </c>
      <c r="J612" s="33">
        <v>18000</v>
      </c>
      <c r="K612" s="33">
        <v>11300</v>
      </c>
      <c r="L612" s="33">
        <v>3300</v>
      </c>
      <c r="M612" s="33">
        <f t="shared" si="72"/>
        <v>32600</v>
      </c>
      <c r="N612" s="34">
        <f t="shared" si="78"/>
        <v>0.000170910059367654</v>
      </c>
      <c r="O612" s="35">
        <f>SUM($M$2:M612)</f>
        <v>183522400</v>
      </c>
      <c r="P612" s="34">
        <f t="shared" si="79"/>
        <v>0.962141849058107</v>
      </c>
      <c r="Q612" s="37">
        <v>5.1</v>
      </c>
      <c r="R612" s="31">
        <v>7</v>
      </c>
      <c r="S612" s="31">
        <v>3</v>
      </c>
      <c r="T612" s="31">
        <v>2</v>
      </c>
      <c r="U612" s="37">
        <v>32.6</v>
      </c>
      <c r="V612" s="31">
        <v>4</v>
      </c>
      <c r="W612" s="31">
        <v>2</v>
      </c>
      <c r="X612" s="38">
        <v>63</v>
      </c>
      <c r="Y612" s="31">
        <v>1</v>
      </c>
      <c r="Z612" s="31">
        <v>1</v>
      </c>
      <c r="AA612" s="31" t="s">
        <v>185</v>
      </c>
      <c r="AB612" s="31" t="s">
        <v>220</v>
      </c>
      <c r="AC612" s="41">
        <f>IFERROR(LOOKUP(M612,打分卡!$F$7:$J$7,打分卡!$K$7:$O$7),1)</f>
        <v>2</v>
      </c>
      <c r="AD612" s="41">
        <f>IFERROR(LOOKUP(S612,打分卡!$F$8:$J$8,打分卡!$K$8:$O$8),1)</f>
        <v>3</v>
      </c>
      <c r="AE612" s="41">
        <f>IFERROR(LOOKUP(T612,打分卡!$F$9:$I$9,打分卡!$K$9:$N$9),1)</f>
        <v>3</v>
      </c>
      <c r="AF612" s="41">
        <f>IFERROR(LOOKUP(Q612,打分卡!$F$10:$J$10,打分卡!$K$10:$O$10),1)</f>
        <v>2</v>
      </c>
      <c r="AG612" s="41">
        <f>IFERROR(LOOKUP(R612,打分卡!$F$11:$J$11,打分卡!$K$11:$O$11),1)</f>
        <v>3</v>
      </c>
      <c r="AH612" s="41">
        <f>IFERROR(LOOKUP(U612,打分卡!$F$12:$J$12,打分卡!$K$12:$O$12),1)</f>
        <v>3</v>
      </c>
      <c r="AI612" s="41">
        <f>IFERROR(LOOKUP(X612,打分卡!$F$13:$J$13,打分卡!$K$13:$O$13),1)</f>
        <v>3</v>
      </c>
      <c r="AJ612" s="41">
        <f>IFERROR(LOOKUP(Y612,打分卡!$F$14:$J$14,打分卡!$K$14:$O$14),1)</f>
        <v>2</v>
      </c>
      <c r="AK612" s="41">
        <f>IFERROR(LOOKUP(W612,打分卡!$F$15:$J$15,打分卡!$K$15:$O$15),1)</f>
        <v>2</v>
      </c>
      <c r="AL612" s="43">
        <f t="shared" si="73"/>
        <v>3</v>
      </c>
      <c r="AM612" s="41">
        <f>IFERROR(LOOKUP(Z612,打分卡!$F$17:$H$17,打分卡!$K$17:$M$17),1)</f>
        <v>3</v>
      </c>
      <c r="AN612" s="44">
        <f>(打分卡!$D$7*AC612+打分卡!$D$8*AD612+打分卡!$D$9*AE612)/5</f>
        <v>19</v>
      </c>
      <c r="AO612" s="44">
        <f>(打分卡!$D$10*AF612+打分卡!$D$11*AG612)/5</f>
        <v>10</v>
      </c>
      <c r="AP612" s="44">
        <f>(打分卡!$D$12*AH612+打分卡!$D$13*AI612+打分卡!$D$14*AJ612+打分卡!$D$15*AK612)/5</f>
        <v>16</v>
      </c>
      <c r="AQ612" s="44">
        <f>(打分卡!$D$16*AL612+打分卡!$D$17*AM612)/5</f>
        <v>6</v>
      </c>
      <c r="AR612" s="47">
        <f t="shared" si="74"/>
        <v>51</v>
      </c>
      <c r="AS612" s="43" t="str">
        <f t="shared" si="75"/>
        <v>腰部</v>
      </c>
      <c r="AT612" s="43" t="str">
        <f t="shared" si="76"/>
        <v/>
      </c>
      <c r="AU612" s="43" t="str">
        <f t="shared" si="77"/>
        <v>拉·主攻：主推AI外呼+大促作战包</v>
      </c>
    </row>
    <row r="613" ht="15" customHeight="1" spans="1:47">
      <c r="A613" s="20" t="s">
        <v>1853</v>
      </c>
      <c r="B613" s="22" t="s">
        <v>1854</v>
      </c>
      <c r="C613" s="22" t="s">
        <v>189</v>
      </c>
      <c r="D613" s="22" t="s">
        <v>180</v>
      </c>
      <c r="E613" s="22" t="s">
        <v>197</v>
      </c>
      <c r="F613" s="20" t="s">
        <v>1855</v>
      </c>
      <c r="G613" s="22">
        <v>22</v>
      </c>
      <c r="H613" s="22" t="s">
        <v>301</v>
      </c>
      <c r="I613" s="22" t="s">
        <v>302</v>
      </c>
      <c r="J613" s="36">
        <v>15200</v>
      </c>
      <c r="K613" s="36">
        <v>9000</v>
      </c>
      <c r="L613" s="36">
        <v>8000</v>
      </c>
      <c r="M613" s="36">
        <f t="shared" si="72"/>
        <v>32200</v>
      </c>
      <c r="N613" s="34">
        <f t="shared" si="78"/>
        <v>0.000168813003424492</v>
      </c>
      <c r="O613" s="35">
        <f>SUM($M$2:M613)</f>
        <v>183554600</v>
      </c>
      <c r="P613" s="34">
        <f t="shared" si="79"/>
        <v>0.962310662061532</v>
      </c>
      <c r="Q613" s="39">
        <v>4.4</v>
      </c>
      <c r="R613" s="22">
        <v>4</v>
      </c>
      <c r="S613" s="22">
        <v>2</v>
      </c>
      <c r="T613" s="22">
        <v>1</v>
      </c>
      <c r="U613" s="39">
        <v>37.8</v>
      </c>
      <c r="V613" s="22">
        <v>22</v>
      </c>
      <c r="W613" s="22">
        <v>0</v>
      </c>
      <c r="X613" s="40">
        <v>24</v>
      </c>
      <c r="Y613" s="22">
        <v>1</v>
      </c>
      <c r="Z613" s="22">
        <v>1</v>
      </c>
      <c r="AA613" s="22" t="s">
        <v>199</v>
      </c>
      <c r="AB613" s="22" t="s">
        <v>220</v>
      </c>
      <c r="AC613" s="42">
        <f>IFERROR(LOOKUP(M613,打分卡!$F$7:$J$7,打分卡!$K$7:$O$7),1)</f>
        <v>2</v>
      </c>
      <c r="AD613" s="42">
        <f>IFERROR(LOOKUP(S613,打分卡!$F$8:$J$8,打分卡!$K$8:$O$8),1)</f>
        <v>2</v>
      </c>
      <c r="AE613" s="42">
        <f>IFERROR(LOOKUP(T613,打分卡!$F$9:$I$9,打分卡!$K$9:$N$9),1)</f>
        <v>2</v>
      </c>
      <c r="AF613" s="42">
        <f>IFERROR(LOOKUP(Q613,打分卡!$F$10:$J$10,打分卡!$K$10:$O$10),1)</f>
        <v>2</v>
      </c>
      <c r="AG613" s="42">
        <f>IFERROR(LOOKUP(R613,打分卡!$F$11:$J$11,打分卡!$K$11:$O$11),1)</f>
        <v>2</v>
      </c>
      <c r="AH613" s="42">
        <f>IFERROR(LOOKUP(U613,打分卡!$F$12:$J$12,打分卡!$K$12:$O$12),1)</f>
        <v>4</v>
      </c>
      <c r="AI613" s="42">
        <f>IFERROR(LOOKUP(X613,打分卡!$F$13:$J$13,打分卡!$K$13:$O$13),1)</f>
        <v>2</v>
      </c>
      <c r="AJ613" s="42">
        <f>IFERROR(LOOKUP(Y613,打分卡!$F$14:$J$14,打分卡!$K$14:$O$14),1)</f>
        <v>2</v>
      </c>
      <c r="AK613" s="42">
        <f>IFERROR(LOOKUP(W613,打分卡!$F$15:$J$15,打分卡!$K$15:$O$15),1)</f>
        <v>1</v>
      </c>
      <c r="AL613" s="45">
        <f t="shared" si="73"/>
        <v>5</v>
      </c>
      <c r="AM613" s="42">
        <f>IFERROR(LOOKUP(Z613,打分卡!$F$17:$H$17,打分卡!$K$17:$M$17),1)</f>
        <v>3</v>
      </c>
      <c r="AN613" s="46">
        <f>(打分卡!$D$7*AC613+打分卡!$D$8*AD613+打分卡!$D$9*AE613)/5</f>
        <v>16</v>
      </c>
      <c r="AO613" s="46">
        <f>(打分卡!$D$10*AF613+打分卡!$D$11*AG613)/5</f>
        <v>8</v>
      </c>
      <c r="AP613" s="46">
        <f>(打分卡!$D$12*AH613+打分卡!$D$13*AI613+打分卡!$D$14*AJ613+打分卡!$D$15*AK613)/5</f>
        <v>16</v>
      </c>
      <c r="AQ613" s="46">
        <f>(打分卡!$D$16*AL613+打分卡!$D$17*AM613)/5</f>
        <v>8.4</v>
      </c>
      <c r="AR613" s="48">
        <f t="shared" si="74"/>
        <v>48.4</v>
      </c>
      <c r="AS613" s="45" t="str">
        <f t="shared" si="75"/>
        <v>腰部</v>
      </c>
      <c r="AT613" s="45" t="str">
        <f t="shared" si="76"/>
        <v/>
      </c>
      <c r="AU613" s="45" t="str">
        <f t="shared" si="77"/>
        <v>拉·主攻：主推AI外呼+大促作战包</v>
      </c>
    </row>
    <row r="614" ht="15" customHeight="1" spans="1:47">
      <c r="A614" s="30" t="s">
        <v>1856</v>
      </c>
      <c r="B614" s="31" t="s">
        <v>1857</v>
      </c>
      <c r="C614" s="31" t="s">
        <v>179</v>
      </c>
      <c r="D614" s="31" t="s">
        <v>227</v>
      </c>
      <c r="E614" s="31" t="s">
        <v>181</v>
      </c>
      <c r="F614" s="30" t="s">
        <v>882</v>
      </c>
      <c r="G614" s="31">
        <v>12</v>
      </c>
      <c r="H614" s="31" t="s">
        <v>301</v>
      </c>
      <c r="I614" s="31" t="s">
        <v>302</v>
      </c>
      <c r="J614" s="33">
        <v>17200</v>
      </c>
      <c r="K614" s="33">
        <v>12800</v>
      </c>
      <c r="L614" s="33">
        <v>2000</v>
      </c>
      <c r="M614" s="33">
        <f t="shared" si="72"/>
        <v>32000</v>
      </c>
      <c r="N614" s="34">
        <f t="shared" si="78"/>
        <v>0.000167764475452912</v>
      </c>
      <c r="O614" s="35">
        <f>SUM($M$2:M614)</f>
        <v>183586600</v>
      </c>
      <c r="P614" s="34">
        <f t="shared" si="79"/>
        <v>0.962478426536985</v>
      </c>
      <c r="Q614" s="37">
        <v>3.6</v>
      </c>
      <c r="R614" s="31">
        <v>9</v>
      </c>
      <c r="S614" s="31">
        <v>3</v>
      </c>
      <c r="T614" s="31">
        <v>0</v>
      </c>
      <c r="U614" s="37">
        <v>23.7</v>
      </c>
      <c r="V614" s="31">
        <v>28</v>
      </c>
      <c r="W614" s="31">
        <v>0</v>
      </c>
      <c r="X614" s="38">
        <v>126</v>
      </c>
      <c r="Y614" s="31">
        <v>3</v>
      </c>
      <c r="Z614" s="31">
        <v>0</v>
      </c>
      <c r="AA614" s="31" t="s">
        <v>185</v>
      </c>
      <c r="AB614" s="31" t="s">
        <v>220</v>
      </c>
      <c r="AC614" s="41">
        <f>IFERROR(LOOKUP(M614,打分卡!$F$7:$J$7,打分卡!$K$7:$O$7),1)</f>
        <v>2</v>
      </c>
      <c r="AD614" s="41">
        <f>IFERROR(LOOKUP(S614,打分卡!$F$8:$J$8,打分卡!$K$8:$O$8),1)</f>
        <v>3</v>
      </c>
      <c r="AE614" s="41">
        <f>IFERROR(LOOKUP(T614,打分卡!$F$9:$I$9,打分卡!$K$9:$N$9),1)</f>
        <v>1</v>
      </c>
      <c r="AF614" s="41">
        <f>IFERROR(LOOKUP(Q614,打分卡!$F$10:$J$10,打分卡!$K$10:$O$10),1)</f>
        <v>2</v>
      </c>
      <c r="AG614" s="41">
        <f>IFERROR(LOOKUP(R614,打分卡!$F$11:$J$11,打分卡!$K$11:$O$11),1)</f>
        <v>4</v>
      </c>
      <c r="AH614" s="41">
        <f>IFERROR(LOOKUP(U614,打分卡!$F$12:$J$12,打分卡!$K$12:$O$12),1)</f>
        <v>3</v>
      </c>
      <c r="AI614" s="41">
        <f>IFERROR(LOOKUP(X614,打分卡!$F$13:$J$13,打分卡!$K$13:$O$13),1)</f>
        <v>4</v>
      </c>
      <c r="AJ614" s="41">
        <f>IFERROR(LOOKUP(Y614,打分卡!$F$14:$J$14,打分卡!$K$14:$O$14),1)</f>
        <v>4</v>
      </c>
      <c r="AK614" s="41">
        <f>IFERROR(LOOKUP(W614,打分卡!$F$15:$J$15,打分卡!$K$15:$O$15),1)</f>
        <v>1</v>
      </c>
      <c r="AL614" s="43">
        <f t="shared" si="73"/>
        <v>3</v>
      </c>
      <c r="AM614" s="41">
        <f>IFERROR(LOOKUP(Z614,打分卡!$F$17:$H$17,打分卡!$K$17:$M$17),1)</f>
        <v>1</v>
      </c>
      <c r="AN614" s="44">
        <f>(打分卡!$D$7*AC614+打分卡!$D$8*AD614+打分卡!$D$9*AE614)/5</f>
        <v>16.2</v>
      </c>
      <c r="AO614" s="44">
        <f>(打分卡!$D$10*AF614+打分卡!$D$11*AG614)/5</f>
        <v>12</v>
      </c>
      <c r="AP614" s="44">
        <f>(打分卡!$D$12*AH614+打分卡!$D$13*AI614+打分卡!$D$14*AJ614+打分卡!$D$15*AK614)/5</f>
        <v>19.2</v>
      </c>
      <c r="AQ614" s="44">
        <f>(打分卡!$D$16*AL614+打分卡!$D$17*AM614)/5</f>
        <v>4.4</v>
      </c>
      <c r="AR614" s="47">
        <f t="shared" si="74"/>
        <v>51.8</v>
      </c>
      <c r="AS614" s="43" t="str">
        <f t="shared" si="75"/>
        <v>腰部</v>
      </c>
      <c r="AT614" s="43" t="str">
        <f t="shared" si="76"/>
        <v/>
      </c>
      <c r="AU614" s="43" t="str">
        <f t="shared" si="77"/>
        <v>拉·主攻：主推AI外呼+大促作战包</v>
      </c>
    </row>
    <row r="615" ht="15" customHeight="1" spans="1:47">
      <c r="A615" s="20" t="s">
        <v>1858</v>
      </c>
      <c r="B615" s="22" t="s">
        <v>1859</v>
      </c>
      <c r="C615" s="22" t="s">
        <v>239</v>
      </c>
      <c r="D615" s="22" t="s">
        <v>202</v>
      </c>
      <c r="E615" s="22" t="s">
        <v>181</v>
      </c>
      <c r="F615" s="20" t="s">
        <v>1860</v>
      </c>
      <c r="G615" s="22">
        <v>5</v>
      </c>
      <c r="H615" s="22" t="s">
        <v>301</v>
      </c>
      <c r="I615" s="22" t="s">
        <v>302</v>
      </c>
      <c r="J615" s="36">
        <v>19600</v>
      </c>
      <c r="K615" s="36">
        <v>10800</v>
      </c>
      <c r="L615" s="36">
        <v>1600</v>
      </c>
      <c r="M615" s="36">
        <f t="shared" si="72"/>
        <v>32000</v>
      </c>
      <c r="N615" s="34">
        <f t="shared" si="78"/>
        <v>0.000167764475452912</v>
      </c>
      <c r="O615" s="35">
        <f>SUM($M$2:M615)</f>
        <v>183618600</v>
      </c>
      <c r="P615" s="34">
        <f t="shared" si="79"/>
        <v>0.962646191012438</v>
      </c>
      <c r="Q615" s="39">
        <v>2.6</v>
      </c>
      <c r="R615" s="22">
        <v>10</v>
      </c>
      <c r="S615" s="22">
        <v>3</v>
      </c>
      <c r="T615" s="22">
        <v>2</v>
      </c>
      <c r="U615" s="39">
        <v>19.6</v>
      </c>
      <c r="V615" s="22">
        <v>11</v>
      </c>
      <c r="W615" s="22">
        <v>3</v>
      </c>
      <c r="X615" s="40">
        <v>133</v>
      </c>
      <c r="Y615" s="22">
        <v>0</v>
      </c>
      <c r="Z615" s="22">
        <v>1</v>
      </c>
      <c r="AA615" s="22" t="s">
        <v>185</v>
      </c>
      <c r="AB615" s="22" t="s">
        <v>220</v>
      </c>
      <c r="AC615" s="42">
        <f>IFERROR(LOOKUP(M615,打分卡!$F$7:$J$7,打分卡!$K$7:$O$7),1)</f>
        <v>2</v>
      </c>
      <c r="AD615" s="42">
        <f>IFERROR(LOOKUP(S615,打分卡!$F$8:$J$8,打分卡!$K$8:$O$8),1)</f>
        <v>3</v>
      </c>
      <c r="AE615" s="42">
        <f>IFERROR(LOOKUP(T615,打分卡!$F$9:$I$9,打分卡!$K$9:$N$9),1)</f>
        <v>3</v>
      </c>
      <c r="AF615" s="42">
        <f>IFERROR(LOOKUP(Q615,打分卡!$F$10:$J$10,打分卡!$K$10:$O$10),1)</f>
        <v>2</v>
      </c>
      <c r="AG615" s="42">
        <f>IFERROR(LOOKUP(R615,打分卡!$F$11:$J$11,打分卡!$K$11:$O$11),1)</f>
        <v>4</v>
      </c>
      <c r="AH615" s="42">
        <f>IFERROR(LOOKUP(U615,打分卡!$F$12:$J$12,打分卡!$K$12:$O$12),1)</f>
        <v>3</v>
      </c>
      <c r="AI615" s="42">
        <f>IFERROR(LOOKUP(X615,打分卡!$F$13:$J$13,打分卡!$K$13:$O$13),1)</f>
        <v>4</v>
      </c>
      <c r="AJ615" s="42">
        <f>IFERROR(LOOKUP(Y615,打分卡!$F$14:$J$14,打分卡!$K$14:$O$14),1)</f>
        <v>1</v>
      </c>
      <c r="AK615" s="42">
        <f>IFERROR(LOOKUP(W615,打分卡!$F$15:$J$15,打分卡!$K$15:$O$15),1)</f>
        <v>3</v>
      </c>
      <c r="AL615" s="45">
        <f t="shared" si="73"/>
        <v>3</v>
      </c>
      <c r="AM615" s="42">
        <f>IFERROR(LOOKUP(Z615,打分卡!$F$17:$H$17,打分卡!$K$17:$M$17),1)</f>
        <v>3</v>
      </c>
      <c r="AN615" s="46">
        <f>(打分卡!$D$7*AC615+打分卡!$D$8*AD615+打分卡!$D$9*AE615)/5</f>
        <v>19</v>
      </c>
      <c r="AO615" s="46">
        <f>(打分卡!$D$10*AF615+打分卡!$D$11*AG615)/5</f>
        <v>12</v>
      </c>
      <c r="AP615" s="46">
        <f>(打分卡!$D$12*AH615+打分卡!$D$13*AI615+打分卡!$D$14*AJ615+打分卡!$D$15*AK615)/5</f>
        <v>17.2</v>
      </c>
      <c r="AQ615" s="46">
        <f>(打分卡!$D$16*AL615+打分卡!$D$17*AM615)/5</f>
        <v>6</v>
      </c>
      <c r="AR615" s="48">
        <f t="shared" si="74"/>
        <v>54.2</v>
      </c>
      <c r="AS615" s="45" t="str">
        <f t="shared" si="75"/>
        <v>腰部</v>
      </c>
      <c r="AT615" s="45" t="str">
        <f t="shared" si="76"/>
        <v/>
      </c>
      <c r="AU615" s="45" t="str">
        <f t="shared" si="77"/>
        <v>拉·主攻：主推AI外呼+大促作战包</v>
      </c>
    </row>
    <row r="616" ht="15" customHeight="1" spans="1:47">
      <c r="A616" s="30" t="s">
        <v>1861</v>
      </c>
      <c r="B616" s="31" t="s">
        <v>1862</v>
      </c>
      <c r="C616" s="31" t="s">
        <v>223</v>
      </c>
      <c r="D616" s="31" t="s">
        <v>196</v>
      </c>
      <c r="E616" s="31" t="s">
        <v>181</v>
      </c>
      <c r="F616" s="30" t="s">
        <v>1437</v>
      </c>
      <c r="G616" s="31">
        <v>24</v>
      </c>
      <c r="H616" s="31" t="s">
        <v>301</v>
      </c>
      <c r="I616" s="31" t="s">
        <v>184</v>
      </c>
      <c r="J616" s="33">
        <v>15200</v>
      </c>
      <c r="K616" s="33">
        <v>12000</v>
      </c>
      <c r="L616" s="33">
        <v>4700</v>
      </c>
      <c r="M616" s="33">
        <f t="shared" si="72"/>
        <v>31900</v>
      </c>
      <c r="N616" s="34">
        <f t="shared" si="78"/>
        <v>0.000167240211467121</v>
      </c>
      <c r="O616" s="35">
        <f>SUM($M$2:M616)</f>
        <v>183650500</v>
      </c>
      <c r="P616" s="34">
        <f t="shared" si="79"/>
        <v>0.962813431223905</v>
      </c>
      <c r="Q616" s="37">
        <v>4.3</v>
      </c>
      <c r="R616" s="31">
        <v>10</v>
      </c>
      <c r="S616" s="31">
        <v>3</v>
      </c>
      <c r="T616" s="31">
        <v>1</v>
      </c>
      <c r="U616" s="37">
        <v>1.6</v>
      </c>
      <c r="V616" s="31">
        <v>23</v>
      </c>
      <c r="W616" s="31">
        <v>2</v>
      </c>
      <c r="X616" s="38">
        <v>25</v>
      </c>
      <c r="Y616" s="31">
        <v>3</v>
      </c>
      <c r="Z616" s="31">
        <v>1</v>
      </c>
      <c r="AA616" s="31" t="s">
        <v>185</v>
      </c>
      <c r="AB616" s="31" t="s">
        <v>220</v>
      </c>
      <c r="AC616" s="41">
        <f>IFERROR(LOOKUP(M616,打分卡!$F$7:$J$7,打分卡!$K$7:$O$7),1)</f>
        <v>2</v>
      </c>
      <c r="AD616" s="41">
        <f>IFERROR(LOOKUP(S616,打分卡!$F$8:$J$8,打分卡!$K$8:$O$8),1)</f>
        <v>3</v>
      </c>
      <c r="AE616" s="41">
        <f>IFERROR(LOOKUP(T616,打分卡!$F$9:$I$9,打分卡!$K$9:$N$9),1)</f>
        <v>2</v>
      </c>
      <c r="AF616" s="41">
        <f>IFERROR(LOOKUP(Q616,打分卡!$F$10:$J$10,打分卡!$K$10:$O$10),1)</f>
        <v>2</v>
      </c>
      <c r="AG616" s="41">
        <f>IFERROR(LOOKUP(R616,打分卡!$F$11:$J$11,打分卡!$K$11:$O$11),1)</f>
        <v>4</v>
      </c>
      <c r="AH616" s="41">
        <f>IFERROR(LOOKUP(U616,打分卡!$F$12:$J$12,打分卡!$K$12:$O$12),1)</f>
        <v>1</v>
      </c>
      <c r="AI616" s="41">
        <f>IFERROR(LOOKUP(X616,打分卡!$F$13:$J$13,打分卡!$K$13:$O$13),1)</f>
        <v>2</v>
      </c>
      <c r="AJ616" s="41">
        <f>IFERROR(LOOKUP(Y616,打分卡!$F$14:$J$14,打分卡!$K$14:$O$14),1)</f>
        <v>4</v>
      </c>
      <c r="AK616" s="41">
        <f>IFERROR(LOOKUP(W616,打分卡!$F$15:$J$15,打分卡!$K$15:$O$15),1)</f>
        <v>2</v>
      </c>
      <c r="AL616" s="43">
        <f t="shared" si="73"/>
        <v>3</v>
      </c>
      <c r="AM616" s="41">
        <f>IFERROR(LOOKUP(Z616,打分卡!$F$17:$H$17,打分卡!$K$17:$M$17),1)</f>
        <v>3</v>
      </c>
      <c r="AN616" s="44">
        <f>(打分卡!$D$7*AC616+打分卡!$D$8*AD616+打分卡!$D$9*AE616)/5</f>
        <v>17.6</v>
      </c>
      <c r="AO616" s="44">
        <f>(打分卡!$D$10*AF616+打分卡!$D$11*AG616)/5</f>
        <v>12</v>
      </c>
      <c r="AP616" s="44">
        <f>(打分卡!$D$12*AH616+打分卡!$D$13*AI616+打分卡!$D$14*AJ616+打分卡!$D$15*AK616)/5</f>
        <v>12</v>
      </c>
      <c r="AQ616" s="44">
        <f>(打分卡!$D$16*AL616+打分卡!$D$17*AM616)/5</f>
        <v>6</v>
      </c>
      <c r="AR616" s="47">
        <f t="shared" si="74"/>
        <v>47.6</v>
      </c>
      <c r="AS616" s="43" t="str">
        <f t="shared" si="75"/>
        <v>腰部</v>
      </c>
      <c r="AT616" s="43" t="str">
        <f t="shared" si="76"/>
        <v/>
      </c>
      <c r="AU616" s="43" t="str">
        <f t="shared" si="77"/>
        <v>拉·主攻：主推AI外呼+大促作战包</v>
      </c>
    </row>
    <row r="617" ht="15" customHeight="1" spans="1:47">
      <c r="A617" s="20" t="s">
        <v>1863</v>
      </c>
      <c r="B617" s="22" t="s">
        <v>1864</v>
      </c>
      <c r="C617" s="22" t="s">
        <v>223</v>
      </c>
      <c r="D617" s="22" t="s">
        <v>196</v>
      </c>
      <c r="E617" s="22" t="s">
        <v>181</v>
      </c>
      <c r="F617" s="20" t="s">
        <v>834</v>
      </c>
      <c r="G617" s="22">
        <v>24</v>
      </c>
      <c r="H617" s="22" t="s">
        <v>301</v>
      </c>
      <c r="I617" s="22" t="s">
        <v>302</v>
      </c>
      <c r="J617" s="36">
        <v>19000</v>
      </c>
      <c r="K617" s="36">
        <v>11300</v>
      </c>
      <c r="L617" s="36">
        <v>1600</v>
      </c>
      <c r="M617" s="36">
        <f t="shared" si="72"/>
        <v>31900</v>
      </c>
      <c r="N617" s="34">
        <f t="shared" si="78"/>
        <v>0.000167240211467121</v>
      </c>
      <c r="O617" s="35">
        <f>SUM($M$2:M617)</f>
        <v>183682400</v>
      </c>
      <c r="P617" s="34">
        <f t="shared" si="79"/>
        <v>0.962980671435372</v>
      </c>
      <c r="Q617" s="39">
        <v>2.3</v>
      </c>
      <c r="R617" s="22">
        <v>1</v>
      </c>
      <c r="S617" s="22">
        <v>1</v>
      </c>
      <c r="T617" s="22">
        <v>2</v>
      </c>
      <c r="U617" s="39">
        <v>1.2</v>
      </c>
      <c r="V617" s="22">
        <v>6</v>
      </c>
      <c r="W617" s="22">
        <v>1</v>
      </c>
      <c r="X617" s="40">
        <v>64</v>
      </c>
      <c r="Y617" s="22">
        <v>2</v>
      </c>
      <c r="Z617" s="22">
        <v>0</v>
      </c>
      <c r="AA617" s="22" t="s">
        <v>199</v>
      </c>
      <c r="AB617" s="22" t="s">
        <v>220</v>
      </c>
      <c r="AC617" s="42">
        <f>IFERROR(LOOKUP(M617,打分卡!$F$7:$J$7,打分卡!$K$7:$O$7),1)</f>
        <v>2</v>
      </c>
      <c r="AD617" s="42">
        <f>IFERROR(LOOKUP(S617,打分卡!$F$8:$J$8,打分卡!$K$8:$O$8),1)</f>
        <v>1</v>
      </c>
      <c r="AE617" s="42">
        <f>IFERROR(LOOKUP(T617,打分卡!$F$9:$I$9,打分卡!$K$9:$N$9),1)</f>
        <v>3</v>
      </c>
      <c r="AF617" s="42">
        <f>IFERROR(LOOKUP(Q617,打分卡!$F$10:$J$10,打分卡!$K$10:$O$10),1)</f>
        <v>1</v>
      </c>
      <c r="AG617" s="42">
        <f>IFERROR(LOOKUP(R617,打分卡!$F$11:$J$11,打分卡!$K$11:$O$11),1)</f>
        <v>1</v>
      </c>
      <c r="AH617" s="42">
        <f>IFERROR(LOOKUP(U617,打分卡!$F$12:$J$12,打分卡!$K$12:$O$12),1)</f>
        <v>1</v>
      </c>
      <c r="AI617" s="42">
        <f>IFERROR(LOOKUP(X617,打分卡!$F$13:$J$13,打分卡!$K$13:$O$13),1)</f>
        <v>3</v>
      </c>
      <c r="AJ617" s="42">
        <f>IFERROR(LOOKUP(Y617,打分卡!$F$14:$J$14,打分卡!$K$14:$O$14),1)</f>
        <v>3</v>
      </c>
      <c r="AK617" s="42">
        <f>IFERROR(LOOKUP(W617,打分卡!$F$15:$J$15,打分卡!$K$15:$O$15),1)</f>
        <v>2</v>
      </c>
      <c r="AL617" s="45">
        <f t="shared" si="73"/>
        <v>5</v>
      </c>
      <c r="AM617" s="42">
        <f>IFERROR(LOOKUP(Z617,打分卡!$F$17:$H$17,打分卡!$K$17:$M$17),1)</f>
        <v>1</v>
      </c>
      <c r="AN617" s="46">
        <f>(打分卡!$D$7*AC617+打分卡!$D$8*AD617+打分卡!$D$9*AE617)/5</f>
        <v>15.8</v>
      </c>
      <c r="AO617" s="46">
        <f>(打分卡!$D$10*AF617+打分卡!$D$11*AG617)/5</f>
        <v>4</v>
      </c>
      <c r="AP617" s="46">
        <f>(打分卡!$D$12*AH617+打分卡!$D$13*AI617+打分卡!$D$14*AJ617+打分卡!$D$15*AK617)/5</f>
        <v>12.4</v>
      </c>
      <c r="AQ617" s="46">
        <f>(打分卡!$D$16*AL617+打分卡!$D$17*AM617)/5</f>
        <v>6.8</v>
      </c>
      <c r="AR617" s="48">
        <f t="shared" si="74"/>
        <v>39</v>
      </c>
      <c r="AS617" s="45" t="str">
        <f t="shared" si="75"/>
        <v>基础长尾</v>
      </c>
      <c r="AT617" s="45" t="str">
        <f t="shared" si="76"/>
        <v/>
      </c>
      <c r="AU617" s="45" t="str">
        <f t="shared" si="77"/>
        <v>激活：企微+Push低成本先跑</v>
      </c>
    </row>
    <row r="618" ht="15" customHeight="1" spans="1:47">
      <c r="A618" s="30" t="s">
        <v>1865</v>
      </c>
      <c r="B618" s="31" t="s">
        <v>1866</v>
      </c>
      <c r="C618" s="31" t="s">
        <v>218</v>
      </c>
      <c r="D618" s="31" t="s">
        <v>252</v>
      </c>
      <c r="E618" s="31" t="s">
        <v>197</v>
      </c>
      <c r="F618" s="30" t="s">
        <v>265</v>
      </c>
      <c r="G618" s="31">
        <v>20</v>
      </c>
      <c r="H618" s="31" t="s">
        <v>301</v>
      </c>
      <c r="I618" s="31" t="s">
        <v>184</v>
      </c>
      <c r="J618" s="33">
        <v>15200</v>
      </c>
      <c r="K618" s="33">
        <v>11900</v>
      </c>
      <c r="L618" s="33">
        <v>4800</v>
      </c>
      <c r="M618" s="33">
        <f t="shared" si="72"/>
        <v>31900</v>
      </c>
      <c r="N618" s="34">
        <f t="shared" si="78"/>
        <v>0.000167240211467121</v>
      </c>
      <c r="O618" s="35">
        <f>SUM($M$2:M618)</f>
        <v>183714300</v>
      </c>
      <c r="P618" s="34">
        <f t="shared" si="79"/>
        <v>0.963147911646839</v>
      </c>
      <c r="Q618" s="37">
        <v>3.6</v>
      </c>
      <c r="R618" s="31">
        <v>5</v>
      </c>
      <c r="S618" s="31">
        <v>1</v>
      </c>
      <c r="T618" s="31">
        <v>2</v>
      </c>
      <c r="U618" s="37">
        <v>4.2</v>
      </c>
      <c r="V618" s="31">
        <v>16</v>
      </c>
      <c r="W618" s="31">
        <v>2</v>
      </c>
      <c r="X618" s="38">
        <v>40</v>
      </c>
      <c r="Y618" s="31">
        <v>3</v>
      </c>
      <c r="Z618" s="31">
        <v>1</v>
      </c>
      <c r="AA618" s="31" t="s">
        <v>199</v>
      </c>
      <c r="AB618" s="31" t="s">
        <v>220</v>
      </c>
      <c r="AC618" s="41">
        <f>IFERROR(LOOKUP(M618,打分卡!$F$7:$J$7,打分卡!$K$7:$O$7),1)</f>
        <v>2</v>
      </c>
      <c r="AD618" s="41">
        <f>IFERROR(LOOKUP(S618,打分卡!$F$8:$J$8,打分卡!$K$8:$O$8),1)</f>
        <v>1</v>
      </c>
      <c r="AE618" s="41">
        <f>IFERROR(LOOKUP(T618,打分卡!$F$9:$I$9,打分卡!$K$9:$N$9),1)</f>
        <v>3</v>
      </c>
      <c r="AF618" s="41">
        <f>IFERROR(LOOKUP(Q618,打分卡!$F$10:$J$10,打分卡!$K$10:$O$10),1)</f>
        <v>2</v>
      </c>
      <c r="AG618" s="41">
        <f>IFERROR(LOOKUP(R618,打分卡!$F$11:$J$11,打分卡!$K$11:$O$11),1)</f>
        <v>3</v>
      </c>
      <c r="AH618" s="41">
        <f>IFERROR(LOOKUP(U618,打分卡!$F$12:$J$12,打分卡!$K$12:$O$12),1)</f>
        <v>2</v>
      </c>
      <c r="AI618" s="41">
        <f>IFERROR(LOOKUP(X618,打分卡!$F$13:$J$13,打分卡!$K$13:$O$13),1)</f>
        <v>3</v>
      </c>
      <c r="AJ618" s="41">
        <f>IFERROR(LOOKUP(Y618,打分卡!$F$14:$J$14,打分卡!$K$14:$O$14),1)</f>
        <v>4</v>
      </c>
      <c r="AK618" s="41">
        <f>IFERROR(LOOKUP(W618,打分卡!$F$15:$J$15,打分卡!$K$15:$O$15),1)</f>
        <v>2</v>
      </c>
      <c r="AL618" s="43">
        <f t="shared" si="73"/>
        <v>5</v>
      </c>
      <c r="AM618" s="41">
        <f>IFERROR(LOOKUP(Z618,打分卡!$F$17:$H$17,打分卡!$K$17:$M$17),1)</f>
        <v>3</v>
      </c>
      <c r="AN618" s="44">
        <f>(打分卡!$D$7*AC618+打分卡!$D$8*AD618+打分卡!$D$9*AE618)/5</f>
        <v>15.8</v>
      </c>
      <c r="AO618" s="44">
        <f>(打分卡!$D$10*AF618+打分卡!$D$11*AG618)/5</f>
        <v>10</v>
      </c>
      <c r="AP618" s="44">
        <f>(打分卡!$D$12*AH618+打分卡!$D$13*AI618+打分卡!$D$14*AJ618+打分卡!$D$15*AK618)/5</f>
        <v>16</v>
      </c>
      <c r="AQ618" s="44">
        <f>(打分卡!$D$16*AL618+打分卡!$D$17*AM618)/5</f>
        <v>8.4</v>
      </c>
      <c r="AR618" s="47">
        <f t="shared" si="74"/>
        <v>50.2</v>
      </c>
      <c r="AS618" s="43" t="str">
        <f t="shared" si="75"/>
        <v>腰部</v>
      </c>
      <c r="AT618" s="43" t="str">
        <f t="shared" si="76"/>
        <v/>
      </c>
      <c r="AU618" s="43" t="str">
        <f t="shared" si="77"/>
        <v>拉·主攻：主推AI外呼+大促作战包</v>
      </c>
    </row>
    <row r="619" ht="15" customHeight="1" spans="1:47">
      <c r="A619" s="20" t="s">
        <v>1867</v>
      </c>
      <c r="B619" s="22" t="s">
        <v>1868</v>
      </c>
      <c r="C619" s="22" t="s">
        <v>234</v>
      </c>
      <c r="D619" s="22" t="s">
        <v>202</v>
      </c>
      <c r="E619" s="22" t="s">
        <v>181</v>
      </c>
      <c r="F619" s="20" t="s">
        <v>1869</v>
      </c>
      <c r="G619" s="22">
        <v>24</v>
      </c>
      <c r="H619" s="22" t="s">
        <v>183</v>
      </c>
      <c r="I619" s="22" t="s">
        <v>184</v>
      </c>
      <c r="J619" s="36">
        <v>19800</v>
      </c>
      <c r="K619" s="36">
        <v>10300</v>
      </c>
      <c r="L619" s="36">
        <v>1600</v>
      </c>
      <c r="M619" s="36">
        <f t="shared" si="72"/>
        <v>31700</v>
      </c>
      <c r="N619" s="34">
        <f t="shared" si="78"/>
        <v>0.000166191683495541</v>
      </c>
      <c r="O619" s="35">
        <f>SUM($M$2:M619)</f>
        <v>183746000</v>
      </c>
      <c r="P619" s="34">
        <f t="shared" si="79"/>
        <v>0.963314103330335</v>
      </c>
      <c r="Q619" s="39">
        <v>2.1</v>
      </c>
      <c r="R619" s="22">
        <v>4</v>
      </c>
      <c r="S619" s="22">
        <v>3</v>
      </c>
      <c r="T619" s="22">
        <v>0</v>
      </c>
      <c r="U619" s="39">
        <v>36.2</v>
      </c>
      <c r="V619" s="22">
        <v>21</v>
      </c>
      <c r="W619" s="22">
        <v>1</v>
      </c>
      <c r="X619" s="40">
        <v>92</v>
      </c>
      <c r="Y619" s="22">
        <v>0</v>
      </c>
      <c r="Z619" s="22">
        <v>0</v>
      </c>
      <c r="AA619" s="22" t="s">
        <v>199</v>
      </c>
      <c r="AB619" s="22" t="s">
        <v>220</v>
      </c>
      <c r="AC619" s="42">
        <f>IFERROR(LOOKUP(M619,打分卡!$F$7:$J$7,打分卡!$K$7:$O$7),1)</f>
        <v>2</v>
      </c>
      <c r="AD619" s="42">
        <f>IFERROR(LOOKUP(S619,打分卡!$F$8:$J$8,打分卡!$K$8:$O$8),1)</f>
        <v>3</v>
      </c>
      <c r="AE619" s="42">
        <f>IFERROR(LOOKUP(T619,打分卡!$F$9:$I$9,打分卡!$K$9:$N$9),1)</f>
        <v>1</v>
      </c>
      <c r="AF619" s="42">
        <f>IFERROR(LOOKUP(Q619,打分卡!$F$10:$J$10,打分卡!$K$10:$O$10),1)</f>
        <v>1</v>
      </c>
      <c r="AG619" s="42">
        <f>IFERROR(LOOKUP(R619,打分卡!$F$11:$J$11,打分卡!$K$11:$O$11),1)</f>
        <v>2</v>
      </c>
      <c r="AH619" s="42">
        <f>IFERROR(LOOKUP(U619,打分卡!$F$12:$J$12,打分卡!$K$12:$O$12),1)</f>
        <v>4</v>
      </c>
      <c r="AI619" s="42">
        <f>IFERROR(LOOKUP(X619,打分卡!$F$13:$J$13,打分卡!$K$13:$O$13),1)</f>
        <v>4</v>
      </c>
      <c r="AJ619" s="42">
        <f>IFERROR(LOOKUP(Y619,打分卡!$F$14:$J$14,打分卡!$K$14:$O$14),1)</f>
        <v>1</v>
      </c>
      <c r="AK619" s="42">
        <f>IFERROR(LOOKUP(W619,打分卡!$F$15:$J$15,打分卡!$K$15:$O$15),1)</f>
        <v>2</v>
      </c>
      <c r="AL619" s="45">
        <f t="shared" si="73"/>
        <v>5</v>
      </c>
      <c r="AM619" s="42">
        <f>IFERROR(LOOKUP(Z619,打分卡!$F$17:$H$17,打分卡!$K$17:$M$17),1)</f>
        <v>1</v>
      </c>
      <c r="AN619" s="46">
        <f>(打分卡!$D$7*AC619+打分卡!$D$8*AD619+打分卡!$D$9*AE619)/5</f>
        <v>16.2</v>
      </c>
      <c r="AO619" s="46">
        <f>(打分卡!$D$10*AF619+打分卡!$D$11*AG619)/5</f>
        <v>6</v>
      </c>
      <c r="AP619" s="46">
        <f>(打分卡!$D$12*AH619+打分卡!$D$13*AI619+打分卡!$D$14*AJ619+打分卡!$D$15*AK619)/5</f>
        <v>18.8</v>
      </c>
      <c r="AQ619" s="46">
        <f>(打分卡!$D$16*AL619+打分卡!$D$17*AM619)/5</f>
        <v>6.8</v>
      </c>
      <c r="AR619" s="48">
        <f t="shared" si="74"/>
        <v>47.8</v>
      </c>
      <c r="AS619" s="45" t="str">
        <f t="shared" si="75"/>
        <v>腰部</v>
      </c>
      <c r="AT619" s="45" t="str">
        <f t="shared" si="76"/>
        <v/>
      </c>
      <c r="AU619" s="45" t="str">
        <f t="shared" si="77"/>
        <v>拉·主攻：主推AI外呼+大促作战包</v>
      </c>
    </row>
    <row r="620" ht="15" customHeight="1" spans="1:47">
      <c r="A620" s="30" t="s">
        <v>1870</v>
      </c>
      <c r="B620" s="31" t="s">
        <v>1871</v>
      </c>
      <c r="C620" s="31" t="s">
        <v>189</v>
      </c>
      <c r="D620" s="31" t="s">
        <v>202</v>
      </c>
      <c r="E620" s="31" t="s">
        <v>181</v>
      </c>
      <c r="F620" s="30" t="s">
        <v>1872</v>
      </c>
      <c r="G620" s="31">
        <v>7</v>
      </c>
      <c r="H620" s="31" t="s">
        <v>301</v>
      </c>
      <c r="I620" s="31" t="s">
        <v>302</v>
      </c>
      <c r="J620" s="33">
        <v>18900</v>
      </c>
      <c r="K620" s="33">
        <v>10700</v>
      </c>
      <c r="L620" s="33">
        <v>2200</v>
      </c>
      <c r="M620" s="33">
        <f t="shared" si="72"/>
        <v>31800</v>
      </c>
      <c r="N620" s="34">
        <f t="shared" si="78"/>
        <v>0.000166715947481331</v>
      </c>
      <c r="O620" s="35">
        <f>SUM($M$2:M620)</f>
        <v>183777800</v>
      </c>
      <c r="P620" s="34">
        <f t="shared" si="79"/>
        <v>0.963480819277816</v>
      </c>
      <c r="Q620" s="37">
        <v>3.7</v>
      </c>
      <c r="R620" s="31">
        <v>10</v>
      </c>
      <c r="S620" s="31">
        <v>3</v>
      </c>
      <c r="T620" s="31">
        <v>0</v>
      </c>
      <c r="U620" s="37">
        <v>28.3</v>
      </c>
      <c r="V620" s="31">
        <v>30</v>
      </c>
      <c r="W620" s="31">
        <v>1</v>
      </c>
      <c r="X620" s="38">
        <v>13</v>
      </c>
      <c r="Y620" s="31">
        <v>2</v>
      </c>
      <c r="Z620" s="31">
        <v>0</v>
      </c>
      <c r="AA620" s="31" t="s">
        <v>315</v>
      </c>
      <c r="AB620" s="31" t="s">
        <v>220</v>
      </c>
      <c r="AC620" s="41">
        <f>IFERROR(LOOKUP(M620,打分卡!$F$7:$J$7,打分卡!$K$7:$O$7),1)</f>
        <v>2</v>
      </c>
      <c r="AD620" s="41">
        <f>IFERROR(LOOKUP(S620,打分卡!$F$8:$J$8,打分卡!$K$8:$O$8),1)</f>
        <v>3</v>
      </c>
      <c r="AE620" s="41">
        <f>IFERROR(LOOKUP(T620,打分卡!$F$9:$I$9,打分卡!$K$9:$N$9),1)</f>
        <v>1</v>
      </c>
      <c r="AF620" s="41">
        <f>IFERROR(LOOKUP(Q620,打分卡!$F$10:$J$10,打分卡!$K$10:$O$10),1)</f>
        <v>2</v>
      </c>
      <c r="AG620" s="41">
        <f>IFERROR(LOOKUP(R620,打分卡!$F$11:$J$11,打分卡!$K$11:$O$11),1)</f>
        <v>4</v>
      </c>
      <c r="AH620" s="41">
        <f>IFERROR(LOOKUP(U620,打分卡!$F$12:$J$12,打分卡!$K$12:$O$12),1)</f>
        <v>3</v>
      </c>
      <c r="AI620" s="41">
        <f>IFERROR(LOOKUP(X620,打分卡!$F$13:$J$13,打分卡!$K$13:$O$13),1)</f>
        <v>1</v>
      </c>
      <c r="AJ620" s="41">
        <f>IFERROR(LOOKUP(Y620,打分卡!$F$14:$J$14,打分卡!$K$14:$O$14),1)</f>
        <v>3</v>
      </c>
      <c r="AK620" s="41">
        <f>IFERROR(LOOKUP(W620,打分卡!$F$15:$J$15,打分卡!$K$15:$O$15),1)</f>
        <v>2</v>
      </c>
      <c r="AL620" s="43">
        <f t="shared" si="73"/>
        <v>2</v>
      </c>
      <c r="AM620" s="41">
        <f>IFERROR(LOOKUP(Z620,打分卡!$F$17:$H$17,打分卡!$K$17:$M$17),1)</f>
        <v>1</v>
      </c>
      <c r="AN620" s="44">
        <f>(打分卡!$D$7*AC620+打分卡!$D$8*AD620+打分卡!$D$9*AE620)/5</f>
        <v>16.2</v>
      </c>
      <c r="AO620" s="44">
        <f>(打分卡!$D$10*AF620+打分卡!$D$11*AG620)/5</f>
        <v>12</v>
      </c>
      <c r="AP620" s="44">
        <f>(打分卡!$D$12*AH620+打分卡!$D$13*AI620+打分卡!$D$14*AJ620+打分卡!$D$15*AK620)/5</f>
        <v>14</v>
      </c>
      <c r="AQ620" s="44">
        <f>(打分卡!$D$16*AL620+打分卡!$D$17*AM620)/5</f>
        <v>3.2</v>
      </c>
      <c r="AR620" s="47">
        <f t="shared" si="74"/>
        <v>45.4</v>
      </c>
      <c r="AS620" s="43" t="str">
        <f t="shared" si="75"/>
        <v>腰部</v>
      </c>
      <c r="AT620" s="43" t="str">
        <f t="shared" si="76"/>
        <v/>
      </c>
      <c r="AU620" s="43" t="str">
        <f t="shared" si="77"/>
        <v>拉·主攻：主推AI外呼+大促作战包</v>
      </c>
    </row>
    <row r="621" ht="15" customHeight="1" spans="1:47">
      <c r="A621" s="20" t="s">
        <v>1873</v>
      </c>
      <c r="B621" s="22" t="s">
        <v>1874</v>
      </c>
      <c r="C621" s="22" t="s">
        <v>218</v>
      </c>
      <c r="D621" s="22" t="s">
        <v>196</v>
      </c>
      <c r="E621" s="22" t="s">
        <v>197</v>
      </c>
      <c r="F621" s="20" t="s">
        <v>888</v>
      </c>
      <c r="G621" s="22">
        <v>11</v>
      </c>
      <c r="H621" s="22" t="s">
        <v>301</v>
      </c>
      <c r="I621" s="22" t="s">
        <v>184</v>
      </c>
      <c r="J621" s="36">
        <v>14300</v>
      </c>
      <c r="K621" s="36">
        <v>11600</v>
      </c>
      <c r="L621" s="36">
        <v>5500</v>
      </c>
      <c r="M621" s="36">
        <f t="shared" si="72"/>
        <v>31400</v>
      </c>
      <c r="N621" s="34">
        <f t="shared" si="78"/>
        <v>0.00016461889153817</v>
      </c>
      <c r="O621" s="35">
        <f>SUM($M$2:M621)</f>
        <v>183809200</v>
      </c>
      <c r="P621" s="34">
        <f t="shared" si="79"/>
        <v>0.963645438169354</v>
      </c>
      <c r="Q621" s="39">
        <v>2.8</v>
      </c>
      <c r="R621" s="22">
        <v>7</v>
      </c>
      <c r="S621" s="22">
        <v>3</v>
      </c>
      <c r="T621" s="22">
        <v>1</v>
      </c>
      <c r="U621" s="39">
        <v>8.5</v>
      </c>
      <c r="V621" s="22">
        <v>23</v>
      </c>
      <c r="W621" s="22">
        <v>2</v>
      </c>
      <c r="X621" s="40">
        <v>113</v>
      </c>
      <c r="Y621" s="22">
        <v>1</v>
      </c>
      <c r="Z621" s="22">
        <v>0</v>
      </c>
      <c r="AA621" s="22" t="s">
        <v>185</v>
      </c>
      <c r="AB621" s="22" t="s">
        <v>220</v>
      </c>
      <c r="AC621" s="42">
        <f>IFERROR(LOOKUP(M621,打分卡!$F$7:$J$7,打分卡!$K$7:$O$7),1)</f>
        <v>2</v>
      </c>
      <c r="AD621" s="42">
        <f>IFERROR(LOOKUP(S621,打分卡!$F$8:$J$8,打分卡!$K$8:$O$8),1)</f>
        <v>3</v>
      </c>
      <c r="AE621" s="42">
        <f>IFERROR(LOOKUP(T621,打分卡!$F$9:$I$9,打分卡!$K$9:$N$9),1)</f>
        <v>2</v>
      </c>
      <c r="AF621" s="42">
        <f>IFERROR(LOOKUP(Q621,打分卡!$F$10:$J$10,打分卡!$K$10:$O$10),1)</f>
        <v>2</v>
      </c>
      <c r="AG621" s="42">
        <f>IFERROR(LOOKUP(R621,打分卡!$F$11:$J$11,打分卡!$K$11:$O$11),1)</f>
        <v>3</v>
      </c>
      <c r="AH621" s="42">
        <f>IFERROR(LOOKUP(U621,打分卡!$F$12:$J$12,打分卡!$K$12:$O$12),1)</f>
        <v>2</v>
      </c>
      <c r="AI621" s="42">
        <f>IFERROR(LOOKUP(X621,打分卡!$F$13:$J$13,打分卡!$K$13:$O$13),1)</f>
        <v>4</v>
      </c>
      <c r="AJ621" s="42">
        <f>IFERROR(LOOKUP(Y621,打分卡!$F$14:$J$14,打分卡!$K$14:$O$14),1)</f>
        <v>2</v>
      </c>
      <c r="AK621" s="42">
        <f>IFERROR(LOOKUP(W621,打分卡!$F$15:$J$15,打分卡!$K$15:$O$15),1)</f>
        <v>2</v>
      </c>
      <c r="AL621" s="45">
        <f t="shared" si="73"/>
        <v>3</v>
      </c>
      <c r="AM621" s="42">
        <f>IFERROR(LOOKUP(Z621,打分卡!$F$17:$H$17,打分卡!$K$17:$M$17),1)</f>
        <v>1</v>
      </c>
      <c r="AN621" s="46">
        <f>(打分卡!$D$7*AC621+打分卡!$D$8*AD621+打分卡!$D$9*AE621)/5</f>
        <v>17.6</v>
      </c>
      <c r="AO621" s="46">
        <f>(打分卡!$D$10*AF621+打分卡!$D$11*AG621)/5</f>
        <v>10</v>
      </c>
      <c r="AP621" s="46">
        <f>(打分卡!$D$12*AH621+打分卡!$D$13*AI621+打分卡!$D$14*AJ621+打分卡!$D$15*AK621)/5</f>
        <v>15.2</v>
      </c>
      <c r="AQ621" s="46">
        <f>(打分卡!$D$16*AL621+打分卡!$D$17*AM621)/5</f>
        <v>4.4</v>
      </c>
      <c r="AR621" s="48">
        <f t="shared" si="74"/>
        <v>47.2</v>
      </c>
      <c r="AS621" s="45" t="str">
        <f t="shared" si="75"/>
        <v>腰部</v>
      </c>
      <c r="AT621" s="45" t="str">
        <f t="shared" si="76"/>
        <v/>
      </c>
      <c r="AU621" s="45" t="str">
        <f t="shared" si="77"/>
        <v>拉·主攻：主推AI外呼+大促作战包</v>
      </c>
    </row>
    <row r="622" ht="15" customHeight="1" spans="1:47">
      <c r="A622" s="30" t="s">
        <v>1875</v>
      </c>
      <c r="B622" s="31" t="s">
        <v>1876</v>
      </c>
      <c r="C622" s="31" t="s">
        <v>179</v>
      </c>
      <c r="D622" s="31" t="s">
        <v>227</v>
      </c>
      <c r="E622" s="31" t="s">
        <v>197</v>
      </c>
      <c r="F622" s="30" t="s">
        <v>990</v>
      </c>
      <c r="G622" s="31">
        <v>16</v>
      </c>
      <c r="H622" s="31" t="s">
        <v>301</v>
      </c>
      <c r="I622" s="31" t="s">
        <v>184</v>
      </c>
      <c r="J622" s="33">
        <v>16100</v>
      </c>
      <c r="K622" s="33">
        <v>11200</v>
      </c>
      <c r="L622" s="33">
        <v>4100</v>
      </c>
      <c r="M622" s="33">
        <f t="shared" si="72"/>
        <v>31400</v>
      </c>
      <c r="N622" s="34">
        <f t="shared" si="78"/>
        <v>0.00016461889153817</v>
      </c>
      <c r="O622" s="35">
        <f>SUM($M$2:M622)</f>
        <v>183840600</v>
      </c>
      <c r="P622" s="34">
        <f t="shared" si="79"/>
        <v>0.963810057060892</v>
      </c>
      <c r="Q622" s="37">
        <v>4.4</v>
      </c>
      <c r="R622" s="31">
        <v>8</v>
      </c>
      <c r="S622" s="31">
        <v>1</v>
      </c>
      <c r="T622" s="31">
        <v>2</v>
      </c>
      <c r="U622" s="37">
        <v>18.7</v>
      </c>
      <c r="V622" s="31">
        <v>26</v>
      </c>
      <c r="W622" s="31">
        <v>3</v>
      </c>
      <c r="X622" s="38">
        <v>19</v>
      </c>
      <c r="Y622" s="31">
        <v>0</v>
      </c>
      <c r="Z622" s="31">
        <v>0</v>
      </c>
      <c r="AA622" s="31" t="s">
        <v>185</v>
      </c>
      <c r="AB622" s="31" t="s">
        <v>220</v>
      </c>
      <c r="AC622" s="41">
        <f>IFERROR(LOOKUP(M622,打分卡!$F$7:$J$7,打分卡!$K$7:$O$7),1)</f>
        <v>2</v>
      </c>
      <c r="AD622" s="41">
        <f>IFERROR(LOOKUP(S622,打分卡!$F$8:$J$8,打分卡!$K$8:$O$8),1)</f>
        <v>1</v>
      </c>
      <c r="AE622" s="41">
        <f>IFERROR(LOOKUP(T622,打分卡!$F$9:$I$9,打分卡!$K$9:$N$9),1)</f>
        <v>3</v>
      </c>
      <c r="AF622" s="41">
        <f>IFERROR(LOOKUP(Q622,打分卡!$F$10:$J$10,打分卡!$K$10:$O$10),1)</f>
        <v>2</v>
      </c>
      <c r="AG622" s="41">
        <f>IFERROR(LOOKUP(R622,打分卡!$F$11:$J$11,打分卡!$K$11:$O$11),1)</f>
        <v>3</v>
      </c>
      <c r="AH622" s="41">
        <f>IFERROR(LOOKUP(U622,打分卡!$F$12:$J$12,打分卡!$K$12:$O$12),1)</f>
        <v>3</v>
      </c>
      <c r="AI622" s="41">
        <f>IFERROR(LOOKUP(X622,打分卡!$F$13:$J$13,打分卡!$K$13:$O$13),1)</f>
        <v>2</v>
      </c>
      <c r="AJ622" s="41">
        <f>IFERROR(LOOKUP(Y622,打分卡!$F$14:$J$14,打分卡!$K$14:$O$14),1)</f>
        <v>1</v>
      </c>
      <c r="AK622" s="41">
        <f>IFERROR(LOOKUP(W622,打分卡!$F$15:$J$15,打分卡!$K$15:$O$15),1)</f>
        <v>3</v>
      </c>
      <c r="AL622" s="43">
        <f t="shared" si="73"/>
        <v>3</v>
      </c>
      <c r="AM622" s="41">
        <f>IFERROR(LOOKUP(Z622,打分卡!$F$17:$H$17,打分卡!$K$17:$M$17),1)</f>
        <v>1</v>
      </c>
      <c r="AN622" s="44">
        <f>(打分卡!$D$7*AC622+打分卡!$D$8*AD622+打分卡!$D$9*AE622)/5</f>
        <v>15.8</v>
      </c>
      <c r="AO622" s="44">
        <f>(打分卡!$D$10*AF622+打分卡!$D$11*AG622)/5</f>
        <v>10</v>
      </c>
      <c r="AP622" s="44">
        <f>(打分卡!$D$12*AH622+打分卡!$D$13*AI622+打分卡!$D$14*AJ622+打分卡!$D$15*AK622)/5</f>
        <v>14</v>
      </c>
      <c r="AQ622" s="44">
        <f>(打分卡!$D$16*AL622+打分卡!$D$17*AM622)/5</f>
        <v>4.4</v>
      </c>
      <c r="AR622" s="47">
        <f t="shared" si="74"/>
        <v>44.2</v>
      </c>
      <c r="AS622" s="43" t="str">
        <f t="shared" si="75"/>
        <v>腰部</v>
      </c>
      <c r="AT622" s="43" t="str">
        <f t="shared" si="76"/>
        <v/>
      </c>
      <c r="AU622" s="43" t="str">
        <f t="shared" si="77"/>
        <v>拉·主攻：主推AI外呼+大促作战包</v>
      </c>
    </row>
    <row r="623" ht="15" customHeight="1" spans="1:47">
      <c r="A623" s="20" t="s">
        <v>1877</v>
      </c>
      <c r="B623" s="22" t="s">
        <v>1878</v>
      </c>
      <c r="C623" s="22" t="s">
        <v>179</v>
      </c>
      <c r="D623" s="22" t="s">
        <v>202</v>
      </c>
      <c r="E623" s="22" t="s">
        <v>181</v>
      </c>
      <c r="F623" s="20" t="s">
        <v>888</v>
      </c>
      <c r="G623" s="22">
        <v>11</v>
      </c>
      <c r="H623" s="22" t="s">
        <v>301</v>
      </c>
      <c r="I623" s="22" t="s">
        <v>302</v>
      </c>
      <c r="J623" s="36">
        <v>17300</v>
      </c>
      <c r="K623" s="36">
        <v>7500</v>
      </c>
      <c r="L623" s="36">
        <v>6700</v>
      </c>
      <c r="M623" s="36">
        <f t="shared" si="72"/>
        <v>31500</v>
      </c>
      <c r="N623" s="34">
        <f t="shared" si="78"/>
        <v>0.00016514315552396</v>
      </c>
      <c r="O623" s="35">
        <f>SUM($M$2:M623)</f>
        <v>183872100</v>
      </c>
      <c r="P623" s="34">
        <f t="shared" si="79"/>
        <v>0.963975200216416</v>
      </c>
      <c r="Q623" s="39">
        <v>2.2</v>
      </c>
      <c r="R623" s="22">
        <v>8</v>
      </c>
      <c r="S623" s="22">
        <v>2</v>
      </c>
      <c r="T623" s="22">
        <v>1</v>
      </c>
      <c r="U623" s="39">
        <v>1.6</v>
      </c>
      <c r="V623" s="22">
        <v>16</v>
      </c>
      <c r="W623" s="22">
        <v>3</v>
      </c>
      <c r="X623" s="40">
        <v>28</v>
      </c>
      <c r="Y623" s="22">
        <v>1</v>
      </c>
      <c r="Z623" s="22">
        <v>1</v>
      </c>
      <c r="AA623" s="22" t="s">
        <v>199</v>
      </c>
      <c r="AB623" s="22" t="s">
        <v>220</v>
      </c>
      <c r="AC623" s="42">
        <f>IFERROR(LOOKUP(M623,打分卡!$F$7:$J$7,打分卡!$K$7:$O$7),1)</f>
        <v>2</v>
      </c>
      <c r="AD623" s="42">
        <f>IFERROR(LOOKUP(S623,打分卡!$F$8:$J$8,打分卡!$K$8:$O$8),1)</f>
        <v>2</v>
      </c>
      <c r="AE623" s="42">
        <f>IFERROR(LOOKUP(T623,打分卡!$F$9:$I$9,打分卡!$K$9:$N$9),1)</f>
        <v>2</v>
      </c>
      <c r="AF623" s="42">
        <f>IFERROR(LOOKUP(Q623,打分卡!$F$10:$J$10,打分卡!$K$10:$O$10),1)</f>
        <v>1</v>
      </c>
      <c r="AG623" s="42">
        <f>IFERROR(LOOKUP(R623,打分卡!$F$11:$J$11,打分卡!$K$11:$O$11),1)</f>
        <v>3</v>
      </c>
      <c r="AH623" s="42">
        <f>IFERROR(LOOKUP(U623,打分卡!$F$12:$J$12,打分卡!$K$12:$O$12),1)</f>
        <v>1</v>
      </c>
      <c r="AI623" s="42">
        <f>IFERROR(LOOKUP(X623,打分卡!$F$13:$J$13,打分卡!$K$13:$O$13),1)</f>
        <v>2</v>
      </c>
      <c r="AJ623" s="42">
        <f>IFERROR(LOOKUP(Y623,打分卡!$F$14:$J$14,打分卡!$K$14:$O$14),1)</f>
        <v>2</v>
      </c>
      <c r="AK623" s="42">
        <f>IFERROR(LOOKUP(W623,打分卡!$F$15:$J$15,打分卡!$K$15:$O$15),1)</f>
        <v>3</v>
      </c>
      <c r="AL623" s="45">
        <f t="shared" si="73"/>
        <v>5</v>
      </c>
      <c r="AM623" s="42">
        <f>IFERROR(LOOKUP(Z623,打分卡!$F$17:$H$17,打分卡!$K$17:$M$17),1)</f>
        <v>3</v>
      </c>
      <c r="AN623" s="46">
        <f>(打分卡!$D$7*AC623+打分卡!$D$8*AD623+打分卡!$D$9*AE623)/5</f>
        <v>16</v>
      </c>
      <c r="AO623" s="46">
        <f>(打分卡!$D$10*AF623+打分卡!$D$11*AG623)/5</f>
        <v>8</v>
      </c>
      <c r="AP623" s="46">
        <f>(打分卡!$D$12*AH623+打分卡!$D$13*AI623+打分卡!$D$14*AJ623+打分卡!$D$15*AK623)/5</f>
        <v>10.4</v>
      </c>
      <c r="AQ623" s="46">
        <f>(打分卡!$D$16*AL623+打分卡!$D$17*AM623)/5</f>
        <v>8.4</v>
      </c>
      <c r="AR623" s="48">
        <f t="shared" si="74"/>
        <v>42.8</v>
      </c>
      <c r="AS623" s="45" t="str">
        <f t="shared" si="75"/>
        <v>腰部</v>
      </c>
      <c r="AT623" s="45" t="str">
        <f t="shared" si="76"/>
        <v/>
      </c>
      <c r="AU623" s="45" t="str">
        <f t="shared" si="77"/>
        <v>拉·主攻：主推AI外呼+大促作战包</v>
      </c>
    </row>
    <row r="624" ht="15" customHeight="1" spans="1:47">
      <c r="A624" s="30" t="s">
        <v>1879</v>
      </c>
      <c r="B624" s="31" t="s">
        <v>1880</v>
      </c>
      <c r="C624" s="31" t="s">
        <v>189</v>
      </c>
      <c r="D624" s="31" t="s">
        <v>196</v>
      </c>
      <c r="E624" s="31" t="s">
        <v>181</v>
      </c>
      <c r="F624" s="30" t="s">
        <v>1881</v>
      </c>
      <c r="G624" s="31">
        <v>10</v>
      </c>
      <c r="H624" s="31" t="s">
        <v>301</v>
      </c>
      <c r="I624" s="31" t="s">
        <v>184</v>
      </c>
      <c r="J624" s="33">
        <v>19600</v>
      </c>
      <c r="K624" s="33">
        <v>6600</v>
      </c>
      <c r="L624" s="33">
        <v>4900</v>
      </c>
      <c r="M624" s="33">
        <f t="shared" si="72"/>
        <v>31100</v>
      </c>
      <c r="N624" s="34">
        <f t="shared" si="78"/>
        <v>0.000163046099580799</v>
      </c>
      <c r="O624" s="35">
        <f>SUM($M$2:M624)</f>
        <v>183903200</v>
      </c>
      <c r="P624" s="34">
        <f t="shared" si="79"/>
        <v>0.964138246315997</v>
      </c>
      <c r="Q624" s="37">
        <v>3.7</v>
      </c>
      <c r="R624" s="31">
        <v>5</v>
      </c>
      <c r="S624" s="31">
        <v>1</v>
      </c>
      <c r="T624" s="31">
        <v>0</v>
      </c>
      <c r="U624" s="37">
        <v>3.4</v>
      </c>
      <c r="V624" s="31">
        <v>28</v>
      </c>
      <c r="W624" s="31">
        <v>4</v>
      </c>
      <c r="X624" s="38">
        <v>122</v>
      </c>
      <c r="Y624" s="31">
        <v>3</v>
      </c>
      <c r="Z624" s="31">
        <v>0</v>
      </c>
      <c r="AA624" s="31" t="s">
        <v>185</v>
      </c>
      <c r="AB624" s="31" t="s">
        <v>220</v>
      </c>
      <c r="AC624" s="41">
        <f>IFERROR(LOOKUP(M624,打分卡!$F$7:$J$7,打分卡!$K$7:$O$7),1)</f>
        <v>2</v>
      </c>
      <c r="AD624" s="41">
        <f>IFERROR(LOOKUP(S624,打分卡!$F$8:$J$8,打分卡!$K$8:$O$8),1)</f>
        <v>1</v>
      </c>
      <c r="AE624" s="41">
        <f>IFERROR(LOOKUP(T624,打分卡!$F$9:$I$9,打分卡!$K$9:$N$9),1)</f>
        <v>1</v>
      </c>
      <c r="AF624" s="41">
        <f>IFERROR(LOOKUP(Q624,打分卡!$F$10:$J$10,打分卡!$K$10:$O$10),1)</f>
        <v>2</v>
      </c>
      <c r="AG624" s="41">
        <f>IFERROR(LOOKUP(R624,打分卡!$F$11:$J$11,打分卡!$K$11:$O$11),1)</f>
        <v>3</v>
      </c>
      <c r="AH624" s="41">
        <f>IFERROR(LOOKUP(U624,打分卡!$F$12:$J$12,打分卡!$K$12:$O$12),1)</f>
        <v>2</v>
      </c>
      <c r="AI624" s="41">
        <f>IFERROR(LOOKUP(X624,打分卡!$F$13:$J$13,打分卡!$K$13:$O$13),1)</f>
        <v>4</v>
      </c>
      <c r="AJ624" s="41">
        <f>IFERROR(LOOKUP(Y624,打分卡!$F$14:$J$14,打分卡!$K$14:$O$14),1)</f>
        <v>4</v>
      </c>
      <c r="AK624" s="41">
        <f>IFERROR(LOOKUP(W624,打分卡!$F$15:$J$15,打分卡!$K$15:$O$15),1)</f>
        <v>3</v>
      </c>
      <c r="AL624" s="43">
        <f t="shared" si="73"/>
        <v>3</v>
      </c>
      <c r="AM624" s="41">
        <f>IFERROR(LOOKUP(Z624,打分卡!$F$17:$H$17,打分卡!$K$17:$M$17),1)</f>
        <v>1</v>
      </c>
      <c r="AN624" s="44">
        <f>(打分卡!$D$7*AC624+打分卡!$D$8*AD624+打分卡!$D$9*AE624)/5</f>
        <v>13</v>
      </c>
      <c r="AO624" s="44">
        <f>(打分卡!$D$10*AF624+打分卡!$D$11*AG624)/5</f>
        <v>10</v>
      </c>
      <c r="AP624" s="44">
        <f>(打分卡!$D$12*AH624+打分卡!$D$13*AI624+打分卡!$D$14*AJ624+打分卡!$D$15*AK624)/5</f>
        <v>18.4</v>
      </c>
      <c r="AQ624" s="44">
        <f>(打分卡!$D$16*AL624+打分卡!$D$17*AM624)/5</f>
        <v>4.4</v>
      </c>
      <c r="AR624" s="47">
        <f t="shared" si="74"/>
        <v>45.8</v>
      </c>
      <c r="AS624" s="43" t="str">
        <f t="shared" si="75"/>
        <v>腰部</v>
      </c>
      <c r="AT624" s="43" t="str">
        <f t="shared" si="76"/>
        <v/>
      </c>
      <c r="AU624" s="43" t="str">
        <f t="shared" si="77"/>
        <v>拉·主攻：主推AI外呼+大促作战包</v>
      </c>
    </row>
    <row r="625" ht="15" customHeight="1" spans="1:47">
      <c r="A625" s="20" t="s">
        <v>1882</v>
      </c>
      <c r="B625" s="22" t="s">
        <v>1883</v>
      </c>
      <c r="C625" s="22" t="s">
        <v>239</v>
      </c>
      <c r="D625" s="22" t="s">
        <v>227</v>
      </c>
      <c r="E625" s="22" t="s">
        <v>181</v>
      </c>
      <c r="F625" s="20" t="s">
        <v>1519</v>
      </c>
      <c r="G625" s="22">
        <v>10</v>
      </c>
      <c r="H625" s="22" t="s">
        <v>301</v>
      </c>
      <c r="I625" s="22" t="s">
        <v>184</v>
      </c>
      <c r="J625" s="36">
        <v>14100</v>
      </c>
      <c r="K625" s="36">
        <v>6400</v>
      </c>
      <c r="L625" s="36">
        <v>10500</v>
      </c>
      <c r="M625" s="36">
        <f t="shared" si="72"/>
        <v>31000</v>
      </c>
      <c r="N625" s="34">
        <f t="shared" si="78"/>
        <v>0.000162521835595008</v>
      </c>
      <c r="O625" s="35">
        <f>SUM($M$2:M625)</f>
        <v>183934200</v>
      </c>
      <c r="P625" s="34">
        <f t="shared" si="79"/>
        <v>0.964300768151592</v>
      </c>
      <c r="Q625" s="39">
        <v>2.2</v>
      </c>
      <c r="R625" s="22">
        <v>3</v>
      </c>
      <c r="S625" s="22">
        <v>1</v>
      </c>
      <c r="T625" s="22">
        <v>2</v>
      </c>
      <c r="U625" s="39">
        <v>75</v>
      </c>
      <c r="V625" s="22">
        <v>22</v>
      </c>
      <c r="W625" s="22">
        <v>1</v>
      </c>
      <c r="X625" s="40">
        <v>49</v>
      </c>
      <c r="Y625" s="22">
        <v>2</v>
      </c>
      <c r="Z625" s="22">
        <v>1</v>
      </c>
      <c r="AA625" s="22" t="s">
        <v>315</v>
      </c>
      <c r="AB625" s="22" t="s">
        <v>220</v>
      </c>
      <c r="AC625" s="42">
        <f>IFERROR(LOOKUP(M625,打分卡!$F$7:$J$7,打分卡!$K$7:$O$7),1)</f>
        <v>2</v>
      </c>
      <c r="AD625" s="42">
        <f>IFERROR(LOOKUP(S625,打分卡!$F$8:$J$8,打分卡!$K$8:$O$8),1)</f>
        <v>1</v>
      </c>
      <c r="AE625" s="42">
        <f>IFERROR(LOOKUP(T625,打分卡!$F$9:$I$9,打分卡!$K$9:$N$9),1)</f>
        <v>3</v>
      </c>
      <c r="AF625" s="42">
        <f>IFERROR(LOOKUP(Q625,打分卡!$F$10:$J$10,打分卡!$K$10:$O$10),1)</f>
        <v>1</v>
      </c>
      <c r="AG625" s="42">
        <f>IFERROR(LOOKUP(R625,打分卡!$F$11:$J$11,打分卡!$K$11:$O$11),1)</f>
        <v>2</v>
      </c>
      <c r="AH625" s="42">
        <f>IFERROR(LOOKUP(U625,打分卡!$F$12:$J$12,打分卡!$K$12:$O$12),1)</f>
        <v>5</v>
      </c>
      <c r="AI625" s="42">
        <f>IFERROR(LOOKUP(X625,打分卡!$F$13:$J$13,打分卡!$K$13:$O$13),1)</f>
        <v>3</v>
      </c>
      <c r="AJ625" s="42">
        <f>IFERROR(LOOKUP(Y625,打分卡!$F$14:$J$14,打分卡!$K$14:$O$14),1)</f>
        <v>3</v>
      </c>
      <c r="AK625" s="42">
        <f>IFERROR(LOOKUP(W625,打分卡!$F$15:$J$15,打分卡!$K$15:$O$15),1)</f>
        <v>2</v>
      </c>
      <c r="AL625" s="45">
        <f t="shared" si="73"/>
        <v>2</v>
      </c>
      <c r="AM625" s="42">
        <f>IFERROR(LOOKUP(Z625,打分卡!$F$17:$H$17,打分卡!$K$17:$M$17),1)</f>
        <v>3</v>
      </c>
      <c r="AN625" s="46">
        <f>(打分卡!$D$7*AC625+打分卡!$D$8*AD625+打分卡!$D$9*AE625)/5</f>
        <v>15.8</v>
      </c>
      <c r="AO625" s="46">
        <f>(打分卡!$D$10*AF625+打分卡!$D$11*AG625)/5</f>
        <v>6</v>
      </c>
      <c r="AP625" s="46">
        <f>(打分卡!$D$12*AH625+打分卡!$D$13*AI625+打分卡!$D$14*AJ625+打分卡!$D$15*AK625)/5</f>
        <v>22</v>
      </c>
      <c r="AQ625" s="46">
        <f>(打分卡!$D$16*AL625+打分卡!$D$17*AM625)/5</f>
        <v>4.8</v>
      </c>
      <c r="AR625" s="48">
        <f t="shared" si="74"/>
        <v>48.6</v>
      </c>
      <c r="AS625" s="45" t="str">
        <f t="shared" si="75"/>
        <v>腰部</v>
      </c>
      <c r="AT625" s="45" t="str">
        <f t="shared" si="76"/>
        <v/>
      </c>
      <c r="AU625" s="45" t="str">
        <f t="shared" si="77"/>
        <v>拉·主攻：主推AI外呼+大促作战包</v>
      </c>
    </row>
    <row r="626" ht="15" customHeight="1" spans="1:47">
      <c r="A626" s="30" t="s">
        <v>1884</v>
      </c>
      <c r="B626" s="31" t="s">
        <v>1885</v>
      </c>
      <c r="C626" s="31" t="s">
        <v>189</v>
      </c>
      <c r="D626" s="31" t="s">
        <v>202</v>
      </c>
      <c r="E626" s="31" t="s">
        <v>197</v>
      </c>
      <c r="F626" s="30" t="s">
        <v>1886</v>
      </c>
      <c r="G626" s="31">
        <v>18</v>
      </c>
      <c r="H626" s="31" t="s">
        <v>301</v>
      </c>
      <c r="I626" s="31" t="s">
        <v>302</v>
      </c>
      <c r="J626" s="33">
        <v>18500</v>
      </c>
      <c r="K626" s="33">
        <v>11000</v>
      </c>
      <c r="L626" s="33">
        <v>1600</v>
      </c>
      <c r="M626" s="33">
        <f t="shared" si="72"/>
        <v>31100</v>
      </c>
      <c r="N626" s="34">
        <f t="shared" si="78"/>
        <v>0.000163046099580799</v>
      </c>
      <c r="O626" s="35">
        <f>SUM($M$2:M626)</f>
        <v>183965300</v>
      </c>
      <c r="P626" s="34">
        <f t="shared" si="79"/>
        <v>0.964463814251173</v>
      </c>
      <c r="Q626" s="37">
        <v>2.5</v>
      </c>
      <c r="R626" s="31">
        <v>2</v>
      </c>
      <c r="S626" s="31">
        <v>2</v>
      </c>
      <c r="T626" s="31">
        <v>0</v>
      </c>
      <c r="U626" s="37">
        <v>6.6</v>
      </c>
      <c r="V626" s="31">
        <v>10</v>
      </c>
      <c r="W626" s="31">
        <v>1</v>
      </c>
      <c r="X626" s="38">
        <v>23</v>
      </c>
      <c r="Y626" s="31">
        <v>2</v>
      </c>
      <c r="Z626" s="31">
        <v>0</v>
      </c>
      <c r="AA626" s="31" t="s">
        <v>199</v>
      </c>
      <c r="AB626" s="31" t="s">
        <v>220</v>
      </c>
      <c r="AC626" s="41">
        <f>IFERROR(LOOKUP(M626,打分卡!$F$7:$J$7,打分卡!$K$7:$O$7),1)</f>
        <v>2</v>
      </c>
      <c r="AD626" s="41">
        <f>IFERROR(LOOKUP(S626,打分卡!$F$8:$J$8,打分卡!$K$8:$O$8),1)</f>
        <v>2</v>
      </c>
      <c r="AE626" s="41">
        <f>IFERROR(LOOKUP(T626,打分卡!$F$9:$I$9,打分卡!$K$9:$N$9),1)</f>
        <v>1</v>
      </c>
      <c r="AF626" s="41">
        <f>IFERROR(LOOKUP(Q626,打分卡!$F$10:$J$10,打分卡!$K$10:$O$10),1)</f>
        <v>2</v>
      </c>
      <c r="AG626" s="41">
        <f>IFERROR(LOOKUP(R626,打分卡!$F$11:$J$11,打分卡!$K$11:$O$11),1)</f>
        <v>1</v>
      </c>
      <c r="AH626" s="41">
        <f>IFERROR(LOOKUP(U626,打分卡!$F$12:$J$12,打分卡!$K$12:$O$12),1)</f>
        <v>2</v>
      </c>
      <c r="AI626" s="41">
        <f>IFERROR(LOOKUP(X626,打分卡!$F$13:$J$13,打分卡!$K$13:$O$13),1)</f>
        <v>2</v>
      </c>
      <c r="AJ626" s="41">
        <f>IFERROR(LOOKUP(Y626,打分卡!$F$14:$J$14,打分卡!$K$14:$O$14),1)</f>
        <v>3</v>
      </c>
      <c r="AK626" s="41">
        <f>IFERROR(LOOKUP(W626,打分卡!$F$15:$J$15,打分卡!$K$15:$O$15),1)</f>
        <v>2</v>
      </c>
      <c r="AL626" s="43">
        <f t="shared" si="73"/>
        <v>5</v>
      </c>
      <c r="AM626" s="41">
        <f>IFERROR(LOOKUP(Z626,打分卡!$F$17:$H$17,打分卡!$K$17:$M$17),1)</f>
        <v>1</v>
      </c>
      <c r="AN626" s="44">
        <f>(打分卡!$D$7*AC626+打分卡!$D$8*AD626+打分卡!$D$9*AE626)/5</f>
        <v>14.6</v>
      </c>
      <c r="AO626" s="44">
        <f>(打分卡!$D$10*AF626+打分卡!$D$11*AG626)/5</f>
        <v>6</v>
      </c>
      <c r="AP626" s="44">
        <f>(打分卡!$D$12*AH626+打分卡!$D$13*AI626+打分卡!$D$14*AJ626+打分卡!$D$15*AK626)/5</f>
        <v>13.2</v>
      </c>
      <c r="AQ626" s="44">
        <f>(打分卡!$D$16*AL626+打分卡!$D$17*AM626)/5</f>
        <v>6.8</v>
      </c>
      <c r="AR626" s="47">
        <f t="shared" si="74"/>
        <v>40.6</v>
      </c>
      <c r="AS626" s="43" t="str">
        <f t="shared" si="75"/>
        <v>腰部</v>
      </c>
      <c r="AT626" s="43" t="str">
        <f t="shared" si="76"/>
        <v/>
      </c>
      <c r="AU626" s="43" t="str">
        <f t="shared" si="77"/>
        <v>拉·主攻：主推AI外呼+大促作战包</v>
      </c>
    </row>
    <row r="627" ht="15" customHeight="1" spans="1:47">
      <c r="A627" s="20" t="s">
        <v>1887</v>
      </c>
      <c r="B627" s="22" t="s">
        <v>1888</v>
      </c>
      <c r="C627" s="22" t="s">
        <v>223</v>
      </c>
      <c r="D627" s="22" t="s">
        <v>202</v>
      </c>
      <c r="E627" s="22" t="s">
        <v>197</v>
      </c>
      <c r="F627" s="20" t="s">
        <v>1358</v>
      </c>
      <c r="G627" s="22">
        <v>10</v>
      </c>
      <c r="H627" s="22" t="s">
        <v>301</v>
      </c>
      <c r="I627" s="22" t="s">
        <v>302</v>
      </c>
      <c r="J627" s="36">
        <v>15200</v>
      </c>
      <c r="K627" s="36">
        <v>10200</v>
      </c>
      <c r="L627" s="36">
        <v>5200</v>
      </c>
      <c r="M627" s="36">
        <f t="shared" si="72"/>
        <v>30600</v>
      </c>
      <c r="N627" s="34">
        <f t="shared" si="78"/>
        <v>0.000160424779651847</v>
      </c>
      <c r="O627" s="35">
        <f>SUM($M$2:M627)</f>
        <v>183995900</v>
      </c>
      <c r="P627" s="34">
        <f t="shared" si="79"/>
        <v>0.964624239030825</v>
      </c>
      <c r="Q627" s="39">
        <v>4.7</v>
      </c>
      <c r="R627" s="22">
        <v>8</v>
      </c>
      <c r="S627" s="22">
        <v>1</v>
      </c>
      <c r="T627" s="22">
        <v>1</v>
      </c>
      <c r="U627" s="39">
        <v>1.1</v>
      </c>
      <c r="V627" s="22">
        <v>14</v>
      </c>
      <c r="W627" s="22">
        <v>3</v>
      </c>
      <c r="X627" s="40">
        <v>38</v>
      </c>
      <c r="Y627" s="22">
        <v>3</v>
      </c>
      <c r="Z627" s="22">
        <v>1</v>
      </c>
      <c r="AA627" s="22" t="s">
        <v>199</v>
      </c>
      <c r="AB627" s="22" t="s">
        <v>220</v>
      </c>
      <c r="AC627" s="42">
        <f>IFERROR(LOOKUP(M627,打分卡!$F$7:$J$7,打分卡!$K$7:$O$7),1)</f>
        <v>2</v>
      </c>
      <c r="AD627" s="42">
        <f>IFERROR(LOOKUP(S627,打分卡!$F$8:$J$8,打分卡!$K$8:$O$8),1)</f>
        <v>1</v>
      </c>
      <c r="AE627" s="42">
        <f>IFERROR(LOOKUP(T627,打分卡!$F$9:$I$9,打分卡!$K$9:$N$9),1)</f>
        <v>2</v>
      </c>
      <c r="AF627" s="42">
        <f>IFERROR(LOOKUP(Q627,打分卡!$F$10:$J$10,打分卡!$K$10:$O$10),1)</f>
        <v>2</v>
      </c>
      <c r="AG627" s="42">
        <f>IFERROR(LOOKUP(R627,打分卡!$F$11:$J$11,打分卡!$K$11:$O$11),1)</f>
        <v>3</v>
      </c>
      <c r="AH627" s="42">
        <f>IFERROR(LOOKUP(U627,打分卡!$F$12:$J$12,打分卡!$K$12:$O$12),1)</f>
        <v>1</v>
      </c>
      <c r="AI627" s="42">
        <f>IFERROR(LOOKUP(X627,打分卡!$F$13:$J$13,打分卡!$K$13:$O$13),1)</f>
        <v>2</v>
      </c>
      <c r="AJ627" s="42">
        <f>IFERROR(LOOKUP(Y627,打分卡!$F$14:$J$14,打分卡!$K$14:$O$14),1)</f>
        <v>4</v>
      </c>
      <c r="AK627" s="42">
        <f>IFERROR(LOOKUP(W627,打分卡!$F$15:$J$15,打分卡!$K$15:$O$15),1)</f>
        <v>3</v>
      </c>
      <c r="AL627" s="45">
        <f t="shared" si="73"/>
        <v>5</v>
      </c>
      <c r="AM627" s="42">
        <f>IFERROR(LOOKUP(Z627,打分卡!$F$17:$H$17,打分卡!$K$17:$M$17),1)</f>
        <v>3</v>
      </c>
      <c r="AN627" s="46">
        <f>(打分卡!$D$7*AC627+打分卡!$D$8*AD627+打分卡!$D$9*AE627)/5</f>
        <v>14.4</v>
      </c>
      <c r="AO627" s="46">
        <f>(打分卡!$D$10*AF627+打分卡!$D$11*AG627)/5</f>
        <v>10</v>
      </c>
      <c r="AP627" s="46">
        <f>(打分卡!$D$12*AH627+打分卡!$D$13*AI627+打分卡!$D$14*AJ627+打分卡!$D$15*AK627)/5</f>
        <v>12.8</v>
      </c>
      <c r="AQ627" s="46">
        <f>(打分卡!$D$16*AL627+打分卡!$D$17*AM627)/5</f>
        <v>8.4</v>
      </c>
      <c r="AR627" s="48">
        <f t="shared" si="74"/>
        <v>45.6</v>
      </c>
      <c r="AS627" s="45" t="str">
        <f t="shared" si="75"/>
        <v>腰部</v>
      </c>
      <c r="AT627" s="45" t="str">
        <f t="shared" si="76"/>
        <v/>
      </c>
      <c r="AU627" s="45" t="str">
        <f t="shared" si="77"/>
        <v>拉·主攻：主推AI外呼+大促作战包</v>
      </c>
    </row>
    <row r="628" ht="15" customHeight="1" spans="1:47">
      <c r="A628" s="30" t="s">
        <v>1889</v>
      </c>
      <c r="B628" s="31" t="s">
        <v>1890</v>
      </c>
      <c r="C628" s="31" t="s">
        <v>239</v>
      </c>
      <c r="D628" s="31" t="s">
        <v>202</v>
      </c>
      <c r="E628" s="31" t="s">
        <v>181</v>
      </c>
      <c r="F628" s="30" t="s">
        <v>1891</v>
      </c>
      <c r="G628" s="31">
        <v>11</v>
      </c>
      <c r="H628" s="31" t="s">
        <v>301</v>
      </c>
      <c r="I628" s="31" t="s">
        <v>302</v>
      </c>
      <c r="J628" s="33">
        <v>17800</v>
      </c>
      <c r="K628" s="33">
        <v>10000</v>
      </c>
      <c r="L628" s="33">
        <v>2700</v>
      </c>
      <c r="M628" s="33">
        <f t="shared" si="72"/>
        <v>30500</v>
      </c>
      <c r="N628" s="34">
        <f t="shared" si="78"/>
        <v>0.000159900515666056</v>
      </c>
      <c r="O628" s="35">
        <f>SUM($M$2:M628)</f>
        <v>184026400</v>
      </c>
      <c r="P628" s="34">
        <f t="shared" si="79"/>
        <v>0.964784139546491</v>
      </c>
      <c r="Q628" s="37">
        <v>2.7</v>
      </c>
      <c r="R628" s="31">
        <v>4</v>
      </c>
      <c r="S628" s="31">
        <v>1</v>
      </c>
      <c r="T628" s="31">
        <v>1</v>
      </c>
      <c r="U628" s="37">
        <v>1.1</v>
      </c>
      <c r="V628" s="31">
        <v>7</v>
      </c>
      <c r="W628" s="31">
        <v>0</v>
      </c>
      <c r="X628" s="38">
        <v>138</v>
      </c>
      <c r="Y628" s="31">
        <v>1</v>
      </c>
      <c r="Z628" s="31">
        <v>1</v>
      </c>
      <c r="AA628" s="31" t="s">
        <v>199</v>
      </c>
      <c r="AB628" s="31" t="s">
        <v>220</v>
      </c>
      <c r="AC628" s="41">
        <f>IFERROR(LOOKUP(M628,打分卡!$F$7:$J$7,打分卡!$K$7:$O$7),1)</f>
        <v>2</v>
      </c>
      <c r="AD628" s="41">
        <f>IFERROR(LOOKUP(S628,打分卡!$F$8:$J$8,打分卡!$K$8:$O$8),1)</f>
        <v>1</v>
      </c>
      <c r="AE628" s="41">
        <f>IFERROR(LOOKUP(T628,打分卡!$F$9:$I$9,打分卡!$K$9:$N$9),1)</f>
        <v>2</v>
      </c>
      <c r="AF628" s="41">
        <f>IFERROR(LOOKUP(Q628,打分卡!$F$10:$J$10,打分卡!$K$10:$O$10),1)</f>
        <v>2</v>
      </c>
      <c r="AG628" s="41">
        <f>IFERROR(LOOKUP(R628,打分卡!$F$11:$J$11,打分卡!$K$11:$O$11),1)</f>
        <v>2</v>
      </c>
      <c r="AH628" s="41">
        <f>IFERROR(LOOKUP(U628,打分卡!$F$12:$J$12,打分卡!$K$12:$O$12),1)</f>
        <v>1</v>
      </c>
      <c r="AI628" s="41">
        <f>IFERROR(LOOKUP(X628,打分卡!$F$13:$J$13,打分卡!$K$13:$O$13),1)</f>
        <v>4</v>
      </c>
      <c r="AJ628" s="41">
        <f>IFERROR(LOOKUP(Y628,打分卡!$F$14:$J$14,打分卡!$K$14:$O$14),1)</f>
        <v>2</v>
      </c>
      <c r="AK628" s="41">
        <f>IFERROR(LOOKUP(W628,打分卡!$F$15:$J$15,打分卡!$K$15:$O$15),1)</f>
        <v>1</v>
      </c>
      <c r="AL628" s="43">
        <f t="shared" si="73"/>
        <v>5</v>
      </c>
      <c r="AM628" s="41">
        <f>IFERROR(LOOKUP(Z628,打分卡!$F$17:$H$17,打分卡!$K$17:$M$17),1)</f>
        <v>3</v>
      </c>
      <c r="AN628" s="44">
        <f>(打分卡!$D$7*AC628+打分卡!$D$8*AD628+打分卡!$D$9*AE628)/5</f>
        <v>14.4</v>
      </c>
      <c r="AO628" s="44">
        <f>(打分卡!$D$10*AF628+打分卡!$D$11*AG628)/5</f>
        <v>8</v>
      </c>
      <c r="AP628" s="44">
        <f>(打分卡!$D$12*AH628+打分卡!$D$13*AI628+打分卡!$D$14*AJ628+打分卡!$D$15*AK628)/5</f>
        <v>12</v>
      </c>
      <c r="AQ628" s="44">
        <f>(打分卡!$D$16*AL628+打分卡!$D$17*AM628)/5</f>
        <v>8.4</v>
      </c>
      <c r="AR628" s="47">
        <f t="shared" si="74"/>
        <v>42.8</v>
      </c>
      <c r="AS628" s="43" t="str">
        <f t="shared" si="75"/>
        <v>腰部</v>
      </c>
      <c r="AT628" s="43" t="str">
        <f t="shared" si="76"/>
        <v/>
      </c>
      <c r="AU628" s="43" t="str">
        <f t="shared" si="77"/>
        <v>拉·主攻：主推AI外呼+大促作战包</v>
      </c>
    </row>
    <row r="629" ht="15" customHeight="1" spans="1:47">
      <c r="A629" s="20" t="s">
        <v>1892</v>
      </c>
      <c r="B629" s="22" t="s">
        <v>1893</v>
      </c>
      <c r="C629" s="22" t="s">
        <v>179</v>
      </c>
      <c r="D629" s="22" t="s">
        <v>235</v>
      </c>
      <c r="E629" s="22" t="s">
        <v>181</v>
      </c>
      <c r="F629" s="20" t="s">
        <v>620</v>
      </c>
      <c r="G629" s="22">
        <v>4</v>
      </c>
      <c r="H629" s="22" t="s">
        <v>301</v>
      </c>
      <c r="I629" s="22" t="s">
        <v>184</v>
      </c>
      <c r="J629" s="36">
        <v>16600</v>
      </c>
      <c r="K629" s="36">
        <v>6300</v>
      </c>
      <c r="L629" s="36">
        <v>7400</v>
      </c>
      <c r="M629" s="36">
        <f t="shared" si="72"/>
        <v>30300</v>
      </c>
      <c r="N629" s="34">
        <f t="shared" si="78"/>
        <v>0.000158851987694476</v>
      </c>
      <c r="O629" s="35">
        <f>SUM($M$2:M629)</f>
        <v>184056700</v>
      </c>
      <c r="P629" s="34">
        <f t="shared" si="79"/>
        <v>0.964942991534185</v>
      </c>
      <c r="Q629" s="39">
        <v>1.9</v>
      </c>
      <c r="R629" s="22">
        <v>1</v>
      </c>
      <c r="S629" s="22">
        <v>1</v>
      </c>
      <c r="T629" s="22">
        <v>0</v>
      </c>
      <c r="U629" s="39">
        <v>1.7</v>
      </c>
      <c r="V629" s="22">
        <v>12</v>
      </c>
      <c r="W629" s="22">
        <v>1</v>
      </c>
      <c r="X629" s="40">
        <v>103</v>
      </c>
      <c r="Y629" s="22">
        <v>3</v>
      </c>
      <c r="Z629" s="22">
        <v>1</v>
      </c>
      <c r="AA629" s="22" t="s">
        <v>185</v>
      </c>
      <c r="AB629" s="22" t="s">
        <v>220</v>
      </c>
      <c r="AC629" s="42">
        <f>IFERROR(LOOKUP(M629,打分卡!$F$7:$J$7,打分卡!$K$7:$O$7),1)</f>
        <v>2</v>
      </c>
      <c r="AD629" s="42">
        <f>IFERROR(LOOKUP(S629,打分卡!$F$8:$J$8,打分卡!$K$8:$O$8),1)</f>
        <v>1</v>
      </c>
      <c r="AE629" s="42">
        <f>IFERROR(LOOKUP(T629,打分卡!$F$9:$I$9,打分卡!$K$9:$N$9),1)</f>
        <v>1</v>
      </c>
      <c r="AF629" s="42">
        <f>IFERROR(LOOKUP(Q629,打分卡!$F$10:$J$10,打分卡!$K$10:$O$10),1)</f>
        <v>1</v>
      </c>
      <c r="AG629" s="42">
        <f>IFERROR(LOOKUP(R629,打分卡!$F$11:$J$11,打分卡!$K$11:$O$11),1)</f>
        <v>1</v>
      </c>
      <c r="AH629" s="42">
        <f>IFERROR(LOOKUP(U629,打分卡!$F$12:$J$12,打分卡!$K$12:$O$12),1)</f>
        <v>1</v>
      </c>
      <c r="AI629" s="42">
        <f>IFERROR(LOOKUP(X629,打分卡!$F$13:$J$13,打分卡!$K$13:$O$13),1)</f>
        <v>4</v>
      </c>
      <c r="AJ629" s="42">
        <f>IFERROR(LOOKUP(Y629,打分卡!$F$14:$J$14,打分卡!$K$14:$O$14),1)</f>
        <v>4</v>
      </c>
      <c r="AK629" s="42">
        <f>IFERROR(LOOKUP(W629,打分卡!$F$15:$J$15,打分卡!$K$15:$O$15),1)</f>
        <v>2</v>
      </c>
      <c r="AL629" s="45">
        <f t="shared" si="73"/>
        <v>3</v>
      </c>
      <c r="AM629" s="42">
        <f>IFERROR(LOOKUP(Z629,打分卡!$F$17:$H$17,打分卡!$K$17:$M$17),1)</f>
        <v>3</v>
      </c>
      <c r="AN629" s="46">
        <f>(打分卡!$D$7*AC629+打分卡!$D$8*AD629+打分卡!$D$9*AE629)/5</f>
        <v>13</v>
      </c>
      <c r="AO629" s="46">
        <f>(打分卡!$D$10*AF629+打分卡!$D$11*AG629)/5</f>
        <v>4</v>
      </c>
      <c r="AP629" s="46">
        <f>(打分卡!$D$12*AH629+打分卡!$D$13*AI629+打分卡!$D$14*AJ629+打分卡!$D$15*AK629)/5</f>
        <v>15.2</v>
      </c>
      <c r="AQ629" s="46">
        <f>(打分卡!$D$16*AL629+打分卡!$D$17*AM629)/5</f>
        <v>6</v>
      </c>
      <c r="AR629" s="48">
        <f t="shared" si="74"/>
        <v>38.2</v>
      </c>
      <c r="AS629" s="45" t="str">
        <f t="shared" si="75"/>
        <v>基础长尾</v>
      </c>
      <c r="AT629" s="45" t="str">
        <f t="shared" si="76"/>
        <v/>
      </c>
      <c r="AU629" s="45" t="str">
        <f t="shared" si="77"/>
        <v>激活：企微+Push低成本先跑</v>
      </c>
    </row>
    <row r="630" ht="15" customHeight="1" spans="1:47">
      <c r="A630" s="30" t="s">
        <v>1894</v>
      </c>
      <c r="B630" s="31" t="s">
        <v>1895</v>
      </c>
      <c r="C630" s="31" t="s">
        <v>179</v>
      </c>
      <c r="D630" s="31" t="s">
        <v>196</v>
      </c>
      <c r="E630" s="31" t="s">
        <v>181</v>
      </c>
      <c r="F630" s="30" t="s">
        <v>1896</v>
      </c>
      <c r="G630" s="31">
        <v>4</v>
      </c>
      <c r="H630" s="31" t="s">
        <v>301</v>
      </c>
      <c r="I630" s="31" t="s">
        <v>302</v>
      </c>
      <c r="J630" s="33">
        <v>14200</v>
      </c>
      <c r="K630" s="33">
        <v>11800</v>
      </c>
      <c r="L630" s="33">
        <v>4300</v>
      </c>
      <c r="M630" s="33">
        <f t="shared" si="72"/>
        <v>30300</v>
      </c>
      <c r="N630" s="34">
        <f t="shared" si="78"/>
        <v>0.000158851987694476</v>
      </c>
      <c r="O630" s="35">
        <f>SUM($M$2:M630)</f>
        <v>184087000</v>
      </c>
      <c r="P630" s="34">
        <f t="shared" si="79"/>
        <v>0.96510184352188</v>
      </c>
      <c r="Q630" s="37">
        <v>3.8</v>
      </c>
      <c r="R630" s="31">
        <v>6</v>
      </c>
      <c r="S630" s="31">
        <v>1</v>
      </c>
      <c r="T630" s="31">
        <v>0</v>
      </c>
      <c r="U630" s="37">
        <v>51.2</v>
      </c>
      <c r="V630" s="31">
        <v>27</v>
      </c>
      <c r="W630" s="31">
        <v>1</v>
      </c>
      <c r="X630" s="38">
        <v>68</v>
      </c>
      <c r="Y630" s="31">
        <v>2</v>
      </c>
      <c r="Z630" s="31">
        <v>0</v>
      </c>
      <c r="AA630" s="31" t="s">
        <v>185</v>
      </c>
      <c r="AB630" s="31" t="s">
        <v>220</v>
      </c>
      <c r="AC630" s="41">
        <f>IFERROR(LOOKUP(M630,打分卡!$F$7:$J$7,打分卡!$K$7:$O$7),1)</f>
        <v>2</v>
      </c>
      <c r="AD630" s="41">
        <f>IFERROR(LOOKUP(S630,打分卡!$F$8:$J$8,打分卡!$K$8:$O$8),1)</f>
        <v>1</v>
      </c>
      <c r="AE630" s="41">
        <f>IFERROR(LOOKUP(T630,打分卡!$F$9:$I$9,打分卡!$K$9:$N$9),1)</f>
        <v>1</v>
      </c>
      <c r="AF630" s="41">
        <f>IFERROR(LOOKUP(Q630,打分卡!$F$10:$J$10,打分卡!$K$10:$O$10),1)</f>
        <v>2</v>
      </c>
      <c r="AG630" s="41">
        <f>IFERROR(LOOKUP(R630,打分卡!$F$11:$J$11,打分卡!$K$11:$O$11),1)</f>
        <v>3</v>
      </c>
      <c r="AH630" s="41">
        <f>IFERROR(LOOKUP(U630,打分卡!$F$12:$J$12,打分卡!$K$12:$O$12),1)</f>
        <v>4</v>
      </c>
      <c r="AI630" s="41">
        <f>IFERROR(LOOKUP(X630,打分卡!$F$13:$J$13,打分卡!$K$13:$O$13),1)</f>
        <v>3</v>
      </c>
      <c r="AJ630" s="41">
        <f>IFERROR(LOOKUP(Y630,打分卡!$F$14:$J$14,打分卡!$K$14:$O$14),1)</f>
        <v>3</v>
      </c>
      <c r="AK630" s="41">
        <f>IFERROR(LOOKUP(W630,打分卡!$F$15:$J$15,打分卡!$K$15:$O$15),1)</f>
        <v>2</v>
      </c>
      <c r="AL630" s="43">
        <f t="shared" si="73"/>
        <v>3</v>
      </c>
      <c r="AM630" s="41">
        <f>IFERROR(LOOKUP(Z630,打分卡!$F$17:$H$17,打分卡!$K$17:$M$17),1)</f>
        <v>1</v>
      </c>
      <c r="AN630" s="44">
        <f>(打分卡!$D$7*AC630+打分卡!$D$8*AD630+打分卡!$D$9*AE630)/5</f>
        <v>13</v>
      </c>
      <c r="AO630" s="44">
        <f>(打分卡!$D$10*AF630+打分卡!$D$11*AG630)/5</f>
        <v>10</v>
      </c>
      <c r="AP630" s="44">
        <f>(打分卡!$D$12*AH630+打分卡!$D$13*AI630+打分卡!$D$14*AJ630+打分卡!$D$15*AK630)/5</f>
        <v>19.6</v>
      </c>
      <c r="AQ630" s="44">
        <f>(打分卡!$D$16*AL630+打分卡!$D$17*AM630)/5</f>
        <v>4.4</v>
      </c>
      <c r="AR630" s="47">
        <f t="shared" si="74"/>
        <v>47</v>
      </c>
      <c r="AS630" s="43" t="str">
        <f t="shared" si="75"/>
        <v>腰部</v>
      </c>
      <c r="AT630" s="43" t="str">
        <f t="shared" si="76"/>
        <v/>
      </c>
      <c r="AU630" s="43" t="str">
        <f t="shared" si="77"/>
        <v>拉·主攻：主推AI外呼+大促作战包</v>
      </c>
    </row>
    <row r="631" ht="15" customHeight="1" spans="1:47">
      <c r="A631" s="20" t="s">
        <v>1897</v>
      </c>
      <c r="B631" s="22" t="s">
        <v>1898</v>
      </c>
      <c r="C631" s="22" t="s">
        <v>189</v>
      </c>
      <c r="D631" s="22" t="s">
        <v>202</v>
      </c>
      <c r="E631" s="22" t="s">
        <v>197</v>
      </c>
      <c r="F631" s="20" t="s">
        <v>1899</v>
      </c>
      <c r="G631" s="22">
        <v>7</v>
      </c>
      <c r="H631" s="22" t="s">
        <v>301</v>
      </c>
      <c r="I631" s="22" t="s">
        <v>302</v>
      </c>
      <c r="J631" s="36">
        <v>13700</v>
      </c>
      <c r="K631" s="36">
        <v>11900</v>
      </c>
      <c r="L631" s="36">
        <v>4300</v>
      </c>
      <c r="M631" s="36">
        <f t="shared" si="72"/>
        <v>29900</v>
      </c>
      <c r="N631" s="34">
        <f t="shared" si="78"/>
        <v>0.000156754931751314</v>
      </c>
      <c r="O631" s="35">
        <f>SUM($M$2:M631)</f>
        <v>184116900</v>
      </c>
      <c r="P631" s="34">
        <f t="shared" si="79"/>
        <v>0.965258598453631</v>
      </c>
      <c r="Q631" s="39">
        <v>4.7</v>
      </c>
      <c r="R631" s="22">
        <v>10</v>
      </c>
      <c r="S631" s="22">
        <v>1</v>
      </c>
      <c r="T631" s="22">
        <v>0</v>
      </c>
      <c r="U631" s="39">
        <v>1.1</v>
      </c>
      <c r="V631" s="22">
        <v>29</v>
      </c>
      <c r="W631" s="22">
        <v>4</v>
      </c>
      <c r="X631" s="40">
        <v>70</v>
      </c>
      <c r="Y631" s="22">
        <v>1</v>
      </c>
      <c r="Z631" s="22">
        <v>1</v>
      </c>
      <c r="AA631" s="22" t="s">
        <v>185</v>
      </c>
      <c r="AB631" s="22" t="s">
        <v>220</v>
      </c>
      <c r="AC631" s="42">
        <f>IFERROR(LOOKUP(M631,打分卡!$F$7:$J$7,打分卡!$K$7:$O$7),1)</f>
        <v>2</v>
      </c>
      <c r="AD631" s="42">
        <f>IFERROR(LOOKUP(S631,打分卡!$F$8:$J$8,打分卡!$K$8:$O$8),1)</f>
        <v>1</v>
      </c>
      <c r="AE631" s="42">
        <f>IFERROR(LOOKUP(T631,打分卡!$F$9:$I$9,打分卡!$K$9:$N$9),1)</f>
        <v>1</v>
      </c>
      <c r="AF631" s="42">
        <f>IFERROR(LOOKUP(Q631,打分卡!$F$10:$J$10,打分卡!$K$10:$O$10),1)</f>
        <v>2</v>
      </c>
      <c r="AG631" s="42">
        <f>IFERROR(LOOKUP(R631,打分卡!$F$11:$J$11,打分卡!$K$11:$O$11),1)</f>
        <v>4</v>
      </c>
      <c r="AH631" s="42">
        <f>IFERROR(LOOKUP(U631,打分卡!$F$12:$J$12,打分卡!$K$12:$O$12),1)</f>
        <v>1</v>
      </c>
      <c r="AI631" s="42">
        <f>IFERROR(LOOKUP(X631,打分卡!$F$13:$J$13,打分卡!$K$13:$O$13),1)</f>
        <v>3</v>
      </c>
      <c r="AJ631" s="42">
        <f>IFERROR(LOOKUP(Y631,打分卡!$F$14:$J$14,打分卡!$K$14:$O$14),1)</f>
        <v>2</v>
      </c>
      <c r="AK631" s="42">
        <f>IFERROR(LOOKUP(W631,打分卡!$F$15:$J$15,打分卡!$K$15:$O$15),1)</f>
        <v>3</v>
      </c>
      <c r="AL631" s="45">
        <f t="shared" si="73"/>
        <v>3</v>
      </c>
      <c r="AM631" s="42">
        <f>IFERROR(LOOKUP(Z631,打分卡!$F$17:$H$17,打分卡!$K$17:$M$17),1)</f>
        <v>3</v>
      </c>
      <c r="AN631" s="46">
        <f>(打分卡!$D$7*AC631+打分卡!$D$8*AD631+打分卡!$D$9*AE631)/5</f>
        <v>13</v>
      </c>
      <c r="AO631" s="46">
        <f>(打分卡!$D$10*AF631+打分卡!$D$11*AG631)/5</f>
        <v>12</v>
      </c>
      <c r="AP631" s="46">
        <f>(打分卡!$D$12*AH631+打分卡!$D$13*AI631+打分卡!$D$14*AJ631+打分卡!$D$15*AK631)/5</f>
        <v>12</v>
      </c>
      <c r="AQ631" s="46">
        <f>(打分卡!$D$16*AL631+打分卡!$D$17*AM631)/5</f>
        <v>6</v>
      </c>
      <c r="AR631" s="48">
        <f t="shared" si="74"/>
        <v>43</v>
      </c>
      <c r="AS631" s="45" t="str">
        <f t="shared" si="75"/>
        <v>腰部</v>
      </c>
      <c r="AT631" s="45" t="str">
        <f t="shared" si="76"/>
        <v/>
      </c>
      <c r="AU631" s="45" t="str">
        <f t="shared" si="77"/>
        <v>拉·主攻：主推AI外呼+大促作战包</v>
      </c>
    </row>
    <row r="632" ht="15" customHeight="1" spans="1:47">
      <c r="A632" s="30" t="s">
        <v>1900</v>
      </c>
      <c r="B632" s="31" t="s">
        <v>1901</v>
      </c>
      <c r="C632" s="31" t="s">
        <v>239</v>
      </c>
      <c r="D632" s="31" t="s">
        <v>196</v>
      </c>
      <c r="E632" s="31" t="s">
        <v>181</v>
      </c>
      <c r="F632" s="30" t="s">
        <v>421</v>
      </c>
      <c r="G632" s="31">
        <v>22</v>
      </c>
      <c r="H632" s="31" t="s">
        <v>183</v>
      </c>
      <c r="I632" s="31" t="s">
        <v>184</v>
      </c>
      <c r="J632" s="33">
        <v>18500</v>
      </c>
      <c r="K632" s="33">
        <v>9800</v>
      </c>
      <c r="L632" s="33">
        <v>1500</v>
      </c>
      <c r="M632" s="33">
        <f t="shared" si="72"/>
        <v>29800</v>
      </c>
      <c r="N632" s="34">
        <f t="shared" si="78"/>
        <v>0.000156230667765524</v>
      </c>
      <c r="O632" s="35">
        <f>SUM($M$2:M632)</f>
        <v>184146700</v>
      </c>
      <c r="P632" s="34">
        <f t="shared" si="79"/>
        <v>0.965414829121396</v>
      </c>
      <c r="Q632" s="37">
        <v>2.5</v>
      </c>
      <c r="R632" s="31">
        <v>3</v>
      </c>
      <c r="S632" s="31">
        <v>2</v>
      </c>
      <c r="T632" s="31">
        <v>1</v>
      </c>
      <c r="U632" s="37">
        <v>4.3</v>
      </c>
      <c r="V632" s="31">
        <v>22</v>
      </c>
      <c r="W632" s="31">
        <v>1</v>
      </c>
      <c r="X632" s="38">
        <v>33</v>
      </c>
      <c r="Y632" s="31">
        <v>2</v>
      </c>
      <c r="Z632" s="31">
        <v>0</v>
      </c>
      <c r="AA632" s="31" t="s">
        <v>199</v>
      </c>
      <c r="AB632" s="31" t="s">
        <v>220</v>
      </c>
      <c r="AC632" s="41">
        <f>IFERROR(LOOKUP(M632,打分卡!$F$7:$J$7,打分卡!$K$7:$O$7),1)</f>
        <v>2</v>
      </c>
      <c r="AD632" s="41">
        <f>IFERROR(LOOKUP(S632,打分卡!$F$8:$J$8,打分卡!$K$8:$O$8),1)</f>
        <v>2</v>
      </c>
      <c r="AE632" s="41">
        <f>IFERROR(LOOKUP(T632,打分卡!$F$9:$I$9,打分卡!$K$9:$N$9),1)</f>
        <v>2</v>
      </c>
      <c r="AF632" s="41">
        <f>IFERROR(LOOKUP(Q632,打分卡!$F$10:$J$10,打分卡!$K$10:$O$10),1)</f>
        <v>2</v>
      </c>
      <c r="AG632" s="41">
        <f>IFERROR(LOOKUP(R632,打分卡!$F$11:$J$11,打分卡!$K$11:$O$11),1)</f>
        <v>2</v>
      </c>
      <c r="AH632" s="41">
        <f>IFERROR(LOOKUP(U632,打分卡!$F$12:$J$12,打分卡!$K$12:$O$12),1)</f>
        <v>2</v>
      </c>
      <c r="AI632" s="41">
        <f>IFERROR(LOOKUP(X632,打分卡!$F$13:$J$13,打分卡!$K$13:$O$13),1)</f>
        <v>2</v>
      </c>
      <c r="AJ632" s="41">
        <f>IFERROR(LOOKUP(Y632,打分卡!$F$14:$J$14,打分卡!$K$14:$O$14),1)</f>
        <v>3</v>
      </c>
      <c r="AK632" s="41">
        <f>IFERROR(LOOKUP(W632,打分卡!$F$15:$J$15,打分卡!$K$15:$O$15),1)</f>
        <v>2</v>
      </c>
      <c r="AL632" s="43">
        <f t="shared" si="73"/>
        <v>5</v>
      </c>
      <c r="AM632" s="41">
        <f>IFERROR(LOOKUP(Z632,打分卡!$F$17:$H$17,打分卡!$K$17:$M$17),1)</f>
        <v>1</v>
      </c>
      <c r="AN632" s="44">
        <f>(打分卡!$D$7*AC632+打分卡!$D$8*AD632+打分卡!$D$9*AE632)/5</f>
        <v>16</v>
      </c>
      <c r="AO632" s="44">
        <f>(打分卡!$D$10*AF632+打分卡!$D$11*AG632)/5</f>
        <v>8</v>
      </c>
      <c r="AP632" s="44">
        <f>(打分卡!$D$12*AH632+打分卡!$D$13*AI632+打分卡!$D$14*AJ632+打分卡!$D$15*AK632)/5</f>
        <v>13.2</v>
      </c>
      <c r="AQ632" s="44">
        <f>(打分卡!$D$16*AL632+打分卡!$D$17*AM632)/5</f>
        <v>6.8</v>
      </c>
      <c r="AR632" s="47">
        <f t="shared" si="74"/>
        <v>44</v>
      </c>
      <c r="AS632" s="43" t="str">
        <f t="shared" si="75"/>
        <v>腰部</v>
      </c>
      <c r="AT632" s="43" t="str">
        <f t="shared" si="76"/>
        <v/>
      </c>
      <c r="AU632" s="43" t="str">
        <f t="shared" si="77"/>
        <v>拉·主攻：主推AI外呼+大促作战包</v>
      </c>
    </row>
    <row r="633" ht="15" customHeight="1" spans="1:47">
      <c r="A633" s="20" t="s">
        <v>1902</v>
      </c>
      <c r="B633" s="22" t="s">
        <v>1903</v>
      </c>
      <c r="C633" s="22" t="s">
        <v>218</v>
      </c>
      <c r="D633" s="22" t="s">
        <v>227</v>
      </c>
      <c r="E633" s="22" t="s">
        <v>181</v>
      </c>
      <c r="F633" s="20" t="s">
        <v>544</v>
      </c>
      <c r="G633" s="22">
        <v>11</v>
      </c>
      <c r="H633" s="22" t="s">
        <v>301</v>
      </c>
      <c r="I633" s="22" t="s">
        <v>302</v>
      </c>
      <c r="J633" s="36">
        <v>14200</v>
      </c>
      <c r="K633" s="36">
        <v>7400</v>
      </c>
      <c r="L633" s="36">
        <v>8200</v>
      </c>
      <c r="M633" s="36">
        <f t="shared" si="72"/>
        <v>29800</v>
      </c>
      <c r="N633" s="34">
        <f t="shared" si="78"/>
        <v>0.000156230667765524</v>
      </c>
      <c r="O633" s="35">
        <f>SUM($M$2:M633)</f>
        <v>184176500</v>
      </c>
      <c r="P633" s="34">
        <f t="shared" si="79"/>
        <v>0.965571059789162</v>
      </c>
      <c r="Q633" s="39">
        <v>3.8</v>
      </c>
      <c r="R633" s="22">
        <v>2</v>
      </c>
      <c r="S633" s="22">
        <v>1</v>
      </c>
      <c r="T633" s="22">
        <v>1</v>
      </c>
      <c r="U633" s="39">
        <v>70</v>
      </c>
      <c r="V633" s="22">
        <v>15</v>
      </c>
      <c r="W633" s="22">
        <v>4</v>
      </c>
      <c r="X633" s="40">
        <v>21</v>
      </c>
      <c r="Y633" s="22">
        <v>1</v>
      </c>
      <c r="Z633" s="22">
        <v>0</v>
      </c>
      <c r="AA633" s="22" t="s">
        <v>185</v>
      </c>
      <c r="AB633" s="22" t="s">
        <v>220</v>
      </c>
      <c r="AC633" s="42">
        <f>IFERROR(LOOKUP(M633,打分卡!$F$7:$J$7,打分卡!$K$7:$O$7),1)</f>
        <v>2</v>
      </c>
      <c r="AD633" s="42">
        <f>IFERROR(LOOKUP(S633,打分卡!$F$8:$J$8,打分卡!$K$8:$O$8),1)</f>
        <v>1</v>
      </c>
      <c r="AE633" s="42">
        <f>IFERROR(LOOKUP(T633,打分卡!$F$9:$I$9,打分卡!$K$9:$N$9),1)</f>
        <v>2</v>
      </c>
      <c r="AF633" s="42">
        <f>IFERROR(LOOKUP(Q633,打分卡!$F$10:$J$10,打分卡!$K$10:$O$10),1)</f>
        <v>2</v>
      </c>
      <c r="AG633" s="42">
        <f>IFERROR(LOOKUP(R633,打分卡!$F$11:$J$11,打分卡!$K$11:$O$11),1)</f>
        <v>1</v>
      </c>
      <c r="AH633" s="42">
        <f>IFERROR(LOOKUP(U633,打分卡!$F$12:$J$12,打分卡!$K$12:$O$12),1)</f>
        <v>5</v>
      </c>
      <c r="AI633" s="42">
        <f>IFERROR(LOOKUP(X633,打分卡!$F$13:$J$13,打分卡!$K$13:$O$13),1)</f>
        <v>2</v>
      </c>
      <c r="AJ633" s="42">
        <f>IFERROR(LOOKUP(Y633,打分卡!$F$14:$J$14,打分卡!$K$14:$O$14),1)</f>
        <v>2</v>
      </c>
      <c r="AK633" s="42">
        <f>IFERROR(LOOKUP(W633,打分卡!$F$15:$J$15,打分卡!$K$15:$O$15),1)</f>
        <v>3</v>
      </c>
      <c r="AL633" s="45">
        <f t="shared" si="73"/>
        <v>3</v>
      </c>
      <c r="AM633" s="42">
        <f>IFERROR(LOOKUP(Z633,打分卡!$F$17:$H$17,打分卡!$K$17:$M$17),1)</f>
        <v>1</v>
      </c>
      <c r="AN633" s="46">
        <f>(打分卡!$D$7*AC633+打分卡!$D$8*AD633+打分卡!$D$9*AE633)/5</f>
        <v>14.4</v>
      </c>
      <c r="AO633" s="46">
        <f>(打分卡!$D$10*AF633+打分卡!$D$11*AG633)/5</f>
        <v>6</v>
      </c>
      <c r="AP633" s="46">
        <f>(打分卡!$D$12*AH633+打分卡!$D$13*AI633+打分卡!$D$14*AJ633+打分卡!$D$15*AK633)/5</f>
        <v>20</v>
      </c>
      <c r="AQ633" s="46">
        <f>(打分卡!$D$16*AL633+打分卡!$D$17*AM633)/5</f>
        <v>4.4</v>
      </c>
      <c r="AR633" s="48">
        <f t="shared" si="74"/>
        <v>44.8</v>
      </c>
      <c r="AS633" s="45" t="str">
        <f t="shared" si="75"/>
        <v>腰部</v>
      </c>
      <c r="AT633" s="45" t="str">
        <f t="shared" si="76"/>
        <v/>
      </c>
      <c r="AU633" s="45" t="str">
        <f t="shared" si="77"/>
        <v>拉·主攻：主推AI外呼+大促作战包</v>
      </c>
    </row>
    <row r="634" ht="15" customHeight="1" spans="1:47">
      <c r="A634" s="30" t="s">
        <v>1904</v>
      </c>
      <c r="B634" s="31" t="s">
        <v>1905</v>
      </c>
      <c r="C634" s="31" t="s">
        <v>179</v>
      </c>
      <c r="D634" s="31" t="s">
        <v>202</v>
      </c>
      <c r="E634" s="31" t="s">
        <v>181</v>
      </c>
      <c r="F634" s="30" t="s">
        <v>787</v>
      </c>
      <c r="G634" s="31">
        <v>4</v>
      </c>
      <c r="H634" s="31" t="s">
        <v>301</v>
      </c>
      <c r="I634" s="31" t="s">
        <v>184</v>
      </c>
      <c r="J634" s="33">
        <v>13700</v>
      </c>
      <c r="K634" s="33">
        <v>6300</v>
      </c>
      <c r="L634" s="33">
        <v>9700</v>
      </c>
      <c r="M634" s="33">
        <f t="shared" si="72"/>
        <v>29700</v>
      </c>
      <c r="N634" s="34">
        <f t="shared" si="78"/>
        <v>0.000155706403779734</v>
      </c>
      <c r="O634" s="35">
        <f>SUM($M$2:M634)</f>
        <v>184206200</v>
      </c>
      <c r="P634" s="34">
        <f t="shared" si="79"/>
        <v>0.965726766192942</v>
      </c>
      <c r="Q634" s="37">
        <v>2.1</v>
      </c>
      <c r="R634" s="31">
        <v>4</v>
      </c>
      <c r="S634" s="31">
        <v>1</v>
      </c>
      <c r="T634" s="31">
        <v>2</v>
      </c>
      <c r="U634" s="37">
        <v>4.9</v>
      </c>
      <c r="V634" s="31">
        <v>17</v>
      </c>
      <c r="W634" s="31">
        <v>3</v>
      </c>
      <c r="X634" s="38">
        <v>102</v>
      </c>
      <c r="Y634" s="31">
        <v>1</v>
      </c>
      <c r="Z634" s="31">
        <v>0</v>
      </c>
      <c r="AA634" s="31" t="s">
        <v>199</v>
      </c>
      <c r="AB634" s="31" t="s">
        <v>220</v>
      </c>
      <c r="AC634" s="41">
        <f>IFERROR(LOOKUP(M634,打分卡!$F$7:$J$7,打分卡!$K$7:$O$7),1)</f>
        <v>2</v>
      </c>
      <c r="AD634" s="41">
        <f>IFERROR(LOOKUP(S634,打分卡!$F$8:$J$8,打分卡!$K$8:$O$8),1)</f>
        <v>1</v>
      </c>
      <c r="AE634" s="41">
        <f>IFERROR(LOOKUP(T634,打分卡!$F$9:$I$9,打分卡!$K$9:$N$9),1)</f>
        <v>3</v>
      </c>
      <c r="AF634" s="41">
        <f>IFERROR(LOOKUP(Q634,打分卡!$F$10:$J$10,打分卡!$K$10:$O$10),1)</f>
        <v>1</v>
      </c>
      <c r="AG634" s="41">
        <f>IFERROR(LOOKUP(R634,打分卡!$F$11:$J$11,打分卡!$K$11:$O$11),1)</f>
        <v>2</v>
      </c>
      <c r="AH634" s="41">
        <f>IFERROR(LOOKUP(U634,打分卡!$F$12:$J$12,打分卡!$K$12:$O$12),1)</f>
        <v>2</v>
      </c>
      <c r="AI634" s="41">
        <f>IFERROR(LOOKUP(X634,打分卡!$F$13:$J$13,打分卡!$K$13:$O$13),1)</f>
        <v>4</v>
      </c>
      <c r="AJ634" s="41">
        <f>IFERROR(LOOKUP(Y634,打分卡!$F$14:$J$14,打分卡!$K$14:$O$14),1)</f>
        <v>2</v>
      </c>
      <c r="AK634" s="41">
        <f>IFERROR(LOOKUP(W634,打分卡!$F$15:$J$15,打分卡!$K$15:$O$15),1)</f>
        <v>3</v>
      </c>
      <c r="AL634" s="43">
        <f t="shared" si="73"/>
        <v>5</v>
      </c>
      <c r="AM634" s="41">
        <f>IFERROR(LOOKUP(Z634,打分卡!$F$17:$H$17,打分卡!$K$17:$M$17),1)</f>
        <v>1</v>
      </c>
      <c r="AN634" s="44">
        <f>(打分卡!$D$7*AC634+打分卡!$D$8*AD634+打分卡!$D$9*AE634)/5</f>
        <v>15.8</v>
      </c>
      <c r="AO634" s="44">
        <f>(打分卡!$D$10*AF634+打分卡!$D$11*AG634)/5</f>
        <v>6</v>
      </c>
      <c r="AP634" s="44">
        <f>(打分卡!$D$12*AH634+打分卡!$D$13*AI634+打分卡!$D$14*AJ634+打分卡!$D$15*AK634)/5</f>
        <v>16</v>
      </c>
      <c r="AQ634" s="44">
        <f>(打分卡!$D$16*AL634+打分卡!$D$17*AM634)/5</f>
        <v>6.8</v>
      </c>
      <c r="AR634" s="47">
        <f t="shared" si="74"/>
        <v>44.6</v>
      </c>
      <c r="AS634" s="43" t="str">
        <f t="shared" si="75"/>
        <v>腰部</v>
      </c>
      <c r="AT634" s="43" t="str">
        <f t="shared" si="76"/>
        <v/>
      </c>
      <c r="AU634" s="43" t="str">
        <f t="shared" si="77"/>
        <v>拉·主攻：主推AI外呼+大促作战包</v>
      </c>
    </row>
    <row r="635" ht="15" customHeight="1" spans="1:47">
      <c r="A635" s="20" t="s">
        <v>1906</v>
      </c>
      <c r="B635" s="22" t="s">
        <v>1907</v>
      </c>
      <c r="C635" s="22" t="s">
        <v>234</v>
      </c>
      <c r="D635" s="22" t="s">
        <v>196</v>
      </c>
      <c r="E635" s="22" t="s">
        <v>181</v>
      </c>
      <c r="F635" s="20" t="s">
        <v>1229</v>
      </c>
      <c r="G635" s="22">
        <v>11</v>
      </c>
      <c r="H635" s="22" t="s">
        <v>301</v>
      </c>
      <c r="I635" s="22" t="s">
        <v>184</v>
      </c>
      <c r="J635" s="36">
        <v>16300</v>
      </c>
      <c r="K635" s="36">
        <v>9300</v>
      </c>
      <c r="L635" s="36">
        <v>4200</v>
      </c>
      <c r="M635" s="36">
        <f t="shared" si="72"/>
        <v>29800</v>
      </c>
      <c r="N635" s="34">
        <f t="shared" si="78"/>
        <v>0.000156230667765524</v>
      </c>
      <c r="O635" s="35">
        <f>SUM($M$2:M635)</f>
        <v>184236000</v>
      </c>
      <c r="P635" s="34">
        <f t="shared" si="79"/>
        <v>0.965882996860707</v>
      </c>
      <c r="Q635" s="39">
        <v>3.8</v>
      </c>
      <c r="R635" s="22">
        <v>7</v>
      </c>
      <c r="S635" s="22">
        <v>2</v>
      </c>
      <c r="T635" s="22">
        <v>1</v>
      </c>
      <c r="U635" s="39">
        <v>3.2</v>
      </c>
      <c r="V635" s="22">
        <v>20</v>
      </c>
      <c r="W635" s="22">
        <v>3</v>
      </c>
      <c r="X635" s="40">
        <v>38</v>
      </c>
      <c r="Y635" s="22">
        <v>0</v>
      </c>
      <c r="Z635" s="22">
        <v>1</v>
      </c>
      <c r="AA635" s="22" t="s">
        <v>315</v>
      </c>
      <c r="AB635" s="22" t="s">
        <v>220</v>
      </c>
      <c r="AC635" s="42">
        <f>IFERROR(LOOKUP(M635,打分卡!$F$7:$J$7,打分卡!$K$7:$O$7),1)</f>
        <v>2</v>
      </c>
      <c r="AD635" s="42">
        <f>IFERROR(LOOKUP(S635,打分卡!$F$8:$J$8,打分卡!$K$8:$O$8),1)</f>
        <v>2</v>
      </c>
      <c r="AE635" s="42">
        <f>IFERROR(LOOKUP(T635,打分卡!$F$9:$I$9,打分卡!$K$9:$N$9),1)</f>
        <v>2</v>
      </c>
      <c r="AF635" s="42">
        <f>IFERROR(LOOKUP(Q635,打分卡!$F$10:$J$10,打分卡!$K$10:$O$10),1)</f>
        <v>2</v>
      </c>
      <c r="AG635" s="42">
        <f>IFERROR(LOOKUP(R635,打分卡!$F$11:$J$11,打分卡!$K$11:$O$11),1)</f>
        <v>3</v>
      </c>
      <c r="AH635" s="42">
        <f>IFERROR(LOOKUP(U635,打分卡!$F$12:$J$12,打分卡!$K$12:$O$12),1)</f>
        <v>2</v>
      </c>
      <c r="AI635" s="42">
        <f>IFERROR(LOOKUP(X635,打分卡!$F$13:$J$13,打分卡!$K$13:$O$13),1)</f>
        <v>2</v>
      </c>
      <c r="AJ635" s="42">
        <f>IFERROR(LOOKUP(Y635,打分卡!$F$14:$J$14,打分卡!$K$14:$O$14),1)</f>
        <v>1</v>
      </c>
      <c r="AK635" s="42">
        <f>IFERROR(LOOKUP(W635,打分卡!$F$15:$J$15,打分卡!$K$15:$O$15),1)</f>
        <v>3</v>
      </c>
      <c r="AL635" s="45">
        <f t="shared" si="73"/>
        <v>2</v>
      </c>
      <c r="AM635" s="42">
        <f>IFERROR(LOOKUP(Z635,打分卡!$F$17:$H$17,打分卡!$K$17:$M$17),1)</f>
        <v>3</v>
      </c>
      <c r="AN635" s="46">
        <f>(打分卡!$D$7*AC635+打分卡!$D$8*AD635+打分卡!$D$9*AE635)/5</f>
        <v>16</v>
      </c>
      <c r="AO635" s="46">
        <f>(打分卡!$D$10*AF635+打分卡!$D$11*AG635)/5</f>
        <v>10</v>
      </c>
      <c r="AP635" s="46">
        <f>(打分卡!$D$12*AH635+打分卡!$D$13*AI635+打分卡!$D$14*AJ635+打分卡!$D$15*AK635)/5</f>
        <v>11.6</v>
      </c>
      <c r="AQ635" s="46">
        <f>(打分卡!$D$16*AL635+打分卡!$D$17*AM635)/5</f>
        <v>4.8</v>
      </c>
      <c r="AR635" s="48">
        <f t="shared" si="74"/>
        <v>42.4</v>
      </c>
      <c r="AS635" s="45" t="str">
        <f t="shared" si="75"/>
        <v>腰部</v>
      </c>
      <c r="AT635" s="45" t="str">
        <f t="shared" si="76"/>
        <v/>
      </c>
      <c r="AU635" s="45" t="str">
        <f t="shared" si="77"/>
        <v>拉·主攻：主推AI外呼+大促作战包</v>
      </c>
    </row>
    <row r="636" ht="15" customHeight="1" spans="1:47">
      <c r="A636" s="30" t="s">
        <v>1908</v>
      </c>
      <c r="B636" s="31" t="s">
        <v>1909</v>
      </c>
      <c r="C636" s="31" t="s">
        <v>223</v>
      </c>
      <c r="D636" s="31" t="s">
        <v>227</v>
      </c>
      <c r="E636" s="31" t="s">
        <v>181</v>
      </c>
      <c r="F636" s="30" t="s">
        <v>1910</v>
      </c>
      <c r="G636" s="31">
        <v>13</v>
      </c>
      <c r="H636" s="31" t="s">
        <v>301</v>
      </c>
      <c r="I636" s="31" t="s">
        <v>184</v>
      </c>
      <c r="J636" s="33">
        <v>14300</v>
      </c>
      <c r="K636" s="33">
        <v>6900</v>
      </c>
      <c r="L636" s="33">
        <v>8500</v>
      </c>
      <c r="M636" s="33">
        <f t="shared" si="72"/>
        <v>29700</v>
      </c>
      <c r="N636" s="34">
        <f t="shared" si="78"/>
        <v>0.000155706403779734</v>
      </c>
      <c r="O636" s="35">
        <f>SUM($M$2:M636)</f>
        <v>184265700</v>
      </c>
      <c r="P636" s="34">
        <f t="shared" si="79"/>
        <v>0.966038703264487</v>
      </c>
      <c r="Q636" s="37">
        <v>2.6</v>
      </c>
      <c r="R636" s="31">
        <v>7</v>
      </c>
      <c r="S636" s="31">
        <v>3</v>
      </c>
      <c r="T636" s="31">
        <v>1</v>
      </c>
      <c r="U636" s="37">
        <v>1.2</v>
      </c>
      <c r="V636" s="31">
        <v>8</v>
      </c>
      <c r="W636" s="31">
        <v>1</v>
      </c>
      <c r="X636" s="38">
        <v>145</v>
      </c>
      <c r="Y636" s="31">
        <v>1</v>
      </c>
      <c r="Z636" s="31">
        <v>1</v>
      </c>
      <c r="AA636" s="31" t="s">
        <v>199</v>
      </c>
      <c r="AB636" s="31" t="s">
        <v>220</v>
      </c>
      <c r="AC636" s="41">
        <f>IFERROR(LOOKUP(M636,打分卡!$F$7:$J$7,打分卡!$K$7:$O$7),1)</f>
        <v>2</v>
      </c>
      <c r="AD636" s="41">
        <f>IFERROR(LOOKUP(S636,打分卡!$F$8:$J$8,打分卡!$K$8:$O$8),1)</f>
        <v>3</v>
      </c>
      <c r="AE636" s="41">
        <f>IFERROR(LOOKUP(T636,打分卡!$F$9:$I$9,打分卡!$K$9:$N$9),1)</f>
        <v>2</v>
      </c>
      <c r="AF636" s="41">
        <f>IFERROR(LOOKUP(Q636,打分卡!$F$10:$J$10,打分卡!$K$10:$O$10),1)</f>
        <v>2</v>
      </c>
      <c r="AG636" s="41">
        <f>IFERROR(LOOKUP(R636,打分卡!$F$11:$J$11,打分卡!$K$11:$O$11),1)</f>
        <v>3</v>
      </c>
      <c r="AH636" s="41">
        <f>IFERROR(LOOKUP(U636,打分卡!$F$12:$J$12,打分卡!$K$12:$O$12),1)</f>
        <v>1</v>
      </c>
      <c r="AI636" s="41">
        <f>IFERROR(LOOKUP(X636,打分卡!$F$13:$J$13,打分卡!$K$13:$O$13),1)</f>
        <v>4</v>
      </c>
      <c r="AJ636" s="41">
        <f>IFERROR(LOOKUP(Y636,打分卡!$F$14:$J$14,打分卡!$K$14:$O$14),1)</f>
        <v>2</v>
      </c>
      <c r="AK636" s="41">
        <f>IFERROR(LOOKUP(W636,打分卡!$F$15:$J$15,打分卡!$K$15:$O$15),1)</f>
        <v>2</v>
      </c>
      <c r="AL636" s="43">
        <f t="shared" si="73"/>
        <v>5</v>
      </c>
      <c r="AM636" s="41">
        <f>IFERROR(LOOKUP(Z636,打分卡!$F$17:$H$17,打分卡!$K$17:$M$17),1)</f>
        <v>3</v>
      </c>
      <c r="AN636" s="44">
        <f>(打分卡!$D$7*AC636+打分卡!$D$8*AD636+打分卡!$D$9*AE636)/5</f>
        <v>17.6</v>
      </c>
      <c r="AO636" s="44">
        <f>(打分卡!$D$10*AF636+打分卡!$D$11*AG636)/5</f>
        <v>10</v>
      </c>
      <c r="AP636" s="44">
        <f>(打分卡!$D$12*AH636+打分卡!$D$13*AI636+打分卡!$D$14*AJ636+打分卡!$D$15*AK636)/5</f>
        <v>12.8</v>
      </c>
      <c r="AQ636" s="44">
        <f>(打分卡!$D$16*AL636+打分卡!$D$17*AM636)/5</f>
        <v>8.4</v>
      </c>
      <c r="AR636" s="47">
        <f t="shared" si="74"/>
        <v>48.8</v>
      </c>
      <c r="AS636" s="43" t="str">
        <f t="shared" si="75"/>
        <v>腰部</v>
      </c>
      <c r="AT636" s="43" t="str">
        <f t="shared" si="76"/>
        <v/>
      </c>
      <c r="AU636" s="43" t="str">
        <f t="shared" si="77"/>
        <v>拉·主攻：主推AI外呼+大促作战包</v>
      </c>
    </row>
    <row r="637" ht="15" customHeight="1" spans="1:47">
      <c r="A637" s="20" t="s">
        <v>1911</v>
      </c>
      <c r="B637" s="22" t="s">
        <v>1912</v>
      </c>
      <c r="C637" s="22" t="s">
        <v>223</v>
      </c>
      <c r="D637" s="22" t="s">
        <v>202</v>
      </c>
      <c r="E637" s="22" t="s">
        <v>197</v>
      </c>
      <c r="F637" s="20" t="s">
        <v>1259</v>
      </c>
      <c r="G637" s="22">
        <v>6</v>
      </c>
      <c r="H637" s="22" t="s">
        <v>301</v>
      </c>
      <c r="I637" s="22" t="s">
        <v>302</v>
      </c>
      <c r="J637" s="36">
        <v>17500</v>
      </c>
      <c r="K637" s="36">
        <v>9500</v>
      </c>
      <c r="L637" s="36">
        <v>2600</v>
      </c>
      <c r="M637" s="36">
        <f t="shared" si="72"/>
        <v>29600</v>
      </c>
      <c r="N637" s="34">
        <f t="shared" si="78"/>
        <v>0.000155182139793943</v>
      </c>
      <c r="O637" s="35">
        <f>SUM($M$2:M637)</f>
        <v>184295300</v>
      </c>
      <c r="P637" s="34">
        <f t="shared" si="79"/>
        <v>0.966193885404281</v>
      </c>
      <c r="Q637" s="39">
        <v>3.7</v>
      </c>
      <c r="R637" s="22">
        <v>8</v>
      </c>
      <c r="S637" s="22">
        <v>3</v>
      </c>
      <c r="T637" s="22">
        <v>1</v>
      </c>
      <c r="U637" s="39">
        <v>13</v>
      </c>
      <c r="V637" s="22">
        <v>13</v>
      </c>
      <c r="W637" s="22">
        <v>4</v>
      </c>
      <c r="X637" s="40">
        <v>76</v>
      </c>
      <c r="Y637" s="22">
        <v>2</v>
      </c>
      <c r="Z637" s="22">
        <v>1</v>
      </c>
      <c r="AA637" s="22" t="s">
        <v>199</v>
      </c>
      <c r="AB637" s="22" t="s">
        <v>220</v>
      </c>
      <c r="AC637" s="42">
        <f>IFERROR(LOOKUP(M637,打分卡!$F$7:$J$7,打分卡!$K$7:$O$7),1)</f>
        <v>2</v>
      </c>
      <c r="AD637" s="42">
        <f>IFERROR(LOOKUP(S637,打分卡!$F$8:$J$8,打分卡!$K$8:$O$8),1)</f>
        <v>3</v>
      </c>
      <c r="AE637" s="42">
        <f>IFERROR(LOOKUP(T637,打分卡!$F$9:$I$9,打分卡!$K$9:$N$9),1)</f>
        <v>2</v>
      </c>
      <c r="AF637" s="42">
        <f>IFERROR(LOOKUP(Q637,打分卡!$F$10:$J$10,打分卡!$K$10:$O$10),1)</f>
        <v>2</v>
      </c>
      <c r="AG637" s="42">
        <f>IFERROR(LOOKUP(R637,打分卡!$F$11:$J$11,打分卡!$K$11:$O$11),1)</f>
        <v>3</v>
      </c>
      <c r="AH637" s="42">
        <f>IFERROR(LOOKUP(U637,打分卡!$F$12:$J$12,打分卡!$K$12:$O$12),1)</f>
        <v>3</v>
      </c>
      <c r="AI637" s="42">
        <f>IFERROR(LOOKUP(X637,打分卡!$F$13:$J$13,打分卡!$K$13:$O$13),1)</f>
        <v>3</v>
      </c>
      <c r="AJ637" s="42">
        <f>IFERROR(LOOKUP(Y637,打分卡!$F$14:$J$14,打分卡!$K$14:$O$14),1)</f>
        <v>3</v>
      </c>
      <c r="AK637" s="42">
        <f>IFERROR(LOOKUP(W637,打分卡!$F$15:$J$15,打分卡!$K$15:$O$15),1)</f>
        <v>3</v>
      </c>
      <c r="AL637" s="45">
        <f t="shared" si="73"/>
        <v>5</v>
      </c>
      <c r="AM637" s="42">
        <f>IFERROR(LOOKUP(Z637,打分卡!$F$17:$H$17,打分卡!$K$17:$M$17),1)</f>
        <v>3</v>
      </c>
      <c r="AN637" s="46">
        <f>(打分卡!$D$7*AC637+打分卡!$D$8*AD637+打分卡!$D$9*AE637)/5</f>
        <v>17.6</v>
      </c>
      <c r="AO637" s="46">
        <f>(打分卡!$D$10*AF637+打分卡!$D$11*AG637)/5</f>
        <v>10</v>
      </c>
      <c r="AP637" s="46">
        <f>(打分卡!$D$12*AH637+打分卡!$D$13*AI637+打分卡!$D$14*AJ637+打分卡!$D$15*AK637)/5</f>
        <v>18</v>
      </c>
      <c r="AQ637" s="46">
        <f>(打分卡!$D$16*AL637+打分卡!$D$17*AM637)/5</f>
        <v>8.4</v>
      </c>
      <c r="AR637" s="48">
        <f t="shared" si="74"/>
        <v>54</v>
      </c>
      <c r="AS637" s="45" t="str">
        <f t="shared" si="75"/>
        <v>腰部</v>
      </c>
      <c r="AT637" s="45" t="str">
        <f t="shared" si="76"/>
        <v/>
      </c>
      <c r="AU637" s="45" t="str">
        <f t="shared" si="77"/>
        <v>拉·主攻：主推AI外呼+大促作战包</v>
      </c>
    </row>
    <row r="638" ht="15" customHeight="1" spans="1:47">
      <c r="A638" s="30" t="s">
        <v>1913</v>
      </c>
      <c r="B638" s="31" t="s">
        <v>1914</v>
      </c>
      <c r="C638" s="31" t="s">
        <v>179</v>
      </c>
      <c r="D638" s="31" t="s">
        <v>202</v>
      </c>
      <c r="E638" s="31" t="s">
        <v>197</v>
      </c>
      <c r="F638" s="30" t="s">
        <v>1915</v>
      </c>
      <c r="G638" s="31">
        <v>13</v>
      </c>
      <c r="H638" s="31" t="s">
        <v>301</v>
      </c>
      <c r="I638" s="31" t="s">
        <v>302</v>
      </c>
      <c r="J638" s="33">
        <v>15700</v>
      </c>
      <c r="K638" s="33">
        <v>9600</v>
      </c>
      <c r="L638" s="33">
        <v>4200</v>
      </c>
      <c r="M638" s="33">
        <f t="shared" si="72"/>
        <v>29500</v>
      </c>
      <c r="N638" s="34">
        <f t="shared" si="78"/>
        <v>0.000154657875808153</v>
      </c>
      <c r="O638" s="35">
        <f>SUM($M$2:M638)</f>
        <v>184324800</v>
      </c>
      <c r="P638" s="34">
        <f t="shared" si="79"/>
        <v>0.966348543280089</v>
      </c>
      <c r="Q638" s="37">
        <v>2.9</v>
      </c>
      <c r="R638" s="31">
        <v>7</v>
      </c>
      <c r="S638" s="31">
        <v>1</v>
      </c>
      <c r="T638" s="31">
        <v>2</v>
      </c>
      <c r="U638" s="37">
        <v>30.2</v>
      </c>
      <c r="V638" s="31">
        <v>11</v>
      </c>
      <c r="W638" s="31">
        <v>4</v>
      </c>
      <c r="X638" s="38">
        <v>10</v>
      </c>
      <c r="Y638" s="31">
        <v>2</v>
      </c>
      <c r="Z638" s="31">
        <v>0</v>
      </c>
      <c r="AA638" s="31" t="s">
        <v>199</v>
      </c>
      <c r="AB638" s="31" t="s">
        <v>220</v>
      </c>
      <c r="AC638" s="41">
        <f>IFERROR(LOOKUP(M638,打分卡!$F$7:$J$7,打分卡!$K$7:$O$7),1)</f>
        <v>2</v>
      </c>
      <c r="AD638" s="41">
        <f>IFERROR(LOOKUP(S638,打分卡!$F$8:$J$8,打分卡!$K$8:$O$8),1)</f>
        <v>1</v>
      </c>
      <c r="AE638" s="41">
        <f>IFERROR(LOOKUP(T638,打分卡!$F$9:$I$9,打分卡!$K$9:$N$9),1)</f>
        <v>3</v>
      </c>
      <c r="AF638" s="41">
        <f>IFERROR(LOOKUP(Q638,打分卡!$F$10:$J$10,打分卡!$K$10:$O$10),1)</f>
        <v>2</v>
      </c>
      <c r="AG638" s="41">
        <f>IFERROR(LOOKUP(R638,打分卡!$F$11:$J$11,打分卡!$K$11:$O$11),1)</f>
        <v>3</v>
      </c>
      <c r="AH638" s="41">
        <f>IFERROR(LOOKUP(U638,打分卡!$F$12:$J$12,打分卡!$K$12:$O$12),1)</f>
        <v>3</v>
      </c>
      <c r="AI638" s="41">
        <f>IFERROR(LOOKUP(X638,打分卡!$F$13:$J$13,打分卡!$K$13:$O$13),1)</f>
        <v>1</v>
      </c>
      <c r="AJ638" s="41">
        <f>IFERROR(LOOKUP(Y638,打分卡!$F$14:$J$14,打分卡!$K$14:$O$14),1)</f>
        <v>3</v>
      </c>
      <c r="AK638" s="41">
        <f>IFERROR(LOOKUP(W638,打分卡!$F$15:$J$15,打分卡!$K$15:$O$15),1)</f>
        <v>3</v>
      </c>
      <c r="AL638" s="43">
        <f t="shared" si="73"/>
        <v>5</v>
      </c>
      <c r="AM638" s="41">
        <f>IFERROR(LOOKUP(Z638,打分卡!$F$17:$H$17,打分卡!$K$17:$M$17),1)</f>
        <v>1</v>
      </c>
      <c r="AN638" s="44">
        <f>(打分卡!$D$7*AC638+打分卡!$D$8*AD638+打分卡!$D$9*AE638)/5</f>
        <v>15.8</v>
      </c>
      <c r="AO638" s="44">
        <f>(打分卡!$D$10*AF638+打分卡!$D$11*AG638)/5</f>
        <v>10</v>
      </c>
      <c r="AP638" s="44">
        <f>(打分卡!$D$12*AH638+打分卡!$D$13*AI638+打分卡!$D$14*AJ638+打分卡!$D$15*AK638)/5</f>
        <v>14.8</v>
      </c>
      <c r="AQ638" s="44">
        <f>(打分卡!$D$16*AL638+打分卡!$D$17*AM638)/5</f>
        <v>6.8</v>
      </c>
      <c r="AR638" s="47">
        <f t="shared" si="74"/>
        <v>47.4</v>
      </c>
      <c r="AS638" s="43" t="str">
        <f t="shared" si="75"/>
        <v>腰部</v>
      </c>
      <c r="AT638" s="43" t="str">
        <f t="shared" si="76"/>
        <v/>
      </c>
      <c r="AU638" s="43" t="str">
        <f t="shared" si="77"/>
        <v>拉·主攻：主推AI外呼+大促作战包</v>
      </c>
    </row>
    <row r="639" ht="15" customHeight="1" spans="1:47">
      <c r="A639" s="20" t="s">
        <v>1916</v>
      </c>
      <c r="B639" s="22" t="s">
        <v>1917</v>
      </c>
      <c r="C639" s="22" t="s">
        <v>189</v>
      </c>
      <c r="D639" s="22" t="s">
        <v>190</v>
      </c>
      <c r="E639" s="22" t="s">
        <v>181</v>
      </c>
      <c r="F639" s="20" t="s">
        <v>743</v>
      </c>
      <c r="G639" s="22">
        <v>3</v>
      </c>
      <c r="H639" s="22" t="s">
        <v>301</v>
      </c>
      <c r="I639" s="22" t="s">
        <v>184</v>
      </c>
      <c r="J639" s="36">
        <v>14500</v>
      </c>
      <c r="K639" s="36">
        <v>7800</v>
      </c>
      <c r="L639" s="36">
        <v>7000</v>
      </c>
      <c r="M639" s="36">
        <f t="shared" si="72"/>
        <v>29300</v>
      </c>
      <c r="N639" s="34">
        <f t="shared" si="78"/>
        <v>0.000153609347836572</v>
      </c>
      <c r="O639" s="35">
        <f>SUM($M$2:M639)</f>
        <v>184354100</v>
      </c>
      <c r="P639" s="34">
        <f t="shared" si="79"/>
        <v>0.966502152627926</v>
      </c>
      <c r="Q639" s="39">
        <v>2.2</v>
      </c>
      <c r="R639" s="22">
        <v>1</v>
      </c>
      <c r="S639" s="22">
        <v>1</v>
      </c>
      <c r="T639" s="22">
        <v>2</v>
      </c>
      <c r="U639" s="39">
        <v>1.1</v>
      </c>
      <c r="V639" s="22">
        <v>22</v>
      </c>
      <c r="W639" s="22">
        <v>1</v>
      </c>
      <c r="X639" s="40">
        <v>66</v>
      </c>
      <c r="Y639" s="22">
        <v>1</v>
      </c>
      <c r="Z639" s="22">
        <v>0</v>
      </c>
      <c r="AA639" s="22" t="s">
        <v>315</v>
      </c>
      <c r="AB639" s="22" t="s">
        <v>220</v>
      </c>
      <c r="AC639" s="42">
        <f>IFERROR(LOOKUP(M639,打分卡!$F$7:$J$7,打分卡!$K$7:$O$7),1)</f>
        <v>2</v>
      </c>
      <c r="AD639" s="42">
        <f>IFERROR(LOOKUP(S639,打分卡!$F$8:$J$8,打分卡!$K$8:$O$8),1)</f>
        <v>1</v>
      </c>
      <c r="AE639" s="42">
        <f>IFERROR(LOOKUP(T639,打分卡!$F$9:$I$9,打分卡!$K$9:$N$9),1)</f>
        <v>3</v>
      </c>
      <c r="AF639" s="42">
        <f>IFERROR(LOOKUP(Q639,打分卡!$F$10:$J$10,打分卡!$K$10:$O$10),1)</f>
        <v>1</v>
      </c>
      <c r="AG639" s="42">
        <f>IFERROR(LOOKUP(R639,打分卡!$F$11:$J$11,打分卡!$K$11:$O$11),1)</f>
        <v>1</v>
      </c>
      <c r="AH639" s="42">
        <f>IFERROR(LOOKUP(U639,打分卡!$F$12:$J$12,打分卡!$K$12:$O$12),1)</f>
        <v>1</v>
      </c>
      <c r="AI639" s="42">
        <f>IFERROR(LOOKUP(X639,打分卡!$F$13:$J$13,打分卡!$K$13:$O$13),1)</f>
        <v>3</v>
      </c>
      <c r="AJ639" s="42">
        <f>IFERROR(LOOKUP(Y639,打分卡!$F$14:$J$14,打分卡!$K$14:$O$14),1)</f>
        <v>2</v>
      </c>
      <c r="AK639" s="42">
        <f>IFERROR(LOOKUP(W639,打分卡!$F$15:$J$15,打分卡!$K$15:$O$15),1)</f>
        <v>2</v>
      </c>
      <c r="AL639" s="45">
        <f t="shared" si="73"/>
        <v>2</v>
      </c>
      <c r="AM639" s="42">
        <f>IFERROR(LOOKUP(Z639,打分卡!$F$17:$H$17,打分卡!$K$17:$M$17),1)</f>
        <v>1</v>
      </c>
      <c r="AN639" s="46">
        <f>(打分卡!$D$7*AC639+打分卡!$D$8*AD639+打分卡!$D$9*AE639)/5</f>
        <v>15.8</v>
      </c>
      <c r="AO639" s="46">
        <f>(打分卡!$D$10*AF639+打分卡!$D$11*AG639)/5</f>
        <v>4</v>
      </c>
      <c r="AP639" s="46">
        <f>(打分卡!$D$12*AH639+打分卡!$D$13*AI639+打分卡!$D$14*AJ639+打分卡!$D$15*AK639)/5</f>
        <v>11.2</v>
      </c>
      <c r="AQ639" s="46">
        <f>(打分卡!$D$16*AL639+打分卡!$D$17*AM639)/5</f>
        <v>3.2</v>
      </c>
      <c r="AR639" s="48">
        <f t="shared" si="74"/>
        <v>34.2</v>
      </c>
      <c r="AS639" s="45" t="str">
        <f t="shared" si="75"/>
        <v>基础长尾</v>
      </c>
      <c r="AT639" s="45" t="str">
        <f t="shared" si="76"/>
        <v/>
      </c>
      <c r="AU639" s="45" t="str">
        <f t="shared" si="77"/>
        <v>激活：企微+Push低成本先跑</v>
      </c>
    </row>
    <row r="640" ht="15" customHeight="1" spans="1:47">
      <c r="A640" s="30" t="s">
        <v>1918</v>
      </c>
      <c r="B640" s="31" t="s">
        <v>1919</v>
      </c>
      <c r="C640" s="31" t="s">
        <v>234</v>
      </c>
      <c r="D640" s="31" t="s">
        <v>227</v>
      </c>
      <c r="E640" s="31" t="s">
        <v>181</v>
      </c>
      <c r="F640" s="30" t="s">
        <v>699</v>
      </c>
      <c r="G640" s="31">
        <v>10</v>
      </c>
      <c r="H640" s="31" t="s">
        <v>301</v>
      </c>
      <c r="I640" s="31" t="s">
        <v>184</v>
      </c>
      <c r="J640" s="33">
        <v>17900</v>
      </c>
      <c r="K640" s="33">
        <v>8700</v>
      </c>
      <c r="L640" s="33">
        <v>2500</v>
      </c>
      <c r="M640" s="33">
        <f t="shared" si="72"/>
        <v>29100</v>
      </c>
      <c r="N640" s="34">
        <f t="shared" si="78"/>
        <v>0.000152560819864992</v>
      </c>
      <c r="O640" s="35">
        <f>SUM($M$2:M640)</f>
        <v>184383200</v>
      </c>
      <c r="P640" s="34">
        <f t="shared" si="79"/>
        <v>0.966654713447791</v>
      </c>
      <c r="Q640" s="37">
        <v>1.8</v>
      </c>
      <c r="R640" s="31">
        <v>9</v>
      </c>
      <c r="S640" s="31">
        <v>1</v>
      </c>
      <c r="T640" s="31">
        <v>0</v>
      </c>
      <c r="U640" s="37">
        <v>20.2</v>
      </c>
      <c r="V640" s="31">
        <v>19</v>
      </c>
      <c r="W640" s="31">
        <v>2</v>
      </c>
      <c r="X640" s="38">
        <v>126</v>
      </c>
      <c r="Y640" s="31">
        <v>2</v>
      </c>
      <c r="Z640" s="31">
        <v>1</v>
      </c>
      <c r="AA640" s="31" t="s">
        <v>199</v>
      </c>
      <c r="AB640" s="31" t="s">
        <v>220</v>
      </c>
      <c r="AC640" s="41">
        <f>IFERROR(LOOKUP(M640,打分卡!$F$7:$J$7,打分卡!$K$7:$O$7),1)</f>
        <v>2</v>
      </c>
      <c r="AD640" s="41">
        <f>IFERROR(LOOKUP(S640,打分卡!$F$8:$J$8,打分卡!$K$8:$O$8),1)</f>
        <v>1</v>
      </c>
      <c r="AE640" s="41">
        <f>IFERROR(LOOKUP(T640,打分卡!$F$9:$I$9,打分卡!$K$9:$N$9),1)</f>
        <v>1</v>
      </c>
      <c r="AF640" s="41">
        <f>IFERROR(LOOKUP(Q640,打分卡!$F$10:$J$10,打分卡!$K$10:$O$10),1)</f>
        <v>1</v>
      </c>
      <c r="AG640" s="41">
        <f>IFERROR(LOOKUP(R640,打分卡!$F$11:$J$11,打分卡!$K$11:$O$11),1)</f>
        <v>4</v>
      </c>
      <c r="AH640" s="41">
        <f>IFERROR(LOOKUP(U640,打分卡!$F$12:$J$12,打分卡!$K$12:$O$12),1)</f>
        <v>3</v>
      </c>
      <c r="AI640" s="41">
        <f>IFERROR(LOOKUP(X640,打分卡!$F$13:$J$13,打分卡!$K$13:$O$13),1)</f>
        <v>4</v>
      </c>
      <c r="AJ640" s="41">
        <f>IFERROR(LOOKUP(Y640,打分卡!$F$14:$J$14,打分卡!$K$14:$O$14),1)</f>
        <v>3</v>
      </c>
      <c r="AK640" s="41">
        <f>IFERROR(LOOKUP(W640,打分卡!$F$15:$J$15,打分卡!$K$15:$O$15),1)</f>
        <v>2</v>
      </c>
      <c r="AL640" s="43">
        <f t="shared" si="73"/>
        <v>5</v>
      </c>
      <c r="AM640" s="41">
        <f>IFERROR(LOOKUP(Z640,打分卡!$F$17:$H$17,打分卡!$K$17:$M$17),1)</f>
        <v>3</v>
      </c>
      <c r="AN640" s="44">
        <f>(打分卡!$D$7*AC640+打分卡!$D$8*AD640+打分卡!$D$9*AE640)/5</f>
        <v>13</v>
      </c>
      <c r="AO640" s="44">
        <f>(打分卡!$D$10*AF640+打分卡!$D$11*AG640)/5</f>
        <v>10</v>
      </c>
      <c r="AP640" s="44">
        <f>(打分卡!$D$12*AH640+打分卡!$D$13*AI640+打分卡!$D$14*AJ640+打分卡!$D$15*AK640)/5</f>
        <v>18.8</v>
      </c>
      <c r="AQ640" s="44">
        <f>(打分卡!$D$16*AL640+打分卡!$D$17*AM640)/5</f>
        <v>8.4</v>
      </c>
      <c r="AR640" s="47">
        <f t="shared" si="74"/>
        <v>50.2</v>
      </c>
      <c r="AS640" s="43" t="str">
        <f t="shared" si="75"/>
        <v>腰部</v>
      </c>
      <c r="AT640" s="43" t="str">
        <f t="shared" si="76"/>
        <v/>
      </c>
      <c r="AU640" s="43" t="str">
        <f t="shared" si="77"/>
        <v>拉·主攻：主推AI外呼+大促作战包</v>
      </c>
    </row>
    <row r="641" ht="15" customHeight="1" spans="1:47">
      <c r="A641" s="20" t="s">
        <v>1920</v>
      </c>
      <c r="B641" s="22" t="s">
        <v>1921</v>
      </c>
      <c r="C641" s="22" t="s">
        <v>234</v>
      </c>
      <c r="D641" s="22" t="s">
        <v>190</v>
      </c>
      <c r="E641" s="22" t="s">
        <v>181</v>
      </c>
      <c r="F641" s="20" t="s">
        <v>1072</v>
      </c>
      <c r="G641" s="22">
        <v>13</v>
      </c>
      <c r="H641" s="22" t="s">
        <v>183</v>
      </c>
      <c r="I641" s="22" t="s">
        <v>302</v>
      </c>
      <c r="J641" s="36">
        <v>15800</v>
      </c>
      <c r="K641" s="36">
        <v>10900</v>
      </c>
      <c r="L641" s="36">
        <v>2200</v>
      </c>
      <c r="M641" s="36">
        <f t="shared" si="72"/>
        <v>28900</v>
      </c>
      <c r="N641" s="34">
        <f t="shared" si="78"/>
        <v>0.000151512291893411</v>
      </c>
      <c r="O641" s="35">
        <f>SUM($M$2:M641)</f>
        <v>184412100</v>
      </c>
      <c r="P641" s="34">
        <f t="shared" si="79"/>
        <v>0.966806225739684</v>
      </c>
      <c r="Q641" s="39">
        <v>2.6</v>
      </c>
      <c r="R641" s="22">
        <v>10</v>
      </c>
      <c r="S641" s="22">
        <v>1</v>
      </c>
      <c r="T641" s="22">
        <v>0</v>
      </c>
      <c r="U641" s="39">
        <v>20.1</v>
      </c>
      <c r="V641" s="22">
        <v>25</v>
      </c>
      <c r="W641" s="22">
        <v>1</v>
      </c>
      <c r="X641" s="40">
        <v>121</v>
      </c>
      <c r="Y641" s="22">
        <v>1</v>
      </c>
      <c r="Z641" s="22">
        <v>0</v>
      </c>
      <c r="AA641" s="22" t="s">
        <v>315</v>
      </c>
      <c r="AB641" s="22" t="s">
        <v>220</v>
      </c>
      <c r="AC641" s="42">
        <f>IFERROR(LOOKUP(M641,打分卡!$F$7:$J$7,打分卡!$K$7:$O$7),1)</f>
        <v>2</v>
      </c>
      <c r="AD641" s="42">
        <f>IFERROR(LOOKUP(S641,打分卡!$F$8:$J$8,打分卡!$K$8:$O$8),1)</f>
        <v>1</v>
      </c>
      <c r="AE641" s="42">
        <f>IFERROR(LOOKUP(T641,打分卡!$F$9:$I$9,打分卡!$K$9:$N$9),1)</f>
        <v>1</v>
      </c>
      <c r="AF641" s="42">
        <f>IFERROR(LOOKUP(Q641,打分卡!$F$10:$J$10,打分卡!$K$10:$O$10),1)</f>
        <v>2</v>
      </c>
      <c r="AG641" s="42">
        <f>IFERROR(LOOKUP(R641,打分卡!$F$11:$J$11,打分卡!$K$11:$O$11),1)</f>
        <v>4</v>
      </c>
      <c r="AH641" s="42">
        <f>IFERROR(LOOKUP(U641,打分卡!$F$12:$J$12,打分卡!$K$12:$O$12),1)</f>
        <v>3</v>
      </c>
      <c r="AI641" s="42">
        <f>IFERROR(LOOKUP(X641,打分卡!$F$13:$J$13,打分卡!$K$13:$O$13),1)</f>
        <v>4</v>
      </c>
      <c r="AJ641" s="42">
        <f>IFERROR(LOOKUP(Y641,打分卡!$F$14:$J$14,打分卡!$K$14:$O$14),1)</f>
        <v>2</v>
      </c>
      <c r="AK641" s="42">
        <f>IFERROR(LOOKUP(W641,打分卡!$F$15:$J$15,打分卡!$K$15:$O$15),1)</f>
        <v>2</v>
      </c>
      <c r="AL641" s="45">
        <f t="shared" si="73"/>
        <v>2</v>
      </c>
      <c r="AM641" s="42">
        <f>IFERROR(LOOKUP(Z641,打分卡!$F$17:$H$17,打分卡!$K$17:$M$17),1)</f>
        <v>1</v>
      </c>
      <c r="AN641" s="46">
        <f>(打分卡!$D$7*AC641+打分卡!$D$8*AD641+打分卡!$D$9*AE641)/5</f>
        <v>13</v>
      </c>
      <c r="AO641" s="46">
        <f>(打分卡!$D$10*AF641+打分卡!$D$11*AG641)/5</f>
        <v>12</v>
      </c>
      <c r="AP641" s="46">
        <f>(打分卡!$D$12*AH641+打分卡!$D$13*AI641+打分卡!$D$14*AJ641+打分卡!$D$15*AK641)/5</f>
        <v>17.6</v>
      </c>
      <c r="AQ641" s="46">
        <f>(打分卡!$D$16*AL641+打分卡!$D$17*AM641)/5</f>
        <v>3.2</v>
      </c>
      <c r="AR641" s="48">
        <f t="shared" si="74"/>
        <v>45.8</v>
      </c>
      <c r="AS641" s="45" t="str">
        <f t="shared" si="75"/>
        <v>腰部</v>
      </c>
      <c r="AT641" s="45" t="str">
        <f t="shared" si="76"/>
        <v/>
      </c>
      <c r="AU641" s="45" t="str">
        <f t="shared" si="77"/>
        <v>拉·主攻：主推AI外呼+大促作战包</v>
      </c>
    </row>
    <row r="642" ht="15" customHeight="1" spans="1:47">
      <c r="A642" s="30" t="s">
        <v>1922</v>
      </c>
      <c r="B642" s="31" t="s">
        <v>1923</v>
      </c>
      <c r="C642" s="31" t="s">
        <v>195</v>
      </c>
      <c r="D642" s="31" t="s">
        <v>235</v>
      </c>
      <c r="E642" s="31" t="s">
        <v>181</v>
      </c>
      <c r="F642" s="30" t="s">
        <v>1924</v>
      </c>
      <c r="G642" s="31">
        <v>21</v>
      </c>
      <c r="H642" s="31" t="s">
        <v>301</v>
      </c>
      <c r="I642" s="31" t="s">
        <v>302</v>
      </c>
      <c r="J642" s="33">
        <v>18500</v>
      </c>
      <c r="K642" s="33">
        <v>8100</v>
      </c>
      <c r="L642" s="33">
        <v>2300</v>
      </c>
      <c r="M642" s="33">
        <f t="shared" ref="M642:M705" si="80">SUM(J642:L642)</f>
        <v>28900</v>
      </c>
      <c r="N642" s="34">
        <f t="shared" si="78"/>
        <v>0.000151512291893411</v>
      </c>
      <c r="O642" s="35">
        <f>SUM($M$2:M642)</f>
        <v>184441000</v>
      </c>
      <c r="P642" s="34">
        <f t="shared" si="79"/>
        <v>0.966957738031577</v>
      </c>
      <c r="Q642" s="37">
        <v>1.9</v>
      </c>
      <c r="R642" s="31">
        <v>7</v>
      </c>
      <c r="S642" s="31">
        <v>3</v>
      </c>
      <c r="T642" s="31">
        <v>0</v>
      </c>
      <c r="U642" s="37">
        <v>14.3</v>
      </c>
      <c r="V642" s="31">
        <v>20</v>
      </c>
      <c r="W642" s="31">
        <v>4</v>
      </c>
      <c r="X642" s="38">
        <v>25</v>
      </c>
      <c r="Y642" s="31">
        <v>3</v>
      </c>
      <c r="Z642" s="31">
        <v>1</v>
      </c>
      <c r="AA642" s="31" t="s">
        <v>199</v>
      </c>
      <c r="AB642" s="31" t="s">
        <v>220</v>
      </c>
      <c r="AC642" s="41">
        <f>IFERROR(LOOKUP(M642,打分卡!$F$7:$J$7,打分卡!$K$7:$O$7),1)</f>
        <v>2</v>
      </c>
      <c r="AD642" s="41">
        <f>IFERROR(LOOKUP(S642,打分卡!$F$8:$J$8,打分卡!$K$8:$O$8),1)</f>
        <v>3</v>
      </c>
      <c r="AE642" s="41">
        <f>IFERROR(LOOKUP(T642,打分卡!$F$9:$I$9,打分卡!$K$9:$N$9),1)</f>
        <v>1</v>
      </c>
      <c r="AF642" s="41">
        <f>IFERROR(LOOKUP(Q642,打分卡!$F$10:$J$10,打分卡!$K$10:$O$10),1)</f>
        <v>1</v>
      </c>
      <c r="AG642" s="41">
        <f>IFERROR(LOOKUP(R642,打分卡!$F$11:$J$11,打分卡!$K$11:$O$11),1)</f>
        <v>3</v>
      </c>
      <c r="AH642" s="41">
        <f>IFERROR(LOOKUP(U642,打分卡!$F$12:$J$12,打分卡!$K$12:$O$12),1)</f>
        <v>3</v>
      </c>
      <c r="AI642" s="41">
        <f>IFERROR(LOOKUP(X642,打分卡!$F$13:$J$13,打分卡!$K$13:$O$13),1)</f>
        <v>2</v>
      </c>
      <c r="AJ642" s="41">
        <f>IFERROR(LOOKUP(Y642,打分卡!$F$14:$J$14,打分卡!$K$14:$O$14),1)</f>
        <v>4</v>
      </c>
      <c r="AK642" s="41">
        <f>IFERROR(LOOKUP(W642,打分卡!$F$15:$J$15,打分卡!$K$15:$O$15),1)</f>
        <v>3</v>
      </c>
      <c r="AL642" s="43">
        <f t="shared" ref="AL642:AL705" si="81">IF(AA642="连续下降",1,IF(AA642="下降",2,IF(AA642="上升",5,3)))</f>
        <v>5</v>
      </c>
      <c r="AM642" s="41">
        <f>IFERROR(LOOKUP(Z642,打分卡!$F$17:$H$17,打分卡!$K$17:$M$17),1)</f>
        <v>3</v>
      </c>
      <c r="AN642" s="44">
        <f>(打分卡!$D$7*AC642+打分卡!$D$8*AD642+打分卡!$D$9*AE642)/5</f>
        <v>16.2</v>
      </c>
      <c r="AO642" s="44">
        <f>(打分卡!$D$10*AF642+打分卡!$D$11*AG642)/5</f>
        <v>8</v>
      </c>
      <c r="AP642" s="44">
        <f>(打分卡!$D$12*AH642+打分卡!$D$13*AI642+打分卡!$D$14*AJ642+打分卡!$D$15*AK642)/5</f>
        <v>17.6</v>
      </c>
      <c r="AQ642" s="44">
        <f>(打分卡!$D$16*AL642+打分卡!$D$17*AM642)/5</f>
        <v>8.4</v>
      </c>
      <c r="AR642" s="47">
        <f t="shared" ref="AR642:AR705" si="82">IF(G642&lt;3,AP642/30*40+AO642+AP642+AQ642,AN642+AO642+AP642+AQ642)</f>
        <v>50.2</v>
      </c>
      <c r="AS642" s="43" t="str">
        <f t="shared" ref="AS642:AS705" si="83">IF(M642=0,IF(G642&lt;3,"新客观察期","未激活"),IF(AR642&gt;=90,"SKA",IF(AR642&gt;=75,"KA",IF(AR642&gt;=40,"腰部","基础长尾"))))</f>
        <v>腰部</v>
      </c>
      <c r="AT642" s="43" t="str">
        <f t="shared" ref="AT642:AT705" si="84">IF(AA642="连续下降","连续下降-预警","")</f>
        <v/>
      </c>
      <c r="AU642" s="43" t="str">
        <f t="shared" ref="AU642:AU705" si="85">IF(AS642="SKA","守·共创：卡片短信/AI外呼新场景POC",IF(AS642="KA","扩·深化：AI外呼场景深化+Push/企微补全",IF(AS642="腰部","拉·主攻：主推AI外呼+大促作战包",IF(AS642="新客观察期","培育：入门包+1v1场景教育",IF(AS642="基础长尾","激活：企微+Push低成本先跑","唤醒：短信模板+首充补贴")))))</f>
        <v>拉·主攻：主推AI外呼+大促作战包</v>
      </c>
    </row>
    <row r="643" ht="15" customHeight="1" spans="1:47">
      <c r="A643" s="20" t="s">
        <v>1925</v>
      </c>
      <c r="B643" s="22" t="s">
        <v>1926</v>
      </c>
      <c r="C643" s="22" t="s">
        <v>218</v>
      </c>
      <c r="D643" s="22" t="s">
        <v>235</v>
      </c>
      <c r="E643" s="22" t="s">
        <v>181</v>
      </c>
      <c r="F643" s="20" t="s">
        <v>1927</v>
      </c>
      <c r="G643" s="22">
        <v>9</v>
      </c>
      <c r="H643" s="22" t="s">
        <v>183</v>
      </c>
      <c r="I643" s="22" t="s">
        <v>184</v>
      </c>
      <c r="J643" s="36">
        <v>16100</v>
      </c>
      <c r="K643" s="36">
        <v>6300</v>
      </c>
      <c r="L643" s="36">
        <v>6300</v>
      </c>
      <c r="M643" s="36">
        <f t="shared" si="80"/>
        <v>28700</v>
      </c>
      <c r="N643" s="34">
        <f t="shared" ref="N643:N706" si="86">M643/$M$2002</f>
        <v>0.00015046376392183</v>
      </c>
      <c r="O643" s="35">
        <f>SUM($M$2:M643)</f>
        <v>184469700</v>
      </c>
      <c r="P643" s="34">
        <f t="shared" ref="P643:P706" si="87">O643/$M$2002</f>
        <v>0.967108201795499</v>
      </c>
      <c r="Q643" s="39">
        <v>1.9</v>
      </c>
      <c r="R643" s="22">
        <v>6</v>
      </c>
      <c r="S643" s="22">
        <v>3</v>
      </c>
      <c r="T643" s="22">
        <v>1</v>
      </c>
      <c r="U643" s="39">
        <v>25.4</v>
      </c>
      <c r="V643" s="22">
        <v>30</v>
      </c>
      <c r="W643" s="22">
        <v>4</v>
      </c>
      <c r="X643" s="40">
        <v>107</v>
      </c>
      <c r="Y643" s="22">
        <v>0</v>
      </c>
      <c r="Z643" s="22">
        <v>1</v>
      </c>
      <c r="AA643" s="22" t="s">
        <v>199</v>
      </c>
      <c r="AB643" s="22" t="s">
        <v>220</v>
      </c>
      <c r="AC643" s="42">
        <f>IFERROR(LOOKUP(M643,打分卡!$F$7:$J$7,打分卡!$K$7:$O$7),1)</f>
        <v>2</v>
      </c>
      <c r="AD643" s="42">
        <f>IFERROR(LOOKUP(S643,打分卡!$F$8:$J$8,打分卡!$K$8:$O$8),1)</f>
        <v>3</v>
      </c>
      <c r="AE643" s="42">
        <f>IFERROR(LOOKUP(T643,打分卡!$F$9:$I$9,打分卡!$K$9:$N$9),1)</f>
        <v>2</v>
      </c>
      <c r="AF643" s="42">
        <f>IFERROR(LOOKUP(Q643,打分卡!$F$10:$J$10,打分卡!$K$10:$O$10),1)</f>
        <v>1</v>
      </c>
      <c r="AG643" s="42">
        <f>IFERROR(LOOKUP(R643,打分卡!$F$11:$J$11,打分卡!$K$11:$O$11),1)</f>
        <v>3</v>
      </c>
      <c r="AH643" s="42">
        <f>IFERROR(LOOKUP(U643,打分卡!$F$12:$J$12,打分卡!$K$12:$O$12),1)</f>
        <v>3</v>
      </c>
      <c r="AI643" s="42">
        <f>IFERROR(LOOKUP(X643,打分卡!$F$13:$J$13,打分卡!$K$13:$O$13),1)</f>
        <v>4</v>
      </c>
      <c r="AJ643" s="42">
        <f>IFERROR(LOOKUP(Y643,打分卡!$F$14:$J$14,打分卡!$K$14:$O$14),1)</f>
        <v>1</v>
      </c>
      <c r="AK643" s="42">
        <f>IFERROR(LOOKUP(W643,打分卡!$F$15:$J$15,打分卡!$K$15:$O$15),1)</f>
        <v>3</v>
      </c>
      <c r="AL643" s="45">
        <f t="shared" si="81"/>
        <v>5</v>
      </c>
      <c r="AM643" s="42">
        <f>IFERROR(LOOKUP(Z643,打分卡!$F$17:$H$17,打分卡!$K$17:$M$17),1)</f>
        <v>3</v>
      </c>
      <c r="AN643" s="46">
        <f>(打分卡!$D$7*AC643+打分卡!$D$8*AD643+打分卡!$D$9*AE643)/5</f>
        <v>17.6</v>
      </c>
      <c r="AO643" s="46">
        <f>(打分卡!$D$10*AF643+打分卡!$D$11*AG643)/5</f>
        <v>8</v>
      </c>
      <c r="AP643" s="46">
        <f>(打分卡!$D$12*AH643+打分卡!$D$13*AI643+打分卡!$D$14*AJ643+打分卡!$D$15*AK643)/5</f>
        <v>17.2</v>
      </c>
      <c r="AQ643" s="46">
        <f>(打分卡!$D$16*AL643+打分卡!$D$17*AM643)/5</f>
        <v>8.4</v>
      </c>
      <c r="AR643" s="48">
        <f t="shared" si="82"/>
        <v>51.2</v>
      </c>
      <c r="AS643" s="45" t="str">
        <f t="shared" si="83"/>
        <v>腰部</v>
      </c>
      <c r="AT643" s="45" t="str">
        <f t="shared" si="84"/>
        <v/>
      </c>
      <c r="AU643" s="45" t="str">
        <f t="shared" si="85"/>
        <v>拉·主攻：主推AI外呼+大促作战包</v>
      </c>
    </row>
    <row r="644" ht="15" customHeight="1" spans="1:47">
      <c r="A644" s="30" t="s">
        <v>1928</v>
      </c>
      <c r="B644" s="31" t="s">
        <v>1929</v>
      </c>
      <c r="C644" s="31" t="s">
        <v>179</v>
      </c>
      <c r="D644" s="31" t="s">
        <v>202</v>
      </c>
      <c r="E644" s="31" t="s">
        <v>197</v>
      </c>
      <c r="F644" s="30" t="s">
        <v>1248</v>
      </c>
      <c r="G644" s="31">
        <v>7</v>
      </c>
      <c r="H644" s="31" t="s">
        <v>301</v>
      </c>
      <c r="I644" s="31" t="s">
        <v>184</v>
      </c>
      <c r="J644" s="33">
        <v>16600</v>
      </c>
      <c r="K644" s="33">
        <v>5900</v>
      </c>
      <c r="L644" s="33">
        <v>5700</v>
      </c>
      <c r="M644" s="33">
        <f t="shared" si="80"/>
        <v>28200</v>
      </c>
      <c r="N644" s="34">
        <f t="shared" si="86"/>
        <v>0.000147842443992878</v>
      </c>
      <c r="O644" s="35">
        <f>SUM($M$2:M644)</f>
        <v>184497900</v>
      </c>
      <c r="P644" s="34">
        <f t="shared" si="87"/>
        <v>0.967256044239492</v>
      </c>
      <c r="Q644" s="37">
        <v>1.9</v>
      </c>
      <c r="R644" s="31">
        <v>7</v>
      </c>
      <c r="S644" s="31">
        <v>3</v>
      </c>
      <c r="T644" s="31">
        <v>1</v>
      </c>
      <c r="U644" s="37">
        <v>1.3</v>
      </c>
      <c r="V644" s="31">
        <v>28</v>
      </c>
      <c r="W644" s="31">
        <v>3</v>
      </c>
      <c r="X644" s="38">
        <v>65</v>
      </c>
      <c r="Y644" s="31">
        <v>2</v>
      </c>
      <c r="Z644" s="31">
        <v>1</v>
      </c>
      <c r="AA644" s="31" t="s">
        <v>199</v>
      </c>
      <c r="AB644" s="31" t="s">
        <v>220</v>
      </c>
      <c r="AC644" s="41">
        <f>IFERROR(LOOKUP(M644,打分卡!$F$7:$J$7,打分卡!$K$7:$O$7),1)</f>
        <v>2</v>
      </c>
      <c r="AD644" s="41">
        <f>IFERROR(LOOKUP(S644,打分卡!$F$8:$J$8,打分卡!$K$8:$O$8),1)</f>
        <v>3</v>
      </c>
      <c r="AE644" s="41">
        <f>IFERROR(LOOKUP(T644,打分卡!$F$9:$I$9,打分卡!$K$9:$N$9),1)</f>
        <v>2</v>
      </c>
      <c r="AF644" s="41">
        <f>IFERROR(LOOKUP(Q644,打分卡!$F$10:$J$10,打分卡!$K$10:$O$10),1)</f>
        <v>1</v>
      </c>
      <c r="AG644" s="41">
        <f>IFERROR(LOOKUP(R644,打分卡!$F$11:$J$11,打分卡!$K$11:$O$11),1)</f>
        <v>3</v>
      </c>
      <c r="AH644" s="41">
        <f>IFERROR(LOOKUP(U644,打分卡!$F$12:$J$12,打分卡!$K$12:$O$12),1)</f>
        <v>1</v>
      </c>
      <c r="AI644" s="41">
        <f>IFERROR(LOOKUP(X644,打分卡!$F$13:$J$13,打分卡!$K$13:$O$13),1)</f>
        <v>3</v>
      </c>
      <c r="AJ644" s="41">
        <f>IFERROR(LOOKUP(Y644,打分卡!$F$14:$J$14,打分卡!$K$14:$O$14),1)</f>
        <v>3</v>
      </c>
      <c r="AK644" s="41">
        <f>IFERROR(LOOKUP(W644,打分卡!$F$15:$J$15,打分卡!$K$15:$O$15),1)</f>
        <v>3</v>
      </c>
      <c r="AL644" s="43">
        <f t="shared" si="81"/>
        <v>5</v>
      </c>
      <c r="AM644" s="41">
        <f>IFERROR(LOOKUP(Z644,打分卡!$F$17:$H$17,打分卡!$K$17:$M$17),1)</f>
        <v>3</v>
      </c>
      <c r="AN644" s="44">
        <f>(打分卡!$D$7*AC644+打分卡!$D$8*AD644+打分卡!$D$9*AE644)/5</f>
        <v>17.6</v>
      </c>
      <c r="AO644" s="44">
        <f>(打分卡!$D$10*AF644+打分卡!$D$11*AG644)/5</f>
        <v>8</v>
      </c>
      <c r="AP644" s="44">
        <f>(打分卡!$D$12*AH644+打分卡!$D$13*AI644+打分卡!$D$14*AJ644+打分卡!$D$15*AK644)/5</f>
        <v>13.2</v>
      </c>
      <c r="AQ644" s="44">
        <f>(打分卡!$D$16*AL644+打分卡!$D$17*AM644)/5</f>
        <v>8.4</v>
      </c>
      <c r="AR644" s="47">
        <f t="shared" si="82"/>
        <v>47.2</v>
      </c>
      <c r="AS644" s="43" t="str">
        <f t="shared" si="83"/>
        <v>腰部</v>
      </c>
      <c r="AT644" s="43" t="str">
        <f t="shared" si="84"/>
        <v/>
      </c>
      <c r="AU644" s="43" t="str">
        <f t="shared" si="85"/>
        <v>拉·主攻：主推AI外呼+大促作战包</v>
      </c>
    </row>
    <row r="645" ht="15" customHeight="1" spans="1:47">
      <c r="A645" s="20" t="s">
        <v>1930</v>
      </c>
      <c r="B645" s="22" t="s">
        <v>1931</v>
      </c>
      <c r="C645" s="22" t="s">
        <v>189</v>
      </c>
      <c r="D645" s="22" t="s">
        <v>190</v>
      </c>
      <c r="E645" s="22" t="s">
        <v>197</v>
      </c>
      <c r="F645" s="20" t="s">
        <v>454</v>
      </c>
      <c r="G645" s="22">
        <v>23</v>
      </c>
      <c r="H645" s="22" t="s">
        <v>301</v>
      </c>
      <c r="I645" s="22" t="s">
        <v>184</v>
      </c>
      <c r="J645" s="36">
        <v>13700</v>
      </c>
      <c r="K645" s="36">
        <v>10300</v>
      </c>
      <c r="L645" s="36">
        <v>4200</v>
      </c>
      <c r="M645" s="36">
        <f t="shared" si="80"/>
        <v>28200</v>
      </c>
      <c r="N645" s="34">
        <f t="shared" si="86"/>
        <v>0.000147842443992878</v>
      </c>
      <c r="O645" s="35">
        <f>SUM($M$2:M645)</f>
        <v>184526100</v>
      </c>
      <c r="P645" s="34">
        <f t="shared" si="87"/>
        <v>0.967403886683485</v>
      </c>
      <c r="Q645" s="39">
        <v>2.9</v>
      </c>
      <c r="R645" s="22">
        <v>3</v>
      </c>
      <c r="S645" s="22">
        <v>2</v>
      </c>
      <c r="T645" s="22">
        <v>0</v>
      </c>
      <c r="U645" s="39">
        <v>34</v>
      </c>
      <c r="V645" s="22">
        <v>7</v>
      </c>
      <c r="W645" s="22">
        <v>4</v>
      </c>
      <c r="X645" s="40">
        <v>25</v>
      </c>
      <c r="Y645" s="22">
        <v>3</v>
      </c>
      <c r="Z645" s="22">
        <v>1</v>
      </c>
      <c r="AA645" s="22" t="s">
        <v>199</v>
      </c>
      <c r="AB645" s="22" t="s">
        <v>220</v>
      </c>
      <c r="AC645" s="42">
        <f>IFERROR(LOOKUP(M645,打分卡!$F$7:$J$7,打分卡!$K$7:$O$7),1)</f>
        <v>2</v>
      </c>
      <c r="AD645" s="42">
        <f>IFERROR(LOOKUP(S645,打分卡!$F$8:$J$8,打分卡!$K$8:$O$8),1)</f>
        <v>2</v>
      </c>
      <c r="AE645" s="42">
        <f>IFERROR(LOOKUP(T645,打分卡!$F$9:$I$9,打分卡!$K$9:$N$9),1)</f>
        <v>1</v>
      </c>
      <c r="AF645" s="42">
        <f>IFERROR(LOOKUP(Q645,打分卡!$F$10:$J$10,打分卡!$K$10:$O$10),1)</f>
        <v>2</v>
      </c>
      <c r="AG645" s="42">
        <f>IFERROR(LOOKUP(R645,打分卡!$F$11:$J$11,打分卡!$K$11:$O$11),1)</f>
        <v>2</v>
      </c>
      <c r="AH645" s="42">
        <f>IFERROR(LOOKUP(U645,打分卡!$F$12:$J$12,打分卡!$K$12:$O$12),1)</f>
        <v>4</v>
      </c>
      <c r="AI645" s="42">
        <f>IFERROR(LOOKUP(X645,打分卡!$F$13:$J$13,打分卡!$K$13:$O$13),1)</f>
        <v>2</v>
      </c>
      <c r="AJ645" s="42">
        <f>IFERROR(LOOKUP(Y645,打分卡!$F$14:$J$14,打分卡!$K$14:$O$14),1)</f>
        <v>4</v>
      </c>
      <c r="AK645" s="42">
        <f>IFERROR(LOOKUP(W645,打分卡!$F$15:$J$15,打分卡!$K$15:$O$15),1)</f>
        <v>3</v>
      </c>
      <c r="AL645" s="45">
        <f t="shared" si="81"/>
        <v>5</v>
      </c>
      <c r="AM645" s="42">
        <f>IFERROR(LOOKUP(Z645,打分卡!$F$17:$H$17,打分卡!$K$17:$M$17),1)</f>
        <v>3</v>
      </c>
      <c r="AN645" s="46">
        <f>(打分卡!$D$7*AC645+打分卡!$D$8*AD645+打分卡!$D$9*AE645)/5</f>
        <v>14.6</v>
      </c>
      <c r="AO645" s="46">
        <f>(打分卡!$D$10*AF645+打分卡!$D$11*AG645)/5</f>
        <v>8</v>
      </c>
      <c r="AP645" s="46">
        <f>(打分卡!$D$12*AH645+打分卡!$D$13*AI645+打分卡!$D$14*AJ645+打分卡!$D$15*AK645)/5</f>
        <v>20</v>
      </c>
      <c r="AQ645" s="46">
        <f>(打分卡!$D$16*AL645+打分卡!$D$17*AM645)/5</f>
        <v>8.4</v>
      </c>
      <c r="AR645" s="48">
        <f t="shared" si="82"/>
        <v>51</v>
      </c>
      <c r="AS645" s="45" t="str">
        <f t="shared" si="83"/>
        <v>腰部</v>
      </c>
      <c r="AT645" s="45" t="str">
        <f t="shared" si="84"/>
        <v/>
      </c>
      <c r="AU645" s="45" t="str">
        <f t="shared" si="85"/>
        <v>拉·主攻：主推AI外呼+大促作战包</v>
      </c>
    </row>
    <row r="646" ht="15" customHeight="1" spans="1:47">
      <c r="A646" s="30" t="s">
        <v>1932</v>
      </c>
      <c r="B646" s="31" t="s">
        <v>1933</v>
      </c>
      <c r="C646" s="31" t="s">
        <v>195</v>
      </c>
      <c r="D646" s="31" t="s">
        <v>227</v>
      </c>
      <c r="E646" s="31" t="s">
        <v>181</v>
      </c>
      <c r="F646" s="30" t="s">
        <v>746</v>
      </c>
      <c r="G646" s="31">
        <v>3</v>
      </c>
      <c r="H646" s="31" t="s">
        <v>301</v>
      </c>
      <c r="I646" s="31" t="s">
        <v>302</v>
      </c>
      <c r="J646" s="33">
        <v>17200</v>
      </c>
      <c r="K646" s="33">
        <v>8700</v>
      </c>
      <c r="L646" s="33">
        <v>2300</v>
      </c>
      <c r="M646" s="33">
        <f t="shared" si="80"/>
        <v>28200</v>
      </c>
      <c r="N646" s="34">
        <f t="shared" si="86"/>
        <v>0.000147842443992878</v>
      </c>
      <c r="O646" s="35">
        <f>SUM($M$2:M646)</f>
        <v>184554300</v>
      </c>
      <c r="P646" s="34">
        <f t="shared" si="87"/>
        <v>0.967551729127478</v>
      </c>
      <c r="Q646" s="37">
        <v>3.3</v>
      </c>
      <c r="R646" s="31">
        <v>1</v>
      </c>
      <c r="S646" s="31">
        <v>2</v>
      </c>
      <c r="T646" s="31">
        <v>1</v>
      </c>
      <c r="U646" s="37">
        <v>1.8</v>
      </c>
      <c r="V646" s="31">
        <v>14</v>
      </c>
      <c r="W646" s="31">
        <v>1</v>
      </c>
      <c r="X646" s="38">
        <v>29</v>
      </c>
      <c r="Y646" s="31">
        <v>1</v>
      </c>
      <c r="Z646" s="31">
        <v>0</v>
      </c>
      <c r="AA646" s="31" t="s">
        <v>199</v>
      </c>
      <c r="AB646" s="31" t="s">
        <v>220</v>
      </c>
      <c r="AC646" s="41">
        <f>IFERROR(LOOKUP(M646,打分卡!$F$7:$J$7,打分卡!$K$7:$O$7),1)</f>
        <v>2</v>
      </c>
      <c r="AD646" s="41">
        <f>IFERROR(LOOKUP(S646,打分卡!$F$8:$J$8,打分卡!$K$8:$O$8),1)</f>
        <v>2</v>
      </c>
      <c r="AE646" s="41">
        <f>IFERROR(LOOKUP(T646,打分卡!$F$9:$I$9,打分卡!$K$9:$N$9),1)</f>
        <v>2</v>
      </c>
      <c r="AF646" s="41">
        <f>IFERROR(LOOKUP(Q646,打分卡!$F$10:$J$10,打分卡!$K$10:$O$10),1)</f>
        <v>2</v>
      </c>
      <c r="AG646" s="41">
        <f>IFERROR(LOOKUP(R646,打分卡!$F$11:$J$11,打分卡!$K$11:$O$11),1)</f>
        <v>1</v>
      </c>
      <c r="AH646" s="41">
        <f>IFERROR(LOOKUP(U646,打分卡!$F$12:$J$12,打分卡!$K$12:$O$12),1)</f>
        <v>1</v>
      </c>
      <c r="AI646" s="41">
        <f>IFERROR(LOOKUP(X646,打分卡!$F$13:$J$13,打分卡!$K$13:$O$13),1)</f>
        <v>2</v>
      </c>
      <c r="AJ646" s="41">
        <f>IFERROR(LOOKUP(Y646,打分卡!$F$14:$J$14,打分卡!$K$14:$O$14),1)</f>
        <v>2</v>
      </c>
      <c r="AK646" s="41">
        <f>IFERROR(LOOKUP(W646,打分卡!$F$15:$J$15,打分卡!$K$15:$O$15),1)</f>
        <v>2</v>
      </c>
      <c r="AL646" s="43">
        <f t="shared" si="81"/>
        <v>5</v>
      </c>
      <c r="AM646" s="41">
        <f>IFERROR(LOOKUP(Z646,打分卡!$F$17:$H$17,打分卡!$K$17:$M$17),1)</f>
        <v>1</v>
      </c>
      <c r="AN646" s="44">
        <f>(打分卡!$D$7*AC646+打分卡!$D$8*AD646+打分卡!$D$9*AE646)/5</f>
        <v>16</v>
      </c>
      <c r="AO646" s="44">
        <f>(打分卡!$D$10*AF646+打分卡!$D$11*AG646)/5</f>
        <v>6</v>
      </c>
      <c r="AP646" s="44">
        <f>(打分卡!$D$12*AH646+打分卡!$D$13*AI646+打分卡!$D$14*AJ646+打分卡!$D$15*AK646)/5</f>
        <v>9.6</v>
      </c>
      <c r="AQ646" s="44">
        <f>(打分卡!$D$16*AL646+打分卡!$D$17*AM646)/5</f>
        <v>6.8</v>
      </c>
      <c r="AR646" s="47">
        <f t="shared" si="82"/>
        <v>38.4</v>
      </c>
      <c r="AS646" s="43" t="str">
        <f t="shared" si="83"/>
        <v>基础长尾</v>
      </c>
      <c r="AT646" s="43" t="str">
        <f t="shared" si="84"/>
        <v/>
      </c>
      <c r="AU646" s="43" t="str">
        <f t="shared" si="85"/>
        <v>激活：企微+Push低成本先跑</v>
      </c>
    </row>
    <row r="647" ht="15" customHeight="1" spans="1:47">
      <c r="A647" s="20" t="s">
        <v>1934</v>
      </c>
      <c r="B647" s="22" t="s">
        <v>1935</v>
      </c>
      <c r="C647" s="22" t="s">
        <v>209</v>
      </c>
      <c r="D647" s="22" t="s">
        <v>202</v>
      </c>
      <c r="E647" s="22" t="s">
        <v>181</v>
      </c>
      <c r="F647" s="20" t="s">
        <v>1936</v>
      </c>
      <c r="G647" s="22">
        <v>17</v>
      </c>
      <c r="H647" s="22" t="s">
        <v>301</v>
      </c>
      <c r="I647" s="22" t="s">
        <v>302</v>
      </c>
      <c r="J647" s="36">
        <v>13200</v>
      </c>
      <c r="K647" s="36">
        <v>5700</v>
      </c>
      <c r="L647" s="36">
        <v>9200</v>
      </c>
      <c r="M647" s="36">
        <f t="shared" si="80"/>
        <v>28100</v>
      </c>
      <c r="N647" s="34">
        <f t="shared" si="86"/>
        <v>0.000147318180007088</v>
      </c>
      <c r="O647" s="35">
        <f>SUM($M$2:M647)</f>
        <v>184582400</v>
      </c>
      <c r="P647" s="34">
        <f t="shared" si="87"/>
        <v>0.967699047307485</v>
      </c>
      <c r="Q647" s="39">
        <v>2.5</v>
      </c>
      <c r="R647" s="22">
        <v>10</v>
      </c>
      <c r="S647" s="22">
        <v>2</v>
      </c>
      <c r="T647" s="22">
        <v>0</v>
      </c>
      <c r="U647" s="39">
        <v>6</v>
      </c>
      <c r="V647" s="22">
        <v>7</v>
      </c>
      <c r="W647" s="22">
        <v>0</v>
      </c>
      <c r="X647" s="40">
        <v>12</v>
      </c>
      <c r="Y647" s="22">
        <v>3</v>
      </c>
      <c r="Z647" s="22">
        <v>1</v>
      </c>
      <c r="AA647" s="22" t="s">
        <v>315</v>
      </c>
      <c r="AB647" s="22" t="s">
        <v>220</v>
      </c>
      <c r="AC647" s="42">
        <f>IFERROR(LOOKUP(M647,打分卡!$F$7:$J$7,打分卡!$K$7:$O$7),1)</f>
        <v>2</v>
      </c>
      <c r="AD647" s="42">
        <f>IFERROR(LOOKUP(S647,打分卡!$F$8:$J$8,打分卡!$K$8:$O$8),1)</f>
        <v>2</v>
      </c>
      <c r="AE647" s="42">
        <f>IFERROR(LOOKUP(T647,打分卡!$F$9:$I$9,打分卡!$K$9:$N$9),1)</f>
        <v>1</v>
      </c>
      <c r="AF647" s="42">
        <f>IFERROR(LOOKUP(Q647,打分卡!$F$10:$J$10,打分卡!$K$10:$O$10),1)</f>
        <v>2</v>
      </c>
      <c r="AG647" s="42">
        <f>IFERROR(LOOKUP(R647,打分卡!$F$11:$J$11,打分卡!$K$11:$O$11),1)</f>
        <v>4</v>
      </c>
      <c r="AH647" s="42">
        <f>IFERROR(LOOKUP(U647,打分卡!$F$12:$J$12,打分卡!$K$12:$O$12),1)</f>
        <v>2</v>
      </c>
      <c r="AI647" s="42">
        <f>IFERROR(LOOKUP(X647,打分卡!$F$13:$J$13,打分卡!$K$13:$O$13),1)</f>
        <v>1</v>
      </c>
      <c r="AJ647" s="42">
        <f>IFERROR(LOOKUP(Y647,打分卡!$F$14:$J$14,打分卡!$K$14:$O$14),1)</f>
        <v>4</v>
      </c>
      <c r="AK647" s="42">
        <f>IFERROR(LOOKUP(W647,打分卡!$F$15:$J$15,打分卡!$K$15:$O$15),1)</f>
        <v>1</v>
      </c>
      <c r="AL647" s="45">
        <f t="shared" si="81"/>
        <v>2</v>
      </c>
      <c r="AM647" s="42">
        <f>IFERROR(LOOKUP(Z647,打分卡!$F$17:$H$17,打分卡!$K$17:$M$17),1)</f>
        <v>3</v>
      </c>
      <c r="AN647" s="46">
        <f>(打分卡!$D$7*AC647+打分卡!$D$8*AD647+打分卡!$D$9*AE647)/5</f>
        <v>14.6</v>
      </c>
      <c r="AO647" s="46">
        <f>(打分卡!$D$10*AF647+打分卡!$D$11*AG647)/5</f>
        <v>12</v>
      </c>
      <c r="AP647" s="46">
        <f>(打分卡!$D$12*AH647+打分卡!$D$13*AI647+打分卡!$D$14*AJ647+打分卡!$D$15*AK647)/5</f>
        <v>12</v>
      </c>
      <c r="AQ647" s="46">
        <f>(打分卡!$D$16*AL647+打分卡!$D$17*AM647)/5</f>
        <v>4.8</v>
      </c>
      <c r="AR647" s="48">
        <f t="shared" si="82"/>
        <v>43.4</v>
      </c>
      <c r="AS647" s="45" t="str">
        <f t="shared" si="83"/>
        <v>腰部</v>
      </c>
      <c r="AT647" s="45" t="str">
        <f t="shared" si="84"/>
        <v/>
      </c>
      <c r="AU647" s="45" t="str">
        <f t="shared" si="85"/>
        <v>拉·主攻：主推AI外呼+大促作战包</v>
      </c>
    </row>
    <row r="648" ht="15" customHeight="1" spans="1:47">
      <c r="A648" s="30" t="s">
        <v>1937</v>
      </c>
      <c r="B648" s="31" t="s">
        <v>1938</v>
      </c>
      <c r="C648" s="31" t="s">
        <v>189</v>
      </c>
      <c r="D648" s="31" t="s">
        <v>235</v>
      </c>
      <c r="E648" s="31" t="s">
        <v>181</v>
      </c>
      <c r="F648" s="30" t="s">
        <v>1046</v>
      </c>
      <c r="G648" s="31">
        <v>23</v>
      </c>
      <c r="H648" s="31" t="s">
        <v>301</v>
      </c>
      <c r="I648" s="31" t="s">
        <v>184</v>
      </c>
      <c r="J648" s="33">
        <v>16300</v>
      </c>
      <c r="K648" s="33">
        <v>10300</v>
      </c>
      <c r="L648" s="33">
        <v>1400</v>
      </c>
      <c r="M648" s="33">
        <f t="shared" si="80"/>
        <v>28000</v>
      </c>
      <c r="N648" s="34">
        <f t="shared" si="86"/>
        <v>0.000146793916021298</v>
      </c>
      <c r="O648" s="35">
        <f>SUM($M$2:M648)</f>
        <v>184610400</v>
      </c>
      <c r="P648" s="34">
        <f t="shared" si="87"/>
        <v>0.967845841223506</v>
      </c>
      <c r="Q648" s="37">
        <v>2.6</v>
      </c>
      <c r="R648" s="31">
        <v>6</v>
      </c>
      <c r="S648" s="31">
        <v>3</v>
      </c>
      <c r="T648" s="31">
        <v>2</v>
      </c>
      <c r="U648" s="37">
        <v>36.7</v>
      </c>
      <c r="V648" s="31">
        <v>14</v>
      </c>
      <c r="W648" s="31">
        <v>0</v>
      </c>
      <c r="X648" s="38">
        <v>40</v>
      </c>
      <c r="Y648" s="31">
        <v>0</v>
      </c>
      <c r="Z648" s="31">
        <v>0</v>
      </c>
      <c r="AA648" s="31" t="s">
        <v>315</v>
      </c>
      <c r="AB648" s="31" t="s">
        <v>220</v>
      </c>
      <c r="AC648" s="41">
        <f>IFERROR(LOOKUP(M648,打分卡!$F$7:$J$7,打分卡!$K$7:$O$7),1)</f>
        <v>2</v>
      </c>
      <c r="AD648" s="41">
        <f>IFERROR(LOOKUP(S648,打分卡!$F$8:$J$8,打分卡!$K$8:$O$8),1)</f>
        <v>3</v>
      </c>
      <c r="AE648" s="41">
        <f>IFERROR(LOOKUP(T648,打分卡!$F$9:$I$9,打分卡!$K$9:$N$9),1)</f>
        <v>3</v>
      </c>
      <c r="AF648" s="41">
        <f>IFERROR(LOOKUP(Q648,打分卡!$F$10:$J$10,打分卡!$K$10:$O$10),1)</f>
        <v>2</v>
      </c>
      <c r="AG648" s="41">
        <f>IFERROR(LOOKUP(R648,打分卡!$F$11:$J$11,打分卡!$K$11:$O$11),1)</f>
        <v>3</v>
      </c>
      <c r="AH648" s="41">
        <f>IFERROR(LOOKUP(U648,打分卡!$F$12:$J$12,打分卡!$K$12:$O$12),1)</f>
        <v>4</v>
      </c>
      <c r="AI648" s="41">
        <f>IFERROR(LOOKUP(X648,打分卡!$F$13:$J$13,打分卡!$K$13:$O$13),1)</f>
        <v>3</v>
      </c>
      <c r="AJ648" s="41">
        <f>IFERROR(LOOKUP(Y648,打分卡!$F$14:$J$14,打分卡!$K$14:$O$14),1)</f>
        <v>1</v>
      </c>
      <c r="AK648" s="41">
        <f>IFERROR(LOOKUP(W648,打分卡!$F$15:$J$15,打分卡!$K$15:$O$15),1)</f>
        <v>1</v>
      </c>
      <c r="AL648" s="43">
        <f t="shared" si="81"/>
        <v>2</v>
      </c>
      <c r="AM648" s="41">
        <f>IFERROR(LOOKUP(Z648,打分卡!$F$17:$H$17,打分卡!$K$17:$M$17),1)</f>
        <v>1</v>
      </c>
      <c r="AN648" s="44">
        <f>(打分卡!$D$7*AC648+打分卡!$D$8*AD648+打分卡!$D$9*AE648)/5</f>
        <v>19</v>
      </c>
      <c r="AO648" s="44">
        <f>(打分卡!$D$10*AF648+打分卡!$D$11*AG648)/5</f>
        <v>10</v>
      </c>
      <c r="AP648" s="44">
        <f>(打分卡!$D$12*AH648+打分卡!$D$13*AI648+打分卡!$D$14*AJ648+打分卡!$D$15*AK648)/5</f>
        <v>16.4</v>
      </c>
      <c r="AQ648" s="44">
        <f>(打分卡!$D$16*AL648+打分卡!$D$17*AM648)/5</f>
        <v>3.2</v>
      </c>
      <c r="AR648" s="47">
        <f t="shared" si="82"/>
        <v>48.6</v>
      </c>
      <c r="AS648" s="43" t="str">
        <f t="shared" si="83"/>
        <v>腰部</v>
      </c>
      <c r="AT648" s="43" t="str">
        <f t="shared" si="84"/>
        <v/>
      </c>
      <c r="AU648" s="43" t="str">
        <f t="shared" si="85"/>
        <v>拉·主攻：主推AI外呼+大促作战包</v>
      </c>
    </row>
    <row r="649" ht="15" customHeight="1" spans="1:47">
      <c r="A649" s="20" t="s">
        <v>1939</v>
      </c>
      <c r="B649" s="22" t="s">
        <v>1940</v>
      </c>
      <c r="C649" s="22" t="s">
        <v>223</v>
      </c>
      <c r="D649" s="22" t="s">
        <v>202</v>
      </c>
      <c r="E649" s="22" t="s">
        <v>181</v>
      </c>
      <c r="F649" s="20" t="s">
        <v>1941</v>
      </c>
      <c r="G649" s="22">
        <v>12</v>
      </c>
      <c r="H649" s="22" t="s">
        <v>301</v>
      </c>
      <c r="I649" s="22" t="s">
        <v>302</v>
      </c>
      <c r="J649" s="36">
        <v>15400</v>
      </c>
      <c r="K649" s="36">
        <v>6600</v>
      </c>
      <c r="L649" s="36">
        <v>5900</v>
      </c>
      <c r="M649" s="36">
        <f t="shared" si="80"/>
        <v>27900</v>
      </c>
      <c r="N649" s="34">
        <f t="shared" si="86"/>
        <v>0.000146269652035507</v>
      </c>
      <c r="O649" s="35">
        <f>SUM($M$2:M649)</f>
        <v>184638300</v>
      </c>
      <c r="P649" s="34">
        <f t="shared" si="87"/>
        <v>0.967992110875542</v>
      </c>
      <c r="Q649" s="39">
        <v>4.1</v>
      </c>
      <c r="R649" s="22">
        <v>10</v>
      </c>
      <c r="S649" s="22">
        <v>2</v>
      </c>
      <c r="T649" s="22">
        <v>2</v>
      </c>
      <c r="U649" s="39">
        <v>2.4</v>
      </c>
      <c r="V649" s="22">
        <v>22</v>
      </c>
      <c r="W649" s="22">
        <v>4</v>
      </c>
      <c r="X649" s="40">
        <v>149</v>
      </c>
      <c r="Y649" s="22">
        <v>0</v>
      </c>
      <c r="Z649" s="22">
        <v>1</v>
      </c>
      <c r="AA649" s="22" t="s">
        <v>185</v>
      </c>
      <c r="AB649" s="22" t="s">
        <v>220</v>
      </c>
      <c r="AC649" s="42">
        <f>IFERROR(LOOKUP(M649,打分卡!$F$7:$J$7,打分卡!$K$7:$O$7),1)</f>
        <v>2</v>
      </c>
      <c r="AD649" s="42">
        <f>IFERROR(LOOKUP(S649,打分卡!$F$8:$J$8,打分卡!$K$8:$O$8),1)</f>
        <v>2</v>
      </c>
      <c r="AE649" s="42">
        <f>IFERROR(LOOKUP(T649,打分卡!$F$9:$I$9,打分卡!$K$9:$N$9),1)</f>
        <v>3</v>
      </c>
      <c r="AF649" s="42">
        <f>IFERROR(LOOKUP(Q649,打分卡!$F$10:$J$10,打分卡!$K$10:$O$10),1)</f>
        <v>2</v>
      </c>
      <c r="AG649" s="42">
        <f>IFERROR(LOOKUP(R649,打分卡!$F$11:$J$11,打分卡!$K$11:$O$11),1)</f>
        <v>4</v>
      </c>
      <c r="AH649" s="42">
        <f>IFERROR(LOOKUP(U649,打分卡!$F$12:$J$12,打分卡!$K$12:$O$12),1)</f>
        <v>1</v>
      </c>
      <c r="AI649" s="42">
        <f>IFERROR(LOOKUP(X649,打分卡!$F$13:$J$13,打分卡!$K$13:$O$13),1)</f>
        <v>4</v>
      </c>
      <c r="AJ649" s="42">
        <f>IFERROR(LOOKUP(Y649,打分卡!$F$14:$J$14,打分卡!$K$14:$O$14),1)</f>
        <v>1</v>
      </c>
      <c r="AK649" s="42">
        <f>IFERROR(LOOKUP(W649,打分卡!$F$15:$J$15,打分卡!$K$15:$O$15),1)</f>
        <v>3</v>
      </c>
      <c r="AL649" s="45">
        <f t="shared" si="81"/>
        <v>3</v>
      </c>
      <c r="AM649" s="42">
        <f>IFERROR(LOOKUP(Z649,打分卡!$F$17:$H$17,打分卡!$K$17:$M$17),1)</f>
        <v>3</v>
      </c>
      <c r="AN649" s="46">
        <f>(打分卡!$D$7*AC649+打分卡!$D$8*AD649+打分卡!$D$9*AE649)/5</f>
        <v>17.4</v>
      </c>
      <c r="AO649" s="46">
        <f>(打分卡!$D$10*AF649+打分卡!$D$11*AG649)/5</f>
        <v>12</v>
      </c>
      <c r="AP649" s="46">
        <f>(打分卡!$D$12*AH649+打分卡!$D$13*AI649+打分卡!$D$14*AJ649+打分卡!$D$15*AK649)/5</f>
        <v>12.4</v>
      </c>
      <c r="AQ649" s="46">
        <f>(打分卡!$D$16*AL649+打分卡!$D$17*AM649)/5</f>
        <v>6</v>
      </c>
      <c r="AR649" s="48">
        <f t="shared" si="82"/>
        <v>47.8</v>
      </c>
      <c r="AS649" s="45" t="str">
        <f t="shared" si="83"/>
        <v>腰部</v>
      </c>
      <c r="AT649" s="45" t="str">
        <f t="shared" si="84"/>
        <v/>
      </c>
      <c r="AU649" s="45" t="str">
        <f t="shared" si="85"/>
        <v>拉·主攻：主推AI外呼+大促作战包</v>
      </c>
    </row>
    <row r="650" ht="15" customHeight="1" spans="1:47">
      <c r="A650" s="30" t="s">
        <v>1942</v>
      </c>
      <c r="B650" s="31" t="s">
        <v>1943</v>
      </c>
      <c r="C650" s="31" t="s">
        <v>189</v>
      </c>
      <c r="D650" s="31" t="s">
        <v>227</v>
      </c>
      <c r="E650" s="31" t="s">
        <v>197</v>
      </c>
      <c r="F650" s="30" t="s">
        <v>1226</v>
      </c>
      <c r="G650" s="31">
        <v>8</v>
      </c>
      <c r="H650" s="31" t="s">
        <v>301</v>
      </c>
      <c r="I650" s="31" t="s">
        <v>302</v>
      </c>
      <c r="J650" s="33">
        <v>16500</v>
      </c>
      <c r="K650" s="33">
        <v>7000</v>
      </c>
      <c r="L650" s="33">
        <v>4200</v>
      </c>
      <c r="M650" s="33">
        <f t="shared" si="80"/>
        <v>27700</v>
      </c>
      <c r="N650" s="34">
        <f t="shared" si="86"/>
        <v>0.000145221124063927</v>
      </c>
      <c r="O650" s="35">
        <f>SUM($M$2:M650)</f>
        <v>184666000</v>
      </c>
      <c r="P650" s="34">
        <f t="shared" si="87"/>
        <v>0.968137331999606</v>
      </c>
      <c r="Q650" s="37">
        <v>3.7</v>
      </c>
      <c r="R650" s="31">
        <v>5</v>
      </c>
      <c r="S650" s="31">
        <v>3</v>
      </c>
      <c r="T650" s="31">
        <v>2</v>
      </c>
      <c r="U650" s="37">
        <v>1.1</v>
      </c>
      <c r="V650" s="31">
        <v>5</v>
      </c>
      <c r="W650" s="31">
        <v>4</v>
      </c>
      <c r="X650" s="38">
        <v>71</v>
      </c>
      <c r="Y650" s="31">
        <v>3</v>
      </c>
      <c r="Z650" s="31">
        <v>1</v>
      </c>
      <c r="AA650" s="31" t="s">
        <v>315</v>
      </c>
      <c r="AB650" s="31" t="s">
        <v>220</v>
      </c>
      <c r="AC650" s="41">
        <f>IFERROR(LOOKUP(M650,打分卡!$F$7:$J$7,打分卡!$K$7:$O$7),1)</f>
        <v>2</v>
      </c>
      <c r="AD650" s="41">
        <f>IFERROR(LOOKUP(S650,打分卡!$F$8:$J$8,打分卡!$K$8:$O$8),1)</f>
        <v>3</v>
      </c>
      <c r="AE650" s="41">
        <f>IFERROR(LOOKUP(T650,打分卡!$F$9:$I$9,打分卡!$K$9:$N$9),1)</f>
        <v>3</v>
      </c>
      <c r="AF650" s="41">
        <f>IFERROR(LOOKUP(Q650,打分卡!$F$10:$J$10,打分卡!$K$10:$O$10),1)</f>
        <v>2</v>
      </c>
      <c r="AG650" s="41">
        <f>IFERROR(LOOKUP(R650,打分卡!$F$11:$J$11,打分卡!$K$11:$O$11),1)</f>
        <v>3</v>
      </c>
      <c r="AH650" s="41">
        <f>IFERROR(LOOKUP(U650,打分卡!$F$12:$J$12,打分卡!$K$12:$O$12),1)</f>
        <v>1</v>
      </c>
      <c r="AI650" s="41">
        <f>IFERROR(LOOKUP(X650,打分卡!$F$13:$J$13,打分卡!$K$13:$O$13),1)</f>
        <v>3</v>
      </c>
      <c r="AJ650" s="41">
        <f>IFERROR(LOOKUP(Y650,打分卡!$F$14:$J$14,打分卡!$K$14:$O$14),1)</f>
        <v>4</v>
      </c>
      <c r="AK650" s="41">
        <f>IFERROR(LOOKUP(W650,打分卡!$F$15:$J$15,打分卡!$K$15:$O$15),1)</f>
        <v>3</v>
      </c>
      <c r="AL650" s="43">
        <f t="shared" si="81"/>
        <v>2</v>
      </c>
      <c r="AM650" s="41">
        <f>IFERROR(LOOKUP(Z650,打分卡!$F$17:$H$17,打分卡!$K$17:$M$17),1)</f>
        <v>3</v>
      </c>
      <c r="AN650" s="44">
        <f>(打分卡!$D$7*AC650+打分卡!$D$8*AD650+打分卡!$D$9*AE650)/5</f>
        <v>19</v>
      </c>
      <c r="AO650" s="44">
        <f>(打分卡!$D$10*AF650+打分卡!$D$11*AG650)/5</f>
        <v>10</v>
      </c>
      <c r="AP650" s="44">
        <f>(打分卡!$D$12*AH650+打分卡!$D$13*AI650+打分卡!$D$14*AJ650+打分卡!$D$15*AK650)/5</f>
        <v>14.4</v>
      </c>
      <c r="AQ650" s="44">
        <f>(打分卡!$D$16*AL650+打分卡!$D$17*AM650)/5</f>
        <v>4.8</v>
      </c>
      <c r="AR650" s="47">
        <f t="shared" si="82"/>
        <v>48.2</v>
      </c>
      <c r="AS650" s="43" t="str">
        <f t="shared" si="83"/>
        <v>腰部</v>
      </c>
      <c r="AT650" s="43" t="str">
        <f t="shared" si="84"/>
        <v/>
      </c>
      <c r="AU650" s="43" t="str">
        <f t="shared" si="85"/>
        <v>拉·主攻：主推AI外呼+大促作战包</v>
      </c>
    </row>
    <row r="651" ht="15" customHeight="1" spans="1:47">
      <c r="A651" s="20" t="s">
        <v>1944</v>
      </c>
      <c r="B651" s="22" t="s">
        <v>1945</v>
      </c>
      <c r="C651" s="22" t="s">
        <v>189</v>
      </c>
      <c r="D651" s="22" t="s">
        <v>227</v>
      </c>
      <c r="E651" s="22" t="s">
        <v>197</v>
      </c>
      <c r="F651" s="20" t="s">
        <v>893</v>
      </c>
      <c r="G651" s="22">
        <v>8</v>
      </c>
      <c r="H651" s="22" t="s">
        <v>301</v>
      </c>
      <c r="I651" s="22" t="s">
        <v>302</v>
      </c>
      <c r="J651" s="36">
        <v>16300</v>
      </c>
      <c r="K651" s="36">
        <v>5600</v>
      </c>
      <c r="L651" s="36">
        <v>5500</v>
      </c>
      <c r="M651" s="36">
        <f t="shared" si="80"/>
        <v>27400</v>
      </c>
      <c r="N651" s="34">
        <f t="shared" si="86"/>
        <v>0.000143648332106556</v>
      </c>
      <c r="O651" s="35">
        <f>SUM($M$2:M651)</f>
        <v>184693400</v>
      </c>
      <c r="P651" s="34">
        <f t="shared" si="87"/>
        <v>0.968280980331712</v>
      </c>
      <c r="Q651" s="39">
        <v>2.1</v>
      </c>
      <c r="R651" s="22">
        <v>4</v>
      </c>
      <c r="S651" s="22">
        <v>1</v>
      </c>
      <c r="T651" s="22">
        <v>0</v>
      </c>
      <c r="U651" s="39">
        <v>4.5</v>
      </c>
      <c r="V651" s="22">
        <v>19</v>
      </c>
      <c r="W651" s="22">
        <v>1</v>
      </c>
      <c r="X651" s="40">
        <v>56</v>
      </c>
      <c r="Y651" s="22">
        <v>0</v>
      </c>
      <c r="Z651" s="22">
        <v>0</v>
      </c>
      <c r="AA651" s="22" t="s">
        <v>199</v>
      </c>
      <c r="AB651" s="22" t="s">
        <v>220</v>
      </c>
      <c r="AC651" s="42">
        <f>IFERROR(LOOKUP(M651,打分卡!$F$7:$J$7,打分卡!$K$7:$O$7),1)</f>
        <v>2</v>
      </c>
      <c r="AD651" s="42">
        <f>IFERROR(LOOKUP(S651,打分卡!$F$8:$J$8,打分卡!$K$8:$O$8),1)</f>
        <v>1</v>
      </c>
      <c r="AE651" s="42">
        <f>IFERROR(LOOKUP(T651,打分卡!$F$9:$I$9,打分卡!$K$9:$N$9),1)</f>
        <v>1</v>
      </c>
      <c r="AF651" s="42">
        <f>IFERROR(LOOKUP(Q651,打分卡!$F$10:$J$10,打分卡!$K$10:$O$10),1)</f>
        <v>1</v>
      </c>
      <c r="AG651" s="42">
        <f>IFERROR(LOOKUP(R651,打分卡!$F$11:$J$11,打分卡!$K$11:$O$11),1)</f>
        <v>2</v>
      </c>
      <c r="AH651" s="42">
        <f>IFERROR(LOOKUP(U651,打分卡!$F$12:$J$12,打分卡!$K$12:$O$12),1)</f>
        <v>2</v>
      </c>
      <c r="AI651" s="42">
        <f>IFERROR(LOOKUP(X651,打分卡!$F$13:$J$13,打分卡!$K$13:$O$13),1)</f>
        <v>3</v>
      </c>
      <c r="AJ651" s="42">
        <f>IFERROR(LOOKUP(Y651,打分卡!$F$14:$J$14,打分卡!$K$14:$O$14),1)</f>
        <v>1</v>
      </c>
      <c r="AK651" s="42">
        <f>IFERROR(LOOKUP(W651,打分卡!$F$15:$J$15,打分卡!$K$15:$O$15),1)</f>
        <v>2</v>
      </c>
      <c r="AL651" s="45">
        <f t="shared" si="81"/>
        <v>5</v>
      </c>
      <c r="AM651" s="42">
        <f>IFERROR(LOOKUP(Z651,打分卡!$F$17:$H$17,打分卡!$K$17:$M$17),1)</f>
        <v>1</v>
      </c>
      <c r="AN651" s="46">
        <f>(打分卡!$D$7*AC651+打分卡!$D$8*AD651+打分卡!$D$9*AE651)/5</f>
        <v>13</v>
      </c>
      <c r="AO651" s="46">
        <f>(打分卡!$D$10*AF651+打分卡!$D$11*AG651)/5</f>
        <v>6</v>
      </c>
      <c r="AP651" s="46">
        <f>(打分卡!$D$12*AH651+打分卡!$D$13*AI651+打分卡!$D$14*AJ651+打分卡!$D$15*AK651)/5</f>
        <v>12.4</v>
      </c>
      <c r="AQ651" s="46">
        <f>(打分卡!$D$16*AL651+打分卡!$D$17*AM651)/5</f>
        <v>6.8</v>
      </c>
      <c r="AR651" s="48">
        <f t="shared" si="82"/>
        <v>38.2</v>
      </c>
      <c r="AS651" s="45" t="str">
        <f t="shared" si="83"/>
        <v>基础长尾</v>
      </c>
      <c r="AT651" s="45" t="str">
        <f t="shared" si="84"/>
        <v/>
      </c>
      <c r="AU651" s="45" t="str">
        <f t="shared" si="85"/>
        <v>激活：企微+Push低成本先跑</v>
      </c>
    </row>
    <row r="652" ht="15" customHeight="1" spans="1:47">
      <c r="A652" s="30" t="s">
        <v>1946</v>
      </c>
      <c r="B652" s="31" t="s">
        <v>1947</v>
      </c>
      <c r="C652" s="31" t="s">
        <v>179</v>
      </c>
      <c r="D652" s="31" t="s">
        <v>235</v>
      </c>
      <c r="E652" s="31" t="s">
        <v>197</v>
      </c>
      <c r="F652" s="30" t="s">
        <v>1516</v>
      </c>
      <c r="G652" s="31">
        <v>8</v>
      </c>
      <c r="H652" s="31" t="s">
        <v>301</v>
      </c>
      <c r="I652" s="31" t="s">
        <v>302</v>
      </c>
      <c r="J652" s="33">
        <v>17800</v>
      </c>
      <c r="K652" s="33">
        <v>8300</v>
      </c>
      <c r="L652" s="33">
        <v>1400</v>
      </c>
      <c r="M652" s="33">
        <f t="shared" si="80"/>
        <v>27500</v>
      </c>
      <c r="N652" s="34">
        <f t="shared" si="86"/>
        <v>0.000144172596092346</v>
      </c>
      <c r="O652" s="35">
        <f>SUM($M$2:M652)</f>
        <v>184720900</v>
      </c>
      <c r="P652" s="34">
        <f t="shared" si="87"/>
        <v>0.968425152927805</v>
      </c>
      <c r="Q652" s="37">
        <v>2.9</v>
      </c>
      <c r="R652" s="31">
        <v>3</v>
      </c>
      <c r="S652" s="31">
        <v>2</v>
      </c>
      <c r="T652" s="31">
        <v>2</v>
      </c>
      <c r="U652" s="37">
        <v>2</v>
      </c>
      <c r="V652" s="31">
        <v>12</v>
      </c>
      <c r="W652" s="31">
        <v>2</v>
      </c>
      <c r="X652" s="38">
        <v>21</v>
      </c>
      <c r="Y652" s="31">
        <v>0</v>
      </c>
      <c r="Z652" s="31">
        <v>0</v>
      </c>
      <c r="AA652" s="31" t="s">
        <v>185</v>
      </c>
      <c r="AB652" s="31" t="s">
        <v>220</v>
      </c>
      <c r="AC652" s="41">
        <f>IFERROR(LOOKUP(M652,打分卡!$F$7:$J$7,打分卡!$K$7:$O$7),1)</f>
        <v>2</v>
      </c>
      <c r="AD652" s="41">
        <f>IFERROR(LOOKUP(S652,打分卡!$F$8:$J$8,打分卡!$K$8:$O$8),1)</f>
        <v>2</v>
      </c>
      <c r="AE652" s="41">
        <f>IFERROR(LOOKUP(T652,打分卡!$F$9:$I$9,打分卡!$K$9:$N$9),1)</f>
        <v>3</v>
      </c>
      <c r="AF652" s="41">
        <f>IFERROR(LOOKUP(Q652,打分卡!$F$10:$J$10,打分卡!$K$10:$O$10),1)</f>
        <v>2</v>
      </c>
      <c r="AG652" s="41">
        <f>IFERROR(LOOKUP(R652,打分卡!$F$11:$J$11,打分卡!$K$11:$O$11),1)</f>
        <v>2</v>
      </c>
      <c r="AH652" s="41">
        <f>IFERROR(LOOKUP(U652,打分卡!$F$12:$J$12,打分卡!$K$12:$O$12),1)</f>
        <v>1</v>
      </c>
      <c r="AI652" s="41">
        <f>IFERROR(LOOKUP(X652,打分卡!$F$13:$J$13,打分卡!$K$13:$O$13),1)</f>
        <v>2</v>
      </c>
      <c r="AJ652" s="41">
        <f>IFERROR(LOOKUP(Y652,打分卡!$F$14:$J$14,打分卡!$K$14:$O$14),1)</f>
        <v>1</v>
      </c>
      <c r="AK652" s="41">
        <f>IFERROR(LOOKUP(W652,打分卡!$F$15:$J$15,打分卡!$K$15:$O$15),1)</f>
        <v>2</v>
      </c>
      <c r="AL652" s="43">
        <f t="shared" si="81"/>
        <v>3</v>
      </c>
      <c r="AM652" s="41">
        <f>IFERROR(LOOKUP(Z652,打分卡!$F$17:$H$17,打分卡!$K$17:$M$17),1)</f>
        <v>1</v>
      </c>
      <c r="AN652" s="44">
        <f>(打分卡!$D$7*AC652+打分卡!$D$8*AD652+打分卡!$D$9*AE652)/5</f>
        <v>17.4</v>
      </c>
      <c r="AO652" s="44">
        <f>(打分卡!$D$10*AF652+打分卡!$D$11*AG652)/5</f>
        <v>8</v>
      </c>
      <c r="AP652" s="44">
        <f>(打分卡!$D$12*AH652+打分卡!$D$13*AI652+打分卡!$D$14*AJ652+打分卡!$D$15*AK652)/5</f>
        <v>8.4</v>
      </c>
      <c r="AQ652" s="44">
        <f>(打分卡!$D$16*AL652+打分卡!$D$17*AM652)/5</f>
        <v>4.4</v>
      </c>
      <c r="AR652" s="47">
        <f t="shared" si="82"/>
        <v>38.2</v>
      </c>
      <c r="AS652" s="43" t="str">
        <f t="shared" si="83"/>
        <v>基础长尾</v>
      </c>
      <c r="AT652" s="43" t="str">
        <f t="shared" si="84"/>
        <v/>
      </c>
      <c r="AU652" s="43" t="str">
        <f t="shared" si="85"/>
        <v>激活：企微+Push低成本先跑</v>
      </c>
    </row>
    <row r="653" ht="15" customHeight="1" spans="1:47">
      <c r="A653" s="20" t="s">
        <v>1948</v>
      </c>
      <c r="B653" s="22" t="s">
        <v>1949</v>
      </c>
      <c r="C653" s="22" t="s">
        <v>223</v>
      </c>
      <c r="D653" s="22" t="s">
        <v>202</v>
      </c>
      <c r="E653" s="22" t="s">
        <v>197</v>
      </c>
      <c r="F653" s="20" t="s">
        <v>1183</v>
      </c>
      <c r="G653" s="22">
        <v>16</v>
      </c>
      <c r="H653" s="22" t="s">
        <v>301</v>
      </c>
      <c r="I653" s="22" t="s">
        <v>302</v>
      </c>
      <c r="J653" s="36">
        <v>14900</v>
      </c>
      <c r="K653" s="36">
        <v>7800</v>
      </c>
      <c r="L653" s="36">
        <v>4500</v>
      </c>
      <c r="M653" s="36">
        <f t="shared" si="80"/>
        <v>27200</v>
      </c>
      <c r="N653" s="34">
        <f t="shared" si="86"/>
        <v>0.000142599804134975</v>
      </c>
      <c r="O653" s="35">
        <f>SUM($M$2:M653)</f>
        <v>184748100</v>
      </c>
      <c r="P653" s="34">
        <f t="shared" si="87"/>
        <v>0.96856775273194</v>
      </c>
      <c r="Q653" s="39">
        <v>1.8</v>
      </c>
      <c r="R653" s="22">
        <v>1</v>
      </c>
      <c r="S653" s="22">
        <v>3</v>
      </c>
      <c r="T653" s="22">
        <v>0</v>
      </c>
      <c r="U653" s="39">
        <v>7.8</v>
      </c>
      <c r="V653" s="22">
        <v>22</v>
      </c>
      <c r="W653" s="22">
        <v>1</v>
      </c>
      <c r="X653" s="40">
        <v>19</v>
      </c>
      <c r="Y653" s="22">
        <v>1</v>
      </c>
      <c r="Z653" s="22">
        <v>1</v>
      </c>
      <c r="AA653" s="22" t="s">
        <v>315</v>
      </c>
      <c r="AB653" s="22" t="s">
        <v>220</v>
      </c>
      <c r="AC653" s="42">
        <f>IFERROR(LOOKUP(M653,打分卡!$F$7:$J$7,打分卡!$K$7:$O$7),1)</f>
        <v>2</v>
      </c>
      <c r="AD653" s="42">
        <f>IFERROR(LOOKUP(S653,打分卡!$F$8:$J$8,打分卡!$K$8:$O$8),1)</f>
        <v>3</v>
      </c>
      <c r="AE653" s="42">
        <f>IFERROR(LOOKUP(T653,打分卡!$F$9:$I$9,打分卡!$K$9:$N$9),1)</f>
        <v>1</v>
      </c>
      <c r="AF653" s="42">
        <f>IFERROR(LOOKUP(Q653,打分卡!$F$10:$J$10,打分卡!$K$10:$O$10),1)</f>
        <v>1</v>
      </c>
      <c r="AG653" s="42">
        <f>IFERROR(LOOKUP(R653,打分卡!$F$11:$J$11,打分卡!$K$11:$O$11),1)</f>
        <v>1</v>
      </c>
      <c r="AH653" s="42">
        <f>IFERROR(LOOKUP(U653,打分卡!$F$12:$J$12,打分卡!$K$12:$O$12),1)</f>
        <v>2</v>
      </c>
      <c r="AI653" s="42">
        <f>IFERROR(LOOKUP(X653,打分卡!$F$13:$J$13,打分卡!$K$13:$O$13),1)</f>
        <v>2</v>
      </c>
      <c r="AJ653" s="42">
        <f>IFERROR(LOOKUP(Y653,打分卡!$F$14:$J$14,打分卡!$K$14:$O$14),1)</f>
        <v>2</v>
      </c>
      <c r="AK653" s="42">
        <f>IFERROR(LOOKUP(W653,打分卡!$F$15:$J$15,打分卡!$K$15:$O$15),1)</f>
        <v>2</v>
      </c>
      <c r="AL653" s="45">
        <f t="shared" si="81"/>
        <v>2</v>
      </c>
      <c r="AM653" s="42">
        <f>IFERROR(LOOKUP(Z653,打分卡!$F$17:$H$17,打分卡!$K$17:$M$17),1)</f>
        <v>3</v>
      </c>
      <c r="AN653" s="46">
        <f>(打分卡!$D$7*AC653+打分卡!$D$8*AD653+打分卡!$D$9*AE653)/5</f>
        <v>16.2</v>
      </c>
      <c r="AO653" s="46">
        <f>(打分卡!$D$10*AF653+打分卡!$D$11*AG653)/5</f>
        <v>4</v>
      </c>
      <c r="AP653" s="46">
        <f>(打分卡!$D$12*AH653+打分卡!$D$13*AI653+打分卡!$D$14*AJ653+打分卡!$D$15*AK653)/5</f>
        <v>12</v>
      </c>
      <c r="AQ653" s="46">
        <f>(打分卡!$D$16*AL653+打分卡!$D$17*AM653)/5</f>
        <v>4.8</v>
      </c>
      <c r="AR653" s="48">
        <f t="shared" si="82"/>
        <v>37</v>
      </c>
      <c r="AS653" s="45" t="str">
        <f t="shared" si="83"/>
        <v>基础长尾</v>
      </c>
      <c r="AT653" s="45" t="str">
        <f t="shared" si="84"/>
        <v/>
      </c>
      <c r="AU653" s="45" t="str">
        <f t="shared" si="85"/>
        <v>激活：企微+Push低成本先跑</v>
      </c>
    </row>
    <row r="654" ht="15" customHeight="1" spans="1:47">
      <c r="A654" s="30" t="s">
        <v>1950</v>
      </c>
      <c r="B654" s="31" t="s">
        <v>1951</v>
      </c>
      <c r="C654" s="31" t="s">
        <v>179</v>
      </c>
      <c r="D654" s="31" t="s">
        <v>202</v>
      </c>
      <c r="E654" s="31" t="s">
        <v>197</v>
      </c>
      <c r="F654" s="30" t="s">
        <v>1703</v>
      </c>
      <c r="G654" s="31">
        <v>4</v>
      </c>
      <c r="H654" s="31" t="s">
        <v>301</v>
      </c>
      <c r="I654" s="31" t="s">
        <v>184</v>
      </c>
      <c r="J654" s="33">
        <v>16500</v>
      </c>
      <c r="K654" s="33">
        <v>7000</v>
      </c>
      <c r="L654" s="33">
        <v>3500</v>
      </c>
      <c r="M654" s="33">
        <f t="shared" si="80"/>
        <v>27000</v>
      </c>
      <c r="N654" s="34">
        <f t="shared" si="86"/>
        <v>0.000141551276163394</v>
      </c>
      <c r="O654" s="35">
        <f>SUM($M$2:M654)</f>
        <v>184775100</v>
      </c>
      <c r="P654" s="34">
        <f t="shared" si="87"/>
        <v>0.968709304008103</v>
      </c>
      <c r="Q654" s="37">
        <v>2.6</v>
      </c>
      <c r="R654" s="31">
        <v>10</v>
      </c>
      <c r="S654" s="31">
        <v>3</v>
      </c>
      <c r="T654" s="31">
        <v>2</v>
      </c>
      <c r="U654" s="37">
        <v>47.3</v>
      </c>
      <c r="V654" s="31">
        <v>30</v>
      </c>
      <c r="W654" s="31">
        <v>2</v>
      </c>
      <c r="X654" s="38">
        <v>28</v>
      </c>
      <c r="Y654" s="31">
        <v>0</v>
      </c>
      <c r="Z654" s="31">
        <v>0</v>
      </c>
      <c r="AA654" s="31" t="s">
        <v>199</v>
      </c>
      <c r="AB654" s="31" t="s">
        <v>220</v>
      </c>
      <c r="AC654" s="41">
        <f>IFERROR(LOOKUP(M654,打分卡!$F$7:$J$7,打分卡!$K$7:$O$7),1)</f>
        <v>2</v>
      </c>
      <c r="AD654" s="41">
        <f>IFERROR(LOOKUP(S654,打分卡!$F$8:$J$8,打分卡!$K$8:$O$8),1)</f>
        <v>3</v>
      </c>
      <c r="AE654" s="41">
        <f>IFERROR(LOOKUP(T654,打分卡!$F$9:$I$9,打分卡!$K$9:$N$9),1)</f>
        <v>3</v>
      </c>
      <c r="AF654" s="41">
        <f>IFERROR(LOOKUP(Q654,打分卡!$F$10:$J$10,打分卡!$K$10:$O$10),1)</f>
        <v>2</v>
      </c>
      <c r="AG654" s="41">
        <f>IFERROR(LOOKUP(R654,打分卡!$F$11:$J$11,打分卡!$K$11:$O$11),1)</f>
        <v>4</v>
      </c>
      <c r="AH654" s="41">
        <f>IFERROR(LOOKUP(U654,打分卡!$F$12:$J$12,打分卡!$K$12:$O$12),1)</f>
        <v>4</v>
      </c>
      <c r="AI654" s="41">
        <f>IFERROR(LOOKUP(X654,打分卡!$F$13:$J$13,打分卡!$K$13:$O$13),1)</f>
        <v>2</v>
      </c>
      <c r="AJ654" s="41">
        <f>IFERROR(LOOKUP(Y654,打分卡!$F$14:$J$14,打分卡!$K$14:$O$14),1)</f>
        <v>1</v>
      </c>
      <c r="AK654" s="41">
        <f>IFERROR(LOOKUP(W654,打分卡!$F$15:$J$15,打分卡!$K$15:$O$15),1)</f>
        <v>2</v>
      </c>
      <c r="AL654" s="43">
        <f t="shared" si="81"/>
        <v>5</v>
      </c>
      <c r="AM654" s="41">
        <f>IFERROR(LOOKUP(Z654,打分卡!$F$17:$H$17,打分卡!$K$17:$M$17),1)</f>
        <v>1</v>
      </c>
      <c r="AN654" s="44">
        <f>(打分卡!$D$7*AC654+打分卡!$D$8*AD654+打分卡!$D$9*AE654)/5</f>
        <v>19</v>
      </c>
      <c r="AO654" s="44">
        <f>(打分卡!$D$10*AF654+打分卡!$D$11*AG654)/5</f>
        <v>12</v>
      </c>
      <c r="AP654" s="44">
        <f>(打分卡!$D$12*AH654+打分卡!$D$13*AI654+打分卡!$D$14*AJ654+打分卡!$D$15*AK654)/5</f>
        <v>15.6</v>
      </c>
      <c r="AQ654" s="44">
        <f>(打分卡!$D$16*AL654+打分卡!$D$17*AM654)/5</f>
        <v>6.8</v>
      </c>
      <c r="AR654" s="47">
        <f t="shared" si="82"/>
        <v>53.4</v>
      </c>
      <c r="AS654" s="43" t="str">
        <f t="shared" si="83"/>
        <v>腰部</v>
      </c>
      <c r="AT654" s="43" t="str">
        <f t="shared" si="84"/>
        <v/>
      </c>
      <c r="AU654" s="43" t="str">
        <f t="shared" si="85"/>
        <v>拉·主攻：主推AI外呼+大促作战包</v>
      </c>
    </row>
    <row r="655" ht="15" customHeight="1" spans="1:47">
      <c r="A655" s="20" t="s">
        <v>1952</v>
      </c>
      <c r="B655" s="22" t="s">
        <v>1953</v>
      </c>
      <c r="C655" s="22" t="s">
        <v>189</v>
      </c>
      <c r="D655" s="22" t="s">
        <v>202</v>
      </c>
      <c r="E655" s="22" t="s">
        <v>197</v>
      </c>
      <c r="F655" s="20" t="s">
        <v>1954</v>
      </c>
      <c r="G655" s="22">
        <v>15</v>
      </c>
      <c r="H655" s="22" t="s">
        <v>301</v>
      </c>
      <c r="I655" s="22" t="s">
        <v>302</v>
      </c>
      <c r="J655" s="36">
        <v>15300</v>
      </c>
      <c r="K655" s="36">
        <v>7900</v>
      </c>
      <c r="L655" s="36">
        <v>3900</v>
      </c>
      <c r="M655" s="36">
        <f t="shared" si="80"/>
        <v>27100</v>
      </c>
      <c r="N655" s="34">
        <f t="shared" si="86"/>
        <v>0.000142075540149185</v>
      </c>
      <c r="O655" s="35">
        <f>SUM($M$2:M655)</f>
        <v>184802200</v>
      </c>
      <c r="P655" s="34">
        <f t="shared" si="87"/>
        <v>0.968851379548252</v>
      </c>
      <c r="Q655" s="39">
        <v>3</v>
      </c>
      <c r="R655" s="22">
        <v>8</v>
      </c>
      <c r="S655" s="22">
        <v>2</v>
      </c>
      <c r="T655" s="22">
        <v>0</v>
      </c>
      <c r="U655" s="39">
        <v>67.2</v>
      </c>
      <c r="V655" s="22">
        <v>19</v>
      </c>
      <c r="W655" s="22">
        <v>2</v>
      </c>
      <c r="X655" s="40">
        <v>57</v>
      </c>
      <c r="Y655" s="22">
        <v>3</v>
      </c>
      <c r="Z655" s="22">
        <v>1</v>
      </c>
      <c r="AA655" s="22" t="s">
        <v>185</v>
      </c>
      <c r="AB655" s="22" t="s">
        <v>220</v>
      </c>
      <c r="AC655" s="42">
        <f>IFERROR(LOOKUP(M655,打分卡!$F$7:$J$7,打分卡!$K$7:$O$7),1)</f>
        <v>2</v>
      </c>
      <c r="AD655" s="42">
        <f>IFERROR(LOOKUP(S655,打分卡!$F$8:$J$8,打分卡!$K$8:$O$8),1)</f>
        <v>2</v>
      </c>
      <c r="AE655" s="42">
        <f>IFERROR(LOOKUP(T655,打分卡!$F$9:$I$9,打分卡!$K$9:$N$9),1)</f>
        <v>1</v>
      </c>
      <c r="AF655" s="42">
        <f>IFERROR(LOOKUP(Q655,打分卡!$F$10:$J$10,打分卡!$K$10:$O$10),1)</f>
        <v>2</v>
      </c>
      <c r="AG655" s="42">
        <f>IFERROR(LOOKUP(R655,打分卡!$F$11:$J$11,打分卡!$K$11:$O$11),1)</f>
        <v>3</v>
      </c>
      <c r="AH655" s="42">
        <f>IFERROR(LOOKUP(U655,打分卡!$F$12:$J$12,打分卡!$K$12:$O$12),1)</f>
        <v>4</v>
      </c>
      <c r="AI655" s="42">
        <f>IFERROR(LOOKUP(X655,打分卡!$F$13:$J$13,打分卡!$K$13:$O$13),1)</f>
        <v>3</v>
      </c>
      <c r="AJ655" s="42">
        <f>IFERROR(LOOKUP(Y655,打分卡!$F$14:$J$14,打分卡!$K$14:$O$14),1)</f>
        <v>4</v>
      </c>
      <c r="AK655" s="42">
        <f>IFERROR(LOOKUP(W655,打分卡!$F$15:$J$15,打分卡!$K$15:$O$15),1)</f>
        <v>2</v>
      </c>
      <c r="AL655" s="45">
        <f t="shared" si="81"/>
        <v>3</v>
      </c>
      <c r="AM655" s="42">
        <f>IFERROR(LOOKUP(Z655,打分卡!$F$17:$H$17,打分卡!$K$17:$M$17),1)</f>
        <v>3</v>
      </c>
      <c r="AN655" s="46">
        <f>(打分卡!$D$7*AC655+打分卡!$D$8*AD655+打分卡!$D$9*AE655)/5</f>
        <v>14.6</v>
      </c>
      <c r="AO655" s="46">
        <f>(打分卡!$D$10*AF655+打分卡!$D$11*AG655)/5</f>
        <v>10</v>
      </c>
      <c r="AP655" s="46">
        <f>(打分卡!$D$12*AH655+打分卡!$D$13*AI655+打分卡!$D$14*AJ655+打分卡!$D$15*AK655)/5</f>
        <v>20.8</v>
      </c>
      <c r="AQ655" s="46">
        <f>(打分卡!$D$16*AL655+打分卡!$D$17*AM655)/5</f>
        <v>6</v>
      </c>
      <c r="AR655" s="48">
        <f t="shared" si="82"/>
        <v>51.4</v>
      </c>
      <c r="AS655" s="45" t="str">
        <f t="shared" si="83"/>
        <v>腰部</v>
      </c>
      <c r="AT655" s="45" t="str">
        <f t="shared" si="84"/>
        <v/>
      </c>
      <c r="AU655" s="45" t="str">
        <f t="shared" si="85"/>
        <v>拉·主攻：主推AI外呼+大促作战包</v>
      </c>
    </row>
    <row r="656" ht="15" customHeight="1" spans="1:47">
      <c r="A656" s="30" t="s">
        <v>1955</v>
      </c>
      <c r="B656" s="31" t="s">
        <v>1956</v>
      </c>
      <c r="C656" s="31" t="s">
        <v>218</v>
      </c>
      <c r="D656" s="31" t="s">
        <v>202</v>
      </c>
      <c r="E656" s="31" t="s">
        <v>181</v>
      </c>
      <c r="F656" s="30" t="s">
        <v>219</v>
      </c>
      <c r="G656" s="31">
        <v>16</v>
      </c>
      <c r="H656" s="31" t="s">
        <v>301</v>
      </c>
      <c r="I656" s="31" t="s">
        <v>302</v>
      </c>
      <c r="J656" s="33">
        <v>15400</v>
      </c>
      <c r="K656" s="33">
        <v>6100</v>
      </c>
      <c r="L656" s="33">
        <v>5500</v>
      </c>
      <c r="M656" s="33">
        <f t="shared" si="80"/>
        <v>27000</v>
      </c>
      <c r="N656" s="34">
        <f t="shared" si="86"/>
        <v>0.000141551276163394</v>
      </c>
      <c r="O656" s="35">
        <f>SUM($M$2:M656)</f>
        <v>184829200</v>
      </c>
      <c r="P656" s="34">
        <f t="shared" si="87"/>
        <v>0.968992930824416</v>
      </c>
      <c r="Q656" s="37">
        <v>2.5</v>
      </c>
      <c r="R656" s="31">
        <v>5</v>
      </c>
      <c r="S656" s="31">
        <v>2</v>
      </c>
      <c r="T656" s="31">
        <v>1</v>
      </c>
      <c r="U656" s="37">
        <v>11.9</v>
      </c>
      <c r="V656" s="31">
        <v>25</v>
      </c>
      <c r="W656" s="31">
        <v>4</v>
      </c>
      <c r="X656" s="38">
        <v>70</v>
      </c>
      <c r="Y656" s="31">
        <v>1</v>
      </c>
      <c r="Z656" s="31">
        <v>1</v>
      </c>
      <c r="AA656" s="31" t="s">
        <v>199</v>
      </c>
      <c r="AB656" s="31" t="s">
        <v>220</v>
      </c>
      <c r="AC656" s="41">
        <f>IFERROR(LOOKUP(M656,打分卡!$F$7:$J$7,打分卡!$K$7:$O$7),1)</f>
        <v>2</v>
      </c>
      <c r="AD656" s="41">
        <f>IFERROR(LOOKUP(S656,打分卡!$F$8:$J$8,打分卡!$K$8:$O$8),1)</f>
        <v>2</v>
      </c>
      <c r="AE656" s="41">
        <f>IFERROR(LOOKUP(T656,打分卡!$F$9:$I$9,打分卡!$K$9:$N$9),1)</f>
        <v>2</v>
      </c>
      <c r="AF656" s="41">
        <f>IFERROR(LOOKUP(Q656,打分卡!$F$10:$J$10,打分卡!$K$10:$O$10),1)</f>
        <v>2</v>
      </c>
      <c r="AG656" s="41">
        <f>IFERROR(LOOKUP(R656,打分卡!$F$11:$J$11,打分卡!$K$11:$O$11),1)</f>
        <v>3</v>
      </c>
      <c r="AH656" s="41">
        <f>IFERROR(LOOKUP(U656,打分卡!$F$12:$J$12,打分卡!$K$12:$O$12),1)</f>
        <v>3</v>
      </c>
      <c r="AI656" s="41">
        <f>IFERROR(LOOKUP(X656,打分卡!$F$13:$J$13,打分卡!$K$13:$O$13),1)</f>
        <v>3</v>
      </c>
      <c r="AJ656" s="41">
        <f>IFERROR(LOOKUP(Y656,打分卡!$F$14:$J$14,打分卡!$K$14:$O$14),1)</f>
        <v>2</v>
      </c>
      <c r="AK656" s="41">
        <f>IFERROR(LOOKUP(W656,打分卡!$F$15:$J$15,打分卡!$K$15:$O$15),1)</f>
        <v>3</v>
      </c>
      <c r="AL656" s="43">
        <f t="shared" si="81"/>
        <v>5</v>
      </c>
      <c r="AM656" s="41">
        <f>IFERROR(LOOKUP(Z656,打分卡!$F$17:$H$17,打分卡!$K$17:$M$17),1)</f>
        <v>3</v>
      </c>
      <c r="AN656" s="44">
        <f>(打分卡!$D$7*AC656+打分卡!$D$8*AD656+打分卡!$D$9*AE656)/5</f>
        <v>16</v>
      </c>
      <c r="AO656" s="44">
        <f>(打分卡!$D$10*AF656+打分卡!$D$11*AG656)/5</f>
        <v>10</v>
      </c>
      <c r="AP656" s="44">
        <f>(打分卡!$D$12*AH656+打分卡!$D$13*AI656+打分卡!$D$14*AJ656+打分卡!$D$15*AK656)/5</f>
        <v>16.8</v>
      </c>
      <c r="AQ656" s="44">
        <f>(打分卡!$D$16*AL656+打分卡!$D$17*AM656)/5</f>
        <v>8.4</v>
      </c>
      <c r="AR656" s="47">
        <f t="shared" si="82"/>
        <v>51.2</v>
      </c>
      <c r="AS656" s="43" t="str">
        <f t="shared" si="83"/>
        <v>腰部</v>
      </c>
      <c r="AT656" s="43" t="str">
        <f t="shared" si="84"/>
        <v/>
      </c>
      <c r="AU656" s="43" t="str">
        <f t="shared" si="85"/>
        <v>拉·主攻：主推AI外呼+大促作战包</v>
      </c>
    </row>
    <row r="657" ht="15" customHeight="1" spans="1:47">
      <c r="A657" s="20" t="s">
        <v>1957</v>
      </c>
      <c r="B657" s="22" t="s">
        <v>1958</v>
      </c>
      <c r="C657" s="22" t="s">
        <v>179</v>
      </c>
      <c r="D657" s="22" t="s">
        <v>202</v>
      </c>
      <c r="E657" s="22" t="s">
        <v>181</v>
      </c>
      <c r="F657" s="20" t="s">
        <v>1959</v>
      </c>
      <c r="G657" s="22">
        <v>11</v>
      </c>
      <c r="H657" s="22" t="s">
        <v>301</v>
      </c>
      <c r="I657" s="22" t="s">
        <v>184</v>
      </c>
      <c r="J657" s="36">
        <v>16800</v>
      </c>
      <c r="K657" s="36">
        <v>6600</v>
      </c>
      <c r="L657" s="36">
        <v>3500</v>
      </c>
      <c r="M657" s="36">
        <f t="shared" si="80"/>
        <v>26900</v>
      </c>
      <c r="N657" s="34">
        <f t="shared" si="86"/>
        <v>0.000141027012177604</v>
      </c>
      <c r="O657" s="35">
        <f>SUM($M$2:M657)</f>
        <v>184856100</v>
      </c>
      <c r="P657" s="34">
        <f t="shared" si="87"/>
        <v>0.969133957836593</v>
      </c>
      <c r="Q657" s="39">
        <v>3.1</v>
      </c>
      <c r="R657" s="22">
        <v>5</v>
      </c>
      <c r="S657" s="22">
        <v>3</v>
      </c>
      <c r="T657" s="22">
        <v>0</v>
      </c>
      <c r="U657" s="39">
        <v>28.6</v>
      </c>
      <c r="V657" s="22">
        <v>16</v>
      </c>
      <c r="W657" s="22">
        <v>4</v>
      </c>
      <c r="X657" s="40">
        <v>13</v>
      </c>
      <c r="Y657" s="22">
        <v>3</v>
      </c>
      <c r="Z657" s="22">
        <v>0</v>
      </c>
      <c r="AA657" s="22" t="s">
        <v>315</v>
      </c>
      <c r="AB657" s="22" t="s">
        <v>220</v>
      </c>
      <c r="AC657" s="42">
        <f>IFERROR(LOOKUP(M657,打分卡!$F$7:$J$7,打分卡!$K$7:$O$7),1)</f>
        <v>2</v>
      </c>
      <c r="AD657" s="42">
        <f>IFERROR(LOOKUP(S657,打分卡!$F$8:$J$8,打分卡!$K$8:$O$8),1)</f>
        <v>3</v>
      </c>
      <c r="AE657" s="42">
        <f>IFERROR(LOOKUP(T657,打分卡!$F$9:$I$9,打分卡!$K$9:$N$9),1)</f>
        <v>1</v>
      </c>
      <c r="AF657" s="42">
        <f>IFERROR(LOOKUP(Q657,打分卡!$F$10:$J$10,打分卡!$K$10:$O$10),1)</f>
        <v>2</v>
      </c>
      <c r="AG657" s="42">
        <f>IFERROR(LOOKUP(R657,打分卡!$F$11:$J$11,打分卡!$K$11:$O$11),1)</f>
        <v>3</v>
      </c>
      <c r="AH657" s="42">
        <f>IFERROR(LOOKUP(U657,打分卡!$F$12:$J$12,打分卡!$K$12:$O$12),1)</f>
        <v>3</v>
      </c>
      <c r="AI657" s="42">
        <f>IFERROR(LOOKUP(X657,打分卡!$F$13:$J$13,打分卡!$K$13:$O$13),1)</f>
        <v>1</v>
      </c>
      <c r="AJ657" s="42">
        <f>IFERROR(LOOKUP(Y657,打分卡!$F$14:$J$14,打分卡!$K$14:$O$14),1)</f>
        <v>4</v>
      </c>
      <c r="AK657" s="42">
        <f>IFERROR(LOOKUP(W657,打分卡!$F$15:$J$15,打分卡!$K$15:$O$15),1)</f>
        <v>3</v>
      </c>
      <c r="AL657" s="45">
        <f t="shared" si="81"/>
        <v>2</v>
      </c>
      <c r="AM657" s="42">
        <f>IFERROR(LOOKUP(Z657,打分卡!$F$17:$H$17,打分卡!$K$17:$M$17),1)</f>
        <v>1</v>
      </c>
      <c r="AN657" s="46">
        <f>(打分卡!$D$7*AC657+打分卡!$D$8*AD657+打分卡!$D$9*AE657)/5</f>
        <v>16.2</v>
      </c>
      <c r="AO657" s="46">
        <f>(打分卡!$D$10*AF657+打分卡!$D$11*AG657)/5</f>
        <v>10</v>
      </c>
      <c r="AP657" s="46">
        <f>(打分卡!$D$12*AH657+打分卡!$D$13*AI657+打分卡!$D$14*AJ657+打分卡!$D$15*AK657)/5</f>
        <v>16</v>
      </c>
      <c r="AQ657" s="46">
        <f>(打分卡!$D$16*AL657+打分卡!$D$17*AM657)/5</f>
        <v>3.2</v>
      </c>
      <c r="AR657" s="48">
        <f t="shared" si="82"/>
        <v>45.4</v>
      </c>
      <c r="AS657" s="45" t="str">
        <f t="shared" si="83"/>
        <v>腰部</v>
      </c>
      <c r="AT657" s="45" t="str">
        <f t="shared" si="84"/>
        <v/>
      </c>
      <c r="AU657" s="45" t="str">
        <f t="shared" si="85"/>
        <v>拉·主攻：主推AI外呼+大促作战包</v>
      </c>
    </row>
    <row r="658" ht="15" customHeight="1" spans="1:47">
      <c r="A658" s="30" t="s">
        <v>1960</v>
      </c>
      <c r="B658" s="31" t="s">
        <v>1961</v>
      </c>
      <c r="C658" s="31" t="s">
        <v>189</v>
      </c>
      <c r="D658" s="31" t="s">
        <v>202</v>
      </c>
      <c r="E658" s="31" t="s">
        <v>181</v>
      </c>
      <c r="F658" s="30" t="s">
        <v>1633</v>
      </c>
      <c r="G658" s="31">
        <v>8</v>
      </c>
      <c r="H658" s="31" t="s">
        <v>183</v>
      </c>
      <c r="I658" s="31" t="s">
        <v>184</v>
      </c>
      <c r="J658" s="33">
        <v>16900</v>
      </c>
      <c r="K658" s="33">
        <v>5900</v>
      </c>
      <c r="L658" s="33">
        <v>4100</v>
      </c>
      <c r="M658" s="33">
        <f t="shared" si="80"/>
        <v>26900</v>
      </c>
      <c r="N658" s="34">
        <f t="shared" si="86"/>
        <v>0.000141027012177604</v>
      </c>
      <c r="O658" s="35">
        <f>SUM($M$2:M658)</f>
        <v>184883000</v>
      </c>
      <c r="P658" s="34">
        <f t="shared" si="87"/>
        <v>0.969274984848771</v>
      </c>
      <c r="Q658" s="37">
        <v>2.3</v>
      </c>
      <c r="R658" s="31">
        <v>5</v>
      </c>
      <c r="S658" s="31">
        <v>3</v>
      </c>
      <c r="T658" s="31">
        <v>2</v>
      </c>
      <c r="U658" s="37">
        <v>7.1</v>
      </c>
      <c r="V658" s="31">
        <v>24</v>
      </c>
      <c r="W658" s="31">
        <v>1</v>
      </c>
      <c r="X658" s="38">
        <v>140</v>
      </c>
      <c r="Y658" s="31">
        <v>2</v>
      </c>
      <c r="Z658" s="31">
        <v>0</v>
      </c>
      <c r="AA658" s="31" t="s">
        <v>185</v>
      </c>
      <c r="AB658" s="31" t="s">
        <v>220</v>
      </c>
      <c r="AC658" s="41">
        <f>IFERROR(LOOKUP(M658,打分卡!$F$7:$J$7,打分卡!$K$7:$O$7),1)</f>
        <v>2</v>
      </c>
      <c r="AD658" s="41">
        <f>IFERROR(LOOKUP(S658,打分卡!$F$8:$J$8,打分卡!$K$8:$O$8),1)</f>
        <v>3</v>
      </c>
      <c r="AE658" s="41">
        <f>IFERROR(LOOKUP(T658,打分卡!$F$9:$I$9,打分卡!$K$9:$N$9),1)</f>
        <v>3</v>
      </c>
      <c r="AF658" s="41">
        <f>IFERROR(LOOKUP(Q658,打分卡!$F$10:$J$10,打分卡!$K$10:$O$10),1)</f>
        <v>1</v>
      </c>
      <c r="AG658" s="41">
        <f>IFERROR(LOOKUP(R658,打分卡!$F$11:$J$11,打分卡!$K$11:$O$11),1)</f>
        <v>3</v>
      </c>
      <c r="AH658" s="41">
        <f>IFERROR(LOOKUP(U658,打分卡!$F$12:$J$12,打分卡!$K$12:$O$12),1)</f>
        <v>2</v>
      </c>
      <c r="AI658" s="41">
        <f>IFERROR(LOOKUP(X658,打分卡!$F$13:$J$13,打分卡!$K$13:$O$13),1)</f>
        <v>4</v>
      </c>
      <c r="AJ658" s="41">
        <f>IFERROR(LOOKUP(Y658,打分卡!$F$14:$J$14,打分卡!$K$14:$O$14),1)</f>
        <v>3</v>
      </c>
      <c r="AK658" s="41">
        <f>IFERROR(LOOKUP(W658,打分卡!$F$15:$J$15,打分卡!$K$15:$O$15),1)</f>
        <v>2</v>
      </c>
      <c r="AL658" s="43">
        <f t="shared" si="81"/>
        <v>3</v>
      </c>
      <c r="AM658" s="41">
        <f>IFERROR(LOOKUP(Z658,打分卡!$F$17:$H$17,打分卡!$K$17:$M$17),1)</f>
        <v>1</v>
      </c>
      <c r="AN658" s="44">
        <f>(打分卡!$D$7*AC658+打分卡!$D$8*AD658+打分卡!$D$9*AE658)/5</f>
        <v>19</v>
      </c>
      <c r="AO658" s="44">
        <f>(打分卡!$D$10*AF658+打分卡!$D$11*AG658)/5</f>
        <v>8</v>
      </c>
      <c r="AP658" s="44">
        <f>(打分卡!$D$12*AH658+打分卡!$D$13*AI658+打分卡!$D$14*AJ658+打分卡!$D$15*AK658)/5</f>
        <v>16.4</v>
      </c>
      <c r="AQ658" s="44">
        <f>(打分卡!$D$16*AL658+打分卡!$D$17*AM658)/5</f>
        <v>4.4</v>
      </c>
      <c r="AR658" s="47">
        <f t="shared" si="82"/>
        <v>47.8</v>
      </c>
      <c r="AS658" s="43" t="str">
        <f t="shared" si="83"/>
        <v>腰部</v>
      </c>
      <c r="AT658" s="43" t="str">
        <f t="shared" si="84"/>
        <v/>
      </c>
      <c r="AU658" s="43" t="str">
        <f t="shared" si="85"/>
        <v>拉·主攻：主推AI外呼+大促作战包</v>
      </c>
    </row>
    <row r="659" ht="15" customHeight="1" spans="1:47">
      <c r="A659" s="20" t="s">
        <v>1962</v>
      </c>
      <c r="B659" s="22" t="s">
        <v>1963</v>
      </c>
      <c r="C659" s="22" t="s">
        <v>179</v>
      </c>
      <c r="D659" s="22" t="s">
        <v>196</v>
      </c>
      <c r="E659" s="22" t="s">
        <v>181</v>
      </c>
      <c r="F659" s="20" t="s">
        <v>1964</v>
      </c>
      <c r="G659" s="22">
        <v>16</v>
      </c>
      <c r="H659" s="22" t="s">
        <v>301</v>
      </c>
      <c r="I659" s="22" t="s">
        <v>302</v>
      </c>
      <c r="J659" s="36">
        <v>12200</v>
      </c>
      <c r="K659" s="36">
        <v>6500</v>
      </c>
      <c r="L659" s="36">
        <v>8200</v>
      </c>
      <c r="M659" s="36">
        <f t="shared" si="80"/>
        <v>26900</v>
      </c>
      <c r="N659" s="34">
        <f t="shared" si="86"/>
        <v>0.000141027012177604</v>
      </c>
      <c r="O659" s="35">
        <f>SUM($M$2:M659)</f>
        <v>184909900</v>
      </c>
      <c r="P659" s="34">
        <f t="shared" si="87"/>
        <v>0.969416011860948</v>
      </c>
      <c r="Q659" s="39">
        <v>2.3</v>
      </c>
      <c r="R659" s="22">
        <v>2</v>
      </c>
      <c r="S659" s="22">
        <v>3</v>
      </c>
      <c r="T659" s="22">
        <v>0</v>
      </c>
      <c r="U659" s="39">
        <v>1.7</v>
      </c>
      <c r="V659" s="22">
        <v>4</v>
      </c>
      <c r="W659" s="22">
        <v>1</v>
      </c>
      <c r="X659" s="40">
        <v>44</v>
      </c>
      <c r="Y659" s="22">
        <v>3</v>
      </c>
      <c r="Z659" s="22">
        <v>1</v>
      </c>
      <c r="AA659" s="22" t="s">
        <v>199</v>
      </c>
      <c r="AB659" s="22" t="s">
        <v>220</v>
      </c>
      <c r="AC659" s="42">
        <f>IFERROR(LOOKUP(M659,打分卡!$F$7:$J$7,打分卡!$K$7:$O$7),1)</f>
        <v>2</v>
      </c>
      <c r="AD659" s="42">
        <f>IFERROR(LOOKUP(S659,打分卡!$F$8:$J$8,打分卡!$K$8:$O$8),1)</f>
        <v>3</v>
      </c>
      <c r="AE659" s="42">
        <f>IFERROR(LOOKUP(T659,打分卡!$F$9:$I$9,打分卡!$K$9:$N$9),1)</f>
        <v>1</v>
      </c>
      <c r="AF659" s="42">
        <f>IFERROR(LOOKUP(Q659,打分卡!$F$10:$J$10,打分卡!$K$10:$O$10),1)</f>
        <v>1</v>
      </c>
      <c r="AG659" s="42">
        <f>IFERROR(LOOKUP(R659,打分卡!$F$11:$J$11,打分卡!$K$11:$O$11),1)</f>
        <v>1</v>
      </c>
      <c r="AH659" s="42">
        <f>IFERROR(LOOKUP(U659,打分卡!$F$12:$J$12,打分卡!$K$12:$O$12),1)</f>
        <v>1</v>
      </c>
      <c r="AI659" s="42">
        <f>IFERROR(LOOKUP(X659,打分卡!$F$13:$J$13,打分卡!$K$13:$O$13),1)</f>
        <v>3</v>
      </c>
      <c r="AJ659" s="42">
        <f>IFERROR(LOOKUP(Y659,打分卡!$F$14:$J$14,打分卡!$K$14:$O$14),1)</f>
        <v>4</v>
      </c>
      <c r="AK659" s="42">
        <f>IFERROR(LOOKUP(W659,打分卡!$F$15:$J$15,打分卡!$K$15:$O$15),1)</f>
        <v>2</v>
      </c>
      <c r="AL659" s="45">
        <f t="shared" si="81"/>
        <v>5</v>
      </c>
      <c r="AM659" s="42">
        <f>IFERROR(LOOKUP(Z659,打分卡!$F$17:$H$17,打分卡!$K$17:$M$17),1)</f>
        <v>3</v>
      </c>
      <c r="AN659" s="46">
        <f>(打分卡!$D$7*AC659+打分卡!$D$8*AD659+打分卡!$D$9*AE659)/5</f>
        <v>16.2</v>
      </c>
      <c r="AO659" s="46">
        <f>(打分卡!$D$10*AF659+打分卡!$D$11*AG659)/5</f>
        <v>4</v>
      </c>
      <c r="AP659" s="46">
        <f>(打分卡!$D$12*AH659+打分卡!$D$13*AI659+打分卡!$D$14*AJ659+打分卡!$D$15*AK659)/5</f>
        <v>13.6</v>
      </c>
      <c r="AQ659" s="46">
        <f>(打分卡!$D$16*AL659+打分卡!$D$17*AM659)/5</f>
        <v>8.4</v>
      </c>
      <c r="AR659" s="48">
        <f t="shared" si="82"/>
        <v>42.2</v>
      </c>
      <c r="AS659" s="45" t="str">
        <f t="shared" si="83"/>
        <v>腰部</v>
      </c>
      <c r="AT659" s="45" t="str">
        <f t="shared" si="84"/>
        <v/>
      </c>
      <c r="AU659" s="45" t="str">
        <f t="shared" si="85"/>
        <v>拉·主攻：主推AI外呼+大促作战包</v>
      </c>
    </row>
    <row r="660" ht="15" customHeight="1" spans="1:47">
      <c r="A660" s="30" t="s">
        <v>1965</v>
      </c>
      <c r="B660" s="31" t="s">
        <v>1966</v>
      </c>
      <c r="C660" s="31" t="s">
        <v>179</v>
      </c>
      <c r="D660" s="31" t="s">
        <v>202</v>
      </c>
      <c r="E660" s="31" t="s">
        <v>181</v>
      </c>
      <c r="F660" s="30" t="s">
        <v>1967</v>
      </c>
      <c r="G660" s="31">
        <v>21</v>
      </c>
      <c r="H660" s="31" t="s">
        <v>301</v>
      </c>
      <c r="I660" s="31" t="s">
        <v>302</v>
      </c>
      <c r="J660" s="33">
        <v>17100</v>
      </c>
      <c r="K660" s="33">
        <v>6700</v>
      </c>
      <c r="L660" s="33">
        <v>3000</v>
      </c>
      <c r="M660" s="33">
        <f t="shared" si="80"/>
        <v>26800</v>
      </c>
      <c r="N660" s="34">
        <f t="shared" si="86"/>
        <v>0.000140502748191814</v>
      </c>
      <c r="O660" s="35">
        <f>SUM($M$2:M660)</f>
        <v>184936700</v>
      </c>
      <c r="P660" s="34">
        <f t="shared" si="87"/>
        <v>0.96955651460914</v>
      </c>
      <c r="Q660" s="37">
        <v>2.6</v>
      </c>
      <c r="R660" s="31">
        <v>10</v>
      </c>
      <c r="S660" s="31">
        <v>2</v>
      </c>
      <c r="T660" s="31">
        <v>2</v>
      </c>
      <c r="U660" s="37">
        <v>63</v>
      </c>
      <c r="V660" s="31">
        <v>20</v>
      </c>
      <c r="W660" s="31">
        <v>4</v>
      </c>
      <c r="X660" s="38">
        <v>17</v>
      </c>
      <c r="Y660" s="31">
        <v>2</v>
      </c>
      <c r="Z660" s="31">
        <v>1</v>
      </c>
      <c r="AA660" s="31" t="s">
        <v>199</v>
      </c>
      <c r="AB660" s="31" t="s">
        <v>220</v>
      </c>
      <c r="AC660" s="41">
        <f>IFERROR(LOOKUP(M660,打分卡!$F$7:$J$7,打分卡!$K$7:$O$7),1)</f>
        <v>2</v>
      </c>
      <c r="AD660" s="41">
        <f>IFERROR(LOOKUP(S660,打分卡!$F$8:$J$8,打分卡!$K$8:$O$8),1)</f>
        <v>2</v>
      </c>
      <c r="AE660" s="41">
        <f>IFERROR(LOOKUP(T660,打分卡!$F$9:$I$9,打分卡!$K$9:$N$9),1)</f>
        <v>3</v>
      </c>
      <c r="AF660" s="41">
        <f>IFERROR(LOOKUP(Q660,打分卡!$F$10:$J$10,打分卡!$K$10:$O$10),1)</f>
        <v>2</v>
      </c>
      <c r="AG660" s="41">
        <f>IFERROR(LOOKUP(R660,打分卡!$F$11:$J$11,打分卡!$K$11:$O$11),1)</f>
        <v>4</v>
      </c>
      <c r="AH660" s="41">
        <f>IFERROR(LOOKUP(U660,打分卡!$F$12:$J$12,打分卡!$K$12:$O$12),1)</f>
        <v>4</v>
      </c>
      <c r="AI660" s="41">
        <f>IFERROR(LOOKUP(X660,打分卡!$F$13:$J$13,打分卡!$K$13:$O$13),1)</f>
        <v>1</v>
      </c>
      <c r="AJ660" s="41">
        <f>IFERROR(LOOKUP(Y660,打分卡!$F$14:$J$14,打分卡!$K$14:$O$14),1)</f>
        <v>3</v>
      </c>
      <c r="AK660" s="41">
        <f>IFERROR(LOOKUP(W660,打分卡!$F$15:$J$15,打分卡!$K$15:$O$15),1)</f>
        <v>3</v>
      </c>
      <c r="AL660" s="43">
        <f t="shared" si="81"/>
        <v>5</v>
      </c>
      <c r="AM660" s="41">
        <f>IFERROR(LOOKUP(Z660,打分卡!$F$17:$H$17,打分卡!$K$17:$M$17),1)</f>
        <v>3</v>
      </c>
      <c r="AN660" s="44">
        <f>(打分卡!$D$7*AC660+打分卡!$D$8*AD660+打分卡!$D$9*AE660)/5</f>
        <v>17.4</v>
      </c>
      <c r="AO660" s="44">
        <f>(打分卡!$D$10*AF660+打分卡!$D$11*AG660)/5</f>
        <v>12</v>
      </c>
      <c r="AP660" s="44">
        <f>(打分卡!$D$12*AH660+打分卡!$D$13*AI660+打分卡!$D$14*AJ660+打分卡!$D$15*AK660)/5</f>
        <v>17.2</v>
      </c>
      <c r="AQ660" s="44">
        <f>(打分卡!$D$16*AL660+打分卡!$D$17*AM660)/5</f>
        <v>8.4</v>
      </c>
      <c r="AR660" s="47">
        <f t="shared" si="82"/>
        <v>55</v>
      </c>
      <c r="AS660" s="43" t="str">
        <f t="shared" si="83"/>
        <v>腰部</v>
      </c>
      <c r="AT660" s="43" t="str">
        <f t="shared" si="84"/>
        <v/>
      </c>
      <c r="AU660" s="43" t="str">
        <f t="shared" si="85"/>
        <v>拉·主攻：主推AI外呼+大促作战包</v>
      </c>
    </row>
    <row r="661" ht="15" customHeight="1" spans="1:47">
      <c r="A661" s="20" t="s">
        <v>1968</v>
      </c>
      <c r="B661" s="22" t="s">
        <v>1969</v>
      </c>
      <c r="C661" s="22" t="s">
        <v>239</v>
      </c>
      <c r="D661" s="22" t="s">
        <v>196</v>
      </c>
      <c r="E661" s="22" t="s">
        <v>181</v>
      </c>
      <c r="F661" s="20" t="s">
        <v>1315</v>
      </c>
      <c r="G661" s="22">
        <v>15</v>
      </c>
      <c r="H661" s="22" t="s">
        <v>301</v>
      </c>
      <c r="I661" s="22" t="s">
        <v>184</v>
      </c>
      <c r="J661" s="36">
        <v>17300</v>
      </c>
      <c r="K661" s="36">
        <v>8000</v>
      </c>
      <c r="L661" s="36">
        <v>1300</v>
      </c>
      <c r="M661" s="36">
        <f t="shared" si="80"/>
        <v>26600</v>
      </c>
      <c r="N661" s="34">
        <f t="shared" si="86"/>
        <v>0.000139454220220233</v>
      </c>
      <c r="O661" s="35">
        <f>SUM($M$2:M661)</f>
        <v>184963300</v>
      </c>
      <c r="P661" s="34">
        <f t="shared" si="87"/>
        <v>0.96969596882936</v>
      </c>
      <c r="Q661" s="39">
        <v>3.7</v>
      </c>
      <c r="R661" s="22">
        <v>8</v>
      </c>
      <c r="S661" s="22">
        <v>3</v>
      </c>
      <c r="T661" s="22">
        <v>0</v>
      </c>
      <c r="U661" s="39">
        <v>3.3</v>
      </c>
      <c r="V661" s="22">
        <v>21</v>
      </c>
      <c r="W661" s="22">
        <v>2</v>
      </c>
      <c r="X661" s="40">
        <v>35</v>
      </c>
      <c r="Y661" s="22">
        <v>0</v>
      </c>
      <c r="Z661" s="22">
        <v>1</v>
      </c>
      <c r="AA661" s="22" t="s">
        <v>199</v>
      </c>
      <c r="AB661" s="22" t="s">
        <v>220</v>
      </c>
      <c r="AC661" s="42">
        <f>IFERROR(LOOKUP(M661,打分卡!$F$7:$J$7,打分卡!$K$7:$O$7),1)</f>
        <v>2</v>
      </c>
      <c r="AD661" s="42">
        <f>IFERROR(LOOKUP(S661,打分卡!$F$8:$J$8,打分卡!$K$8:$O$8),1)</f>
        <v>3</v>
      </c>
      <c r="AE661" s="42">
        <f>IFERROR(LOOKUP(T661,打分卡!$F$9:$I$9,打分卡!$K$9:$N$9),1)</f>
        <v>1</v>
      </c>
      <c r="AF661" s="42">
        <f>IFERROR(LOOKUP(Q661,打分卡!$F$10:$J$10,打分卡!$K$10:$O$10),1)</f>
        <v>2</v>
      </c>
      <c r="AG661" s="42">
        <f>IFERROR(LOOKUP(R661,打分卡!$F$11:$J$11,打分卡!$K$11:$O$11),1)</f>
        <v>3</v>
      </c>
      <c r="AH661" s="42">
        <f>IFERROR(LOOKUP(U661,打分卡!$F$12:$J$12,打分卡!$K$12:$O$12),1)</f>
        <v>2</v>
      </c>
      <c r="AI661" s="42">
        <f>IFERROR(LOOKUP(X661,打分卡!$F$13:$J$13,打分卡!$K$13:$O$13),1)</f>
        <v>2</v>
      </c>
      <c r="AJ661" s="42">
        <f>IFERROR(LOOKUP(Y661,打分卡!$F$14:$J$14,打分卡!$K$14:$O$14),1)</f>
        <v>1</v>
      </c>
      <c r="AK661" s="42">
        <f>IFERROR(LOOKUP(W661,打分卡!$F$15:$J$15,打分卡!$K$15:$O$15),1)</f>
        <v>2</v>
      </c>
      <c r="AL661" s="45">
        <f t="shared" si="81"/>
        <v>5</v>
      </c>
      <c r="AM661" s="42">
        <f>IFERROR(LOOKUP(Z661,打分卡!$F$17:$H$17,打分卡!$K$17:$M$17),1)</f>
        <v>3</v>
      </c>
      <c r="AN661" s="46">
        <f>(打分卡!$D$7*AC661+打分卡!$D$8*AD661+打分卡!$D$9*AE661)/5</f>
        <v>16.2</v>
      </c>
      <c r="AO661" s="46">
        <f>(打分卡!$D$10*AF661+打分卡!$D$11*AG661)/5</f>
        <v>10</v>
      </c>
      <c r="AP661" s="46">
        <f>(打分卡!$D$12*AH661+打分卡!$D$13*AI661+打分卡!$D$14*AJ661+打分卡!$D$15*AK661)/5</f>
        <v>10.8</v>
      </c>
      <c r="AQ661" s="46">
        <f>(打分卡!$D$16*AL661+打分卡!$D$17*AM661)/5</f>
        <v>8.4</v>
      </c>
      <c r="AR661" s="48">
        <f t="shared" si="82"/>
        <v>45.4</v>
      </c>
      <c r="AS661" s="45" t="str">
        <f t="shared" si="83"/>
        <v>腰部</v>
      </c>
      <c r="AT661" s="45" t="str">
        <f t="shared" si="84"/>
        <v/>
      </c>
      <c r="AU661" s="45" t="str">
        <f t="shared" si="85"/>
        <v>拉·主攻：主推AI外呼+大促作战包</v>
      </c>
    </row>
    <row r="662" ht="15" customHeight="1" spans="1:47">
      <c r="A662" s="30" t="s">
        <v>1970</v>
      </c>
      <c r="B662" s="31" t="s">
        <v>1971</v>
      </c>
      <c r="C662" s="31" t="s">
        <v>239</v>
      </c>
      <c r="D662" s="31" t="s">
        <v>227</v>
      </c>
      <c r="E662" s="31" t="s">
        <v>181</v>
      </c>
      <c r="F662" s="30" t="s">
        <v>1773</v>
      </c>
      <c r="G662" s="31">
        <v>14</v>
      </c>
      <c r="H662" s="31" t="s">
        <v>301</v>
      </c>
      <c r="I662" s="31" t="s">
        <v>302</v>
      </c>
      <c r="J662" s="33">
        <v>13500</v>
      </c>
      <c r="K662" s="33">
        <v>5600</v>
      </c>
      <c r="L662" s="33">
        <v>7500</v>
      </c>
      <c r="M662" s="33">
        <f t="shared" si="80"/>
        <v>26600</v>
      </c>
      <c r="N662" s="34">
        <f t="shared" si="86"/>
        <v>0.000139454220220233</v>
      </c>
      <c r="O662" s="35">
        <f>SUM($M$2:M662)</f>
        <v>184989900</v>
      </c>
      <c r="P662" s="34">
        <f t="shared" si="87"/>
        <v>0.969835423049581</v>
      </c>
      <c r="Q662" s="37">
        <v>1.6</v>
      </c>
      <c r="R662" s="31">
        <v>9</v>
      </c>
      <c r="S662" s="31">
        <v>2</v>
      </c>
      <c r="T662" s="31">
        <v>0</v>
      </c>
      <c r="U662" s="37">
        <v>52.3</v>
      </c>
      <c r="V662" s="31">
        <v>20</v>
      </c>
      <c r="W662" s="31">
        <v>1</v>
      </c>
      <c r="X662" s="38">
        <v>14</v>
      </c>
      <c r="Y662" s="31">
        <v>1</v>
      </c>
      <c r="Z662" s="31">
        <v>0</v>
      </c>
      <c r="AA662" s="31" t="s">
        <v>199</v>
      </c>
      <c r="AB662" s="31" t="s">
        <v>220</v>
      </c>
      <c r="AC662" s="41">
        <f>IFERROR(LOOKUP(M662,打分卡!$F$7:$J$7,打分卡!$K$7:$O$7),1)</f>
        <v>2</v>
      </c>
      <c r="AD662" s="41">
        <f>IFERROR(LOOKUP(S662,打分卡!$F$8:$J$8,打分卡!$K$8:$O$8),1)</f>
        <v>2</v>
      </c>
      <c r="AE662" s="41">
        <f>IFERROR(LOOKUP(T662,打分卡!$F$9:$I$9,打分卡!$K$9:$N$9),1)</f>
        <v>1</v>
      </c>
      <c r="AF662" s="41">
        <f>IFERROR(LOOKUP(Q662,打分卡!$F$10:$J$10,打分卡!$K$10:$O$10),1)</f>
        <v>1</v>
      </c>
      <c r="AG662" s="41">
        <f>IFERROR(LOOKUP(R662,打分卡!$F$11:$J$11,打分卡!$K$11:$O$11),1)</f>
        <v>4</v>
      </c>
      <c r="AH662" s="41">
        <f>IFERROR(LOOKUP(U662,打分卡!$F$12:$J$12,打分卡!$K$12:$O$12),1)</f>
        <v>4</v>
      </c>
      <c r="AI662" s="41">
        <f>IFERROR(LOOKUP(X662,打分卡!$F$13:$J$13,打分卡!$K$13:$O$13),1)</f>
        <v>1</v>
      </c>
      <c r="AJ662" s="41">
        <f>IFERROR(LOOKUP(Y662,打分卡!$F$14:$J$14,打分卡!$K$14:$O$14),1)</f>
        <v>2</v>
      </c>
      <c r="AK662" s="41">
        <f>IFERROR(LOOKUP(W662,打分卡!$F$15:$J$15,打分卡!$K$15:$O$15),1)</f>
        <v>2</v>
      </c>
      <c r="AL662" s="43">
        <f t="shared" si="81"/>
        <v>5</v>
      </c>
      <c r="AM662" s="41">
        <f>IFERROR(LOOKUP(Z662,打分卡!$F$17:$H$17,打分卡!$K$17:$M$17),1)</f>
        <v>1</v>
      </c>
      <c r="AN662" s="44">
        <f>(打分卡!$D$7*AC662+打分卡!$D$8*AD662+打分卡!$D$9*AE662)/5</f>
        <v>14.6</v>
      </c>
      <c r="AO662" s="44">
        <f>(打分卡!$D$10*AF662+打分卡!$D$11*AG662)/5</f>
        <v>10</v>
      </c>
      <c r="AP662" s="44">
        <f>(打分卡!$D$12*AH662+打分卡!$D$13*AI662+打分卡!$D$14*AJ662+打分卡!$D$15*AK662)/5</f>
        <v>15.2</v>
      </c>
      <c r="AQ662" s="44">
        <f>(打分卡!$D$16*AL662+打分卡!$D$17*AM662)/5</f>
        <v>6.8</v>
      </c>
      <c r="AR662" s="47">
        <f t="shared" si="82"/>
        <v>46.6</v>
      </c>
      <c r="AS662" s="43" t="str">
        <f t="shared" si="83"/>
        <v>腰部</v>
      </c>
      <c r="AT662" s="43" t="str">
        <f t="shared" si="84"/>
        <v/>
      </c>
      <c r="AU662" s="43" t="str">
        <f t="shared" si="85"/>
        <v>拉·主攻：主推AI外呼+大促作战包</v>
      </c>
    </row>
    <row r="663" ht="15" customHeight="1" spans="1:47">
      <c r="A663" s="20" t="s">
        <v>1972</v>
      </c>
      <c r="B663" s="22" t="s">
        <v>1973</v>
      </c>
      <c r="C663" s="22" t="s">
        <v>189</v>
      </c>
      <c r="D663" s="22" t="s">
        <v>196</v>
      </c>
      <c r="E663" s="22" t="s">
        <v>181</v>
      </c>
      <c r="F663" s="20" t="s">
        <v>1849</v>
      </c>
      <c r="G663" s="22">
        <v>22</v>
      </c>
      <c r="H663" s="22" t="s">
        <v>301</v>
      </c>
      <c r="I663" s="22" t="s">
        <v>302</v>
      </c>
      <c r="J663" s="36">
        <v>15600</v>
      </c>
      <c r="K663" s="36">
        <v>9000</v>
      </c>
      <c r="L663" s="36">
        <v>1700</v>
      </c>
      <c r="M663" s="36">
        <f t="shared" si="80"/>
        <v>26300</v>
      </c>
      <c r="N663" s="34">
        <f t="shared" si="86"/>
        <v>0.000137881428262862</v>
      </c>
      <c r="O663" s="35">
        <f>SUM($M$2:M663)</f>
        <v>185016200</v>
      </c>
      <c r="P663" s="34">
        <f t="shared" si="87"/>
        <v>0.969973304477844</v>
      </c>
      <c r="Q663" s="39">
        <v>3.5</v>
      </c>
      <c r="R663" s="22">
        <v>8</v>
      </c>
      <c r="S663" s="22">
        <v>2</v>
      </c>
      <c r="T663" s="22">
        <v>1</v>
      </c>
      <c r="U663" s="39">
        <v>13.7</v>
      </c>
      <c r="V663" s="22">
        <v>19</v>
      </c>
      <c r="W663" s="22">
        <v>2</v>
      </c>
      <c r="X663" s="40">
        <v>137</v>
      </c>
      <c r="Y663" s="22">
        <v>2</v>
      </c>
      <c r="Z663" s="22">
        <v>0</v>
      </c>
      <c r="AA663" s="22" t="s">
        <v>185</v>
      </c>
      <c r="AB663" s="22" t="s">
        <v>220</v>
      </c>
      <c r="AC663" s="42">
        <f>IFERROR(LOOKUP(M663,打分卡!$F$7:$J$7,打分卡!$K$7:$O$7),1)</f>
        <v>2</v>
      </c>
      <c r="AD663" s="42">
        <f>IFERROR(LOOKUP(S663,打分卡!$F$8:$J$8,打分卡!$K$8:$O$8),1)</f>
        <v>2</v>
      </c>
      <c r="AE663" s="42">
        <f>IFERROR(LOOKUP(T663,打分卡!$F$9:$I$9,打分卡!$K$9:$N$9),1)</f>
        <v>2</v>
      </c>
      <c r="AF663" s="42">
        <f>IFERROR(LOOKUP(Q663,打分卡!$F$10:$J$10,打分卡!$K$10:$O$10),1)</f>
        <v>2</v>
      </c>
      <c r="AG663" s="42">
        <f>IFERROR(LOOKUP(R663,打分卡!$F$11:$J$11,打分卡!$K$11:$O$11),1)</f>
        <v>3</v>
      </c>
      <c r="AH663" s="42">
        <f>IFERROR(LOOKUP(U663,打分卡!$F$12:$J$12,打分卡!$K$12:$O$12),1)</f>
        <v>3</v>
      </c>
      <c r="AI663" s="42">
        <f>IFERROR(LOOKUP(X663,打分卡!$F$13:$J$13,打分卡!$K$13:$O$13),1)</f>
        <v>4</v>
      </c>
      <c r="AJ663" s="42">
        <f>IFERROR(LOOKUP(Y663,打分卡!$F$14:$J$14,打分卡!$K$14:$O$14),1)</f>
        <v>3</v>
      </c>
      <c r="AK663" s="42">
        <f>IFERROR(LOOKUP(W663,打分卡!$F$15:$J$15,打分卡!$K$15:$O$15),1)</f>
        <v>2</v>
      </c>
      <c r="AL663" s="45">
        <f t="shared" si="81"/>
        <v>3</v>
      </c>
      <c r="AM663" s="42">
        <f>IFERROR(LOOKUP(Z663,打分卡!$F$17:$H$17,打分卡!$K$17:$M$17),1)</f>
        <v>1</v>
      </c>
      <c r="AN663" s="46">
        <f>(打分卡!$D$7*AC663+打分卡!$D$8*AD663+打分卡!$D$9*AE663)/5</f>
        <v>16</v>
      </c>
      <c r="AO663" s="46">
        <f>(打分卡!$D$10*AF663+打分卡!$D$11*AG663)/5</f>
        <v>10</v>
      </c>
      <c r="AP663" s="46">
        <f>(打分卡!$D$12*AH663+打分卡!$D$13*AI663+打分卡!$D$14*AJ663+打分卡!$D$15*AK663)/5</f>
        <v>18.8</v>
      </c>
      <c r="AQ663" s="46">
        <f>(打分卡!$D$16*AL663+打分卡!$D$17*AM663)/5</f>
        <v>4.4</v>
      </c>
      <c r="AR663" s="48">
        <f t="shared" si="82"/>
        <v>49.2</v>
      </c>
      <c r="AS663" s="45" t="str">
        <f t="shared" si="83"/>
        <v>腰部</v>
      </c>
      <c r="AT663" s="45" t="str">
        <f t="shared" si="84"/>
        <v/>
      </c>
      <c r="AU663" s="45" t="str">
        <f t="shared" si="85"/>
        <v>拉·主攻：主推AI外呼+大促作战包</v>
      </c>
    </row>
    <row r="664" ht="15" customHeight="1" spans="1:47">
      <c r="A664" s="30" t="s">
        <v>1974</v>
      </c>
      <c r="B664" s="31" t="s">
        <v>1975</v>
      </c>
      <c r="C664" s="31" t="s">
        <v>223</v>
      </c>
      <c r="D664" s="31" t="s">
        <v>196</v>
      </c>
      <c r="E664" s="31" t="s">
        <v>181</v>
      </c>
      <c r="F664" s="30" t="s">
        <v>236</v>
      </c>
      <c r="G664" s="31">
        <v>15</v>
      </c>
      <c r="H664" s="31" t="s">
        <v>301</v>
      </c>
      <c r="I664" s="31" t="s">
        <v>302</v>
      </c>
      <c r="J664" s="33">
        <v>14500</v>
      </c>
      <c r="K664" s="33">
        <v>9500</v>
      </c>
      <c r="L664" s="33">
        <v>2200</v>
      </c>
      <c r="M664" s="33">
        <f t="shared" si="80"/>
        <v>26200</v>
      </c>
      <c r="N664" s="34">
        <f t="shared" si="86"/>
        <v>0.000137357164277071</v>
      </c>
      <c r="O664" s="35">
        <f>SUM($M$2:M664)</f>
        <v>185042400</v>
      </c>
      <c r="P664" s="34">
        <f t="shared" si="87"/>
        <v>0.970110661642121</v>
      </c>
      <c r="Q664" s="37">
        <v>3.6</v>
      </c>
      <c r="R664" s="31">
        <v>2</v>
      </c>
      <c r="S664" s="31">
        <v>1</v>
      </c>
      <c r="T664" s="31">
        <v>1</v>
      </c>
      <c r="U664" s="37">
        <v>2.3</v>
      </c>
      <c r="V664" s="31">
        <v>4</v>
      </c>
      <c r="W664" s="31">
        <v>0</v>
      </c>
      <c r="X664" s="38">
        <v>12</v>
      </c>
      <c r="Y664" s="31">
        <v>0</v>
      </c>
      <c r="Z664" s="31">
        <v>1</v>
      </c>
      <c r="AA664" s="31" t="s">
        <v>315</v>
      </c>
      <c r="AB664" s="31" t="s">
        <v>220</v>
      </c>
      <c r="AC664" s="41">
        <f>IFERROR(LOOKUP(M664,打分卡!$F$7:$J$7,打分卡!$K$7:$O$7),1)</f>
        <v>2</v>
      </c>
      <c r="AD664" s="41">
        <f>IFERROR(LOOKUP(S664,打分卡!$F$8:$J$8,打分卡!$K$8:$O$8),1)</f>
        <v>1</v>
      </c>
      <c r="AE664" s="41">
        <f>IFERROR(LOOKUP(T664,打分卡!$F$9:$I$9,打分卡!$K$9:$N$9),1)</f>
        <v>2</v>
      </c>
      <c r="AF664" s="41">
        <f>IFERROR(LOOKUP(Q664,打分卡!$F$10:$J$10,打分卡!$K$10:$O$10),1)</f>
        <v>2</v>
      </c>
      <c r="AG664" s="41">
        <f>IFERROR(LOOKUP(R664,打分卡!$F$11:$J$11,打分卡!$K$11:$O$11),1)</f>
        <v>1</v>
      </c>
      <c r="AH664" s="41">
        <f>IFERROR(LOOKUP(U664,打分卡!$F$12:$J$12,打分卡!$K$12:$O$12),1)</f>
        <v>1</v>
      </c>
      <c r="AI664" s="41">
        <f>IFERROR(LOOKUP(X664,打分卡!$F$13:$J$13,打分卡!$K$13:$O$13),1)</f>
        <v>1</v>
      </c>
      <c r="AJ664" s="41">
        <f>IFERROR(LOOKUP(Y664,打分卡!$F$14:$J$14,打分卡!$K$14:$O$14),1)</f>
        <v>1</v>
      </c>
      <c r="AK664" s="41">
        <f>IFERROR(LOOKUP(W664,打分卡!$F$15:$J$15,打分卡!$K$15:$O$15),1)</f>
        <v>1</v>
      </c>
      <c r="AL664" s="43">
        <f t="shared" si="81"/>
        <v>2</v>
      </c>
      <c r="AM664" s="41">
        <f>IFERROR(LOOKUP(Z664,打分卡!$F$17:$H$17,打分卡!$K$17:$M$17),1)</f>
        <v>3</v>
      </c>
      <c r="AN664" s="44">
        <f>(打分卡!$D$7*AC664+打分卡!$D$8*AD664+打分卡!$D$9*AE664)/5</f>
        <v>14.4</v>
      </c>
      <c r="AO664" s="44">
        <f>(打分卡!$D$10*AF664+打分卡!$D$11*AG664)/5</f>
        <v>6</v>
      </c>
      <c r="AP664" s="44">
        <f>(打分卡!$D$12*AH664+打分卡!$D$13*AI664+打分卡!$D$14*AJ664+打分卡!$D$15*AK664)/5</f>
        <v>6</v>
      </c>
      <c r="AQ664" s="44">
        <f>(打分卡!$D$16*AL664+打分卡!$D$17*AM664)/5</f>
        <v>4.8</v>
      </c>
      <c r="AR664" s="47">
        <f t="shared" si="82"/>
        <v>31.2</v>
      </c>
      <c r="AS664" s="43" t="str">
        <f t="shared" si="83"/>
        <v>基础长尾</v>
      </c>
      <c r="AT664" s="43" t="str">
        <f t="shared" si="84"/>
        <v/>
      </c>
      <c r="AU664" s="43" t="str">
        <f t="shared" si="85"/>
        <v>激活：企微+Push低成本先跑</v>
      </c>
    </row>
    <row r="665" ht="15" customHeight="1" spans="1:47">
      <c r="A665" s="20" t="s">
        <v>1976</v>
      </c>
      <c r="B665" s="22" t="s">
        <v>1977</v>
      </c>
      <c r="C665" s="22" t="s">
        <v>239</v>
      </c>
      <c r="D665" s="22" t="s">
        <v>202</v>
      </c>
      <c r="E665" s="22" t="s">
        <v>181</v>
      </c>
      <c r="F665" s="20" t="s">
        <v>1525</v>
      </c>
      <c r="G665" s="22">
        <v>11</v>
      </c>
      <c r="H665" s="22" t="s">
        <v>183</v>
      </c>
      <c r="I665" s="22" t="s">
        <v>184</v>
      </c>
      <c r="J665" s="36">
        <v>14500</v>
      </c>
      <c r="K665" s="36">
        <v>7900</v>
      </c>
      <c r="L665" s="36">
        <v>3800</v>
      </c>
      <c r="M665" s="36">
        <f t="shared" si="80"/>
        <v>26200</v>
      </c>
      <c r="N665" s="34">
        <f t="shared" si="86"/>
        <v>0.000137357164277071</v>
      </c>
      <c r="O665" s="35">
        <f>SUM($M$2:M665)</f>
        <v>185068600</v>
      </c>
      <c r="P665" s="34">
        <f t="shared" si="87"/>
        <v>0.970248018806398</v>
      </c>
      <c r="Q665" s="39">
        <v>1.8</v>
      </c>
      <c r="R665" s="22">
        <v>2</v>
      </c>
      <c r="S665" s="22">
        <v>1</v>
      </c>
      <c r="T665" s="22">
        <v>2</v>
      </c>
      <c r="U665" s="39">
        <v>32</v>
      </c>
      <c r="V665" s="22">
        <v>18</v>
      </c>
      <c r="W665" s="22">
        <v>0</v>
      </c>
      <c r="X665" s="40">
        <v>38</v>
      </c>
      <c r="Y665" s="22">
        <v>1</v>
      </c>
      <c r="Z665" s="22">
        <v>1</v>
      </c>
      <c r="AA665" s="22" t="s">
        <v>185</v>
      </c>
      <c r="AB665" s="22" t="s">
        <v>220</v>
      </c>
      <c r="AC665" s="42">
        <f>IFERROR(LOOKUP(M665,打分卡!$F$7:$J$7,打分卡!$K$7:$O$7),1)</f>
        <v>2</v>
      </c>
      <c r="AD665" s="42">
        <f>IFERROR(LOOKUP(S665,打分卡!$F$8:$J$8,打分卡!$K$8:$O$8),1)</f>
        <v>1</v>
      </c>
      <c r="AE665" s="42">
        <f>IFERROR(LOOKUP(T665,打分卡!$F$9:$I$9,打分卡!$K$9:$N$9),1)</f>
        <v>3</v>
      </c>
      <c r="AF665" s="42">
        <f>IFERROR(LOOKUP(Q665,打分卡!$F$10:$J$10,打分卡!$K$10:$O$10),1)</f>
        <v>1</v>
      </c>
      <c r="AG665" s="42">
        <f>IFERROR(LOOKUP(R665,打分卡!$F$11:$J$11,打分卡!$K$11:$O$11),1)</f>
        <v>1</v>
      </c>
      <c r="AH665" s="42">
        <f>IFERROR(LOOKUP(U665,打分卡!$F$12:$J$12,打分卡!$K$12:$O$12),1)</f>
        <v>3</v>
      </c>
      <c r="AI665" s="42">
        <f>IFERROR(LOOKUP(X665,打分卡!$F$13:$J$13,打分卡!$K$13:$O$13),1)</f>
        <v>2</v>
      </c>
      <c r="AJ665" s="42">
        <f>IFERROR(LOOKUP(Y665,打分卡!$F$14:$J$14,打分卡!$K$14:$O$14),1)</f>
        <v>2</v>
      </c>
      <c r="AK665" s="42">
        <f>IFERROR(LOOKUP(W665,打分卡!$F$15:$J$15,打分卡!$K$15:$O$15),1)</f>
        <v>1</v>
      </c>
      <c r="AL665" s="45">
        <f t="shared" si="81"/>
        <v>3</v>
      </c>
      <c r="AM665" s="42">
        <f>IFERROR(LOOKUP(Z665,打分卡!$F$17:$H$17,打分卡!$K$17:$M$17),1)</f>
        <v>3</v>
      </c>
      <c r="AN665" s="46">
        <f>(打分卡!$D$7*AC665+打分卡!$D$8*AD665+打分卡!$D$9*AE665)/5</f>
        <v>15.8</v>
      </c>
      <c r="AO665" s="46">
        <f>(打分卡!$D$10*AF665+打分卡!$D$11*AG665)/5</f>
        <v>4</v>
      </c>
      <c r="AP665" s="46">
        <f>(打分卡!$D$12*AH665+打分卡!$D$13*AI665+打分卡!$D$14*AJ665+打分卡!$D$15*AK665)/5</f>
        <v>13.6</v>
      </c>
      <c r="AQ665" s="46">
        <f>(打分卡!$D$16*AL665+打分卡!$D$17*AM665)/5</f>
        <v>6</v>
      </c>
      <c r="AR665" s="48">
        <f t="shared" si="82"/>
        <v>39.4</v>
      </c>
      <c r="AS665" s="45" t="str">
        <f t="shared" si="83"/>
        <v>基础长尾</v>
      </c>
      <c r="AT665" s="45" t="str">
        <f t="shared" si="84"/>
        <v/>
      </c>
      <c r="AU665" s="45" t="str">
        <f t="shared" si="85"/>
        <v>激活：企微+Push低成本先跑</v>
      </c>
    </row>
    <row r="666" ht="15" customHeight="1" spans="1:47">
      <c r="A666" s="30" t="s">
        <v>1978</v>
      </c>
      <c r="B666" s="31" t="s">
        <v>1979</v>
      </c>
      <c r="C666" s="31" t="s">
        <v>179</v>
      </c>
      <c r="D666" s="31" t="s">
        <v>235</v>
      </c>
      <c r="E666" s="31" t="s">
        <v>197</v>
      </c>
      <c r="F666" s="30" t="s">
        <v>1519</v>
      </c>
      <c r="G666" s="31">
        <v>10</v>
      </c>
      <c r="H666" s="31" t="s">
        <v>301</v>
      </c>
      <c r="I666" s="31" t="s">
        <v>302</v>
      </c>
      <c r="J666" s="33">
        <v>16600</v>
      </c>
      <c r="K666" s="33">
        <v>6300</v>
      </c>
      <c r="L666" s="33">
        <v>3300</v>
      </c>
      <c r="M666" s="33">
        <f t="shared" si="80"/>
        <v>26200</v>
      </c>
      <c r="N666" s="34">
        <f t="shared" si="86"/>
        <v>0.000137357164277071</v>
      </c>
      <c r="O666" s="35">
        <f>SUM($M$2:M666)</f>
        <v>185094800</v>
      </c>
      <c r="P666" s="34">
        <f t="shared" si="87"/>
        <v>0.970385375970675</v>
      </c>
      <c r="Q666" s="37">
        <v>2.9</v>
      </c>
      <c r="R666" s="31">
        <v>6</v>
      </c>
      <c r="S666" s="31">
        <v>1</v>
      </c>
      <c r="T666" s="31">
        <v>0</v>
      </c>
      <c r="U666" s="37">
        <v>8.7</v>
      </c>
      <c r="V666" s="31">
        <v>21</v>
      </c>
      <c r="W666" s="31">
        <v>1</v>
      </c>
      <c r="X666" s="38">
        <v>112</v>
      </c>
      <c r="Y666" s="31">
        <v>2</v>
      </c>
      <c r="Z666" s="31">
        <v>1</v>
      </c>
      <c r="AA666" s="31" t="s">
        <v>315</v>
      </c>
      <c r="AB666" s="31" t="s">
        <v>220</v>
      </c>
      <c r="AC666" s="41">
        <f>IFERROR(LOOKUP(M666,打分卡!$F$7:$J$7,打分卡!$K$7:$O$7),1)</f>
        <v>2</v>
      </c>
      <c r="AD666" s="41">
        <f>IFERROR(LOOKUP(S666,打分卡!$F$8:$J$8,打分卡!$K$8:$O$8),1)</f>
        <v>1</v>
      </c>
      <c r="AE666" s="41">
        <f>IFERROR(LOOKUP(T666,打分卡!$F$9:$I$9,打分卡!$K$9:$N$9),1)</f>
        <v>1</v>
      </c>
      <c r="AF666" s="41">
        <f>IFERROR(LOOKUP(Q666,打分卡!$F$10:$J$10,打分卡!$K$10:$O$10),1)</f>
        <v>2</v>
      </c>
      <c r="AG666" s="41">
        <f>IFERROR(LOOKUP(R666,打分卡!$F$11:$J$11,打分卡!$K$11:$O$11),1)</f>
        <v>3</v>
      </c>
      <c r="AH666" s="41">
        <f>IFERROR(LOOKUP(U666,打分卡!$F$12:$J$12,打分卡!$K$12:$O$12),1)</f>
        <v>2</v>
      </c>
      <c r="AI666" s="41">
        <f>IFERROR(LOOKUP(X666,打分卡!$F$13:$J$13,打分卡!$K$13:$O$13),1)</f>
        <v>4</v>
      </c>
      <c r="AJ666" s="41">
        <f>IFERROR(LOOKUP(Y666,打分卡!$F$14:$J$14,打分卡!$K$14:$O$14),1)</f>
        <v>3</v>
      </c>
      <c r="AK666" s="41">
        <f>IFERROR(LOOKUP(W666,打分卡!$F$15:$J$15,打分卡!$K$15:$O$15),1)</f>
        <v>2</v>
      </c>
      <c r="AL666" s="43">
        <f t="shared" si="81"/>
        <v>2</v>
      </c>
      <c r="AM666" s="41">
        <f>IFERROR(LOOKUP(Z666,打分卡!$F$17:$H$17,打分卡!$K$17:$M$17),1)</f>
        <v>3</v>
      </c>
      <c r="AN666" s="44">
        <f>(打分卡!$D$7*AC666+打分卡!$D$8*AD666+打分卡!$D$9*AE666)/5</f>
        <v>13</v>
      </c>
      <c r="AO666" s="44">
        <f>(打分卡!$D$10*AF666+打分卡!$D$11*AG666)/5</f>
        <v>10</v>
      </c>
      <c r="AP666" s="44">
        <f>(打分卡!$D$12*AH666+打分卡!$D$13*AI666+打分卡!$D$14*AJ666+打分卡!$D$15*AK666)/5</f>
        <v>16.4</v>
      </c>
      <c r="AQ666" s="44">
        <f>(打分卡!$D$16*AL666+打分卡!$D$17*AM666)/5</f>
        <v>4.8</v>
      </c>
      <c r="AR666" s="47">
        <f t="shared" si="82"/>
        <v>44.2</v>
      </c>
      <c r="AS666" s="43" t="str">
        <f t="shared" si="83"/>
        <v>腰部</v>
      </c>
      <c r="AT666" s="43" t="str">
        <f t="shared" si="84"/>
        <v/>
      </c>
      <c r="AU666" s="43" t="str">
        <f t="shared" si="85"/>
        <v>拉·主攻：主推AI外呼+大促作战包</v>
      </c>
    </row>
    <row r="667" ht="15" customHeight="1" spans="1:47">
      <c r="A667" s="20" t="s">
        <v>1980</v>
      </c>
      <c r="B667" s="22" t="s">
        <v>1981</v>
      </c>
      <c r="C667" s="22" t="s">
        <v>223</v>
      </c>
      <c r="D667" s="22" t="s">
        <v>202</v>
      </c>
      <c r="E667" s="22" t="s">
        <v>181</v>
      </c>
      <c r="F667" s="20" t="s">
        <v>330</v>
      </c>
      <c r="G667" s="22">
        <v>21</v>
      </c>
      <c r="H667" s="22" t="s">
        <v>301</v>
      </c>
      <c r="I667" s="22" t="s">
        <v>184</v>
      </c>
      <c r="J667" s="36">
        <v>13800</v>
      </c>
      <c r="K667" s="36">
        <v>8800</v>
      </c>
      <c r="L667" s="36">
        <v>3500</v>
      </c>
      <c r="M667" s="36">
        <f t="shared" si="80"/>
        <v>26100</v>
      </c>
      <c r="N667" s="34">
        <f t="shared" si="86"/>
        <v>0.000136832900291281</v>
      </c>
      <c r="O667" s="35">
        <f>SUM($M$2:M667)</f>
        <v>185120900</v>
      </c>
      <c r="P667" s="34">
        <f t="shared" si="87"/>
        <v>0.970522208870966</v>
      </c>
      <c r="Q667" s="39">
        <v>2.9</v>
      </c>
      <c r="R667" s="22">
        <v>4</v>
      </c>
      <c r="S667" s="22">
        <v>2</v>
      </c>
      <c r="T667" s="22">
        <v>1</v>
      </c>
      <c r="U667" s="39">
        <v>2.4</v>
      </c>
      <c r="V667" s="22">
        <v>18</v>
      </c>
      <c r="W667" s="22">
        <v>2</v>
      </c>
      <c r="X667" s="40">
        <v>100</v>
      </c>
      <c r="Y667" s="22">
        <v>0</v>
      </c>
      <c r="Z667" s="22">
        <v>1</v>
      </c>
      <c r="AA667" s="22" t="s">
        <v>199</v>
      </c>
      <c r="AB667" s="22" t="s">
        <v>220</v>
      </c>
      <c r="AC667" s="42">
        <f>IFERROR(LOOKUP(M667,打分卡!$F$7:$J$7,打分卡!$K$7:$O$7),1)</f>
        <v>2</v>
      </c>
      <c r="AD667" s="42">
        <f>IFERROR(LOOKUP(S667,打分卡!$F$8:$J$8,打分卡!$K$8:$O$8),1)</f>
        <v>2</v>
      </c>
      <c r="AE667" s="42">
        <f>IFERROR(LOOKUP(T667,打分卡!$F$9:$I$9,打分卡!$K$9:$N$9),1)</f>
        <v>2</v>
      </c>
      <c r="AF667" s="42">
        <f>IFERROR(LOOKUP(Q667,打分卡!$F$10:$J$10,打分卡!$K$10:$O$10),1)</f>
        <v>2</v>
      </c>
      <c r="AG667" s="42">
        <f>IFERROR(LOOKUP(R667,打分卡!$F$11:$J$11,打分卡!$K$11:$O$11),1)</f>
        <v>2</v>
      </c>
      <c r="AH667" s="42">
        <f>IFERROR(LOOKUP(U667,打分卡!$F$12:$J$12,打分卡!$K$12:$O$12),1)</f>
        <v>1</v>
      </c>
      <c r="AI667" s="42">
        <f>IFERROR(LOOKUP(X667,打分卡!$F$13:$J$13,打分卡!$K$13:$O$13),1)</f>
        <v>4</v>
      </c>
      <c r="AJ667" s="42">
        <f>IFERROR(LOOKUP(Y667,打分卡!$F$14:$J$14,打分卡!$K$14:$O$14),1)</f>
        <v>1</v>
      </c>
      <c r="AK667" s="42">
        <f>IFERROR(LOOKUP(W667,打分卡!$F$15:$J$15,打分卡!$K$15:$O$15),1)</f>
        <v>2</v>
      </c>
      <c r="AL667" s="45">
        <f t="shared" si="81"/>
        <v>5</v>
      </c>
      <c r="AM667" s="42">
        <f>IFERROR(LOOKUP(Z667,打分卡!$F$17:$H$17,打分卡!$K$17:$M$17),1)</f>
        <v>3</v>
      </c>
      <c r="AN667" s="46">
        <f>(打分卡!$D$7*AC667+打分卡!$D$8*AD667+打分卡!$D$9*AE667)/5</f>
        <v>16</v>
      </c>
      <c r="AO667" s="46">
        <f>(打分卡!$D$10*AF667+打分卡!$D$11*AG667)/5</f>
        <v>8</v>
      </c>
      <c r="AP667" s="46">
        <f>(打分卡!$D$12*AH667+打分卡!$D$13*AI667+打分卡!$D$14*AJ667+打分卡!$D$15*AK667)/5</f>
        <v>11.6</v>
      </c>
      <c r="AQ667" s="46">
        <f>(打分卡!$D$16*AL667+打分卡!$D$17*AM667)/5</f>
        <v>8.4</v>
      </c>
      <c r="AR667" s="48">
        <f t="shared" si="82"/>
        <v>44</v>
      </c>
      <c r="AS667" s="45" t="str">
        <f t="shared" si="83"/>
        <v>腰部</v>
      </c>
      <c r="AT667" s="45" t="str">
        <f t="shared" si="84"/>
        <v/>
      </c>
      <c r="AU667" s="45" t="str">
        <f t="shared" si="85"/>
        <v>拉·主攻：主推AI外呼+大促作战包</v>
      </c>
    </row>
    <row r="668" ht="15" customHeight="1" spans="1:47">
      <c r="A668" s="30" t="s">
        <v>1982</v>
      </c>
      <c r="B668" s="31" t="s">
        <v>1983</v>
      </c>
      <c r="C668" s="31" t="s">
        <v>239</v>
      </c>
      <c r="D668" s="31" t="s">
        <v>227</v>
      </c>
      <c r="E668" s="31" t="s">
        <v>181</v>
      </c>
      <c r="F668" s="30" t="s">
        <v>1984</v>
      </c>
      <c r="G668" s="31">
        <v>21</v>
      </c>
      <c r="H668" s="31" t="s">
        <v>183</v>
      </c>
      <c r="I668" s="31" t="s">
        <v>184</v>
      </c>
      <c r="J668" s="33">
        <v>14700</v>
      </c>
      <c r="K668" s="33">
        <v>6000</v>
      </c>
      <c r="L668" s="33">
        <v>5300</v>
      </c>
      <c r="M668" s="33">
        <f t="shared" si="80"/>
        <v>26000</v>
      </c>
      <c r="N668" s="34">
        <f t="shared" si="86"/>
        <v>0.000136308636305491</v>
      </c>
      <c r="O668" s="35">
        <f>SUM($M$2:M668)</f>
        <v>185146900</v>
      </c>
      <c r="P668" s="34">
        <f t="shared" si="87"/>
        <v>0.970658517507272</v>
      </c>
      <c r="Q668" s="37">
        <v>1.8</v>
      </c>
      <c r="R668" s="31">
        <v>3</v>
      </c>
      <c r="S668" s="31">
        <v>1</v>
      </c>
      <c r="T668" s="31">
        <v>0</v>
      </c>
      <c r="U668" s="37">
        <v>6.4</v>
      </c>
      <c r="V668" s="31">
        <v>17</v>
      </c>
      <c r="W668" s="31">
        <v>2</v>
      </c>
      <c r="X668" s="38">
        <v>18</v>
      </c>
      <c r="Y668" s="31">
        <v>1</v>
      </c>
      <c r="Z668" s="31">
        <v>0</v>
      </c>
      <c r="AA668" s="31" t="s">
        <v>199</v>
      </c>
      <c r="AB668" s="31" t="s">
        <v>220</v>
      </c>
      <c r="AC668" s="41">
        <f>IFERROR(LOOKUP(M668,打分卡!$F$7:$J$7,打分卡!$K$7:$O$7),1)</f>
        <v>2</v>
      </c>
      <c r="AD668" s="41">
        <f>IFERROR(LOOKUP(S668,打分卡!$F$8:$J$8,打分卡!$K$8:$O$8),1)</f>
        <v>1</v>
      </c>
      <c r="AE668" s="41">
        <f>IFERROR(LOOKUP(T668,打分卡!$F$9:$I$9,打分卡!$K$9:$N$9),1)</f>
        <v>1</v>
      </c>
      <c r="AF668" s="41">
        <f>IFERROR(LOOKUP(Q668,打分卡!$F$10:$J$10,打分卡!$K$10:$O$10),1)</f>
        <v>1</v>
      </c>
      <c r="AG668" s="41">
        <f>IFERROR(LOOKUP(R668,打分卡!$F$11:$J$11,打分卡!$K$11:$O$11),1)</f>
        <v>2</v>
      </c>
      <c r="AH668" s="41">
        <f>IFERROR(LOOKUP(U668,打分卡!$F$12:$J$12,打分卡!$K$12:$O$12),1)</f>
        <v>2</v>
      </c>
      <c r="AI668" s="41">
        <f>IFERROR(LOOKUP(X668,打分卡!$F$13:$J$13,打分卡!$K$13:$O$13),1)</f>
        <v>2</v>
      </c>
      <c r="AJ668" s="41">
        <f>IFERROR(LOOKUP(Y668,打分卡!$F$14:$J$14,打分卡!$K$14:$O$14),1)</f>
        <v>2</v>
      </c>
      <c r="AK668" s="41">
        <f>IFERROR(LOOKUP(W668,打分卡!$F$15:$J$15,打分卡!$K$15:$O$15),1)</f>
        <v>2</v>
      </c>
      <c r="AL668" s="43">
        <f t="shared" si="81"/>
        <v>5</v>
      </c>
      <c r="AM668" s="41">
        <f>IFERROR(LOOKUP(Z668,打分卡!$F$17:$H$17,打分卡!$K$17:$M$17),1)</f>
        <v>1</v>
      </c>
      <c r="AN668" s="44">
        <f>(打分卡!$D$7*AC668+打分卡!$D$8*AD668+打分卡!$D$9*AE668)/5</f>
        <v>13</v>
      </c>
      <c r="AO668" s="44">
        <f>(打分卡!$D$10*AF668+打分卡!$D$11*AG668)/5</f>
        <v>6</v>
      </c>
      <c r="AP668" s="44">
        <f>(打分卡!$D$12*AH668+打分卡!$D$13*AI668+打分卡!$D$14*AJ668+打分卡!$D$15*AK668)/5</f>
        <v>12</v>
      </c>
      <c r="AQ668" s="44">
        <f>(打分卡!$D$16*AL668+打分卡!$D$17*AM668)/5</f>
        <v>6.8</v>
      </c>
      <c r="AR668" s="47">
        <f t="shared" si="82"/>
        <v>37.8</v>
      </c>
      <c r="AS668" s="43" t="str">
        <f t="shared" si="83"/>
        <v>基础长尾</v>
      </c>
      <c r="AT668" s="43" t="str">
        <f t="shared" si="84"/>
        <v/>
      </c>
      <c r="AU668" s="43" t="str">
        <f t="shared" si="85"/>
        <v>激活：企微+Push低成本先跑</v>
      </c>
    </row>
    <row r="669" ht="15" customHeight="1" spans="1:47">
      <c r="A669" s="20" t="s">
        <v>1985</v>
      </c>
      <c r="B669" s="22" t="s">
        <v>1986</v>
      </c>
      <c r="C669" s="22" t="s">
        <v>179</v>
      </c>
      <c r="D669" s="22" t="s">
        <v>252</v>
      </c>
      <c r="E669" s="22" t="s">
        <v>181</v>
      </c>
      <c r="F669" s="20" t="s">
        <v>1987</v>
      </c>
      <c r="G669" s="22">
        <v>20</v>
      </c>
      <c r="H669" s="22" t="s">
        <v>301</v>
      </c>
      <c r="I669" s="22" t="s">
        <v>302</v>
      </c>
      <c r="J669" s="36">
        <v>14900</v>
      </c>
      <c r="K669" s="36">
        <v>6200</v>
      </c>
      <c r="L669" s="36">
        <v>4600</v>
      </c>
      <c r="M669" s="36">
        <f t="shared" si="80"/>
        <v>25700</v>
      </c>
      <c r="N669" s="34">
        <f t="shared" si="86"/>
        <v>0.00013473584434812</v>
      </c>
      <c r="O669" s="35">
        <f>SUM($M$2:M669)</f>
        <v>185172600</v>
      </c>
      <c r="P669" s="34">
        <f t="shared" si="87"/>
        <v>0.97079325335162</v>
      </c>
      <c r="Q669" s="39">
        <v>3.1</v>
      </c>
      <c r="R669" s="22">
        <v>4</v>
      </c>
      <c r="S669" s="22">
        <v>3</v>
      </c>
      <c r="T669" s="22">
        <v>1</v>
      </c>
      <c r="U669" s="39">
        <v>7.2</v>
      </c>
      <c r="V669" s="22">
        <v>3</v>
      </c>
      <c r="W669" s="22">
        <v>4</v>
      </c>
      <c r="X669" s="40">
        <v>135</v>
      </c>
      <c r="Y669" s="22">
        <v>0</v>
      </c>
      <c r="Z669" s="22">
        <v>1</v>
      </c>
      <c r="AA669" s="22" t="s">
        <v>199</v>
      </c>
      <c r="AB669" s="22" t="s">
        <v>220</v>
      </c>
      <c r="AC669" s="42">
        <f>IFERROR(LOOKUP(M669,打分卡!$F$7:$J$7,打分卡!$K$7:$O$7),1)</f>
        <v>2</v>
      </c>
      <c r="AD669" s="42">
        <f>IFERROR(LOOKUP(S669,打分卡!$F$8:$J$8,打分卡!$K$8:$O$8),1)</f>
        <v>3</v>
      </c>
      <c r="AE669" s="42">
        <f>IFERROR(LOOKUP(T669,打分卡!$F$9:$I$9,打分卡!$K$9:$N$9),1)</f>
        <v>2</v>
      </c>
      <c r="AF669" s="42">
        <f>IFERROR(LOOKUP(Q669,打分卡!$F$10:$J$10,打分卡!$K$10:$O$10),1)</f>
        <v>2</v>
      </c>
      <c r="AG669" s="42">
        <f>IFERROR(LOOKUP(R669,打分卡!$F$11:$J$11,打分卡!$K$11:$O$11),1)</f>
        <v>2</v>
      </c>
      <c r="AH669" s="42">
        <f>IFERROR(LOOKUP(U669,打分卡!$F$12:$J$12,打分卡!$K$12:$O$12),1)</f>
        <v>2</v>
      </c>
      <c r="AI669" s="42">
        <f>IFERROR(LOOKUP(X669,打分卡!$F$13:$J$13,打分卡!$K$13:$O$13),1)</f>
        <v>4</v>
      </c>
      <c r="AJ669" s="42">
        <f>IFERROR(LOOKUP(Y669,打分卡!$F$14:$J$14,打分卡!$K$14:$O$14),1)</f>
        <v>1</v>
      </c>
      <c r="AK669" s="42">
        <f>IFERROR(LOOKUP(W669,打分卡!$F$15:$J$15,打分卡!$K$15:$O$15),1)</f>
        <v>3</v>
      </c>
      <c r="AL669" s="45">
        <f t="shared" si="81"/>
        <v>5</v>
      </c>
      <c r="AM669" s="42">
        <f>IFERROR(LOOKUP(Z669,打分卡!$F$17:$H$17,打分卡!$K$17:$M$17),1)</f>
        <v>3</v>
      </c>
      <c r="AN669" s="46">
        <f>(打分卡!$D$7*AC669+打分卡!$D$8*AD669+打分卡!$D$9*AE669)/5</f>
        <v>17.6</v>
      </c>
      <c r="AO669" s="46">
        <f>(打分卡!$D$10*AF669+打分卡!$D$11*AG669)/5</f>
        <v>8</v>
      </c>
      <c r="AP669" s="46">
        <f>(打分卡!$D$12*AH669+打分卡!$D$13*AI669+打分卡!$D$14*AJ669+打分卡!$D$15*AK669)/5</f>
        <v>14.8</v>
      </c>
      <c r="AQ669" s="46">
        <f>(打分卡!$D$16*AL669+打分卡!$D$17*AM669)/5</f>
        <v>8.4</v>
      </c>
      <c r="AR669" s="48">
        <f t="shared" si="82"/>
        <v>48.8</v>
      </c>
      <c r="AS669" s="45" t="str">
        <f t="shared" si="83"/>
        <v>腰部</v>
      </c>
      <c r="AT669" s="45" t="str">
        <f t="shared" si="84"/>
        <v/>
      </c>
      <c r="AU669" s="45" t="str">
        <f t="shared" si="85"/>
        <v>拉·主攻：主推AI外呼+大促作战包</v>
      </c>
    </row>
    <row r="670" ht="15" customHeight="1" spans="1:47">
      <c r="A670" s="30" t="s">
        <v>1988</v>
      </c>
      <c r="B670" s="31" t="s">
        <v>1989</v>
      </c>
      <c r="C670" s="31" t="s">
        <v>189</v>
      </c>
      <c r="D670" s="31" t="s">
        <v>196</v>
      </c>
      <c r="E670" s="31" t="s">
        <v>197</v>
      </c>
      <c r="F670" s="30" t="s">
        <v>1072</v>
      </c>
      <c r="G670" s="31">
        <v>13</v>
      </c>
      <c r="H670" s="31" t="s">
        <v>301</v>
      </c>
      <c r="I670" s="31" t="s">
        <v>302</v>
      </c>
      <c r="J670" s="33">
        <v>16400</v>
      </c>
      <c r="K670" s="33">
        <v>7900</v>
      </c>
      <c r="L670" s="33">
        <v>1300</v>
      </c>
      <c r="M670" s="33">
        <f t="shared" si="80"/>
        <v>25600</v>
      </c>
      <c r="N670" s="34">
        <f t="shared" si="86"/>
        <v>0.000134211580362329</v>
      </c>
      <c r="O670" s="35">
        <f>SUM($M$2:M670)</f>
        <v>185198200</v>
      </c>
      <c r="P670" s="34">
        <f t="shared" si="87"/>
        <v>0.970927464931982</v>
      </c>
      <c r="Q670" s="37">
        <v>2</v>
      </c>
      <c r="R670" s="31">
        <v>2</v>
      </c>
      <c r="S670" s="31">
        <v>2</v>
      </c>
      <c r="T670" s="31">
        <v>2</v>
      </c>
      <c r="U670" s="37">
        <v>57.1</v>
      </c>
      <c r="V670" s="31">
        <v>27</v>
      </c>
      <c r="W670" s="31">
        <v>4</v>
      </c>
      <c r="X670" s="38">
        <v>130</v>
      </c>
      <c r="Y670" s="31">
        <v>2</v>
      </c>
      <c r="Z670" s="31">
        <v>1</v>
      </c>
      <c r="AA670" s="31" t="s">
        <v>315</v>
      </c>
      <c r="AB670" s="31" t="s">
        <v>220</v>
      </c>
      <c r="AC670" s="41">
        <f>IFERROR(LOOKUP(M670,打分卡!$F$7:$J$7,打分卡!$K$7:$O$7),1)</f>
        <v>2</v>
      </c>
      <c r="AD670" s="41">
        <f>IFERROR(LOOKUP(S670,打分卡!$F$8:$J$8,打分卡!$K$8:$O$8),1)</f>
        <v>2</v>
      </c>
      <c r="AE670" s="41">
        <f>IFERROR(LOOKUP(T670,打分卡!$F$9:$I$9,打分卡!$K$9:$N$9),1)</f>
        <v>3</v>
      </c>
      <c r="AF670" s="41">
        <f>IFERROR(LOOKUP(Q670,打分卡!$F$10:$J$10,打分卡!$K$10:$O$10),1)</f>
        <v>1</v>
      </c>
      <c r="AG670" s="41">
        <f>IFERROR(LOOKUP(R670,打分卡!$F$11:$J$11,打分卡!$K$11:$O$11),1)</f>
        <v>1</v>
      </c>
      <c r="AH670" s="41">
        <f>IFERROR(LOOKUP(U670,打分卡!$F$12:$J$12,打分卡!$K$12:$O$12),1)</f>
        <v>4</v>
      </c>
      <c r="AI670" s="41">
        <f>IFERROR(LOOKUP(X670,打分卡!$F$13:$J$13,打分卡!$K$13:$O$13),1)</f>
        <v>4</v>
      </c>
      <c r="AJ670" s="41">
        <f>IFERROR(LOOKUP(Y670,打分卡!$F$14:$J$14,打分卡!$K$14:$O$14),1)</f>
        <v>3</v>
      </c>
      <c r="AK670" s="41">
        <f>IFERROR(LOOKUP(W670,打分卡!$F$15:$J$15,打分卡!$K$15:$O$15),1)</f>
        <v>3</v>
      </c>
      <c r="AL670" s="43">
        <f t="shared" si="81"/>
        <v>2</v>
      </c>
      <c r="AM670" s="41">
        <f>IFERROR(LOOKUP(Z670,打分卡!$F$17:$H$17,打分卡!$K$17:$M$17),1)</f>
        <v>3</v>
      </c>
      <c r="AN670" s="44">
        <f>(打分卡!$D$7*AC670+打分卡!$D$8*AD670+打分卡!$D$9*AE670)/5</f>
        <v>17.4</v>
      </c>
      <c r="AO670" s="44">
        <f>(打分卡!$D$10*AF670+打分卡!$D$11*AG670)/5</f>
        <v>4</v>
      </c>
      <c r="AP670" s="44">
        <f>(打分卡!$D$12*AH670+打分卡!$D$13*AI670+打分卡!$D$14*AJ670+打分卡!$D$15*AK670)/5</f>
        <v>22</v>
      </c>
      <c r="AQ670" s="44">
        <f>(打分卡!$D$16*AL670+打分卡!$D$17*AM670)/5</f>
        <v>4.8</v>
      </c>
      <c r="AR670" s="47">
        <f t="shared" si="82"/>
        <v>48.2</v>
      </c>
      <c r="AS670" s="43" t="str">
        <f t="shared" si="83"/>
        <v>腰部</v>
      </c>
      <c r="AT670" s="43" t="str">
        <f t="shared" si="84"/>
        <v/>
      </c>
      <c r="AU670" s="43" t="str">
        <f t="shared" si="85"/>
        <v>拉·主攻：主推AI外呼+大促作战包</v>
      </c>
    </row>
    <row r="671" ht="15" customHeight="1" spans="1:47">
      <c r="A671" s="20" t="s">
        <v>1990</v>
      </c>
      <c r="B671" s="22" t="s">
        <v>1991</v>
      </c>
      <c r="C671" s="22" t="s">
        <v>189</v>
      </c>
      <c r="D671" s="22" t="s">
        <v>202</v>
      </c>
      <c r="E671" s="22" t="s">
        <v>181</v>
      </c>
      <c r="F671" s="20" t="s">
        <v>1992</v>
      </c>
      <c r="G671" s="22">
        <v>24</v>
      </c>
      <c r="H671" s="22" t="s">
        <v>301</v>
      </c>
      <c r="I671" s="22" t="s">
        <v>302</v>
      </c>
      <c r="J671" s="36">
        <v>13000</v>
      </c>
      <c r="K671" s="36">
        <v>7600</v>
      </c>
      <c r="L671" s="36">
        <v>4900</v>
      </c>
      <c r="M671" s="36">
        <f t="shared" si="80"/>
        <v>25500</v>
      </c>
      <c r="N671" s="34">
        <f t="shared" si="86"/>
        <v>0.000133687316376539</v>
      </c>
      <c r="O671" s="35">
        <f>SUM($M$2:M671)</f>
        <v>185223700</v>
      </c>
      <c r="P671" s="34">
        <f t="shared" si="87"/>
        <v>0.971061152248359</v>
      </c>
      <c r="Q671" s="39">
        <v>3.8</v>
      </c>
      <c r="R671" s="22">
        <v>8</v>
      </c>
      <c r="S671" s="22">
        <v>3</v>
      </c>
      <c r="T671" s="22">
        <v>0</v>
      </c>
      <c r="U671" s="39">
        <v>75.9</v>
      </c>
      <c r="V671" s="22">
        <v>10</v>
      </c>
      <c r="W671" s="22">
        <v>2</v>
      </c>
      <c r="X671" s="40">
        <v>29</v>
      </c>
      <c r="Y671" s="22">
        <v>3</v>
      </c>
      <c r="Z671" s="22">
        <v>1</v>
      </c>
      <c r="AA671" s="22" t="s">
        <v>185</v>
      </c>
      <c r="AB671" s="22" t="s">
        <v>220</v>
      </c>
      <c r="AC671" s="42">
        <f>IFERROR(LOOKUP(M671,打分卡!$F$7:$J$7,打分卡!$K$7:$O$7),1)</f>
        <v>2</v>
      </c>
      <c r="AD671" s="42">
        <f>IFERROR(LOOKUP(S671,打分卡!$F$8:$J$8,打分卡!$K$8:$O$8),1)</f>
        <v>3</v>
      </c>
      <c r="AE671" s="42">
        <f>IFERROR(LOOKUP(T671,打分卡!$F$9:$I$9,打分卡!$K$9:$N$9),1)</f>
        <v>1</v>
      </c>
      <c r="AF671" s="42">
        <f>IFERROR(LOOKUP(Q671,打分卡!$F$10:$J$10,打分卡!$K$10:$O$10),1)</f>
        <v>2</v>
      </c>
      <c r="AG671" s="42">
        <f>IFERROR(LOOKUP(R671,打分卡!$F$11:$J$11,打分卡!$K$11:$O$11),1)</f>
        <v>3</v>
      </c>
      <c r="AH671" s="42">
        <f>IFERROR(LOOKUP(U671,打分卡!$F$12:$J$12,打分卡!$K$12:$O$12),1)</f>
        <v>5</v>
      </c>
      <c r="AI671" s="42">
        <f>IFERROR(LOOKUP(X671,打分卡!$F$13:$J$13,打分卡!$K$13:$O$13),1)</f>
        <v>2</v>
      </c>
      <c r="AJ671" s="42">
        <f>IFERROR(LOOKUP(Y671,打分卡!$F$14:$J$14,打分卡!$K$14:$O$14),1)</f>
        <v>4</v>
      </c>
      <c r="AK671" s="42">
        <f>IFERROR(LOOKUP(W671,打分卡!$F$15:$J$15,打分卡!$K$15:$O$15),1)</f>
        <v>2</v>
      </c>
      <c r="AL671" s="45">
        <f t="shared" si="81"/>
        <v>3</v>
      </c>
      <c r="AM671" s="42">
        <f>IFERROR(LOOKUP(Z671,打分卡!$F$17:$H$17,打分卡!$K$17:$M$17),1)</f>
        <v>3</v>
      </c>
      <c r="AN671" s="46">
        <f>(打分卡!$D$7*AC671+打分卡!$D$8*AD671+打分卡!$D$9*AE671)/5</f>
        <v>16.2</v>
      </c>
      <c r="AO671" s="46">
        <f>(打分卡!$D$10*AF671+打分卡!$D$11*AG671)/5</f>
        <v>10</v>
      </c>
      <c r="AP671" s="46">
        <f>(打分卡!$D$12*AH671+打分卡!$D$13*AI671+打分卡!$D$14*AJ671+打分卡!$D$15*AK671)/5</f>
        <v>21.6</v>
      </c>
      <c r="AQ671" s="46">
        <f>(打分卡!$D$16*AL671+打分卡!$D$17*AM671)/5</f>
        <v>6</v>
      </c>
      <c r="AR671" s="48">
        <f t="shared" si="82"/>
        <v>53.8</v>
      </c>
      <c r="AS671" s="45" t="str">
        <f t="shared" si="83"/>
        <v>腰部</v>
      </c>
      <c r="AT671" s="45" t="str">
        <f t="shared" si="84"/>
        <v/>
      </c>
      <c r="AU671" s="45" t="str">
        <f t="shared" si="85"/>
        <v>拉·主攻：主推AI外呼+大促作战包</v>
      </c>
    </row>
    <row r="672" ht="15" customHeight="1" spans="1:47">
      <c r="A672" s="30" t="s">
        <v>1993</v>
      </c>
      <c r="B672" s="31" t="s">
        <v>1994</v>
      </c>
      <c r="C672" s="31" t="s">
        <v>189</v>
      </c>
      <c r="D672" s="31" t="s">
        <v>196</v>
      </c>
      <c r="E672" s="31" t="s">
        <v>181</v>
      </c>
      <c r="F672" s="30" t="s">
        <v>427</v>
      </c>
      <c r="G672" s="31">
        <v>20</v>
      </c>
      <c r="H672" s="31" t="s">
        <v>301</v>
      </c>
      <c r="I672" s="31" t="s">
        <v>302</v>
      </c>
      <c r="J672" s="33">
        <v>15900</v>
      </c>
      <c r="K672" s="33">
        <v>8200</v>
      </c>
      <c r="L672" s="33">
        <v>1300</v>
      </c>
      <c r="M672" s="33">
        <f t="shared" si="80"/>
        <v>25400</v>
      </c>
      <c r="N672" s="34">
        <f t="shared" si="86"/>
        <v>0.000133163052390749</v>
      </c>
      <c r="O672" s="35">
        <f>SUM($M$2:M672)</f>
        <v>185249100</v>
      </c>
      <c r="P672" s="34">
        <f t="shared" si="87"/>
        <v>0.971194315300749</v>
      </c>
      <c r="Q672" s="37">
        <v>3.6</v>
      </c>
      <c r="R672" s="31">
        <v>1</v>
      </c>
      <c r="S672" s="31">
        <v>2</v>
      </c>
      <c r="T672" s="31">
        <v>1</v>
      </c>
      <c r="U672" s="37">
        <v>1.3</v>
      </c>
      <c r="V672" s="31">
        <v>6</v>
      </c>
      <c r="W672" s="31">
        <v>3</v>
      </c>
      <c r="X672" s="38">
        <v>111</v>
      </c>
      <c r="Y672" s="31">
        <v>3</v>
      </c>
      <c r="Z672" s="31">
        <v>1</v>
      </c>
      <c r="AA672" s="31" t="s">
        <v>185</v>
      </c>
      <c r="AB672" s="31" t="s">
        <v>220</v>
      </c>
      <c r="AC672" s="41">
        <f>IFERROR(LOOKUP(M672,打分卡!$F$7:$J$7,打分卡!$K$7:$O$7),1)</f>
        <v>2</v>
      </c>
      <c r="AD672" s="41">
        <f>IFERROR(LOOKUP(S672,打分卡!$F$8:$J$8,打分卡!$K$8:$O$8),1)</f>
        <v>2</v>
      </c>
      <c r="AE672" s="41">
        <f>IFERROR(LOOKUP(T672,打分卡!$F$9:$I$9,打分卡!$K$9:$N$9),1)</f>
        <v>2</v>
      </c>
      <c r="AF672" s="41">
        <f>IFERROR(LOOKUP(Q672,打分卡!$F$10:$J$10,打分卡!$K$10:$O$10),1)</f>
        <v>2</v>
      </c>
      <c r="AG672" s="41">
        <f>IFERROR(LOOKUP(R672,打分卡!$F$11:$J$11,打分卡!$K$11:$O$11),1)</f>
        <v>1</v>
      </c>
      <c r="AH672" s="41">
        <f>IFERROR(LOOKUP(U672,打分卡!$F$12:$J$12,打分卡!$K$12:$O$12),1)</f>
        <v>1</v>
      </c>
      <c r="AI672" s="41">
        <f>IFERROR(LOOKUP(X672,打分卡!$F$13:$J$13,打分卡!$K$13:$O$13),1)</f>
        <v>4</v>
      </c>
      <c r="AJ672" s="41">
        <f>IFERROR(LOOKUP(Y672,打分卡!$F$14:$J$14,打分卡!$K$14:$O$14),1)</f>
        <v>4</v>
      </c>
      <c r="AK672" s="41">
        <f>IFERROR(LOOKUP(W672,打分卡!$F$15:$J$15,打分卡!$K$15:$O$15),1)</f>
        <v>3</v>
      </c>
      <c r="AL672" s="43">
        <f t="shared" si="81"/>
        <v>3</v>
      </c>
      <c r="AM672" s="41">
        <f>IFERROR(LOOKUP(Z672,打分卡!$F$17:$H$17,打分卡!$K$17:$M$17),1)</f>
        <v>3</v>
      </c>
      <c r="AN672" s="44">
        <f>(打分卡!$D$7*AC672+打分卡!$D$8*AD672+打分卡!$D$9*AE672)/5</f>
        <v>16</v>
      </c>
      <c r="AO672" s="44">
        <f>(打分卡!$D$10*AF672+打分卡!$D$11*AG672)/5</f>
        <v>6</v>
      </c>
      <c r="AP672" s="44">
        <f>(打分卡!$D$12*AH672+打分卡!$D$13*AI672+打分卡!$D$14*AJ672+打分卡!$D$15*AK672)/5</f>
        <v>16</v>
      </c>
      <c r="AQ672" s="44">
        <f>(打分卡!$D$16*AL672+打分卡!$D$17*AM672)/5</f>
        <v>6</v>
      </c>
      <c r="AR672" s="47">
        <f t="shared" si="82"/>
        <v>44</v>
      </c>
      <c r="AS672" s="43" t="str">
        <f t="shared" si="83"/>
        <v>腰部</v>
      </c>
      <c r="AT672" s="43" t="str">
        <f t="shared" si="84"/>
        <v/>
      </c>
      <c r="AU672" s="43" t="str">
        <f t="shared" si="85"/>
        <v>拉·主攻：主推AI外呼+大促作战包</v>
      </c>
    </row>
    <row r="673" ht="15" customHeight="1" spans="1:47">
      <c r="A673" s="20" t="s">
        <v>1995</v>
      </c>
      <c r="B673" s="22" t="s">
        <v>1996</v>
      </c>
      <c r="C673" s="22" t="s">
        <v>209</v>
      </c>
      <c r="D673" s="22" t="s">
        <v>190</v>
      </c>
      <c r="E673" s="22" t="s">
        <v>197</v>
      </c>
      <c r="F673" s="20" t="s">
        <v>1997</v>
      </c>
      <c r="G673" s="22">
        <v>3</v>
      </c>
      <c r="H673" s="22" t="s">
        <v>642</v>
      </c>
      <c r="I673" s="22" t="s">
        <v>184</v>
      </c>
      <c r="J673" s="36">
        <v>15900</v>
      </c>
      <c r="K673" s="36">
        <v>7000</v>
      </c>
      <c r="L673" s="36">
        <v>2600</v>
      </c>
      <c r="M673" s="36">
        <f t="shared" si="80"/>
        <v>25500</v>
      </c>
      <c r="N673" s="34">
        <f t="shared" si="86"/>
        <v>0.000133687316376539</v>
      </c>
      <c r="O673" s="35">
        <f>SUM($M$2:M673)</f>
        <v>185274600</v>
      </c>
      <c r="P673" s="34">
        <f t="shared" si="87"/>
        <v>0.971328002617126</v>
      </c>
      <c r="Q673" s="39">
        <v>3.7</v>
      </c>
      <c r="R673" s="22">
        <v>6</v>
      </c>
      <c r="S673" s="22">
        <v>3</v>
      </c>
      <c r="T673" s="22">
        <v>2</v>
      </c>
      <c r="U673" s="39">
        <v>1197</v>
      </c>
      <c r="V673" s="22">
        <v>30</v>
      </c>
      <c r="W673" s="22">
        <v>24</v>
      </c>
      <c r="X673" s="40">
        <v>478</v>
      </c>
      <c r="Y673" s="22">
        <v>3</v>
      </c>
      <c r="Z673" s="22">
        <v>1</v>
      </c>
      <c r="AA673" s="22" t="s">
        <v>199</v>
      </c>
      <c r="AB673" s="22" t="s">
        <v>220</v>
      </c>
      <c r="AC673" s="42">
        <f>IFERROR(LOOKUP(M673,打分卡!$F$7:$J$7,打分卡!$K$7:$O$7),1)</f>
        <v>2</v>
      </c>
      <c r="AD673" s="42">
        <f>IFERROR(LOOKUP(S673,打分卡!$F$8:$J$8,打分卡!$K$8:$O$8),1)</f>
        <v>3</v>
      </c>
      <c r="AE673" s="42">
        <f>IFERROR(LOOKUP(T673,打分卡!$F$9:$I$9,打分卡!$K$9:$N$9),1)</f>
        <v>3</v>
      </c>
      <c r="AF673" s="42">
        <f>IFERROR(LOOKUP(Q673,打分卡!$F$10:$J$10,打分卡!$K$10:$O$10),1)</f>
        <v>2</v>
      </c>
      <c r="AG673" s="42">
        <f>IFERROR(LOOKUP(R673,打分卡!$F$11:$J$11,打分卡!$K$11:$O$11),1)</f>
        <v>3</v>
      </c>
      <c r="AH673" s="42">
        <f>IFERROR(LOOKUP(U673,打分卡!$F$12:$J$12,打分卡!$K$12:$O$12),1)</f>
        <v>5</v>
      </c>
      <c r="AI673" s="42">
        <f>IFERROR(LOOKUP(X673,打分卡!$F$13:$J$13,打分卡!$K$13:$O$13),1)</f>
        <v>5</v>
      </c>
      <c r="AJ673" s="42">
        <f>IFERROR(LOOKUP(Y673,打分卡!$F$14:$J$14,打分卡!$K$14:$O$14),1)</f>
        <v>4</v>
      </c>
      <c r="AK673" s="42">
        <f>IFERROR(LOOKUP(W673,打分卡!$F$15:$J$15,打分卡!$K$15:$O$15),1)</f>
        <v>5</v>
      </c>
      <c r="AL673" s="45">
        <f t="shared" si="81"/>
        <v>5</v>
      </c>
      <c r="AM673" s="42">
        <f>IFERROR(LOOKUP(Z673,打分卡!$F$17:$H$17,打分卡!$K$17:$M$17),1)</f>
        <v>3</v>
      </c>
      <c r="AN673" s="46">
        <f>(打分卡!$D$7*AC673+打分卡!$D$8*AD673+打分卡!$D$9*AE673)/5</f>
        <v>19</v>
      </c>
      <c r="AO673" s="46">
        <f>(打分卡!$D$10*AF673+打分卡!$D$11*AG673)/5</f>
        <v>10</v>
      </c>
      <c r="AP673" s="46">
        <f>(打分卡!$D$12*AH673+打分卡!$D$13*AI673+打分卡!$D$14*AJ673+打分卡!$D$15*AK673)/5</f>
        <v>28.8</v>
      </c>
      <c r="AQ673" s="46">
        <f>(打分卡!$D$16*AL673+打分卡!$D$17*AM673)/5</f>
        <v>8.4</v>
      </c>
      <c r="AR673" s="48">
        <f t="shared" si="82"/>
        <v>66.2</v>
      </c>
      <c r="AS673" s="45" t="str">
        <f t="shared" si="83"/>
        <v>腰部</v>
      </c>
      <c r="AT673" s="45" t="str">
        <f t="shared" si="84"/>
        <v/>
      </c>
      <c r="AU673" s="45" t="str">
        <f t="shared" si="85"/>
        <v>拉·主攻：主推AI外呼+大促作战包</v>
      </c>
    </row>
    <row r="674" ht="15" customHeight="1" spans="1:47">
      <c r="A674" s="30" t="s">
        <v>1998</v>
      </c>
      <c r="B674" s="31" t="s">
        <v>1999</v>
      </c>
      <c r="C674" s="31" t="s">
        <v>195</v>
      </c>
      <c r="D674" s="31" t="s">
        <v>227</v>
      </c>
      <c r="E674" s="31" t="s">
        <v>197</v>
      </c>
      <c r="F674" s="30" t="s">
        <v>2000</v>
      </c>
      <c r="G674" s="31">
        <v>8</v>
      </c>
      <c r="H674" s="31" t="s">
        <v>183</v>
      </c>
      <c r="I674" s="31" t="s">
        <v>302</v>
      </c>
      <c r="J674" s="33">
        <v>12300</v>
      </c>
      <c r="K674" s="33">
        <v>8000</v>
      </c>
      <c r="L674" s="33">
        <v>5000</v>
      </c>
      <c r="M674" s="33">
        <f t="shared" si="80"/>
        <v>25300</v>
      </c>
      <c r="N674" s="34">
        <f t="shared" si="86"/>
        <v>0.000132638788404958</v>
      </c>
      <c r="O674" s="35">
        <f>SUM($M$2:M674)</f>
        <v>185299900</v>
      </c>
      <c r="P674" s="34">
        <f t="shared" si="87"/>
        <v>0.971460641405531</v>
      </c>
      <c r="Q674" s="37">
        <v>2.5</v>
      </c>
      <c r="R674" s="31">
        <v>3</v>
      </c>
      <c r="S674" s="31">
        <v>2</v>
      </c>
      <c r="T674" s="31">
        <v>1</v>
      </c>
      <c r="U674" s="37">
        <v>9.6</v>
      </c>
      <c r="V674" s="31">
        <v>20</v>
      </c>
      <c r="W674" s="31">
        <v>4</v>
      </c>
      <c r="X674" s="38">
        <v>16</v>
      </c>
      <c r="Y674" s="31">
        <v>3</v>
      </c>
      <c r="Z674" s="31">
        <v>1</v>
      </c>
      <c r="AA674" s="31" t="s">
        <v>185</v>
      </c>
      <c r="AB674" s="31" t="s">
        <v>220</v>
      </c>
      <c r="AC674" s="41">
        <f>IFERROR(LOOKUP(M674,打分卡!$F$7:$J$7,打分卡!$K$7:$O$7),1)</f>
        <v>2</v>
      </c>
      <c r="AD674" s="41">
        <f>IFERROR(LOOKUP(S674,打分卡!$F$8:$J$8,打分卡!$K$8:$O$8),1)</f>
        <v>2</v>
      </c>
      <c r="AE674" s="41">
        <f>IFERROR(LOOKUP(T674,打分卡!$F$9:$I$9,打分卡!$K$9:$N$9),1)</f>
        <v>2</v>
      </c>
      <c r="AF674" s="41">
        <f>IFERROR(LOOKUP(Q674,打分卡!$F$10:$J$10,打分卡!$K$10:$O$10),1)</f>
        <v>2</v>
      </c>
      <c r="AG674" s="41">
        <f>IFERROR(LOOKUP(R674,打分卡!$F$11:$J$11,打分卡!$K$11:$O$11),1)</f>
        <v>2</v>
      </c>
      <c r="AH674" s="41">
        <f>IFERROR(LOOKUP(U674,打分卡!$F$12:$J$12,打分卡!$K$12:$O$12),1)</f>
        <v>2</v>
      </c>
      <c r="AI674" s="41">
        <f>IFERROR(LOOKUP(X674,打分卡!$F$13:$J$13,打分卡!$K$13:$O$13),1)</f>
        <v>1</v>
      </c>
      <c r="AJ674" s="41">
        <f>IFERROR(LOOKUP(Y674,打分卡!$F$14:$J$14,打分卡!$K$14:$O$14),1)</f>
        <v>4</v>
      </c>
      <c r="AK674" s="41">
        <f>IFERROR(LOOKUP(W674,打分卡!$F$15:$J$15,打分卡!$K$15:$O$15),1)</f>
        <v>3</v>
      </c>
      <c r="AL674" s="43">
        <f t="shared" si="81"/>
        <v>3</v>
      </c>
      <c r="AM674" s="41">
        <f>IFERROR(LOOKUP(Z674,打分卡!$F$17:$H$17,打分卡!$K$17:$M$17),1)</f>
        <v>3</v>
      </c>
      <c r="AN674" s="44">
        <f>(打分卡!$D$7*AC674+打分卡!$D$8*AD674+打分卡!$D$9*AE674)/5</f>
        <v>16</v>
      </c>
      <c r="AO674" s="44">
        <f>(打分卡!$D$10*AF674+打分卡!$D$11*AG674)/5</f>
        <v>8</v>
      </c>
      <c r="AP674" s="44">
        <f>(打分卡!$D$12*AH674+打分卡!$D$13*AI674+打分卡!$D$14*AJ674+打分卡!$D$15*AK674)/5</f>
        <v>13.6</v>
      </c>
      <c r="AQ674" s="44">
        <f>(打分卡!$D$16*AL674+打分卡!$D$17*AM674)/5</f>
        <v>6</v>
      </c>
      <c r="AR674" s="47">
        <f t="shared" si="82"/>
        <v>43.6</v>
      </c>
      <c r="AS674" s="43" t="str">
        <f t="shared" si="83"/>
        <v>腰部</v>
      </c>
      <c r="AT674" s="43" t="str">
        <f t="shared" si="84"/>
        <v/>
      </c>
      <c r="AU674" s="43" t="str">
        <f t="shared" si="85"/>
        <v>拉·主攻：主推AI外呼+大促作战包</v>
      </c>
    </row>
    <row r="675" ht="15" customHeight="1" spans="1:47">
      <c r="A675" s="20" t="s">
        <v>2001</v>
      </c>
      <c r="B675" s="22" t="s">
        <v>2002</v>
      </c>
      <c r="C675" s="22" t="s">
        <v>218</v>
      </c>
      <c r="D675" s="22" t="s">
        <v>196</v>
      </c>
      <c r="E675" s="22" t="s">
        <v>181</v>
      </c>
      <c r="F675" s="20" t="s">
        <v>2003</v>
      </c>
      <c r="G675" s="22">
        <v>7</v>
      </c>
      <c r="H675" s="22" t="s">
        <v>301</v>
      </c>
      <c r="I675" s="22" t="s">
        <v>302</v>
      </c>
      <c r="J675" s="36">
        <v>13500</v>
      </c>
      <c r="K675" s="36">
        <v>5400</v>
      </c>
      <c r="L675" s="36">
        <v>6400</v>
      </c>
      <c r="M675" s="36">
        <f t="shared" si="80"/>
        <v>25300</v>
      </c>
      <c r="N675" s="34">
        <f t="shared" si="86"/>
        <v>0.000132638788404958</v>
      </c>
      <c r="O675" s="35">
        <f>SUM($M$2:M675)</f>
        <v>185325200</v>
      </c>
      <c r="P675" s="34">
        <f t="shared" si="87"/>
        <v>0.971593280193936</v>
      </c>
      <c r="Q675" s="39">
        <v>3.3</v>
      </c>
      <c r="R675" s="22">
        <v>6</v>
      </c>
      <c r="S675" s="22">
        <v>2</v>
      </c>
      <c r="T675" s="22">
        <v>0</v>
      </c>
      <c r="U675" s="39">
        <v>20.9</v>
      </c>
      <c r="V675" s="22">
        <v>26</v>
      </c>
      <c r="W675" s="22">
        <v>4</v>
      </c>
      <c r="X675" s="40">
        <v>79</v>
      </c>
      <c r="Y675" s="22">
        <v>0</v>
      </c>
      <c r="Z675" s="22">
        <v>1</v>
      </c>
      <c r="AA675" s="22" t="s">
        <v>315</v>
      </c>
      <c r="AB675" s="22" t="s">
        <v>220</v>
      </c>
      <c r="AC675" s="42">
        <f>IFERROR(LOOKUP(M675,打分卡!$F$7:$J$7,打分卡!$K$7:$O$7),1)</f>
        <v>2</v>
      </c>
      <c r="AD675" s="42">
        <f>IFERROR(LOOKUP(S675,打分卡!$F$8:$J$8,打分卡!$K$8:$O$8),1)</f>
        <v>2</v>
      </c>
      <c r="AE675" s="42">
        <f>IFERROR(LOOKUP(T675,打分卡!$F$9:$I$9,打分卡!$K$9:$N$9),1)</f>
        <v>1</v>
      </c>
      <c r="AF675" s="42">
        <f>IFERROR(LOOKUP(Q675,打分卡!$F$10:$J$10,打分卡!$K$10:$O$10),1)</f>
        <v>2</v>
      </c>
      <c r="AG675" s="42">
        <f>IFERROR(LOOKUP(R675,打分卡!$F$11:$J$11,打分卡!$K$11:$O$11),1)</f>
        <v>3</v>
      </c>
      <c r="AH675" s="42">
        <f>IFERROR(LOOKUP(U675,打分卡!$F$12:$J$12,打分卡!$K$12:$O$12),1)</f>
        <v>3</v>
      </c>
      <c r="AI675" s="42">
        <f>IFERROR(LOOKUP(X675,打分卡!$F$13:$J$13,打分卡!$K$13:$O$13),1)</f>
        <v>3</v>
      </c>
      <c r="AJ675" s="42">
        <f>IFERROR(LOOKUP(Y675,打分卡!$F$14:$J$14,打分卡!$K$14:$O$14),1)</f>
        <v>1</v>
      </c>
      <c r="AK675" s="42">
        <f>IFERROR(LOOKUP(W675,打分卡!$F$15:$J$15,打分卡!$K$15:$O$15),1)</f>
        <v>3</v>
      </c>
      <c r="AL675" s="45">
        <f t="shared" si="81"/>
        <v>2</v>
      </c>
      <c r="AM675" s="42">
        <f>IFERROR(LOOKUP(Z675,打分卡!$F$17:$H$17,打分卡!$K$17:$M$17),1)</f>
        <v>3</v>
      </c>
      <c r="AN675" s="46">
        <f>(打分卡!$D$7*AC675+打分卡!$D$8*AD675+打分卡!$D$9*AE675)/5</f>
        <v>14.6</v>
      </c>
      <c r="AO675" s="46">
        <f>(打分卡!$D$10*AF675+打分卡!$D$11*AG675)/5</f>
        <v>10</v>
      </c>
      <c r="AP675" s="46">
        <f>(打分卡!$D$12*AH675+打分卡!$D$13*AI675+打分卡!$D$14*AJ675+打分卡!$D$15*AK675)/5</f>
        <v>15.6</v>
      </c>
      <c r="AQ675" s="46">
        <f>(打分卡!$D$16*AL675+打分卡!$D$17*AM675)/5</f>
        <v>4.8</v>
      </c>
      <c r="AR675" s="48">
        <f t="shared" si="82"/>
        <v>45</v>
      </c>
      <c r="AS675" s="45" t="str">
        <f t="shared" si="83"/>
        <v>腰部</v>
      </c>
      <c r="AT675" s="45" t="str">
        <f t="shared" si="84"/>
        <v/>
      </c>
      <c r="AU675" s="45" t="str">
        <f t="shared" si="85"/>
        <v>拉·主攻：主推AI外呼+大促作战包</v>
      </c>
    </row>
    <row r="676" ht="15" customHeight="1" spans="1:47">
      <c r="A676" s="30" t="s">
        <v>2004</v>
      </c>
      <c r="B676" s="31" t="s">
        <v>2005</v>
      </c>
      <c r="C676" s="31" t="s">
        <v>239</v>
      </c>
      <c r="D676" s="31" t="s">
        <v>190</v>
      </c>
      <c r="E676" s="31" t="s">
        <v>181</v>
      </c>
      <c r="F676" s="30" t="s">
        <v>781</v>
      </c>
      <c r="G676" s="31">
        <v>21</v>
      </c>
      <c r="H676" s="31" t="s">
        <v>301</v>
      </c>
      <c r="I676" s="31" t="s">
        <v>302</v>
      </c>
      <c r="J676" s="33">
        <v>11500</v>
      </c>
      <c r="K676" s="33">
        <v>7300</v>
      </c>
      <c r="L676" s="33">
        <v>6500</v>
      </c>
      <c r="M676" s="33">
        <f t="shared" si="80"/>
        <v>25300</v>
      </c>
      <c r="N676" s="34">
        <f t="shared" si="86"/>
        <v>0.000132638788404958</v>
      </c>
      <c r="O676" s="35">
        <f>SUM($M$2:M676)</f>
        <v>185350500</v>
      </c>
      <c r="P676" s="34">
        <f t="shared" si="87"/>
        <v>0.971725918982341</v>
      </c>
      <c r="Q676" s="37">
        <v>2.8</v>
      </c>
      <c r="R676" s="31">
        <v>8</v>
      </c>
      <c r="S676" s="31">
        <v>2</v>
      </c>
      <c r="T676" s="31">
        <v>2</v>
      </c>
      <c r="U676" s="37">
        <v>9.9</v>
      </c>
      <c r="V676" s="31">
        <v>11</v>
      </c>
      <c r="W676" s="31">
        <v>0</v>
      </c>
      <c r="X676" s="38">
        <v>30</v>
      </c>
      <c r="Y676" s="31">
        <v>1</v>
      </c>
      <c r="Z676" s="31">
        <v>0</v>
      </c>
      <c r="AA676" s="31" t="s">
        <v>185</v>
      </c>
      <c r="AB676" s="31" t="s">
        <v>220</v>
      </c>
      <c r="AC676" s="41">
        <f>IFERROR(LOOKUP(M676,打分卡!$F$7:$J$7,打分卡!$K$7:$O$7),1)</f>
        <v>2</v>
      </c>
      <c r="AD676" s="41">
        <f>IFERROR(LOOKUP(S676,打分卡!$F$8:$J$8,打分卡!$K$8:$O$8),1)</f>
        <v>2</v>
      </c>
      <c r="AE676" s="41">
        <f>IFERROR(LOOKUP(T676,打分卡!$F$9:$I$9,打分卡!$K$9:$N$9),1)</f>
        <v>3</v>
      </c>
      <c r="AF676" s="41">
        <f>IFERROR(LOOKUP(Q676,打分卡!$F$10:$J$10,打分卡!$K$10:$O$10),1)</f>
        <v>2</v>
      </c>
      <c r="AG676" s="41">
        <f>IFERROR(LOOKUP(R676,打分卡!$F$11:$J$11,打分卡!$K$11:$O$11),1)</f>
        <v>3</v>
      </c>
      <c r="AH676" s="41">
        <f>IFERROR(LOOKUP(U676,打分卡!$F$12:$J$12,打分卡!$K$12:$O$12),1)</f>
        <v>2</v>
      </c>
      <c r="AI676" s="41">
        <f>IFERROR(LOOKUP(X676,打分卡!$F$13:$J$13,打分卡!$K$13:$O$13),1)</f>
        <v>2</v>
      </c>
      <c r="AJ676" s="41">
        <f>IFERROR(LOOKUP(Y676,打分卡!$F$14:$J$14,打分卡!$K$14:$O$14),1)</f>
        <v>2</v>
      </c>
      <c r="AK676" s="41">
        <f>IFERROR(LOOKUP(W676,打分卡!$F$15:$J$15,打分卡!$K$15:$O$15),1)</f>
        <v>1</v>
      </c>
      <c r="AL676" s="43">
        <f t="shared" si="81"/>
        <v>3</v>
      </c>
      <c r="AM676" s="41">
        <f>IFERROR(LOOKUP(Z676,打分卡!$F$17:$H$17,打分卡!$K$17:$M$17),1)</f>
        <v>1</v>
      </c>
      <c r="AN676" s="44">
        <f>(打分卡!$D$7*AC676+打分卡!$D$8*AD676+打分卡!$D$9*AE676)/5</f>
        <v>17.4</v>
      </c>
      <c r="AO676" s="44">
        <f>(打分卡!$D$10*AF676+打分卡!$D$11*AG676)/5</f>
        <v>10</v>
      </c>
      <c r="AP676" s="44">
        <f>(打分卡!$D$12*AH676+打分卡!$D$13*AI676+打分卡!$D$14*AJ676+打分卡!$D$15*AK676)/5</f>
        <v>11.2</v>
      </c>
      <c r="AQ676" s="44">
        <f>(打分卡!$D$16*AL676+打分卡!$D$17*AM676)/5</f>
        <v>4.4</v>
      </c>
      <c r="AR676" s="47">
        <f t="shared" si="82"/>
        <v>43</v>
      </c>
      <c r="AS676" s="43" t="str">
        <f t="shared" si="83"/>
        <v>腰部</v>
      </c>
      <c r="AT676" s="43" t="str">
        <f t="shared" si="84"/>
        <v/>
      </c>
      <c r="AU676" s="43" t="str">
        <f t="shared" si="85"/>
        <v>拉·主攻：主推AI外呼+大促作战包</v>
      </c>
    </row>
    <row r="677" ht="15" customHeight="1" spans="1:47">
      <c r="A677" s="20" t="s">
        <v>2006</v>
      </c>
      <c r="B677" s="22" t="s">
        <v>2007</v>
      </c>
      <c r="C677" s="22" t="s">
        <v>218</v>
      </c>
      <c r="D677" s="22" t="s">
        <v>196</v>
      </c>
      <c r="E677" s="22" t="s">
        <v>181</v>
      </c>
      <c r="F677" s="20" t="s">
        <v>787</v>
      </c>
      <c r="G677" s="22">
        <v>4</v>
      </c>
      <c r="H677" s="22" t="s">
        <v>301</v>
      </c>
      <c r="I677" s="22" t="s">
        <v>302</v>
      </c>
      <c r="J677" s="36">
        <v>15500</v>
      </c>
      <c r="K677" s="36">
        <v>8300</v>
      </c>
      <c r="L677" s="36">
        <v>1300</v>
      </c>
      <c r="M677" s="36">
        <f t="shared" si="80"/>
        <v>25100</v>
      </c>
      <c r="N677" s="34">
        <f t="shared" si="86"/>
        <v>0.000131590260433378</v>
      </c>
      <c r="O677" s="35">
        <f>SUM($M$2:M677)</f>
        <v>185375600</v>
      </c>
      <c r="P677" s="34">
        <f t="shared" si="87"/>
        <v>0.971857509242774</v>
      </c>
      <c r="Q677" s="39">
        <v>3</v>
      </c>
      <c r="R677" s="22">
        <v>8</v>
      </c>
      <c r="S677" s="22">
        <v>1</v>
      </c>
      <c r="T677" s="22">
        <v>1</v>
      </c>
      <c r="U677" s="39">
        <v>1.2</v>
      </c>
      <c r="V677" s="22">
        <v>14</v>
      </c>
      <c r="W677" s="22">
        <v>0</v>
      </c>
      <c r="X677" s="40">
        <v>87</v>
      </c>
      <c r="Y677" s="22">
        <v>2</v>
      </c>
      <c r="Z677" s="22">
        <v>0</v>
      </c>
      <c r="AA677" s="22" t="s">
        <v>315</v>
      </c>
      <c r="AB677" s="22" t="s">
        <v>220</v>
      </c>
      <c r="AC677" s="42">
        <f>IFERROR(LOOKUP(M677,打分卡!$F$7:$J$7,打分卡!$K$7:$O$7),1)</f>
        <v>2</v>
      </c>
      <c r="AD677" s="42">
        <f>IFERROR(LOOKUP(S677,打分卡!$F$8:$J$8,打分卡!$K$8:$O$8),1)</f>
        <v>1</v>
      </c>
      <c r="AE677" s="42">
        <f>IFERROR(LOOKUP(T677,打分卡!$F$9:$I$9,打分卡!$K$9:$N$9),1)</f>
        <v>2</v>
      </c>
      <c r="AF677" s="42">
        <f>IFERROR(LOOKUP(Q677,打分卡!$F$10:$J$10,打分卡!$K$10:$O$10),1)</f>
        <v>2</v>
      </c>
      <c r="AG677" s="42">
        <f>IFERROR(LOOKUP(R677,打分卡!$F$11:$J$11,打分卡!$K$11:$O$11),1)</f>
        <v>3</v>
      </c>
      <c r="AH677" s="42">
        <f>IFERROR(LOOKUP(U677,打分卡!$F$12:$J$12,打分卡!$K$12:$O$12),1)</f>
        <v>1</v>
      </c>
      <c r="AI677" s="42">
        <f>IFERROR(LOOKUP(X677,打分卡!$F$13:$J$13,打分卡!$K$13:$O$13),1)</f>
        <v>4</v>
      </c>
      <c r="AJ677" s="42">
        <f>IFERROR(LOOKUP(Y677,打分卡!$F$14:$J$14,打分卡!$K$14:$O$14),1)</f>
        <v>3</v>
      </c>
      <c r="AK677" s="42">
        <f>IFERROR(LOOKUP(W677,打分卡!$F$15:$J$15,打分卡!$K$15:$O$15),1)</f>
        <v>1</v>
      </c>
      <c r="AL677" s="45">
        <f t="shared" si="81"/>
        <v>2</v>
      </c>
      <c r="AM677" s="42">
        <f>IFERROR(LOOKUP(Z677,打分卡!$F$17:$H$17,打分卡!$K$17:$M$17),1)</f>
        <v>1</v>
      </c>
      <c r="AN677" s="46">
        <f>(打分卡!$D$7*AC677+打分卡!$D$8*AD677+打分卡!$D$9*AE677)/5</f>
        <v>14.4</v>
      </c>
      <c r="AO677" s="46">
        <f>(打分卡!$D$10*AF677+打分卡!$D$11*AG677)/5</f>
        <v>10</v>
      </c>
      <c r="AP677" s="46">
        <f>(打分卡!$D$12*AH677+打分卡!$D$13*AI677+打分卡!$D$14*AJ677+打分卡!$D$15*AK677)/5</f>
        <v>13.2</v>
      </c>
      <c r="AQ677" s="46">
        <f>(打分卡!$D$16*AL677+打分卡!$D$17*AM677)/5</f>
        <v>3.2</v>
      </c>
      <c r="AR677" s="48">
        <f t="shared" si="82"/>
        <v>40.8</v>
      </c>
      <c r="AS677" s="45" t="str">
        <f t="shared" si="83"/>
        <v>腰部</v>
      </c>
      <c r="AT677" s="45" t="str">
        <f t="shared" si="84"/>
        <v/>
      </c>
      <c r="AU677" s="45" t="str">
        <f t="shared" si="85"/>
        <v>拉·主攻：主推AI外呼+大促作战包</v>
      </c>
    </row>
    <row r="678" ht="15" customHeight="1" spans="1:47">
      <c r="A678" s="30" t="s">
        <v>2008</v>
      </c>
      <c r="B678" s="31" t="s">
        <v>2009</v>
      </c>
      <c r="C678" s="31" t="s">
        <v>218</v>
      </c>
      <c r="D678" s="31" t="s">
        <v>227</v>
      </c>
      <c r="E678" s="31" t="s">
        <v>197</v>
      </c>
      <c r="F678" s="30" t="s">
        <v>2010</v>
      </c>
      <c r="G678" s="31">
        <v>8</v>
      </c>
      <c r="H678" s="31" t="s">
        <v>301</v>
      </c>
      <c r="I678" s="31" t="s">
        <v>184</v>
      </c>
      <c r="J678" s="33">
        <v>13900</v>
      </c>
      <c r="K678" s="33">
        <v>5900</v>
      </c>
      <c r="L678" s="33">
        <v>5200</v>
      </c>
      <c r="M678" s="33">
        <f t="shared" si="80"/>
        <v>25000</v>
      </c>
      <c r="N678" s="34">
        <f t="shared" si="86"/>
        <v>0.000131065996447587</v>
      </c>
      <c r="O678" s="35">
        <f>SUM($M$2:M678)</f>
        <v>185400600</v>
      </c>
      <c r="P678" s="34">
        <f t="shared" si="87"/>
        <v>0.971988575239222</v>
      </c>
      <c r="Q678" s="37">
        <v>1.9</v>
      </c>
      <c r="R678" s="31">
        <v>7</v>
      </c>
      <c r="S678" s="31">
        <v>1</v>
      </c>
      <c r="T678" s="31">
        <v>0</v>
      </c>
      <c r="U678" s="37">
        <v>6.7</v>
      </c>
      <c r="V678" s="31">
        <v>6</v>
      </c>
      <c r="W678" s="31">
        <v>3</v>
      </c>
      <c r="X678" s="38">
        <v>34</v>
      </c>
      <c r="Y678" s="31">
        <v>3</v>
      </c>
      <c r="Z678" s="31">
        <v>0</v>
      </c>
      <c r="AA678" s="31" t="s">
        <v>185</v>
      </c>
      <c r="AB678" s="31" t="s">
        <v>220</v>
      </c>
      <c r="AC678" s="41">
        <f>IFERROR(LOOKUP(M678,打分卡!$F$7:$J$7,打分卡!$K$7:$O$7),1)</f>
        <v>2</v>
      </c>
      <c r="AD678" s="41">
        <f>IFERROR(LOOKUP(S678,打分卡!$F$8:$J$8,打分卡!$K$8:$O$8),1)</f>
        <v>1</v>
      </c>
      <c r="AE678" s="41">
        <f>IFERROR(LOOKUP(T678,打分卡!$F$9:$I$9,打分卡!$K$9:$N$9),1)</f>
        <v>1</v>
      </c>
      <c r="AF678" s="41">
        <f>IFERROR(LOOKUP(Q678,打分卡!$F$10:$J$10,打分卡!$K$10:$O$10),1)</f>
        <v>1</v>
      </c>
      <c r="AG678" s="41">
        <f>IFERROR(LOOKUP(R678,打分卡!$F$11:$J$11,打分卡!$K$11:$O$11),1)</f>
        <v>3</v>
      </c>
      <c r="AH678" s="41">
        <f>IFERROR(LOOKUP(U678,打分卡!$F$12:$J$12,打分卡!$K$12:$O$12),1)</f>
        <v>2</v>
      </c>
      <c r="AI678" s="41">
        <f>IFERROR(LOOKUP(X678,打分卡!$F$13:$J$13,打分卡!$K$13:$O$13),1)</f>
        <v>2</v>
      </c>
      <c r="AJ678" s="41">
        <f>IFERROR(LOOKUP(Y678,打分卡!$F$14:$J$14,打分卡!$K$14:$O$14),1)</f>
        <v>4</v>
      </c>
      <c r="AK678" s="41">
        <f>IFERROR(LOOKUP(W678,打分卡!$F$15:$J$15,打分卡!$K$15:$O$15),1)</f>
        <v>3</v>
      </c>
      <c r="AL678" s="43">
        <f t="shared" si="81"/>
        <v>3</v>
      </c>
      <c r="AM678" s="41">
        <f>IFERROR(LOOKUP(Z678,打分卡!$F$17:$H$17,打分卡!$K$17:$M$17),1)</f>
        <v>1</v>
      </c>
      <c r="AN678" s="44">
        <f>(打分卡!$D$7*AC678+打分卡!$D$8*AD678+打分卡!$D$9*AE678)/5</f>
        <v>13</v>
      </c>
      <c r="AO678" s="44">
        <f>(打分卡!$D$10*AF678+打分卡!$D$11*AG678)/5</f>
        <v>8</v>
      </c>
      <c r="AP678" s="44">
        <f>(打分卡!$D$12*AH678+打分卡!$D$13*AI678+打分卡!$D$14*AJ678+打分卡!$D$15*AK678)/5</f>
        <v>15.2</v>
      </c>
      <c r="AQ678" s="44">
        <f>(打分卡!$D$16*AL678+打分卡!$D$17*AM678)/5</f>
        <v>4.4</v>
      </c>
      <c r="AR678" s="47">
        <f t="shared" si="82"/>
        <v>40.6</v>
      </c>
      <c r="AS678" s="43" t="str">
        <f t="shared" si="83"/>
        <v>腰部</v>
      </c>
      <c r="AT678" s="43" t="str">
        <f t="shared" si="84"/>
        <v/>
      </c>
      <c r="AU678" s="43" t="str">
        <f t="shared" si="85"/>
        <v>拉·主攻：主推AI外呼+大促作战包</v>
      </c>
    </row>
    <row r="679" ht="15" customHeight="1" spans="1:47">
      <c r="A679" s="20" t="s">
        <v>2011</v>
      </c>
      <c r="B679" s="22" t="s">
        <v>2012</v>
      </c>
      <c r="C679" s="22" t="s">
        <v>223</v>
      </c>
      <c r="D679" s="22" t="s">
        <v>202</v>
      </c>
      <c r="E679" s="22" t="s">
        <v>181</v>
      </c>
      <c r="F679" s="20" t="s">
        <v>1154</v>
      </c>
      <c r="G679" s="22">
        <v>6</v>
      </c>
      <c r="H679" s="22" t="s">
        <v>301</v>
      </c>
      <c r="I679" s="22" t="s">
        <v>184</v>
      </c>
      <c r="J679" s="36">
        <v>15600</v>
      </c>
      <c r="K679" s="36">
        <v>8200</v>
      </c>
      <c r="L679" s="36">
        <v>1300</v>
      </c>
      <c r="M679" s="36">
        <f t="shared" si="80"/>
        <v>25100</v>
      </c>
      <c r="N679" s="34">
        <f t="shared" si="86"/>
        <v>0.000131590260433378</v>
      </c>
      <c r="O679" s="35">
        <f>SUM($M$2:M679)</f>
        <v>185425700</v>
      </c>
      <c r="P679" s="34">
        <f t="shared" si="87"/>
        <v>0.972120165499655</v>
      </c>
      <c r="Q679" s="39">
        <v>2.1</v>
      </c>
      <c r="R679" s="22">
        <v>7</v>
      </c>
      <c r="S679" s="22">
        <v>1</v>
      </c>
      <c r="T679" s="22">
        <v>2</v>
      </c>
      <c r="U679" s="39">
        <v>43.7</v>
      </c>
      <c r="V679" s="22">
        <v>17</v>
      </c>
      <c r="W679" s="22">
        <v>0</v>
      </c>
      <c r="X679" s="40">
        <v>26</v>
      </c>
      <c r="Y679" s="22">
        <v>3</v>
      </c>
      <c r="Z679" s="22">
        <v>0</v>
      </c>
      <c r="AA679" s="22" t="s">
        <v>185</v>
      </c>
      <c r="AB679" s="22" t="s">
        <v>220</v>
      </c>
      <c r="AC679" s="42">
        <f>IFERROR(LOOKUP(M679,打分卡!$F$7:$J$7,打分卡!$K$7:$O$7),1)</f>
        <v>2</v>
      </c>
      <c r="AD679" s="42">
        <f>IFERROR(LOOKUP(S679,打分卡!$F$8:$J$8,打分卡!$K$8:$O$8),1)</f>
        <v>1</v>
      </c>
      <c r="AE679" s="42">
        <f>IFERROR(LOOKUP(T679,打分卡!$F$9:$I$9,打分卡!$K$9:$N$9),1)</f>
        <v>3</v>
      </c>
      <c r="AF679" s="42">
        <f>IFERROR(LOOKUP(Q679,打分卡!$F$10:$J$10,打分卡!$K$10:$O$10),1)</f>
        <v>1</v>
      </c>
      <c r="AG679" s="42">
        <f>IFERROR(LOOKUP(R679,打分卡!$F$11:$J$11,打分卡!$K$11:$O$11),1)</f>
        <v>3</v>
      </c>
      <c r="AH679" s="42">
        <f>IFERROR(LOOKUP(U679,打分卡!$F$12:$J$12,打分卡!$K$12:$O$12),1)</f>
        <v>4</v>
      </c>
      <c r="AI679" s="42">
        <f>IFERROR(LOOKUP(X679,打分卡!$F$13:$J$13,打分卡!$K$13:$O$13),1)</f>
        <v>2</v>
      </c>
      <c r="AJ679" s="42">
        <f>IFERROR(LOOKUP(Y679,打分卡!$F$14:$J$14,打分卡!$K$14:$O$14),1)</f>
        <v>4</v>
      </c>
      <c r="AK679" s="42">
        <f>IFERROR(LOOKUP(W679,打分卡!$F$15:$J$15,打分卡!$K$15:$O$15),1)</f>
        <v>1</v>
      </c>
      <c r="AL679" s="45">
        <f t="shared" si="81"/>
        <v>3</v>
      </c>
      <c r="AM679" s="42">
        <f>IFERROR(LOOKUP(Z679,打分卡!$F$17:$H$17,打分卡!$K$17:$M$17),1)</f>
        <v>1</v>
      </c>
      <c r="AN679" s="46">
        <f>(打分卡!$D$7*AC679+打分卡!$D$8*AD679+打分卡!$D$9*AE679)/5</f>
        <v>15.8</v>
      </c>
      <c r="AO679" s="46">
        <f>(打分卡!$D$10*AF679+打分卡!$D$11*AG679)/5</f>
        <v>8</v>
      </c>
      <c r="AP679" s="46">
        <f>(打分卡!$D$12*AH679+打分卡!$D$13*AI679+打分卡!$D$14*AJ679+打分卡!$D$15*AK679)/5</f>
        <v>18.4</v>
      </c>
      <c r="AQ679" s="46">
        <f>(打分卡!$D$16*AL679+打分卡!$D$17*AM679)/5</f>
        <v>4.4</v>
      </c>
      <c r="AR679" s="48">
        <f t="shared" si="82"/>
        <v>46.6</v>
      </c>
      <c r="AS679" s="45" t="str">
        <f t="shared" si="83"/>
        <v>腰部</v>
      </c>
      <c r="AT679" s="45" t="str">
        <f t="shared" si="84"/>
        <v/>
      </c>
      <c r="AU679" s="45" t="str">
        <f t="shared" si="85"/>
        <v>拉·主攻：主推AI外呼+大促作战包</v>
      </c>
    </row>
    <row r="680" ht="15" customHeight="1" spans="1:47">
      <c r="A680" s="30" t="s">
        <v>2013</v>
      </c>
      <c r="B680" s="31" t="s">
        <v>2014</v>
      </c>
      <c r="C680" s="31" t="s">
        <v>189</v>
      </c>
      <c r="D680" s="31" t="s">
        <v>180</v>
      </c>
      <c r="E680" s="31" t="s">
        <v>181</v>
      </c>
      <c r="F680" s="30" t="s">
        <v>2015</v>
      </c>
      <c r="G680" s="31">
        <v>18</v>
      </c>
      <c r="H680" s="31" t="s">
        <v>301</v>
      </c>
      <c r="I680" s="31" t="s">
        <v>302</v>
      </c>
      <c r="J680" s="33">
        <v>15600</v>
      </c>
      <c r="K680" s="33">
        <v>7300</v>
      </c>
      <c r="L680" s="33">
        <v>2000</v>
      </c>
      <c r="M680" s="33">
        <f t="shared" si="80"/>
        <v>24900</v>
      </c>
      <c r="N680" s="34">
        <f t="shared" si="86"/>
        <v>0.000130541732461797</v>
      </c>
      <c r="O680" s="35">
        <f>SUM($M$2:M680)</f>
        <v>185450600</v>
      </c>
      <c r="P680" s="34">
        <f t="shared" si="87"/>
        <v>0.972250707232117</v>
      </c>
      <c r="Q680" s="37">
        <v>3.5</v>
      </c>
      <c r="R680" s="31">
        <v>2</v>
      </c>
      <c r="S680" s="31">
        <v>1</v>
      </c>
      <c r="T680" s="31">
        <v>1</v>
      </c>
      <c r="U680" s="37">
        <v>11.8</v>
      </c>
      <c r="V680" s="31">
        <v>28</v>
      </c>
      <c r="W680" s="31">
        <v>3</v>
      </c>
      <c r="X680" s="38">
        <v>23</v>
      </c>
      <c r="Y680" s="31">
        <v>3</v>
      </c>
      <c r="Z680" s="31">
        <v>0</v>
      </c>
      <c r="AA680" s="31" t="s">
        <v>185</v>
      </c>
      <c r="AB680" s="31" t="s">
        <v>220</v>
      </c>
      <c r="AC680" s="41">
        <f>IFERROR(LOOKUP(M680,打分卡!$F$7:$J$7,打分卡!$K$7:$O$7),1)</f>
        <v>2</v>
      </c>
      <c r="AD680" s="41">
        <f>IFERROR(LOOKUP(S680,打分卡!$F$8:$J$8,打分卡!$K$8:$O$8),1)</f>
        <v>1</v>
      </c>
      <c r="AE680" s="41">
        <f>IFERROR(LOOKUP(T680,打分卡!$F$9:$I$9,打分卡!$K$9:$N$9),1)</f>
        <v>2</v>
      </c>
      <c r="AF680" s="41">
        <f>IFERROR(LOOKUP(Q680,打分卡!$F$10:$J$10,打分卡!$K$10:$O$10),1)</f>
        <v>2</v>
      </c>
      <c r="AG680" s="41">
        <f>IFERROR(LOOKUP(R680,打分卡!$F$11:$J$11,打分卡!$K$11:$O$11),1)</f>
        <v>1</v>
      </c>
      <c r="AH680" s="41">
        <f>IFERROR(LOOKUP(U680,打分卡!$F$12:$J$12,打分卡!$K$12:$O$12),1)</f>
        <v>3</v>
      </c>
      <c r="AI680" s="41">
        <f>IFERROR(LOOKUP(X680,打分卡!$F$13:$J$13,打分卡!$K$13:$O$13),1)</f>
        <v>2</v>
      </c>
      <c r="AJ680" s="41">
        <f>IFERROR(LOOKUP(Y680,打分卡!$F$14:$J$14,打分卡!$K$14:$O$14),1)</f>
        <v>4</v>
      </c>
      <c r="AK680" s="41">
        <f>IFERROR(LOOKUP(W680,打分卡!$F$15:$J$15,打分卡!$K$15:$O$15),1)</f>
        <v>3</v>
      </c>
      <c r="AL680" s="43">
        <f t="shared" si="81"/>
        <v>3</v>
      </c>
      <c r="AM680" s="41">
        <f>IFERROR(LOOKUP(Z680,打分卡!$F$17:$H$17,打分卡!$K$17:$M$17),1)</f>
        <v>1</v>
      </c>
      <c r="AN680" s="44">
        <f>(打分卡!$D$7*AC680+打分卡!$D$8*AD680+打分卡!$D$9*AE680)/5</f>
        <v>14.4</v>
      </c>
      <c r="AO680" s="44">
        <f>(打分卡!$D$10*AF680+打分卡!$D$11*AG680)/5</f>
        <v>6</v>
      </c>
      <c r="AP680" s="44">
        <f>(打分卡!$D$12*AH680+打分卡!$D$13*AI680+打分卡!$D$14*AJ680+打分卡!$D$15*AK680)/5</f>
        <v>17.6</v>
      </c>
      <c r="AQ680" s="44">
        <f>(打分卡!$D$16*AL680+打分卡!$D$17*AM680)/5</f>
        <v>4.4</v>
      </c>
      <c r="AR680" s="47">
        <f t="shared" si="82"/>
        <v>42.4</v>
      </c>
      <c r="AS680" s="43" t="str">
        <f t="shared" si="83"/>
        <v>腰部</v>
      </c>
      <c r="AT680" s="43" t="str">
        <f t="shared" si="84"/>
        <v/>
      </c>
      <c r="AU680" s="43" t="str">
        <f t="shared" si="85"/>
        <v>拉·主攻：主推AI外呼+大促作战包</v>
      </c>
    </row>
    <row r="681" ht="15" customHeight="1" spans="1:47">
      <c r="A681" s="20" t="s">
        <v>2016</v>
      </c>
      <c r="B681" s="22" t="s">
        <v>2017</v>
      </c>
      <c r="C681" s="22" t="s">
        <v>223</v>
      </c>
      <c r="D681" s="22" t="s">
        <v>190</v>
      </c>
      <c r="E681" s="22" t="s">
        <v>197</v>
      </c>
      <c r="F681" s="20" t="s">
        <v>1736</v>
      </c>
      <c r="G681" s="22">
        <v>13</v>
      </c>
      <c r="H681" s="22" t="s">
        <v>301</v>
      </c>
      <c r="I681" s="22" t="s">
        <v>302</v>
      </c>
      <c r="J681" s="36">
        <v>12900</v>
      </c>
      <c r="K681" s="36">
        <v>5400</v>
      </c>
      <c r="L681" s="36">
        <v>6600</v>
      </c>
      <c r="M681" s="36">
        <f t="shared" si="80"/>
        <v>24900</v>
      </c>
      <c r="N681" s="34">
        <f t="shared" si="86"/>
        <v>0.000130541732461797</v>
      </c>
      <c r="O681" s="35">
        <f>SUM($M$2:M681)</f>
        <v>185475500</v>
      </c>
      <c r="P681" s="34">
        <f t="shared" si="87"/>
        <v>0.972381248964579</v>
      </c>
      <c r="Q681" s="39">
        <v>2.4</v>
      </c>
      <c r="R681" s="22">
        <v>5</v>
      </c>
      <c r="S681" s="22">
        <v>3</v>
      </c>
      <c r="T681" s="22">
        <v>1</v>
      </c>
      <c r="U681" s="39">
        <v>2</v>
      </c>
      <c r="V681" s="22">
        <v>12</v>
      </c>
      <c r="W681" s="22">
        <v>4</v>
      </c>
      <c r="X681" s="40">
        <v>100</v>
      </c>
      <c r="Y681" s="22">
        <v>1</v>
      </c>
      <c r="Z681" s="22">
        <v>1</v>
      </c>
      <c r="AA681" s="22" t="s">
        <v>199</v>
      </c>
      <c r="AB681" s="22" t="s">
        <v>220</v>
      </c>
      <c r="AC681" s="42">
        <f>IFERROR(LOOKUP(M681,打分卡!$F$7:$J$7,打分卡!$K$7:$O$7),1)</f>
        <v>2</v>
      </c>
      <c r="AD681" s="42">
        <f>IFERROR(LOOKUP(S681,打分卡!$F$8:$J$8,打分卡!$K$8:$O$8),1)</f>
        <v>3</v>
      </c>
      <c r="AE681" s="42">
        <f>IFERROR(LOOKUP(T681,打分卡!$F$9:$I$9,打分卡!$K$9:$N$9),1)</f>
        <v>2</v>
      </c>
      <c r="AF681" s="42">
        <f>IFERROR(LOOKUP(Q681,打分卡!$F$10:$J$10,打分卡!$K$10:$O$10),1)</f>
        <v>1</v>
      </c>
      <c r="AG681" s="42">
        <f>IFERROR(LOOKUP(R681,打分卡!$F$11:$J$11,打分卡!$K$11:$O$11),1)</f>
        <v>3</v>
      </c>
      <c r="AH681" s="42">
        <f>IFERROR(LOOKUP(U681,打分卡!$F$12:$J$12,打分卡!$K$12:$O$12),1)</f>
        <v>1</v>
      </c>
      <c r="AI681" s="42">
        <f>IFERROR(LOOKUP(X681,打分卡!$F$13:$J$13,打分卡!$K$13:$O$13),1)</f>
        <v>4</v>
      </c>
      <c r="AJ681" s="42">
        <f>IFERROR(LOOKUP(Y681,打分卡!$F$14:$J$14,打分卡!$K$14:$O$14),1)</f>
        <v>2</v>
      </c>
      <c r="AK681" s="42">
        <f>IFERROR(LOOKUP(W681,打分卡!$F$15:$J$15,打分卡!$K$15:$O$15),1)</f>
        <v>3</v>
      </c>
      <c r="AL681" s="45">
        <f t="shared" si="81"/>
        <v>5</v>
      </c>
      <c r="AM681" s="42">
        <f>IFERROR(LOOKUP(Z681,打分卡!$F$17:$H$17,打分卡!$K$17:$M$17),1)</f>
        <v>3</v>
      </c>
      <c r="AN681" s="46">
        <f>(打分卡!$D$7*AC681+打分卡!$D$8*AD681+打分卡!$D$9*AE681)/5</f>
        <v>17.6</v>
      </c>
      <c r="AO681" s="46">
        <f>(打分卡!$D$10*AF681+打分卡!$D$11*AG681)/5</f>
        <v>8</v>
      </c>
      <c r="AP681" s="46">
        <f>(打分卡!$D$12*AH681+打分卡!$D$13*AI681+打分卡!$D$14*AJ681+打分卡!$D$15*AK681)/5</f>
        <v>13.6</v>
      </c>
      <c r="AQ681" s="46">
        <f>(打分卡!$D$16*AL681+打分卡!$D$17*AM681)/5</f>
        <v>8.4</v>
      </c>
      <c r="AR681" s="48">
        <f t="shared" si="82"/>
        <v>47.6</v>
      </c>
      <c r="AS681" s="45" t="str">
        <f t="shared" si="83"/>
        <v>腰部</v>
      </c>
      <c r="AT681" s="45" t="str">
        <f t="shared" si="84"/>
        <v/>
      </c>
      <c r="AU681" s="45" t="str">
        <f t="shared" si="85"/>
        <v>拉·主攻：主推AI外呼+大促作战包</v>
      </c>
    </row>
    <row r="682" ht="15" customHeight="1" spans="1:47">
      <c r="A682" s="30" t="s">
        <v>2018</v>
      </c>
      <c r="B682" s="31" t="s">
        <v>2019</v>
      </c>
      <c r="C682" s="31" t="s">
        <v>179</v>
      </c>
      <c r="D682" s="31" t="s">
        <v>196</v>
      </c>
      <c r="E682" s="31" t="s">
        <v>181</v>
      </c>
      <c r="F682" s="30" t="s">
        <v>1016</v>
      </c>
      <c r="G682" s="31">
        <v>19</v>
      </c>
      <c r="H682" s="31" t="s">
        <v>183</v>
      </c>
      <c r="I682" s="31" t="s">
        <v>302</v>
      </c>
      <c r="J682" s="33">
        <v>12500</v>
      </c>
      <c r="K682" s="33">
        <v>7100</v>
      </c>
      <c r="L682" s="33">
        <v>4800</v>
      </c>
      <c r="M682" s="33">
        <f t="shared" si="80"/>
        <v>24400</v>
      </c>
      <c r="N682" s="34">
        <f t="shared" si="86"/>
        <v>0.000127920412532845</v>
      </c>
      <c r="O682" s="35">
        <f>SUM($M$2:M682)</f>
        <v>185499900</v>
      </c>
      <c r="P682" s="34">
        <f t="shared" si="87"/>
        <v>0.972509169377112</v>
      </c>
      <c r="Q682" s="37">
        <v>3.3</v>
      </c>
      <c r="R682" s="31">
        <v>4</v>
      </c>
      <c r="S682" s="31">
        <v>3</v>
      </c>
      <c r="T682" s="31">
        <v>1</v>
      </c>
      <c r="U682" s="37">
        <v>8.8</v>
      </c>
      <c r="V682" s="31">
        <v>16</v>
      </c>
      <c r="W682" s="31">
        <v>0</v>
      </c>
      <c r="X682" s="38">
        <v>16</v>
      </c>
      <c r="Y682" s="31">
        <v>3</v>
      </c>
      <c r="Z682" s="31">
        <v>1</v>
      </c>
      <c r="AA682" s="31" t="s">
        <v>185</v>
      </c>
      <c r="AB682" s="31" t="s">
        <v>220</v>
      </c>
      <c r="AC682" s="41">
        <f>IFERROR(LOOKUP(M682,打分卡!$F$7:$J$7,打分卡!$K$7:$O$7),1)</f>
        <v>2</v>
      </c>
      <c r="AD682" s="41">
        <f>IFERROR(LOOKUP(S682,打分卡!$F$8:$J$8,打分卡!$K$8:$O$8),1)</f>
        <v>3</v>
      </c>
      <c r="AE682" s="41">
        <f>IFERROR(LOOKUP(T682,打分卡!$F$9:$I$9,打分卡!$K$9:$N$9),1)</f>
        <v>2</v>
      </c>
      <c r="AF682" s="41">
        <f>IFERROR(LOOKUP(Q682,打分卡!$F$10:$J$10,打分卡!$K$10:$O$10),1)</f>
        <v>2</v>
      </c>
      <c r="AG682" s="41">
        <f>IFERROR(LOOKUP(R682,打分卡!$F$11:$J$11,打分卡!$K$11:$O$11),1)</f>
        <v>2</v>
      </c>
      <c r="AH682" s="41">
        <f>IFERROR(LOOKUP(U682,打分卡!$F$12:$J$12,打分卡!$K$12:$O$12),1)</f>
        <v>2</v>
      </c>
      <c r="AI682" s="41">
        <f>IFERROR(LOOKUP(X682,打分卡!$F$13:$J$13,打分卡!$K$13:$O$13),1)</f>
        <v>1</v>
      </c>
      <c r="AJ682" s="41">
        <f>IFERROR(LOOKUP(Y682,打分卡!$F$14:$J$14,打分卡!$K$14:$O$14),1)</f>
        <v>4</v>
      </c>
      <c r="AK682" s="41">
        <f>IFERROR(LOOKUP(W682,打分卡!$F$15:$J$15,打分卡!$K$15:$O$15),1)</f>
        <v>1</v>
      </c>
      <c r="AL682" s="43">
        <f t="shared" si="81"/>
        <v>3</v>
      </c>
      <c r="AM682" s="41">
        <f>IFERROR(LOOKUP(Z682,打分卡!$F$17:$H$17,打分卡!$K$17:$M$17),1)</f>
        <v>3</v>
      </c>
      <c r="AN682" s="44">
        <f>(打分卡!$D$7*AC682+打分卡!$D$8*AD682+打分卡!$D$9*AE682)/5</f>
        <v>17.6</v>
      </c>
      <c r="AO682" s="44">
        <f>(打分卡!$D$10*AF682+打分卡!$D$11*AG682)/5</f>
        <v>8</v>
      </c>
      <c r="AP682" s="44">
        <f>(打分卡!$D$12*AH682+打分卡!$D$13*AI682+打分卡!$D$14*AJ682+打分卡!$D$15*AK682)/5</f>
        <v>12</v>
      </c>
      <c r="AQ682" s="44">
        <f>(打分卡!$D$16*AL682+打分卡!$D$17*AM682)/5</f>
        <v>6</v>
      </c>
      <c r="AR682" s="47">
        <f t="shared" si="82"/>
        <v>43.6</v>
      </c>
      <c r="AS682" s="43" t="str">
        <f t="shared" si="83"/>
        <v>腰部</v>
      </c>
      <c r="AT682" s="43" t="str">
        <f t="shared" si="84"/>
        <v/>
      </c>
      <c r="AU682" s="43" t="str">
        <f t="shared" si="85"/>
        <v>拉·主攻：主推AI外呼+大促作战包</v>
      </c>
    </row>
    <row r="683" ht="15" customHeight="1" spans="1:47">
      <c r="A683" s="20" t="s">
        <v>2020</v>
      </c>
      <c r="B683" s="22" t="s">
        <v>2021</v>
      </c>
      <c r="C683" s="22" t="s">
        <v>189</v>
      </c>
      <c r="D683" s="22" t="s">
        <v>202</v>
      </c>
      <c r="E683" s="22" t="s">
        <v>181</v>
      </c>
      <c r="F683" s="20" t="s">
        <v>2022</v>
      </c>
      <c r="G683" s="22">
        <v>11</v>
      </c>
      <c r="H683" s="22" t="s">
        <v>301</v>
      </c>
      <c r="I683" s="22" t="s">
        <v>184</v>
      </c>
      <c r="J683" s="36">
        <v>13400</v>
      </c>
      <c r="K683" s="36">
        <v>9000</v>
      </c>
      <c r="L683" s="36">
        <v>2000</v>
      </c>
      <c r="M683" s="36">
        <f t="shared" si="80"/>
        <v>24400</v>
      </c>
      <c r="N683" s="34">
        <f t="shared" si="86"/>
        <v>0.000127920412532845</v>
      </c>
      <c r="O683" s="35">
        <f>SUM($M$2:M683)</f>
        <v>185524300</v>
      </c>
      <c r="P683" s="34">
        <f t="shared" si="87"/>
        <v>0.972637089789644</v>
      </c>
      <c r="Q683" s="39">
        <v>3.1</v>
      </c>
      <c r="R683" s="22">
        <v>6</v>
      </c>
      <c r="S683" s="22">
        <v>1</v>
      </c>
      <c r="T683" s="22">
        <v>2</v>
      </c>
      <c r="U683" s="39">
        <v>4.2</v>
      </c>
      <c r="V683" s="22">
        <v>28</v>
      </c>
      <c r="W683" s="22">
        <v>4</v>
      </c>
      <c r="X683" s="40">
        <v>13</v>
      </c>
      <c r="Y683" s="22">
        <v>0</v>
      </c>
      <c r="Z683" s="22">
        <v>0</v>
      </c>
      <c r="AA683" s="22" t="s">
        <v>199</v>
      </c>
      <c r="AB683" s="22" t="s">
        <v>220</v>
      </c>
      <c r="AC683" s="42">
        <f>IFERROR(LOOKUP(M683,打分卡!$F$7:$J$7,打分卡!$K$7:$O$7),1)</f>
        <v>2</v>
      </c>
      <c r="AD683" s="42">
        <f>IFERROR(LOOKUP(S683,打分卡!$F$8:$J$8,打分卡!$K$8:$O$8),1)</f>
        <v>1</v>
      </c>
      <c r="AE683" s="42">
        <f>IFERROR(LOOKUP(T683,打分卡!$F$9:$I$9,打分卡!$K$9:$N$9),1)</f>
        <v>3</v>
      </c>
      <c r="AF683" s="42">
        <f>IFERROR(LOOKUP(Q683,打分卡!$F$10:$J$10,打分卡!$K$10:$O$10),1)</f>
        <v>2</v>
      </c>
      <c r="AG683" s="42">
        <f>IFERROR(LOOKUP(R683,打分卡!$F$11:$J$11,打分卡!$K$11:$O$11),1)</f>
        <v>3</v>
      </c>
      <c r="AH683" s="42">
        <f>IFERROR(LOOKUP(U683,打分卡!$F$12:$J$12,打分卡!$K$12:$O$12),1)</f>
        <v>2</v>
      </c>
      <c r="AI683" s="42">
        <f>IFERROR(LOOKUP(X683,打分卡!$F$13:$J$13,打分卡!$K$13:$O$13),1)</f>
        <v>1</v>
      </c>
      <c r="AJ683" s="42">
        <f>IFERROR(LOOKUP(Y683,打分卡!$F$14:$J$14,打分卡!$K$14:$O$14),1)</f>
        <v>1</v>
      </c>
      <c r="AK683" s="42">
        <f>IFERROR(LOOKUP(W683,打分卡!$F$15:$J$15,打分卡!$K$15:$O$15),1)</f>
        <v>3</v>
      </c>
      <c r="AL683" s="45">
        <f t="shared" si="81"/>
        <v>5</v>
      </c>
      <c r="AM683" s="42">
        <f>IFERROR(LOOKUP(Z683,打分卡!$F$17:$H$17,打分卡!$K$17:$M$17),1)</f>
        <v>1</v>
      </c>
      <c r="AN683" s="46">
        <f>(打分卡!$D$7*AC683+打分卡!$D$8*AD683+打分卡!$D$9*AE683)/5</f>
        <v>15.8</v>
      </c>
      <c r="AO683" s="46">
        <f>(打分卡!$D$10*AF683+打分卡!$D$11*AG683)/5</f>
        <v>10</v>
      </c>
      <c r="AP683" s="46">
        <f>(打分卡!$D$12*AH683+打分卡!$D$13*AI683+打分卡!$D$14*AJ683+打分卡!$D$15*AK683)/5</f>
        <v>10</v>
      </c>
      <c r="AQ683" s="46">
        <f>(打分卡!$D$16*AL683+打分卡!$D$17*AM683)/5</f>
        <v>6.8</v>
      </c>
      <c r="AR683" s="48">
        <f t="shared" si="82"/>
        <v>42.6</v>
      </c>
      <c r="AS683" s="45" t="str">
        <f t="shared" si="83"/>
        <v>腰部</v>
      </c>
      <c r="AT683" s="45" t="str">
        <f t="shared" si="84"/>
        <v/>
      </c>
      <c r="AU683" s="45" t="str">
        <f t="shared" si="85"/>
        <v>拉·主攻：主推AI外呼+大促作战包</v>
      </c>
    </row>
    <row r="684" ht="15" customHeight="1" spans="1:47">
      <c r="A684" s="30" t="s">
        <v>2023</v>
      </c>
      <c r="B684" s="31" t="s">
        <v>2024</v>
      </c>
      <c r="C684" s="31" t="s">
        <v>179</v>
      </c>
      <c r="D684" s="31" t="s">
        <v>235</v>
      </c>
      <c r="E684" s="31" t="s">
        <v>197</v>
      </c>
      <c r="F684" s="30" t="s">
        <v>1159</v>
      </c>
      <c r="G684" s="31">
        <v>20</v>
      </c>
      <c r="H684" s="31" t="s">
        <v>301</v>
      </c>
      <c r="I684" s="31" t="s">
        <v>302</v>
      </c>
      <c r="J684" s="33">
        <v>11500</v>
      </c>
      <c r="K684" s="33">
        <v>9100</v>
      </c>
      <c r="L684" s="33">
        <v>3800</v>
      </c>
      <c r="M684" s="33">
        <f t="shared" si="80"/>
        <v>24400</v>
      </c>
      <c r="N684" s="34">
        <f t="shared" si="86"/>
        <v>0.000127920412532845</v>
      </c>
      <c r="O684" s="35">
        <f>SUM($M$2:M684)</f>
        <v>185548700</v>
      </c>
      <c r="P684" s="34">
        <f t="shared" si="87"/>
        <v>0.972765010202177</v>
      </c>
      <c r="Q684" s="37">
        <v>3.2</v>
      </c>
      <c r="R684" s="31">
        <v>2</v>
      </c>
      <c r="S684" s="31">
        <v>1</v>
      </c>
      <c r="T684" s="31">
        <v>2</v>
      </c>
      <c r="U684" s="37">
        <v>1.5</v>
      </c>
      <c r="V684" s="31">
        <v>10</v>
      </c>
      <c r="W684" s="31">
        <v>0</v>
      </c>
      <c r="X684" s="38">
        <v>10</v>
      </c>
      <c r="Y684" s="31">
        <v>1</v>
      </c>
      <c r="Z684" s="31">
        <v>1</v>
      </c>
      <c r="AA684" s="31" t="s">
        <v>199</v>
      </c>
      <c r="AB684" s="31" t="s">
        <v>220</v>
      </c>
      <c r="AC684" s="41">
        <f>IFERROR(LOOKUP(M684,打分卡!$F$7:$J$7,打分卡!$K$7:$O$7),1)</f>
        <v>2</v>
      </c>
      <c r="AD684" s="41">
        <f>IFERROR(LOOKUP(S684,打分卡!$F$8:$J$8,打分卡!$K$8:$O$8),1)</f>
        <v>1</v>
      </c>
      <c r="AE684" s="41">
        <f>IFERROR(LOOKUP(T684,打分卡!$F$9:$I$9,打分卡!$K$9:$N$9),1)</f>
        <v>3</v>
      </c>
      <c r="AF684" s="41">
        <f>IFERROR(LOOKUP(Q684,打分卡!$F$10:$J$10,打分卡!$K$10:$O$10),1)</f>
        <v>2</v>
      </c>
      <c r="AG684" s="41">
        <f>IFERROR(LOOKUP(R684,打分卡!$F$11:$J$11,打分卡!$K$11:$O$11),1)</f>
        <v>1</v>
      </c>
      <c r="AH684" s="41">
        <f>IFERROR(LOOKUP(U684,打分卡!$F$12:$J$12,打分卡!$K$12:$O$12),1)</f>
        <v>1</v>
      </c>
      <c r="AI684" s="41">
        <f>IFERROR(LOOKUP(X684,打分卡!$F$13:$J$13,打分卡!$K$13:$O$13),1)</f>
        <v>1</v>
      </c>
      <c r="AJ684" s="41">
        <f>IFERROR(LOOKUP(Y684,打分卡!$F$14:$J$14,打分卡!$K$14:$O$14),1)</f>
        <v>2</v>
      </c>
      <c r="AK684" s="41">
        <f>IFERROR(LOOKUP(W684,打分卡!$F$15:$J$15,打分卡!$K$15:$O$15),1)</f>
        <v>1</v>
      </c>
      <c r="AL684" s="43">
        <f t="shared" si="81"/>
        <v>5</v>
      </c>
      <c r="AM684" s="41">
        <f>IFERROR(LOOKUP(Z684,打分卡!$F$17:$H$17,打分卡!$K$17:$M$17),1)</f>
        <v>3</v>
      </c>
      <c r="AN684" s="44">
        <f>(打分卡!$D$7*AC684+打分卡!$D$8*AD684+打分卡!$D$9*AE684)/5</f>
        <v>15.8</v>
      </c>
      <c r="AO684" s="44">
        <f>(打分卡!$D$10*AF684+打分卡!$D$11*AG684)/5</f>
        <v>6</v>
      </c>
      <c r="AP684" s="44">
        <f>(打分卡!$D$12*AH684+打分卡!$D$13*AI684+打分卡!$D$14*AJ684+打分卡!$D$15*AK684)/5</f>
        <v>7.2</v>
      </c>
      <c r="AQ684" s="44">
        <f>(打分卡!$D$16*AL684+打分卡!$D$17*AM684)/5</f>
        <v>8.4</v>
      </c>
      <c r="AR684" s="47">
        <f t="shared" si="82"/>
        <v>37.4</v>
      </c>
      <c r="AS684" s="43" t="str">
        <f t="shared" si="83"/>
        <v>基础长尾</v>
      </c>
      <c r="AT684" s="43" t="str">
        <f t="shared" si="84"/>
        <v/>
      </c>
      <c r="AU684" s="43" t="str">
        <f t="shared" si="85"/>
        <v>激活：企微+Push低成本先跑</v>
      </c>
    </row>
    <row r="685" ht="15" customHeight="1" spans="1:47">
      <c r="A685" s="20" t="s">
        <v>2025</v>
      </c>
      <c r="B685" s="22" t="s">
        <v>2026</v>
      </c>
      <c r="C685" s="22" t="s">
        <v>189</v>
      </c>
      <c r="D685" s="22" t="s">
        <v>235</v>
      </c>
      <c r="E685" s="22" t="s">
        <v>181</v>
      </c>
      <c r="F685" s="20" t="s">
        <v>2027</v>
      </c>
      <c r="G685" s="22">
        <v>11</v>
      </c>
      <c r="H685" s="22" t="s">
        <v>301</v>
      </c>
      <c r="I685" s="22" t="s">
        <v>184</v>
      </c>
      <c r="J685" s="36">
        <v>12900</v>
      </c>
      <c r="K685" s="36">
        <v>6600</v>
      </c>
      <c r="L685" s="36">
        <v>4800</v>
      </c>
      <c r="M685" s="36">
        <f t="shared" si="80"/>
        <v>24300</v>
      </c>
      <c r="N685" s="34">
        <f t="shared" si="86"/>
        <v>0.000127396148547055</v>
      </c>
      <c r="O685" s="35">
        <f>SUM($M$2:M685)</f>
        <v>185573000</v>
      </c>
      <c r="P685" s="34">
        <f t="shared" si="87"/>
        <v>0.972892406350724</v>
      </c>
      <c r="Q685" s="39">
        <v>2.6</v>
      </c>
      <c r="R685" s="22">
        <v>4</v>
      </c>
      <c r="S685" s="22">
        <v>1</v>
      </c>
      <c r="T685" s="22">
        <v>0</v>
      </c>
      <c r="U685" s="39">
        <v>20.8</v>
      </c>
      <c r="V685" s="22">
        <v>21</v>
      </c>
      <c r="W685" s="22">
        <v>1</v>
      </c>
      <c r="X685" s="40">
        <v>16</v>
      </c>
      <c r="Y685" s="22">
        <v>3</v>
      </c>
      <c r="Z685" s="22">
        <v>1</v>
      </c>
      <c r="AA685" s="22" t="s">
        <v>199</v>
      </c>
      <c r="AB685" s="22" t="s">
        <v>220</v>
      </c>
      <c r="AC685" s="42">
        <f>IFERROR(LOOKUP(M685,打分卡!$F$7:$J$7,打分卡!$K$7:$O$7),1)</f>
        <v>2</v>
      </c>
      <c r="AD685" s="42">
        <f>IFERROR(LOOKUP(S685,打分卡!$F$8:$J$8,打分卡!$K$8:$O$8),1)</f>
        <v>1</v>
      </c>
      <c r="AE685" s="42">
        <f>IFERROR(LOOKUP(T685,打分卡!$F$9:$I$9,打分卡!$K$9:$N$9),1)</f>
        <v>1</v>
      </c>
      <c r="AF685" s="42">
        <f>IFERROR(LOOKUP(Q685,打分卡!$F$10:$J$10,打分卡!$K$10:$O$10),1)</f>
        <v>2</v>
      </c>
      <c r="AG685" s="42">
        <f>IFERROR(LOOKUP(R685,打分卡!$F$11:$J$11,打分卡!$K$11:$O$11),1)</f>
        <v>2</v>
      </c>
      <c r="AH685" s="42">
        <f>IFERROR(LOOKUP(U685,打分卡!$F$12:$J$12,打分卡!$K$12:$O$12),1)</f>
        <v>3</v>
      </c>
      <c r="AI685" s="42">
        <f>IFERROR(LOOKUP(X685,打分卡!$F$13:$J$13,打分卡!$K$13:$O$13),1)</f>
        <v>1</v>
      </c>
      <c r="AJ685" s="42">
        <f>IFERROR(LOOKUP(Y685,打分卡!$F$14:$J$14,打分卡!$K$14:$O$14),1)</f>
        <v>4</v>
      </c>
      <c r="AK685" s="42">
        <f>IFERROR(LOOKUP(W685,打分卡!$F$15:$J$15,打分卡!$K$15:$O$15),1)</f>
        <v>2</v>
      </c>
      <c r="AL685" s="45">
        <f t="shared" si="81"/>
        <v>5</v>
      </c>
      <c r="AM685" s="42">
        <f>IFERROR(LOOKUP(Z685,打分卡!$F$17:$H$17,打分卡!$K$17:$M$17),1)</f>
        <v>3</v>
      </c>
      <c r="AN685" s="46">
        <f>(打分卡!$D$7*AC685+打分卡!$D$8*AD685+打分卡!$D$9*AE685)/5</f>
        <v>13</v>
      </c>
      <c r="AO685" s="46">
        <f>(打分卡!$D$10*AF685+打分卡!$D$11*AG685)/5</f>
        <v>8</v>
      </c>
      <c r="AP685" s="46">
        <f>(打分卡!$D$12*AH685+打分卡!$D$13*AI685+打分卡!$D$14*AJ685+打分卡!$D$15*AK685)/5</f>
        <v>15.2</v>
      </c>
      <c r="AQ685" s="46">
        <f>(打分卡!$D$16*AL685+打分卡!$D$17*AM685)/5</f>
        <v>8.4</v>
      </c>
      <c r="AR685" s="48">
        <f t="shared" si="82"/>
        <v>44.6</v>
      </c>
      <c r="AS685" s="45" t="str">
        <f t="shared" si="83"/>
        <v>腰部</v>
      </c>
      <c r="AT685" s="45" t="str">
        <f t="shared" si="84"/>
        <v/>
      </c>
      <c r="AU685" s="45" t="str">
        <f t="shared" si="85"/>
        <v>拉·主攻：主推AI外呼+大促作战包</v>
      </c>
    </row>
    <row r="686" ht="15" customHeight="1" spans="1:47">
      <c r="A686" s="30" t="s">
        <v>2028</v>
      </c>
      <c r="B686" s="31" t="s">
        <v>2029</v>
      </c>
      <c r="C686" s="31" t="s">
        <v>195</v>
      </c>
      <c r="D686" s="31" t="s">
        <v>202</v>
      </c>
      <c r="E686" s="31" t="s">
        <v>181</v>
      </c>
      <c r="F686" s="30" t="s">
        <v>1007</v>
      </c>
      <c r="G686" s="31">
        <v>8</v>
      </c>
      <c r="H686" s="31" t="s">
        <v>301</v>
      </c>
      <c r="I686" s="31" t="s">
        <v>184</v>
      </c>
      <c r="J686" s="33">
        <v>12800</v>
      </c>
      <c r="K686" s="33">
        <v>5900</v>
      </c>
      <c r="L686" s="33">
        <v>5400</v>
      </c>
      <c r="M686" s="33">
        <f t="shared" si="80"/>
        <v>24100</v>
      </c>
      <c r="N686" s="34">
        <f t="shared" si="86"/>
        <v>0.000126347620575474</v>
      </c>
      <c r="O686" s="35">
        <f>SUM($M$2:M686)</f>
        <v>185597100</v>
      </c>
      <c r="P686" s="34">
        <f t="shared" si="87"/>
        <v>0.9730187539713</v>
      </c>
      <c r="Q686" s="37">
        <v>3.2</v>
      </c>
      <c r="R686" s="31">
        <v>2</v>
      </c>
      <c r="S686" s="31">
        <v>1</v>
      </c>
      <c r="T686" s="31">
        <v>0</v>
      </c>
      <c r="U686" s="37">
        <v>2.8</v>
      </c>
      <c r="V686" s="31">
        <v>21</v>
      </c>
      <c r="W686" s="31">
        <v>4</v>
      </c>
      <c r="X686" s="38">
        <v>40</v>
      </c>
      <c r="Y686" s="31">
        <v>2</v>
      </c>
      <c r="Z686" s="31">
        <v>1</v>
      </c>
      <c r="AA686" s="31" t="s">
        <v>199</v>
      </c>
      <c r="AB686" s="31" t="s">
        <v>220</v>
      </c>
      <c r="AC686" s="41">
        <f>IFERROR(LOOKUP(M686,打分卡!$F$7:$J$7,打分卡!$K$7:$O$7),1)</f>
        <v>2</v>
      </c>
      <c r="AD686" s="41">
        <f>IFERROR(LOOKUP(S686,打分卡!$F$8:$J$8,打分卡!$K$8:$O$8),1)</f>
        <v>1</v>
      </c>
      <c r="AE686" s="41">
        <f>IFERROR(LOOKUP(T686,打分卡!$F$9:$I$9,打分卡!$K$9:$N$9),1)</f>
        <v>1</v>
      </c>
      <c r="AF686" s="41">
        <f>IFERROR(LOOKUP(Q686,打分卡!$F$10:$J$10,打分卡!$K$10:$O$10),1)</f>
        <v>2</v>
      </c>
      <c r="AG686" s="41">
        <f>IFERROR(LOOKUP(R686,打分卡!$F$11:$J$11,打分卡!$K$11:$O$11),1)</f>
        <v>1</v>
      </c>
      <c r="AH686" s="41">
        <f>IFERROR(LOOKUP(U686,打分卡!$F$12:$J$12,打分卡!$K$12:$O$12),1)</f>
        <v>2</v>
      </c>
      <c r="AI686" s="41">
        <f>IFERROR(LOOKUP(X686,打分卡!$F$13:$J$13,打分卡!$K$13:$O$13),1)</f>
        <v>3</v>
      </c>
      <c r="AJ686" s="41">
        <f>IFERROR(LOOKUP(Y686,打分卡!$F$14:$J$14,打分卡!$K$14:$O$14),1)</f>
        <v>3</v>
      </c>
      <c r="AK686" s="41">
        <f>IFERROR(LOOKUP(W686,打分卡!$F$15:$J$15,打分卡!$K$15:$O$15),1)</f>
        <v>3</v>
      </c>
      <c r="AL686" s="43">
        <f t="shared" si="81"/>
        <v>5</v>
      </c>
      <c r="AM686" s="41">
        <f>IFERROR(LOOKUP(Z686,打分卡!$F$17:$H$17,打分卡!$K$17:$M$17),1)</f>
        <v>3</v>
      </c>
      <c r="AN686" s="44">
        <f>(打分卡!$D$7*AC686+打分卡!$D$8*AD686+打分卡!$D$9*AE686)/5</f>
        <v>13</v>
      </c>
      <c r="AO686" s="44">
        <f>(打分卡!$D$10*AF686+打分卡!$D$11*AG686)/5</f>
        <v>6</v>
      </c>
      <c r="AP686" s="44">
        <f>(打分卡!$D$12*AH686+打分卡!$D$13*AI686+打分卡!$D$14*AJ686+打分卡!$D$15*AK686)/5</f>
        <v>15.6</v>
      </c>
      <c r="AQ686" s="44">
        <f>(打分卡!$D$16*AL686+打分卡!$D$17*AM686)/5</f>
        <v>8.4</v>
      </c>
      <c r="AR686" s="47">
        <f t="shared" si="82"/>
        <v>43</v>
      </c>
      <c r="AS686" s="43" t="str">
        <f t="shared" si="83"/>
        <v>腰部</v>
      </c>
      <c r="AT686" s="43" t="str">
        <f t="shared" si="84"/>
        <v/>
      </c>
      <c r="AU686" s="43" t="str">
        <f t="shared" si="85"/>
        <v>拉·主攻：主推AI外呼+大促作战包</v>
      </c>
    </row>
    <row r="687" ht="15" customHeight="1" spans="1:47">
      <c r="A687" s="20" t="s">
        <v>2030</v>
      </c>
      <c r="B687" s="22" t="s">
        <v>2031</v>
      </c>
      <c r="C687" s="22" t="s">
        <v>218</v>
      </c>
      <c r="D687" s="22" t="s">
        <v>227</v>
      </c>
      <c r="E687" s="22" t="s">
        <v>181</v>
      </c>
      <c r="F687" s="20" t="s">
        <v>1211</v>
      </c>
      <c r="G687" s="22">
        <v>5</v>
      </c>
      <c r="H687" s="22" t="s">
        <v>183</v>
      </c>
      <c r="I687" s="22" t="s">
        <v>184</v>
      </c>
      <c r="J687" s="36">
        <v>14400</v>
      </c>
      <c r="K687" s="36">
        <v>7300</v>
      </c>
      <c r="L687" s="36">
        <v>2200</v>
      </c>
      <c r="M687" s="36">
        <f t="shared" si="80"/>
        <v>23900</v>
      </c>
      <c r="N687" s="34">
        <f t="shared" si="86"/>
        <v>0.000125299092603893</v>
      </c>
      <c r="O687" s="35">
        <f>SUM($M$2:M687)</f>
        <v>185621000</v>
      </c>
      <c r="P687" s="34">
        <f t="shared" si="87"/>
        <v>0.973144053063904</v>
      </c>
      <c r="Q687" s="39">
        <v>3.4</v>
      </c>
      <c r="R687" s="22">
        <v>6</v>
      </c>
      <c r="S687" s="22">
        <v>3</v>
      </c>
      <c r="T687" s="22">
        <v>0</v>
      </c>
      <c r="U687" s="39">
        <v>1.3</v>
      </c>
      <c r="V687" s="22">
        <v>14</v>
      </c>
      <c r="W687" s="22">
        <v>2</v>
      </c>
      <c r="X687" s="40">
        <v>43</v>
      </c>
      <c r="Y687" s="22">
        <v>3</v>
      </c>
      <c r="Z687" s="22">
        <v>0</v>
      </c>
      <c r="AA687" s="22" t="s">
        <v>199</v>
      </c>
      <c r="AB687" s="22" t="s">
        <v>220</v>
      </c>
      <c r="AC687" s="42">
        <f>IFERROR(LOOKUP(M687,打分卡!$F$7:$J$7,打分卡!$K$7:$O$7),1)</f>
        <v>1</v>
      </c>
      <c r="AD687" s="42">
        <f>IFERROR(LOOKUP(S687,打分卡!$F$8:$J$8,打分卡!$K$8:$O$8),1)</f>
        <v>3</v>
      </c>
      <c r="AE687" s="42">
        <f>IFERROR(LOOKUP(T687,打分卡!$F$9:$I$9,打分卡!$K$9:$N$9),1)</f>
        <v>1</v>
      </c>
      <c r="AF687" s="42">
        <f>IFERROR(LOOKUP(Q687,打分卡!$F$10:$J$10,打分卡!$K$10:$O$10),1)</f>
        <v>2</v>
      </c>
      <c r="AG687" s="42">
        <f>IFERROR(LOOKUP(R687,打分卡!$F$11:$J$11,打分卡!$K$11:$O$11),1)</f>
        <v>3</v>
      </c>
      <c r="AH687" s="42">
        <f>IFERROR(LOOKUP(U687,打分卡!$F$12:$J$12,打分卡!$K$12:$O$12),1)</f>
        <v>1</v>
      </c>
      <c r="AI687" s="42">
        <f>IFERROR(LOOKUP(X687,打分卡!$F$13:$J$13,打分卡!$K$13:$O$13),1)</f>
        <v>3</v>
      </c>
      <c r="AJ687" s="42">
        <f>IFERROR(LOOKUP(Y687,打分卡!$F$14:$J$14,打分卡!$K$14:$O$14),1)</f>
        <v>4</v>
      </c>
      <c r="AK687" s="42">
        <f>IFERROR(LOOKUP(W687,打分卡!$F$15:$J$15,打分卡!$K$15:$O$15),1)</f>
        <v>2</v>
      </c>
      <c r="AL687" s="45">
        <f t="shared" si="81"/>
        <v>5</v>
      </c>
      <c r="AM687" s="42">
        <f>IFERROR(LOOKUP(Z687,打分卡!$F$17:$H$17,打分卡!$K$17:$M$17),1)</f>
        <v>1</v>
      </c>
      <c r="AN687" s="46">
        <f>(打分卡!$D$7*AC687+打分卡!$D$8*AD687+打分卡!$D$9*AE687)/5</f>
        <v>11.2</v>
      </c>
      <c r="AO687" s="46">
        <f>(打分卡!$D$10*AF687+打分卡!$D$11*AG687)/5</f>
        <v>10</v>
      </c>
      <c r="AP687" s="46">
        <f>(打分卡!$D$12*AH687+打分卡!$D$13*AI687+打分卡!$D$14*AJ687+打分卡!$D$15*AK687)/5</f>
        <v>13.6</v>
      </c>
      <c r="AQ687" s="46">
        <f>(打分卡!$D$16*AL687+打分卡!$D$17*AM687)/5</f>
        <v>6.8</v>
      </c>
      <c r="AR687" s="48">
        <f t="shared" si="82"/>
        <v>41.6</v>
      </c>
      <c r="AS687" s="45" t="str">
        <f t="shared" si="83"/>
        <v>腰部</v>
      </c>
      <c r="AT687" s="45" t="str">
        <f t="shared" si="84"/>
        <v/>
      </c>
      <c r="AU687" s="45" t="str">
        <f t="shared" si="85"/>
        <v>拉·主攻：主推AI外呼+大促作战包</v>
      </c>
    </row>
    <row r="688" ht="15" customHeight="1" spans="1:47">
      <c r="A688" s="30" t="s">
        <v>2032</v>
      </c>
      <c r="B688" s="31" t="s">
        <v>2033</v>
      </c>
      <c r="C688" s="31" t="s">
        <v>179</v>
      </c>
      <c r="D688" s="31" t="s">
        <v>235</v>
      </c>
      <c r="E688" s="31" t="s">
        <v>197</v>
      </c>
      <c r="F688" s="30" t="s">
        <v>1954</v>
      </c>
      <c r="G688" s="31">
        <v>15</v>
      </c>
      <c r="H688" s="31" t="s">
        <v>301</v>
      </c>
      <c r="I688" s="31" t="s">
        <v>184</v>
      </c>
      <c r="J688" s="33">
        <v>11800</v>
      </c>
      <c r="K688" s="33">
        <v>9300</v>
      </c>
      <c r="L688" s="33">
        <v>2600</v>
      </c>
      <c r="M688" s="33">
        <f t="shared" si="80"/>
        <v>23700</v>
      </c>
      <c r="N688" s="34">
        <f t="shared" si="86"/>
        <v>0.000124250564632313</v>
      </c>
      <c r="O688" s="35">
        <f>SUM($M$2:M688)</f>
        <v>185644700</v>
      </c>
      <c r="P688" s="34">
        <f t="shared" si="87"/>
        <v>0.973268303628536</v>
      </c>
      <c r="Q688" s="37">
        <v>2.3</v>
      </c>
      <c r="R688" s="31">
        <v>7</v>
      </c>
      <c r="S688" s="31">
        <v>1</v>
      </c>
      <c r="T688" s="31">
        <v>0</v>
      </c>
      <c r="U688" s="37">
        <v>14.1</v>
      </c>
      <c r="V688" s="31">
        <v>5</v>
      </c>
      <c r="W688" s="31">
        <v>4</v>
      </c>
      <c r="X688" s="38">
        <v>12</v>
      </c>
      <c r="Y688" s="31">
        <v>3</v>
      </c>
      <c r="Z688" s="31">
        <v>0</v>
      </c>
      <c r="AA688" s="31" t="s">
        <v>315</v>
      </c>
      <c r="AB688" s="31" t="s">
        <v>220</v>
      </c>
      <c r="AC688" s="41">
        <f>IFERROR(LOOKUP(M688,打分卡!$F$7:$J$7,打分卡!$K$7:$O$7),1)</f>
        <v>1</v>
      </c>
      <c r="AD688" s="41">
        <f>IFERROR(LOOKUP(S688,打分卡!$F$8:$J$8,打分卡!$K$8:$O$8),1)</f>
        <v>1</v>
      </c>
      <c r="AE688" s="41">
        <f>IFERROR(LOOKUP(T688,打分卡!$F$9:$I$9,打分卡!$K$9:$N$9),1)</f>
        <v>1</v>
      </c>
      <c r="AF688" s="41">
        <f>IFERROR(LOOKUP(Q688,打分卡!$F$10:$J$10,打分卡!$K$10:$O$10),1)</f>
        <v>1</v>
      </c>
      <c r="AG688" s="41">
        <f>IFERROR(LOOKUP(R688,打分卡!$F$11:$J$11,打分卡!$K$11:$O$11),1)</f>
        <v>3</v>
      </c>
      <c r="AH688" s="41">
        <f>IFERROR(LOOKUP(U688,打分卡!$F$12:$J$12,打分卡!$K$12:$O$12),1)</f>
        <v>3</v>
      </c>
      <c r="AI688" s="41">
        <f>IFERROR(LOOKUP(X688,打分卡!$F$13:$J$13,打分卡!$K$13:$O$13),1)</f>
        <v>1</v>
      </c>
      <c r="AJ688" s="41">
        <f>IFERROR(LOOKUP(Y688,打分卡!$F$14:$J$14,打分卡!$K$14:$O$14),1)</f>
        <v>4</v>
      </c>
      <c r="AK688" s="41">
        <f>IFERROR(LOOKUP(W688,打分卡!$F$15:$J$15,打分卡!$K$15:$O$15),1)</f>
        <v>3</v>
      </c>
      <c r="AL688" s="43">
        <f t="shared" si="81"/>
        <v>2</v>
      </c>
      <c r="AM688" s="41">
        <f>IFERROR(LOOKUP(Z688,打分卡!$F$17:$H$17,打分卡!$K$17:$M$17),1)</f>
        <v>1</v>
      </c>
      <c r="AN688" s="44">
        <f>(打分卡!$D$7*AC688+打分卡!$D$8*AD688+打分卡!$D$9*AE688)/5</f>
        <v>8</v>
      </c>
      <c r="AO688" s="44">
        <f>(打分卡!$D$10*AF688+打分卡!$D$11*AG688)/5</f>
        <v>8</v>
      </c>
      <c r="AP688" s="44">
        <f>(打分卡!$D$12*AH688+打分卡!$D$13*AI688+打分卡!$D$14*AJ688+打分卡!$D$15*AK688)/5</f>
        <v>16</v>
      </c>
      <c r="AQ688" s="44">
        <f>(打分卡!$D$16*AL688+打分卡!$D$17*AM688)/5</f>
        <v>3.2</v>
      </c>
      <c r="AR688" s="47">
        <f t="shared" si="82"/>
        <v>35.2</v>
      </c>
      <c r="AS688" s="43" t="str">
        <f t="shared" si="83"/>
        <v>基础长尾</v>
      </c>
      <c r="AT688" s="43" t="str">
        <f t="shared" si="84"/>
        <v/>
      </c>
      <c r="AU688" s="43" t="str">
        <f t="shared" si="85"/>
        <v>激活：企微+Push低成本先跑</v>
      </c>
    </row>
    <row r="689" ht="15" customHeight="1" spans="1:47">
      <c r="A689" s="20" t="s">
        <v>2034</v>
      </c>
      <c r="B689" s="22" t="s">
        <v>2035</v>
      </c>
      <c r="C689" s="22" t="s">
        <v>189</v>
      </c>
      <c r="D689" s="22" t="s">
        <v>190</v>
      </c>
      <c r="E689" s="22" t="s">
        <v>181</v>
      </c>
      <c r="F689" s="20" t="s">
        <v>1941</v>
      </c>
      <c r="G689" s="22">
        <v>12</v>
      </c>
      <c r="H689" s="22" t="s">
        <v>301</v>
      </c>
      <c r="I689" s="22" t="s">
        <v>302</v>
      </c>
      <c r="J689" s="36">
        <v>14500</v>
      </c>
      <c r="K689" s="36">
        <v>7800</v>
      </c>
      <c r="L689" s="36">
        <v>1200</v>
      </c>
      <c r="M689" s="36">
        <f t="shared" si="80"/>
        <v>23500</v>
      </c>
      <c r="N689" s="34">
        <f t="shared" si="86"/>
        <v>0.000123202036660732</v>
      </c>
      <c r="O689" s="35">
        <f>SUM($M$2:M689)</f>
        <v>185668200</v>
      </c>
      <c r="P689" s="34">
        <f t="shared" si="87"/>
        <v>0.973391505665197</v>
      </c>
      <c r="Q689" s="39">
        <v>1.8</v>
      </c>
      <c r="R689" s="22">
        <v>8</v>
      </c>
      <c r="S689" s="22">
        <v>1</v>
      </c>
      <c r="T689" s="22">
        <v>1</v>
      </c>
      <c r="U689" s="39">
        <v>10.3</v>
      </c>
      <c r="V689" s="22">
        <v>21</v>
      </c>
      <c r="W689" s="22">
        <v>4</v>
      </c>
      <c r="X689" s="40">
        <v>60</v>
      </c>
      <c r="Y689" s="22">
        <v>0</v>
      </c>
      <c r="Z689" s="22">
        <v>1</v>
      </c>
      <c r="AA689" s="22" t="s">
        <v>199</v>
      </c>
      <c r="AB689" s="22" t="s">
        <v>220</v>
      </c>
      <c r="AC689" s="42">
        <f>IFERROR(LOOKUP(M689,打分卡!$F$7:$J$7,打分卡!$K$7:$O$7),1)</f>
        <v>1</v>
      </c>
      <c r="AD689" s="42">
        <f>IFERROR(LOOKUP(S689,打分卡!$F$8:$J$8,打分卡!$K$8:$O$8),1)</f>
        <v>1</v>
      </c>
      <c r="AE689" s="42">
        <f>IFERROR(LOOKUP(T689,打分卡!$F$9:$I$9,打分卡!$K$9:$N$9),1)</f>
        <v>2</v>
      </c>
      <c r="AF689" s="42">
        <f>IFERROR(LOOKUP(Q689,打分卡!$F$10:$J$10,打分卡!$K$10:$O$10),1)</f>
        <v>1</v>
      </c>
      <c r="AG689" s="42">
        <f>IFERROR(LOOKUP(R689,打分卡!$F$11:$J$11,打分卡!$K$11:$O$11),1)</f>
        <v>3</v>
      </c>
      <c r="AH689" s="42">
        <f>IFERROR(LOOKUP(U689,打分卡!$F$12:$J$12,打分卡!$K$12:$O$12),1)</f>
        <v>2</v>
      </c>
      <c r="AI689" s="42">
        <f>IFERROR(LOOKUP(X689,打分卡!$F$13:$J$13,打分卡!$K$13:$O$13),1)</f>
        <v>3</v>
      </c>
      <c r="AJ689" s="42">
        <f>IFERROR(LOOKUP(Y689,打分卡!$F$14:$J$14,打分卡!$K$14:$O$14),1)</f>
        <v>1</v>
      </c>
      <c r="AK689" s="42">
        <f>IFERROR(LOOKUP(W689,打分卡!$F$15:$J$15,打分卡!$K$15:$O$15),1)</f>
        <v>3</v>
      </c>
      <c r="AL689" s="45">
        <f t="shared" si="81"/>
        <v>5</v>
      </c>
      <c r="AM689" s="42">
        <f>IFERROR(LOOKUP(Z689,打分卡!$F$17:$H$17,打分卡!$K$17:$M$17),1)</f>
        <v>3</v>
      </c>
      <c r="AN689" s="46">
        <f>(打分卡!$D$7*AC689+打分卡!$D$8*AD689+打分卡!$D$9*AE689)/5</f>
        <v>9.4</v>
      </c>
      <c r="AO689" s="46">
        <f>(打分卡!$D$10*AF689+打分卡!$D$11*AG689)/5</f>
        <v>8</v>
      </c>
      <c r="AP689" s="46">
        <f>(打分卡!$D$12*AH689+打分卡!$D$13*AI689+打分卡!$D$14*AJ689+打分卡!$D$15*AK689)/5</f>
        <v>13.2</v>
      </c>
      <c r="AQ689" s="46">
        <f>(打分卡!$D$16*AL689+打分卡!$D$17*AM689)/5</f>
        <v>8.4</v>
      </c>
      <c r="AR689" s="48">
        <f t="shared" si="82"/>
        <v>39</v>
      </c>
      <c r="AS689" s="45" t="str">
        <f t="shared" si="83"/>
        <v>基础长尾</v>
      </c>
      <c r="AT689" s="45" t="str">
        <f t="shared" si="84"/>
        <v/>
      </c>
      <c r="AU689" s="45" t="str">
        <f t="shared" si="85"/>
        <v>激活：企微+Push低成本先跑</v>
      </c>
    </row>
    <row r="690" ht="15" customHeight="1" spans="1:47">
      <c r="A690" s="30" t="s">
        <v>2036</v>
      </c>
      <c r="B690" s="31" t="s">
        <v>2037</v>
      </c>
      <c r="C690" s="31" t="s">
        <v>218</v>
      </c>
      <c r="D690" s="31" t="s">
        <v>202</v>
      </c>
      <c r="E690" s="31" t="s">
        <v>197</v>
      </c>
      <c r="F690" s="30" t="s">
        <v>723</v>
      </c>
      <c r="G690" s="31">
        <v>16</v>
      </c>
      <c r="H690" s="31" t="s">
        <v>301</v>
      </c>
      <c r="I690" s="31" t="s">
        <v>302</v>
      </c>
      <c r="J690" s="33">
        <v>13400</v>
      </c>
      <c r="K690" s="33">
        <v>7500</v>
      </c>
      <c r="L690" s="33">
        <v>2600</v>
      </c>
      <c r="M690" s="33">
        <f t="shared" si="80"/>
        <v>23500</v>
      </c>
      <c r="N690" s="34">
        <f t="shared" si="86"/>
        <v>0.000123202036660732</v>
      </c>
      <c r="O690" s="35">
        <f>SUM($M$2:M690)</f>
        <v>185691700</v>
      </c>
      <c r="P690" s="34">
        <f t="shared" si="87"/>
        <v>0.973514707701857</v>
      </c>
      <c r="Q690" s="37">
        <v>3.7</v>
      </c>
      <c r="R690" s="31">
        <v>8</v>
      </c>
      <c r="S690" s="31">
        <v>2</v>
      </c>
      <c r="T690" s="31">
        <v>1</v>
      </c>
      <c r="U690" s="37">
        <v>1.6</v>
      </c>
      <c r="V690" s="31">
        <v>17</v>
      </c>
      <c r="W690" s="31">
        <v>3</v>
      </c>
      <c r="X690" s="38">
        <v>97</v>
      </c>
      <c r="Y690" s="31">
        <v>0</v>
      </c>
      <c r="Z690" s="31">
        <v>0</v>
      </c>
      <c r="AA690" s="31" t="s">
        <v>199</v>
      </c>
      <c r="AB690" s="31" t="s">
        <v>220</v>
      </c>
      <c r="AC690" s="41">
        <f>IFERROR(LOOKUP(M690,打分卡!$F$7:$J$7,打分卡!$K$7:$O$7),1)</f>
        <v>1</v>
      </c>
      <c r="AD690" s="41">
        <f>IFERROR(LOOKUP(S690,打分卡!$F$8:$J$8,打分卡!$K$8:$O$8),1)</f>
        <v>2</v>
      </c>
      <c r="AE690" s="41">
        <f>IFERROR(LOOKUP(T690,打分卡!$F$9:$I$9,打分卡!$K$9:$N$9),1)</f>
        <v>2</v>
      </c>
      <c r="AF690" s="41">
        <f>IFERROR(LOOKUP(Q690,打分卡!$F$10:$J$10,打分卡!$K$10:$O$10),1)</f>
        <v>2</v>
      </c>
      <c r="AG690" s="41">
        <f>IFERROR(LOOKUP(R690,打分卡!$F$11:$J$11,打分卡!$K$11:$O$11),1)</f>
        <v>3</v>
      </c>
      <c r="AH690" s="41">
        <f>IFERROR(LOOKUP(U690,打分卡!$F$12:$J$12,打分卡!$K$12:$O$12),1)</f>
        <v>1</v>
      </c>
      <c r="AI690" s="41">
        <f>IFERROR(LOOKUP(X690,打分卡!$F$13:$J$13,打分卡!$K$13:$O$13),1)</f>
        <v>4</v>
      </c>
      <c r="AJ690" s="41">
        <f>IFERROR(LOOKUP(Y690,打分卡!$F$14:$J$14,打分卡!$K$14:$O$14),1)</f>
        <v>1</v>
      </c>
      <c r="AK690" s="41">
        <f>IFERROR(LOOKUP(W690,打分卡!$F$15:$J$15,打分卡!$K$15:$O$15),1)</f>
        <v>3</v>
      </c>
      <c r="AL690" s="43">
        <f t="shared" si="81"/>
        <v>5</v>
      </c>
      <c r="AM690" s="41">
        <f>IFERROR(LOOKUP(Z690,打分卡!$F$17:$H$17,打分卡!$K$17:$M$17),1)</f>
        <v>1</v>
      </c>
      <c r="AN690" s="44">
        <f>(打分卡!$D$7*AC690+打分卡!$D$8*AD690+打分卡!$D$9*AE690)/5</f>
        <v>11</v>
      </c>
      <c r="AO690" s="44">
        <f>(打分卡!$D$10*AF690+打分卡!$D$11*AG690)/5</f>
        <v>10</v>
      </c>
      <c r="AP690" s="44">
        <f>(打分卡!$D$12*AH690+打分卡!$D$13*AI690+打分卡!$D$14*AJ690+打分卡!$D$15*AK690)/5</f>
        <v>12.4</v>
      </c>
      <c r="AQ690" s="44">
        <f>(打分卡!$D$16*AL690+打分卡!$D$17*AM690)/5</f>
        <v>6.8</v>
      </c>
      <c r="AR690" s="47">
        <f t="shared" si="82"/>
        <v>40.2</v>
      </c>
      <c r="AS690" s="43" t="str">
        <f t="shared" si="83"/>
        <v>腰部</v>
      </c>
      <c r="AT690" s="43" t="str">
        <f t="shared" si="84"/>
        <v/>
      </c>
      <c r="AU690" s="43" t="str">
        <f t="shared" si="85"/>
        <v>拉·主攻：主推AI外呼+大促作战包</v>
      </c>
    </row>
    <row r="691" ht="15" customHeight="1" spans="1:47">
      <c r="A691" s="20" t="s">
        <v>2038</v>
      </c>
      <c r="B691" s="22" t="s">
        <v>2039</v>
      </c>
      <c r="C691" s="22" t="s">
        <v>189</v>
      </c>
      <c r="D691" s="22" t="s">
        <v>202</v>
      </c>
      <c r="E691" s="22" t="s">
        <v>181</v>
      </c>
      <c r="F691" s="20" t="s">
        <v>2040</v>
      </c>
      <c r="G691" s="22">
        <v>7</v>
      </c>
      <c r="H691" s="22" t="s">
        <v>301</v>
      </c>
      <c r="I691" s="22" t="s">
        <v>302</v>
      </c>
      <c r="J691" s="36">
        <v>13400</v>
      </c>
      <c r="K691" s="36">
        <v>8800</v>
      </c>
      <c r="L691" s="36">
        <v>1200</v>
      </c>
      <c r="M691" s="36">
        <f t="shared" si="80"/>
        <v>23400</v>
      </c>
      <c r="N691" s="34">
        <f t="shared" si="86"/>
        <v>0.000122677772674942</v>
      </c>
      <c r="O691" s="35">
        <f>SUM($M$2:M691)</f>
        <v>185715100</v>
      </c>
      <c r="P691" s="34">
        <f t="shared" si="87"/>
        <v>0.973637385474532</v>
      </c>
      <c r="Q691" s="39">
        <v>3.1</v>
      </c>
      <c r="R691" s="22">
        <v>8</v>
      </c>
      <c r="S691" s="22">
        <v>1</v>
      </c>
      <c r="T691" s="22">
        <v>0</v>
      </c>
      <c r="U691" s="39">
        <v>18.5</v>
      </c>
      <c r="V691" s="22">
        <v>6</v>
      </c>
      <c r="W691" s="22">
        <v>0</v>
      </c>
      <c r="X691" s="40">
        <v>30</v>
      </c>
      <c r="Y691" s="22">
        <v>3</v>
      </c>
      <c r="Z691" s="22">
        <v>1</v>
      </c>
      <c r="AA691" s="22" t="s">
        <v>315</v>
      </c>
      <c r="AB691" s="22" t="s">
        <v>220</v>
      </c>
      <c r="AC691" s="42">
        <f>IFERROR(LOOKUP(M691,打分卡!$F$7:$J$7,打分卡!$K$7:$O$7),1)</f>
        <v>1</v>
      </c>
      <c r="AD691" s="42">
        <f>IFERROR(LOOKUP(S691,打分卡!$F$8:$J$8,打分卡!$K$8:$O$8),1)</f>
        <v>1</v>
      </c>
      <c r="AE691" s="42">
        <f>IFERROR(LOOKUP(T691,打分卡!$F$9:$I$9,打分卡!$K$9:$N$9),1)</f>
        <v>1</v>
      </c>
      <c r="AF691" s="42">
        <f>IFERROR(LOOKUP(Q691,打分卡!$F$10:$J$10,打分卡!$K$10:$O$10),1)</f>
        <v>2</v>
      </c>
      <c r="AG691" s="42">
        <f>IFERROR(LOOKUP(R691,打分卡!$F$11:$J$11,打分卡!$K$11:$O$11),1)</f>
        <v>3</v>
      </c>
      <c r="AH691" s="42">
        <f>IFERROR(LOOKUP(U691,打分卡!$F$12:$J$12,打分卡!$K$12:$O$12),1)</f>
        <v>3</v>
      </c>
      <c r="AI691" s="42">
        <f>IFERROR(LOOKUP(X691,打分卡!$F$13:$J$13,打分卡!$K$13:$O$13),1)</f>
        <v>2</v>
      </c>
      <c r="AJ691" s="42">
        <f>IFERROR(LOOKUP(Y691,打分卡!$F$14:$J$14,打分卡!$K$14:$O$14),1)</f>
        <v>4</v>
      </c>
      <c r="AK691" s="42">
        <f>IFERROR(LOOKUP(W691,打分卡!$F$15:$J$15,打分卡!$K$15:$O$15),1)</f>
        <v>1</v>
      </c>
      <c r="AL691" s="45">
        <f t="shared" si="81"/>
        <v>2</v>
      </c>
      <c r="AM691" s="42">
        <f>IFERROR(LOOKUP(Z691,打分卡!$F$17:$H$17,打分卡!$K$17:$M$17),1)</f>
        <v>3</v>
      </c>
      <c r="AN691" s="46">
        <f>(打分卡!$D$7*AC691+打分卡!$D$8*AD691+打分卡!$D$9*AE691)/5</f>
        <v>8</v>
      </c>
      <c r="AO691" s="46">
        <f>(打分卡!$D$10*AF691+打分卡!$D$11*AG691)/5</f>
        <v>10</v>
      </c>
      <c r="AP691" s="46">
        <f>(打分卡!$D$12*AH691+打分卡!$D$13*AI691+打分卡!$D$14*AJ691+打分卡!$D$15*AK691)/5</f>
        <v>16</v>
      </c>
      <c r="AQ691" s="46">
        <f>(打分卡!$D$16*AL691+打分卡!$D$17*AM691)/5</f>
        <v>4.8</v>
      </c>
      <c r="AR691" s="48">
        <f t="shared" si="82"/>
        <v>38.8</v>
      </c>
      <c r="AS691" s="45" t="str">
        <f t="shared" si="83"/>
        <v>基础长尾</v>
      </c>
      <c r="AT691" s="45" t="str">
        <f t="shared" si="84"/>
        <v/>
      </c>
      <c r="AU691" s="45" t="str">
        <f t="shared" si="85"/>
        <v>激活：企微+Push低成本先跑</v>
      </c>
    </row>
    <row r="692" ht="15" customHeight="1" spans="1:47">
      <c r="A692" s="30" t="s">
        <v>2041</v>
      </c>
      <c r="B692" s="31" t="s">
        <v>2042</v>
      </c>
      <c r="C692" s="31" t="s">
        <v>189</v>
      </c>
      <c r="D692" s="31" t="s">
        <v>196</v>
      </c>
      <c r="E692" s="31" t="s">
        <v>197</v>
      </c>
      <c r="F692" s="30" t="s">
        <v>2043</v>
      </c>
      <c r="G692" s="31">
        <v>21</v>
      </c>
      <c r="H692" s="31" t="s">
        <v>301</v>
      </c>
      <c r="I692" s="31" t="s">
        <v>302</v>
      </c>
      <c r="J692" s="33">
        <v>11600</v>
      </c>
      <c r="K692" s="33">
        <v>8600</v>
      </c>
      <c r="L692" s="33">
        <v>3200</v>
      </c>
      <c r="M692" s="33">
        <f t="shared" si="80"/>
        <v>23400</v>
      </c>
      <c r="N692" s="34">
        <f t="shared" si="86"/>
        <v>0.000122677772674942</v>
      </c>
      <c r="O692" s="35">
        <f>SUM($M$2:M692)</f>
        <v>185738500</v>
      </c>
      <c r="P692" s="34">
        <f t="shared" si="87"/>
        <v>0.973760063247207</v>
      </c>
      <c r="Q692" s="37">
        <v>2.5</v>
      </c>
      <c r="R692" s="31">
        <v>5</v>
      </c>
      <c r="S692" s="31">
        <v>2</v>
      </c>
      <c r="T692" s="31">
        <v>0</v>
      </c>
      <c r="U692" s="37">
        <v>69.5</v>
      </c>
      <c r="V692" s="31">
        <v>29</v>
      </c>
      <c r="W692" s="31">
        <v>4</v>
      </c>
      <c r="X692" s="38">
        <v>58</v>
      </c>
      <c r="Y692" s="31">
        <v>0</v>
      </c>
      <c r="Z692" s="31">
        <v>1</v>
      </c>
      <c r="AA692" s="31" t="s">
        <v>185</v>
      </c>
      <c r="AB692" s="31" t="s">
        <v>220</v>
      </c>
      <c r="AC692" s="41">
        <f>IFERROR(LOOKUP(M692,打分卡!$F$7:$J$7,打分卡!$K$7:$O$7),1)</f>
        <v>1</v>
      </c>
      <c r="AD692" s="41">
        <f>IFERROR(LOOKUP(S692,打分卡!$F$8:$J$8,打分卡!$K$8:$O$8),1)</f>
        <v>2</v>
      </c>
      <c r="AE692" s="41">
        <f>IFERROR(LOOKUP(T692,打分卡!$F$9:$I$9,打分卡!$K$9:$N$9),1)</f>
        <v>1</v>
      </c>
      <c r="AF692" s="41">
        <f>IFERROR(LOOKUP(Q692,打分卡!$F$10:$J$10,打分卡!$K$10:$O$10),1)</f>
        <v>2</v>
      </c>
      <c r="AG692" s="41">
        <f>IFERROR(LOOKUP(R692,打分卡!$F$11:$J$11,打分卡!$K$11:$O$11),1)</f>
        <v>3</v>
      </c>
      <c r="AH692" s="41">
        <f>IFERROR(LOOKUP(U692,打分卡!$F$12:$J$12,打分卡!$K$12:$O$12),1)</f>
        <v>5</v>
      </c>
      <c r="AI692" s="41">
        <f>IFERROR(LOOKUP(X692,打分卡!$F$13:$J$13,打分卡!$K$13:$O$13),1)</f>
        <v>3</v>
      </c>
      <c r="AJ692" s="41">
        <f>IFERROR(LOOKUP(Y692,打分卡!$F$14:$J$14,打分卡!$K$14:$O$14),1)</f>
        <v>1</v>
      </c>
      <c r="AK692" s="41">
        <f>IFERROR(LOOKUP(W692,打分卡!$F$15:$J$15,打分卡!$K$15:$O$15),1)</f>
        <v>3</v>
      </c>
      <c r="AL692" s="43">
        <f t="shared" si="81"/>
        <v>3</v>
      </c>
      <c r="AM692" s="41">
        <f>IFERROR(LOOKUP(Z692,打分卡!$F$17:$H$17,打分卡!$K$17:$M$17),1)</f>
        <v>3</v>
      </c>
      <c r="AN692" s="44">
        <f>(打分卡!$D$7*AC692+打分卡!$D$8*AD692+打分卡!$D$9*AE692)/5</f>
        <v>9.6</v>
      </c>
      <c r="AO692" s="44">
        <f>(打分卡!$D$10*AF692+打分卡!$D$11*AG692)/5</f>
        <v>10</v>
      </c>
      <c r="AP692" s="44">
        <f>(打分卡!$D$12*AH692+打分卡!$D$13*AI692+打分卡!$D$14*AJ692+打分卡!$D$15*AK692)/5</f>
        <v>20.4</v>
      </c>
      <c r="AQ692" s="44">
        <f>(打分卡!$D$16*AL692+打分卡!$D$17*AM692)/5</f>
        <v>6</v>
      </c>
      <c r="AR692" s="47">
        <f t="shared" si="82"/>
        <v>46</v>
      </c>
      <c r="AS692" s="43" t="str">
        <f t="shared" si="83"/>
        <v>腰部</v>
      </c>
      <c r="AT692" s="43" t="str">
        <f t="shared" si="84"/>
        <v/>
      </c>
      <c r="AU692" s="43" t="str">
        <f t="shared" si="85"/>
        <v>拉·主攻：主推AI外呼+大促作战包</v>
      </c>
    </row>
    <row r="693" ht="15" customHeight="1" spans="1:47">
      <c r="A693" s="20" t="s">
        <v>2044</v>
      </c>
      <c r="B693" s="22" t="s">
        <v>2045</v>
      </c>
      <c r="C693" s="22" t="s">
        <v>195</v>
      </c>
      <c r="D693" s="22" t="s">
        <v>202</v>
      </c>
      <c r="E693" s="22" t="s">
        <v>181</v>
      </c>
      <c r="F693" s="20" t="s">
        <v>661</v>
      </c>
      <c r="G693" s="22">
        <v>16</v>
      </c>
      <c r="H693" s="22" t="s">
        <v>301</v>
      </c>
      <c r="I693" s="22" t="s">
        <v>302</v>
      </c>
      <c r="J693" s="36">
        <v>13000</v>
      </c>
      <c r="K693" s="36">
        <v>4800</v>
      </c>
      <c r="L693" s="36">
        <v>5600</v>
      </c>
      <c r="M693" s="36">
        <f t="shared" si="80"/>
        <v>23400</v>
      </c>
      <c r="N693" s="34">
        <f t="shared" si="86"/>
        <v>0.000122677772674942</v>
      </c>
      <c r="O693" s="35">
        <f>SUM($M$2:M693)</f>
        <v>185761900</v>
      </c>
      <c r="P693" s="34">
        <f t="shared" si="87"/>
        <v>0.973882741019882</v>
      </c>
      <c r="Q693" s="39">
        <v>3</v>
      </c>
      <c r="R693" s="22">
        <v>8</v>
      </c>
      <c r="S693" s="22">
        <v>2</v>
      </c>
      <c r="T693" s="22">
        <v>0</v>
      </c>
      <c r="U693" s="39">
        <v>8.9</v>
      </c>
      <c r="V693" s="22">
        <v>8</v>
      </c>
      <c r="W693" s="22">
        <v>4</v>
      </c>
      <c r="X693" s="40">
        <v>107</v>
      </c>
      <c r="Y693" s="22">
        <v>0</v>
      </c>
      <c r="Z693" s="22">
        <v>0</v>
      </c>
      <c r="AA693" s="22" t="s">
        <v>185</v>
      </c>
      <c r="AB693" s="22" t="s">
        <v>220</v>
      </c>
      <c r="AC693" s="42">
        <f>IFERROR(LOOKUP(M693,打分卡!$F$7:$J$7,打分卡!$K$7:$O$7),1)</f>
        <v>1</v>
      </c>
      <c r="AD693" s="42">
        <f>IFERROR(LOOKUP(S693,打分卡!$F$8:$J$8,打分卡!$K$8:$O$8),1)</f>
        <v>2</v>
      </c>
      <c r="AE693" s="42">
        <f>IFERROR(LOOKUP(T693,打分卡!$F$9:$I$9,打分卡!$K$9:$N$9),1)</f>
        <v>1</v>
      </c>
      <c r="AF693" s="42">
        <f>IFERROR(LOOKUP(Q693,打分卡!$F$10:$J$10,打分卡!$K$10:$O$10),1)</f>
        <v>2</v>
      </c>
      <c r="AG693" s="42">
        <f>IFERROR(LOOKUP(R693,打分卡!$F$11:$J$11,打分卡!$K$11:$O$11),1)</f>
        <v>3</v>
      </c>
      <c r="AH693" s="42">
        <f>IFERROR(LOOKUP(U693,打分卡!$F$12:$J$12,打分卡!$K$12:$O$12),1)</f>
        <v>2</v>
      </c>
      <c r="AI693" s="42">
        <f>IFERROR(LOOKUP(X693,打分卡!$F$13:$J$13,打分卡!$K$13:$O$13),1)</f>
        <v>4</v>
      </c>
      <c r="AJ693" s="42">
        <f>IFERROR(LOOKUP(Y693,打分卡!$F$14:$J$14,打分卡!$K$14:$O$14),1)</f>
        <v>1</v>
      </c>
      <c r="AK693" s="42">
        <f>IFERROR(LOOKUP(W693,打分卡!$F$15:$J$15,打分卡!$K$15:$O$15),1)</f>
        <v>3</v>
      </c>
      <c r="AL693" s="45">
        <f t="shared" si="81"/>
        <v>3</v>
      </c>
      <c r="AM693" s="42">
        <f>IFERROR(LOOKUP(Z693,打分卡!$F$17:$H$17,打分卡!$K$17:$M$17),1)</f>
        <v>1</v>
      </c>
      <c r="AN693" s="46">
        <f>(打分卡!$D$7*AC693+打分卡!$D$8*AD693+打分卡!$D$9*AE693)/5</f>
        <v>9.6</v>
      </c>
      <c r="AO693" s="46">
        <f>(打分卡!$D$10*AF693+打分卡!$D$11*AG693)/5</f>
        <v>10</v>
      </c>
      <c r="AP693" s="46">
        <f>(打分卡!$D$12*AH693+打分卡!$D$13*AI693+打分卡!$D$14*AJ693+打分卡!$D$15*AK693)/5</f>
        <v>14.8</v>
      </c>
      <c r="AQ693" s="46">
        <f>(打分卡!$D$16*AL693+打分卡!$D$17*AM693)/5</f>
        <v>4.4</v>
      </c>
      <c r="AR693" s="48">
        <f t="shared" si="82"/>
        <v>38.8</v>
      </c>
      <c r="AS693" s="45" t="str">
        <f t="shared" si="83"/>
        <v>基础长尾</v>
      </c>
      <c r="AT693" s="45" t="str">
        <f t="shared" si="84"/>
        <v/>
      </c>
      <c r="AU693" s="45" t="str">
        <f t="shared" si="85"/>
        <v>激活：企微+Push低成本先跑</v>
      </c>
    </row>
    <row r="694" ht="15" customHeight="1" spans="1:47">
      <c r="A694" s="30" t="s">
        <v>2046</v>
      </c>
      <c r="B694" s="31" t="s">
        <v>2047</v>
      </c>
      <c r="C694" s="31" t="s">
        <v>234</v>
      </c>
      <c r="D694" s="31" t="s">
        <v>202</v>
      </c>
      <c r="E694" s="31" t="s">
        <v>181</v>
      </c>
      <c r="F694" s="30" t="s">
        <v>327</v>
      </c>
      <c r="G694" s="31">
        <v>17</v>
      </c>
      <c r="H694" s="31" t="s">
        <v>301</v>
      </c>
      <c r="I694" s="31" t="s">
        <v>302</v>
      </c>
      <c r="J694" s="33">
        <v>12200</v>
      </c>
      <c r="K694" s="33">
        <v>5000</v>
      </c>
      <c r="L694" s="33">
        <v>6200</v>
      </c>
      <c r="M694" s="33">
        <f t="shared" si="80"/>
        <v>23400</v>
      </c>
      <c r="N694" s="34">
        <f t="shared" si="86"/>
        <v>0.000122677772674942</v>
      </c>
      <c r="O694" s="35">
        <f>SUM($M$2:M694)</f>
        <v>185785300</v>
      </c>
      <c r="P694" s="34">
        <f t="shared" si="87"/>
        <v>0.974005418792557</v>
      </c>
      <c r="Q694" s="37">
        <v>1.7</v>
      </c>
      <c r="R694" s="31">
        <v>4</v>
      </c>
      <c r="S694" s="31">
        <v>1</v>
      </c>
      <c r="T694" s="31">
        <v>2</v>
      </c>
      <c r="U694" s="37">
        <v>26.5</v>
      </c>
      <c r="V694" s="31">
        <v>13</v>
      </c>
      <c r="W694" s="31">
        <v>2</v>
      </c>
      <c r="X694" s="38">
        <v>10</v>
      </c>
      <c r="Y694" s="31">
        <v>0</v>
      </c>
      <c r="Z694" s="31">
        <v>0</v>
      </c>
      <c r="AA694" s="31" t="s">
        <v>315</v>
      </c>
      <c r="AB694" s="31" t="s">
        <v>220</v>
      </c>
      <c r="AC694" s="41">
        <f>IFERROR(LOOKUP(M694,打分卡!$F$7:$J$7,打分卡!$K$7:$O$7),1)</f>
        <v>1</v>
      </c>
      <c r="AD694" s="41">
        <f>IFERROR(LOOKUP(S694,打分卡!$F$8:$J$8,打分卡!$K$8:$O$8),1)</f>
        <v>1</v>
      </c>
      <c r="AE694" s="41">
        <f>IFERROR(LOOKUP(T694,打分卡!$F$9:$I$9,打分卡!$K$9:$N$9),1)</f>
        <v>3</v>
      </c>
      <c r="AF694" s="41">
        <f>IFERROR(LOOKUP(Q694,打分卡!$F$10:$J$10,打分卡!$K$10:$O$10),1)</f>
        <v>1</v>
      </c>
      <c r="AG694" s="41">
        <f>IFERROR(LOOKUP(R694,打分卡!$F$11:$J$11,打分卡!$K$11:$O$11),1)</f>
        <v>2</v>
      </c>
      <c r="AH694" s="41">
        <f>IFERROR(LOOKUP(U694,打分卡!$F$12:$J$12,打分卡!$K$12:$O$12),1)</f>
        <v>3</v>
      </c>
      <c r="AI694" s="41">
        <f>IFERROR(LOOKUP(X694,打分卡!$F$13:$J$13,打分卡!$K$13:$O$13),1)</f>
        <v>1</v>
      </c>
      <c r="AJ694" s="41">
        <f>IFERROR(LOOKUP(Y694,打分卡!$F$14:$J$14,打分卡!$K$14:$O$14),1)</f>
        <v>1</v>
      </c>
      <c r="AK694" s="41">
        <f>IFERROR(LOOKUP(W694,打分卡!$F$15:$J$15,打分卡!$K$15:$O$15),1)</f>
        <v>2</v>
      </c>
      <c r="AL694" s="43">
        <f t="shared" si="81"/>
        <v>2</v>
      </c>
      <c r="AM694" s="41">
        <f>IFERROR(LOOKUP(Z694,打分卡!$F$17:$H$17,打分卡!$K$17:$M$17),1)</f>
        <v>1</v>
      </c>
      <c r="AN694" s="44">
        <f>(打分卡!$D$7*AC694+打分卡!$D$8*AD694+打分卡!$D$9*AE694)/5</f>
        <v>10.8</v>
      </c>
      <c r="AO694" s="44">
        <f>(打分卡!$D$10*AF694+打分卡!$D$11*AG694)/5</f>
        <v>6</v>
      </c>
      <c r="AP694" s="44">
        <f>(打分卡!$D$12*AH694+打分卡!$D$13*AI694+打分卡!$D$14*AJ694+打分卡!$D$15*AK694)/5</f>
        <v>11.6</v>
      </c>
      <c r="AQ694" s="44">
        <f>(打分卡!$D$16*AL694+打分卡!$D$17*AM694)/5</f>
        <v>3.2</v>
      </c>
      <c r="AR694" s="47">
        <f t="shared" si="82"/>
        <v>31.6</v>
      </c>
      <c r="AS694" s="43" t="str">
        <f t="shared" si="83"/>
        <v>基础长尾</v>
      </c>
      <c r="AT694" s="43" t="str">
        <f t="shared" si="84"/>
        <v/>
      </c>
      <c r="AU694" s="43" t="str">
        <f t="shared" si="85"/>
        <v>激活：企微+Push低成本先跑</v>
      </c>
    </row>
    <row r="695" ht="15" customHeight="1" spans="1:47">
      <c r="A695" s="20" t="s">
        <v>2048</v>
      </c>
      <c r="B695" s="22" t="s">
        <v>2049</v>
      </c>
      <c r="C695" s="22" t="s">
        <v>223</v>
      </c>
      <c r="D695" s="22" t="s">
        <v>202</v>
      </c>
      <c r="E695" s="22" t="s">
        <v>197</v>
      </c>
      <c r="F695" s="20" t="s">
        <v>681</v>
      </c>
      <c r="G695" s="22">
        <v>19</v>
      </c>
      <c r="H695" s="22" t="s">
        <v>301</v>
      </c>
      <c r="I695" s="22" t="s">
        <v>302</v>
      </c>
      <c r="J695" s="36">
        <v>10500</v>
      </c>
      <c r="K695" s="36">
        <v>6200</v>
      </c>
      <c r="L695" s="36">
        <v>6600</v>
      </c>
      <c r="M695" s="36">
        <f t="shared" si="80"/>
        <v>23300</v>
      </c>
      <c r="N695" s="34">
        <f t="shared" si="86"/>
        <v>0.000122153508689151</v>
      </c>
      <c r="O695" s="35">
        <f>SUM($M$2:M695)</f>
        <v>185808600</v>
      </c>
      <c r="P695" s="34">
        <f t="shared" si="87"/>
        <v>0.974127572301246</v>
      </c>
      <c r="Q695" s="39">
        <v>1.6</v>
      </c>
      <c r="R695" s="22">
        <v>5</v>
      </c>
      <c r="S695" s="22">
        <v>1</v>
      </c>
      <c r="T695" s="22">
        <v>0</v>
      </c>
      <c r="U695" s="39">
        <v>29.4</v>
      </c>
      <c r="V695" s="22">
        <v>8</v>
      </c>
      <c r="W695" s="22">
        <v>1</v>
      </c>
      <c r="X695" s="40">
        <v>148</v>
      </c>
      <c r="Y695" s="22">
        <v>0</v>
      </c>
      <c r="Z695" s="22">
        <v>0</v>
      </c>
      <c r="AA695" s="22" t="s">
        <v>199</v>
      </c>
      <c r="AB695" s="22" t="s">
        <v>220</v>
      </c>
      <c r="AC695" s="42">
        <f>IFERROR(LOOKUP(M695,打分卡!$F$7:$J$7,打分卡!$K$7:$O$7),1)</f>
        <v>1</v>
      </c>
      <c r="AD695" s="42">
        <f>IFERROR(LOOKUP(S695,打分卡!$F$8:$J$8,打分卡!$K$8:$O$8),1)</f>
        <v>1</v>
      </c>
      <c r="AE695" s="42">
        <f>IFERROR(LOOKUP(T695,打分卡!$F$9:$I$9,打分卡!$K$9:$N$9),1)</f>
        <v>1</v>
      </c>
      <c r="AF695" s="42">
        <f>IFERROR(LOOKUP(Q695,打分卡!$F$10:$J$10,打分卡!$K$10:$O$10),1)</f>
        <v>1</v>
      </c>
      <c r="AG695" s="42">
        <f>IFERROR(LOOKUP(R695,打分卡!$F$11:$J$11,打分卡!$K$11:$O$11),1)</f>
        <v>3</v>
      </c>
      <c r="AH695" s="42">
        <f>IFERROR(LOOKUP(U695,打分卡!$F$12:$J$12,打分卡!$K$12:$O$12),1)</f>
        <v>3</v>
      </c>
      <c r="AI695" s="42">
        <f>IFERROR(LOOKUP(X695,打分卡!$F$13:$J$13,打分卡!$K$13:$O$13),1)</f>
        <v>4</v>
      </c>
      <c r="AJ695" s="42">
        <f>IFERROR(LOOKUP(Y695,打分卡!$F$14:$J$14,打分卡!$K$14:$O$14),1)</f>
        <v>1</v>
      </c>
      <c r="AK695" s="42">
        <f>IFERROR(LOOKUP(W695,打分卡!$F$15:$J$15,打分卡!$K$15:$O$15),1)</f>
        <v>2</v>
      </c>
      <c r="AL695" s="45">
        <f t="shared" si="81"/>
        <v>5</v>
      </c>
      <c r="AM695" s="42">
        <f>IFERROR(LOOKUP(Z695,打分卡!$F$17:$H$17,打分卡!$K$17:$M$17),1)</f>
        <v>1</v>
      </c>
      <c r="AN695" s="46">
        <f>(打分卡!$D$7*AC695+打分卡!$D$8*AD695+打分卡!$D$9*AE695)/5</f>
        <v>8</v>
      </c>
      <c r="AO695" s="46">
        <f>(打分卡!$D$10*AF695+打分卡!$D$11*AG695)/5</f>
        <v>8</v>
      </c>
      <c r="AP695" s="46">
        <f>(打分卡!$D$12*AH695+打分卡!$D$13*AI695+打分卡!$D$14*AJ695+打分卡!$D$15*AK695)/5</f>
        <v>16.4</v>
      </c>
      <c r="AQ695" s="46">
        <f>(打分卡!$D$16*AL695+打分卡!$D$17*AM695)/5</f>
        <v>6.8</v>
      </c>
      <c r="AR695" s="48">
        <f t="shared" si="82"/>
        <v>39.2</v>
      </c>
      <c r="AS695" s="45" t="str">
        <f t="shared" si="83"/>
        <v>基础长尾</v>
      </c>
      <c r="AT695" s="45" t="str">
        <f t="shared" si="84"/>
        <v/>
      </c>
      <c r="AU695" s="45" t="str">
        <f t="shared" si="85"/>
        <v>激活：企微+Push低成本先跑</v>
      </c>
    </row>
    <row r="696" ht="15" customHeight="1" spans="1:47">
      <c r="A696" s="30" t="s">
        <v>2050</v>
      </c>
      <c r="B696" s="31" t="s">
        <v>2051</v>
      </c>
      <c r="C696" s="31" t="s">
        <v>239</v>
      </c>
      <c r="D696" s="31" t="s">
        <v>190</v>
      </c>
      <c r="E696" s="31" t="s">
        <v>181</v>
      </c>
      <c r="F696" s="30" t="s">
        <v>1437</v>
      </c>
      <c r="G696" s="31">
        <v>24</v>
      </c>
      <c r="H696" s="31" t="s">
        <v>183</v>
      </c>
      <c r="I696" s="31" t="s">
        <v>302</v>
      </c>
      <c r="J696" s="33">
        <v>11200</v>
      </c>
      <c r="K696" s="33">
        <v>5400</v>
      </c>
      <c r="L696" s="33">
        <v>6800</v>
      </c>
      <c r="M696" s="33">
        <f t="shared" si="80"/>
        <v>23400</v>
      </c>
      <c r="N696" s="34">
        <f t="shared" si="86"/>
        <v>0.000122677772674942</v>
      </c>
      <c r="O696" s="35">
        <f>SUM($M$2:M696)</f>
        <v>185832000</v>
      </c>
      <c r="P696" s="34">
        <f t="shared" si="87"/>
        <v>0.974250250073921</v>
      </c>
      <c r="Q696" s="37">
        <v>2.5</v>
      </c>
      <c r="R696" s="31">
        <v>3</v>
      </c>
      <c r="S696" s="31">
        <v>1</v>
      </c>
      <c r="T696" s="31">
        <v>2</v>
      </c>
      <c r="U696" s="37">
        <v>9.8</v>
      </c>
      <c r="V696" s="31">
        <v>11</v>
      </c>
      <c r="W696" s="31">
        <v>4</v>
      </c>
      <c r="X696" s="38">
        <v>33</v>
      </c>
      <c r="Y696" s="31">
        <v>3</v>
      </c>
      <c r="Z696" s="31">
        <v>1</v>
      </c>
      <c r="AA696" s="31" t="s">
        <v>199</v>
      </c>
      <c r="AB696" s="31" t="s">
        <v>220</v>
      </c>
      <c r="AC696" s="41">
        <f>IFERROR(LOOKUP(M696,打分卡!$F$7:$J$7,打分卡!$K$7:$O$7),1)</f>
        <v>1</v>
      </c>
      <c r="AD696" s="41">
        <f>IFERROR(LOOKUP(S696,打分卡!$F$8:$J$8,打分卡!$K$8:$O$8),1)</f>
        <v>1</v>
      </c>
      <c r="AE696" s="41">
        <f>IFERROR(LOOKUP(T696,打分卡!$F$9:$I$9,打分卡!$K$9:$N$9),1)</f>
        <v>3</v>
      </c>
      <c r="AF696" s="41">
        <f>IFERROR(LOOKUP(Q696,打分卡!$F$10:$J$10,打分卡!$K$10:$O$10),1)</f>
        <v>2</v>
      </c>
      <c r="AG696" s="41">
        <f>IFERROR(LOOKUP(R696,打分卡!$F$11:$J$11,打分卡!$K$11:$O$11),1)</f>
        <v>2</v>
      </c>
      <c r="AH696" s="41">
        <f>IFERROR(LOOKUP(U696,打分卡!$F$12:$J$12,打分卡!$K$12:$O$12),1)</f>
        <v>2</v>
      </c>
      <c r="AI696" s="41">
        <f>IFERROR(LOOKUP(X696,打分卡!$F$13:$J$13,打分卡!$K$13:$O$13),1)</f>
        <v>2</v>
      </c>
      <c r="AJ696" s="41">
        <f>IFERROR(LOOKUP(Y696,打分卡!$F$14:$J$14,打分卡!$K$14:$O$14),1)</f>
        <v>4</v>
      </c>
      <c r="AK696" s="41">
        <f>IFERROR(LOOKUP(W696,打分卡!$F$15:$J$15,打分卡!$K$15:$O$15),1)</f>
        <v>3</v>
      </c>
      <c r="AL696" s="43">
        <f t="shared" si="81"/>
        <v>5</v>
      </c>
      <c r="AM696" s="41">
        <f>IFERROR(LOOKUP(Z696,打分卡!$F$17:$H$17,打分卡!$K$17:$M$17),1)</f>
        <v>3</v>
      </c>
      <c r="AN696" s="44">
        <f>(打分卡!$D$7*AC696+打分卡!$D$8*AD696+打分卡!$D$9*AE696)/5</f>
        <v>10.8</v>
      </c>
      <c r="AO696" s="44">
        <f>(打分卡!$D$10*AF696+打分卡!$D$11*AG696)/5</f>
        <v>8</v>
      </c>
      <c r="AP696" s="44">
        <f>(打分卡!$D$12*AH696+打分卡!$D$13*AI696+打分卡!$D$14*AJ696+打分卡!$D$15*AK696)/5</f>
        <v>15.2</v>
      </c>
      <c r="AQ696" s="44">
        <f>(打分卡!$D$16*AL696+打分卡!$D$17*AM696)/5</f>
        <v>8.4</v>
      </c>
      <c r="AR696" s="47">
        <f t="shared" si="82"/>
        <v>42.4</v>
      </c>
      <c r="AS696" s="43" t="str">
        <f t="shared" si="83"/>
        <v>腰部</v>
      </c>
      <c r="AT696" s="43" t="str">
        <f t="shared" si="84"/>
        <v/>
      </c>
      <c r="AU696" s="43" t="str">
        <f t="shared" si="85"/>
        <v>拉·主攻：主推AI外呼+大促作战包</v>
      </c>
    </row>
    <row r="697" ht="15" customHeight="1" spans="1:47">
      <c r="A697" s="20" t="s">
        <v>2052</v>
      </c>
      <c r="B697" s="22" t="s">
        <v>2053</v>
      </c>
      <c r="C697" s="22" t="s">
        <v>239</v>
      </c>
      <c r="D697" s="22" t="s">
        <v>196</v>
      </c>
      <c r="E697" s="22" t="s">
        <v>197</v>
      </c>
      <c r="F697" s="20" t="s">
        <v>2054</v>
      </c>
      <c r="G697" s="22">
        <v>11</v>
      </c>
      <c r="H697" s="22" t="s">
        <v>183</v>
      </c>
      <c r="I697" s="22" t="s">
        <v>184</v>
      </c>
      <c r="J697" s="36">
        <v>11800</v>
      </c>
      <c r="K697" s="36">
        <v>9200</v>
      </c>
      <c r="L697" s="36">
        <v>2400</v>
      </c>
      <c r="M697" s="36">
        <f t="shared" si="80"/>
        <v>23400</v>
      </c>
      <c r="N697" s="34">
        <f t="shared" si="86"/>
        <v>0.000122677772674942</v>
      </c>
      <c r="O697" s="35">
        <f>SUM($M$2:M697)</f>
        <v>185855400</v>
      </c>
      <c r="P697" s="34">
        <f t="shared" si="87"/>
        <v>0.974372927846596</v>
      </c>
      <c r="Q697" s="39">
        <v>2.9</v>
      </c>
      <c r="R697" s="22">
        <v>2</v>
      </c>
      <c r="S697" s="22">
        <v>3</v>
      </c>
      <c r="T697" s="22">
        <v>1</v>
      </c>
      <c r="U697" s="39">
        <v>58.5</v>
      </c>
      <c r="V697" s="22">
        <v>23</v>
      </c>
      <c r="W697" s="22">
        <v>4</v>
      </c>
      <c r="X697" s="40">
        <v>146</v>
      </c>
      <c r="Y697" s="22">
        <v>3</v>
      </c>
      <c r="Z697" s="22">
        <v>1</v>
      </c>
      <c r="AA697" s="22" t="s">
        <v>315</v>
      </c>
      <c r="AB697" s="22" t="s">
        <v>220</v>
      </c>
      <c r="AC697" s="42">
        <f>IFERROR(LOOKUP(M697,打分卡!$F$7:$J$7,打分卡!$K$7:$O$7),1)</f>
        <v>1</v>
      </c>
      <c r="AD697" s="42">
        <f>IFERROR(LOOKUP(S697,打分卡!$F$8:$J$8,打分卡!$K$8:$O$8),1)</f>
        <v>3</v>
      </c>
      <c r="AE697" s="42">
        <f>IFERROR(LOOKUP(T697,打分卡!$F$9:$I$9,打分卡!$K$9:$N$9),1)</f>
        <v>2</v>
      </c>
      <c r="AF697" s="42">
        <f>IFERROR(LOOKUP(Q697,打分卡!$F$10:$J$10,打分卡!$K$10:$O$10),1)</f>
        <v>2</v>
      </c>
      <c r="AG697" s="42">
        <f>IFERROR(LOOKUP(R697,打分卡!$F$11:$J$11,打分卡!$K$11:$O$11),1)</f>
        <v>1</v>
      </c>
      <c r="AH697" s="42">
        <f>IFERROR(LOOKUP(U697,打分卡!$F$12:$J$12,打分卡!$K$12:$O$12),1)</f>
        <v>4</v>
      </c>
      <c r="AI697" s="42">
        <f>IFERROR(LOOKUP(X697,打分卡!$F$13:$J$13,打分卡!$K$13:$O$13),1)</f>
        <v>4</v>
      </c>
      <c r="AJ697" s="42">
        <f>IFERROR(LOOKUP(Y697,打分卡!$F$14:$J$14,打分卡!$K$14:$O$14),1)</f>
        <v>4</v>
      </c>
      <c r="AK697" s="42">
        <f>IFERROR(LOOKUP(W697,打分卡!$F$15:$J$15,打分卡!$K$15:$O$15),1)</f>
        <v>3</v>
      </c>
      <c r="AL697" s="45">
        <f t="shared" si="81"/>
        <v>2</v>
      </c>
      <c r="AM697" s="42">
        <f>IFERROR(LOOKUP(Z697,打分卡!$F$17:$H$17,打分卡!$K$17:$M$17),1)</f>
        <v>3</v>
      </c>
      <c r="AN697" s="46">
        <f>(打分卡!$D$7*AC697+打分卡!$D$8*AD697+打分卡!$D$9*AE697)/5</f>
        <v>12.6</v>
      </c>
      <c r="AO697" s="46">
        <f>(打分卡!$D$10*AF697+打分卡!$D$11*AG697)/5</f>
        <v>6</v>
      </c>
      <c r="AP697" s="46">
        <f>(打分卡!$D$12*AH697+打分卡!$D$13*AI697+打分卡!$D$14*AJ697+打分卡!$D$15*AK697)/5</f>
        <v>23.2</v>
      </c>
      <c r="AQ697" s="46">
        <f>(打分卡!$D$16*AL697+打分卡!$D$17*AM697)/5</f>
        <v>4.8</v>
      </c>
      <c r="AR697" s="48">
        <f t="shared" si="82"/>
        <v>46.6</v>
      </c>
      <c r="AS697" s="45" t="str">
        <f t="shared" si="83"/>
        <v>腰部</v>
      </c>
      <c r="AT697" s="45" t="str">
        <f t="shared" si="84"/>
        <v/>
      </c>
      <c r="AU697" s="45" t="str">
        <f t="shared" si="85"/>
        <v>拉·主攻：主推AI外呼+大促作战包</v>
      </c>
    </row>
    <row r="698" ht="15" customHeight="1" spans="1:47">
      <c r="A698" s="30" t="s">
        <v>2055</v>
      </c>
      <c r="B698" s="31" t="s">
        <v>2056</v>
      </c>
      <c r="C698" s="31" t="s">
        <v>234</v>
      </c>
      <c r="D698" s="31" t="s">
        <v>190</v>
      </c>
      <c r="E698" s="31" t="s">
        <v>181</v>
      </c>
      <c r="F698" s="30" t="s">
        <v>1322</v>
      </c>
      <c r="G698" s="31">
        <v>18</v>
      </c>
      <c r="H698" s="31" t="s">
        <v>301</v>
      </c>
      <c r="I698" s="31" t="s">
        <v>302</v>
      </c>
      <c r="J698" s="33">
        <v>12100</v>
      </c>
      <c r="K698" s="33">
        <v>6100</v>
      </c>
      <c r="L698" s="33">
        <v>4900</v>
      </c>
      <c r="M698" s="33">
        <f t="shared" si="80"/>
        <v>23100</v>
      </c>
      <c r="N698" s="34">
        <f t="shared" si="86"/>
        <v>0.000121104980717571</v>
      </c>
      <c r="O698" s="35">
        <f>SUM($M$2:M698)</f>
        <v>185878500</v>
      </c>
      <c r="P698" s="34">
        <f t="shared" si="87"/>
        <v>0.974494032827314</v>
      </c>
      <c r="Q698" s="37">
        <v>3.3</v>
      </c>
      <c r="R698" s="31">
        <v>9</v>
      </c>
      <c r="S698" s="31">
        <v>3</v>
      </c>
      <c r="T698" s="31">
        <v>0</v>
      </c>
      <c r="U698" s="37">
        <v>41.4</v>
      </c>
      <c r="V698" s="31">
        <v>6</v>
      </c>
      <c r="W698" s="31">
        <v>4</v>
      </c>
      <c r="X698" s="38">
        <v>69</v>
      </c>
      <c r="Y698" s="31">
        <v>1</v>
      </c>
      <c r="Z698" s="31">
        <v>1</v>
      </c>
      <c r="AA698" s="31" t="s">
        <v>185</v>
      </c>
      <c r="AB698" s="31" t="s">
        <v>220</v>
      </c>
      <c r="AC698" s="41">
        <f>IFERROR(LOOKUP(M698,打分卡!$F$7:$J$7,打分卡!$K$7:$O$7),1)</f>
        <v>1</v>
      </c>
      <c r="AD698" s="41">
        <f>IFERROR(LOOKUP(S698,打分卡!$F$8:$J$8,打分卡!$K$8:$O$8),1)</f>
        <v>3</v>
      </c>
      <c r="AE698" s="41">
        <f>IFERROR(LOOKUP(T698,打分卡!$F$9:$I$9,打分卡!$K$9:$N$9),1)</f>
        <v>1</v>
      </c>
      <c r="AF698" s="41">
        <f>IFERROR(LOOKUP(Q698,打分卡!$F$10:$J$10,打分卡!$K$10:$O$10),1)</f>
        <v>2</v>
      </c>
      <c r="AG698" s="41">
        <f>IFERROR(LOOKUP(R698,打分卡!$F$11:$J$11,打分卡!$K$11:$O$11),1)</f>
        <v>4</v>
      </c>
      <c r="AH698" s="41">
        <f>IFERROR(LOOKUP(U698,打分卡!$F$12:$J$12,打分卡!$K$12:$O$12),1)</f>
        <v>4</v>
      </c>
      <c r="AI698" s="41">
        <f>IFERROR(LOOKUP(X698,打分卡!$F$13:$J$13,打分卡!$K$13:$O$13),1)</f>
        <v>3</v>
      </c>
      <c r="AJ698" s="41">
        <f>IFERROR(LOOKUP(Y698,打分卡!$F$14:$J$14,打分卡!$K$14:$O$14),1)</f>
        <v>2</v>
      </c>
      <c r="AK698" s="41">
        <f>IFERROR(LOOKUP(W698,打分卡!$F$15:$J$15,打分卡!$K$15:$O$15),1)</f>
        <v>3</v>
      </c>
      <c r="AL698" s="43">
        <f t="shared" si="81"/>
        <v>3</v>
      </c>
      <c r="AM698" s="41">
        <f>IFERROR(LOOKUP(Z698,打分卡!$F$17:$H$17,打分卡!$K$17:$M$17),1)</f>
        <v>3</v>
      </c>
      <c r="AN698" s="44">
        <f>(打分卡!$D$7*AC698+打分卡!$D$8*AD698+打分卡!$D$9*AE698)/5</f>
        <v>11.2</v>
      </c>
      <c r="AO698" s="44">
        <f>(打分卡!$D$10*AF698+打分卡!$D$11*AG698)/5</f>
        <v>12</v>
      </c>
      <c r="AP698" s="44">
        <f>(打分卡!$D$12*AH698+打分卡!$D$13*AI698+打分卡!$D$14*AJ698+打分卡!$D$15*AK698)/5</f>
        <v>19.2</v>
      </c>
      <c r="AQ698" s="44">
        <f>(打分卡!$D$16*AL698+打分卡!$D$17*AM698)/5</f>
        <v>6</v>
      </c>
      <c r="AR698" s="47">
        <f t="shared" si="82"/>
        <v>48.4</v>
      </c>
      <c r="AS698" s="43" t="str">
        <f t="shared" si="83"/>
        <v>腰部</v>
      </c>
      <c r="AT698" s="43" t="str">
        <f t="shared" si="84"/>
        <v/>
      </c>
      <c r="AU698" s="43" t="str">
        <f t="shared" si="85"/>
        <v>拉·主攻：主推AI外呼+大促作战包</v>
      </c>
    </row>
    <row r="699" ht="15" customHeight="1" spans="1:47">
      <c r="A699" s="20" t="s">
        <v>2057</v>
      </c>
      <c r="B699" s="22" t="s">
        <v>2058</v>
      </c>
      <c r="C699" s="22" t="s">
        <v>218</v>
      </c>
      <c r="D699" s="22" t="s">
        <v>202</v>
      </c>
      <c r="E699" s="22" t="s">
        <v>181</v>
      </c>
      <c r="F699" s="20" t="s">
        <v>1166</v>
      </c>
      <c r="G699" s="22">
        <v>3</v>
      </c>
      <c r="H699" s="22" t="s">
        <v>301</v>
      </c>
      <c r="I699" s="22" t="s">
        <v>302</v>
      </c>
      <c r="J699" s="36">
        <v>12500</v>
      </c>
      <c r="K699" s="36">
        <v>5800</v>
      </c>
      <c r="L699" s="36">
        <v>4800</v>
      </c>
      <c r="M699" s="36">
        <f t="shared" si="80"/>
        <v>23100</v>
      </c>
      <c r="N699" s="34">
        <f t="shared" si="86"/>
        <v>0.000121104980717571</v>
      </c>
      <c r="O699" s="35">
        <f>SUM($M$2:M699)</f>
        <v>185901600</v>
      </c>
      <c r="P699" s="34">
        <f t="shared" si="87"/>
        <v>0.974615137808031</v>
      </c>
      <c r="Q699" s="39">
        <v>1.9</v>
      </c>
      <c r="R699" s="22">
        <v>9</v>
      </c>
      <c r="S699" s="22">
        <v>2</v>
      </c>
      <c r="T699" s="22">
        <v>2</v>
      </c>
      <c r="U699" s="39">
        <v>42</v>
      </c>
      <c r="V699" s="22">
        <v>5</v>
      </c>
      <c r="W699" s="22">
        <v>2</v>
      </c>
      <c r="X699" s="40">
        <v>78</v>
      </c>
      <c r="Y699" s="22">
        <v>2</v>
      </c>
      <c r="Z699" s="22">
        <v>1</v>
      </c>
      <c r="AA699" s="22" t="s">
        <v>199</v>
      </c>
      <c r="AB699" s="22" t="s">
        <v>220</v>
      </c>
      <c r="AC699" s="42">
        <f>IFERROR(LOOKUP(M699,打分卡!$F$7:$J$7,打分卡!$K$7:$O$7),1)</f>
        <v>1</v>
      </c>
      <c r="AD699" s="42">
        <f>IFERROR(LOOKUP(S699,打分卡!$F$8:$J$8,打分卡!$K$8:$O$8),1)</f>
        <v>2</v>
      </c>
      <c r="AE699" s="42">
        <f>IFERROR(LOOKUP(T699,打分卡!$F$9:$I$9,打分卡!$K$9:$N$9),1)</f>
        <v>3</v>
      </c>
      <c r="AF699" s="42">
        <f>IFERROR(LOOKUP(Q699,打分卡!$F$10:$J$10,打分卡!$K$10:$O$10),1)</f>
        <v>1</v>
      </c>
      <c r="AG699" s="42">
        <f>IFERROR(LOOKUP(R699,打分卡!$F$11:$J$11,打分卡!$K$11:$O$11),1)</f>
        <v>4</v>
      </c>
      <c r="AH699" s="42">
        <f>IFERROR(LOOKUP(U699,打分卡!$F$12:$J$12,打分卡!$K$12:$O$12),1)</f>
        <v>4</v>
      </c>
      <c r="AI699" s="42">
        <f>IFERROR(LOOKUP(X699,打分卡!$F$13:$J$13,打分卡!$K$13:$O$13),1)</f>
        <v>3</v>
      </c>
      <c r="AJ699" s="42">
        <f>IFERROR(LOOKUP(Y699,打分卡!$F$14:$J$14,打分卡!$K$14:$O$14),1)</f>
        <v>3</v>
      </c>
      <c r="AK699" s="42">
        <f>IFERROR(LOOKUP(W699,打分卡!$F$15:$J$15,打分卡!$K$15:$O$15),1)</f>
        <v>2</v>
      </c>
      <c r="AL699" s="45">
        <f t="shared" si="81"/>
        <v>5</v>
      </c>
      <c r="AM699" s="42">
        <f>IFERROR(LOOKUP(Z699,打分卡!$F$17:$H$17,打分卡!$K$17:$M$17),1)</f>
        <v>3</v>
      </c>
      <c r="AN699" s="46">
        <f>(打分卡!$D$7*AC699+打分卡!$D$8*AD699+打分卡!$D$9*AE699)/5</f>
        <v>12.4</v>
      </c>
      <c r="AO699" s="46">
        <f>(打分卡!$D$10*AF699+打分卡!$D$11*AG699)/5</f>
        <v>10</v>
      </c>
      <c r="AP699" s="46">
        <f>(打分卡!$D$12*AH699+打分卡!$D$13*AI699+打分卡!$D$14*AJ699+打分卡!$D$15*AK699)/5</f>
        <v>19.6</v>
      </c>
      <c r="AQ699" s="46">
        <f>(打分卡!$D$16*AL699+打分卡!$D$17*AM699)/5</f>
        <v>8.4</v>
      </c>
      <c r="AR699" s="48">
        <f t="shared" si="82"/>
        <v>50.4</v>
      </c>
      <c r="AS699" s="45" t="str">
        <f t="shared" si="83"/>
        <v>腰部</v>
      </c>
      <c r="AT699" s="45" t="str">
        <f t="shared" si="84"/>
        <v/>
      </c>
      <c r="AU699" s="45" t="str">
        <f t="shared" si="85"/>
        <v>拉·主攻：主推AI外呼+大促作战包</v>
      </c>
    </row>
    <row r="700" ht="15" customHeight="1" spans="1:47">
      <c r="A700" s="30" t="s">
        <v>2059</v>
      </c>
      <c r="B700" s="31" t="s">
        <v>2060</v>
      </c>
      <c r="C700" s="31" t="s">
        <v>195</v>
      </c>
      <c r="D700" s="31" t="s">
        <v>227</v>
      </c>
      <c r="E700" s="31" t="s">
        <v>181</v>
      </c>
      <c r="F700" s="30" t="s">
        <v>1416</v>
      </c>
      <c r="G700" s="31">
        <v>14</v>
      </c>
      <c r="H700" s="31" t="s">
        <v>301</v>
      </c>
      <c r="I700" s="31" t="s">
        <v>184</v>
      </c>
      <c r="J700" s="33">
        <v>11700</v>
      </c>
      <c r="K700" s="33">
        <v>6800</v>
      </c>
      <c r="L700" s="33">
        <v>4500</v>
      </c>
      <c r="M700" s="33">
        <f t="shared" si="80"/>
        <v>23000</v>
      </c>
      <c r="N700" s="34">
        <f t="shared" si="86"/>
        <v>0.00012058071673178</v>
      </c>
      <c r="O700" s="35">
        <f>SUM($M$2:M700)</f>
        <v>185924600</v>
      </c>
      <c r="P700" s="34">
        <f t="shared" si="87"/>
        <v>0.974735718524763</v>
      </c>
      <c r="Q700" s="37">
        <v>2.2</v>
      </c>
      <c r="R700" s="31">
        <v>6</v>
      </c>
      <c r="S700" s="31">
        <v>2</v>
      </c>
      <c r="T700" s="31">
        <v>2</v>
      </c>
      <c r="U700" s="37">
        <v>21.3</v>
      </c>
      <c r="V700" s="31">
        <v>16</v>
      </c>
      <c r="W700" s="31">
        <v>1</v>
      </c>
      <c r="X700" s="38">
        <v>14</v>
      </c>
      <c r="Y700" s="31">
        <v>2</v>
      </c>
      <c r="Z700" s="31">
        <v>1</v>
      </c>
      <c r="AA700" s="31" t="s">
        <v>315</v>
      </c>
      <c r="AB700" s="31" t="s">
        <v>220</v>
      </c>
      <c r="AC700" s="41">
        <f>IFERROR(LOOKUP(M700,打分卡!$F$7:$J$7,打分卡!$K$7:$O$7),1)</f>
        <v>1</v>
      </c>
      <c r="AD700" s="41">
        <f>IFERROR(LOOKUP(S700,打分卡!$F$8:$J$8,打分卡!$K$8:$O$8),1)</f>
        <v>2</v>
      </c>
      <c r="AE700" s="41">
        <f>IFERROR(LOOKUP(T700,打分卡!$F$9:$I$9,打分卡!$K$9:$N$9),1)</f>
        <v>3</v>
      </c>
      <c r="AF700" s="41">
        <f>IFERROR(LOOKUP(Q700,打分卡!$F$10:$J$10,打分卡!$K$10:$O$10),1)</f>
        <v>1</v>
      </c>
      <c r="AG700" s="41">
        <f>IFERROR(LOOKUP(R700,打分卡!$F$11:$J$11,打分卡!$K$11:$O$11),1)</f>
        <v>3</v>
      </c>
      <c r="AH700" s="41">
        <f>IFERROR(LOOKUP(U700,打分卡!$F$12:$J$12,打分卡!$K$12:$O$12),1)</f>
        <v>3</v>
      </c>
      <c r="AI700" s="41">
        <f>IFERROR(LOOKUP(X700,打分卡!$F$13:$J$13,打分卡!$K$13:$O$13),1)</f>
        <v>1</v>
      </c>
      <c r="AJ700" s="41">
        <f>IFERROR(LOOKUP(Y700,打分卡!$F$14:$J$14,打分卡!$K$14:$O$14),1)</f>
        <v>3</v>
      </c>
      <c r="AK700" s="41">
        <f>IFERROR(LOOKUP(W700,打分卡!$F$15:$J$15,打分卡!$K$15:$O$15),1)</f>
        <v>2</v>
      </c>
      <c r="AL700" s="43">
        <f t="shared" si="81"/>
        <v>2</v>
      </c>
      <c r="AM700" s="41">
        <f>IFERROR(LOOKUP(Z700,打分卡!$F$17:$H$17,打分卡!$K$17:$M$17),1)</f>
        <v>3</v>
      </c>
      <c r="AN700" s="44">
        <f>(打分卡!$D$7*AC700+打分卡!$D$8*AD700+打分卡!$D$9*AE700)/5</f>
        <v>12.4</v>
      </c>
      <c r="AO700" s="44">
        <f>(打分卡!$D$10*AF700+打分卡!$D$11*AG700)/5</f>
        <v>8</v>
      </c>
      <c r="AP700" s="44">
        <f>(打分卡!$D$12*AH700+打分卡!$D$13*AI700+打分卡!$D$14*AJ700+打分卡!$D$15*AK700)/5</f>
        <v>14</v>
      </c>
      <c r="AQ700" s="44">
        <f>(打分卡!$D$16*AL700+打分卡!$D$17*AM700)/5</f>
        <v>4.8</v>
      </c>
      <c r="AR700" s="47">
        <f t="shared" si="82"/>
        <v>39.2</v>
      </c>
      <c r="AS700" s="43" t="str">
        <f t="shared" si="83"/>
        <v>基础长尾</v>
      </c>
      <c r="AT700" s="43" t="str">
        <f t="shared" si="84"/>
        <v/>
      </c>
      <c r="AU700" s="43" t="str">
        <f t="shared" si="85"/>
        <v>激活：企微+Push低成本先跑</v>
      </c>
    </row>
    <row r="701" ht="15" customHeight="1" spans="1:47">
      <c r="A701" s="20" t="s">
        <v>2061</v>
      </c>
      <c r="B701" s="22" t="s">
        <v>2062</v>
      </c>
      <c r="C701" s="22" t="s">
        <v>218</v>
      </c>
      <c r="D701" s="22" t="s">
        <v>180</v>
      </c>
      <c r="E701" s="22" t="s">
        <v>181</v>
      </c>
      <c r="F701" s="20" t="s">
        <v>2063</v>
      </c>
      <c r="G701" s="22">
        <v>16</v>
      </c>
      <c r="H701" s="22" t="s">
        <v>301</v>
      </c>
      <c r="I701" s="22" t="s">
        <v>184</v>
      </c>
      <c r="J701" s="36">
        <v>12600</v>
      </c>
      <c r="K701" s="36">
        <v>9000</v>
      </c>
      <c r="L701" s="36">
        <v>1100</v>
      </c>
      <c r="M701" s="36">
        <f t="shared" si="80"/>
        <v>22700</v>
      </c>
      <c r="N701" s="34">
        <f t="shared" si="86"/>
        <v>0.000119007924774409</v>
      </c>
      <c r="O701" s="35">
        <f>SUM($M$2:M701)</f>
        <v>185947300</v>
      </c>
      <c r="P701" s="34">
        <f t="shared" si="87"/>
        <v>0.974854726449538</v>
      </c>
      <c r="Q701" s="39">
        <v>2.8</v>
      </c>
      <c r="R701" s="22">
        <v>8</v>
      </c>
      <c r="S701" s="22">
        <v>2</v>
      </c>
      <c r="T701" s="22">
        <v>2</v>
      </c>
      <c r="U701" s="39">
        <v>35.9</v>
      </c>
      <c r="V701" s="22">
        <v>11</v>
      </c>
      <c r="W701" s="22">
        <v>1</v>
      </c>
      <c r="X701" s="40">
        <v>26</v>
      </c>
      <c r="Y701" s="22">
        <v>0</v>
      </c>
      <c r="Z701" s="22">
        <v>1</v>
      </c>
      <c r="AA701" s="22" t="s">
        <v>185</v>
      </c>
      <c r="AB701" s="22" t="s">
        <v>220</v>
      </c>
      <c r="AC701" s="42">
        <f>IFERROR(LOOKUP(M701,打分卡!$F$7:$J$7,打分卡!$K$7:$O$7),1)</f>
        <v>1</v>
      </c>
      <c r="AD701" s="42">
        <f>IFERROR(LOOKUP(S701,打分卡!$F$8:$J$8,打分卡!$K$8:$O$8),1)</f>
        <v>2</v>
      </c>
      <c r="AE701" s="42">
        <f>IFERROR(LOOKUP(T701,打分卡!$F$9:$I$9,打分卡!$K$9:$N$9),1)</f>
        <v>3</v>
      </c>
      <c r="AF701" s="42">
        <f>IFERROR(LOOKUP(Q701,打分卡!$F$10:$J$10,打分卡!$K$10:$O$10),1)</f>
        <v>2</v>
      </c>
      <c r="AG701" s="42">
        <f>IFERROR(LOOKUP(R701,打分卡!$F$11:$J$11,打分卡!$K$11:$O$11),1)</f>
        <v>3</v>
      </c>
      <c r="AH701" s="42">
        <f>IFERROR(LOOKUP(U701,打分卡!$F$12:$J$12,打分卡!$K$12:$O$12),1)</f>
        <v>4</v>
      </c>
      <c r="AI701" s="42">
        <f>IFERROR(LOOKUP(X701,打分卡!$F$13:$J$13,打分卡!$K$13:$O$13),1)</f>
        <v>2</v>
      </c>
      <c r="AJ701" s="42">
        <f>IFERROR(LOOKUP(Y701,打分卡!$F$14:$J$14,打分卡!$K$14:$O$14),1)</f>
        <v>1</v>
      </c>
      <c r="AK701" s="42">
        <f>IFERROR(LOOKUP(W701,打分卡!$F$15:$J$15,打分卡!$K$15:$O$15),1)</f>
        <v>2</v>
      </c>
      <c r="AL701" s="45">
        <f t="shared" si="81"/>
        <v>3</v>
      </c>
      <c r="AM701" s="42">
        <f>IFERROR(LOOKUP(Z701,打分卡!$F$17:$H$17,打分卡!$K$17:$M$17),1)</f>
        <v>3</v>
      </c>
      <c r="AN701" s="46">
        <f>(打分卡!$D$7*AC701+打分卡!$D$8*AD701+打分卡!$D$9*AE701)/5</f>
        <v>12.4</v>
      </c>
      <c r="AO701" s="46">
        <f>(打分卡!$D$10*AF701+打分卡!$D$11*AG701)/5</f>
        <v>10</v>
      </c>
      <c r="AP701" s="46">
        <f>(打分卡!$D$12*AH701+打分卡!$D$13*AI701+打分卡!$D$14*AJ701+打分卡!$D$15*AK701)/5</f>
        <v>15.6</v>
      </c>
      <c r="AQ701" s="46">
        <f>(打分卡!$D$16*AL701+打分卡!$D$17*AM701)/5</f>
        <v>6</v>
      </c>
      <c r="AR701" s="48">
        <f t="shared" si="82"/>
        <v>44</v>
      </c>
      <c r="AS701" s="45" t="str">
        <f t="shared" si="83"/>
        <v>腰部</v>
      </c>
      <c r="AT701" s="45" t="str">
        <f t="shared" si="84"/>
        <v/>
      </c>
      <c r="AU701" s="45" t="str">
        <f t="shared" si="85"/>
        <v>拉·主攻：主推AI外呼+大促作战包</v>
      </c>
    </row>
    <row r="702" ht="15" customHeight="1" spans="1:47">
      <c r="A702" s="30" t="s">
        <v>2064</v>
      </c>
      <c r="B702" s="31" t="s">
        <v>2065</v>
      </c>
      <c r="C702" s="31" t="s">
        <v>209</v>
      </c>
      <c r="D702" s="31" t="s">
        <v>190</v>
      </c>
      <c r="E702" s="31" t="s">
        <v>181</v>
      </c>
      <c r="F702" s="30" t="s">
        <v>1351</v>
      </c>
      <c r="G702" s="31">
        <v>16</v>
      </c>
      <c r="H702" s="31" t="s">
        <v>301</v>
      </c>
      <c r="I702" s="31" t="s">
        <v>302</v>
      </c>
      <c r="J702" s="33">
        <v>10600</v>
      </c>
      <c r="K702" s="33">
        <v>7400</v>
      </c>
      <c r="L702" s="33">
        <v>4700</v>
      </c>
      <c r="M702" s="33">
        <f t="shared" si="80"/>
        <v>22700</v>
      </c>
      <c r="N702" s="34">
        <f t="shared" si="86"/>
        <v>0.000119007924774409</v>
      </c>
      <c r="O702" s="35">
        <f>SUM($M$2:M702)</f>
        <v>185970000</v>
      </c>
      <c r="P702" s="34">
        <f t="shared" si="87"/>
        <v>0.974973734374312</v>
      </c>
      <c r="Q702" s="37">
        <v>1.7</v>
      </c>
      <c r="R702" s="31">
        <v>9</v>
      </c>
      <c r="S702" s="31">
        <v>1</v>
      </c>
      <c r="T702" s="31">
        <v>0</v>
      </c>
      <c r="U702" s="37">
        <v>3.4</v>
      </c>
      <c r="V702" s="31">
        <v>21</v>
      </c>
      <c r="W702" s="31">
        <v>3</v>
      </c>
      <c r="X702" s="38">
        <v>104</v>
      </c>
      <c r="Y702" s="31">
        <v>3</v>
      </c>
      <c r="Z702" s="31">
        <v>0</v>
      </c>
      <c r="AA702" s="31" t="s">
        <v>185</v>
      </c>
      <c r="AB702" s="31" t="s">
        <v>220</v>
      </c>
      <c r="AC702" s="41">
        <f>IFERROR(LOOKUP(M702,打分卡!$F$7:$J$7,打分卡!$K$7:$O$7),1)</f>
        <v>1</v>
      </c>
      <c r="AD702" s="41">
        <f>IFERROR(LOOKUP(S702,打分卡!$F$8:$J$8,打分卡!$K$8:$O$8),1)</f>
        <v>1</v>
      </c>
      <c r="AE702" s="41">
        <f>IFERROR(LOOKUP(T702,打分卡!$F$9:$I$9,打分卡!$K$9:$N$9),1)</f>
        <v>1</v>
      </c>
      <c r="AF702" s="41">
        <f>IFERROR(LOOKUP(Q702,打分卡!$F$10:$J$10,打分卡!$K$10:$O$10),1)</f>
        <v>1</v>
      </c>
      <c r="AG702" s="41">
        <f>IFERROR(LOOKUP(R702,打分卡!$F$11:$J$11,打分卡!$K$11:$O$11),1)</f>
        <v>4</v>
      </c>
      <c r="AH702" s="41">
        <f>IFERROR(LOOKUP(U702,打分卡!$F$12:$J$12,打分卡!$K$12:$O$12),1)</f>
        <v>2</v>
      </c>
      <c r="AI702" s="41">
        <f>IFERROR(LOOKUP(X702,打分卡!$F$13:$J$13,打分卡!$K$13:$O$13),1)</f>
        <v>4</v>
      </c>
      <c r="AJ702" s="41">
        <f>IFERROR(LOOKUP(Y702,打分卡!$F$14:$J$14,打分卡!$K$14:$O$14),1)</f>
        <v>4</v>
      </c>
      <c r="AK702" s="41">
        <f>IFERROR(LOOKUP(W702,打分卡!$F$15:$J$15,打分卡!$K$15:$O$15),1)</f>
        <v>3</v>
      </c>
      <c r="AL702" s="43">
        <f t="shared" si="81"/>
        <v>3</v>
      </c>
      <c r="AM702" s="41">
        <f>IFERROR(LOOKUP(Z702,打分卡!$F$17:$H$17,打分卡!$K$17:$M$17),1)</f>
        <v>1</v>
      </c>
      <c r="AN702" s="44">
        <f>(打分卡!$D$7*AC702+打分卡!$D$8*AD702+打分卡!$D$9*AE702)/5</f>
        <v>8</v>
      </c>
      <c r="AO702" s="44">
        <f>(打分卡!$D$10*AF702+打分卡!$D$11*AG702)/5</f>
        <v>10</v>
      </c>
      <c r="AP702" s="44">
        <f>(打分卡!$D$12*AH702+打分卡!$D$13*AI702+打分卡!$D$14*AJ702+打分卡!$D$15*AK702)/5</f>
        <v>18.4</v>
      </c>
      <c r="AQ702" s="44">
        <f>(打分卡!$D$16*AL702+打分卡!$D$17*AM702)/5</f>
        <v>4.4</v>
      </c>
      <c r="AR702" s="47">
        <f t="shared" si="82"/>
        <v>40.8</v>
      </c>
      <c r="AS702" s="43" t="str">
        <f t="shared" si="83"/>
        <v>腰部</v>
      </c>
      <c r="AT702" s="43" t="str">
        <f t="shared" si="84"/>
        <v/>
      </c>
      <c r="AU702" s="43" t="str">
        <f t="shared" si="85"/>
        <v>拉·主攻：主推AI外呼+大促作战包</v>
      </c>
    </row>
    <row r="703" ht="15" customHeight="1" spans="1:47">
      <c r="A703" s="20" t="s">
        <v>2066</v>
      </c>
      <c r="B703" s="22" t="s">
        <v>2067</v>
      </c>
      <c r="C703" s="22" t="s">
        <v>189</v>
      </c>
      <c r="D703" s="22" t="s">
        <v>202</v>
      </c>
      <c r="E703" s="22" t="s">
        <v>181</v>
      </c>
      <c r="F703" s="20" t="s">
        <v>769</v>
      </c>
      <c r="G703" s="22">
        <v>24</v>
      </c>
      <c r="H703" s="22" t="s">
        <v>301</v>
      </c>
      <c r="I703" s="22" t="s">
        <v>184</v>
      </c>
      <c r="J703" s="36">
        <v>13000</v>
      </c>
      <c r="K703" s="36">
        <v>8100</v>
      </c>
      <c r="L703" s="36">
        <v>1600</v>
      </c>
      <c r="M703" s="36">
        <f t="shared" si="80"/>
        <v>22700</v>
      </c>
      <c r="N703" s="34">
        <f t="shared" si="86"/>
        <v>0.000119007924774409</v>
      </c>
      <c r="O703" s="35">
        <f>SUM($M$2:M703)</f>
        <v>185992700</v>
      </c>
      <c r="P703" s="34">
        <f t="shared" si="87"/>
        <v>0.975092742299086</v>
      </c>
      <c r="Q703" s="39">
        <v>2.2</v>
      </c>
      <c r="R703" s="22">
        <v>2</v>
      </c>
      <c r="S703" s="22">
        <v>1</v>
      </c>
      <c r="T703" s="22">
        <v>1</v>
      </c>
      <c r="U703" s="39">
        <v>26.9</v>
      </c>
      <c r="V703" s="22">
        <v>19</v>
      </c>
      <c r="W703" s="22">
        <v>4</v>
      </c>
      <c r="X703" s="40">
        <v>13</v>
      </c>
      <c r="Y703" s="22">
        <v>3</v>
      </c>
      <c r="Z703" s="22">
        <v>0</v>
      </c>
      <c r="AA703" s="22" t="s">
        <v>185</v>
      </c>
      <c r="AB703" s="22" t="s">
        <v>220</v>
      </c>
      <c r="AC703" s="42">
        <f>IFERROR(LOOKUP(M703,打分卡!$F$7:$J$7,打分卡!$K$7:$O$7),1)</f>
        <v>1</v>
      </c>
      <c r="AD703" s="42">
        <f>IFERROR(LOOKUP(S703,打分卡!$F$8:$J$8,打分卡!$K$8:$O$8),1)</f>
        <v>1</v>
      </c>
      <c r="AE703" s="42">
        <f>IFERROR(LOOKUP(T703,打分卡!$F$9:$I$9,打分卡!$K$9:$N$9),1)</f>
        <v>2</v>
      </c>
      <c r="AF703" s="42">
        <f>IFERROR(LOOKUP(Q703,打分卡!$F$10:$J$10,打分卡!$K$10:$O$10),1)</f>
        <v>1</v>
      </c>
      <c r="AG703" s="42">
        <f>IFERROR(LOOKUP(R703,打分卡!$F$11:$J$11,打分卡!$K$11:$O$11),1)</f>
        <v>1</v>
      </c>
      <c r="AH703" s="42">
        <f>IFERROR(LOOKUP(U703,打分卡!$F$12:$J$12,打分卡!$K$12:$O$12),1)</f>
        <v>3</v>
      </c>
      <c r="AI703" s="42">
        <f>IFERROR(LOOKUP(X703,打分卡!$F$13:$J$13,打分卡!$K$13:$O$13),1)</f>
        <v>1</v>
      </c>
      <c r="AJ703" s="42">
        <f>IFERROR(LOOKUP(Y703,打分卡!$F$14:$J$14,打分卡!$K$14:$O$14),1)</f>
        <v>4</v>
      </c>
      <c r="AK703" s="42">
        <f>IFERROR(LOOKUP(W703,打分卡!$F$15:$J$15,打分卡!$K$15:$O$15),1)</f>
        <v>3</v>
      </c>
      <c r="AL703" s="45">
        <f t="shared" si="81"/>
        <v>3</v>
      </c>
      <c r="AM703" s="42">
        <f>IFERROR(LOOKUP(Z703,打分卡!$F$17:$H$17,打分卡!$K$17:$M$17),1)</f>
        <v>1</v>
      </c>
      <c r="AN703" s="46">
        <f>(打分卡!$D$7*AC703+打分卡!$D$8*AD703+打分卡!$D$9*AE703)/5</f>
        <v>9.4</v>
      </c>
      <c r="AO703" s="46">
        <f>(打分卡!$D$10*AF703+打分卡!$D$11*AG703)/5</f>
        <v>4</v>
      </c>
      <c r="AP703" s="46">
        <f>(打分卡!$D$12*AH703+打分卡!$D$13*AI703+打分卡!$D$14*AJ703+打分卡!$D$15*AK703)/5</f>
        <v>16</v>
      </c>
      <c r="AQ703" s="46">
        <f>(打分卡!$D$16*AL703+打分卡!$D$17*AM703)/5</f>
        <v>4.4</v>
      </c>
      <c r="AR703" s="48">
        <f t="shared" si="82"/>
        <v>33.8</v>
      </c>
      <c r="AS703" s="45" t="str">
        <f t="shared" si="83"/>
        <v>基础长尾</v>
      </c>
      <c r="AT703" s="45" t="str">
        <f t="shared" si="84"/>
        <v/>
      </c>
      <c r="AU703" s="45" t="str">
        <f t="shared" si="85"/>
        <v>激活：企微+Push低成本先跑</v>
      </c>
    </row>
    <row r="704" ht="15" customHeight="1" spans="1:47">
      <c r="A704" s="30" t="s">
        <v>2068</v>
      </c>
      <c r="B704" s="31" t="s">
        <v>2069</v>
      </c>
      <c r="C704" s="31" t="s">
        <v>239</v>
      </c>
      <c r="D704" s="31" t="s">
        <v>196</v>
      </c>
      <c r="E704" s="31" t="s">
        <v>197</v>
      </c>
      <c r="F704" s="30" t="s">
        <v>2070</v>
      </c>
      <c r="G704" s="31">
        <v>5</v>
      </c>
      <c r="H704" s="31" t="s">
        <v>301</v>
      </c>
      <c r="I704" s="31" t="s">
        <v>302</v>
      </c>
      <c r="J704" s="33">
        <v>12300</v>
      </c>
      <c r="K704" s="33">
        <v>6000</v>
      </c>
      <c r="L704" s="33">
        <v>4200</v>
      </c>
      <c r="M704" s="33">
        <f t="shared" si="80"/>
        <v>22500</v>
      </c>
      <c r="N704" s="34">
        <f t="shared" si="86"/>
        <v>0.000117959396802829</v>
      </c>
      <c r="O704" s="35">
        <f>SUM($M$2:M704)</f>
        <v>186015200</v>
      </c>
      <c r="P704" s="34">
        <f t="shared" si="87"/>
        <v>0.975210701695889</v>
      </c>
      <c r="Q704" s="37">
        <v>3.3</v>
      </c>
      <c r="R704" s="31">
        <v>10</v>
      </c>
      <c r="S704" s="31">
        <v>1</v>
      </c>
      <c r="T704" s="31">
        <v>2</v>
      </c>
      <c r="U704" s="37">
        <v>26.6</v>
      </c>
      <c r="V704" s="31">
        <v>6</v>
      </c>
      <c r="W704" s="31">
        <v>3</v>
      </c>
      <c r="X704" s="38">
        <v>121</v>
      </c>
      <c r="Y704" s="31">
        <v>0</v>
      </c>
      <c r="Z704" s="31">
        <v>0</v>
      </c>
      <c r="AA704" s="31" t="s">
        <v>199</v>
      </c>
      <c r="AB704" s="31" t="s">
        <v>220</v>
      </c>
      <c r="AC704" s="41">
        <f>IFERROR(LOOKUP(M704,打分卡!$F$7:$J$7,打分卡!$K$7:$O$7),1)</f>
        <v>1</v>
      </c>
      <c r="AD704" s="41">
        <f>IFERROR(LOOKUP(S704,打分卡!$F$8:$J$8,打分卡!$K$8:$O$8),1)</f>
        <v>1</v>
      </c>
      <c r="AE704" s="41">
        <f>IFERROR(LOOKUP(T704,打分卡!$F$9:$I$9,打分卡!$K$9:$N$9),1)</f>
        <v>3</v>
      </c>
      <c r="AF704" s="41">
        <f>IFERROR(LOOKUP(Q704,打分卡!$F$10:$J$10,打分卡!$K$10:$O$10),1)</f>
        <v>2</v>
      </c>
      <c r="AG704" s="41">
        <f>IFERROR(LOOKUP(R704,打分卡!$F$11:$J$11,打分卡!$K$11:$O$11),1)</f>
        <v>4</v>
      </c>
      <c r="AH704" s="41">
        <f>IFERROR(LOOKUP(U704,打分卡!$F$12:$J$12,打分卡!$K$12:$O$12),1)</f>
        <v>3</v>
      </c>
      <c r="AI704" s="41">
        <f>IFERROR(LOOKUP(X704,打分卡!$F$13:$J$13,打分卡!$K$13:$O$13),1)</f>
        <v>4</v>
      </c>
      <c r="AJ704" s="41">
        <f>IFERROR(LOOKUP(Y704,打分卡!$F$14:$J$14,打分卡!$K$14:$O$14),1)</f>
        <v>1</v>
      </c>
      <c r="AK704" s="41">
        <f>IFERROR(LOOKUP(W704,打分卡!$F$15:$J$15,打分卡!$K$15:$O$15),1)</f>
        <v>3</v>
      </c>
      <c r="AL704" s="43">
        <f t="shared" si="81"/>
        <v>5</v>
      </c>
      <c r="AM704" s="41">
        <f>IFERROR(LOOKUP(Z704,打分卡!$F$17:$H$17,打分卡!$K$17:$M$17),1)</f>
        <v>1</v>
      </c>
      <c r="AN704" s="44">
        <f>(打分卡!$D$7*AC704+打分卡!$D$8*AD704+打分卡!$D$9*AE704)/5</f>
        <v>10.8</v>
      </c>
      <c r="AO704" s="44">
        <f>(打分卡!$D$10*AF704+打分卡!$D$11*AG704)/5</f>
        <v>12</v>
      </c>
      <c r="AP704" s="44">
        <f>(打分卡!$D$12*AH704+打分卡!$D$13*AI704+打分卡!$D$14*AJ704+打分卡!$D$15*AK704)/5</f>
        <v>17.2</v>
      </c>
      <c r="AQ704" s="44">
        <f>(打分卡!$D$16*AL704+打分卡!$D$17*AM704)/5</f>
        <v>6.8</v>
      </c>
      <c r="AR704" s="47">
        <f t="shared" si="82"/>
        <v>46.8</v>
      </c>
      <c r="AS704" s="43" t="str">
        <f t="shared" si="83"/>
        <v>腰部</v>
      </c>
      <c r="AT704" s="43" t="str">
        <f t="shared" si="84"/>
        <v/>
      </c>
      <c r="AU704" s="43" t="str">
        <f t="shared" si="85"/>
        <v>拉·主攻：主推AI外呼+大促作战包</v>
      </c>
    </row>
    <row r="705" ht="15" customHeight="1" spans="1:47">
      <c r="A705" s="20" t="s">
        <v>2071</v>
      </c>
      <c r="B705" s="22" t="s">
        <v>2072</v>
      </c>
      <c r="C705" s="22" t="s">
        <v>223</v>
      </c>
      <c r="D705" s="22" t="s">
        <v>190</v>
      </c>
      <c r="E705" s="22" t="s">
        <v>181</v>
      </c>
      <c r="F705" s="20" t="s">
        <v>2073</v>
      </c>
      <c r="G705" s="22">
        <v>11</v>
      </c>
      <c r="H705" s="22" t="s">
        <v>301</v>
      </c>
      <c r="I705" s="22" t="s">
        <v>184</v>
      </c>
      <c r="J705" s="36">
        <v>10700</v>
      </c>
      <c r="K705" s="36">
        <v>7200</v>
      </c>
      <c r="L705" s="36">
        <v>4600</v>
      </c>
      <c r="M705" s="36">
        <f t="shared" si="80"/>
        <v>22500</v>
      </c>
      <c r="N705" s="34">
        <f t="shared" si="86"/>
        <v>0.000117959396802829</v>
      </c>
      <c r="O705" s="35">
        <f>SUM($M$2:M705)</f>
        <v>186037700</v>
      </c>
      <c r="P705" s="34">
        <f t="shared" si="87"/>
        <v>0.975328661092692</v>
      </c>
      <c r="Q705" s="39">
        <v>1.6</v>
      </c>
      <c r="R705" s="22">
        <v>5</v>
      </c>
      <c r="S705" s="22">
        <v>1</v>
      </c>
      <c r="T705" s="22">
        <v>1</v>
      </c>
      <c r="U705" s="39">
        <v>30</v>
      </c>
      <c r="V705" s="22">
        <v>7</v>
      </c>
      <c r="W705" s="22">
        <v>2</v>
      </c>
      <c r="X705" s="40">
        <v>34</v>
      </c>
      <c r="Y705" s="22">
        <v>3</v>
      </c>
      <c r="Z705" s="22">
        <v>0</v>
      </c>
      <c r="AA705" s="22" t="s">
        <v>199</v>
      </c>
      <c r="AB705" s="22" t="s">
        <v>220</v>
      </c>
      <c r="AC705" s="42">
        <f>IFERROR(LOOKUP(M705,打分卡!$F$7:$J$7,打分卡!$K$7:$O$7),1)</f>
        <v>1</v>
      </c>
      <c r="AD705" s="42">
        <f>IFERROR(LOOKUP(S705,打分卡!$F$8:$J$8,打分卡!$K$8:$O$8),1)</f>
        <v>1</v>
      </c>
      <c r="AE705" s="42">
        <f>IFERROR(LOOKUP(T705,打分卡!$F$9:$I$9,打分卡!$K$9:$N$9),1)</f>
        <v>2</v>
      </c>
      <c r="AF705" s="42">
        <f>IFERROR(LOOKUP(Q705,打分卡!$F$10:$J$10,打分卡!$K$10:$O$10),1)</f>
        <v>1</v>
      </c>
      <c r="AG705" s="42">
        <f>IFERROR(LOOKUP(R705,打分卡!$F$11:$J$11,打分卡!$K$11:$O$11),1)</f>
        <v>3</v>
      </c>
      <c r="AH705" s="42">
        <f>IFERROR(LOOKUP(U705,打分卡!$F$12:$J$12,打分卡!$K$12:$O$12),1)</f>
        <v>3</v>
      </c>
      <c r="AI705" s="42">
        <f>IFERROR(LOOKUP(X705,打分卡!$F$13:$J$13,打分卡!$K$13:$O$13),1)</f>
        <v>2</v>
      </c>
      <c r="AJ705" s="42">
        <f>IFERROR(LOOKUP(Y705,打分卡!$F$14:$J$14,打分卡!$K$14:$O$14),1)</f>
        <v>4</v>
      </c>
      <c r="AK705" s="42">
        <f>IFERROR(LOOKUP(W705,打分卡!$F$15:$J$15,打分卡!$K$15:$O$15),1)</f>
        <v>2</v>
      </c>
      <c r="AL705" s="45">
        <f t="shared" si="81"/>
        <v>5</v>
      </c>
      <c r="AM705" s="42">
        <f>IFERROR(LOOKUP(Z705,打分卡!$F$17:$H$17,打分卡!$K$17:$M$17),1)</f>
        <v>1</v>
      </c>
      <c r="AN705" s="46">
        <f>(打分卡!$D$7*AC705+打分卡!$D$8*AD705+打分卡!$D$9*AE705)/5</f>
        <v>9.4</v>
      </c>
      <c r="AO705" s="46">
        <f>(打分卡!$D$10*AF705+打分卡!$D$11*AG705)/5</f>
        <v>8</v>
      </c>
      <c r="AP705" s="46">
        <f>(打分卡!$D$12*AH705+打分卡!$D$13*AI705+打分卡!$D$14*AJ705+打分卡!$D$15*AK705)/5</f>
        <v>16.8</v>
      </c>
      <c r="AQ705" s="46">
        <f>(打分卡!$D$16*AL705+打分卡!$D$17*AM705)/5</f>
        <v>6.8</v>
      </c>
      <c r="AR705" s="48">
        <f t="shared" si="82"/>
        <v>41</v>
      </c>
      <c r="AS705" s="45" t="str">
        <f t="shared" si="83"/>
        <v>腰部</v>
      </c>
      <c r="AT705" s="45" t="str">
        <f t="shared" si="84"/>
        <v/>
      </c>
      <c r="AU705" s="45" t="str">
        <f t="shared" si="85"/>
        <v>拉·主攻：主推AI外呼+大促作战包</v>
      </c>
    </row>
    <row r="706" ht="15" customHeight="1" spans="1:47">
      <c r="A706" s="30" t="s">
        <v>2074</v>
      </c>
      <c r="B706" s="31" t="s">
        <v>2075</v>
      </c>
      <c r="C706" s="31" t="s">
        <v>195</v>
      </c>
      <c r="D706" s="31" t="s">
        <v>190</v>
      </c>
      <c r="E706" s="31" t="s">
        <v>181</v>
      </c>
      <c r="F706" s="30" t="s">
        <v>2076</v>
      </c>
      <c r="G706" s="31">
        <v>1</v>
      </c>
      <c r="H706" s="31" t="s">
        <v>642</v>
      </c>
      <c r="I706" s="31" t="s">
        <v>184</v>
      </c>
      <c r="J706" s="33">
        <v>11600</v>
      </c>
      <c r="K706" s="33">
        <v>8100</v>
      </c>
      <c r="L706" s="33">
        <v>2800</v>
      </c>
      <c r="M706" s="33">
        <f t="shared" ref="M706:M769" si="88">SUM(J706:L706)</f>
        <v>22500</v>
      </c>
      <c r="N706" s="34">
        <f t="shared" si="86"/>
        <v>0.000117959396802829</v>
      </c>
      <c r="O706" s="35">
        <f>SUM($M$2:M706)</f>
        <v>186060200</v>
      </c>
      <c r="P706" s="34">
        <f t="shared" si="87"/>
        <v>0.975446620489495</v>
      </c>
      <c r="Q706" s="37">
        <v>2.6</v>
      </c>
      <c r="R706" s="31">
        <v>7</v>
      </c>
      <c r="S706" s="31">
        <v>1</v>
      </c>
      <c r="T706" s="31">
        <v>1</v>
      </c>
      <c r="U706" s="37">
        <v>241</v>
      </c>
      <c r="V706" s="31">
        <v>5</v>
      </c>
      <c r="W706" s="31">
        <v>15</v>
      </c>
      <c r="X706" s="38">
        <v>633</v>
      </c>
      <c r="Y706" s="31">
        <v>2</v>
      </c>
      <c r="Z706" s="31">
        <v>0</v>
      </c>
      <c r="AA706" s="31" t="s">
        <v>199</v>
      </c>
      <c r="AB706" s="31" t="s">
        <v>220</v>
      </c>
      <c r="AC706" s="41">
        <f>IFERROR(LOOKUP(M706,打分卡!$F$7:$J$7,打分卡!$K$7:$O$7),1)</f>
        <v>1</v>
      </c>
      <c r="AD706" s="41">
        <f>IFERROR(LOOKUP(S706,打分卡!$F$8:$J$8,打分卡!$K$8:$O$8),1)</f>
        <v>1</v>
      </c>
      <c r="AE706" s="41">
        <f>IFERROR(LOOKUP(T706,打分卡!$F$9:$I$9,打分卡!$K$9:$N$9),1)</f>
        <v>2</v>
      </c>
      <c r="AF706" s="41">
        <f>IFERROR(LOOKUP(Q706,打分卡!$F$10:$J$10,打分卡!$K$10:$O$10),1)</f>
        <v>2</v>
      </c>
      <c r="AG706" s="41">
        <f>IFERROR(LOOKUP(R706,打分卡!$F$11:$J$11,打分卡!$K$11:$O$11),1)</f>
        <v>3</v>
      </c>
      <c r="AH706" s="41">
        <f>IFERROR(LOOKUP(U706,打分卡!$F$12:$J$12,打分卡!$K$12:$O$12),1)</f>
        <v>5</v>
      </c>
      <c r="AI706" s="41">
        <f>IFERROR(LOOKUP(X706,打分卡!$F$13:$J$13,打分卡!$K$13:$O$13),1)</f>
        <v>5</v>
      </c>
      <c r="AJ706" s="41">
        <f>IFERROR(LOOKUP(Y706,打分卡!$F$14:$J$14,打分卡!$K$14:$O$14),1)</f>
        <v>3</v>
      </c>
      <c r="AK706" s="41">
        <f>IFERROR(LOOKUP(W706,打分卡!$F$15:$J$15,打分卡!$K$15:$O$15),1)</f>
        <v>5</v>
      </c>
      <c r="AL706" s="43">
        <f t="shared" ref="AL706:AL769" si="89">IF(AA706="连续下降",1,IF(AA706="下降",2,IF(AA706="上升",5,3)))</f>
        <v>5</v>
      </c>
      <c r="AM706" s="41">
        <f>IFERROR(LOOKUP(Z706,打分卡!$F$17:$H$17,打分卡!$K$17:$M$17),1)</f>
        <v>1</v>
      </c>
      <c r="AN706" s="44">
        <f>(打分卡!$D$7*AC706+打分卡!$D$8*AD706+打分卡!$D$9*AE706)/5</f>
        <v>9.4</v>
      </c>
      <c r="AO706" s="44">
        <f>(打分卡!$D$10*AF706+打分卡!$D$11*AG706)/5</f>
        <v>10</v>
      </c>
      <c r="AP706" s="44">
        <f>(打分卡!$D$12*AH706+打分卡!$D$13*AI706+打分卡!$D$14*AJ706+打分卡!$D$15*AK706)/5</f>
        <v>27.6</v>
      </c>
      <c r="AQ706" s="44">
        <f>(打分卡!$D$16*AL706+打分卡!$D$17*AM706)/5</f>
        <v>6.8</v>
      </c>
      <c r="AR706" s="47">
        <f t="shared" ref="AR706:AR769" si="90">IF(G706&lt;3,AP706/30*40+AO706+AP706+AQ706,AN706+AO706+AP706+AQ706)</f>
        <v>81.2</v>
      </c>
      <c r="AS706" s="43" t="str">
        <f t="shared" ref="AS706:AS769" si="91">IF(M706=0,IF(G706&lt;3,"新客观察期","未激活"),IF(AR706&gt;=90,"SKA",IF(AR706&gt;=75,"KA",IF(AR706&gt;=40,"腰部","基础长尾"))))</f>
        <v>KA</v>
      </c>
      <c r="AT706" s="43" t="str">
        <f t="shared" ref="AT706:AT769" si="92">IF(AA706="连续下降","连续下降-预警","")</f>
        <v/>
      </c>
      <c r="AU706" s="43" t="str">
        <f t="shared" ref="AU706:AU769" si="93">IF(AS706="SKA","守·共创：卡片短信/AI外呼新场景POC",IF(AS706="KA","扩·深化：AI外呼场景深化+Push/企微补全",IF(AS706="腰部","拉·主攻：主推AI外呼+大促作战包",IF(AS706="新客观察期","培育：入门包+1v1场景教育",IF(AS706="基础长尾","激活：企微+Push低成本先跑","唤醒：短信模板+首充补贴")))))</f>
        <v>扩·深化：AI外呼场景深化+Push/企微补全</v>
      </c>
    </row>
    <row r="707" ht="15" customHeight="1" spans="1:47">
      <c r="A707" s="20" t="s">
        <v>2077</v>
      </c>
      <c r="B707" s="22" t="s">
        <v>2078</v>
      </c>
      <c r="C707" s="22" t="s">
        <v>239</v>
      </c>
      <c r="D707" s="22" t="s">
        <v>196</v>
      </c>
      <c r="E707" s="22" t="s">
        <v>197</v>
      </c>
      <c r="F707" s="20" t="s">
        <v>424</v>
      </c>
      <c r="G707" s="22">
        <v>7</v>
      </c>
      <c r="H707" s="22" t="s">
        <v>301</v>
      </c>
      <c r="I707" s="22" t="s">
        <v>302</v>
      </c>
      <c r="J707" s="36">
        <v>12000</v>
      </c>
      <c r="K707" s="36">
        <v>7300</v>
      </c>
      <c r="L707" s="36">
        <v>3000</v>
      </c>
      <c r="M707" s="36">
        <f t="shared" si="88"/>
        <v>22300</v>
      </c>
      <c r="N707" s="34">
        <f t="shared" ref="N707:N770" si="94">M707/$M$2002</f>
        <v>0.000116910868831248</v>
      </c>
      <c r="O707" s="35">
        <f>SUM($M$2:M707)</f>
        <v>186082500</v>
      </c>
      <c r="P707" s="34">
        <f t="shared" ref="P707:P770" si="95">O707/$M$2002</f>
        <v>0.975563531358326</v>
      </c>
      <c r="Q707" s="39">
        <v>2.8</v>
      </c>
      <c r="R707" s="22">
        <v>5</v>
      </c>
      <c r="S707" s="22">
        <v>3</v>
      </c>
      <c r="T707" s="22">
        <v>1</v>
      </c>
      <c r="U707" s="39">
        <v>1</v>
      </c>
      <c r="V707" s="22">
        <v>22</v>
      </c>
      <c r="W707" s="22">
        <v>3</v>
      </c>
      <c r="X707" s="40">
        <v>39</v>
      </c>
      <c r="Y707" s="22">
        <v>2</v>
      </c>
      <c r="Z707" s="22">
        <v>0</v>
      </c>
      <c r="AA707" s="22" t="s">
        <v>185</v>
      </c>
      <c r="AB707" s="22" t="s">
        <v>220</v>
      </c>
      <c r="AC707" s="42">
        <f>IFERROR(LOOKUP(M707,打分卡!$F$7:$J$7,打分卡!$K$7:$O$7),1)</f>
        <v>1</v>
      </c>
      <c r="AD707" s="42">
        <f>IFERROR(LOOKUP(S707,打分卡!$F$8:$J$8,打分卡!$K$8:$O$8),1)</f>
        <v>3</v>
      </c>
      <c r="AE707" s="42">
        <f>IFERROR(LOOKUP(T707,打分卡!$F$9:$I$9,打分卡!$K$9:$N$9),1)</f>
        <v>2</v>
      </c>
      <c r="AF707" s="42">
        <f>IFERROR(LOOKUP(Q707,打分卡!$F$10:$J$10,打分卡!$K$10:$O$10),1)</f>
        <v>2</v>
      </c>
      <c r="AG707" s="42">
        <f>IFERROR(LOOKUP(R707,打分卡!$F$11:$J$11,打分卡!$K$11:$O$11),1)</f>
        <v>3</v>
      </c>
      <c r="AH707" s="42">
        <f>IFERROR(LOOKUP(U707,打分卡!$F$12:$J$12,打分卡!$K$12:$O$12),1)</f>
        <v>1</v>
      </c>
      <c r="AI707" s="42">
        <f>IFERROR(LOOKUP(X707,打分卡!$F$13:$J$13,打分卡!$K$13:$O$13),1)</f>
        <v>3</v>
      </c>
      <c r="AJ707" s="42">
        <f>IFERROR(LOOKUP(Y707,打分卡!$F$14:$J$14,打分卡!$K$14:$O$14),1)</f>
        <v>3</v>
      </c>
      <c r="AK707" s="42">
        <f>IFERROR(LOOKUP(W707,打分卡!$F$15:$J$15,打分卡!$K$15:$O$15),1)</f>
        <v>3</v>
      </c>
      <c r="AL707" s="45">
        <f t="shared" si="89"/>
        <v>3</v>
      </c>
      <c r="AM707" s="42">
        <f>IFERROR(LOOKUP(Z707,打分卡!$F$17:$H$17,打分卡!$K$17:$M$17),1)</f>
        <v>1</v>
      </c>
      <c r="AN707" s="46">
        <f>(打分卡!$D$7*AC707+打分卡!$D$8*AD707+打分卡!$D$9*AE707)/5</f>
        <v>12.6</v>
      </c>
      <c r="AO707" s="46">
        <f>(打分卡!$D$10*AF707+打分卡!$D$11*AG707)/5</f>
        <v>10</v>
      </c>
      <c r="AP707" s="46">
        <f>(打分卡!$D$12*AH707+打分卡!$D$13*AI707+打分卡!$D$14*AJ707+打分卡!$D$15*AK707)/5</f>
        <v>13.2</v>
      </c>
      <c r="AQ707" s="46">
        <f>(打分卡!$D$16*AL707+打分卡!$D$17*AM707)/5</f>
        <v>4.4</v>
      </c>
      <c r="AR707" s="48">
        <f t="shared" si="90"/>
        <v>40.2</v>
      </c>
      <c r="AS707" s="45" t="str">
        <f t="shared" si="91"/>
        <v>腰部</v>
      </c>
      <c r="AT707" s="45" t="str">
        <f t="shared" si="92"/>
        <v/>
      </c>
      <c r="AU707" s="45" t="str">
        <f t="shared" si="93"/>
        <v>拉·主攻：主推AI外呼+大促作战包</v>
      </c>
    </row>
    <row r="708" ht="15" customHeight="1" spans="1:47">
      <c r="A708" s="30" t="s">
        <v>2079</v>
      </c>
      <c r="B708" s="31" t="s">
        <v>2080</v>
      </c>
      <c r="C708" s="31" t="s">
        <v>195</v>
      </c>
      <c r="D708" s="31" t="s">
        <v>252</v>
      </c>
      <c r="E708" s="31" t="s">
        <v>197</v>
      </c>
      <c r="F708" s="30" t="s">
        <v>2081</v>
      </c>
      <c r="G708" s="31">
        <v>12</v>
      </c>
      <c r="H708" s="31" t="s">
        <v>301</v>
      </c>
      <c r="I708" s="31" t="s">
        <v>184</v>
      </c>
      <c r="J708" s="33">
        <v>11300</v>
      </c>
      <c r="K708" s="33">
        <v>7100</v>
      </c>
      <c r="L708" s="33">
        <v>4000</v>
      </c>
      <c r="M708" s="33">
        <f t="shared" si="88"/>
        <v>22400</v>
      </c>
      <c r="N708" s="34">
        <f t="shared" si="94"/>
        <v>0.000117435132817038</v>
      </c>
      <c r="O708" s="35">
        <f>SUM($M$2:M708)</f>
        <v>186104900</v>
      </c>
      <c r="P708" s="34">
        <f t="shared" si="95"/>
        <v>0.975680966491143</v>
      </c>
      <c r="Q708" s="37">
        <v>2.7</v>
      </c>
      <c r="R708" s="31">
        <v>3</v>
      </c>
      <c r="S708" s="31">
        <v>1</v>
      </c>
      <c r="T708" s="31">
        <v>2</v>
      </c>
      <c r="U708" s="37">
        <v>7.3</v>
      </c>
      <c r="V708" s="31">
        <v>27</v>
      </c>
      <c r="W708" s="31">
        <v>3</v>
      </c>
      <c r="X708" s="38">
        <v>94</v>
      </c>
      <c r="Y708" s="31">
        <v>2</v>
      </c>
      <c r="Z708" s="31">
        <v>0</v>
      </c>
      <c r="AA708" s="31" t="s">
        <v>199</v>
      </c>
      <c r="AB708" s="31" t="s">
        <v>220</v>
      </c>
      <c r="AC708" s="41">
        <f>IFERROR(LOOKUP(M708,打分卡!$F$7:$J$7,打分卡!$K$7:$O$7),1)</f>
        <v>1</v>
      </c>
      <c r="AD708" s="41">
        <f>IFERROR(LOOKUP(S708,打分卡!$F$8:$J$8,打分卡!$K$8:$O$8),1)</f>
        <v>1</v>
      </c>
      <c r="AE708" s="41">
        <f>IFERROR(LOOKUP(T708,打分卡!$F$9:$I$9,打分卡!$K$9:$N$9),1)</f>
        <v>3</v>
      </c>
      <c r="AF708" s="41">
        <f>IFERROR(LOOKUP(Q708,打分卡!$F$10:$J$10,打分卡!$K$10:$O$10),1)</f>
        <v>2</v>
      </c>
      <c r="AG708" s="41">
        <f>IFERROR(LOOKUP(R708,打分卡!$F$11:$J$11,打分卡!$K$11:$O$11),1)</f>
        <v>2</v>
      </c>
      <c r="AH708" s="41">
        <f>IFERROR(LOOKUP(U708,打分卡!$F$12:$J$12,打分卡!$K$12:$O$12),1)</f>
        <v>2</v>
      </c>
      <c r="AI708" s="41">
        <f>IFERROR(LOOKUP(X708,打分卡!$F$13:$J$13,打分卡!$K$13:$O$13),1)</f>
        <v>4</v>
      </c>
      <c r="AJ708" s="41">
        <f>IFERROR(LOOKUP(Y708,打分卡!$F$14:$J$14,打分卡!$K$14:$O$14),1)</f>
        <v>3</v>
      </c>
      <c r="AK708" s="41">
        <f>IFERROR(LOOKUP(W708,打分卡!$F$15:$J$15,打分卡!$K$15:$O$15),1)</f>
        <v>3</v>
      </c>
      <c r="AL708" s="43">
        <f t="shared" si="89"/>
        <v>5</v>
      </c>
      <c r="AM708" s="41">
        <f>IFERROR(LOOKUP(Z708,打分卡!$F$17:$H$17,打分卡!$K$17:$M$17),1)</f>
        <v>1</v>
      </c>
      <c r="AN708" s="44">
        <f>(打分卡!$D$7*AC708+打分卡!$D$8*AD708+打分卡!$D$9*AE708)/5</f>
        <v>10.8</v>
      </c>
      <c r="AO708" s="44">
        <f>(打分卡!$D$10*AF708+打分卡!$D$11*AG708)/5</f>
        <v>8</v>
      </c>
      <c r="AP708" s="44">
        <f>(打分卡!$D$12*AH708+打分卡!$D$13*AI708+打分卡!$D$14*AJ708+打分卡!$D$15*AK708)/5</f>
        <v>17.2</v>
      </c>
      <c r="AQ708" s="44">
        <f>(打分卡!$D$16*AL708+打分卡!$D$17*AM708)/5</f>
        <v>6.8</v>
      </c>
      <c r="AR708" s="47">
        <f t="shared" si="90"/>
        <v>42.8</v>
      </c>
      <c r="AS708" s="43" t="str">
        <f t="shared" si="91"/>
        <v>腰部</v>
      </c>
      <c r="AT708" s="43" t="str">
        <f t="shared" si="92"/>
        <v/>
      </c>
      <c r="AU708" s="43" t="str">
        <f t="shared" si="93"/>
        <v>拉·主攻：主推AI外呼+大促作战包</v>
      </c>
    </row>
    <row r="709" ht="15" customHeight="1" spans="1:47">
      <c r="A709" s="20" t="s">
        <v>2082</v>
      </c>
      <c r="B709" s="22" t="s">
        <v>2083</v>
      </c>
      <c r="C709" s="22" t="s">
        <v>189</v>
      </c>
      <c r="D709" s="22" t="s">
        <v>235</v>
      </c>
      <c r="E709" s="22" t="s">
        <v>181</v>
      </c>
      <c r="F709" s="20" t="s">
        <v>1499</v>
      </c>
      <c r="G709" s="22">
        <v>21</v>
      </c>
      <c r="H709" s="22" t="s">
        <v>301</v>
      </c>
      <c r="I709" s="22" t="s">
        <v>184</v>
      </c>
      <c r="J709" s="36">
        <v>12400</v>
      </c>
      <c r="K709" s="36">
        <v>4500</v>
      </c>
      <c r="L709" s="36">
        <v>5500</v>
      </c>
      <c r="M709" s="36">
        <f t="shared" si="88"/>
        <v>22400</v>
      </c>
      <c r="N709" s="34">
        <f t="shared" si="94"/>
        <v>0.000117435132817038</v>
      </c>
      <c r="O709" s="35">
        <f>SUM($M$2:M709)</f>
        <v>186127300</v>
      </c>
      <c r="P709" s="34">
        <f t="shared" si="95"/>
        <v>0.97579840162396</v>
      </c>
      <c r="Q709" s="39">
        <v>1.9</v>
      </c>
      <c r="R709" s="22">
        <v>2</v>
      </c>
      <c r="S709" s="22">
        <v>1</v>
      </c>
      <c r="T709" s="22">
        <v>1</v>
      </c>
      <c r="U709" s="39">
        <v>30.8</v>
      </c>
      <c r="V709" s="22">
        <v>19</v>
      </c>
      <c r="W709" s="22">
        <v>0</v>
      </c>
      <c r="X709" s="40">
        <v>84</v>
      </c>
      <c r="Y709" s="22">
        <v>2</v>
      </c>
      <c r="Z709" s="22">
        <v>0</v>
      </c>
      <c r="AA709" s="22" t="s">
        <v>315</v>
      </c>
      <c r="AB709" s="22" t="s">
        <v>220</v>
      </c>
      <c r="AC709" s="42">
        <f>IFERROR(LOOKUP(M709,打分卡!$F$7:$J$7,打分卡!$K$7:$O$7),1)</f>
        <v>1</v>
      </c>
      <c r="AD709" s="42">
        <f>IFERROR(LOOKUP(S709,打分卡!$F$8:$J$8,打分卡!$K$8:$O$8),1)</f>
        <v>1</v>
      </c>
      <c r="AE709" s="42">
        <f>IFERROR(LOOKUP(T709,打分卡!$F$9:$I$9,打分卡!$K$9:$N$9),1)</f>
        <v>2</v>
      </c>
      <c r="AF709" s="42">
        <f>IFERROR(LOOKUP(Q709,打分卡!$F$10:$J$10,打分卡!$K$10:$O$10),1)</f>
        <v>1</v>
      </c>
      <c r="AG709" s="42">
        <f>IFERROR(LOOKUP(R709,打分卡!$F$11:$J$11,打分卡!$K$11:$O$11),1)</f>
        <v>1</v>
      </c>
      <c r="AH709" s="42">
        <f>IFERROR(LOOKUP(U709,打分卡!$F$12:$J$12,打分卡!$K$12:$O$12),1)</f>
        <v>3</v>
      </c>
      <c r="AI709" s="42">
        <f>IFERROR(LOOKUP(X709,打分卡!$F$13:$J$13,打分卡!$K$13:$O$13),1)</f>
        <v>4</v>
      </c>
      <c r="AJ709" s="42">
        <f>IFERROR(LOOKUP(Y709,打分卡!$F$14:$J$14,打分卡!$K$14:$O$14),1)</f>
        <v>3</v>
      </c>
      <c r="AK709" s="42">
        <f>IFERROR(LOOKUP(W709,打分卡!$F$15:$J$15,打分卡!$K$15:$O$15),1)</f>
        <v>1</v>
      </c>
      <c r="AL709" s="45">
        <f t="shared" si="89"/>
        <v>2</v>
      </c>
      <c r="AM709" s="42">
        <f>IFERROR(LOOKUP(Z709,打分卡!$F$17:$H$17,打分卡!$K$17:$M$17),1)</f>
        <v>1</v>
      </c>
      <c r="AN709" s="46">
        <f>(打分卡!$D$7*AC709+打分卡!$D$8*AD709+打分卡!$D$9*AE709)/5</f>
        <v>9.4</v>
      </c>
      <c r="AO709" s="46">
        <f>(打分卡!$D$10*AF709+打分卡!$D$11*AG709)/5</f>
        <v>4</v>
      </c>
      <c r="AP709" s="46">
        <f>(打分卡!$D$12*AH709+打分卡!$D$13*AI709+打分卡!$D$14*AJ709+打分卡!$D$15*AK709)/5</f>
        <v>18</v>
      </c>
      <c r="AQ709" s="46">
        <f>(打分卡!$D$16*AL709+打分卡!$D$17*AM709)/5</f>
        <v>3.2</v>
      </c>
      <c r="AR709" s="48">
        <f t="shared" si="90"/>
        <v>34.6</v>
      </c>
      <c r="AS709" s="45" t="str">
        <f t="shared" si="91"/>
        <v>基础长尾</v>
      </c>
      <c r="AT709" s="45" t="str">
        <f t="shared" si="92"/>
        <v/>
      </c>
      <c r="AU709" s="45" t="str">
        <f t="shared" si="93"/>
        <v>激活：企微+Push低成本先跑</v>
      </c>
    </row>
    <row r="710" ht="15" customHeight="1" spans="1:47">
      <c r="A710" s="30" t="s">
        <v>2084</v>
      </c>
      <c r="B710" s="31" t="s">
        <v>2085</v>
      </c>
      <c r="C710" s="31" t="s">
        <v>234</v>
      </c>
      <c r="D710" s="31" t="s">
        <v>202</v>
      </c>
      <c r="E710" s="31" t="s">
        <v>181</v>
      </c>
      <c r="F710" s="30" t="s">
        <v>1383</v>
      </c>
      <c r="G710" s="31">
        <v>13</v>
      </c>
      <c r="H710" s="31" t="s">
        <v>183</v>
      </c>
      <c r="I710" s="31" t="s">
        <v>302</v>
      </c>
      <c r="J710" s="33">
        <v>11600</v>
      </c>
      <c r="K710" s="33">
        <v>5400</v>
      </c>
      <c r="L710" s="33">
        <v>5400</v>
      </c>
      <c r="M710" s="33">
        <f t="shared" si="88"/>
        <v>22400</v>
      </c>
      <c r="N710" s="34">
        <f t="shared" si="94"/>
        <v>0.000117435132817038</v>
      </c>
      <c r="O710" s="35">
        <f>SUM($M$2:M710)</f>
        <v>186149700</v>
      </c>
      <c r="P710" s="34">
        <f t="shared" si="95"/>
        <v>0.975915836756777</v>
      </c>
      <c r="Q710" s="37">
        <v>1.6</v>
      </c>
      <c r="R710" s="31">
        <v>4</v>
      </c>
      <c r="S710" s="31">
        <v>3</v>
      </c>
      <c r="T710" s="31">
        <v>1</v>
      </c>
      <c r="U710" s="37">
        <v>20.1</v>
      </c>
      <c r="V710" s="31">
        <v>6</v>
      </c>
      <c r="W710" s="31">
        <v>1</v>
      </c>
      <c r="X710" s="38">
        <v>35</v>
      </c>
      <c r="Y710" s="31">
        <v>0</v>
      </c>
      <c r="Z710" s="31">
        <v>1</v>
      </c>
      <c r="AA710" s="31" t="s">
        <v>315</v>
      </c>
      <c r="AB710" s="31" t="s">
        <v>220</v>
      </c>
      <c r="AC710" s="41">
        <f>IFERROR(LOOKUP(M710,打分卡!$F$7:$J$7,打分卡!$K$7:$O$7),1)</f>
        <v>1</v>
      </c>
      <c r="AD710" s="41">
        <f>IFERROR(LOOKUP(S710,打分卡!$F$8:$J$8,打分卡!$K$8:$O$8),1)</f>
        <v>3</v>
      </c>
      <c r="AE710" s="41">
        <f>IFERROR(LOOKUP(T710,打分卡!$F$9:$I$9,打分卡!$K$9:$N$9),1)</f>
        <v>2</v>
      </c>
      <c r="AF710" s="41">
        <f>IFERROR(LOOKUP(Q710,打分卡!$F$10:$J$10,打分卡!$K$10:$O$10),1)</f>
        <v>1</v>
      </c>
      <c r="AG710" s="41">
        <f>IFERROR(LOOKUP(R710,打分卡!$F$11:$J$11,打分卡!$K$11:$O$11),1)</f>
        <v>2</v>
      </c>
      <c r="AH710" s="41">
        <f>IFERROR(LOOKUP(U710,打分卡!$F$12:$J$12,打分卡!$K$12:$O$12),1)</f>
        <v>3</v>
      </c>
      <c r="AI710" s="41">
        <f>IFERROR(LOOKUP(X710,打分卡!$F$13:$J$13,打分卡!$K$13:$O$13),1)</f>
        <v>2</v>
      </c>
      <c r="AJ710" s="41">
        <f>IFERROR(LOOKUP(Y710,打分卡!$F$14:$J$14,打分卡!$K$14:$O$14),1)</f>
        <v>1</v>
      </c>
      <c r="AK710" s="41">
        <f>IFERROR(LOOKUP(W710,打分卡!$F$15:$J$15,打分卡!$K$15:$O$15),1)</f>
        <v>2</v>
      </c>
      <c r="AL710" s="43">
        <f t="shared" si="89"/>
        <v>2</v>
      </c>
      <c r="AM710" s="41">
        <f>IFERROR(LOOKUP(Z710,打分卡!$F$17:$H$17,打分卡!$K$17:$M$17),1)</f>
        <v>3</v>
      </c>
      <c r="AN710" s="44">
        <f>(打分卡!$D$7*AC710+打分卡!$D$8*AD710+打分卡!$D$9*AE710)/5</f>
        <v>12.6</v>
      </c>
      <c r="AO710" s="44">
        <f>(打分卡!$D$10*AF710+打分卡!$D$11*AG710)/5</f>
        <v>6</v>
      </c>
      <c r="AP710" s="44">
        <f>(打分卡!$D$12*AH710+打分卡!$D$13*AI710+打分卡!$D$14*AJ710+打分卡!$D$15*AK710)/5</f>
        <v>13.2</v>
      </c>
      <c r="AQ710" s="44">
        <f>(打分卡!$D$16*AL710+打分卡!$D$17*AM710)/5</f>
        <v>4.8</v>
      </c>
      <c r="AR710" s="47">
        <f t="shared" si="90"/>
        <v>36.6</v>
      </c>
      <c r="AS710" s="43" t="str">
        <f t="shared" si="91"/>
        <v>基础长尾</v>
      </c>
      <c r="AT710" s="43" t="str">
        <f t="shared" si="92"/>
        <v/>
      </c>
      <c r="AU710" s="43" t="str">
        <f t="shared" si="93"/>
        <v>激活：企微+Push低成本先跑</v>
      </c>
    </row>
    <row r="711" ht="15" customHeight="1" spans="1:47">
      <c r="A711" s="20" t="s">
        <v>2086</v>
      </c>
      <c r="B711" s="22" t="s">
        <v>2087</v>
      </c>
      <c r="C711" s="22" t="s">
        <v>189</v>
      </c>
      <c r="D711" s="22" t="s">
        <v>227</v>
      </c>
      <c r="E711" s="22" t="s">
        <v>181</v>
      </c>
      <c r="F711" s="20" t="s">
        <v>1123</v>
      </c>
      <c r="G711" s="22">
        <v>19</v>
      </c>
      <c r="H711" s="22" t="s">
        <v>183</v>
      </c>
      <c r="I711" s="22" t="s">
        <v>302</v>
      </c>
      <c r="J711" s="36">
        <v>14400</v>
      </c>
      <c r="K711" s="36">
        <v>6800</v>
      </c>
      <c r="L711" s="36">
        <v>1100</v>
      </c>
      <c r="M711" s="36">
        <f t="shared" si="88"/>
        <v>22300</v>
      </c>
      <c r="N711" s="34">
        <f t="shared" si="94"/>
        <v>0.000116910868831248</v>
      </c>
      <c r="O711" s="35">
        <f>SUM($M$2:M711)</f>
        <v>186172000</v>
      </c>
      <c r="P711" s="34">
        <f t="shared" si="95"/>
        <v>0.976032747625608</v>
      </c>
      <c r="Q711" s="39">
        <v>1.6</v>
      </c>
      <c r="R711" s="22">
        <v>5</v>
      </c>
      <c r="S711" s="22">
        <v>3</v>
      </c>
      <c r="T711" s="22">
        <v>2</v>
      </c>
      <c r="U711" s="39">
        <v>11.3</v>
      </c>
      <c r="V711" s="22">
        <v>14</v>
      </c>
      <c r="W711" s="22">
        <v>1</v>
      </c>
      <c r="X711" s="40">
        <v>13</v>
      </c>
      <c r="Y711" s="22">
        <v>2</v>
      </c>
      <c r="Z711" s="22">
        <v>0</v>
      </c>
      <c r="AA711" s="22" t="s">
        <v>199</v>
      </c>
      <c r="AB711" s="22" t="s">
        <v>220</v>
      </c>
      <c r="AC711" s="42">
        <f>IFERROR(LOOKUP(M711,打分卡!$F$7:$J$7,打分卡!$K$7:$O$7),1)</f>
        <v>1</v>
      </c>
      <c r="AD711" s="42">
        <f>IFERROR(LOOKUP(S711,打分卡!$F$8:$J$8,打分卡!$K$8:$O$8),1)</f>
        <v>3</v>
      </c>
      <c r="AE711" s="42">
        <f>IFERROR(LOOKUP(T711,打分卡!$F$9:$I$9,打分卡!$K$9:$N$9),1)</f>
        <v>3</v>
      </c>
      <c r="AF711" s="42">
        <f>IFERROR(LOOKUP(Q711,打分卡!$F$10:$J$10,打分卡!$K$10:$O$10),1)</f>
        <v>1</v>
      </c>
      <c r="AG711" s="42">
        <f>IFERROR(LOOKUP(R711,打分卡!$F$11:$J$11,打分卡!$K$11:$O$11),1)</f>
        <v>3</v>
      </c>
      <c r="AH711" s="42">
        <f>IFERROR(LOOKUP(U711,打分卡!$F$12:$J$12,打分卡!$K$12:$O$12),1)</f>
        <v>3</v>
      </c>
      <c r="AI711" s="42">
        <f>IFERROR(LOOKUP(X711,打分卡!$F$13:$J$13,打分卡!$K$13:$O$13),1)</f>
        <v>1</v>
      </c>
      <c r="AJ711" s="42">
        <f>IFERROR(LOOKUP(Y711,打分卡!$F$14:$J$14,打分卡!$K$14:$O$14),1)</f>
        <v>3</v>
      </c>
      <c r="AK711" s="42">
        <f>IFERROR(LOOKUP(W711,打分卡!$F$15:$J$15,打分卡!$K$15:$O$15),1)</f>
        <v>2</v>
      </c>
      <c r="AL711" s="45">
        <f t="shared" si="89"/>
        <v>5</v>
      </c>
      <c r="AM711" s="42">
        <f>IFERROR(LOOKUP(Z711,打分卡!$F$17:$H$17,打分卡!$K$17:$M$17),1)</f>
        <v>1</v>
      </c>
      <c r="AN711" s="46">
        <f>(打分卡!$D$7*AC711+打分卡!$D$8*AD711+打分卡!$D$9*AE711)/5</f>
        <v>14</v>
      </c>
      <c r="AO711" s="46">
        <f>(打分卡!$D$10*AF711+打分卡!$D$11*AG711)/5</f>
        <v>8</v>
      </c>
      <c r="AP711" s="46">
        <f>(打分卡!$D$12*AH711+打分卡!$D$13*AI711+打分卡!$D$14*AJ711+打分卡!$D$15*AK711)/5</f>
        <v>14</v>
      </c>
      <c r="AQ711" s="46">
        <f>(打分卡!$D$16*AL711+打分卡!$D$17*AM711)/5</f>
        <v>6.8</v>
      </c>
      <c r="AR711" s="48">
        <f t="shared" si="90"/>
        <v>42.8</v>
      </c>
      <c r="AS711" s="45" t="str">
        <f t="shared" si="91"/>
        <v>腰部</v>
      </c>
      <c r="AT711" s="45" t="str">
        <f t="shared" si="92"/>
        <v/>
      </c>
      <c r="AU711" s="45" t="str">
        <f t="shared" si="93"/>
        <v>拉·主攻：主推AI外呼+大促作战包</v>
      </c>
    </row>
    <row r="712" ht="15" customHeight="1" spans="1:47">
      <c r="A712" s="30" t="s">
        <v>2088</v>
      </c>
      <c r="B712" s="31" t="s">
        <v>2089</v>
      </c>
      <c r="C712" s="31" t="s">
        <v>234</v>
      </c>
      <c r="D712" s="31" t="s">
        <v>252</v>
      </c>
      <c r="E712" s="31" t="s">
        <v>181</v>
      </c>
      <c r="F712" s="30" t="s">
        <v>731</v>
      </c>
      <c r="G712" s="31">
        <v>21</v>
      </c>
      <c r="H712" s="31" t="s">
        <v>301</v>
      </c>
      <c r="I712" s="31" t="s">
        <v>184</v>
      </c>
      <c r="J712" s="33">
        <v>13000</v>
      </c>
      <c r="K712" s="33">
        <v>4700</v>
      </c>
      <c r="L712" s="33">
        <v>4400</v>
      </c>
      <c r="M712" s="33">
        <f t="shared" si="88"/>
        <v>22100</v>
      </c>
      <c r="N712" s="34">
        <f t="shared" si="94"/>
        <v>0.000115862340859667</v>
      </c>
      <c r="O712" s="35">
        <f>SUM($M$2:M712)</f>
        <v>186194100</v>
      </c>
      <c r="P712" s="34">
        <f t="shared" si="95"/>
        <v>0.976148609966468</v>
      </c>
      <c r="Q712" s="37">
        <v>3.3</v>
      </c>
      <c r="R712" s="31">
        <v>10</v>
      </c>
      <c r="S712" s="31">
        <v>1</v>
      </c>
      <c r="T712" s="31">
        <v>0</v>
      </c>
      <c r="U712" s="37">
        <v>6.6</v>
      </c>
      <c r="V712" s="31">
        <v>20</v>
      </c>
      <c r="W712" s="31">
        <v>0</v>
      </c>
      <c r="X712" s="38">
        <v>18</v>
      </c>
      <c r="Y712" s="31">
        <v>0</v>
      </c>
      <c r="Z712" s="31">
        <v>1</v>
      </c>
      <c r="AA712" s="31" t="s">
        <v>199</v>
      </c>
      <c r="AB712" s="31" t="s">
        <v>220</v>
      </c>
      <c r="AC712" s="41">
        <f>IFERROR(LOOKUP(M712,打分卡!$F$7:$J$7,打分卡!$K$7:$O$7),1)</f>
        <v>1</v>
      </c>
      <c r="AD712" s="41">
        <f>IFERROR(LOOKUP(S712,打分卡!$F$8:$J$8,打分卡!$K$8:$O$8),1)</f>
        <v>1</v>
      </c>
      <c r="AE712" s="41">
        <f>IFERROR(LOOKUP(T712,打分卡!$F$9:$I$9,打分卡!$K$9:$N$9),1)</f>
        <v>1</v>
      </c>
      <c r="AF712" s="41">
        <f>IFERROR(LOOKUP(Q712,打分卡!$F$10:$J$10,打分卡!$K$10:$O$10),1)</f>
        <v>2</v>
      </c>
      <c r="AG712" s="41">
        <f>IFERROR(LOOKUP(R712,打分卡!$F$11:$J$11,打分卡!$K$11:$O$11),1)</f>
        <v>4</v>
      </c>
      <c r="AH712" s="41">
        <f>IFERROR(LOOKUP(U712,打分卡!$F$12:$J$12,打分卡!$K$12:$O$12),1)</f>
        <v>2</v>
      </c>
      <c r="AI712" s="41">
        <f>IFERROR(LOOKUP(X712,打分卡!$F$13:$J$13,打分卡!$K$13:$O$13),1)</f>
        <v>2</v>
      </c>
      <c r="AJ712" s="41">
        <f>IFERROR(LOOKUP(Y712,打分卡!$F$14:$J$14,打分卡!$K$14:$O$14),1)</f>
        <v>1</v>
      </c>
      <c r="AK712" s="41">
        <f>IFERROR(LOOKUP(W712,打分卡!$F$15:$J$15,打分卡!$K$15:$O$15),1)</f>
        <v>1</v>
      </c>
      <c r="AL712" s="43">
        <f t="shared" si="89"/>
        <v>5</v>
      </c>
      <c r="AM712" s="41">
        <f>IFERROR(LOOKUP(Z712,打分卡!$F$17:$H$17,打分卡!$K$17:$M$17),1)</f>
        <v>3</v>
      </c>
      <c r="AN712" s="44">
        <f>(打分卡!$D$7*AC712+打分卡!$D$8*AD712+打分卡!$D$9*AE712)/5</f>
        <v>8</v>
      </c>
      <c r="AO712" s="44">
        <f>(打分卡!$D$10*AF712+打分卡!$D$11*AG712)/5</f>
        <v>12</v>
      </c>
      <c r="AP712" s="44">
        <f>(打分卡!$D$12*AH712+打分卡!$D$13*AI712+打分卡!$D$14*AJ712+打分卡!$D$15*AK712)/5</f>
        <v>10</v>
      </c>
      <c r="AQ712" s="44">
        <f>(打分卡!$D$16*AL712+打分卡!$D$17*AM712)/5</f>
        <v>8.4</v>
      </c>
      <c r="AR712" s="47">
        <f t="shared" si="90"/>
        <v>38.4</v>
      </c>
      <c r="AS712" s="43" t="str">
        <f t="shared" si="91"/>
        <v>基础长尾</v>
      </c>
      <c r="AT712" s="43" t="str">
        <f t="shared" si="92"/>
        <v/>
      </c>
      <c r="AU712" s="43" t="str">
        <f t="shared" si="93"/>
        <v>激活：企微+Push低成本先跑</v>
      </c>
    </row>
    <row r="713" ht="15" customHeight="1" spans="1:47">
      <c r="A713" s="20" t="s">
        <v>2090</v>
      </c>
      <c r="B713" s="22" t="s">
        <v>2091</v>
      </c>
      <c r="C713" s="22" t="s">
        <v>179</v>
      </c>
      <c r="D713" s="22" t="s">
        <v>235</v>
      </c>
      <c r="E713" s="22" t="s">
        <v>181</v>
      </c>
      <c r="F713" s="20" t="s">
        <v>575</v>
      </c>
      <c r="G713" s="22">
        <v>11</v>
      </c>
      <c r="H713" s="22" t="s">
        <v>183</v>
      </c>
      <c r="I713" s="22" t="s">
        <v>184</v>
      </c>
      <c r="J713" s="36">
        <v>12800</v>
      </c>
      <c r="K713" s="36">
        <v>8000</v>
      </c>
      <c r="L713" s="36">
        <v>1300</v>
      </c>
      <c r="M713" s="36">
        <f t="shared" si="88"/>
        <v>22100</v>
      </c>
      <c r="N713" s="34">
        <f t="shared" si="94"/>
        <v>0.000115862340859667</v>
      </c>
      <c r="O713" s="35">
        <f>SUM($M$2:M713)</f>
        <v>186216200</v>
      </c>
      <c r="P713" s="34">
        <f t="shared" si="95"/>
        <v>0.976264472307328</v>
      </c>
      <c r="Q713" s="39">
        <v>2.8</v>
      </c>
      <c r="R713" s="22">
        <v>4</v>
      </c>
      <c r="S713" s="22">
        <v>2</v>
      </c>
      <c r="T713" s="22">
        <v>0</v>
      </c>
      <c r="U713" s="39">
        <v>6.3</v>
      </c>
      <c r="V713" s="22">
        <v>21</v>
      </c>
      <c r="W713" s="22">
        <v>2</v>
      </c>
      <c r="X713" s="40">
        <v>30</v>
      </c>
      <c r="Y713" s="22">
        <v>0</v>
      </c>
      <c r="Z713" s="22">
        <v>0</v>
      </c>
      <c r="AA713" s="22" t="s">
        <v>185</v>
      </c>
      <c r="AB713" s="22" t="s">
        <v>220</v>
      </c>
      <c r="AC713" s="42">
        <f>IFERROR(LOOKUP(M713,打分卡!$F$7:$J$7,打分卡!$K$7:$O$7),1)</f>
        <v>1</v>
      </c>
      <c r="AD713" s="42">
        <f>IFERROR(LOOKUP(S713,打分卡!$F$8:$J$8,打分卡!$K$8:$O$8),1)</f>
        <v>2</v>
      </c>
      <c r="AE713" s="42">
        <f>IFERROR(LOOKUP(T713,打分卡!$F$9:$I$9,打分卡!$K$9:$N$9),1)</f>
        <v>1</v>
      </c>
      <c r="AF713" s="42">
        <f>IFERROR(LOOKUP(Q713,打分卡!$F$10:$J$10,打分卡!$K$10:$O$10),1)</f>
        <v>2</v>
      </c>
      <c r="AG713" s="42">
        <f>IFERROR(LOOKUP(R713,打分卡!$F$11:$J$11,打分卡!$K$11:$O$11),1)</f>
        <v>2</v>
      </c>
      <c r="AH713" s="42">
        <f>IFERROR(LOOKUP(U713,打分卡!$F$12:$J$12,打分卡!$K$12:$O$12),1)</f>
        <v>2</v>
      </c>
      <c r="AI713" s="42">
        <f>IFERROR(LOOKUP(X713,打分卡!$F$13:$J$13,打分卡!$K$13:$O$13),1)</f>
        <v>2</v>
      </c>
      <c r="AJ713" s="42">
        <f>IFERROR(LOOKUP(Y713,打分卡!$F$14:$J$14,打分卡!$K$14:$O$14),1)</f>
        <v>1</v>
      </c>
      <c r="AK713" s="42">
        <f>IFERROR(LOOKUP(W713,打分卡!$F$15:$J$15,打分卡!$K$15:$O$15),1)</f>
        <v>2</v>
      </c>
      <c r="AL713" s="45">
        <f t="shared" si="89"/>
        <v>3</v>
      </c>
      <c r="AM713" s="42">
        <f>IFERROR(LOOKUP(Z713,打分卡!$F$17:$H$17,打分卡!$K$17:$M$17),1)</f>
        <v>1</v>
      </c>
      <c r="AN713" s="46">
        <f>(打分卡!$D$7*AC713+打分卡!$D$8*AD713+打分卡!$D$9*AE713)/5</f>
        <v>9.6</v>
      </c>
      <c r="AO713" s="46">
        <f>(打分卡!$D$10*AF713+打分卡!$D$11*AG713)/5</f>
        <v>8</v>
      </c>
      <c r="AP713" s="46">
        <f>(打分卡!$D$12*AH713+打分卡!$D$13*AI713+打分卡!$D$14*AJ713+打分卡!$D$15*AK713)/5</f>
        <v>10.8</v>
      </c>
      <c r="AQ713" s="46">
        <f>(打分卡!$D$16*AL713+打分卡!$D$17*AM713)/5</f>
        <v>4.4</v>
      </c>
      <c r="AR713" s="48">
        <f t="shared" si="90"/>
        <v>32.8</v>
      </c>
      <c r="AS713" s="45" t="str">
        <f t="shared" si="91"/>
        <v>基础长尾</v>
      </c>
      <c r="AT713" s="45" t="str">
        <f t="shared" si="92"/>
        <v/>
      </c>
      <c r="AU713" s="45" t="str">
        <f t="shared" si="93"/>
        <v>激活：企微+Push低成本先跑</v>
      </c>
    </row>
    <row r="714" ht="15" customHeight="1" spans="1:47">
      <c r="A714" s="30" t="s">
        <v>2092</v>
      </c>
      <c r="B714" s="31" t="s">
        <v>2093</v>
      </c>
      <c r="C714" s="31" t="s">
        <v>189</v>
      </c>
      <c r="D714" s="31" t="s">
        <v>227</v>
      </c>
      <c r="E714" s="31" t="s">
        <v>197</v>
      </c>
      <c r="F714" s="30" t="s">
        <v>2094</v>
      </c>
      <c r="G714" s="31">
        <v>20</v>
      </c>
      <c r="H714" s="31" t="s">
        <v>301</v>
      </c>
      <c r="I714" s="31" t="s">
        <v>184</v>
      </c>
      <c r="J714" s="33">
        <v>10000</v>
      </c>
      <c r="K714" s="33">
        <v>8800</v>
      </c>
      <c r="L714" s="33">
        <v>3200</v>
      </c>
      <c r="M714" s="33">
        <f t="shared" si="88"/>
        <v>22000</v>
      </c>
      <c r="N714" s="34">
        <f t="shared" si="94"/>
        <v>0.000115338076873877</v>
      </c>
      <c r="O714" s="35">
        <f>SUM($M$2:M714)</f>
        <v>186238200</v>
      </c>
      <c r="P714" s="34">
        <f t="shared" si="95"/>
        <v>0.976379810384202</v>
      </c>
      <c r="Q714" s="37">
        <v>1.4</v>
      </c>
      <c r="R714" s="31">
        <v>5</v>
      </c>
      <c r="S714" s="31">
        <v>2</v>
      </c>
      <c r="T714" s="31">
        <v>1</v>
      </c>
      <c r="U714" s="37">
        <v>8.2</v>
      </c>
      <c r="V714" s="31">
        <v>17</v>
      </c>
      <c r="W714" s="31">
        <v>2</v>
      </c>
      <c r="X714" s="38">
        <v>13</v>
      </c>
      <c r="Y714" s="31">
        <v>0</v>
      </c>
      <c r="Z714" s="31">
        <v>1</v>
      </c>
      <c r="AA714" s="31" t="s">
        <v>199</v>
      </c>
      <c r="AB714" s="31" t="s">
        <v>220</v>
      </c>
      <c r="AC714" s="41">
        <f>IFERROR(LOOKUP(M714,打分卡!$F$7:$J$7,打分卡!$K$7:$O$7),1)</f>
        <v>1</v>
      </c>
      <c r="AD714" s="41">
        <f>IFERROR(LOOKUP(S714,打分卡!$F$8:$J$8,打分卡!$K$8:$O$8),1)</f>
        <v>2</v>
      </c>
      <c r="AE714" s="41">
        <f>IFERROR(LOOKUP(T714,打分卡!$F$9:$I$9,打分卡!$K$9:$N$9),1)</f>
        <v>2</v>
      </c>
      <c r="AF714" s="41">
        <f>IFERROR(LOOKUP(Q714,打分卡!$F$10:$J$10,打分卡!$K$10:$O$10),1)</f>
        <v>1</v>
      </c>
      <c r="AG714" s="41">
        <f>IFERROR(LOOKUP(R714,打分卡!$F$11:$J$11,打分卡!$K$11:$O$11),1)</f>
        <v>3</v>
      </c>
      <c r="AH714" s="41">
        <f>IFERROR(LOOKUP(U714,打分卡!$F$12:$J$12,打分卡!$K$12:$O$12),1)</f>
        <v>2</v>
      </c>
      <c r="AI714" s="41">
        <f>IFERROR(LOOKUP(X714,打分卡!$F$13:$J$13,打分卡!$K$13:$O$13),1)</f>
        <v>1</v>
      </c>
      <c r="AJ714" s="41">
        <f>IFERROR(LOOKUP(Y714,打分卡!$F$14:$J$14,打分卡!$K$14:$O$14),1)</f>
        <v>1</v>
      </c>
      <c r="AK714" s="41">
        <f>IFERROR(LOOKUP(W714,打分卡!$F$15:$J$15,打分卡!$K$15:$O$15),1)</f>
        <v>2</v>
      </c>
      <c r="AL714" s="43">
        <f t="shared" si="89"/>
        <v>5</v>
      </c>
      <c r="AM714" s="41">
        <f>IFERROR(LOOKUP(Z714,打分卡!$F$17:$H$17,打分卡!$K$17:$M$17),1)</f>
        <v>3</v>
      </c>
      <c r="AN714" s="44">
        <f>(打分卡!$D$7*AC714+打分卡!$D$8*AD714+打分卡!$D$9*AE714)/5</f>
        <v>11</v>
      </c>
      <c r="AO714" s="44">
        <f>(打分卡!$D$10*AF714+打分卡!$D$11*AG714)/5</f>
        <v>8</v>
      </c>
      <c r="AP714" s="44">
        <f>(打分卡!$D$12*AH714+打分卡!$D$13*AI714+打分卡!$D$14*AJ714+打分卡!$D$15*AK714)/5</f>
        <v>9.2</v>
      </c>
      <c r="AQ714" s="44">
        <f>(打分卡!$D$16*AL714+打分卡!$D$17*AM714)/5</f>
        <v>8.4</v>
      </c>
      <c r="AR714" s="47">
        <f t="shared" si="90"/>
        <v>36.6</v>
      </c>
      <c r="AS714" s="43" t="str">
        <f t="shared" si="91"/>
        <v>基础长尾</v>
      </c>
      <c r="AT714" s="43" t="str">
        <f t="shared" si="92"/>
        <v/>
      </c>
      <c r="AU714" s="43" t="str">
        <f t="shared" si="93"/>
        <v>激活：企微+Push低成本先跑</v>
      </c>
    </row>
    <row r="715" ht="15" customHeight="1" spans="1:47">
      <c r="A715" s="20" t="s">
        <v>2095</v>
      </c>
      <c r="B715" s="22" t="s">
        <v>2096</v>
      </c>
      <c r="C715" s="22" t="s">
        <v>179</v>
      </c>
      <c r="D715" s="22" t="s">
        <v>202</v>
      </c>
      <c r="E715" s="22" t="s">
        <v>181</v>
      </c>
      <c r="F715" s="20" t="s">
        <v>1709</v>
      </c>
      <c r="G715" s="22">
        <v>15</v>
      </c>
      <c r="H715" s="22" t="s">
        <v>301</v>
      </c>
      <c r="I715" s="22" t="s">
        <v>184</v>
      </c>
      <c r="J715" s="36">
        <v>14100</v>
      </c>
      <c r="K715" s="36">
        <v>6700</v>
      </c>
      <c r="L715" s="36">
        <v>1100</v>
      </c>
      <c r="M715" s="36">
        <f t="shared" si="88"/>
        <v>21900</v>
      </c>
      <c r="N715" s="34">
        <f t="shared" si="94"/>
        <v>0.000114813812888086</v>
      </c>
      <c r="O715" s="35">
        <f>SUM($M$2:M715)</f>
        <v>186260100</v>
      </c>
      <c r="P715" s="34">
        <f t="shared" si="95"/>
        <v>0.97649462419709</v>
      </c>
      <c r="Q715" s="39">
        <v>3.2</v>
      </c>
      <c r="R715" s="22">
        <v>5</v>
      </c>
      <c r="S715" s="22">
        <v>1</v>
      </c>
      <c r="T715" s="22">
        <v>2</v>
      </c>
      <c r="U715" s="39">
        <v>54.4</v>
      </c>
      <c r="V715" s="22">
        <v>18</v>
      </c>
      <c r="W715" s="22">
        <v>0</v>
      </c>
      <c r="X715" s="40">
        <v>35</v>
      </c>
      <c r="Y715" s="22">
        <v>2</v>
      </c>
      <c r="Z715" s="22">
        <v>0</v>
      </c>
      <c r="AA715" s="22" t="s">
        <v>185</v>
      </c>
      <c r="AB715" s="22" t="s">
        <v>220</v>
      </c>
      <c r="AC715" s="42">
        <f>IFERROR(LOOKUP(M715,打分卡!$F$7:$J$7,打分卡!$K$7:$O$7),1)</f>
        <v>1</v>
      </c>
      <c r="AD715" s="42">
        <f>IFERROR(LOOKUP(S715,打分卡!$F$8:$J$8,打分卡!$K$8:$O$8),1)</f>
        <v>1</v>
      </c>
      <c r="AE715" s="42">
        <f>IFERROR(LOOKUP(T715,打分卡!$F$9:$I$9,打分卡!$K$9:$N$9),1)</f>
        <v>3</v>
      </c>
      <c r="AF715" s="42">
        <f>IFERROR(LOOKUP(Q715,打分卡!$F$10:$J$10,打分卡!$K$10:$O$10),1)</f>
        <v>2</v>
      </c>
      <c r="AG715" s="42">
        <f>IFERROR(LOOKUP(R715,打分卡!$F$11:$J$11,打分卡!$K$11:$O$11),1)</f>
        <v>3</v>
      </c>
      <c r="AH715" s="42">
        <f>IFERROR(LOOKUP(U715,打分卡!$F$12:$J$12,打分卡!$K$12:$O$12),1)</f>
        <v>4</v>
      </c>
      <c r="AI715" s="42">
        <f>IFERROR(LOOKUP(X715,打分卡!$F$13:$J$13,打分卡!$K$13:$O$13),1)</f>
        <v>2</v>
      </c>
      <c r="AJ715" s="42">
        <f>IFERROR(LOOKUP(Y715,打分卡!$F$14:$J$14,打分卡!$K$14:$O$14),1)</f>
        <v>3</v>
      </c>
      <c r="AK715" s="42">
        <f>IFERROR(LOOKUP(W715,打分卡!$F$15:$J$15,打分卡!$K$15:$O$15),1)</f>
        <v>1</v>
      </c>
      <c r="AL715" s="45">
        <f t="shared" si="89"/>
        <v>3</v>
      </c>
      <c r="AM715" s="42">
        <f>IFERROR(LOOKUP(Z715,打分卡!$F$17:$H$17,打分卡!$K$17:$M$17),1)</f>
        <v>1</v>
      </c>
      <c r="AN715" s="46">
        <f>(打分卡!$D$7*AC715+打分卡!$D$8*AD715+打分卡!$D$9*AE715)/5</f>
        <v>10.8</v>
      </c>
      <c r="AO715" s="46">
        <f>(打分卡!$D$10*AF715+打分卡!$D$11*AG715)/5</f>
        <v>10</v>
      </c>
      <c r="AP715" s="46">
        <f>(打分卡!$D$12*AH715+打分卡!$D$13*AI715+打分卡!$D$14*AJ715+打分卡!$D$15*AK715)/5</f>
        <v>17.2</v>
      </c>
      <c r="AQ715" s="46">
        <f>(打分卡!$D$16*AL715+打分卡!$D$17*AM715)/5</f>
        <v>4.4</v>
      </c>
      <c r="AR715" s="48">
        <f t="shared" si="90"/>
        <v>42.4</v>
      </c>
      <c r="AS715" s="45" t="str">
        <f t="shared" si="91"/>
        <v>腰部</v>
      </c>
      <c r="AT715" s="45" t="str">
        <f t="shared" si="92"/>
        <v/>
      </c>
      <c r="AU715" s="45" t="str">
        <f t="shared" si="93"/>
        <v>拉·主攻：主推AI外呼+大促作战包</v>
      </c>
    </row>
    <row r="716" ht="15" customHeight="1" spans="1:47">
      <c r="A716" s="30" t="s">
        <v>2097</v>
      </c>
      <c r="B716" s="31" t="s">
        <v>2098</v>
      </c>
      <c r="C716" s="31" t="s">
        <v>239</v>
      </c>
      <c r="D716" s="31" t="s">
        <v>196</v>
      </c>
      <c r="E716" s="31" t="s">
        <v>181</v>
      </c>
      <c r="F716" s="30" t="s">
        <v>1927</v>
      </c>
      <c r="G716" s="31">
        <v>9</v>
      </c>
      <c r="H716" s="31" t="s">
        <v>301</v>
      </c>
      <c r="I716" s="31" t="s">
        <v>302</v>
      </c>
      <c r="J716" s="33">
        <v>11300</v>
      </c>
      <c r="K716" s="33">
        <v>5000</v>
      </c>
      <c r="L716" s="33">
        <v>5300</v>
      </c>
      <c r="M716" s="33">
        <f t="shared" si="88"/>
        <v>21600</v>
      </c>
      <c r="N716" s="34">
        <f t="shared" si="94"/>
        <v>0.000113241020930715</v>
      </c>
      <c r="O716" s="35">
        <f>SUM($M$2:M716)</f>
        <v>186281700</v>
      </c>
      <c r="P716" s="34">
        <f t="shared" si="95"/>
        <v>0.97660786521802</v>
      </c>
      <c r="Q716" s="37">
        <v>2.9</v>
      </c>
      <c r="R716" s="31">
        <v>4</v>
      </c>
      <c r="S716" s="31">
        <v>1</v>
      </c>
      <c r="T716" s="31">
        <v>1</v>
      </c>
      <c r="U716" s="37">
        <v>1.2</v>
      </c>
      <c r="V716" s="31">
        <v>22</v>
      </c>
      <c r="W716" s="31">
        <v>2</v>
      </c>
      <c r="X716" s="38">
        <v>17</v>
      </c>
      <c r="Y716" s="31">
        <v>2</v>
      </c>
      <c r="Z716" s="31">
        <v>1</v>
      </c>
      <c r="AA716" s="31" t="s">
        <v>199</v>
      </c>
      <c r="AB716" s="31" t="s">
        <v>220</v>
      </c>
      <c r="AC716" s="41">
        <f>IFERROR(LOOKUP(M716,打分卡!$F$7:$J$7,打分卡!$K$7:$O$7),1)</f>
        <v>1</v>
      </c>
      <c r="AD716" s="41">
        <f>IFERROR(LOOKUP(S716,打分卡!$F$8:$J$8,打分卡!$K$8:$O$8),1)</f>
        <v>1</v>
      </c>
      <c r="AE716" s="41">
        <f>IFERROR(LOOKUP(T716,打分卡!$F$9:$I$9,打分卡!$K$9:$N$9),1)</f>
        <v>2</v>
      </c>
      <c r="AF716" s="41">
        <f>IFERROR(LOOKUP(Q716,打分卡!$F$10:$J$10,打分卡!$K$10:$O$10),1)</f>
        <v>2</v>
      </c>
      <c r="AG716" s="41">
        <f>IFERROR(LOOKUP(R716,打分卡!$F$11:$J$11,打分卡!$K$11:$O$11),1)</f>
        <v>2</v>
      </c>
      <c r="AH716" s="41">
        <f>IFERROR(LOOKUP(U716,打分卡!$F$12:$J$12,打分卡!$K$12:$O$12),1)</f>
        <v>1</v>
      </c>
      <c r="AI716" s="41">
        <f>IFERROR(LOOKUP(X716,打分卡!$F$13:$J$13,打分卡!$K$13:$O$13),1)</f>
        <v>1</v>
      </c>
      <c r="AJ716" s="41">
        <f>IFERROR(LOOKUP(Y716,打分卡!$F$14:$J$14,打分卡!$K$14:$O$14),1)</f>
        <v>3</v>
      </c>
      <c r="AK716" s="41">
        <f>IFERROR(LOOKUP(W716,打分卡!$F$15:$J$15,打分卡!$K$15:$O$15),1)</f>
        <v>2</v>
      </c>
      <c r="AL716" s="43">
        <f t="shared" si="89"/>
        <v>5</v>
      </c>
      <c r="AM716" s="41">
        <f>IFERROR(LOOKUP(Z716,打分卡!$F$17:$H$17,打分卡!$K$17:$M$17),1)</f>
        <v>3</v>
      </c>
      <c r="AN716" s="44">
        <f>(打分卡!$D$7*AC716+打分卡!$D$8*AD716+打分卡!$D$9*AE716)/5</f>
        <v>9.4</v>
      </c>
      <c r="AO716" s="44">
        <f>(打分卡!$D$10*AF716+打分卡!$D$11*AG716)/5</f>
        <v>8</v>
      </c>
      <c r="AP716" s="44">
        <f>(打分卡!$D$12*AH716+打分卡!$D$13*AI716+打分卡!$D$14*AJ716+打分卡!$D$15*AK716)/5</f>
        <v>9.2</v>
      </c>
      <c r="AQ716" s="44">
        <f>(打分卡!$D$16*AL716+打分卡!$D$17*AM716)/5</f>
        <v>8.4</v>
      </c>
      <c r="AR716" s="47">
        <f t="shared" si="90"/>
        <v>35</v>
      </c>
      <c r="AS716" s="43" t="str">
        <f t="shared" si="91"/>
        <v>基础长尾</v>
      </c>
      <c r="AT716" s="43" t="str">
        <f t="shared" si="92"/>
        <v/>
      </c>
      <c r="AU716" s="43" t="str">
        <f t="shared" si="93"/>
        <v>激活：企微+Push低成本先跑</v>
      </c>
    </row>
    <row r="717" ht="15" customHeight="1" spans="1:47">
      <c r="A717" s="20" t="s">
        <v>2099</v>
      </c>
      <c r="B717" s="22" t="s">
        <v>2100</v>
      </c>
      <c r="C717" s="22" t="s">
        <v>218</v>
      </c>
      <c r="D717" s="22" t="s">
        <v>180</v>
      </c>
      <c r="E717" s="22" t="s">
        <v>181</v>
      </c>
      <c r="F717" s="20" t="s">
        <v>2101</v>
      </c>
      <c r="G717" s="22">
        <v>12</v>
      </c>
      <c r="H717" s="22" t="s">
        <v>301</v>
      </c>
      <c r="I717" s="22" t="s">
        <v>302</v>
      </c>
      <c r="J717" s="36">
        <v>11400</v>
      </c>
      <c r="K717" s="36">
        <v>5500</v>
      </c>
      <c r="L717" s="36">
        <v>4700</v>
      </c>
      <c r="M717" s="36">
        <f t="shared" si="88"/>
        <v>21600</v>
      </c>
      <c r="N717" s="34">
        <f t="shared" si="94"/>
        <v>0.000113241020930715</v>
      </c>
      <c r="O717" s="35">
        <f>SUM($M$2:M717)</f>
        <v>186303300</v>
      </c>
      <c r="P717" s="34">
        <f t="shared" si="95"/>
        <v>0.976721106238951</v>
      </c>
      <c r="Q717" s="39">
        <v>3.1</v>
      </c>
      <c r="R717" s="22">
        <v>4</v>
      </c>
      <c r="S717" s="22">
        <v>1</v>
      </c>
      <c r="T717" s="22">
        <v>1</v>
      </c>
      <c r="U717" s="39">
        <v>1.1</v>
      </c>
      <c r="V717" s="22">
        <v>20</v>
      </c>
      <c r="W717" s="22">
        <v>0</v>
      </c>
      <c r="X717" s="40">
        <v>49</v>
      </c>
      <c r="Y717" s="22">
        <v>0</v>
      </c>
      <c r="Z717" s="22">
        <v>0</v>
      </c>
      <c r="AA717" s="22" t="s">
        <v>185</v>
      </c>
      <c r="AB717" s="22" t="s">
        <v>220</v>
      </c>
      <c r="AC717" s="42">
        <f>IFERROR(LOOKUP(M717,打分卡!$F$7:$J$7,打分卡!$K$7:$O$7),1)</f>
        <v>1</v>
      </c>
      <c r="AD717" s="42">
        <f>IFERROR(LOOKUP(S717,打分卡!$F$8:$J$8,打分卡!$K$8:$O$8),1)</f>
        <v>1</v>
      </c>
      <c r="AE717" s="42">
        <f>IFERROR(LOOKUP(T717,打分卡!$F$9:$I$9,打分卡!$K$9:$N$9),1)</f>
        <v>2</v>
      </c>
      <c r="AF717" s="42">
        <f>IFERROR(LOOKUP(Q717,打分卡!$F$10:$J$10,打分卡!$K$10:$O$10),1)</f>
        <v>2</v>
      </c>
      <c r="AG717" s="42">
        <f>IFERROR(LOOKUP(R717,打分卡!$F$11:$J$11,打分卡!$K$11:$O$11),1)</f>
        <v>2</v>
      </c>
      <c r="AH717" s="42">
        <f>IFERROR(LOOKUP(U717,打分卡!$F$12:$J$12,打分卡!$K$12:$O$12),1)</f>
        <v>1</v>
      </c>
      <c r="AI717" s="42">
        <f>IFERROR(LOOKUP(X717,打分卡!$F$13:$J$13,打分卡!$K$13:$O$13),1)</f>
        <v>3</v>
      </c>
      <c r="AJ717" s="42">
        <f>IFERROR(LOOKUP(Y717,打分卡!$F$14:$J$14,打分卡!$K$14:$O$14),1)</f>
        <v>1</v>
      </c>
      <c r="AK717" s="42">
        <f>IFERROR(LOOKUP(W717,打分卡!$F$15:$J$15,打分卡!$K$15:$O$15),1)</f>
        <v>1</v>
      </c>
      <c r="AL717" s="45">
        <f t="shared" si="89"/>
        <v>3</v>
      </c>
      <c r="AM717" s="42">
        <f>IFERROR(LOOKUP(Z717,打分卡!$F$17:$H$17,打分卡!$K$17:$M$17),1)</f>
        <v>1</v>
      </c>
      <c r="AN717" s="46">
        <f>(打分卡!$D$7*AC717+打分卡!$D$8*AD717+打分卡!$D$9*AE717)/5</f>
        <v>9.4</v>
      </c>
      <c r="AO717" s="46">
        <f>(打分卡!$D$10*AF717+打分卡!$D$11*AG717)/5</f>
        <v>8</v>
      </c>
      <c r="AP717" s="46">
        <f>(打分卡!$D$12*AH717+打分卡!$D$13*AI717+打分卡!$D$14*AJ717+打分卡!$D$15*AK717)/5</f>
        <v>9.2</v>
      </c>
      <c r="AQ717" s="46">
        <f>(打分卡!$D$16*AL717+打分卡!$D$17*AM717)/5</f>
        <v>4.4</v>
      </c>
      <c r="AR717" s="48">
        <f t="shared" si="90"/>
        <v>31</v>
      </c>
      <c r="AS717" s="45" t="str">
        <f t="shared" si="91"/>
        <v>基础长尾</v>
      </c>
      <c r="AT717" s="45" t="str">
        <f t="shared" si="92"/>
        <v/>
      </c>
      <c r="AU717" s="45" t="str">
        <f t="shared" si="93"/>
        <v>激活：企微+Push低成本先跑</v>
      </c>
    </row>
    <row r="718" ht="15" customHeight="1" spans="1:47">
      <c r="A718" s="30" t="s">
        <v>2102</v>
      </c>
      <c r="B718" s="31" t="s">
        <v>2103</v>
      </c>
      <c r="C718" s="31" t="s">
        <v>209</v>
      </c>
      <c r="D718" s="31" t="s">
        <v>227</v>
      </c>
      <c r="E718" s="31" t="s">
        <v>197</v>
      </c>
      <c r="F718" s="30" t="s">
        <v>243</v>
      </c>
      <c r="G718" s="31">
        <v>21</v>
      </c>
      <c r="H718" s="31" t="s">
        <v>301</v>
      </c>
      <c r="I718" s="31" t="s">
        <v>184</v>
      </c>
      <c r="J718" s="33">
        <v>11200</v>
      </c>
      <c r="K718" s="33">
        <v>7900</v>
      </c>
      <c r="L718" s="33">
        <v>2400</v>
      </c>
      <c r="M718" s="33">
        <f t="shared" si="88"/>
        <v>21500</v>
      </c>
      <c r="N718" s="34">
        <f t="shared" si="94"/>
        <v>0.000112716756944925</v>
      </c>
      <c r="O718" s="35">
        <f>SUM($M$2:M718)</f>
        <v>186324800</v>
      </c>
      <c r="P718" s="34">
        <f t="shared" si="95"/>
        <v>0.976833822995896</v>
      </c>
      <c r="Q718" s="37">
        <v>2.5</v>
      </c>
      <c r="R718" s="31">
        <v>1</v>
      </c>
      <c r="S718" s="31">
        <v>1</v>
      </c>
      <c r="T718" s="31">
        <v>2</v>
      </c>
      <c r="U718" s="37">
        <v>29.5</v>
      </c>
      <c r="V718" s="31">
        <v>16</v>
      </c>
      <c r="W718" s="31">
        <v>4</v>
      </c>
      <c r="X718" s="38">
        <v>11</v>
      </c>
      <c r="Y718" s="31">
        <v>3</v>
      </c>
      <c r="Z718" s="31">
        <v>1</v>
      </c>
      <c r="AA718" s="31" t="s">
        <v>315</v>
      </c>
      <c r="AB718" s="31" t="s">
        <v>220</v>
      </c>
      <c r="AC718" s="41">
        <f>IFERROR(LOOKUP(M718,打分卡!$F$7:$J$7,打分卡!$K$7:$O$7),1)</f>
        <v>1</v>
      </c>
      <c r="AD718" s="41">
        <f>IFERROR(LOOKUP(S718,打分卡!$F$8:$J$8,打分卡!$K$8:$O$8),1)</f>
        <v>1</v>
      </c>
      <c r="AE718" s="41">
        <f>IFERROR(LOOKUP(T718,打分卡!$F$9:$I$9,打分卡!$K$9:$N$9),1)</f>
        <v>3</v>
      </c>
      <c r="AF718" s="41">
        <f>IFERROR(LOOKUP(Q718,打分卡!$F$10:$J$10,打分卡!$K$10:$O$10),1)</f>
        <v>2</v>
      </c>
      <c r="AG718" s="41">
        <f>IFERROR(LOOKUP(R718,打分卡!$F$11:$J$11,打分卡!$K$11:$O$11),1)</f>
        <v>1</v>
      </c>
      <c r="AH718" s="41">
        <f>IFERROR(LOOKUP(U718,打分卡!$F$12:$J$12,打分卡!$K$12:$O$12),1)</f>
        <v>3</v>
      </c>
      <c r="AI718" s="41">
        <f>IFERROR(LOOKUP(X718,打分卡!$F$13:$J$13,打分卡!$K$13:$O$13),1)</f>
        <v>1</v>
      </c>
      <c r="AJ718" s="41">
        <f>IFERROR(LOOKUP(Y718,打分卡!$F$14:$J$14,打分卡!$K$14:$O$14),1)</f>
        <v>4</v>
      </c>
      <c r="AK718" s="41">
        <f>IFERROR(LOOKUP(W718,打分卡!$F$15:$J$15,打分卡!$K$15:$O$15),1)</f>
        <v>3</v>
      </c>
      <c r="AL718" s="43">
        <f t="shared" si="89"/>
        <v>2</v>
      </c>
      <c r="AM718" s="41">
        <f>IFERROR(LOOKUP(Z718,打分卡!$F$17:$H$17,打分卡!$K$17:$M$17),1)</f>
        <v>3</v>
      </c>
      <c r="AN718" s="44">
        <f>(打分卡!$D$7*AC718+打分卡!$D$8*AD718+打分卡!$D$9*AE718)/5</f>
        <v>10.8</v>
      </c>
      <c r="AO718" s="44">
        <f>(打分卡!$D$10*AF718+打分卡!$D$11*AG718)/5</f>
        <v>6</v>
      </c>
      <c r="AP718" s="44">
        <f>(打分卡!$D$12*AH718+打分卡!$D$13*AI718+打分卡!$D$14*AJ718+打分卡!$D$15*AK718)/5</f>
        <v>16</v>
      </c>
      <c r="AQ718" s="44">
        <f>(打分卡!$D$16*AL718+打分卡!$D$17*AM718)/5</f>
        <v>4.8</v>
      </c>
      <c r="AR718" s="47">
        <f t="shared" si="90"/>
        <v>37.6</v>
      </c>
      <c r="AS718" s="43" t="str">
        <f t="shared" si="91"/>
        <v>基础长尾</v>
      </c>
      <c r="AT718" s="43" t="str">
        <f t="shared" si="92"/>
        <v/>
      </c>
      <c r="AU718" s="43" t="str">
        <f t="shared" si="93"/>
        <v>激活：企微+Push低成本先跑</v>
      </c>
    </row>
    <row r="719" ht="15" customHeight="1" spans="1:47">
      <c r="A719" s="20" t="s">
        <v>2104</v>
      </c>
      <c r="B719" s="22" t="s">
        <v>2105</v>
      </c>
      <c r="C719" s="22" t="s">
        <v>223</v>
      </c>
      <c r="D719" s="22" t="s">
        <v>227</v>
      </c>
      <c r="E719" s="22" t="s">
        <v>197</v>
      </c>
      <c r="F719" s="20" t="s">
        <v>439</v>
      </c>
      <c r="G719" s="22">
        <v>22</v>
      </c>
      <c r="H719" s="22" t="s">
        <v>301</v>
      </c>
      <c r="I719" s="22" t="s">
        <v>302</v>
      </c>
      <c r="J719" s="36">
        <v>12900</v>
      </c>
      <c r="K719" s="36">
        <v>4400</v>
      </c>
      <c r="L719" s="36">
        <v>4200</v>
      </c>
      <c r="M719" s="36">
        <f t="shared" si="88"/>
        <v>21500</v>
      </c>
      <c r="N719" s="34">
        <f t="shared" si="94"/>
        <v>0.000112716756944925</v>
      </c>
      <c r="O719" s="35">
        <f>SUM($M$2:M719)</f>
        <v>186346300</v>
      </c>
      <c r="P719" s="34">
        <f t="shared" si="95"/>
        <v>0.976946539752841</v>
      </c>
      <c r="Q719" s="39">
        <v>1.6</v>
      </c>
      <c r="R719" s="22">
        <v>7</v>
      </c>
      <c r="S719" s="22">
        <v>3</v>
      </c>
      <c r="T719" s="22">
        <v>0</v>
      </c>
      <c r="U719" s="39">
        <v>62.6</v>
      </c>
      <c r="V719" s="22">
        <v>24</v>
      </c>
      <c r="W719" s="22">
        <v>0</v>
      </c>
      <c r="X719" s="40">
        <v>63</v>
      </c>
      <c r="Y719" s="22">
        <v>2</v>
      </c>
      <c r="Z719" s="22">
        <v>0</v>
      </c>
      <c r="AA719" s="22" t="s">
        <v>315</v>
      </c>
      <c r="AB719" s="22" t="s">
        <v>220</v>
      </c>
      <c r="AC719" s="42">
        <f>IFERROR(LOOKUP(M719,打分卡!$F$7:$J$7,打分卡!$K$7:$O$7),1)</f>
        <v>1</v>
      </c>
      <c r="AD719" s="42">
        <f>IFERROR(LOOKUP(S719,打分卡!$F$8:$J$8,打分卡!$K$8:$O$8),1)</f>
        <v>3</v>
      </c>
      <c r="AE719" s="42">
        <f>IFERROR(LOOKUP(T719,打分卡!$F$9:$I$9,打分卡!$K$9:$N$9),1)</f>
        <v>1</v>
      </c>
      <c r="AF719" s="42">
        <f>IFERROR(LOOKUP(Q719,打分卡!$F$10:$J$10,打分卡!$K$10:$O$10),1)</f>
        <v>1</v>
      </c>
      <c r="AG719" s="42">
        <f>IFERROR(LOOKUP(R719,打分卡!$F$11:$J$11,打分卡!$K$11:$O$11),1)</f>
        <v>3</v>
      </c>
      <c r="AH719" s="42">
        <f>IFERROR(LOOKUP(U719,打分卡!$F$12:$J$12,打分卡!$K$12:$O$12),1)</f>
        <v>4</v>
      </c>
      <c r="AI719" s="42">
        <f>IFERROR(LOOKUP(X719,打分卡!$F$13:$J$13,打分卡!$K$13:$O$13),1)</f>
        <v>3</v>
      </c>
      <c r="AJ719" s="42">
        <f>IFERROR(LOOKUP(Y719,打分卡!$F$14:$J$14,打分卡!$K$14:$O$14),1)</f>
        <v>3</v>
      </c>
      <c r="AK719" s="42">
        <f>IFERROR(LOOKUP(W719,打分卡!$F$15:$J$15,打分卡!$K$15:$O$15),1)</f>
        <v>1</v>
      </c>
      <c r="AL719" s="45">
        <f t="shared" si="89"/>
        <v>2</v>
      </c>
      <c r="AM719" s="42">
        <f>IFERROR(LOOKUP(Z719,打分卡!$F$17:$H$17,打分卡!$K$17:$M$17),1)</f>
        <v>1</v>
      </c>
      <c r="AN719" s="46">
        <f>(打分卡!$D$7*AC719+打分卡!$D$8*AD719+打分卡!$D$9*AE719)/5</f>
        <v>11.2</v>
      </c>
      <c r="AO719" s="46">
        <f>(打分卡!$D$10*AF719+打分卡!$D$11*AG719)/5</f>
        <v>8</v>
      </c>
      <c r="AP719" s="46">
        <f>(打分卡!$D$12*AH719+打分卡!$D$13*AI719+打分卡!$D$14*AJ719+打分卡!$D$15*AK719)/5</f>
        <v>18.8</v>
      </c>
      <c r="AQ719" s="46">
        <f>(打分卡!$D$16*AL719+打分卡!$D$17*AM719)/5</f>
        <v>3.2</v>
      </c>
      <c r="AR719" s="48">
        <f t="shared" si="90"/>
        <v>41.2</v>
      </c>
      <c r="AS719" s="45" t="str">
        <f t="shared" si="91"/>
        <v>腰部</v>
      </c>
      <c r="AT719" s="45" t="str">
        <f t="shared" si="92"/>
        <v/>
      </c>
      <c r="AU719" s="45" t="str">
        <f t="shared" si="93"/>
        <v>拉·主攻：主推AI外呼+大促作战包</v>
      </c>
    </row>
    <row r="720" ht="15" customHeight="1" spans="1:47">
      <c r="A720" s="30" t="s">
        <v>2106</v>
      </c>
      <c r="B720" s="31" t="s">
        <v>2107</v>
      </c>
      <c r="C720" s="31" t="s">
        <v>195</v>
      </c>
      <c r="D720" s="31" t="s">
        <v>227</v>
      </c>
      <c r="E720" s="31" t="s">
        <v>181</v>
      </c>
      <c r="F720" s="30" t="s">
        <v>2108</v>
      </c>
      <c r="G720" s="31">
        <v>17</v>
      </c>
      <c r="H720" s="31" t="s">
        <v>301</v>
      </c>
      <c r="I720" s="31" t="s">
        <v>302</v>
      </c>
      <c r="J720" s="33">
        <v>12100</v>
      </c>
      <c r="K720" s="33">
        <v>8200</v>
      </c>
      <c r="L720" s="33">
        <v>1100</v>
      </c>
      <c r="M720" s="33">
        <f t="shared" si="88"/>
        <v>21400</v>
      </c>
      <c r="N720" s="34">
        <f t="shared" si="94"/>
        <v>0.000112192492959135</v>
      </c>
      <c r="O720" s="35">
        <f>SUM($M$2:M720)</f>
        <v>186367700</v>
      </c>
      <c r="P720" s="34">
        <f t="shared" si="95"/>
        <v>0.9770587322458</v>
      </c>
      <c r="Q720" s="37">
        <v>2.2</v>
      </c>
      <c r="R720" s="31">
        <v>6</v>
      </c>
      <c r="S720" s="31">
        <v>2</v>
      </c>
      <c r="T720" s="31">
        <v>2</v>
      </c>
      <c r="U720" s="37">
        <v>22.2</v>
      </c>
      <c r="V720" s="31">
        <v>5</v>
      </c>
      <c r="W720" s="31">
        <v>2</v>
      </c>
      <c r="X720" s="38">
        <v>31</v>
      </c>
      <c r="Y720" s="31">
        <v>0</v>
      </c>
      <c r="Z720" s="31">
        <v>1</v>
      </c>
      <c r="AA720" s="31" t="s">
        <v>185</v>
      </c>
      <c r="AB720" s="31" t="s">
        <v>220</v>
      </c>
      <c r="AC720" s="41">
        <f>IFERROR(LOOKUP(M720,打分卡!$F$7:$J$7,打分卡!$K$7:$O$7),1)</f>
        <v>1</v>
      </c>
      <c r="AD720" s="41">
        <f>IFERROR(LOOKUP(S720,打分卡!$F$8:$J$8,打分卡!$K$8:$O$8),1)</f>
        <v>2</v>
      </c>
      <c r="AE720" s="41">
        <f>IFERROR(LOOKUP(T720,打分卡!$F$9:$I$9,打分卡!$K$9:$N$9),1)</f>
        <v>3</v>
      </c>
      <c r="AF720" s="41">
        <f>IFERROR(LOOKUP(Q720,打分卡!$F$10:$J$10,打分卡!$K$10:$O$10),1)</f>
        <v>1</v>
      </c>
      <c r="AG720" s="41">
        <f>IFERROR(LOOKUP(R720,打分卡!$F$11:$J$11,打分卡!$K$11:$O$11),1)</f>
        <v>3</v>
      </c>
      <c r="AH720" s="41">
        <f>IFERROR(LOOKUP(U720,打分卡!$F$12:$J$12,打分卡!$K$12:$O$12),1)</f>
        <v>3</v>
      </c>
      <c r="AI720" s="41">
        <f>IFERROR(LOOKUP(X720,打分卡!$F$13:$J$13,打分卡!$K$13:$O$13),1)</f>
        <v>2</v>
      </c>
      <c r="AJ720" s="41">
        <f>IFERROR(LOOKUP(Y720,打分卡!$F$14:$J$14,打分卡!$K$14:$O$14),1)</f>
        <v>1</v>
      </c>
      <c r="AK720" s="41">
        <f>IFERROR(LOOKUP(W720,打分卡!$F$15:$J$15,打分卡!$K$15:$O$15),1)</f>
        <v>2</v>
      </c>
      <c r="AL720" s="43">
        <f t="shared" si="89"/>
        <v>3</v>
      </c>
      <c r="AM720" s="41">
        <f>IFERROR(LOOKUP(Z720,打分卡!$F$17:$H$17,打分卡!$K$17:$M$17),1)</f>
        <v>3</v>
      </c>
      <c r="AN720" s="44">
        <f>(打分卡!$D$7*AC720+打分卡!$D$8*AD720+打分卡!$D$9*AE720)/5</f>
        <v>12.4</v>
      </c>
      <c r="AO720" s="44">
        <f>(打分卡!$D$10*AF720+打分卡!$D$11*AG720)/5</f>
        <v>8</v>
      </c>
      <c r="AP720" s="44">
        <f>(打分卡!$D$12*AH720+打分卡!$D$13*AI720+打分卡!$D$14*AJ720+打分卡!$D$15*AK720)/5</f>
        <v>13.2</v>
      </c>
      <c r="AQ720" s="44">
        <f>(打分卡!$D$16*AL720+打分卡!$D$17*AM720)/5</f>
        <v>6</v>
      </c>
      <c r="AR720" s="47">
        <f t="shared" si="90"/>
        <v>39.6</v>
      </c>
      <c r="AS720" s="43" t="str">
        <f t="shared" si="91"/>
        <v>基础长尾</v>
      </c>
      <c r="AT720" s="43" t="str">
        <f t="shared" si="92"/>
        <v/>
      </c>
      <c r="AU720" s="43" t="str">
        <f t="shared" si="93"/>
        <v>激活：企微+Push低成本先跑</v>
      </c>
    </row>
    <row r="721" ht="15" customHeight="1" spans="1:47">
      <c r="A721" s="20" t="s">
        <v>2109</v>
      </c>
      <c r="B721" s="22" t="s">
        <v>2110</v>
      </c>
      <c r="C721" s="22" t="s">
        <v>223</v>
      </c>
      <c r="D721" s="22" t="s">
        <v>202</v>
      </c>
      <c r="E721" s="22" t="s">
        <v>197</v>
      </c>
      <c r="F721" s="20" t="s">
        <v>1563</v>
      </c>
      <c r="G721" s="22">
        <v>4</v>
      </c>
      <c r="H721" s="22" t="s">
        <v>183</v>
      </c>
      <c r="I721" s="22" t="s">
        <v>302</v>
      </c>
      <c r="J721" s="36">
        <v>11600</v>
      </c>
      <c r="K721" s="36">
        <v>8100</v>
      </c>
      <c r="L721" s="36">
        <v>1700</v>
      </c>
      <c r="M721" s="36">
        <f t="shared" si="88"/>
        <v>21400</v>
      </c>
      <c r="N721" s="34">
        <f t="shared" si="94"/>
        <v>0.000112192492959135</v>
      </c>
      <c r="O721" s="35">
        <f>SUM($M$2:M721)</f>
        <v>186389100</v>
      </c>
      <c r="P721" s="34">
        <f t="shared" si="95"/>
        <v>0.977170924738759</v>
      </c>
      <c r="Q721" s="39">
        <v>2.3</v>
      </c>
      <c r="R721" s="22">
        <v>3</v>
      </c>
      <c r="S721" s="22">
        <v>2</v>
      </c>
      <c r="T721" s="22">
        <v>2</v>
      </c>
      <c r="U721" s="39">
        <v>38.3</v>
      </c>
      <c r="V721" s="22">
        <v>5</v>
      </c>
      <c r="W721" s="22">
        <v>0</v>
      </c>
      <c r="X721" s="40">
        <v>19</v>
      </c>
      <c r="Y721" s="22">
        <v>0</v>
      </c>
      <c r="Z721" s="22">
        <v>0</v>
      </c>
      <c r="AA721" s="22" t="s">
        <v>185</v>
      </c>
      <c r="AB721" s="22" t="s">
        <v>220</v>
      </c>
      <c r="AC721" s="42">
        <f>IFERROR(LOOKUP(M721,打分卡!$F$7:$J$7,打分卡!$K$7:$O$7),1)</f>
        <v>1</v>
      </c>
      <c r="AD721" s="42">
        <f>IFERROR(LOOKUP(S721,打分卡!$F$8:$J$8,打分卡!$K$8:$O$8),1)</f>
        <v>2</v>
      </c>
      <c r="AE721" s="42">
        <f>IFERROR(LOOKUP(T721,打分卡!$F$9:$I$9,打分卡!$K$9:$N$9),1)</f>
        <v>3</v>
      </c>
      <c r="AF721" s="42">
        <f>IFERROR(LOOKUP(Q721,打分卡!$F$10:$J$10,打分卡!$K$10:$O$10),1)</f>
        <v>1</v>
      </c>
      <c r="AG721" s="42">
        <f>IFERROR(LOOKUP(R721,打分卡!$F$11:$J$11,打分卡!$K$11:$O$11),1)</f>
        <v>2</v>
      </c>
      <c r="AH721" s="42">
        <f>IFERROR(LOOKUP(U721,打分卡!$F$12:$J$12,打分卡!$K$12:$O$12),1)</f>
        <v>4</v>
      </c>
      <c r="AI721" s="42">
        <f>IFERROR(LOOKUP(X721,打分卡!$F$13:$J$13,打分卡!$K$13:$O$13),1)</f>
        <v>2</v>
      </c>
      <c r="AJ721" s="42">
        <f>IFERROR(LOOKUP(Y721,打分卡!$F$14:$J$14,打分卡!$K$14:$O$14),1)</f>
        <v>1</v>
      </c>
      <c r="AK721" s="42">
        <f>IFERROR(LOOKUP(W721,打分卡!$F$15:$J$15,打分卡!$K$15:$O$15),1)</f>
        <v>1</v>
      </c>
      <c r="AL721" s="45">
        <f t="shared" si="89"/>
        <v>3</v>
      </c>
      <c r="AM721" s="42">
        <f>IFERROR(LOOKUP(Z721,打分卡!$F$17:$H$17,打分卡!$K$17:$M$17),1)</f>
        <v>1</v>
      </c>
      <c r="AN721" s="46">
        <f>(打分卡!$D$7*AC721+打分卡!$D$8*AD721+打分卡!$D$9*AE721)/5</f>
        <v>12.4</v>
      </c>
      <c r="AO721" s="46">
        <f>(打分卡!$D$10*AF721+打分卡!$D$11*AG721)/5</f>
        <v>6</v>
      </c>
      <c r="AP721" s="46">
        <f>(打分卡!$D$12*AH721+打分卡!$D$13*AI721+打分卡!$D$14*AJ721+打分卡!$D$15*AK721)/5</f>
        <v>14.8</v>
      </c>
      <c r="AQ721" s="46">
        <f>(打分卡!$D$16*AL721+打分卡!$D$17*AM721)/5</f>
        <v>4.4</v>
      </c>
      <c r="AR721" s="48">
        <f t="shared" si="90"/>
        <v>37.6</v>
      </c>
      <c r="AS721" s="45" t="str">
        <f t="shared" si="91"/>
        <v>基础长尾</v>
      </c>
      <c r="AT721" s="45" t="str">
        <f t="shared" si="92"/>
        <v/>
      </c>
      <c r="AU721" s="45" t="str">
        <f t="shared" si="93"/>
        <v>激活：企微+Push低成本先跑</v>
      </c>
    </row>
    <row r="722" ht="15" customHeight="1" spans="1:47">
      <c r="A722" s="30" t="s">
        <v>2111</v>
      </c>
      <c r="B722" s="31" t="s">
        <v>2112</v>
      </c>
      <c r="C722" s="31" t="s">
        <v>195</v>
      </c>
      <c r="D722" s="31" t="s">
        <v>196</v>
      </c>
      <c r="E722" s="31" t="s">
        <v>181</v>
      </c>
      <c r="F722" s="30" t="s">
        <v>2113</v>
      </c>
      <c r="G722" s="31">
        <v>7</v>
      </c>
      <c r="H722" s="31" t="s">
        <v>301</v>
      </c>
      <c r="I722" s="31" t="s">
        <v>184</v>
      </c>
      <c r="J722" s="33">
        <v>10600</v>
      </c>
      <c r="K722" s="33">
        <v>6700</v>
      </c>
      <c r="L722" s="33">
        <v>4000</v>
      </c>
      <c r="M722" s="33">
        <f t="shared" si="88"/>
        <v>21300</v>
      </c>
      <c r="N722" s="34">
        <f t="shared" si="94"/>
        <v>0.000111668228973344</v>
      </c>
      <c r="O722" s="35">
        <f>SUM($M$2:M722)</f>
        <v>186410400</v>
      </c>
      <c r="P722" s="34">
        <f t="shared" si="95"/>
        <v>0.977282592967733</v>
      </c>
      <c r="Q722" s="37">
        <v>3.4</v>
      </c>
      <c r="R722" s="31">
        <v>5</v>
      </c>
      <c r="S722" s="31">
        <v>1</v>
      </c>
      <c r="T722" s="31">
        <v>2</v>
      </c>
      <c r="U722" s="37">
        <v>40.7</v>
      </c>
      <c r="V722" s="31">
        <v>27</v>
      </c>
      <c r="W722" s="31">
        <v>1</v>
      </c>
      <c r="X722" s="38">
        <v>12</v>
      </c>
      <c r="Y722" s="31">
        <v>1</v>
      </c>
      <c r="Z722" s="31">
        <v>1</v>
      </c>
      <c r="AA722" s="31" t="s">
        <v>185</v>
      </c>
      <c r="AB722" s="31" t="s">
        <v>220</v>
      </c>
      <c r="AC722" s="41">
        <f>IFERROR(LOOKUP(M722,打分卡!$F$7:$J$7,打分卡!$K$7:$O$7),1)</f>
        <v>1</v>
      </c>
      <c r="AD722" s="41">
        <f>IFERROR(LOOKUP(S722,打分卡!$F$8:$J$8,打分卡!$K$8:$O$8),1)</f>
        <v>1</v>
      </c>
      <c r="AE722" s="41">
        <f>IFERROR(LOOKUP(T722,打分卡!$F$9:$I$9,打分卡!$K$9:$N$9),1)</f>
        <v>3</v>
      </c>
      <c r="AF722" s="41">
        <f>IFERROR(LOOKUP(Q722,打分卡!$F$10:$J$10,打分卡!$K$10:$O$10),1)</f>
        <v>2</v>
      </c>
      <c r="AG722" s="41">
        <f>IFERROR(LOOKUP(R722,打分卡!$F$11:$J$11,打分卡!$K$11:$O$11),1)</f>
        <v>3</v>
      </c>
      <c r="AH722" s="41">
        <f>IFERROR(LOOKUP(U722,打分卡!$F$12:$J$12,打分卡!$K$12:$O$12),1)</f>
        <v>4</v>
      </c>
      <c r="AI722" s="41">
        <f>IFERROR(LOOKUP(X722,打分卡!$F$13:$J$13,打分卡!$K$13:$O$13),1)</f>
        <v>1</v>
      </c>
      <c r="AJ722" s="41">
        <f>IFERROR(LOOKUP(Y722,打分卡!$F$14:$J$14,打分卡!$K$14:$O$14),1)</f>
        <v>2</v>
      </c>
      <c r="AK722" s="41">
        <f>IFERROR(LOOKUP(W722,打分卡!$F$15:$J$15,打分卡!$K$15:$O$15),1)</f>
        <v>2</v>
      </c>
      <c r="AL722" s="43">
        <f t="shared" si="89"/>
        <v>3</v>
      </c>
      <c r="AM722" s="41">
        <f>IFERROR(LOOKUP(Z722,打分卡!$F$17:$H$17,打分卡!$K$17:$M$17),1)</f>
        <v>3</v>
      </c>
      <c r="AN722" s="44">
        <f>(打分卡!$D$7*AC722+打分卡!$D$8*AD722+打分卡!$D$9*AE722)/5</f>
        <v>10.8</v>
      </c>
      <c r="AO722" s="44">
        <f>(打分卡!$D$10*AF722+打分卡!$D$11*AG722)/5</f>
        <v>10</v>
      </c>
      <c r="AP722" s="44">
        <f>(打分卡!$D$12*AH722+打分卡!$D$13*AI722+打分卡!$D$14*AJ722+打分卡!$D$15*AK722)/5</f>
        <v>15.2</v>
      </c>
      <c r="AQ722" s="44">
        <f>(打分卡!$D$16*AL722+打分卡!$D$17*AM722)/5</f>
        <v>6</v>
      </c>
      <c r="AR722" s="47">
        <f t="shared" si="90"/>
        <v>42</v>
      </c>
      <c r="AS722" s="43" t="str">
        <f t="shared" si="91"/>
        <v>腰部</v>
      </c>
      <c r="AT722" s="43" t="str">
        <f t="shared" si="92"/>
        <v/>
      </c>
      <c r="AU722" s="43" t="str">
        <f t="shared" si="93"/>
        <v>拉·主攻：主推AI外呼+大促作战包</v>
      </c>
    </row>
    <row r="723" ht="15" customHeight="1" spans="1:47">
      <c r="A723" s="20" t="s">
        <v>2114</v>
      </c>
      <c r="B723" s="22" t="s">
        <v>2115</v>
      </c>
      <c r="C723" s="22" t="s">
        <v>239</v>
      </c>
      <c r="D723" s="22" t="s">
        <v>190</v>
      </c>
      <c r="E723" s="22" t="s">
        <v>181</v>
      </c>
      <c r="F723" s="20" t="s">
        <v>759</v>
      </c>
      <c r="G723" s="22">
        <v>16</v>
      </c>
      <c r="H723" s="22" t="s">
        <v>301</v>
      </c>
      <c r="I723" s="22" t="s">
        <v>184</v>
      </c>
      <c r="J723" s="36">
        <v>10700</v>
      </c>
      <c r="K723" s="36">
        <v>7000</v>
      </c>
      <c r="L723" s="36">
        <v>3100</v>
      </c>
      <c r="M723" s="36">
        <f t="shared" si="88"/>
        <v>20800</v>
      </c>
      <c r="N723" s="34">
        <f t="shared" si="94"/>
        <v>0.000109046909044393</v>
      </c>
      <c r="O723" s="35">
        <f>SUM($M$2:M723)</f>
        <v>186431200</v>
      </c>
      <c r="P723" s="34">
        <f t="shared" si="95"/>
        <v>0.977391639876777</v>
      </c>
      <c r="Q723" s="39">
        <v>1.6</v>
      </c>
      <c r="R723" s="22">
        <v>6</v>
      </c>
      <c r="S723" s="22">
        <v>1</v>
      </c>
      <c r="T723" s="22">
        <v>1</v>
      </c>
      <c r="U723" s="39">
        <v>6.6</v>
      </c>
      <c r="V723" s="22">
        <v>3</v>
      </c>
      <c r="W723" s="22">
        <v>3</v>
      </c>
      <c r="X723" s="40">
        <v>19</v>
      </c>
      <c r="Y723" s="22">
        <v>3</v>
      </c>
      <c r="Z723" s="22">
        <v>0</v>
      </c>
      <c r="AA723" s="22" t="s">
        <v>185</v>
      </c>
      <c r="AB723" s="22" t="s">
        <v>220</v>
      </c>
      <c r="AC723" s="42">
        <f>IFERROR(LOOKUP(M723,打分卡!$F$7:$J$7,打分卡!$K$7:$O$7),1)</f>
        <v>1</v>
      </c>
      <c r="AD723" s="42">
        <f>IFERROR(LOOKUP(S723,打分卡!$F$8:$J$8,打分卡!$K$8:$O$8),1)</f>
        <v>1</v>
      </c>
      <c r="AE723" s="42">
        <f>IFERROR(LOOKUP(T723,打分卡!$F$9:$I$9,打分卡!$K$9:$N$9),1)</f>
        <v>2</v>
      </c>
      <c r="AF723" s="42">
        <f>IFERROR(LOOKUP(Q723,打分卡!$F$10:$J$10,打分卡!$K$10:$O$10),1)</f>
        <v>1</v>
      </c>
      <c r="AG723" s="42">
        <f>IFERROR(LOOKUP(R723,打分卡!$F$11:$J$11,打分卡!$K$11:$O$11),1)</f>
        <v>3</v>
      </c>
      <c r="AH723" s="42">
        <f>IFERROR(LOOKUP(U723,打分卡!$F$12:$J$12,打分卡!$K$12:$O$12),1)</f>
        <v>2</v>
      </c>
      <c r="AI723" s="42">
        <f>IFERROR(LOOKUP(X723,打分卡!$F$13:$J$13,打分卡!$K$13:$O$13),1)</f>
        <v>2</v>
      </c>
      <c r="AJ723" s="42">
        <f>IFERROR(LOOKUP(Y723,打分卡!$F$14:$J$14,打分卡!$K$14:$O$14),1)</f>
        <v>4</v>
      </c>
      <c r="AK723" s="42">
        <f>IFERROR(LOOKUP(W723,打分卡!$F$15:$J$15,打分卡!$K$15:$O$15),1)</f>
        <v>3</v>
      </c>
      <c r="AL723" s="45">
        <f t="shared" si="89"/>
        <v>3</v>
      </c>
      <c r="AM723" s="42">
        <f>IFERROR(LOOKUP(Z723,打分卡!$F$17:$H$17,打分卡!$K$17:$M$17),1)</f>
        <v>1</v>
      </c>
      <c r="AN723" s="46">
        <f>(打分卡!$D$7*AC723+打分卡!$D$8*AD723+打分卡!$D$9*AE723)/5</f>
        <v>9.4</v>
      </c>
      <c r="AO723" s="46">
        <f>(打分卡!$D$10*AF723+打分卡!$D$11*AG723)/5</f>
        <v>8</v>
      </c>
      <c r="AP723" s="46">
        <f>(打分卡!$D$12*AH723+打分卡!$D$13*AI723+打分卡!$D$14*AJ723+打分卡!$D$15*AK723)/5</f>
        <v>15.2</v>
      </c>
      <c r="AQ723" s="46">
        <f>(打分卡!$D$16*AL723+打分卡!$D$17*AM723)/5</f>
        <v>4.4</v>
      </c>
      <c r="AR723" s="48">
        <f t="shared" si="90"/>
        <v>37</v>
      </c>
      <c r="AS723" s="45" t="str">
        <f t="shared" si="91"/>
        <v>基础长尾</v>
      </c>
      <c r="AT723" s="45" t="str">
        <f t="shared" si="92"/>
        <v/>
      </c>
      <c r="AU723" s="45" t="str">
        <f t="shared" si="93"/>
        <v>激活：企微+Push低成本先跑</v>
      </c>
    </row>
    <row r="724" ht="15" customHeight="1" spans="1:47">
      <c r="A724" s="30" t="s">
        <v>2116</v>
      </c>
      <c r="B724" s="31" t="s">
        <v>2117</v>
      </c>
      <c r="C724" s="31" t="s">
        <v>239</v>
      </c>
      <c r="D724" s="31" t="s">
        <v>252</v>
      </c>
      <c r="E724" s="31" t="s">
        <v>181</v>
      </c>
      <c r="F724" s="30" t="s">
        <v>1107</v>
      </c>
      <c r="G724" s="31">
        <v>10</v>
      </c>
      <c r="H724" s="31" t="s">
        <v>183</v>
      </c>
      <c r="I724" s="31" t="s">
        <v>184</v>
      </c>
      <c r="J724" s="33">
        <v>11600</v>
      </c>
      <c r="K724" s="33">
        <v>6700</v>
      </c>
      <c r="L724" s="33">
        <v>2500</v>
      </c>
      <c r="M724" s="33">
        <f t="shared" si="88"/>
        <v>20800</v>
      </c>
      <c r="N724" s="34">
        <f t="shared" si="94"/>
        <v>0.000109046909044393</v>
      </c>
      <c r="O724" s="35">
        <f>SUM($M$2:M724)</f>
        <v>186452000</v>
      </c>
      <c r="P724" s="34">
        <f t="shared" si="95"/>
        <v>0.977500686785821</v>
      </c>
      <c r="Q724" s="37">
        <v>3.3</v>
      </c>
      <c r="R724" s="31">
        <v>8</v>
      </c>
      <c r="S724" s="31">
        <v>2</v>
      </c>
      <c r="T724" s="31">
        <v>2</v>
      </c>
      <c r="U724" s="37">
        <v>18.5</v>
      </c>
      <c r="V724" s="31">
        <v>8</v>
      </c>
      <c r="W724" s="31">
        <v>2</v>
      </c>
      <c r="X724" s="38">
        <v>29</v>
      </c>
      <c r="Y724" s="31">
        <v>0</v>
      </c>
      <c r="Z724" s="31">
        <v>0</v>
      </c>
      <c r="AA724" s="31" t="s">
        <v>185</v>
      </c>
      <c r="AB724" s="31" t="s">
        <v>220</v>
      </c>
      <c r="AC724" s="41">
        <f>IFERROR(LOOKUP(M724,打分卡!$F$7:$J$7,打分卡!$K$7:$O$7),1)</f>
        <v>1</v>
      </c>
      <c r="AD724" s="41">
        <f>IFERROR(LOOKUP(S724,打分卡!$F$8:$J$8,打分卡!$K$8:$O$8),1)</f>
        <v>2</v>
      </c>
      <c r="AE724" s="41">
        <f>IFERROR(LOOKUP(T724,打分卡!$F$9:$I$9,打分卡!$K$9:$N$9),1)</f>
        <v>3</v>
      </c>
      <c r="AF724" s="41">
        <f>IFERROR(LOOKUP(Q724,打分卡!$F$10:$J$10,打分卡!$K$10:$O$10),1)</f>
        <v>2</v>
      </c>
      <c r="AG724" s="41">
        <f>IFERROR(LOOKUP(R724,打分卡!$F$11:$J$11,打分卡!$K$11:$O$11),1)</f>
        <v>3</v>
      </c>
      <c r="AH724" s="41">
        <f>IFERROR(LOOKUP(U724,打分卡!$F$12:$J$12,打分卡!$K$12:$O$12),1)</f>
        <v>3</v>
      </c>
      <c r="AI724" s="41">
        <f>IFERROR(LOOKUP(X724,打分卡!$F$13:$J$13,打分卡!$K$13:$O$13),1)</f>
        <v>2</v>
      </c>
      <c r="AJ724" s="41">
        <f>IFERROR(LOOKUP(Y724,打分卡!$F$14:$J$14,打分卡!$K$14:$O$14),1)</f>
        <v>1</v>
      </c>
      <c r="AK724" s="41">
        <f>IFERROR(LOOKUP(W724,打分卡!$F$15:$J$15,打分卡!$K$15:$O$15),1)</f>
        <v>2</v>
      </c>
      <c r="AL724" s="43">
        <f t="shared" si="89"/>
        <v>3</v>
      </c>
      <c r="AM724" s="41">
        <f>IFERROR(LOOKUP(Z724,打分卡!$F$17:$H$17,打分卡!$K$17:$M$17),1)</f>
        <v>1</v>
      </c>
      <c r="AN724" s="44">
        <f>(打分卡!$D$7*AC724+打分卡!$D$8*AD724+打分卡!$D$9*AE724)/5</f>
        <v>12.4</v>
      </c>
      <c r="AO724" s="44">
        <f>(打分卡!$D$10*AF724+打分卡!$D$11*AG724)/5</f>
        <v>10</v>
      </c>
      <c r="AP724" s="44">
        <f>(打分卡!$D$12*AH724+打分卡!$D$13*AI724+打分卡!$D$14*AJ724+打分卡!$D$15*AK724)/5</f>
        <v>13.2</v>
      </c>
      <c r="AQ724" s="44">
        <f>(打分卡!$D$16*AL724+打分卡!$D$17*AM724)/5</f>
        <v>4.4</v>
      </c>
      <c r="AR724" s="47">
        <f t="shared" si="90"/>
        <v>40</v>
      </c>
      <c r="AS724" s="43" t="str">
        <f t="shared" si="91"/>
        <v>腰部</v>
      </c>
      <c r="AT724" s="43" t="str">
        <f t="shared" si="92"/>
        <v/>
      </c>
      <c r="AU724" s="43" t="str">
        <f t="shared" si="93"/>
        <v>拉·主攻：主推AI外呼+大促作战包</v>
      </c>
    </row>
    <row r="725" ht="15" customHeight="1" spans="1:47">
      <c r="A725" s="20" t="s">
        <v>2118</v>
      </c>
      <c r="B725" s="22" t="s">
        <v>2119</v>
      </c>
      <c r="C725" s="22" t="s">
        <v>218</v>
      </c>
      <c r="D725" s="22" t="s">
        <v>227</v>
      </c>
      <c r="E725" s="22" t="s">
        <v>197</v>
      </c>
      <c r="F725" s="20" t="s">
        <v>1992</v>
      </c>
      <c r="G725" s="22">
        <v>24</v>
      </c>
      <c r="H725" s="22" t="s">
        <v>183</v>
      </c>
      <c r="I725" s="22" t="s">
        <v>302</v>
      </c>
      <c r="J725" s="36">
        <v>12600</v>
      </c>
      <c r="K725" s="36">
        <v>4400</v>
      </c>
      <c r="L725" s="36">
        <v>3800</v>
      </c>
      <c r="M725" s="36">
        <f t="shared" si="88"/>
        <v>20800</v>
      </c>
      <c r="N725" s="34">
        <f t="shared" si="94"/>
        <v>0.000109046909044393</v>
      </c>
      <c r="O725" s="35">
        <f>SUM($M$2:M725)</f>
        <v>186472800</v>
      </c>
      <c r="P725" s="34">
        <f t="shared" si="95"/>
        <v>0.977609733694866</v>
      </c>
      <c r="Q725" s="39">
        <v>3.3</v>
      </c>
      <c r="R725" s="22">
        <v>1</v>
      </c>
      <c r="S725" s="22">
        <v>2</v>
      </c>
      <c r="T725" s="22">
        <v>2</v>
      </c>
      <c r="U725" s="39">
        <v>5.9</v>
      </c>
      <c r="V725" s="22">
        <v>14</v>
      </c>
      <c r="W725" s="22">
        <v>2</v>
      </c>
      <c r="X725" s="40">
        <v>149</v>
      </c>
      <c r="Y725" s="22">
        <v>0</v>
      </c>
      <c r="Z725" s="22">
        <v>1</v>
      </c>
      <c r="AA725" s="22" t="s">
        <v>185</v>
      </c>
      <c r="AB725" s="22" t="s">
        <v>220</v>
      </c>
      <c r="AC725" s="42">
        <f>IFERROR(LOOKUP(M725,打分卡!$F$7:$J$7,打分卡!$K$7:$O$7),1)</f>
        <v>1</v>
      </c>
      <c r="AD725" s="42">
        <f>IFERROR(LOOKUP(S725,打分卡!$F$8:$J$8,打分卡!$K$8:$O$8),1)</f>
        <v>2</v>
      </c>
      <c r="AE725" s="42">
        <f>IFERROR(LOOKUP(T725,打分卡!$F$9:$I$9,打分卡!$K$9:$N$9),1)</f>
        <v>3</v>
      </c>
      <c r="AF725" s="42">
        <f>IFERROR(LOOKUP(Q725,打分卡!$F$10:$J$10,打分卡!$K$10:$O$10),1)</f>
        <v>2</v>
      </c>
      <c r="AG725" s="42">
        <f>IFERROR(LOOKUP(R725,打分卡!$F$11:$J$11,打分卡!$K$11:$O$11),1)</f>
        <v>1</v>
      </c>
      <c r="AH725" s="42">
        <f>IFERROR(LOOKUP(U725,打分卡!$F$12:$J$12,打分卡!$K$12:$O$12),1)</f>
        <v>2</v>
      </c>
      <c r="AI725" s="42">
        <f>IFERROR(LOOKUP(X725,打分卡!$F$13:$J$13,打分卡!$K$13:$O$13),1)</f>
        <v>4</v>
      </c>
      <c r="AJ725" s="42">
        <f>IFERROR(LOOKUP(Y725,打分卡!$F$14:$J$14,打分卡!$K$14:$O$14),1)</f>
        <v>1</v>
      </c>
      <c r="AK725" s="42">
        <f>IFERROR(LOOKUP(W725,打分卡!$F$15:$J$15,打分卡!$K$15:$O$15),1)</f>
        <v>2</v>
      </c>
      <c r="AL725" s="45">
        <f t="shared" si="89"/>
        <v>3</v>
      </c>
      <c r="AM725" s="42">
        <f>IFERROR(LOOKUP(Z725,打分卡!$F$17:$H$17,打分卡!$K$17:$M$17),1)</f>
        <v>3</v>
      </c>
      <c r="AN725" s="46">
        <f>(打分卡!$D$7*AC725+打分卡!$D$8*AD725+打分卡!$D$9*AE725)/5</f>
        <v>12.4</v>
      </c>
      <c r="AO725" s="46">
        <f>(打分卡!$D$10*AF725+打分卡!$D$11*AG725)/5</f>
        <v>6</v>
      </c>
      <c r="AP725" s="46">
        <f>(打分卡!$D$12*AH725+打分卡!$D$13*AI725+打分卡!$D$14*AJ725+打分卡!$D$15*AK725)/5</f>
        <v>14</v>
      </c>
      <c r="AQ725" s="46">
        <f>(打分卡!$D$16*AL725+打分卡!$D$17*AM725)/5</f>
        <v>6</v>
      </c>
      <c r="AR725" s="48">
        <f t="shared" si="90"/>
        <v>38.4</v>
      </c>
      <c r="AS725" s="45" t="str">
        <f t="shared" si="91"/>
        <v>基础长尾</v>
      </c>
      <c r="AT725" s="45" t="str">
        <f t="shared" si="92"/>
        <v/>
      </c>
      <c r="AU725" s="45" t="str">
        <f t="shared" si="93"/>
        <v>激活：企微+Push低成本先跑</v>
      </c>
    </row>
    <row r="726" ht="15" customHeight="1" spans="1:47">
      <c r="A726" s="30" t="s">
        <v>2120</v>
      </c>
      <c r="B726" s="31" t="s">
        <v>2121</v>
      </c>
      <c r="C726" s="31" t="s">
        <v>179</v>
      </c>
      <c r="D726" s="31" t="s">
        <v>190</v>
      </c>
      <c r="E726" s="31" t="s">
        <v>181</v>
      </c>
      <c r="F726" s="30" t="s">
        <v>2122</v>
      </c>
      <c r="G726" s="31">
        <v>9</v>
      </c>
      <c r="H726" s="31" t="s">
        <v>301</v>
      </c>
      <c r="I726" s="31" t="s">
        <v>302</v>
      </c>
      <c r="J726" s="33">
        <v>12300</v>
      </c>
      <c r="K726" s="33">
        <v>7400</v>
      </c>
      <c r="L726" s="33">
        <v>1000</v>
      </c>
      <c r="M726" s="33">
        <f t="shared" si="88"/>
        <v>20700</v>
      </c>
      <c r="N726" s="34">
        <f t="shared" si="94"/>
        <v>0.000108522645058602</v>
      </c>
      <c r="O726" s="35">
        <f>SUM($M$2:M726)</f>
        <v>186493500</v>
      </c>
      <c r="P726" s="34">
        <f t="shared" si="95"/>
        <v>0.977718256339924</v>
      </c>
      <c r="Q726" s="37">
        <v>2.8</v>
      </c>
      <c r="R726" s="31">
        <v>5</v>
      </c>
      <c r="S726" s="31">
        <v>3</v>
      </c>
      <c r="T726" s="31">
        <v>1</v>
      </c>
      <c r="U726" s="37">
        <v>17</v>
      </c>
      <c r="V726" s="31">
        <v>21</v>
      </c>
      <c r="W726" s="31">
        <v>4</v>
      </c>
      <c r="X726" s="38">
        <v>23</v>
      </c>
      <c r="Y726" s="31">
        <v>2</v>
      </c>
      <c r="Z726" s="31">
        <v>1</v>
      </c>
      <c r="AA726" s="31" t="s">
        <v>199</v>
      </c>
      <c r="AB726" s="31" t="s">
        <v>220</v>
      </c>
      <c r="AC726" s="41">
        <f>IFERROR(LOOKUP(M726,打分卡!$F$7:$J$7,打分卡!$K$7:$O$7),1)</f>
        <v>1</v>
      </c>
      <c r="AD726" s="41">
        <f>IFERROR(LOOKUP(S726,打分卡!$F$8:$J$8,打分卡!$K$8:$O$8),1)</f>
        <v>3</v>
      </c>
      <c r="AE726" s="41">
        <f>IFERROR(LOOKUP(T726,打分卡!$F$9:$I$9,打分卡!$K$9:$N$9),1)</f>
        <v>2</v>
      </c>
      <c r="AF726" s="41">
        <f>IFERROR(LOOKUP(Q726,打分卡!$F$10:$J$10,打分卡!$K$10:$O$10),1)</f>
        <v>2</v>
      </c>
      <c r="AG726" s="41">
        <f>IFERROR(LOOKUP(R726,打分卡!$F$11:$J$11,打分卡!$K$11:$O$11),1)</f>
        <v>3</v>
      </c>
      <c r="AH726" s="41">
        <f>IFERROR(LOOKUP(U726,打分卡!$F$12:$J$12,打分卡!$K$12:$O$12),1)</f>
        <v>3</v>
      </c>
      <c r="AI726" s="41">
        <f>IFERROR(LOOKUP(X726,打分卡!$F$13:$J$13,打分卡!$K$13:$O$13),1)</f>
        <v>2</v>
      </c>
      <c r="AJ726" s="41">
        <f>IFERROR(LOOKUP(Y726,打分卡!$F$14:$J$14,打分卡!$K$14:$O$14),1)</f>
        <v>3</v>
      </c>
      <c r="AK726" s="41">
        <f>IFERROR(LOOKUP(W726,打分卡!$F$15:$J$15,打分卡!$K$15:$O$15),1)</f>
        <v>3</v>
      </c>
      <c r="AL726" s="43">
        <f t="shared" si="89"/>
        <v>5</v>
      </c>
      <c r="AM726" s="41">
        <f>IFERROR(LOOKUP(Z726,打分卡!$F$17:$H$17,打分卡!$K$17:$M$17),1)</f>
        <v>3</v>
      </c>
      <c r="AN726" s="44">
        <f>(打分卡!$D$7*AC726+打分卡!$D$8*AD726+打分卡!$D$9*AE726)/5</f>
        <v>12.6</v>
      </c>
      <c r="AO726" s="44">
        <f>(打分卡!$D$10*AF726+打分卡!$D$11*AG726)/5</f>
        <v>10</v>
      </c>
      <c r="AP726" s="44">
        <f>(打分卡!$D$12*AH726+打分卡!$D$13*AI726+打分卡!$D$14*AJ726+打分卡!$D$15*AK726)/5</f>
        <v>16.4</v>
      </c>
      <c r="AQ726" s="44">
        <f>(打分卡!$D$16*AL726+打分卡!$D$17*AM726)/5</f>
        <v>8.4</v>
      </c>
      <c r="AR726" s="47">
        <f t="shared" si="90"/>
        <v>47.4</v>
      </c>
      <c r="AS726" s="43" t="str">
        <f t="shared" si="91"/>
        <v>腰部</v>
      </c>
      <c r="AT726" s="43" t="str">
        <f t="shared" si="92"/>
        <v/>
      </c>
      <c r="AU726" s="43" t="str">
        <f t="shared" si="93"/>
        <v>拉·主攻：主推AI外呼+大促作战包</v>
      </c>
    </row>
    <row r="727" ht="15" customHeight="1" spans="1:47">
      <c r="A727" s="20" t="s">
        <v>2123</v>
      </c>
      <c r="B727" s="22" t="s">
        <v>2124</v>
      </c>
      <c r="C727" s="22" t="s">
        <v>239</v>
      </c>
      <c r="D727" s="22" t="s">
        <v>202</v>
      </c>
      <c r="E727" s="22" t="s">
        <v>181</v>
      </c>
      <c r="F727" s="20" t="s">
        <v>1936</v>
      </c>
      <c r="G727" s="22">
        <v>17</v>
      </c>
      <c r="H727" s="22" t="s">
        <v>301</v>
      </c>
      <c r="I727" s="22" t="s">
        <v>302</v>
      </c>
      <c r="J727" s="36">
        <v>13400</v>
      </c>
      <c r="K727" s="36">
        <v>6200</v>
      </c>
      <c r="L727" s="36">
        <v>1000</v>
      </c>
      <c r="M727" s="36">
        <f t="shared" si="88"/>
        <v>20600</v>
      </c>
      <c r="N727" s="34">
        <f t="shared" si="94"/>
        <v>0.000107998381072812</v>
      </c>
      <c r="O727" s="35">
        <f>SUM($M$2:M727)</f>
        <v>186514100</v>
      </c>
      <c r="P727" s="34">
        <f t="shared" si="95"/>
        <v>0.977826254720997</v>
      </c>
      <c r="Q727" s="39">
        <v>3.3</v>
      </c>
      <c r="R727" s="22">
        <v>5</v>
      </c>
      <c r="S727" s="22">
        <v>1</v>
      </c>
      <c r="T727" s="22">
        <v>1</v>
      </c>
      <c r="U727" s="39">
        <v>28.8</v>
      </c>
      <c r="V727" s="22">
        <v>3</v>
      </c>
      <c r="W727" s="22">
        <v>0</v>
      </c>
      <c r="X727" s="40">
        <v>46</v>
      </c>
      <c r="Y727" s="22">
        <v>0</v>
      </c>
      <c r="Z727" s="22">
        <v>0</v>
      </c>
      <c r="AA727" s="22" t="s">
        <v>199</v>
      </c>
      <c r="AB727" s="22" t="s">
        <v>220</v>
      </c>
      <c r="AC727" s="42">
        <f>IFERROR(LOOKUP(M727,打分卡!$F$7:$J$7,打分卡!$K$7:$O$7),1)</f>
        <v>1</v>
      </c>
      <c r="AD727" s="42">
        <f>IFERROR(LOOKUP(S727,打分卡!$F$8:$J$8,打分卡!$K$8:$O$8),1)</f>
        <v>1</v>
      </c>
      <c r="AE727" s="42">
        <f>IFERROR(LOOKUP(T727,打分卡!$F$9:$I$9,打分卡!$K$9:$N$9),1)</f>
        <v>2</v>
      </c>
      <c r="AF727" s="42">
        <f>IFERROR(LOOKUP(Q727,打分卡!$F$10:$J$10,打分卡!$K$10:$O$10),1)</f>
        <v>2</v>
      </c>
      <c r="AG727" s="42">
        <f>IFERROR(LOOKUP(R727,打分卡!$F$11:$J$11,打分卡!$K$11:$O$11),1)</f>
        <v>3</v>
      </c>
      <c r="AH727" s="42">
        <f>IFERROR(LOOKUP(U727,打分卡!$F$12:$J$12,打分卡!$K$12:$O$12),1)</f>
        <v>3</v>
      </c>
      <c r="AI727" s="42">
        <f>IFERROR(LOOKUP(X727,打分卡!$F$13:$J$13,打分卡!$K$13:$O$13),1)</f>
        <v>3</v>
      </c>
      <c r="AJ727" s="42">
        <f>IFERROR(LOOKUP(Y727,打分卡!$F$14:$J$14,打分卡!$K$14:$O$14),1)</f>
        <v>1</v>
      </c>
      <c r="AK727" s="42">
        <f>IFERROR(LOOKUP(W727,打分卡!$F$15:$J$15,打分卡!$K$15:$O$15),1)</f>
        <v>1</v>
      </c>
      <c r="AL727" s="45">
        <f t="shared" si="89"/>
        <v>5</v>
      </c>
      <c r="AM727" s="42">
        <f>IFERROR(LOOKUP(Z727,打分卡!$F$17:$H$17,打分卡!$K$17:$M$17),1)</f>
        <v>1</v>
      </c>
      <c r="AN727" s="46">
        <f>(打分卡!$D$7*AC727+打分卡!$D$8*AD727+打分卡!$D$9*AE727)/5</f>
        <v>9.4</v>
      </c>
      <c r="AO727" s="46">
        <f>(打分卡!$D$10*AF727+打分卡!$D$11*AG727)/5</f>
        <v>10</v>
      </c>
      <c r="AP727" s="46">
        <f>(打分卡!$D$12*AH727+打分卡!$D$13*AI727+打分卡!$D$14*AJ727+打分卡!$D$15*AK727)/5</f>
        <v>14</v>
      </c>
      <c r="AQ727" s="46">
        <f>(打分卡!$D$16*AL727+打分卡!$D$17*AM727)/5</f>
        <v>6.8</v>
      </c>
      <c r="AR727" s="48">
        <f t="shared" si="90"/>
        <v>40.2</v>
      </c>
      <c r="AS727" s="45" t="str">
        <f t="shared" si="91"/>
        <v>腰部</v>
      </c>
      <c r="AT727" s="45" t="str">
        <f t="shared" si="92"/>
        <v/>
      </c>
      <c r="AU727" s="45" t="str">
        <f t="shared" si="93"/>
        <v>拉·主攻：主推AI外呼+大促作战包</v>
      </c>
    </row>
    <row r="728" ht="15" customHeight="1" spans="1:47">
      <c r="A728" s="30" t="s">
        <v>2125</v>
      </c>
      <c r="B728" s="31" t="s">
        <v>2126</v>
      </c>
      <c r="C728" s="31" t="s">
        <v>189</v>
      </c>
      <c r="D728" s="31" t="s">
        <v>227</v>
      </c>
      <c r="E728" s="31" t="s">
        <v>181</v>
      </c>
      <c r="F728" s="30" t="s">
        <v>1010</v>
      </c>
      <c r="G728" s="31">
        <v>20</v>
      </c>
      <c r="H728" s="31" t="s">
        <v>183</v>
      </c>
      <c r="I728" s="31" t="s">
        <v>184</v>
      </c>
      <c r="J728" s="33">
        <v>10300</v>
      </c>
      <c r="K728" s="33">
        <v>7600</v>
      </c>
      <c r="L728" s="33">
        <v>2600</v>
      </c>
      <c r="M728" s="33">
        <f t="shared" si="88"/>
        <v>20500</v>
      </c>
      <c r="N728" s="34">
        <f t="shared" si="94"/>
        <v>0.000107474117087022</v>
      </c>
      <c r="O728" s="35">
        <f>SUM($M$2:M728)</f>
        <v>186534600</v>
      </c>
      <c r="P728" s="34">
        <f t="shared" si="95"/>
        <v>0.977933728838084</v>
      </c>
      <c r="Q728" s="37">
        <v>2.2</v>
      </c>
      <c r="R728" s="31">
        <v>9</v>
      </c>
      <c r="S728" s="31">
        <v>2</v>
      </c>
      <c r="T728" s="31">
        <v>0</v>
      </c>
      <c r="U728" s="37">
        <v>8.3</v>
      </c>
      <c r="V728" s="31">
        <v>6</v>
      </c>
      <c r="W728" s="31">
        <v>0</v>
      </c>
      <c r="X728" s="38">
        <v>19</v>
      </c>
      <c r="Y728" s="31">
        <v>3</v>
      </c>
      <c r="Z728" s="31">
        <v>0</v>
      </c>
      <c r="AA728" s="31" t="s">
        <v>315</v>
      </c>
      <c r="AB728" s="31" t="s">
        <v>220</v>
      </c>
      <c r="AC728" s="41">
        <f>IFERROR(LOOKUP(M728,打分卡!$F$7:$J$7,打分卡!$K$7:$O$7),1)</f>
        <v>1</v>
      </c>
      <c r="AD728" s="41">
        <f>IFERROR(LOOKUP(S728,打分卡!$F$8:$J$8,打分卡!$K$8:$O$8),1)</f>
        <v>2</v>
      </c>
      <c r="AE728" s="41">
        <f>IFERROR(LOOKUP(T728,打分卡!$F$9:$I$9,打分卡!$K$9:$N$9),1)</f>
        <v>1</v>
      </c>
      <c r="AF728" s="41">
        <f>IFERROR(LOOKUP(Q728,打分卡!$F$10:$J$10,打分卡!$K$10:$O$10),1)</f>
        <v>1</v>
      </c>
      <c r="AG728" s="41">
        <f>IFERROR(LOOKUP(R728,打分卡!$F$11:$J$11,打分卡!$K$11:$O$11),1)</f>
        <v>4</v>
      </c>
      <c r="AH728" s="41">
        <f>IFERROR(LOOKUP(U728,打分卡!$F$12:$J$12,打分卡!$K$12:$O$12),1)</f>
        <v>2</v>
      </c>
      <c r="AI728" s="41">
        <f>IFERROR(LOOKUP(X728,打分卡!$F$13:$J$13,打分卡!$K$13:$O$13),1)</f>
        <v>2</v>
      </c>
      <c r="AJ728" s="41">
        <f>IFERROR(LOOKUP(Y728,打分卡!$F$14:$J$14,打分卡!$K$14:$O$14),1)</f>
        <v>4</v>
      </c>
      <c r="AK728" s="41">
        <f>IFERROR(LOOKUP(W728,打分卡!$F$15:$J$15,打分卡!$K$15:$O$15),1)</f>
        <v>1</v>
      </c>
      <c r="AL728" s="43">
        <f t="shared" si="89"/>
        <v>2</v>
      </c>
      <c r="AM728" s="41">
        <f>IFERROR(LOOKUP(Z728,打分卡!$F$17:$H$17,打分卡!$K$17:$M$17),1)</f>
        <v>1</v>
      </c>
      <c r="AN728" s="44">
        <f>(打分卡!$D$7*AC728+打分卡!$D$8*AD728+打分卡!$D$9*AE728)/5</f>
        <v>9.6</v>
      </c>
      <c r="AO728" s="44">
        <f>(打分卡!$D$10*AF728+打分卡!$D$11*AG728)/5</f>
        <v>10</v>
      </c>
      <c r="AP728" s="44">
        <f>(打分卡!$D$12*AH728+打分卡!$D$13*AI728+打分卡!$D$14*AJ728+打分卡!$D$15*AK728)/5</f>
        <v>13.6</v>
      </c>
      <c r="AQ728" s="44">
        <f>(打分卡!$D$16*AL728+打分卡!$D$17*AM728)/5</f>
        <v>3.2</v>
      </c>
      <c r="AR728" s="47">
        <f t="shared" si="90"/>
        <v>36.4</v>
      </c>
      <c r="AS728" s="43" t="str">
        <f t="shared" si="91"/>
        <v>基础长尾</v>
      </c>
      <c r="AT728" s="43" t="str">
        <f t="shared" si="92"/>
        <v/>
      </c>
      <c r="AU728" s="43" t="str">
        <f t="shared" si="93"/>
        <v>激活：企微+Push低成本先跑</v>
      </c>
    </row>
    <row r="729" ht="15" customHeight="1" spans="1:47">
      <c r="A729" s="20" t="s">
        <v>2127</v>
      </c>
      <c r="B729" s="22" t="s">
        <v>2128</v>
      </c>
      <c r="C729" s="22" t="s">
        <v>195</v>
      </c>
      <c r="D729" s="22" t="s">
        <v>196</v>
      </c>
      <c r="E729" s="22" t="s">
        <v>181</v>
      </c>
      <c r="F729" s="20" t="s">
        <v>2129</v>
      </c>
      <c r="G729" s="22">
        <v>18</v>
      </c>
      <c r="H729" s="22" t="s">
        <v>301</v>
      </c>
      <c r="I729" s="22" t="s">
        <v>302</v>
      </c>
      <c r="J729" s="36">
        <v>12800</v>
      </c>
      <c r="K729" s="36">
        <v>6700</v>
      </c>
      <c r="L729" s="36">
        <v>1000</v>
      </c>
      <c r="M729" s="36">
        <f t="shared" si="88"/>
        <v>20500</v>
      </c>
      <c r="N729" s="34">
        <f t="shared" si="94"/>
        <v>0.000107474117087022</v>
      </c>
      <c r="O729" s="35">
        <f>SUM($M$2:M729)</f>
        <v>186555100</v>
      </c>
      <c r="P729" s="34">
        <f t="shared" si="95"/>
        <v>0.978041202955171</v>
      </c>
      <c r="Q729" s="39">
        <v>2.4</v>
      </c>
      <c r="R729" s="22">
        <v>8</v>
      </c>
      <c r="S729" s="22">
        <v>1</v>
      </c>
      <c r="T729" s="22">
        <v>1</v>
      </c>
      <c r="U729" s="39">
        <v>61.8</v>
      </c>
      <c r="V729" s="22">
        <v>25</v>
      </c>
      <c r="W729" s="22">
        <v>1</v>
      </c>
      <c r="X729" s="40">
        <v>84</v>
      </c>
      <c r="Y729" s="22">
        <v>1</v>
      </c>
      <c r="Z729" s="22">
        <v>0</v>
      </c>
      <c r="AA729" s="22" t="s">
        <v>185</v>
      </c>
      <c r="AB729" s="22" t="s">
        <v>220</v>
      </c>
      <c r="AC729" s="42">
        <f>IFERROR(LOOKUP(M729,打分卡!$F$7:$J$7,打分卡!$K$7:$O$7),1)</f>
        <v>1</v>
      </c>
      <c r="AD729" s="42">
        <f>IFERROR(LOOKUP(S729,打分卡!$F$8:$J$8,打分卡!$K$8:$O$8),1)</f>
        <v>1</v>
      </c>
      <c r="AE729" s="42">
        <f>IFERROR(LOOKUP(T729,打分卡!$F$9:$I$9,打分卡!$K$9:$N$9),1)</f>
        <v>2</v>
      </c>
      <c r="AF729" s="42">
        <f>IFERROR(LOOKUP(Q729,打分卡!$F$10:$J$10,打分卡!$K$10:$O$10),1)</f>
        <v>1</v>
      </c>
      <c r="AG729" s="42">
        <f>IFERROR(LOOKUP(R729,打分卡!$F$11:$J$11,打分卡!$K$11:$O$11),1)</f>
        <v>3</v>
      </c>
      <c r="AH729" s="42">
        <f>IFERROR(LOOKUP(U729,打分卡!$F$12:$J$12,打分卡!$K$12:$O$12),1)</f>
        <v>4</v>
      </c>
      <c r="AI729" s="42">
        <f>IFERROR(LOOKUP(X729,打分卡!$F$13:$J$13,打分卡!$K$13:$O$13),1)</f>
        <v>4</v>
      </c>
      <c r="AJ729" s="42">
        <f>IFERROR(LOOKUP(Y729,打分卡!$F$14:$J$14,打分卡!$K$14:$O$14),1)</f>
        <v>2</v>
      </c>
      <c r="AK729" s="42">
        <f>IFERROR(LOOKUP(W729,打分卡!$F$15:$J$15,打分卡!$K$15:$O$15),1)</f>
        <v>2</v>
      </c>
      <c r="AL729" s="45">
        <f t="shared" si="89"/>
        <v>3</v>
      </c>
      <c r="AM729" s="42">
        <f>IFERROR(LOOKUP(Z729,打分卡!$F$17:$H$17,打分卡!$K$17:$M$17),1)</f>
        <v>1</v>
      </c>
      <c r="AN729" s="46">
        <f>(打分卡!$D$7*AC729+打分卡!$D$8*AD729+打分卡!$D$9*AE729)/5</f>
        <v>9.4</v>
      </c>
      <c r="AO729" s="46">
        <f>(打分卡!$D$10*AF729+打分卡!$D$11*AG729)/5</f>
        <v>8</v>
      </c>
      <c r="AP729" s="46">
        <f>(打分卡!$D$12*AH729+打分卡!$D$13*AI729+打分卡!$D$14*AJ729+打分卡!$D$15*AK729)/5</f>
        <v>20</v>
      </c>
      <c r="AQ729" s="46">
        <f>(打分卡!$D$16*AL729+打分卡!$D$17*AM729)/5</f>
        <v>4.4</v>
      </c>
      <c r="AR729" s="48">
        <f t="shared" si="90"/>
        <v>41.8</v>
      </c>
      <c r="AS729" s="45" t="str">
        <f t="shared" si="91"/>
        <v>腰部</v>
      </c>
      <c r="AT729" s="45" t="str">
        <f t="shared" si="92"/>
        <v/>
      </c>
      <c r="AU729" s="45" t="str">
        <f t="shared" si="93"/>
        <v>拉·主攻：主推AI外呼+大促作战包</v>
      </c>
    </row>
    <row r="730" ht="15" customHeight="1" spans="1:47">
      <c r="A730" s="30" t="s">
        <v>2130</v>
      </c>
      <c r="B730" s="31" t="s">
        <v>2131</v>
      </c>
      <c r="C730" s="31" t="s">
        <v>234</v>
      </c>
      <c r="D730" s="31" t="s">
        <v>202</v>
      </c>
      <c r="E730" s="31" t="s">
        <v>181</v>
      </c>
      <c r="F730" s="30" t="s">
        <v>2132</v>
      </c>
      <c r="G730" s="31">
        <v>15</v>
      </c>
      <c r="H730" s="31" t="s">
        <v>301</v>
      </c>
      <c r="I730" s="31" t="s">
        <v>302</v>
      </c>
      <c r="J730" s="33">
        <v>9300</v>
      </c>
      <c r="K730" s="33">
        <v>6600</v>
      </c>
      <c r="L730" s="33">
        <v>4500</v>
      </c>
      <c r="M730" s="33">
        <f t="shared" si="88"/>
        <v>20400</v>
      </c>
      <c r="N730" s="34">
        <f t="shared" si="94"/>
        <v>0.000106949853101231</v>
      </c>
      <c r="O730" s="35">
        <f>SUM($M$2:M730)</f>
        <v>186575500</v>
      </c>
      <c r="P730" s="34">
        <f t="shared" si="95"/>
        <v>0.978148152808272</v>
      </c>
      <c r="Q730" s="37">
        <v>2.2</v>
      </c>
      <c r="R730" s="31">
        <v>7</v>
      </c>
      <c r="S730" s="31">
        <v>2</v>
      </c>
      <c r="T730" s="31">
        <v>0</v>
      </c>
      <c r="U730" s="37">
        <v>16.8</v>
      </c>
      <c r="V730" s="31">
        <v>16</v>
      </c>
      <c r="W730" s="31">
        <v>3</v>
      </c>
      <c r="X730" s="38">
        <v>22</v>
      </c>
      <c r="Y730" s="31">
        <v>3</v>
      </c>
      <c r="Z730" s="31">
        <v>1</v>
      </c>
      <c r="AA730" s="31" t="s">
        <v>199</v>
      </c>
      <c r="AB730" s="31" t="s">
        <v>220</v>
      </c>
      <c r="AC730" s="41">
        <f>IFERROR(LOOKUP(M730,打分卡!$F$7:$J$7,打分卡!$K$7:$O$7),1)</f>
        <v>1</v>
      </c>
      <c r="AD730" s="41">
        <f>IFERROR(LOOKUP(S730,打分卡!$F$8:$J$8,打分卡!$K$8:$O$8),1)</f>
        <v>2</v>
      </c>
      <c r="AE730" s="41">
        <f>IFERROR(LOOKUP(T730,打分卡!$F$9:$I$9,打分卡!$K$9:$N$9),1)</f>
        <v>1</v>
      </c>
      <c r="AF730" s="41">
        <f>IFERROR(LOOKUP(Q730,打分卡!$F$10:$J$10,打分卡!$K$10:$O$10),1)</f>
        <v>1</v>
      </c>
      <c r="AG730" s="41">
        <f>IFERROR(LOOKUP(R730,打分卡!$F$11:$J$11,打分卡!$K$11:$O$11),1)</f>
        <v>3</v>
      </c>
      <c r="AH730" s="41">
        <f>IFERROR(LOOKUP(U730,打分卡!$F$12:$J$12,打分卡!$K$12:$O$12),1)</f>
        <v>3</v>
      </c>
      <c r="AI730" s="41">
        <f>IFERROR(LOOKUP(X730,打分卡!$F$13:$J$13,打分卡!$K$13:$O$13),1)</f>
        <v>2</v>
      </c>
      <c r="AJ730" s="41">
        <f>IFERROR(LOOKUP(Y730,打分卡!$F$14:$J$14,打分卡!$K$14:$O$14),1)</f>
        <v>4</v>
      </c>
      <c r="AK730" s="41">
        <f>IFERROR(LOOKUP(W730,打分卡!$F$15:$J$15,打分卡!$K$15:$O$15),1)</f>
        <v>3</v>
      </c>
      <c r="AL730" s="43">
        <f t="shared" si="89"/>
        <v>5</v>
      </c>
      <c r="AM730" s="41">
        <f>IFERROR(LOOKUP(Z730,打分卡!$F$17:$H$17,打分卡!$K$17:$M$17),1)</f>
        <v>3</v>
      </c>
      <c r="AN730" s="44">
        <f>(打分卡!$D$7*AC730+打分卡!$D$8*AD730+打分卡!$D$9*AE730)/5</f>
        <v>9.6</v>
      </c>
      <c r="AO730" s="44">
        <f>(打分卡!$D$10*AF730+打分卡!$D$11*AG730)/5</f>
        <v>8</v>
      </c>
      <c r="AP730" s="44">
        <f>(打分卡!$D$12*AH730+打分卡!$D$13*AI730+打分卡!$D$14*AJ730+打分卡!$D$15*AK730)/5</f>
        <v>17.6</v>
      </c>
      <c r="AQ730" s="44">
        <f>(打分卡!$D$16*AL730+打分卡!$D$17*AM730)/5</f>
        <v>8.4</v>
      </c>
      <c r="AR730" s="47">
        <f t="shared" si="90"/>
        <v>43.6</v>
      </c>
      <c r="AS730" s="43" t="str">
        <f t="shared" si="91"/>
        <v>腰部</v>
      </c>
      <c r="AT730" s="43" t="str">
        <f t="shared" si="92"/>
        <v/>
      </c>
      <c r="AU730" s="43" t="str">
        <f t="shared" si="93"/>
        <v>拉·主攻：主推AI外呼+大促作战包</v>
      </c>
    </row>
    <row r="731" ht="15" customHeight="1" spans="1:47">
      <c r="A731" s="20" t="s">
        <v>2133</v>
      </c>
      <c r="B731" s="22" t="s">
        <v>2134</v>
      </c>
      <c r="C731" s="22" t="s">
        <v>179</v>
      </c>
      <c r="D731" s="22" t="s">
        <v>227</v>
      </c>
      <c r="E731" s="22" t="s">
        <v>181</v>
      </c>
      <c r="F731" s="20" t="s">
        <v>2135</v>
      </c>
      <c r="G731" s="22">
        <v>5</v>
      </c>
      <c r="H731" s="22" t="s">
        <v>183</v>
      </c>
      <c r="I731" s="22" t="s">
        <v>302</v>
      </c>
      <c r="J731" s="36">
        <v>9400</v>
      </c>
      <c r="K731" s="36">
        <v>5100</v>
      </c>
      <c r="L731" s="36">
        <v>5800</v>
      </c>
      <c r="M731" s="36">
        <f t="shared" si="88"/>
        <v>20300</v>
      </c>
      <c r="N731" s="34">
        <f t="shared" si="94"/>
        <v>0.000106425589115441</v>
      </c>
      <c r="O731" s="35">
        <f>SUM($M$2:M731)</f>
        <v>186595800</v>
      </c>
      <c r="P731" s="34">
        <f t="shared" si="95"/>
        <v>0.978254578397388</v>
      </c>
      <c r="Q731" s="39">
        <v>2.2</v>
      </c>
      <c r="R731" s="22">
        <v>3</v>
      </c>
      <c r="S731" s="22">
        <v>1</v>
      </c>
      <c r="T731" s="22">
        <v>2</v>
      </c>
      <c r="U731" s="39">
        <v>7.5</v>
      </c>
      <c r="V731" s="22">
        <v>10</v>
      </c>
      <c r="W731" s="22">
        <v>4</v>
      </c>
      <c r="X731" s="40">
        <v>40</v>
      </c>
      <c r="Y731" s="22">
        <v>2</v>
      </c>
      <c r="Z731" s="22">
        <v>0</v>
      </c>
      <c r="AA731" s="22" t="s">
        <v>199</v>
      </c>
      <c r="AB731" s="22" t="s">
        <v>220</v>
      </c>
      <c r="AC731" s="42">
        <f>IFERROR(LOOKUP(M731,打分卡!$F$7:$J$7,打分卡!$K$7:$O$7),1)</f>
        <v>1</v>
      </c>
      <c r="AD731" s="42">
        <f>IFERROR(LOOKUP(S731,打分卡!$F$8:$J$8,打分卡!$K$8:$O$8),1)</f>
        <v>1</v>
      </c>
      <c r="AE731" s="42">
        <f>IFERROR(LOOKUP(T731,打分卡!$F$9:$I$9,打分卡!$K$9:$N$9),1)</f>
        <v>3</v>
      </c>
      <c r="AF731" s="42">
        <f>IFERROR(LOOKUP(Q731,打分卡!$F$10:$J$10,打分卡!$K$10:$O$10),1)</f>
        <v>1</v>
      </c>
      <c r="AG731" s="42">
        <f>IFERROR(LOOKUP(R731,打分卡!$F$11:$J$11,打分卡!$K$11:$O$11),1)</f>
        <v>2</v>
      </c>
      <c r="AH731" s="42">
        <f>IFERROR(LOOKUP(U731,打分卡!$F$12:$J$12,打分卡!$K$12:$O$12),1)</f>
        <v>2</v>
      </c>
      <c r="AI731" s="42">
        <f>IFERROR(LOOKUP(X731,打分卡!$F$13:$J$13,打分卡!$K$13:$O$13),1)</f>
        <v>3</v>
      </c>
      <c r="AJ731" s="42">
        <f>IFERROR(LOOKUP(Y731,打分卡!$F$14:$J$14,打分卡!$K$14:$O$14),1)</f>
        <v>3</v>
      </c>
      <c r="AK731" s="42">
        <f>IFERROR(LOOKUP(W731,打分卡!$F$15:$J$15,打分卡!$K$15:$O$15),1)</f>
        <v>3</v>
      </c>
      <c r="AL731" s="45">
        <f t="shared" si="89"/>
        <v>5</v>
      </c>
      <c r="AM731" s="42">
        <f>IFERROR(LOOKUP(Z731,打分卡!$F$17:$H$17,打分卡!$K$17:$M$17),1)</f>
        <v>1</v>
      </c>
      <c r="AN731" s="46">
        <f>(打分卡!$D$7*AC731+打分卡!$D$8*AD731+打分卡!$D$9*AE731)/5</f>
        <v>10.8</v>
      </c>
      <c r="AO731" s="46">
        <f>(打分卡!$D$10*AF731+打分卡!$D$11*AG731)/5</f>
        <v>6</v>
      </c>
      <c r="AP731" s="46">
        <f>(打分卡!$D$12*AH731+打分卡!$D$13*AI731+打分卡!$D$14*AJ731+打分卡!$D$15*AK731)/5</f>
        <v>15.6</v>
      </c>
      <c r="AQ731" s="46">
        <f>(打分卡!$D$16*AL731+打分卡!$D$17*AM731)/5</f>
        <v>6.8</v>
      </c>
      <c r="AR731" s="48">
        <f t="shared" si="90"/>
        <v>39.2</v>
      </c>
      <c r="AS731" s="45" t="str">
        <f t="shared" si="91"/>
        <v>基础长尾</v>
      </c>
      <c r="AT731" s="45" t="str">
        <f t="shared" si="92"/>
        <v/>
      </c>
      <c r="AU731" s="45" t="str">
        <f t="shared" si="93"/>
        <v>激活：企微+Push低成本先跑</v>
      </c>
    </row>
    <row r="732" ht="15" customHeight="1" spans="1:47">
      <c r="A732" s="30" t="s">
        <v>2136</v>
      </c>
      <c r="B732" s="31" t="s">
        <v>2137</v>
      </c>
      <c r="C732" s="31" t="s">
        <v>239</v>
      </c>
      <c r="D732" s="31" t="s">
        <v>202</v>
      </c>
      <c r="E732" s="31" t="s">
        <v>197</v>
      </c>
      <c r="F732" s="30" t="s">
        <v>1636</v>
      </c>
      <c r="G732" s="31">
        <v>17</v>
      </c>
      <c r="H732" s="31" t="s">
        <v>301</v>
      </c>
      <c r="I732" s="31" t="s">
        <v>302</v>
      </c>
      <c r="J732" s="33">
        <v>9300</v>
      </c>
      <c r="K732" s="33">
        <v>7400</v>
      </c>
      <c r="L732" s="33">
        <v>3600</v>
      </c>
      <c r="M732" s="33">
        <f t="shared" si="88"/>
        <v>20300</v>
      </c>
      <c r="N732" s="34">
        <f t="shared" si="94"/>
        <v>0.000106425589115441</v>
      </c>
      <c r="O732" s="35">
        <f>SUM($M$2:M732)</f>
        <v>186616100</v>
      </c>
      <c r="P732" s="34">
        <f t="shared" si="95"/>
        <v>0.978361003986503</v>
      </c>
      <c r="Q732" s="37">
        <v>1.8</v>
      </c>
      <c r="R732" s="31">
        <v>9</v>
      </c>
      <c r="S732" s="31">
        <v>1</v>
      </c>
      <c r="T732" s="31">
        <v>0</v>
      </c>
      <c r="U732" s="37">
        <v>3.3</v>
      </c>
      <c r="V732" s="31">
        <v>23</v>
      </c>
      <c r="W732" s="31">
        <v>3</v>
      </c>
      <c r="X732" s="38">
        <v>68</v>
      </c>
      <c r="Y732" s="31">
        <v>2</v>
      </c>
      <c r="Z732" s="31">
        <v>1</v>
      </c>
      <c r="AA732" s="31" t="s">
        <v>315</v>
      </c>
      <c r="AB732" s="31" t="s">
        <v>220</v>
      </c>
      <c r="AC732" s="41">
        <f>IFERROR(LOOKUP(M732,打分卡!$F$7:$J$7,打分卡!$K$7:$O$7),1)</f>
        <v>1</v>
      </c>
      <c r="AD732" s="41">
        <f>IFERROR(LOOKUP(S732,打分卡!$F$8:$J$8,打分卡!$K$8:$O$8),1)</f>
        <v>1</v>
      </c>
      <c r="AE732" s="41">
        <f>IFERROR(LOOKUP(T732,打分卡!$F$9:$I$9,打分卡!$K$9:$N$9),1)</f>
        <v>1</v>
      </c>
      <c r="AF732" s="41">
        <f>IFERROR(LOOKUP(Q732,打分卡!$F$10:$J$10,打分卡!$K$10:$O$10),1)</f>
        <v>1</v>
      </c>
      <c r="AG732" s="41">
        <f>IFERROR(LOOKUP(R732,打分卡!$F$11:$J$11,打分卡!$K$11:$O$11),1)</f>
        <v>4</v>
      </c>
      <c r="AH732" s="41">
        <f>IFERROR(LOOKUP(U732,打分卡!$F$12:$J$12,打分卡!$K$12:$O$12),1)</f>
        <v>2</v>
      </c>
      <c r="AI732" s="41">
        <f>IFERROR(LOOKUP(X732,打分卡!$F$13:$J$13,打分卡!$K$13:$O$13),1)</f>
        <v>3</v>
      </c>
      <c r="AJ732" s="41">
        <f>IFERROR(LOOKUP(Y732,打分卡!$F$14:$J$14,打分卡!$K$14:$O$14),1)</f>
        <v>3</v>
      </c>
      <c r="AK732" s="41">
        <f>IFERROR(LOOKUP(W732,打分卡!$F$15:$J$15,打分卡!$K$15:$O$15),1)</f>
        <v>3</v>
      </c>
      <c r="AL732" s="43">
        <f t="shared" si="89"/>
        <v>2</v>
      </c>
      <c r="AM732" s="41">
        <f>IFERROR(LOOKUP(Z732,打分卡!$F$17:$H$17,打分卡!$K$17:$M$17),1)</f>
        <v>3</v>
      </c>
      <c r="AN732" s="44">
        <f>(打分卡!$D$7*AC732+打分卡!$D$8*AD732+打分卡!$D$9*AE732)/5</f>
        <v>8</v>
      </c>
      <c r="AO732" s="44">
        <f>(打分卡!$D$10*AF732+打分卡!$D$11*AG732)/5</f>
        <v>10</v>
      </c>
      <c r="AP732" s="44">
        <f>(打分卡!$D$12*AH732+打分卡!$D$13*AI732+打分卡!$D$14*AJ732+打分卡!$D$15*AK732)/5</f>
        <v>15.6</v>
      </c>
      <c r="AQ732" s="44">
        <f>(打分卡!$D$16*AL732+打分卡!$D$17*AM732)/5</f>
        <v>4.8</v>
      </c>
      <c r="AR732" s="47">
        <f t="shared" si="90"/>
        <v>38.4</v>
      </c>
      <c r="AS732" s="43" t="str">
        <f t="shared" si="91"/>
        <v>基础长尾</v>
      </c>
      <c r="AT732" s="43" t="str">
        <f t="shared" si="92"/>
        <v/>
      </c>
      <c r="AU732" s="43" t="str">
        <f t="shared" si="93"/>
        <v>激活：企微+Push低成本先跑</v>
      </c>
    </row>
    <row r="733" ht="15" customHeight="1" spans="1:47">
      <c r="A733" s="20" t="s">
        <v>2138</v>
      </c>
      <c r="B733" s="22" t="s">
        <v>2139</v>
      </c>
      <c r="C733" s="22" t="s">
        <v>239</v>
      </c>
      <c r="D733" s="22" t="s">
        <v>190</v>
      </c>
      <c r="E733" s="22" t="s">
        <v>181</v>
      </c>
      <c r="F733" s="20" t="s">
        <v>2140</v>
      </c>
      <c r="G733" s="22">
        <v>5</v>
      </c>
      <c r="H733" s="22" t="s">
        <v>301</v>
      </c>
      <c r="I733" s="22" t="s">
        <v>184</v>
      </c>
      <c r="J733" s="36">
        <v>13100</v>
      </c>
      <c r="K733" s="36">
        <v>6100</v>
      </c>
      <c r="L733" s="36">
        <v>1000</v>
      </c>
      <c r="M733" s="36">
        <f t="shared" si="88"/>
        <v>20200</v>
      </c>
      <c r="N733" s="34">
        <f t="shared" si="94"/>
        <v>0.00010590132512965</v>
      </c>
      <c r="O733" s="35">
        <f>SUM($M$2:M733)</f>
        <v>186636300</v>
      </c>
      <c r="P733" s="34">
        <f t="shared" si="95"/>
        <v>0.978466905311633</v>
      </c>
      <c r="Q733" s="39">
        <v>1.9</v>
      </c>
      <c r="R733" s="22">
        <v>4</v>
      </c>
      <c r="S733" s="22">
        <v>3</v>
      </c>
      <c r="T733" s="22">
        <v>2</v>
      </c>
      <c r="U733" s="39">
        <v>5.7</v>
      </c>
      <c r="V733" s="22">
        <v>13</v>
      </c>
      <c r="W733" s="22">
        <v>4</v>
      </c>
      <c r="X733" s="40">
        <v>11</v>
      </c>
      <c r="Y733" s="22">
        <v>3</v>
      </c>
      <c r="Z733" s="22">
        <v>0</v>
      </c>
      <c r="AA733" s="22" t="s">
        <v>185</v>
      </c>
      <c r="AB733" s="22" t="s">
        <v>220</v>
      </c>
      <c r="AC733" s="42">
        <f>IFERROR(LOOKUP(M733,打分卡!$F$7:$J$7,打分卡!$K$7:$O$7),1)</f>
        <v>1</v>
      </c>
      <c r="AD733" s="42">
        <f>IFERROR(LOOKUP(S733,打分卡!$F$8:$J$8,打分卡!$K$8:$O$8),1)</f>
        <v>3</v>
      </c>
      <c r="AE733" s="42">
        <f>IFERROR(LOOKUP(T733,打分卡!$F$9:$I$9,打分卡!$K$9:$N$9),1)</f>
        <v>3</v>
      </c>
      <c r="AF733" s="42">
        <f>IFERROR(LOOKUP(Q733,打分卡!$F$10:$J$10,打分卡!$K$10:$O$10),1)</f>
        <v>1</v>
      </c>
      <c r="AG733" s="42">
        <f>IFERROR(LOOKUP(R733,打分卡!$F$11:$J$11,打分卡!$K$11:$O$11),1)</f>
        <v>2</v>
      </c>
      <c r="AH733" s="42">
        <f>IFERROR(LOOKUP(U733,打分卡!$F$12:$J$12,打分卡!$K$12:$O$12),1)</f>
        <v>2</v>
      </c>
      <c r="AI733" s="42">
        <f>IFERROR(LOOKUP(X733,打分卡!$F$13:$J$13,打分卡!$K$13:$O$13),1)</f>
        <v>1</v>
      </c>
      <c r="AJ733" s="42">
        <f>IFERROR(LOOKUP(Y733,打分卡!$F$14:$J$14,打分卡!$K$14:$O$14),1)</f>
        <v>4</v>
      </c>
      <c r="AK733" s="42">
        <f>IFERROR(LOOKUP(W733,打分卡!$F$15:$J$15,打分卡!$K$15:$O$15),1)</f>
        <v>3</v>
      </c>
      <c r="AL733" s="45">
        <f t="shared" si="89"/>
        <v>3</v>
      </c>
      <c r="AM733" s="42">
        <f>IFERROR(LOOKUP(Z733,打分卡!$F$17:$H$17,打分卡!$K$17:$M$17),1)</f>
        <v>1</v>
      </c>
      <c r="AN733" s="46">
        <f>(打分卡!$D$7*AC733+打分卡!$D$8*AD733+打分卡!$D$9*AE733)/5</f>
        <v>14</v>
      </c>
      <c r="AO733" s="46">
        <f>(打分卡!$D$10*AF733+打分卡!$D$11*AG733)/5</f>
        <v>6</v>
      </c>
      <c r="AP733" s="46">
        <f>(打分卡!$D$12*AH733+打分卡!$D$13*AI733+打分卡!$D$14*AJ733+打分卡!$D$15*AK733)/5</f>
        <v>13.6</v>
      </c>
      <c r="AQ733" s="46">
        <f>(打分卡!$D$16*AL733+打分卡!$D$17*AM733)/5</f>
        <v>4.4</v>
      </c>
      <c r="AR733" s="48">
        <f t="shared" si="90"/>
        <v>38</v>
      </c>
      <c r="AS733" s="45" t="str">
        <f t="shared" si="91"/>
        <v>基础长尾</v>
      </c>
      <c r="AT733" s="45" t="str">
        <f t="shared" si="92"/>
        <v/>
      </c>
      <c r="AU733" s="45" t="str">
        <f t="shared" si="93"/>
        <v>激活：企微+Push低成本先跑</v>
      </c>
    </row>
    <row r="734" ht="15" customHeight="1" spans="1:47">
      <c r="A734" s="30" t="s">
        <v>2141</v>
      </c>
      <c r="B734" s="31" t="s">
        <v>2142</v>
      </c>
      <c r="C734" s="31" t="s">
        <v>189</v>
      </c>
      <c r="D734" s="31" t="s">
        <v>196</v>
      </c>
      <c r="E734" s="31" t="s">
        <v>197</v>
      </c>
      <c r="F734" s="30" t="s">
        <v>888</v>
      </c>
      <c r="G734" s="31">
        <v>11</v>
      </c>
      <c r="H734" s="31" t="s">
        <v>301</v>
      </c>
      <c r="I734" s="31" t="s">
        <v>302</v>
      </c>
      <c r="J734" s="33">
        <v>9700</v>
      </c>
      <c r="K734" s="33">
        <v>7400</v>
      </c>
      <c r="L734" s="33">
        <v>2800</v>
      </c>
      <c r="M734" s="33">
        <f t="shared" si="88"/>
        <v>19900</v>
      </c>
      <c r="N734" s="34">
        <f t="shared" si="94"/>
        <v>0.000104328533172279</v>
      </c>
      <c r="O734" s="35">
        <f>SUM($M$2:M734)</f>
        <v>186656200</v>
      </c>
      <c r="P734" s="34">
        <f t="shared" si="95"/>
        <v>0.978571233844805</v>
      </c>
      <c r="Q734" s="37">
        <v>2.5</v>
      </c>
      <c r="R734" s="31">
        <v>7</v>
      </c>
      <c r="S734" s="31">
        <v>2</v>
      </c>
      <c r="T734" s="31">
        <v>2</v>
      </c>
      <c r="U734" s="37">
        <v>15.8</v>
      </c>
      <c r="V734" s="31">
        <v>21</v>
      </c>
      <c r="W734" s="31">
        <v>3</v>
      </c>
      <c r="X734" s="38">
        <v>20</v>
      </c>
      <c r="Y734" s="31">
        <v>1</v>
      </c>
      <c r="Z734" s="31">
        <v>1</v>
      </c>
      <c r="AA734" s="31" t="s">
        <v>185</v>
      </c>
      <c r="AB734" s="31" t="s">
        <v>220</v>
      </c>
      <c r="AC734" s="41">
        <f>IFERROR(LOOKUP(M734,打分卡!$F$7:$J$7,打分卡!$K$7:$O$7),1)</f>
        <v>1</v>
      </c>
      <c r="AD734" s="41">
        <f>IFERROR(LOOKUP(S734,打分卡!$F$8:$J$8,打分卡!$K$8:$O$8),1)</f>
        <v>2</v>
      </c>
      <c r="AE734" s="41">
        <f>IFERROR(LOOKUP(T734,打分卡!$F$9:$I$9,打分卡!$K$9:$N$9),1)</f>
        <v>3</v>
      </c>
      <c r="AF734" s="41">
        <f>IFERROR(LOOKUP(Q734,打分卡!$F$10:$J$10,打分卡!$K$10:$O$10),1)</f>
        <v>2</v>
      </c>
      <c r="AG734" s="41">
        <f>IFERROR(LOOKUP(R734,打分卡!$F$11:$J$11,打分卡!$K$11:$O$11),1)</f>
        <v>3</v>
      </c>
      <c r="AH734" s="41">
        <f>IFERROR(LOOKUP(U734,打分卡!$F$12:$J$12,打分卡!$K$12:$O$12),1)</f>
        <v>3</v>
      </c>
      <c r="AI734" s="41">
        <f>IFERROR(LOOKUP(X734,打分卡!$F$13:$J$13,打分卡!$K$13:$O$13),1)</f>
        <v>2</v>
      </c>
      <c r="AJ734" s="41">
        <f>IFERROR(LOOKUP(Y734,打分卡!$F$14:$J$14,打分卡!$K$14:$O$14),1)</f>
        <v>2</v>
      </c>
      <c r="AK734" s="41">
        <f>IFERROR(LOOKUP(W734,打分卡!$F$15:$J$15,打分卡!$K$15:$O$15),1)</f>
        <v>3</v>
      </c>
      <c r="AL734" s="43">
        <f t="shared" si="89"/>
        <v>3</v>
      </c>
      <c r="AM734" s="41">
        <f>IFERROR(LOOKUP(Z734,打分卡!$F$17:$H$17,打分卡!$K$17:$M$17),1)</f>
        <v>3</v>
      </c>
      <c r="AN734" s="44">
        <f>(打分卡!$D$7*AC734+打分卡!$D$8*AD734+打分卡!$D$9*AE734)/5</f>
        <v>12.4</v>
      </c>
      <c r="AO734" s="44">
        <f>(打分卡!$D$10*AF734+打分卡!$D$11*AG734)/5</f>
        <v>10</v>
      </c>
      <c r="AP734" s="44">
        <f>(打分卡!$D$12*AH734+打分卡!$D$13*AI734+打分卡!$D$14*AJ734+打分卡!$D$15*AK734)/5</f>
        <v>15.2</v>
      </c>
      <c r="AQ734" s="44">
        <f>(打分卡!$D$16*AL734+打分卡!$D$17*AM734)/5</f>
        <v>6</v>
      </c>
      <c r="AR734" s="47">
        <f t="shared" si="90"/>
        <v>43.6</v>
      </c>
      <c r="AS734" s="43" t="str">
        <f t="shared" si="91"/>
        <v>腰部</v>
      </c>
      <c r="AT734" s="43" t="str">
        <f t="shared" si="92"/>
        <v/>
      </c>
      <c r="AU734" s="43" t="str">
        <f t="shared" si="93"/>
        <v>拉·主攻：主推AI外呼+大促作战包</v>
      </c>
    </row>
    <row r="735" ht="15" customHeight="1" spans="1:47">
      <c r="A735" s="20" t="s">
        <v>2143</v>
      </c>
      <c r="B735" s="22" t="s">
        <v>2144</v>
      </c>
      <c r="C735" s="22" t="s">
        <v>189</v>
      </c>
      <c r="D735" s="22" t="s">
        <v>202</v>
      </c>
      <c r="E735" s="22" t="s">
        <v>181</v>
      </c>
      <c r="F735" s="20" t="s">
        <v>380</v>
      </c>
      <c r="G735" s="22">
        <v>18</v>
      </c>
      <c r="H735" s="22" t="s">
        <v>301</v>
      </c>
      <c r="I735" s="22" t="s">
        <v>302</v>
      </c>
      <c r="J735" s="36">
        <v>9800</v>
      </c>
      <c r="K735" s="36">
        <v>4300</v>
      </c>
      <c r="L735" s="36">
        <v>5900</v>
      </c>
      <c r="M735" s="36">
        <f t="shared" si="88"/>
        <v>20000</v>
      </c>
      <c r="N735" s="34">
        <f t="shared" si="94"/>
        <v>0.00010485279715807</v>
      </c>
      <c r="O735" s="35">
        <f>SUM($M$2:M735)</f>
        <v>186676200</v>
      </c>
      <c r="P735" s="34">
        <f t="shared" si="95"/>
        <v>0.978676086641963</v>
      </c>
      <c r="Q735" s="39">
        <v>1.9</v>
      </c>
      <c r="R735" s="22">
        <v>3</v>
      </c>
      <c r="S735" s="22">
        <v>2</v>
      </c>
      <c r="T735" s="22">
        <v>1</v>
      </c>
      <c r="U735" s="39">
        <v>3.1</v>
      </c>
      <c r="V735" s="22">
        <v>19</v>
      </c>
      <c r="W735" s="22">
        <v>3</v>
      </c>
      <c r="X735" s="40">
        <v>113</v>
      </c>
      <c r="Y735" s="22">
        <v>3</v>
      </c>
      <c r="Z735" s="22">
        <v>0</v>
      </c>
      <c r="AA735" s="22" t="s">
        <v>199</v>
      </c>
      <c r="AB735" s="22" t="s">
        <v>220</v>
      </c>
      <c r="AC735" s="42">
        <f>IFERROR(LOOKUP(M735,打分卡!$F$7:$J$7,打分卡!$K$7:$O$7),1)</f>
        <v>1</v>
      </c>
      <c r="AD735" s="42">
        <f>IFERROR(LOOKUP(S735,打分卡!$F$8:$J$8,打分卡!$K$8:$O$8),1)</f>
        <v>2</v>
      </c>
      <c r="AE735" s="42">
        <f>IFERROR(LOOKUP(T735,打分卡!$F$9:$I$9,打分卡!$K$9:$N$9),1)</f>
        <v>2</v>
      </c>
      <c r="AF735" s="42">
        <f>IFERROR(LOOKUP(Q735,打分卡!$F$10:$J$10,打分卡!$K$10:$O$10),1)</f>
        <v>1</v>
      </c>
      <c r="AG735" s="42">
        <f>IFERROR(LOOKUP(R735,打分卡!$F$11:$J$11,打分卡!$K$11:$O$11),1)</f>
        <v>2</v>
      </c>
      <c r="AH735" s="42">
        <f>IFERROR(LOOKUP(U735,打分卡!$F$12:$J$12,打分卡!$K$12:$O$12),1)</f>
        <v>2</v>
      </c>
      <c r="AI735" s="42">
        <f>IFERROR(LOOKUP(X735,打分卡!$F$13:$J$13,打分卡!$K$13:$O$13),1)</f>
        <v>4</v>
      </c>
      <c r="AJ735" s="42">
        <f>IFERROR(LOOKUP(Y735,打分卡!$F$14:$J$14,打分卡!$K$14:$O$14),1)</f>
        <v>4</v>
      </c>
      <c r="AK735" s="42">
        <f>IFERROR(LOOKUP(W735,打分卡!$F$15:$J$15,打分卡!$K$15:$O$15),1)</f>
        <v>3</v>
      </c>
      <c r="AL735" s="45">
        <f t="shared" si="89"/>
        <v>5</v>
      </c>
      <c r="AM735" s="42">
        <f>IFERROR(LOOKUP(Z735,打分卡!$F$17:$H$17,打分卡!$K$17:$M$17),1)</f>
        <v>1</v>
      </c>
      <c r="AN735" s="46">
        <f>(打分卡!$D$7*AC735+打分卡!$D$8*AD735+打分卡!$D$9*AE735)/5</f>
        <v>11</v>
      </c>
      <c r="AO735" s="46">
        <f>(打分卡!$D$10*AF735+打分卡!$D$11*AG735)/5</f>
        <v>6</v>
      </c>
      <c r="AP735" s="46">
        <f>(打分卡!$D$12*AH735+打分卡!$D$13*AI735+打分卡!$D$14*AJ735+打分卡!$D$15*AK735)/5</f>
        <v>18.4</v>
      </c>
      <c r="AQ735" s="46">
        <f>(打分卡!$D$16*AL735+打分卡!$D$17*AM735)/5</f>
        <v>6.8</v>
      </c>
      <c r="AR735" s="48">
        <f t="shared" si="90"/>
        <v>42.2</v>
      </c>
      <c r="AS735" s="45" t="str">
        <f t="shared" si="91"/>
        <v>腰部</v>
      </c>
      <c r="AT735" s="45" t="str">
        <f t="shared" si="92"/>
        <v/>
      </c>
      <c r="AU735" s="45" t="str">
        <f t="shared" si="93"/>
        <v>拉·主攻：主推AI外呼+大促作战包</v>
      </c>
    </row>
    <row r="736" ht="15" customHeight="1" spans="1:47">
      <c r="A736" s="30" t="s">
        <v>2145</v>
      </c>
      <c r="B736" s="31" t="s">
        <v>2146</v>
      </c>
      <c r="C736" s="31" t="s">
        <v>218</v>
      </c>
      <c r="D736" s="31" t="s">
        <v>202</v>
      </c>
      <c r="E736" s="31" t="s">
        <v>197</v>
      </c>
      <c r="F736" s="30" t="s">
        <v>1025</v>
      </c>
      <c r="G736" s="31">
        <v>10</v>
      </c>
      <c r="H736" s="31" t="s">
        <v>301</v>
      </c>
      <c r="I736" s="31" t="s">
        <v>184</v>
      </c>
      <c r="J736" s="33">
        <v>12900</v>
      </c>
      <c r="K736" s="33">
        <v>5300</v>
      </c>
      <c r="L736" s="33">
        <v>1700</v>
      </c>
      <c r="M736" s="33">
        <f t="shared" si="88"/>
        <v>19900</v>
      </c>
      <c r="N736" s="34">
        <f t="shared" si="94"/>
        <v>0.000104328533172279</v>
      </c>
      <c r="O736" s="35">
        <f>SUM($M$2:M736)</f>
        <v>186696100</v>
      </c>
      <c r="P736" s="34">
        <f t="shared" si="95"/>
        <v>0.978780415175136</v>
      </c>
      <c r="Q736" s="37">
        <v>1.4</v>
      </c>
      <c r="R736" s="31">
        <v>5</v>
      </c>
      <c r="S736" s="31">
        <v>3</v>
      </c>
      <c r="T736" s="31">
        <v>1</v>
      </c>
      <c r="U736" s="37">
        <v>17.4</v>
      </c>
      <c r="V736" s="31">
        <v>28</v>
      </c>
      <c r="W736" s="31">
        <v>1</v>
      </c>
      <c r="X736" s="38">
        <v>13</v>
      </c>
      <c r="Y736" s="31">
        <v>2</v>
      </c>
      <c r="Z736" s="31">
        <v>1</v>
      </c>
      <c r="AA736" s="31" t="s">
        <v>185</v>
      </c>
      <c r="AB736" s="31" t="s">
        <v>220</v>
      </c>
      <c r="AC736" s="41">
        <f>IFERROR(LOOKUP(M736,打分卡!$F$7:$J$7,打分卡!$K$7:$O$7),1)</f>
        <v>1</v>
      </c>
      <c r="AD736" s="41">
        <f>IFERROR(LOOKUP(S736,打分卡!$F$8:$J$8,打分卡!$K$8:$O$8),1)</f>
        <v>3</v>
      </c>
      <c r="AE736" s="41">
        <f>IFERROR(LOOKUP(T736,打分卡!$F$9:$I$9,打分卡!$K$9:$N$9),1)</f>
        <v>2</v>
      </c>
      <c r="AF736" s="41">
        <f>IFERROR(LOOKUP(Q736,打分卡!$F$10:$J$10,打分卡!$K$10:$O$10),1)</f>
        <v>1</v>
      </c>
      <c r="AG736" s="41">
        <f>IFERROR(LOOKUP(R736,打分卡!$F$11:$J$11,打分卡!$K$11:$O$11),1)</f>
        <v>3</v>
      </c>
      <c r="AH736" s="41">
        <f>IFERROR(LOOKUP(U736,打分卡!$F$12:$J$12,打分卡!$K$12:$O$12),1)</f>
        <v>3</v>
      </c>
      <c r="AI736" s="41">
        <f>IFERROR(LOOKUP(X736,打分卡!$F$13:$J$13,打分卡!$K$13:$O$13),1)</f>
        <v>1</v>
      </c>
      <c r="AJ736" s="41">
        <f>IFERROR(LOOKUP(Y736,打分卡!$F$14:$J$14,打分卡!$K$14:$O$14),1)</f>
        <v>3</v>
      </c>
      <c r="AK736" s="41">
        <f>IFERROR(LOOKUP(W736,打分卡!$F$15:$J$15,打分卡!$K$15:$O$15),1)</f>
        <v>2</v>
      </c>
      <c r="AL736" s="43">
        <f t="shared" si="89"/>
        <v>3</v>
      </c>
      <c r="AM736" s="41">
        <f>IFERROR(LOOKUP(Z736,打分卡!$F$17:$H$17,打分卡!$K$17:$M$17),1)</f>
        <v>3</v>
      </c>
      <c r="AN736" s="44">
        <f>(打分卡!$D$7*AC736+打分卡!$D$8*AD736+打分卡!$D$9*AE736)/5</f>
        <v>12.6</v>
      </c>
      <c r="AO736" s="44">
        <f>(打分卡!$D$10*AF736+打分卡!$D$11*AG736)/5</f>
        <v>8</v>
      </c>
      <c r="AP736" s="44">
        <f>(打分卡!$D$12*AH736+打分卡!$D$13*AI736+打分卡!$D$14*AJ736+打分卡!$D$15*AK736)/5</f>
        <v>14</v>
      </c>
      <c r="AQ736" s="44">
        <f>(打分卡!$D$16*AL736+打分卡!$D$17*AM736)/5</f>
        <v>6</v>
      </c>
      <c r="AR736" s="47">
        <f t="shared" si="90"/>
        <v>40.6</v>
      </c>
      <c r="AS736" s="43" t="str">
        <f t="shared" si="91"/>
        <v>腰部</v>
      </c>
      <c r="AT736" s="43" t="str">
        <f t="shared" si="92"/>
        <v/>
      </c>
      <c r="AU736" s="43" t="str">
        <f t="shared" si="93"/>
        <v>拉·主攻：主推AI外呼+大促作战包</v>
      </c>
    </row>
    <row r="737" ht="15" customHeight="1" spans="1:47">
      <c r="A737" s="20" t="s">
        <v>2147</v>
      </c>
      <c r="B737" s="22" t="s">
        <v>2148</v>
      </c>
      <c r="C737" s="22" t="s">
        <v>239</v>
      </c>
      <c r="D737" s="22" t="s">
        <v>196</v>
      </c>
      <c r="E737" s="22" t="s">
        <v>197</v>
      </c>
      <c r="F737" s="20" t="s">
        <v>863</v>
      </c>
      <c r="G737" s="22">
        <v>23</v>
      </c>
      <c r="H737" s="22" t="s">
        <v>183</v>
      </c>
      <c r="I737" s="22" t="s">
        <v>302</v>
      </c>
      <c r="J737" s="36">
        <v>9800</v>
      </c>
      <c r="K737" s="36">
        <v>4300</v>
      </c>
      <c r="L737" s="36">
        <v>5700</v>
      </c>
      <c r="M737" s="36">
        <f t="shared" si="88"/>
        <v>19800</v>
      </c>
      <c r="N737" s="34">
        <f t="shared" si="94"/>
        <v>0.000103804269186489</v>
      </c>
      <c r="O737" s="35">
        <f>SUM($M$2:M737)</f>
        <v>186715900</v>
      </c>
      <c r="P737" s="34">
        <f t="shared" si="95"/>
        <v>0.978884219444322</v>
      </c>
      <c r="Q737" s="39">
        <v>2</v>
      </c>
      <c r="R737" s="22">
        <v>7</v>
      </c>
      <c r="S737" s="22">
        <v>3</v>
      </c>
      <c r="T737" s="22">
        <v>2</v>
      </c>
      <c r="U737" s="39">
        <v>2.4</v>
      </c>
      <c r="V737" s="22">
        <v>29</v>
      </c>
      <c r="W737" s="22">
        <v>4</v>
      </c>
      <c r="X737" s="40">
        <v>43</v>
      </c>
      <c r="Y737" s="22">
        <v>1</v>
      </c>
      <c r="Z737" s="22">
        <v>1</v>
      </c>
      <c r="AA737" s="22" t="s">
        <v>185</v>
      </c>
      <c r="AB737" s="22" t="s">
        <v>220</v>
      </c>
      <c r="AC737" s="42">
        <f>IFERROR(LOOKUP(M737,打分卡!$F$7:$J$7,打分卡!$K$7:$O$7),1)</f>
        <v>1</v>
      </c>
      <c r="AD737" s="42">
        <f>IFERROR(LOOKUP(S737,打分卡!$F$8:$J$8,打分卡!$K$8:$O$8),1)</f>
        <v>3</v>
      </c>
      <c r="AE737" s="42">
        <f>IFERROR(LOOKUP(T737,打分卡!$F$9:$I$9,打分卡!$K$9:$N$9),1)</f>
        <v>3</v>
      </c>
      <c r="AF737" s="42">
        <f>IFERROR(LOOKUP(Q737,打分卡!$F$10:$J$10,打分卡!$K$10:$O$10),1)</f>
        <v>1</v>
      </c>
      <c r="AG737" s="42">
        <f>IFERROR(LOOKUP(R737,打分卡!$F$11:$J$11,打分卡!$K$11:$O$11),1)</f>
        <v>3</v>
      </c>
      <c r="AH737" s="42">
        <f>IFERROR(LOOKUP(U737,打分卡!$F$12:$J$12,打分卡!$K$12:$O$12),1)</f>
        <v>1</v>
      </c>
      <c r="AI737" s="42">
        <f>IFERROR(LOOKUP(X737,打分卡!$F$13:$J$13,打分卡!$K$13:$O$13),1)</f>
        <v>3</v>
      </c>
      <c r="AJ737" s="42">
        <f>IFERROR(LOOKUP(Y737,打分卡!$F$14:$J$14,打分卡!$K$14:$O$14),1)</f>
        <v>2</v>
      </c>
      <c r="AK737" s="42">
        <f>IFERROR(LOOKUP(W737,打分卡!$F$15:$J$15,打分卡!$K$15:$O$15),1)</f>
        <v>3</v>
      </c>
      <c r="AL737" s="45">
        <f t="shared" si="89"/>
        <v>3</v>
      </c>
      <c r="AM737" s="42">
        <f>IFERROR(LOOKUP(Z737,打分卡!$F$17:$H$17,打分卡!$K$17:$M$17),1)</f>
        <v>3</v>
      </c>
      <c r="AN737" s="46">
        <f>(打分卡!$D$7*AC737+打分卡!$D$8*AD737+打分卡!$D$9*AE737)/5</f>
        <v>14</v>
      </c>
      <c r="AO737" s="46">
        <f>(打分卡!$D$10*AF737+打分卡!$D$11*AG737)/5</f>
        <v>8</v>
      </c>
      <c r="AP737" s="46">
        <f>(打分卡!$D$12*AH737+打分卡!$D$13*AI737+打分卡!$D$14*AJ737+打分卡!$D$15*AK737)/5</f>
        <v>12</v>
      </c>
      <c r="AQ737" s="46">
        <f>(打分卡!$D$16*AL737+打分卡!$D$17*AM737)/5</f>
        <v>6</v>
      </c>
      <c r="AR737" s="48">
        <f t="shared" si="90"/>
        <v>40</v>
      </c>
      <c r="AS737" s="45" t="str">
        <f t="shared" si="91"/>
        <v>腰部</v>
      </c>
      <c r="AT737" s="45" t="str">
        <f t="shared" si="92"/>
        <v/>
      </c>
      <c r="AU737" s="45" t="str">
        <f t="shared" si="93"/>
        <v>拉·主攻：主推AI外呼+大促作战包</v>
      </c>
    </row>
    <row r="738" ht="15" customHeight="1" spans="1:47">
      <c r="A738" s="30" t="s">
        <v>2149</v>
      </c>
      <c r="B738" s="31" t="s">
        <v>2150</v>
      </c>
      <c r="C738" s="31" t="s">
        <v>218</v>
      </c>
      <c r="D738" s="31" t="s">
        <v>227</v>
      </c>
      <c r="E738" s="31" t="s">
        <v>197</v>
      </c>
      <c r="F738" s="30" t="s">
        <v>1159</v>
      </c>
      <c r="G738" s="31">
        <v>20</v>
      </c>
      <c r="H738" s="31" t="s">
        <v>301</v>
      </c>
      <c r="I738" s="31" t="s">
        <v>184</v>
      </c>
      <c r="J738" s="33">
        <v>11700</v>
      </c>
      <c r="K738" s="33">
        <v>6800</v>
      </c>
      <c r="L738" s="33">
        <v>1000</v>
      </c>
      <c r="M738" s="33">
        <f t="shared" si="88"/>
        <v>19500</v>
      </c>
      <c r="N738" s="34">
        <f t="shared" si="94"/>
        <v>0.000102231477229118</v>
      </c>
      <c r="O738" s="35">
        <f>SUM($M$2:M738)</f>
        <v>186735400</v>
      </c>
      <c r="P738" s="34">
        <f t="shared" si="95"/>
        <v>0.978986450921551</v>
      </c>
      <c r="Q738" s="37">
        <v>2.4</v>
      </c>
      <c r="R738" s="31">
        <v>7</v>
      </c>
      <c r="S738" s="31">
        <v>3</v>
      </c>
      <c r="T738" s="31">
        <v>1</v>
      </c>
      <c r="U738" s="37">
        <v>1.7</v>
      </c>
      <c r="V738" s="31">
        <v>5</v>
      </c>
      <c r="W738" s="31">
        <v>4</v>
      </c>
      <c r="X738" s="38">
        <v>16</v>
      </c>
      <c r="Y738" s="31">
        <v>3</v>
      </c>
      <c r="Z738" s="31">
        <v>0</v>
      </c>
      <c r="AA738" s="31" t="s">
        <v>315</v>
      </c>
      <c r="AB738" s="31" t="s">
        <v>220</v>
      </c>
      <c r="AC738" s="41">
        <f>IFERROR(LOOKUP(M738,打分卡!$F$7:$J$7,打分卡!$K$7:$O$7),1)</f>
        <v>1</v>
      </c>
      <c r="AD738" s="41">
        <f>IFERROR(LOOKUP(S738,打分卡!$F$8:$J$8,打分卡!$K$8:$O$8),1)</f>
        <v>3</v>
      </c>
      <c r="AE738" s="41">
        <f>IFERROR(LOOKUP(T738,打分卡!$F$9:$I$9,打分卡!$K$9:$N$9),1)</f>
        <v>2</v>
      </c>
      <c r="AF738" s="41">
        <f>IFERROR(LOOKUP(Q738,打分卡!$F$10:$J$10,打分卡!$K$10:$O$10),1)</f>
        <v>1</v>
      </c>
      <c r="AG738" s="41">
        <f>IFERROR(LOOKUP(R738,打分卡!$F$11:$J$11,打分卡!$K$11:$O$11),1)</f>
        <v>3</v>
      </c>
      <c r="AH738" s="41">
        <f>IFERROR(LOOKUP(U738,打分卡!$F$12:$J$12,打分卡!$K$12:$O$12),1)</f>
        <v>1</v>
      </c>
      <c r="AI738" s="41">
        <f>IFERROR(LOOKUP(X738,打分卡!$F$13:$J$13,打分卡!$K$13:$O$13),1)</f>
        <v>1</v>
      </c>
      <c r="AJ738" s="41">
        <f>IFERROR(LOOKUP(Y738,打分卡!$F$14:$J$14,打分卡!$K$14:$O$14),1)</f>
        <v>4</v>
      </c>
      <c r="AK738" s="41">
        <f>IFERROR(LOOKUP(W738,打分卡!$F$15:$J$15,打分卡!$K$15:$O$15),1)</f>
        <v>3</v>
      </c>
      <c r="AL738" s="43">
        <f t="shared" si="89"/>
        <v>2</v>
      </c>
      <c r="AM738" s="41">
        <f>IFERROR(LOOKUP(Z738,打分卡!$F$17:$H$17,打分卡!$K$17:$M$17),1)</f>
        <v>1</v>
      </c>
      <c r="AN738" s="44">
        <f>(打分卡!$D$7*AC738+打分卡!$D$8*AD738+打分卡!$D$9*AE738)/5</f>
        <v>12.6</v>
      </c>
      <c r="AO738" s="44">
        <f>(打分卡!$D$10*AF738+打分卡!$D$11*AG738)/5</f>
        <v>8</v>
      </c>
      <c r="AP738" s="44">
        <f>(打分卡!$D$12*AH738+打分卡!$D$13*AI738+打分卡!$D$14*AJ738+打分卡!$D$15*AK738)/5</f>
        <v>11.2</v>
      </c>
      <c r="AQ738" s="44">
        <f>(打分卡!$D$16*AL738+打分卡!$D$17*AM738)/5</f>
        <v>3.2</v>
      </c>
      <c r="AR738" s="47">
        <f t="shared" si="90"/>
        <v>35</v>
      </c>
      <c r="AS738" s="43" t="str">
        <f t="shared" si="91"/>
        <v>基础长尾</v>
      </c>
      <c r="AT738" s="43" t="str">
        <f t="shared" si="92"/>
        <v/>
      </c>
      <c r="AU738" s="43" t="str">
        <f t="shared" si="93"/>
        <v>激活：企微+Push低成本先跑</v>
      </c>
    </row>
    <row r="739" ht="15" customHeight="1" spans="1:47">
      <c r="A739" s="20" t="s">
        <v>2151</v>
      </c>
      <c r="B739" s="22" t="s">
        <v>2152</v>
      </c>
      <c r="C739" s="22" t="s">
        <v>239</v>
      </c>
      <c r="D739" s="22" t="s">
        <v>227</v>
      </c>
      <c r="E739" s="22" t="s">
        <v>181</v>
      </c>
      <c r="F739" s="20" t="s">
        <v>696</v>
      </c>
      <c r="G739" s="22">
        <v>22</v>
      </c>
      <c r="H739" s="22" t="s">
        <v>183</v>
      </c>
      <c r="I739" s="22" t="s">
        <v>302</v>
      </c>
      <c r="J739" s="36">
        <v>9300</v>
      </c>
      <c r="K739" s="36">
        <v>4300</v>
      </c>
      <c r="L739" s="36">
        <v>5900</v>
      </c>
      <c r="M739" s="36">
        <f t="shared" si="88"/>
        <v>19500</v>
      </c>
      <c r="N739" s="34">
        <f t="shared" si="94"/>
        <v>0.000102231477229118</v>
      </c>
      <c r="O739" s="35">
        <f>SUM($M$2:M739)</f>
        <v>186754900</v>
      </c>
      <c r="P739" s="34">
        <f t="shared" si="95"/>
        <v>0.97908868239878</v>
      </c>
      <c r="Q739" s="39">
        <v>2.8</v>
      </c>
      <c r="R739" s="22">
        <v>9</v>
      </c>
      <c r="S739" s="22">
        <v>2</v>
      </c>
      <c r="T739" s="22">
        <v>2</v>
      </c>
      <c r="U739" s="39">
        <v>3.3</v>
      </c>
      <c r="V739" s="22">
        <v>19</v>
      </c>
      <c r="W739" s="22">
        <v>4</v>
      </c>
      <c r="X739" s="40">
        <v>15</v>
      </c>
      <c r="Y739" s="22">
        <v>0</v>
      </c>
      <c r="Z739" s="22">
        <v>1</v>
      </c>
      <c r="AA739" s="22" t="s">
        <v>315</v>
      </c>
      <c r="AB739" s="22" t="s">
        <v>220</v>
      </c>
      <c r="AC739" s="42">
        <f>IFERROR(LOOKUP(M739,打分卡!$F$7:$J$7,打分卡!$K$7:$O$7),1)</f>
        <v>1</v>
      </c>
      <c r="AD739" s="42">
        <f>IFERROR(LOOKUP(S739,打分卡!$F$8:$J$8,打分卡!$K$8:$O$8),1)</f>
        <v>2</v>
      </c>
      <c r="AE739" s="42">
        <f>IFERROR(LOOKUP(T739,打分卡!$F$9:$I$9,打分卡!$K$9:$N$9),1)</f>
        <v>3</v>
      </c>
      <c r="AF739" s="42">
        <f>IFERROR(LOOKUP(Q739,打分卡!$F$10:$J$10,打分卡!$K$10:$O$10),1)</f>
        <v>2</v>
      </c>
      <c r="AG739" s="42">
        <f>IFERROR(LOOKUP(R739,打分卡!$F$11:$J$11,打分卡!$K$11:$O$11),1)</f>
        <v>4</v>
      </c>
      <c r="AH739" s="42">
        <f>IFERROR(LOOKUP(U739,打分卡!$F$12:$J$12,打分卡!$K$12:$O$12),1)</f>
        <v>2</v>
      </c>
      <c r="AI739" s="42">
        <f>IFERROR(LOOKUP(X739,打分卡!$F$13:$J$13,打分卡!$K$13:$O$13),1)</f>
        <v>1</v>
      </c>
      <c r="AJ739" s="42">
        <f>IFERROR(LOOKUP(Y739,打分卡!$F$14:$J$14,打分卡!$K$14:$O$14),1)</f>
        <v>1</v>
      </c>
      <c r="AK739" s="42">
        <f>IFERROR(LOOKUP(W739,打分卡!$F$15:$J$15,打分卡!$K$15:$O$15),1)</f>
        <v>3</v>
      </c>
      <c r="AL739" s="45">
        <f t="shared" si="89"/>
        <v>2</v>
      </c>
      <c r="AM739" s="42">
        <f>IFERROR(LOOKUP(Z739,打分卡!$F$17:$H$17,打分卡!$K$17:$M$17),1)</f>
        <v>3</v>
      </c>
      <c r="AN739" s="46">
        <f>(打分卡!$D$7*AC739+打分卡!$D$8*AD739+打分卡!$D$9*AE739)/5</f>
        <v>12.4</v>
      </c>
      <c r="AO739" s="46">
        <f>(打分卡!$D$10*AF739+打分卡!$D$11*AG739)/5</f>
        <v>12</v>
      </c>
      <c r="AP739" s="46">
        <f>(打分卡!$D$12*AH739+打分卡!$D$13*AI739+打分卡!$D$14*AJ739+打分卡!$D$15*AK739)/5</f>
        <v>10</v>
      </c>
      <c r="AQ739" s="46">
        <f>(打分卡!$D$16*AL739+打分卡!$D$17*AM739)/5</f>
        <v>4.8</v>
      </c>
      <c r="AR739" s="48">
        <f t="shared" si="90"/>
        <v>39.2</v>
      </c>
      <c r="AS739" s="45" t="str">
        <f t="shared" si="91"/>
        <v>基础长尾</v>
      </c>
      <c r="AT739" s="45" t="str">
        <f t="shared" si="92"/>
        <v/>
      </c>
      <c r="AU739" s="45" t="str">
        <f t="shared" si="93"/>
        <v>激活：企微+Push低成本先跑</v>
      </c>
    </row>
    <row r="740" ht="15" customHeight="1" spans="1:47">
      <c r="A740" s="30" t="s">
        <v>2153</v>
      </c>
      <c r="B740" s="31" t="s">
        <v>2154</v>
      </c>
      <c r="C740" s="31" t="s">
        <v>234</v>
      </c>
      <c r="D740" s="31" t="s">
        <v>202</v>
      </c>
      <c r="E740" s="31" t="s">
        <v>197</v>
      </c>
      <c r="F740" s="30" t="s">
        <v>690</v>
      </c>
      <c r="G740" s="31">
        <v>10</v>
      </c>
      <c r="H740" s="31" t="s">
        <v>183</v>
      </c>
      <c r="I740" s="31" t="s">
        <v>302</v>
      </c>
      <c r="J740" s="33">
        <v>11200</v>
      </c>
      <c r="K740" s="33">
        <v>7000</v>
      </c>
      <c r="L740" s="33">
        <v>1300</v>
      </c>
      <c r="M740" s="33">
        <f t="shared" si="88"/>
        <v>19500</v>
      </c>
      <c r="N740" s="34">
        <f t="shared" si="94"/>
        <v>0.000102231477229118</v>
      </c>
      <c r="O740" s="35">
        <f>SUM($M$2:M740)</f>
        <v>186774400</v>
      </c>
      <c r="P740" s="34">
        <f t="shared" si="95"/>
        <v>0.979190913876009</v>
      </c>
      <c r="Q740" s="37">
        <v>2.1</v>
      </c>
      <c r="R740" s="31">
        <v>9</v>
      </c>
      <c r="S740" s="31">
        <v>1</v>
      </c>
      <c r="T740" s="31">
        <v>1</v>
      </c>
      <c r="U740" s="37">
        <v>1.2</v>
      </c>
      <c r="V740" s="31">
        <v>29</v>
      </c>
      <c r="W740" s="31">
        <v>2</v>
      </c>
      <c r="X740" s="38">
        <v>59</v>
      </c>
      <c r="Y740" s="31">
        <v>1</v>
      </c>
      <c r="Z740" s="31">
        <v>1</v>
      </c>
      <c r="AA740" s="31" t="s">
        <v>315</v>
      </c>
      <c r="AB740" s="31" t="s">
        <v>220</v>
      </c>
      <c r="AC740" s="41">
        <f>IFERROR(LOOKUP(M740,打分卡!$F$7:$J$7,打分卡!$K$7:$O$7),1)</f>
        <v>1</v>
      </c>
      <c r="AD740" s="41">
        <f>IFERROR(LOOKUP(S740,打分卡!$F$8:$J$8,打分卡!$K$8:$O$8),1)</f>
        <v>1</v>
      </c>
      <c r="AE740" s="41">
        <f>IFERROR(LOOKUP(T740,打分卡!$F$9:$I$9,打分卡!$K$9:$N$9),1)</f>
        <v>2</v>
      </c>
      <c r="AF740" s="41">
        <f>IFERROR(LOOKUP(Q740,打分卡!$F$10:$J$10,打分卡!$K$10:$O$10),1)</f>
        <v>1</v>
      </c>
      <c r="AG740" s="41">
        <f>IFERROR(LOOKUP(R740,打分卡!$F$11:$J$11,打分卡!$K$11:$O$11),1)</f>
        <v>4</v>
      </c>
      <c r="AH740" s="41">
        <f>IFERROR(LOOKUP(U740,打分卡!$F$12:$J$12,打分卡!$K$12:$O$12),1)</f>
        <v>1</v>
      </c>
      <c r="AI740" s="41">
        <f>IFERROR(LOOKUP(X740,打分卡!$F$13:$J$13,打分卡!$K$13:$O$13),1)</f>
        <v>3</v>
      </c>
      <c r="AJ740" s="41">
        <f>IFERROR(LOOKUP(Y740,打分卡!$F$14:$J$14,打分卡!$K$14:$O$14),1)</f>
        <v>2</v>
      </c>
      <c r="AK740" s="41">
        <f>IFERROR(LOOKUP(W740,打分卡!$F$15:$J$15,打分卡!$K$15:$O$15),1)</f>
        <v>2</v>
      </c>
      <c r="AL740" s="43">
        <f t="shared" si="89"/>
        <v>2</v>
      </c>
      <c r="AM740" s="41">
        <f>IFERROR(LOOKUP(Z740,打分卡!$F$17:$H$17,打分卡!$K$17:$M$17),1)</f>
        <v>3</v>
      </c>
      <c r="AN740" s="44">
        <f>(打分卡!$D$7*AC740+打分卡!$D$8*AD740+打分卡!$D$9*AE740)/5</f>
        <v>9.4</v>
      </c>
      <c r="AO740" s="44">
        <f>(打分卡!$D$10*AF740+打分卡!$D$11*AG740)/5</f>
        <v>10</v>
      </c>
      <c r="AP740" s="44">
        <f>(打分卡!$D$12*AH740+打分卡!$D$13*AI740+打分卡!$D$14*AJ740+打分卡!$D$15*AK740)/5</f>
        <v>11.2</v>
      </c>
      <c r="AQ740" s="44">
        <f>(打分卡!$D$16*AL740+打分卡!$D$17*AM740)/5</f>
        <v>4.8</v>
      </c>
      <c r="AR740" s="47">
        <f t="shared" si="90"/>
        <v>35.4</v>
      </c>
      <c r="AS740" s="43" t="str">
        <f t="shared" si="91"/>
        <v>基础长尾</v>
      </c>
      <c r="AT740" s="43" t="str">
        <f t="shared" si="92"/>
        <v/>
      </c>
      <c r="AU740" s="43" t="str">
        <f t="shared" si="93"/>
        <v>激活：企微+Push低成本先跑</v>
      </c>
    </row>
    <row r="741" ht="15" customHeight="1" spans="1:47">
      <c r="A741" s="20" t="s">
        <v>2155</v>
      </c>
      <c r="B741" s="22" t="s">
        <v>2156</v>
      </c>
      <c r="C741" s="22" t="s">
        <v>223</v>
      </c>
      <c r="D741" s="22" t="s">
        <v>180</v>
      </c>
      <c r="E741" s="22" t="s">
        <v>197</v>
      </c>
      <c r="F741" s="20" t="s">
        <v>1499</v>
      </c>
      <c r="G741" s="22">
        <v>21</v>
      </c>
      <c r="H741" s="22" t="s">
        <v>301</v>
      </c>
      <c r="I741" s="22" t="s">
        <v>184</v>
      </c>
      <c r="J741" s="36">
        <v>9600</v>
      </c>
      <c r="K741" s="36">
        <v>7100</v>
      </c>
      <c r="L741" s="36">
        <v>2600</v>
      </c>
      <c r="M741" s="36">
        <f t="shared" si="88"/>
        <v>19300</v>
      </c>
      <c r="N741" s="34">
        <f t="shared" si="94"/>
        <v>0.000101182949257537</v>
      </c>
      <c r="O741" s="35">
        <f>SUM($M$2:M741)</f>
        <v>186793700</v>
      </c>
      <c r="P741" s="34">
        <f t="shared" si="95"/>
        <v>0.979292096825267</v>
      </c>
      <c r="Q741" s="39">
        <v>1.4</v>
      </c>
      <c r="R741" s="22">
        <v>5</v>
      </c>
      <c r="S741" s="22">
        <v>1</v>
      </c>
      <c r="T741" s="22">
        <v>1</v>
      </c>
      <c r="U741" s="39">
        <v>60.7</v>
      </c>
      <c r="V741" s="22">
        <v>29</v>
      </c>
      <c r="W741" s="22">
        <v>0</v>
      </c>
      <c r="X741" s="40">
        <v>57</v>
      </c>
      <c r="Y741" s="22">
        <v>2</v>
      </c>
      <c r="Z741" s="22">
        <v>1</v>
      </c>
      <c r="AA741" s="22" t="s">
        <v>185</v>
      </c>
      <c r="AB741" s="22" t="s">
        <v>220</v>
      </c>
      <c r="AC741" s="42">
        <f>IFERROR(LOOKUP(M741,打分卡!$F$7:$J$7,打分卡!$K$7:$O$7),1)</f>
        <v>1</v>
      </c>
      <c r="AD741" s="42">
        <f>IFERROR(LOOKUP(S741,打分卡!$F$8:$J$8,打分卡!$K$8:$O$8),1)</f>
        <v>1</v>
      </c>
      <c r="AE741" s="42">
        <f>IFERROR(LOOKUP(T741,打分卡!$F$9:$I$9,打分卡!$K$9:$N$9),1)</f>
        <v>2</v>
      </c>
      <c r="AF741" s="42">
        <f>IFERROR(LOOKUP(Q741,打分卡!$F$10:$J$10,打分卡!$K$10:$O$10),1)</f>
        <v>1</v>
      </c>
      <c r="AG741" s="42">
        <f>IFERROR(LOOKUP(R741,打分卡!$F$11:$J$11,打分卡!$K$11:$O$11),1)</f>
        <v>3</v>
      </c>
      <c r="AH741" s="42">
        <f>IFERROR(LOOKUP(U741,打分卡!$F$12:$J$12,打分卡!$K$12:$O$12),1)</f>
        <v>4</v>
      </c>
      <c r="AI741" s="42">
        <f>IFERROR(LOOKUP(X741,打分卡!$F$13:$J$13,打分卡!$K$13:$O$13),1)</f>
        <v>3</v>
      </c>
      <c r="AJ741" s="42">
        <f>IFERROR(LOOKUP(Y741,打分卡!$F$14:$J$14,打分卡!$K$14:$O$14),1)</f>
        <v>3</v>
      </c>
      <c r="AK741" s="42">
        <f>IFERROR(LOOKUP(W741,打分卡!$F$15:$J$15,打分卡!$K$15:$O$15),1)</f>
        <v>1</v>
      </c>
      <c r="AL741" s="45">
        <f t="shared" si="89"/>
        <v>3</v>
      </c>
      <c r="AM741" s="42">
        <f>IFERROR(LOOKUP(Z741,打分卡!$F$17:$H$17,打分卡!$K$17:$M$17),1)</f>
        <v>3</v>
      </c>
      <c r="AN741" s="46">
        <f>(打分卡!$D$7*AC741+打分卡!$D$8*AD741+打分卡!$D$9*AE741)/5</f>
        <v>9.4</v>
      </c>
      <c r="AO741" s="46">
        <f>(打分卡!$D$10*AF741+打分卡!$D$11*AG741)/5</f>
        <v>8</v>
      </c>
      <c r="AP741" s="46">
        <f>(打分卡!$D$12*AH741+打分卡!$D$13*AI741+打分卡!$D$14*AJ741+打分卡!$D$15*AK741)/5</f>
        <v>18.8</v>
      </c>
      <c r="AQ741" s="46">
        <f>(打分卡!$D$16*AL741+打分卡!$D$17*AM741)/5</f>
        <v>6</v>
      </c>
      <c r="AR741" s="48">
        <f t="shared" si="90"/>
        <v>42.2</v>
      </c>
      <c r="AS741" s="45" t="str">
        <f t="shared" si="91"/>
        <v>腰部</v>
      </c>
      <c r="AT741" s="45" t="str">
        <f t="shared" si="92"/>
        <v/>
      </c>
      <c r="AU741" s="45" t="str">
        <f t="shared" si="93"/>
        <v>拉·主攻：主推AI外呼+大促作战包</v>
      </c>
    </row>
    <row r="742" ht="15" customHeight="1" spans="1:47">
      <c r="A742" s="30" t="s">
        <v>2157</v>
      </c>
      <c r="B742" s="31" t="s">
        <v>2158</v>
      </c>
      <c r="C742" s="31" t="s">
        <v>179</v>
      </c>
      <c r="D742" s="31" t="s">
        <v>235</v>
      </c>
      <c r="E742" s="31" t="s">
        <v>181</v>
      </c>
      <c r="F742" s="30" t="s">
        <v>1178</v>
      </c>
      <c r="G742" s="31">
        <v>23</v>
      </c>
      <c r="H742" s="31" t="s">
        <v>301</v>
      </c>
      <c r="I742" s="31" t="s">
        <v>302</v>
      </c>
      <c r="J742" s="33">
        <v>9700</v>
      </c>
      <c r="K742" s="33">
        <v>7200</v>
      </c>
      <c r="L742" s="33">
        <v>2500</v>
      </c>
      <c r="M742" s="33">
        <f t="shared" si="88"/>
        <v>19400</v>
      </c>
      <c r="N742" s="34">
        <f t="shared" si="94"/>
        <v>0.000101707213243328</v>
      </c>
      <c r="O742" s="35">
        <f>SUM($M$2:M742)</f>
        <v>186813100</v>
      </c>
      <c r="P742" s="34">
        <f t="shared" si="95"/>
        <v>0.97939380403851</v>
      </c>
      <c r="Q742" s="37">
        <v>2.1</v>
      </c>
      <c r="R742" s="31">
        <v>4</v>
      </c>
      <c r="S742" s="31">
        <v>1</v>
      </c>
      <c r="T742" s="31">
        <v>2</v>
      </c>
      <c r="U742" s="37">
        <v>38.1</v>
      </c>
      <c r="V742" s="31">
        <v>21</v>
      </c>
      <c r="W742" s="31">
        <v>0</v>
      </c>
      <c r="X742" s="38">
        <v>48</v>
      </c>
      <c r="Y742" s="31">
        <v>0</v>
      </c>
      <c r="Z742" s="31">
        <v>0</v>
      </c>
      <c r="AA742" s="31" t="s">
        <v>185</v>
      </c>
      <c r="AB742" s="31" t="s">
        <v>220</v>
      </c>
      <c r="AC742" s="41">
        <f>IFERROR(LOOKUP(M742,打分卡!$F$7:$J$7,打分卡!$K$7:$O$7),1)</f>
        <v>1</v>
      </c>
      <c r="AD742" s="41">
        <f>IFERROR(LOOKUP(S742,打分卡!$F$8:$J$8,打分卡!$K$8:$O$8),1)</f>
        <v>1</v>
      </c>
      <c r="AE742" s="41">
        <f>IFERROR(LOOKUP(T742,打分卡!$F$9:$I$9,打分卡!$K$9:$N$9),1)</f>
        <v>3</v>
      </c>
      <c r="AF742" s="41">
        <f>IFERROR(LOOKUP(Q742,打分卡!$F$10:$J$10,打分卡!$K$10:$O$10),1)</f>
        <v>1</v>
      </c>
      <c r="AG742" s="41">
        <f>IFERROR(LOOKUP(R742,打分卡!$F$11:$J$11,打分卡!$K$11:$O$11),1)</f>
        <v>2</v>
      </c>
      <c r="AH742" s="41">
        <f>IFERROR(LOOKUP(U742,打分卡!$F$12:$J$12,打分卡!$K$12:$O$12),1)</f>
        <v>4</v>
      </c>
      <c r="AI742" s="41">
        <f>IFERROR(LOOKUP(X742,打分卡!$F$13:$J$13,打分卡!$K$13:$O$13),1)</f>
        <v>3</v>
      </c>
      <c r="AJ742" s="41">
        <f>IFERROR(LOOKUP(Y742,打分卡!$F$14:$J$14,打分卡!$K$14:$O$14),1)</f>
        <v>1</v>
      </c>
      <c r="AK742" s="41">
        <f>IFERROR(LOOKUP(W742,打分卡!$F$15:$J$15,打分卡!$K$15:$O$15),1)</f>
        <v>1</v>
      </c>
      <c r="AL742" s="43">
        <f t="shared" si="89"/>
        <v>3</v>
      </c>
      <c r="AM742" s="41">
        <f>IFERROR(LOOKUP(Z742,打分卡!$F$17:$H$17,打分卡!$K$17:$M$17),1)</f>
        <v>1</v>
      </c>
      <c r="AN742" s="44">
        <f>(打分卡!$D$7*AC742+打分卡!$D$8*AD742+打分卡!$D$9*AE742)/5</f>
        <v>10.8</v>
      </c>
      <c r="AO742" s="44">
        <f>(打分卡!$D$10*AF742+打分卡!$D$11*AG742)/5</f>
        <v>6</v>
      </c>
      <c r="AP742" s="44">
        <f>(打分卡!$D$12*AH742+打分卡!$D$13*AI742+打分卡!$D$14*AJ742+打分卡!$D$15*AK742)/5</f>
        <v>16.4</v>
      </c>
      <c r="AQ742" s="44">
        <f>(打分卡!$D$16*AL742+打分卡!$D$17*AM742)/5</f>
        <v>4.4</v>
      </c>
      <c r="AR742" s="47">
        <f t="shared" si="90"/>
        <v>37.6</v>
      </c>
      <c r="AS742" s="43" t="str">
        <f t="shared" si="91"/>
        <v>基础长尾</v>
      </c>
      <c r="AT742" s="43" t="str">
        <f t="shared" si="92"/>
        <v/>
      </c>
      <c r="AU742" s="43" t="str">
        <f t="shared" si="93"/>
        <v>激活：企微+Push低成本先跑</v>
      </c>
    </row>
    <row r="743" ht="15" customHeight="1" spans="1:47">
      <c r="A743" s="20" t="s">
        <v>2159</v>
      </c>
      <c r="B743" s="22" t="s">
        <v>2160</v>
      </c>
      <c r="C743" s="22" t="s">
        <v>179</v>
      </c>
      <c r="D743" s="22" t="s">
        <v>202</v>
      </c>
      <c r="E743" s="22" t="s">
        <v>181</v>
      </c>
      <c r="F743" s="20" t="s">
        <v>1211</v>
      </c>
      <c r="G743" s="22">
        <v>5</v>
      </c>
      <c r="H743" s="22" t="s">
        <v>301</v>
      </c>
      <c r="I743" s="22" t="s">
        <v>184</v>
      </c>
      <c r="J743" s="36">
        <v>9500</v>
      </c>
      <c r="K743" s="36">
        <v>7100</v>
      </c>
      <c r="L743" s="36">
        <v>2700</v>
      </c>
      <c r="M743" s="36">
        <f t="shared" si="88"/>
        <v>19300</v>
      </c>
      <c r="N743" s="34">
        <f t="shared" si="94"/>
        <v>0.000101182949257537</v>
      </c>
      <c r="O743" s="35">
        <f>SUM($M$2:M743)</f>
        <v>186832400</v>
      </c>
      <c r="P743" s="34">
        <f t="shared" si="95"/>
        <v>0.979494986987768</v>
      </c>
      <c r="Q743" s="39">
        <v>1.9</v>
      </c>
      <c r="R743" s="22">
        <v>7</v>
      </c>
      <c r="S743" s="22">
        <v>3</v>
      </c>
      <c r="T743" s="22">
        <v>1</v>
      </c>
      <c r="U743" s="39">
        <v>8.4</v>
      </c>
      <c r="V743" s="22">
        <v>7</v>
      </c>
      <c r="W743" s="22">
        <v>4</v>
      </c>
      <c r="X743" s="40">
        <v>79</v>
      </c>
      <c r="Y743" s="22">
        <v>3</v>
      </c>
      <c r="Z743" s="22">
        <v>1</v>
      </c>
      <c r="AA743" s="22" t="s">
        <v>185</v>
      </c>
      <c r="AB743" s="22" t="s">
        <v>220</v>
      </c>
      <c r="AC743" s="42">
        <f>IFERROR(LOOKUP(M743,打分卡!$F$7:$J$7,打分卡!$K$7:$O$7),1)</f>
        <v>1</v>
      </c>
      <c r="AD743" s="42">
        <f>IFERROR(LOOKUP(S743,打分卡!$F$8:$J$8,打分卡!$K$8:$O$8),1)</f>
        <v>3</v>
      </c>
      <c r="AE743" s="42">
        <f>IFERROR(LOOKUP(T743,打分卡!$F$9:$I$9,打分卡!$K$9:$N$9),1)</f>
        <v>2</v>
      </c>
      <c r="AF743" s="42">
        <f>IFERROR(LOOKUP(Q743,打分卡!$F$10:$J$10,打分卡!$K$10:$O$10),1)</f>
        <v>1</v>
      </c>
      <c r="AG743" s="42">
        <f>IFERROR(LOOKUP(R743,打分卡!$F$11:$J$11,打分卡!$K$11:$O$11),1)</f>
        <v>3</v>
      </c>
      <c r="AH743" s="42">
        <f>IFERROR(LOOKUP(U743,打分卡!$F$12:$J$12,打分卡!$K$12:$O$12),1)</f>
        <v>2</v>
      </c>
      <c r="AI743" s="42">
        <f>IFERROR(LOOKUP(X743,打分卡!$F$13:$J$13,打分卡!$K$13:$O$13),1)</f>
        <v>3</v>
      </c>
      <c r="AJ743" s="42">
        <f>IFERROR(LOOKUP(Y743,打分卡!$F$14:$J$14,打分卡!$K$14:$O$14),1)</f>
        <v>4</v>
      </c>
      <c r="AK743" s="42">
        <f>IFERROR(LOOKUP(W743,打分卡!$F$15:$J$15,打分卡!$K$15:$O$15),1)</f>
        <v>3</v>
      </c>
      <c r="AL743" s="45">
        <f t="shared" si="89"/>
        <v>3</v>
      </c>
      <c r="AM743" s="42">
        <f>IFERROR(LOOKUP(Z743,打分卡!$F$17:$H$17,打分卡!$K$17:$M$17),1)</f>
        <v>3</v>
      </c>
      <c r="AN743" s="46">
        <f>(打分卡!$D$7*AC743+打分卡!$D$8*AD743+打分卡!$D$9*AE743)/5</f>
        <v>12.6</v>
      </c>
      <c r="AO743" s="46">
        <f>(打分卡!$D$10*AF743+打分卡!$D$11*AG743)/5</f>
        <v>8</v>
      </c>
      <c r="AP743" s="46">
        <f>(打分卡!$D$12*AH743+打分卡!$D$13*AI743+打分卡!$D$14*AJ743+打分卡!$D$15*AK743)/5</f>
        <v>16.8</v>
      </c>
      <c r="AQ743" s="46">
        <f>(打分卡!$D$16*AL743+打分卡!$D$17*AM743)/5</f>
        <v>6</v>
      </c>
      <c r="AR743" s="48">
        <f t="shared" si="90"/>
        <v>43.4</v>
      </c>
      <c r="AS743" s="45" t="str">
        <f t="shared" si="91"/>
        <v>腰部</v>
      </c>
      <c r="AT743" s="45" t="str">
        <f t="shared" si="92"/>
        <v/>
      </c>
      <c r="AU743" s="45" t="str">
        <f t="shared" si="93"/>
        <v>拉·主攻：主推AI外呼+大促作战包</v>
      </c>
    </row>
    <row r="744" ht="15" customHeight="1" spans="1:47">
      <c r="A744" s="30" t="s">
        <v>2161</v>
      </c>
      <c r="B744" s="31" t="s">
        <v>2162</v>
      </c>
      <c r="C744" s="31" t="s">
        <v>189</v>
      </c>
      <c r="D744" s="31" t="s">
        <v>196</v>
      </c>
      <c r="E744" s="31" t="s">
        <v>181</v>
      </c>
      <c r="F744" s="30" t="s">
        <v>2163</v>
      </c>
      <c r="G744" s="31">
        <v>12</v>
      </c>
      <c r="H744" s="31" t="s">
        <v>301</v>
      </c>
      <c r="I744" s="31" t="s">
        <v>302</v>
      </c>
      <c r="J744" s="33">
        <v>12100</v>
      </c>
      <c r="K744" s="33">
        <v>4800</v>
      </c>
      <c r="L744" s="33">
        <v>2300</v>
      </c>
      <c r="M744" s="33">
        <f t="shared" si="88"/>
        <v>19200</v>
      </c>
      <c r="N744" s="34">
        <f t="shared" si="94"/>
        <v>0.000100658685271747</v>
      </c>
      <c r="O744" s="35">
        <f>SUM($M$2:M744)</f>
        <v>186851600</v>
      </c>
      <c r="P744" s="34">
        <f t="shared" si="95"/>
        <v>0.97959564567304</v>
      </c>
      <c r="Q744" s="37">
        <v>2.6</v>
      </c>
      <c r="R744" s="31">
        <v>2</v>
      </c>
      <c r="S744" s="31">
        <v>3</v>
      </c>
      <c r="T744" s="31">
        <v>0</v>
      </c>
      <c r="U744" s="37">
        <v>1.2</v>
      </c>
      <c r="V744" s="31">
        <v>22</v>
      </c>
      <c r="W744" s="31">
        <v>2</v>
      </c>
      <c r="X744" s="38">
        <v>16</v>
      </c>
      <c r="Y744" s="31">
        <v>1</v>
      </c>
      <c r="Z744" s="31">
        <v>0</v>
      </c>
      <c r="AA744" s="31" t="s">
        <v>185</v>
      </c>
      <c r="AB744" s="31" t="s">
        <v>220</v>
      </c>
      <c r="AC744" s="41">
        <f>IFERROR(LOOKUP(M744,打分卡!$F$7:$J$7,打分卡!$K$7:$O$7),1)</f>
        <v>1</v>
      </c>
      <c r="AD744" s="41">
        <f>IFERROR(LOOKUP(S744,打分卡!$F$8:$J$8,打分卡!$K$8:$O$8),1)</f>
        <v>3</v>
      </c>
      <c r="AE744" s="41">
        <f>IFERROR(LOOKUP(T744,打分卡!$F$9:$I$9,打分卡!$K$9:$N$9),1)</f>
        <v>1</v>
      </c>
      <c r="AF744" s="41">
        <f>IFERROR(LOOKUP(Q744,打分卡!$F$10:$J$10,打分卡!$K$10:$O$10),1)</f>
        <v>2</v>
      </c>
      <c r="AG744" s="41">
        <f>IFERROR(LOOKUP(R744,打分卡!$F$11:$J$11,打分卡!$K$11:$O$11),1)</f>
        <v>1</v>
      </c>
      <c r="AH744" s="41">
        <f>IFERROR(LOOKUP(U744,打分卡!$F$12:$J$12,打分卡!$K$12:$O$12),1)</f>
        <v>1</v>
      </c>
      <c r="AI744" s="41">
        <f>IFERROR(LOOKUP(X744,打分卡!$F$13:$J$13,打分卡!$K$13:$O$13),1)</f>
        <v>1</v>
      </c>
      <c r="AJ744" s="41">
        <f>IFERROR(LOOKUP(Y744,打分卡!$F$14:$J$14,打分卡!$K$14:$O$14),1)</f>
        <v>2</v>
      </c>
      <c r="AK744" s="41">
        <f>IFERROR(LOOKUP(W744,打分卡!$F$15:$J$15,打分卡!$K$15:$O$15),1)</f>
        <v>2</v>
      </c>
      <c r="AL744" s="43">
        <f t="shared" si="89"/>
        <v>3</v>
      </c>
      <c r="AM744" s="41">
        <f>IFERROR(LOOKUP(Z744,打分卡!$F$17:$H$17,打分卡!$K$17:$M$17),1)</f>
        <v>1</v>
      </c>
      <c r="AN744" s="44">
        <f>(打分卡!$D$7*AC744+打分卡!$D$8*AD744+打分卡!$D$9*AE744)/5</f>
        <v>11.2</v>
      </c>
      <c r="AO744" s="44">
        <f>(打分卡!$D$10*AF744+打分卡!$D$11*AG744)/5</f>
        <v>6</v>
      </c>
      <c r="AP744" s="44">
        <f>(打分卡!$D$12*AH744+打分卡!$D$13*AI744+打分卡!$D$14*AJ744+打分卡!$D$15*AK744)/5</f>
        <v>8</v>
      </c>
      <c r="AQ744" s="44">
        <f>(打分卡!$D$16*AL744+打分卡!$D$17*AM744)/5</f>
        <v>4.4</v>
      </c>
      <c r="AR744" s="47">
        <f t="shared" si="90"/>
        <v>29.6</v>
      </c>
      <c r="AS744" s="43" t="str">
        <f t="shared" si="91"/>
        <v>基础长尾</v>
      </c>
      <c r="AT744" s="43" t="str">
        <f t="shared" si="92"/>
        <v/>
      </c>
      <c r="AU744" s="43" t="str">
        <f t="shared" si="93"/>
        <v>激活：企微+Push低成本先跑</v>
      </c>
    </row>
    <row r="745" ht="15" customHeight="1" spans="1:47">
      <c r="A745" s="20" t="s">
        <v>2164</v>
      </c>
      <c r="B745" s="22" t="s">
        <v>2165</v>
      </c>
      <c r="C745" s="22" t="s">
        <v>234</v>
      </c>
      <c r="D745" s="22" t="s">
        <v>235</v>
      </c>
      <c r="E745" s="22" t="s">
        <v>181</v>
      </c>
      <c r="F745" s="20" t="s">
        <v>1339</v>
      </c>
      <c r="G745" s="22">
        <v>7</v>
      </c>
      <c r="H745" s="22" t="s">
        <v>301</v>
      </c>
      <c r="I745" s="22" t="s">
        <v>302</v>
      </c>
      <c r="J745" s="36">
        <v>8700</v>
      </c>
      <c r="K745" s="36">
        <v>4200</v>
      </c>
      <c r="L745" s="36">
        <v>6300</v>
      </c>
      <c r="M745" s="36">
        <f t="shared" si="88"/>
        <v>19200</v>
      </c>
      <c r="N745" s="34">
        <f t="shared" si="94"/>
        <v>0.000100658685271747</v>
      </c>
      <c r="O745" s="35">
        <f>SUM($M$2:M745)</f>
        <v>186870800</v>
      </c>
      <c r="P745" s="34">
        <f t="shared" si="95"/>
        <v>0.979696304358311</v>
      </c>
      <c r="Q745" s="39">
        <v>1.3</v>
      </c>
      <c r="R745" s="22">
        <v>6</v>
      </c>
      <c r="S745" s="22">
        <v>1</v>
      </c>
      <c r="T745" s="22">
        <v>1</v>
      </c>
      <c r="U745" s="39">
        <v>2.8</v>
      </c>
      <c r="V745" s="22">
        <v>30</v>
      </c>
      <c r="W745" s="22">
        <v>4</v>
      </c>
      <c r="X745" s="40">
        <v>54</v>
      </c>
      <c r="Y745" s="22">
        <v>0</v>
      </c>
      <c r="Z745" s="22">
        <v>1</v>
      </c>
      <c r="AA745" s="22" t="s">
        <v>199</v>
      </c>
      <c r="AB745" s="22" t="s">
        <v>220</v>
      </c>
      <c r="AC745" s="42">
        <f>IFERROR(LOOKUP(M745,打分卡!$F$7:$J$7,打分卡!$K$7:$O$7),1)</f>
        <v>1</v>
      </c>
      <c r="AD745" s="42">
        <f>IFERROR(LOOKUP(S745,打分卡!$F$8:$J$8,打分卡!$K$8:$O$8),1)</f>
        <v>1</v>
      </c>
      <c r="AE745" s="42">
        <f>IFERROR(LOOKUP(T745,打分卡!$F$9:$I$9,打分卡!$K$9:$N$9),1)</f>
        <v>2</v>
      </c>
      <c r="AF745" s="42">
        <f>IFERROR(LOOKUP(Q745,打分卡!$F$10:$J$10,打分卡!$K$10:$O$10),1)</f>
        <v>1</v>
      </c>
      <c r="AG745" s="42">
        <f>IFERROR(LOOKUP(R745,打分卡!$F$11:$J$11,打分卡!$K$11:$O$11),1)</f>
        <v>3</v>
      </c>
      <c r="AH745" s="42">
        <f>IFERROR(LOOKUP(U745,打分卡!$F$12:$J$12,打分卡!$K$12:$O$12),1)</f>
        <v>2</v>
      </c>
      <c r="AI745" s="42">
        <f>IFERROR(LOOKUP(X745,打分卡!$F$13:$J$13,打分卡!$K$13:$O$13),1)</f>
        <v>3</v>
      </c>
      <c r="AJ745" s="42">
        <f>IFERROR(LOOKUP(Y745,打分卡!$F$14:$J$14,打分卡!$K$14:$O$14),1)</f>
        <v>1</v>
      </c>
      <c r="AK745" s="42">
        <f>IFERROR(LOOKUP(W745,打分卡!$F$15:$J$15,打分卡!$K$15:$O$15),1)</f>
        <v>3</v>
      </c>
      <c r="AL745" s="45">
        <f t="shared" si="89"/>
        <v>5</v>
      </c>
      <c r="AM745" s="42">
        <f>IFERROR(LOOKUP(Z745,打分卡!$F$17:$H$17,打分卡!$K$17:$M$17),1)</f>
        <v>3</v>
      </c>
      <c r="AN745" s="46">
        <f>(打分卡!$D$7*AC745+打分卡!$D$8*AD745+打分卡!$D$9*AE745)/5</f>
        <v>9.4</v>
      </c>
      <c r="AO745" s="46">
        <f>(打分卡!$D$10*AF745+打分卡!$D$11*AG745)/5</f>
        <v>8</v>
      </c>
      <c r="AP745" s="46">
        <f>(打分卡!$D$12*AH745+打分卡!$D$13*AI745+打分卡!$D$14*AJ745+打分卡!$D$15*AK745)/5</f>
        <v>13.2</v>
      </c>
      <c r="AQ745" s="46">
        <f>(打分卡!$D$16*AL745+打分卡!$D$17*AM745)/5</f>
        <v>8.4</v>
      </c>
      <c r="AR745" s="48">
        <f t="shared" si="90"/>
        <v>39</v>
      </c>
      <c r="AS745" s="45" t="str">
        <f t="shared" si="91"/>
        <v>基础长尾</v>
      </c>
      <c r="AT745" s="45" t="str">
        <f t="shared" si="92"/>
        <v/>
      </c>
      <c r="AU745" s="45" t="str">
        <f t="shared" si="93"/>
        <v>激活：企微+Push低成本先跑</v>
      </c>
    </row>
    <row r="746" ht="15" customHeight="1" spans="1:47">
      <c r="A746" s="30" t="s">
        <v>2166</v>
      </c>
      <c r="B746" s="31" t="s">
        <v>2167</v>
      </c>
      <c r="C746" s="31" t="s">
        <v>218</v>
      </c>
      <c r="D746" s="31" t="s">
        <v>196</v>
      </c>
      <c r="E746" s="31" t="s">
        <v>181</v>
      </c>
      <c r="F746" s="30" t="s">
        <v>2168</v>
      </c>
      <c r="G746" s="31">
        <v>11</v>
      </c>
      <c r="H746" s="31" t="s">
        <v>301</v>
      </c>
      <c r="I746" s="31" t="s">
        <v>302</v>
      </c>
      <c r="J746" s="33">
        <v>11900</v>
      </c>
      <c r="K746" s="33">
        <v>5300</v>
      </c>
      <c r="L746" s="33">
        <v>1900</v>
      </c>
      <c r="M746" s="33">
        <f t="shared" si="88"/>
        <v>19100</v>
      </c>
      <c r="N746" s="34">
        <f t="shared" si="94"/>
        <v>0.000100134421285957</v>
      </c>
      <c r="O746" s="35">
        <f>SUM($M$2:M746)</f>
        <v>186889900</v>
      </c>
      <c r="P746" s="34">
        <f t="shared" si="95"/>
        <v>0.979796438779597</v>
      </c>
      <c r="Q746" s="37">
        <v>1.9</v>
      </c>
      <c r="R746" s="31">
        <v>5</v>
      </c>
      <c r="S746" s="31">
        <v>3</v>
      </c>
      <c r="T746" s="31">
        <v>0</v>
      </c>
      <c r="U746" s="37">
        <v>10.7</v>
      </c>
      <c r="V746" s="31">
        <v>9</v>
      </c>
      <c r="W746" s="31">
        <v>4</v>
      </c>
      <c r="X746" s="38">
        <v>80</v>
      </c>
      <c r="Y746" s="31">
        <v>1</v>
      </c>
      <c r="Z746" s="31">
        <v>0</v>
      </c>
      <c r="AA746" s="31" t="s">
        <v>315</v>
      </c>
      <c r="AB746" s="31" t="s">
        <v>220</v>
      </c>
      <c r="AC746" s="41">
        <f>IFERROR(LOOKUP(M746,打分卡!$F$7:$J$7,打分卡!$K$7:$O$7),1)</f>
        <v>1</v>
      </c>
      <c r="AD746" s="41">
        <f>IFERROR(LOOKUP(S746,打分卡!$F$8:$J$8,打分卡!$K$8:$O$8),1)</f>
        <v>3</v>
      </c>
      <c r="AE746" s="41">
        <f>IFERROR(LOOKUP(T746,打分卡!$F$9:$I$9,打分卡!$K$9:$N$9),1)</f>
        <v>1</v>
      </c>
      <c r="AF746" s="41">
        <f>IFERROR(LOOKUP(Q746,打分卡!$F$10:$J$10,打分卡!$K$10:$O$10),1)</f>
        <v>1</v>
      </c>
      <c r="AG746" s="41">
        <f>IFERROR(LOOKUP(R746,打分卡!$F$11:$J$11,打分卡!$K$11:$O$11),1)</f>
        <v>3</v>
      </c>
      <c r="AH746" s="41">
        <f>IFERROR(LOOKUP(U746,打分卡!$F$12:$J$12,打分卡!$K$12:$O$12),1)</f>
        <v>3</v>
      </c>
      <c r="AI746" s="41">
        <f>IFERROR(LOOKUP(X746,打分卡!$F$13:$J$13,打分卡!$K$13:$O$13),1)</f>
        <v>3</v>
      </c>
      <c r="AJ746" s="41">
        <f>IFERROR(LOOKUP(Y746,打分卡!$F$14:$J$14,打分卡!$K$14:$O$14),1)</f>
        <v>2</v>
      </c>
      <c r="AK746" s="41">
        <f>IFERROR(LOOKUP(W746,打分卡!$F$15:$J$15,打分卡!$K$15:$O$15),1)</f>
        <v>3</v>
      </c>
      <c r="AL746" s="43">
        <f t="shared" si="89"/>
        <v>2</v>
      </c>
      <c r="AM746" s="41">
        <f>IFERROR(LOOKUP(Z746,打分卡!$F$17:$H$17,打分卡!$K$17:$M$17),1)</f>
        <v>1</v>
      </c>
      <c r="AN746" s="44">
        <f>(打分卡!$D$7*AC746+打分卡!$D$8*AD746+打分卡!$D$9*AE746)/5</f>
        <v>11.2</v>
      </c>
      <c r="AO746" s="44">
        <f>(打分卡!$D$10*AF746+打分卡!$D$11*AG746)/5</f>
        <v>8</v>
      </c>
      <c r="AP746" s="44">
        <f>(打分卡!$D$12*AH746+打分卡!$D$13*AI746+打分卡!$D$14*AJ746+打分卡!$D$15*AK746)/5</f>
        <v>16.8</v>
      </c>
      <c r="AQ746" s="44">
        <f>(打分卡!$D$16*AL746+打分卡!$D$17*AM746)/5</f>
        <v>3.2</v>
      </c>
      <c r="AR746" s="47">
        <f t="shared" si="90"/>
        <v>39.2</v>
      </c>
      <c r="AS746" s="43" t="str">
        <f t="shared" si="91"/>
        <v>基础长尾</v>
      </c>
      <c r="AT746" s="43" t="str">
        <f t="shared" si="92"/>
        <v/>
      </c>
      <c r="AU746" s="43" t="str">
        <f t="shared" si="93"/>
        <v>激活：企微+Push低成本先跑</v>
      </c>
    </row>
    <row r="747" ht="15" customHeight="1" spans="1:47">
      <c r="A747" s="20" t="s">
        <v>2169</v>
      </c>
      <c r="B747" s="22" t="s">
        <v>2170</v>
      </c>
      <c r="C747" s="22" t="s">
        <v>234</v>
      </c>
      <c r="D747" s="22" t="s">
        <v>202</v>
      </c>
      <c r="E747" s="22" t="s">
        <v>181</v>
      </c>
      <c r="F747" s="20" t="s">
        <v>2171</v>
      </c>
      <c r="G747" s="22">
        <v>13</v>
      </c>
      <c r="H747" s="22" t="s">
        <v>301</v>
      </c>
      <c r="I747" s="22" t="s">
        <v>184</v>
      </c>
      <c r="J747" s="36">
        <v>9800</v>
      </c>
      <c r="K747" s="36">
        <v>6000</v>
      </c>
      <c r="L747" s="36">
        <v>3400</v>
      </c>
      <c r="M747" s="36">
        <f t="shared" si="88"/>
        <v>19200</v>
      </c>
      <c r="N747" s="34">
        <f t="shared" si="94"/>
        <v>0.000100658685271747</v>
      </c>
      <c r="O747" s="35">
        <f>SUM($M$2:M747)</f>
        <v>186909100</v>
      </c>
      <c r="P747" s="34">
        <f t="shared" si="95"/>
        <v>0.979897097464869</v>
      </c>
      <c r="Q747" s="39">
        <v>2.6</v>
      </c>
      <c r="R747" s="22">
        <v>3</v>
      </c>
      <c r="S747" s="22">
        <v>2</v>
      </c>
      <c r="T747" s="22">
        <v>0</v>
      </c>
      <c r="U747" s="39">
        <v>13.5</v>
      </c>
      <c r="V747" s="22">
        <v>21</v>
      </c>
      <c r="W747" s="22">
        <v>3</v>
      </c>
      <c r="X747" s="40">
        <v>82</v>
      </c>
      <c r="Y747" s="22">
        <v>3</v>
      </c>
      <c r="Z747" s="22">
        <v>1</v>
      </c>
      <c r="AA747" s="22" t="s">
        <v>185</v>
      </c>
      <c r="AB747" s="22" t="s">
        <v>220</v>
      </c>
      <c r="AC747" s="42">
        <f>IFERROR(LOOKUP(M747,打分卡!$F$7:$J$7,打分卡!$K$7:$O$7),1)</f>
        <v>1</v>
      </c>
      <c r="AD747" s="42">
        <f>IFERROR(LOOKUP(S747,打分卡!$F$8:$J$8,打分卡!$K$8:$O$8),1)</f>
        <v>2</v>
      </c>
      <c r="AE747" s="42">
        <f>IFERROR(LOOKUP(T747,打分卡!$F$9:$I$9,打分卡!$K$9:$N$9),1)</f>
        <v>1</v>
      </c>
      <c r="AF747" s="42">
        <f>IFERROR(LOOKUP(Q747,打分卡!$F$10:$J$10,打分卡!$K$10:$O$10),1)</f>
        <v>2</v>
      </c>
      <c r="AG747" s="42">
        <f>IFERROR(LOOKUP(R747,打分卡!$F$11:$J$11,打分卡!$K$11:$O$11),1)</f>
        <v>2</v>
      </c>
      <c r="AH747" s="42">
        <f>IFERROR(LOOKUP(U747,打分卡!$F$12:$J$12,打分卡!$K$12:$O$12),1)</f>
        <v>3</v>
      </c>
      <c r="AI747" s="42">
        <f>IFERROR(LOOKUP(X747,打分卡!$F$13:$J$13,打分卡!$K$13:$O$13),1)</f>
        <v>4</v>
      </c>
      <c r="AJ747" s="42">
        <f>IFERROR(LOOKUP(Y747,打分卡!$F$14:$J$14,打分卡!$K$14:$O$14),1)</f>
        <v>4</v>
      </c>
      <c r="AK747" s="42">
        <f>IFERROR(LOOKUP(W747,打分卡!$F$15:$J$15,打分卡!$K$15:$O$15),1)</f>
        <v>3</v>
      </c>
      <c r="AL747" s="45">
        <f t="shared" si="89"/>
        <v>3</v>
      </c>
      <c r="AM747" s="42">
        <f>IFERROR(LOOKUP(Z747,打分卡!$F$17:$H$17,打分卡!$K$17:$M$17),1)</f>
        <v>3</v>
      </c>
      <c r="AN747" s="46">
        <f>(打分卡!$D$7*AC747+打分卡!$D$8*AD747+打分卡!$D$9*AE747)/5</f>
        <v>9.6</v>
      </c>
      <c r="AO747" s="46">
        <f>(打分卡!$D$10*AF747+打分卡!$D$11*AG747)/5</f>
        <v>8</v>
      </c>
      <c r="AP747" s="46">
        <f>(打分卡!$D$12*AH747+打分卡!$D$13*AI747+打分卡!$D$14*AJ747+打分卡!$D$15*AK747)/5</f>
        <v>20.8</v>
      </c>
      <c r="AQ747" s="46">
        <f>(打分卡!$D$16*AL747+打分卡!$D$17*AM747)/5</f>
        <v>6</v>
      </c>
      <c r="AR747" s="48">
        <f t="shared" si="90"/>
        <v>44.4</v>
      </c>
      <c r="AS747" s="45" t="str">
        <f t="shared" si="91"/>
        <v>腰部</v>
      </c>
      <c r="AT747" s="45" t="str">
        <f t="shared" si="92"/>
        <v/>
      </c>
      <c r="AU747" s="45" t="str">
        <f t="shared" si="93"/>
        <v>拉·主攻：主推AI外呼+大促作战包</v>
      </c>
    </row>
    <row r="748" ht="15" customHeight="1" spans="1:47">
      <c r="A748" s="30" t="s">
        <v>2172</v>
      </c>
      <c r="B748" s="31" t="s">
        <v>2173</v>
      </c>
      <c r="C748" s="31" t="s">
        <v>189</v>
      </c>
      <c r="D748" s="31" t="s">
        <v>252</v>
      </c>
      <c r="E748" s="31" t="s">
        <v>181</v>
      </c>
      <c r="F748" s="30" t="s">
        <v>1666</v>
      </c>
      <c r="G748" s="31">
        <v>14</v>
      </c>
      <c r="H748" s="31" t="s">
        <v>301</v>
      </c>
      <c r="I748" s="31" t="s">
        <v>302</v>
      </c>
      <c r="J748" s="33">
        <v>8600</v>
      </c>
      <c r="K748" s="33">
        <v>4300</v>
      </c>
      <c r="L748" s="33">
        <v>6100</v>
      </c>
      <c r="M748" s="33">
        <f t="shared" si="88"/>
        <v>19000</v>
      </c>
      <c r="N748" s="34">
        <f t="shared" si="94"/>
        <v>9.96101573001663e-5</v>
      </c>
      <c r="O748" s="35">
        <f>SUM($M$2:M748)</f>
        <v>186928100</v>
      </c>
      <c r="P748" s="34">
        <f t="shared" si="95"/>
        <v>0.979996707622169</v>
      </c>
      <c r="Q748" s="37">
        <v>3</v>
      </c>
      <c r="R748" s="31">
        <v>6</v>
      </c>
      <c r="S748" s="31">
        <v>2</v>
      </c>
      <c r="T748" s="31">
        <v>2</v>
      </c>
      <c r="U748" s="37">
        <v>1.7</v>
      </c>
      <c r="V748" s="31">
        <v>16</v>
      </c>
      <c r="W748" s="31">
        <v>0</v>
      </c>
      <c r="X748" s="38">
        <v>43</v>
      </c>
      <c r="Y748" s="31">
        <v>0</v>
      </c>
      <c r="Z748" s="31">
        <v>1</v>
      </c>
      <c r="AA748" s="31" t="s">
        <v>315</v>
      </c>
      <c r="AB748" s="31" t="s">
        <v>220</v>
      </c>
      <c r="AC748" s="41">
        <f>IFERROR(LOOKUP(M748,打分卡!$F$7:$J$7,打分卡!$K$7:$O$7),1)</f>
        <v>1</v>
      </c>
      <c r="AD748" s="41">
        <f>IFERROR(LOOKUP(S748,打分卡!$F$8:$J$8,打分卡!$K$8:$O$8),1)</f>
        <v>2</v>
      </c>
      <c r="AE748" s="41">
        <f>IFERROR(LOOKUP(T748,打分卡!$F$9:$I$9,打分卡!$K$9:$N$9),1)</f>
        <v>3</v>
      </c>
      <c r="AF748" s="41">
        <f>IFERROR(LOOKUP(Q748,打分卡!$F$10:$J$10,打分卡!$K$10:$O$10),1)</f>
        <v>2</v>
      </c>
      <c r="AG748" s="41">
        <f>IFERROR(LOOKUP(R748,打分卡!$F$11:$J$11,打分卡!$K$11:$O$11),1)</f>
        <v>3</v>
      </c>
      <c r="AH748" s="41">
        <f>IFERROR(LOOKUP(U748,打分卡!$F$12:$J$12,打分卡!$K$12:$O$12),1)</f>
        <v>1</v>
      </c>
      <c r="AI748" s="41">
        <f>IFERROR(LOOKUP(X748,打分卡!$F$13:$J$13,打分卡!$K$13:$O$13),1)</f>
        <v>3</v>
      </c>
      <c r="AJ748" s="41">
        <f>IFERROR(LOOKUP(Y748,打分卡!$F$14:$J$14,打分卡!$K$14:$O$14),1)</f>
        <v>1</v>
      </c>
      <c r="AK748" s="41">
        <f>IFERROR(LOOKUP(W748,打分卡!$F$15:$J$15,打分卡!$K$15:$O$15),1)</f>
        <v>1</v>
      </c>
      <c r="AL748" s="43">
        <f t="shared" si="89"/>
        <v>2</v>
      </c>
      <c r="AM748" s="41">
        <f>IFERROR(LOOKUP(Z748,打分卡!$F$17:$H$17,打分卡!$K$17:$M$17),1)</f>
        <v>3</v>
      </c>
      <c r="AN748" s="44">
        <f>(打分卡!$D$7*AC748+打分卡!$D$8*AD748+打分卡!$D$9*AE748)/5</f>
        <v>12.4</v>
      </c>
      <c r="AO748" s="44">
        <f>(打分卡!$D$10*AF748+打分卡!$D$11*AG748)/5</f>
        <v>10</v>
      </c>
      <c r="AP748" s="44">
        <f>(打分卡!$D$12*AH748+打分卡!$D$13*AI748+打分卡!$D$14*AJ748+打分卡!$D$15*AK748)/5</f>
        <v>9.2</v>
      </c>
      <c r="AQ748" s="44">
        <f>(打分卡!$D$16*AL748+打分卡!$D$17*AM748)/5</f>
        <v>4.8</v>
      </c>
      <c r="AR748" s="47">
        <f t="shared" si="90"/>
        <v>36.4</v>
      </c>
      <c r="AS748" s="43" t="str">
        <f t="shared" si="91"/>
        <v>基础长尾</v>
      </c>
      <c r="AT748" s="43" t="str">
        <f t="shared" si="92"/>
        <v/>
      </c>
      <c r="AU748" s="43" t="str">
        <f t="shared" si="93"/>
        <v>激活：企微+Push低成本先跑</v>
      </c>
    </row>
    <row r="749" ht="15" customHeight="1" spans="1:47">
      <c r="A749" s="20" t="s">
        <v>2174</v>
      </c>
      <c r="B749" s="22" t="s">
        <v>2175</v>
      </c>
      <c r="C749" s="22" t="s">
        <v>189</v>
      </c>
      <c r="D749" s="22" t="s">
        <v>235</v>
      </c>
      <c r="E749" s="22" t="s">
        <v>181</v>
      </c>
      <c r="F749" s="20" t="s">
        <v>1049</v>
      </c>
      <c r="G749" s="22">
        <v>14</v>
      </c>
      <c r="H749" s="22" t="s">
        <v>301</v>
      </c>
      <c r="I749" s="22" t="s">
        <v>302</v>
      </c>
      <c r="J749" s="36">
        <v>10100</v>
      </c>
      <c r="K749" s="36">
        <v>4000</v>
      </c>
      <c r="L749" s="36">
        <v>4900</v>
      </c>
      <c r="M749" s="36">
        <f t="shared" si="88"/>
        <v>19000</v>
      </c>
      <c r="N749" s="34">
        <f t="shared" si="94"/>
        <v>9.96101573001663e-5</v>
      </c>
      <c r="O749" s="35">
        <f>SUM($M$2:M749)</f>
        <v>186947100</v>
      </c>
      <c r="P749" s="34">
        <f t="shared" si="95"/>
        <v>0.980096317779469</v>
      </c>
      <c r="Q749" s="39">
        <v>2.2</v>
      </c>
      <c r="R749" s="22">
        <v>5</v>
      </c>
      <c r="S749" s="22">
        <v>1</v>
      </c>
      <c r="T749" s="22">
        <v>2</v>
      </c>
      <c r="U749" s="39">
        <v>12.9</v>
      </c>
      <c r="V749" s="22">
        <v>7</v>
      </c>
      <c r="W749" s="22">
        <v>0</v>
      </c>
      <c r="X749" s="40">
        <v>21</v>
      </c>
      <c r="Y749" s="22">
        <v>2</v>
      </c>
      <c r="Z749" s="22">
        <v>0</v>
      </c>
      <c r="AA749" s="22" t="s">
        <v>185</v>
      </c>
      <c r="AB749" s="22" t="s">
        <v>220</v>
      </c>
      <c r="AC749" s="42">
        <f>IFERROR(LOOKUP(M749,打分卡!$F$7:$J$7,打分卡!$K$7:$O$7),1)</f>
        <v>1</v>
      </c>
      <c r="AD749" s="42">
        <f>IFERROR(LOOKUP(S749,打分卡!$F$8:$J$8,打分卡!$K$8:$O$8),1)</f>
        <v>1</v>
      </c>
      <c r="AE749" s="42">
        <f>IFERROR(LOOKUP(T749,打分卡!$F$9:$I$9,打分卡!$K$9:$N$9),1)</f>
        <v>3</v>
      </c>
      <c r="AF749" s="42">
        <f>IFERROR(LOOKUP(Q749,打分卡!$F$10:$J$10,打分卡!$K$10:$O$10),1)</f>
        <v>1</v>
      </c>
      <c r="AG749" s="42">
        <f>IFERROR(LOOKUP(R749,打分卡!$F$11:$J$11,打分卡!$K$11:$O$11),1)</f>
        <v>3</v>
      </c>
      <c r="AH749" s="42">
        <f>IFERROR(LOOKUP(U749,打分卡!$F$12:$J$12,打分卡!$K$12:$O$12),1)</f>
        <v>3</v>
      </c>
      <c r="AI749" s="42">
        <f>IFERROR(LOOKUP(X749,打分卡!$F$13:$J$13,打分卡!$K$13:$O$13),1)</f>
        <v>2</v>
      </c>
      <c r="AJ749" s="42">
        <f>IFERROR(LOOKUP(Y749,打分卡!$F$14:$J$14,打分卡!$K$14:$O$14),1)</f>
        <v>3</v>
      </c>
      <c r="AK749" s="42">
        <f>IFERROR(LOOKUP(W749,打分卡!$F$15:$J$15,打分卡!$K$15:$O$15),1)</f>
        <v>1</v>
      </c>
      <c r="AL749" s="45">
        <f t="shared" si="89"/>
        <v>3</v>
      </c>
      <c r="AM749" s="42">
        <f>IFERROR(LOOKUP(Z749,打分卡!$F$17:$H$17,打分卡!$K$17:$M$17),1)</f>
        <v>1</v>
      </c>
      <c r="AN749" s="46">
        <f>(打分卡!$D$7*AC749+打分卡!$D$8*AD749+打分卡!$D$9*AE749)/5</f>
        <v>10.8</v>
      </c>
      <c r="AO749" s="46">
        <f>(打分卡!$D$10*AF749+打分卡!$D$11*AG749)/5</f>
        <v>8</v>
      </c>
      <c r="AP749" s="46">
        <f>(打分卡!$D$12*AH749+打分卡!$D$13*AI749+打分卡!$D$14*AJ749+打分卡!$D$15*AK749)/5</f>
        <v>14.8</v>
      </c>
      <c r="AQ749" s="46">
        <f>(打分卡!$D$16*AL749+打分卡!$D$17*AM749)/5</f>
        <v>4.4</v>
      </c>
      <c r="AR749" s="48">
        <f t="shared" si="90"/>
        <v>38</v>
      </c>
      <c r="AS749" s="45" t="str">
        <f t="shared" si="91"/>
        <v>基础长尾</v>
      </c>
      <c r="AT749" s="45" t="str">
        <f t="shared" si="92"/>
        <v/>
      </c>
      <c r="AU749" s="45" t="str">
        <f t="shared" si="93"/>
        <v>激活：企微+Push低成本先跑</v>
      </c>
    </row>
    <row r="750" ht="15" customHeight="1" spans="1:47">
      <c r="A750" s="30" t="s">
        <v>2176</v>
      </c>
      <c r="B750" s="31" t="s">
        <v>2177</v>
      </c>
      <c r="C750" s="31" t="s">
        <v>218</v>
      </c>
      <c r="D750" s="31" t="s">
        <v>235</v>
      </c>
      <c r="E750" s="31" t="s">
        <v>181</v>
      </c>
      <c r="F750" s="30" t="s">
        <v>2178</v>
      </c>
      <c r="G750" s="31">
        <v>6</v>
      </c>
      <c r="H750" s="31" t="s">
        <v>301</v>
      </c>
      <c r="I750" s="31" t="s">
        <v>302</v>
      </c>
      <c r="J750" s="33">
        <v>10300</v>
      </c>
      <c r="K750" s="33">
        <v>5400</v>
      </c>
      <c r="L750" s="33">
        <v>3200</v>
      </c>
      <c r="M750" s="33">
        <f t="shared" si="88"/>
        <v>18900</v>
      </c>
      <c r="N750" s="34">
        <f t="shared" si="94"/>
        <v>9.9085893314376e-5</v>
      </c>
      <c r="O750" s="35">
        <f>SUM($M$2:M750)</f>
        <v>186966000</v>
      </c>
      <c r="P750" s="34">
        <f t="shared" si="95"/>
        <v>0.980195403672784</v>
      </c>
      <c r="Q750" s="37">
        <v>1.7</v>
      </c>
      <c r="R750" s="31">
        <v>2</v>
      </c>
      <c r="S750" s="31">
        <v>1</v>
      </c>
      <c r="T750" s="31">
        <v>1</v>
      </c>
      <c r="U750" s="37">
        <v>10.1</v>
      </c>
      <c r="V750" s="31">
        <v>19</v>
      </c>
      <c r="W750" s="31">
        <v>3</v>
      </c>
      <c r="X750" s="38">
        <v>56</v>
      </c>
      <c r="Y750" s="31">
        <v>0</v>
      </c>
      <c r="Z750" s="31">
        <v>0</v>
      </c>
      <c r="AA750" s="31" t="s">
        <v>315</v>
      </c>
      <c r="AB750" s="31" t="s">
        <v>220</v>
      </c>
      <c r="AC750" s="41">
        <f>IFERROR(LOOKUP(M750,打分卡!$F$7:$J$7,打分卡!$K$7:$O$7),1)</f>
        <v>1</v>
      </c>
      <c r="AD750" s="41">
        <f>IFERROR(LOOKUP(S750,打分卡!$F$8:$J$8,打分卡!$K$8:$O$8),1)</f>
        <v>1</v>
      </c>
      <c r="AE750" s="41">
        <f>IFERROR(LOOKUP(T750,打分卡!$F$9:$I$9,打分卡!$K$9:$N$9),1)</f>
        <v>2</v>
      </c>
      <c r="AF750" s="41">
        <f>IFERROR(LOOKUP(Q750,打分卡!$F$10:$J$10,打分卡!$K$10:$O$10),1)</f>
        <v>1</v>
      </c>
      <c r="AG750" s="41">
        <f>IFERROR(LOOKUP(R750,打分卡!$F$11:$J$11,打分卡!$K$11:$O$11),1)</f>
        <v>1</v>
      </c>
      <c r="AH750" s="41">
        <f>IFERROR(LOOKUP(U750,打分卡!$F$12:$J$12,打分卡!$K$12:$O$12),1)</f>
        <v>2</v>
      </c>
      <c r="AI750" s="41">
        <f>IFERROR(LOOKUP(X750,打分卡!$F$13:$J$13,打分卡!$K$13:$O$13),1)</f>
        <v>3</v>
      </c>
      <c r="AJ750" s="41">
        <f>IFERROR(LOOKUP(Y750,打分卡!$F$14:$J$14,打分卡!$K$14:$O$14),1)</f>
        <v>1</v>
      </c>
      <c r="AK750" s="41">
        <f>IFERROR(LOOKUP(W750,打分卡!$F$15:$J$15,打分卡!$K$15:$O$15),1)</f>
        <v>3</v>
      </c>
      <c r="AL750" s="43">
        <f t="shared" si="89"/>
        <v>2</v>
      </c>
      <c r="AM750" s="41">
        <f>IFERROR(LOOKUP(Z750,打分卡!$F$17:$H$17,打分卡!$K$17:$M$17),1)</f>
        <v>1</v>
      </c>
      <c r="AN750" s="44">
        <f>(打分卡!$D$7*AC750+打分卡!$D$8*AD750+打分卡!$D$9*AE750)/5</f>
        <v>9.4</v>
      </c>
      <c r="AO750" s="44">
        <f>(打分卡!$D$10*AF750+打分卡!$D$11*AG750)/5</f>
        <v>4</v>
      </c>
      <c r="AP750" s="44">
        <f>(打分卡!$D$12*AH750+打分卡!$D$13*AI750+打分卡!$D$14*AJ750+打分卡!$D$15*AK750)/5</f>
        <v>13.2</v>
      </c>
      <c r="AQ750" s="44">
        <f>(打分卡!$D$16*AL750+打分卡!$D$17*AM750)/5</f>
        <v>3.2</v>
      </c>
      <c r="AR750" s="47">
        <f t="shared" si="90"/>
        <v>29.8</v>
      </c>
      <c r="AS750" s="43" t="str">
        <f t="shared" si="91"/>
        <v>基础长尾</v>
      </c>
      <c r="AT750" s="43" t="str">
        <f t="shared" si="92"/>
        <v/>
      </c>
      <c r="AU750" s="43" t="str">
        <f t="shared" si="93"/>
        <v>激活：企微+Push低成本先跑</v>
      </c>
    </row>
    <row r="751" ht="15" customHeight="1" spans="1:47">
      <c r="A751" s="20" t="s">
        <v>2179</v>
      </c>
      <c r="B751" s="22" t="s">
        <v>2180</v>
      </c>
      <c r="C751" s="22" t="s">
        <v>195</v>
      </c>
      <c r="D751" s="22" t="s">
        <v>196</v>
      </c>
      <c r="E751" s="22" t="s">
        <v>181</v>
      </c>
      <c r="F751" s="20" t="s">
        <v>2122</v>
      </c>
      <c r="G751" s="22">
        <v>9</v>
      </c>
      <c r="H751" s="22" t="s">
        <v>301</v>
      </c>
      <c r="I751" s="22" t="s">
        <v>184</v>
      </c>
      <c r="J751" s="36">
        <v>10100</v>
      </c>
      <c r="K751" s="36">
        <v>4100</v>
      </c>
      <c r="L751" s="36">
        <v>4700</v>
      </c>
      <c r="M751" s="36">
        <f t="shared" si="88"/>
        <v>18900</v>
      </c>
      <c r="N751" s="34">
        <f t="shared" si="94"/>
        <v>9.9085893314376e-5</v>
      </c>
      <c r="O751" s="35">
        <f>SUM($M$2:M751)</f>
        <v>186984900</v>
      </c>
      <c r="P751" s="34">
        <f t="shared" si="95"/>
        <v>0.980294489566098</v>
      </c>
      <c r="Q751" s="39">
        <v>1.8</v>
      </c>
      <c r="R751" s="22">
        <v>9</v>
      </c>
      <c r="S751" s="22">
        <v>1</v>
      </c>
      <c r="T751" s="22">
        <v>1</v>
      </c>
      <c r="U751" s="39">
        <v>32.9</v>
      </c>
      <c r="V751" s="22">
        <v>27</v>
      </c>
      <c r="W751" s="22">
        <v>4</v>
      </c>
      <c r="X751" s="40">
        <v>31</v>
      </c>
      <c r="Y751" s="22">
        <v>2</v>
      </c>
      <c r="Z751" s="22">
        <v>0</v>
      </c>
      <c r="AA751" s="22" t="s">
        <v>315</v>
      </c>
      <c r="AB751" s="22" t="s">
        <v>220</v>
      </c>
      <c r="AC751" s="42">
        <f>IFERROR(LOOKUP(M751,打分卡!$F$7:$J$7,打分卡!$K$7:$O$7),1)</f>
        <v>1</v>
      </c>
      <c r="AD751" s="42">
        <f>IFERROR(LOOKUP(S751,打分卡!$F$8:$J$8,打分卡!$K$8:$O$8),1)</f>
        <v>1</v>
      </c>
      <c r="AE751" s="42">
        <f>IFERROR(LOOKUP(T751,打分卡!$F$9:$I$9,打分卡!$K$9:$N$9),1)</f>
        <v>2</v>
      </c>
      <c r="AF751" s="42">
        <f>IFERROR(LOOKUP(Q751,打分卡!$F$10:$J$10,打分卡!$K$10:$O$10),1)</f>
        <v>1</v>
      </c>
      <c r="AG751" s="42">
        <f>IFERROR(LOOKUP(R751,打分卡!$F$11:$J$11,打分卡!$K$11:$O$11),1)</f>
        <v>4</v>
      </c>
      <c r="AH751" s="42">
        <f>IFERROR(LOOKUP(U751,打分卡!$F$12:$J$12,打分卡!$K$12:$O$12),1)</f>
        <v>3</v>
      </c>
      <c r="AI751" s="42">
        <f>IFERROR(LOOKUP(X751,打分卡!$F$13:$J$13,打分卡!$K$13:$O$13),1)</f>
        <v>2</v>
      </c>
      <c r="AJ751" s="42">
        <f>IFERROR(LOOKUP(Y751,打分卡!$F$14:$J$14,打分卡!$K$14:$O$14),1)</f>
        <v>3</v>
      </c>
      <c r="AK751" s="42">
        <f>IFERROR(LOOKUP(W751,打分卡!$F$15:$J$15,打分卡!$K$15:$O$15),1)</f>
        <v>3</v>
      </c>
      <c r="AL751" s="45">
        <f t="shared" si="89"/>
        <v>2</v>
      </c>
      <c r="AM751" s="42">
        <f>IFERROR(LOOKUP(Z751,打分卡!$F$17:$H$17,打分卡!$K$17:$M$17),1)</f>
        <v>1</v>
      </c>
      <c r="AN751" s="46">
        <f>(打分卡!$D$7*AC751+打分卡!$D$8*AD751+打分卡!$D$9*AE751)/5</f>
        <v>9.4</v>
      </c>
      <c r="AO751" s="46">
        <f>(打分卡!$D$10*AF751+打分卡!$D$11*AG751)/5</f>
        <v>10</v>
      </c>
      <c r="AP751" s="46">
        <f>(打分卡!$D$12*AH751+打分卡!$D$13*AI751+打分卡!$D$14*AJ751+打分卡!$D$15*AK751)/5</f>
        <v>16.4</v>
      </c>
      <c r="AQ751" s="46">
        <f>(打分卡!$D$16*AL751+打分卡!$D$17*AM751)/5</f>
        <v>3.2</v>
      </c>
      <c r="AR751" s="48">
        <f t="shared" si="90"/>
        <v>39</v>
      </c>
      <c r="AS751" s="45" t="str">
        <f t="shared" si="91"/>
        <v>基础长尾</v>
      </c>
      <c r="AT751" s="45" t="str">
        <f t="shared" si="92"/>
        <v/>
      </c>
      <c r="AU751" s="45" t="str">
        <f t="shared" si="93"/>
        <v>激活：企微+Push低成本先跑</v>
      </c>
    </row>
    <row r="752" ht="15" customHeight="1" spans="1:47">
      <c r="A752" s="30" t="s">
        <v>2181</v>
      </c>
      <c r="B752" s="31" t="s">
        <v>2182</v>
      </c>
      <c r="C752" s="31" t="s">
        <v>195</v>
      </c>
      <c r="D752" s="31" t="s">
        <v>235</v>
      </c>
      <c r="E752" s="31" t="s">
        <v>181</v>
      </c>
      <c r="F752" s="30" t="s">
        <v>2183</v>
      </c>
      <c r="G752" s="31">
        <v>11</v>
      </c>
      <c r="H752" s="31" t="s">
        <v>301</v>
      </c>
      <c r="I752" s="31" t="s">
        <v>184</v>
      </c>
      <c r="J752" s="33">
        <v>9200</v>
      </c>
      <c r="K752" s="33">
        <v>5300</v>
      </c>
      <c r="L752" s="33">
        <v>4300</v>
      </c>
      <c r="M752" s="33">
        <f t="shared" si="88"/>
        <v>18800</v>
      </c>
      <c r="N752" s="34">
        <f t="shared" si="94"/>
        <v>9.85616293285856e-5</v>
      </c>
      <c r="O752" s="35">
        <f>SUM($M$2:M752)</f>
        <v>187003700</v>
      </c>
      <c r="P752" s="34">
        <f t="shared" si="95"/>
        <v>0.980393051195427</v>
      </c>
      <c r="Q752" s="37">
        <v>2</v>
      </c>
      <c r="R752" s="31">
        <v>6</v>
      </c>
      <c r="S752" s="31">
        <v>2</v>
      </c>
      <c r="T752" s="31">
        <v>2</v>
      </c>
      <c r="U752" s="37">
        <v>9</v>
      </c>
      <c r="V752" s="31">
        <v>9</v>
      </c>
      <c r="W752" s="31">
        <v>2</v>
      </c>
      <c r="X752" s="38">
        <v>43</v>
      </c>
      <c r="Y752" s="31">
        <v>3</v>
      </c>
      <c r="Z752" s="31">
        <v>0</v>
      </c>
      <c r="AA752" s="31" t="s">
        <v>185</v>
      </c>
      <c r="AB752" s="31" t="s">
        <v>220</v>
      </c>
      <c r="AC752" s="41">
        <f>IFERROR(LOOKUP(M752,打分卡!$F$7:$J$7,打分卡!$K$7:$O$7),1)</f>
        <v>1</v>
      </c>
      <c r="AD752" s="41">
        <f>IFERROR(LOOKUP(S752,打分卡!$F$8:$J$8,打分卡!$K$8:$O$8),1)</f>
        <v>2</v>
      </c>
      <c r="AE752" s="41">
        <f>IFERROR(LOOKUP(T752,打分卡!$F$9:$I$9,打分卡!$K$9:$N$9),1)</f>
        <v>3</v>
      </c>
      <c r="AF752" s="41">
        <f>IFERROR(LOOKUP(Q752,打分卡!$F$10:$J$10,打分卡!$K$10:$O$10),1)</f>
        <v>1</v>
      </c>
      <c r="AG752" s="41">
        <f>IFERROR(LOOKUP(R752,打分卡!$F$11:$J$11,打分卡!$K$11:$O$11),1)</f>
        <v>3</v>
      </c>
      <c r="AH752" s="41">
        <f>IFERROR(LOOKUP(U752,打分卡!$F$12:$J$12,打分卡!$K$12:$O$12),1)</f>
        <v>2</v>
      </c>
      <c r="AI752" s="41">
        <f>IFERROR(LOOKUP(X752,打分卡!$F$13:$J$13,打分卡!$K$13:$O$13),1)</f>
        <v>3</v>
      </c>
      <c r="AJ752" s="41">
        <f>IFERROR(LOOKUP(Y752,打分卡!$F$14:$J$14,打分卡!$K$14:$O$14),1)</f>
        <v>4</v>
      </c>
      <c r="AK752" s="41">
        <f>IFERROR(LOOKUP(W752,打分卡!$F$15:$J$15,打分卡!$K$15:$O$15),1)</f>
        <v>2</v>
      </c>
      <c r="AL752" s="43">
        <f t="shared" si="89"/>
        <v>3</v>
      </c>
      <c r="AM752" s="41">
        <f>IFERROR(LOOKUP(Z752,打分卡!$F$17:$H$17,打分卡!$K$17:$M$17),1)</f>
        <v>1</v>
      </c>
      <c r="AN752" s="44">
        <f>(打分卡!$D$7*AC752+打分卡!$D$8*AD752+打分卡!$D$9*AE752)/5</f>
        <v>12.4</v>
      </c>
      <c r="AO752" s="44">
        <f>(打分卡!$D$10*AF752+打分卡!$D$11*AG752)/5</f>
        <v>8</v>
      </c>
      <c r="AP752" s="44">
        <f>(打分卡!$D$12*AH752+打分卡!$D$13*AI752+打分卡!$D$14*AJ752+打分卡!$D$15*AK752)/5</f>
        <v>16</v>
      </c>
      <c r="AQ752" s="44">
        <f>(打分卡!$D$16*AL752+打分卡!$D$17*AM752)/5</f>
        <v>4.4</v>
      </c>
      <c r="AR752" s="47">
        <f t="shared" si="90"/>
        <v>40.8</v>
      </c>
      <c r="AS752" s="43" t="str">
        <f t="shared" si="91"/>
        <v>腰部</v>
      </c>
      <c r="AT752" s="43" t="str">
        <f t="shared" si="92"/>
        <v/>
      </c>
      <c r="AU752" s="43" t="str">
        <f t="shared" si="93"/>
        <v>拉·主攻：主推AI外呼+大促作战包</v>
      </c>
    </row>
    <row r="753" ht="15" customHeight="1" spans="1:47">
      <c r="A753" s="20" t="s">
        <v>2184</v>
      </c>
      <c r="B753" s="22" t="s">
        <v>2185</v>
      </c>
      <c r="C753" s="22" t="s">
        <v>239</v>
      </c>
      <c r="D753" s="22" t="s">
        <v>196</v>
      </c>
      <c r="E753" s="22" t="s">
        <v>197</v>
      </c>
      <c r="F753" s="20" t="s">
        <v>872</v>
      </c>
      <c r="G753" s="22">
        <v>18</v>
      </c>
      <c r="H753" s="22" t="s">
        <v>301</v>
      </c>
      <c r="I753" s="22" t="s">
        <v>302</v>
      </c>
      <c r="J753" s="36">
        <v>10200</v>
      </c>
      <c r="K753" s="36">
        <v>6300</v>
      </c>
      <c r="L753" s="36">
        <v>2300</v>
      </c>
      <c r="M753" s="36">
        <f t="shared" si="88"/>
        <v>18800</v>
      </c>
      <c r="N753" s="34">
        <f t="shared" si="94"/>
        <v>9.85616293285856e-5</v>
      </c>
      <c r="O753" s="35">
        <f>SUM($M$2:M753)</f>
        <v>187022500</v>
      </c>
      <c r="P753" s="34">
        <f t="shared" si="95"/>
        <v>0.980491612824755</v>
      </c>
      <c r="Q753" s="39">
        <v>1.8</v>
      </c>
      <c r="R753" s="22">
        <v>8</v>
      </c>
      <c r="S753" s="22">
        <v>1</v>
      </c>
      <c r="T753" s="22">
        <v>0</v>
      </c>
      <c r="U753" s="39">
        <v>18</v>
      </c>
      <c r="V753" s="22">
        <v>6</v>
      </c>
      <c r="W753" s="22">
        <v>4</v>
      </c>
      <c r="X753" s="40">
        <v>14</v>
      </c>
      <c r="Y753" s="22">
        <v>2</v>
      </c>
      <c r="Z753" s="22">
        <v>0</v>
      </c>
      <c r="AA753" s="22" t="s">
        <v>315</v>
      </c>
      <c r="AB753" s="22" t="s">
        <v>220</v>
      </c>
      <c r="AC753" s="42">
        <f>IFERROR(LOOKUP(M753,打分卡!$F$7:$J$7,打分卡!$K$7:$O$7),1)</f>
        <v>1</v>
      </c>
      <c r="AD753" s="42">
        <f>IFERROR(LOOKUP(S753,打分卡!$F$8:$J$8,打分卡!$K$8:$O$8),1)</f>
        <v>1</v>
      </c>
      <c r="AE753" s="42">
        <f>IFERROR(LOOKUP(T753,打分卡!$F$9:$I$9,打分卡!$K$9:$N$9),1)</f>
        <v>1</v>
      </c>
      <c r="AF753" s="42">
        <f>IFERROR(LOOKUP(Q753,打分卡!$F$10:$J$10,打分卡!$K$10:$O$10),1)</f>
        <v>1</v>
      </c>
      <c r="AG753" s="42">
        <f>IFERROR(LOOKUP(R753,打分卡!$F$11:$J$11,打分卡!$K$11:$O$11),1)</f>
        <v>3</v>
      </c>
      <c r="AH753" s="42">
        <f>IFERROR(LOOKUP(U753,打分卡!$F$12:$J$12,打分卡!$K$12:$O$12),1)</f>
        <v>3</v>
      </c>
      <c r="AI753" s="42">
        <f>IFERROR(LOOKUP(X753,打分卡!$F$13:$J$13,打分卡!$K$13:$O$13),1)</f>
        <v>1</v>
      </c>
      <c r="AJ753" s="42">
        <f>IFERROR(LOOKUP(Y753,打分卡!$F$14:$J$14,打分卡!$K$14:$O$14),1)</f>
        <v>3</v>
      </c>
      <c r="AK753" s="42">
        <f>IFERROR(LOOKUP(W753,打分卡!$F$15:$J$15,打分卡!$K$15:$O$15),1)</f>
        <v>3</v>
      </c>
      <c r="AL753" s="45">
        <f t="shared" si="89"/>
        <v>2</v>
      </c>
      <c r="AM753" s="42">
        <f>IFERROR(LOOKUP(Z753,打分卡!$F$17:$H$17,打分卡!$K$17:$M$17),1)</f>
        <v>1</v>
      </c>
      <c r="AN753" s="46">
        <f>(打分卡!$D$7*AC753+打分卡!$D$8*AD753+打分卡!$D$9*AE753)/5</f>
        <v>8</v>
      </c>
      <c r="AO753" s="46">
        <f>(打分卡!$D$10*AF753+打分卡!$D$11*AG753)/5</f>
        <v>8</v>
      </c>
      <c r="AP753" s="46">
        <f>(打分卡!$D$12*AH753+打分卡!$D$13*AI753+打分卡!$D$14*AJ753+打分卡!$D$15*AK753)/5</f>
        <v>14.8</v>
      </c>
      <c r="AQ753" s="46">
        <f>(打分卡!$D$16*AL753+打分卡!$D$17*AM753)/5</f>
        <v>3.2</v>
      </c>
      <c r="AR753" s="48">
        <f t="shared" si="90"/>
        <v>34</v>
      </c>
      <c r="AS753" s="45" t="str">
        <f t="shared" si="91"/>
        <v>基础长尾</v>
      </c>
      <c r="AT753" s="45" t="str">
        <f t="shared" si="92"/>
        <v/>
      </c>
      <c r="AU753" s="45" t="str">
        <f t="shared" si="93"/>
        <v>激活：企微+Push低成本先跑</v>
      </c>
    </row>
    <row r="754" ht="15" customHeight="1" spans="1:47">
      <c r="A754" s="30" t="s">
        <v>2186</v>
      </c>
      <c r="B754" s="31" t="s">
        <v>2187</v>
      </c>
      <c r="C754" s="31" t="s">
        <v>218</v>
      </c>
      <c r="D754" s="31" t="s">
        <v>180</v>
      </c>
      <c r="E754" s="31" t="s">
        <v>181</v>
      </c>
      <c r="F754" s="30" t="s">
        <v>530</v>
      </c>
      <c r="G754" s="31">
        <v>18</v>
      </c>
      <c r="H754" s="31" t="s">
        <v>183</v>
      </c>
      <c r="I754" s="31" t="s">
        <v>302</v>
      </c>
      <c r="J754" s="33">
        <v>11400</v>
      </c>
      <c r="K754" s="33">
        <v>4800</v>
      </c>
      <c r="L754" s="33">
        <v>2500</v>
      </c>
      <c r="M754" s="33">
        <f t="shared" si="88"/>
        <v>18700</v>
      </c>
      <c r="N754" s="34">
        <f t="shared" si="94"/>
        <v>9.80373653427953e-5</v>
      </c>
      <c r="O754" s="35">
        <f>SUM($M$2:M754)</f>
        <v>187041200</v>
      </c>
      <c r="P754" s="34">
        <f t="shared" si="95"/>
        <v>0.980589650190098</v>
      </c>
      <c r="Q754" s="37">
        <v>2</v>
      </c>
      <c r="R754" s="31">
        <v>1</v>
      </c>
      <c r="S754" s="31">
        <v>3</v>
      </c>
      <c r="T754" s="31">
        <v>1</v>
      </c>
      <c r="U754" s="37">
        <v>2.7</v>
      </c>
      <c r="V754" s="31">
        <v>12</v>
      </c>
      <c r="W754" s="31">
        <v>0</v>
      </c>
      <c r="X754" s="38">
        <v>43</v>
      </c>
      <c r="Y754" s="31">
        <v>3</v>
      </c>
      <c r="Z754" s="31">
        <v>1</v>
      </c>
      <c r="AA754" s="31" t="s">
        <v>185</v>
      </c>
      <c r="AB754" s="31" t="s">
        <v>220</v>
      </c>
      <c r="AC754" s="41">
        <f>IFERROR(LOOKUP(M754,打分卡!$F$7:$J$7,打分卡!$K$7:$O$7),1)</f>
        <v>1</v>
      </c>
      <c r="AD754" s="41">
        <f>IFERROR(LOOKUP(S754,打分卡!$F$8:$J$8,打分卡!$K$8:$O$8),1)</f>
        <v>3</v>
      </c>
      <c r="AE754" s="41">
        <f>IFERROR(LOOKUP(T754,打分卡!$F$9:$I$9,打分卡!$K$9:$N$9),1)</f>
        <v>2</v>
      </c>
      <c r="AF754" s="41">
        <f>IFERROR(LOOKUP(Q754,打分卡!$F$10:$J$10,打分卡!$K$10:$O$10),1)</f>
        <v>1</v>
      </c>
      <c r="AG754" s="41">
        <f>IFERROR(LOOKUP(R754,打分卡!$F$11:$J$11,打分卡!$K$11:$O$11),1)</f>
        <v>1</v>
      </c>
      <c r="AH754" s="41">
        <f>IFERROR(LOOKUP(U754,打分卡!$F$12:$J$12,打分卡!$K$12:$O$12),1)</f>
        <v>1</v>
      </c>
      <c r="AI754" s="41">
        <f>IFERROR(LOOKUP(X754,打分卡!$F$13:$J$13,打分卡!$K$13:$O$13),1)</f>
        <v>3</v>
      </c>
      <c r="AJ754" s="41">
        <f>IFERROR(LOOKUP(Y754,打分卡!$F$14:$J$14,打分卡!$K$14:$O$14),1)</f>
        <v>4</v>
      </c>
      <c r="AK754" s="41">
        <f>IFERROR(LOOKUP(W754,打分卡!$F$15:$J$15,打分卡!$K$15:$O$15),1)</f>
        <v>1</v>
      </c>
      <c r="AL754" s="43">
        <f t="shared" si="89"/>
        <v>3</v>
      </c>
      <c r="AM754" s="41">
        <f>IFERROR(LOOKUP(Z754,打分卡!$F$17:$H$17,打分卡!$K$17:$M$17),1)</f>
        <v>3</v>
      </c>
      <c r="AN754" s="44">
        <f>(打分卡!$D$7*AC754+打分卡!$D$8*AD754+打分卡!$D$9*AE754)/5</f>
        <v>12.6</v>
      </c>
      <c r="AO754" s="44">
        <f>(打分卡!$D$10*AF754+打分卡!$D$11*AG754)/5</f>
        <v>4</v>
      </c>
      <c r="AP754" s="44">
        <f>(打分卡!$D$12*AH754+打分卡!$D$13*AI754+打分卡!$D$14*AJ754+打分卡!$D$15*AK754)/5</f>
        <v>12.8</v>
      </c>
      <c r="AQ754" s="44">
        <f>(打分卡!$D$16*AL754+打分卡!$D$17*AM754)/5</f>
        <v>6</v>
      </c>
      <c r="AR754" s="47">
        <f t="shared" si="90"/>
        <v>35.4</v>
      </c>
      <c r="AS754" s="43" t="str">
        <f t="shared" si="91"/>
        <v>基础长尾</v>
      </c>
      <c r="AT754" s="43" t="str">
        <f t="shared" si="92"/>
        <v/>
      </c>
      <c r="AU754" s="43" t="str">
        <f t="shared" si="93"/>
        <v>激活：企微+Push低成本先跑</v>
      </c>
    </row>
    <row r="755" ht="15" customHeight="1" spans="1:47">
      <c r="A755" s="20" t="s">
        <v>2188</v>
      </c>
      <c r="B755" s="22" t="s">
        <v>2189</v>
      </c>
      <c r="C755" s="22" t="s">
        <v>195</v>
      </c>
      <c r="D755" s="22" t="s">
        <v>227</v>
      </c>
      <c r="E755" s="22" t="s">
        <v>197</v>
      </c>
      <c r="F755" s="20" t="s">
        <v>2190</v>
      </c>
      <c r="G755" s="22">
        <v>13</v>
      </c>
      <c r="H755" s="22" t="s">
        <v>301</v>
      </c>
      <c r="I755" s="22" t="s">
        <v>302</v>
      </c>
      <c r="J755" s="36">
        <v>8700</v>
      </c>
      <c r="K755" s="36">
        <v>4000</v>
      </c>
      <c r="L755" s="36">
        <v>5800</v>
      </c>
      <c r="M755" s="36">
        <f t="shared" si="88"/>
        <v>18500</v>
      </c>
      <c r="N755" s="34">
        <f t="shared" si="94"/>
        <v>9.69888373712146e-5</v>
      </c>
      <c r="O755" s="35">
        <f>SUM($M$2:M755)</f>
        <v>187059700</v>
      </c>
      <c r="P755" s="34">
        <f t="shared" si="95"/>
        <v>0.980686639027469</v>
      </c>
      <c r="Q755" s="39">
        <v>2.3</v>
      </c>
      <c r="R755" s="22">
        <v>9</v>
      </c>
      <c r="S755" s="22">
        <v>1</v>
      </c>
      <c r="T755" s="22">
        <v>2</v>
      </c>
      <c r="U755" s="39">
        <v>32.4</v>
      </c>
      <c r="V755" s="22">
        <v>22</v>
      </c>
      <c r="W755" s="22">
        <v>0</v>
      </c>
      <c r="X755" s="40">
        <v>11</v>
      </c>
      <c r="Y755" s="22">
        <v>1</v>
      </c>
      <c r="Z755" s="22">
        <v>1</v>
      </c>
      <c r="AA755" s="22" t="s">
        <v>199</v>
      </c>
      <c r="AB755" s="22" t="s">
        <v>220</v>
      </c>
      <c r="AC755" s="42">
        <f>IFERROR(LOOKUP(M755,打分卡!$F$7:$J$7,打分卡!$K$7:$O$7),1)</f>
        <v>1</v>
      </c>
      <c r="AD755" s="42">
        <f>IFERROR(LOOKUP(S755,打分卡!$F$8:$J$8,打分卡!$K$8:$O$8),1)</f>
        <v>1</v>
      </c>
      <c r="AE755" s="42">
        <f>IFERROR(LOOKUP(T755,打分卡!$F$9:$I$9,打分卡!$K$9:$N$9),1)</f>
        <v>3</v>
      </c>
      <c r="AF755" s="42">
        <f>IFERROR(LOOKUP(Q755,打分卡!$F$10:$J$10,打分卡!$K$10:$O$10),1)</f>
        <v>1</v>
      </c>
      <c r="AG755" s="42">
        <f>IFERROR(LOOKUP(R755,打分卡!$F$11:$J$11,打分卡!$K$11:$O$11),1)</f>
        <v>4</v>
      </c>
      <c r="AH755" s="42">
        <f>IFERROR(LOOKUP(U755,打分卡!$F$12:$J$12,打分卡!$K$12:$O$12),1)</f>
        <v>3</v>
      </c>
      <c r="AI755" s="42">
        <f>IFERROR(LOOKUP(X755,打分卡!$F$13:$J$13,打分卡!$K$13:$O$13),1)</f>
        <v>1</v>
      </c>
      <c r="AJ755" s="42">
        <f>IFERROR(LOOKUP(Y755,打分卡!$F$14:$J$14,打分卡!$K$14:$O$14),1)</f>
        <v>2</v>
      </c>
      <c r="AK755" s="42">
        <f>IFERROR(LOOKUP(W755,打分卡!$F$15:$J$15,打分卡!$K$15:$O$15),1)</f>
        <v>1</v>
      </c>
      <c r="AL755" s="45">
        <f t="shared" si="89"/>
        <v>5</v>
      </c>
      <c r="AM755" s="42">
        <f>IFERROR(LOOKUP(Z755,打分卡!$F$17:$H$17,打分卡!$K$17:$M$17),1)</f>
        <v>3</v>
      </c>
      <c r="AN755" s="46">
        <f>(打分卡!$D$7*AC755+打分卡!$D$8*AD755+打分卡!$D$9*AE755)/5</f>
        <v>10.8</v>
      </c>
      <c r="AO755" s="46">
        <f>(打分卡!$D$10*AF755+打分卡!$D$11*AG755)/5</f>
        <v>10</v>
      </c>
      <c r="AP755" s="46">
        <f>(打分卡!$D$12*AH755+打分卡!$D$13*AI755+打分卡!$D$14*AJ755+打分卡!$D$15*AK755)/5</f>
        <v>12</v>
      </c>
      <c r="AQ755" s="46">
        <f>(打分卡!$D$16*AL755+打分卡!$D$17*AM755)/5</f>
        <v>8.4</v>
      </c>
      <c r="AR755" s="48">
        <f t="shared" si="90"/>
        <v>41.2</v>
      </c>
      <c r="AS755" s="45" t="str">
        <f t="shared" si="91"/>
        <v>腰部</v>
      </c>
      <c r="AT755" s="45" t="str">
        <f t="shared" si="92"/>
        <v/>
      </c>
      <c r="AU755" s="45" t="str">
        <f t="shared" si="93"/>
        <v>拉·主攻：主推AI外呼+大促作战包</v>
      </c>
    </row>
    <row r="756" ht="15" customHeight="1" spans="1:47">
      <c r="A756" s="30" t="s">
        <v>2191</v>
      </c>
      <c r="B756" s="31" t="s">
        <v>2192</v>
      </c>
      <c r="C756" s="31" t="s">
        <v>218</v>
      </c>
      <c r="D756" s="31" t="s">
        <v>196</v>
      </c>
      <c r="E756" s="31" t="s">
        <v>197</v>
      </c>
      <c r="F756" s="30" t="s">
        <v>383</v>
      </c>
      <c r="G756" s="31">
        <v>12</v>
      </c>
      <c r="H756" s="31" t="s">
        <v>301</v>
      </c>
      <c r="I756" s="31" t="s">
        <v>184</v>
      </c>
      <c r="J756" s="33">
        <v>10700</v>
      </c>
      <c r="K756" s="33">
        <v>5500</v>
      </c>
      <c r="L756" s="33">
        <v>2300</v>
      </c>
      <c r="M756" s="33">
        <f t="shared" si="88"/>
        <v>18500</v>
      </c>
      <c r="N756" s="34">
        <f t="shared" si="94"/>
        <v>9.69888373712146e-5</v>
      </c>
      <c r="O756" s="35">
        <f>SUM($M$2:M756)</f>
        <v>187078200</v>
      </c>
      <c r="P756" s="34">
        <f t="shared" si="95"/>
        <v>0.980783627864841</v>
      </c>
      <c r="Q756" s="37">
        <v>1.9</v>
      </c>
      <c r="R756" s="31">
        <v>10</v>
      </c>
      <c r="S756" s="31">
        <v>2</v>
      </c>
      <c r="T756" s="31">
        <v>2</v>
      </c>
      <c r="U756" s="37">
        <v>8.7</v>
      </c>
      <c r="V756" s="31">
        <v>17</v>
      </c>
      <c r="W756" s="31">
        <v>4</v>
      </c>
      <c r="X756" s="38">
        <v>16</v>
      </c>
      <c r="Y756" s="31">
        <v>2</v>
      </c>
      <c r="Z756" s="31">
        <v>1</v>
      </c>
      <c r="AA756" s="31" t="s">
        <v>315</v>
      </c>
      <c r="AB756" s="31" t="s">
        <v>220</v>
      </c>
      <c r="AC756" s="41">
        <f>IFERROR(LOOKUP(M756,打分卡!$F$7:$J$7,打分卡!$K$7:$O$7),1)</f>
        <v>1</v>
      </c>
      <c r="AD756" s="41">
        <f>IFERROR(LOOKUP(S756,打分卡!$F$8:$J$8,打分卡!$K$8:$O$8),1)</f>
        <v>2</v>
      </c>
      <c r="AE756" s="41">
        <f>IFERROR(LOOKUP(T756,打分卡!$F$9:$I$9,打分卡!$K$9:$N$9),1)</f>
        <v>3</v>
      </c>
      <c r="AF756" s="41">
        <f>IFERROR(LOOKUP(Q756,打分卡!$F$10:$J$10,打分卡!$K$10:$O$10),1)</f>
        <v>1</v>
      </c>
      <c r="AG756" s="41">
        <f>IFERROR(LOOKUP(R756,打分卡!$F$11:$J$11,打分卡!$K$11:$O$11),1)</f>
        <v>4</v>
      </c>
      <c r="AH756" s="41">
        <f>IFERROR(LOOKUP(U756,打分卡!$F$12:$J$12,打分卡!$K$12:$O$12),1)</f>
        <v>2</v>
      </c>
      <c r="AI756" s="41">
        <f>IFERROR(LOOKUP(X756,打分卡!$F$13:$J$13,打分卡!$K$13:$O$13),1)</f>
        <v>1</v>
      </c>
      <c r="AJ756" s="41">
        <f>IFERROR(LOOKUP(Y756,打分卡!$F$14:$J$14,打分卡!$K$14:$O$14),1)</f>
        <v>3</v>
      </c>
      <c r="AK756" s="41">
        <f>IFERROR(LOOKUP(W756,打分卡!$F$15:$J$15,打分卡!$K$15:$O$15),1)</f>
        <v>3</v>
      </c>
      <c r="AL756" s="43">
        <f t="shared" si="89"/>
        <v>2</v>
      </c>
      <c r="AM756" s="41">
        <f>IFERROR(LOOKUP(Z756,打分卡!$F$17:$H$17,打分卡!$K$17:$M$17),1)</f>
        <v>3</v>
      </c>
      <c r="AN756" s="44">
        <f>(打分卡!$D$7*AC756+打分卡!$D$8*AD756+打分卡!$D$9*AE756)/5</f>
        <v>12.4</v>
      </c>
      <c r="AO756" s="44">
        <f>(打分卡!$D$10*AF756+打分卡!$D$11*AG756)/5</f>
        <v>10</v>
      </c>
      <c r="AP756" s="44">
        <f>(打分卡!$D$12*AH756+打分卡!$D$13*AI756+打分卡!$D$14*AJ756+打分卡!$D$15*AK756)/5</f>
        <v>12.4</v>
      </c>
      <c r="AQ756" s="44">
        <f>(打分卡!$D$16*AL756+打分卡!$D$17*AM756)/5</f>
        <v>4.8</v>
      </c>
      <c r="AR756" s="47">
        <f t="shared" si="90"/>
        <v>39.6</v>
      </c>
      <c r="AS756" s="43" t="str">
        <f t="shared" si="91"/>
        <v>基础长尾</v>
      </c>
      <c r="AT756" s="43" t="str">
        <f t="shared" si="92"/>
        <v/>
      </c>
      <c r="AU756" s="43" t="str">
        <f t="shared" si="93"/>
        <v>激活：企微+Push低成本先跑</v>
      </c>
    </row>
    <row r="757" ht="15" customHeight="1" spans="1:47">
      <c r="A757" s="20" t="s">
        <v>2193</v>
      </c>
      <c r="B757" s="22" t="s">
        <v>2194</v>
      </c>
      <c r="C757" s="22" t="s">
        <v>234</v>
      </c>
      <c r="D757" s="22" t="s">
        <v>196</v>
      </c>
      <c r="E757" s="22" t="s">
        <v>197</v>
      </c>
      <c r="F757" s="20" t="s">
        <v>990</v>
      </c>
      <c r="G757" s="22">
        <v>16</v>
      </c>
      <c r="H757" s="22" t="s">
        <v>183</v>
      </c>
      <c r="I757" s="22" t="s">
        <v>184</v>
      </c>
      <c r="J757" s="36">
        <v>12000</v>
      </c>
      <c r="K757" s="36">
        <v>5600</v>
      </c>
      <c r="L757" s="36">
        <v>900</v>
      </c>
      <c r="M757" s="36">
        <f t="shared" si="88"/>
        <v>18500</v>
      </c>
      <c r="N757" s="34">
        <f t="shared" si="94"/>
        <v>9.69888373712146e-5</v>
      </c>
      <c r="O757" s="35">
        <f>SUM($M$2:M757)</f>
        <v>187096700</v>
      </c>
      <c r="P757" s="34">
        <f t="shared" si="95"/>
        <v>0.980880616702212</v>
      </c>
      <c r="Q757" s="39">
        <v>2</v>
      </c>
      <c r="R757" s="22">
        <v>2</v>
      </c>
      <c r="S757" s="22">
        <v>2</v>
      </c>
      <c r="T757" s="22">
        <v>1</v>
      </c>
      <c r="U757" s="39">
        <v>10.6</v>
      </c>
      <c r="V757" s="22">
        <v>30</v>
      </c>
      <c r="W757" s="22">
        <v>3</v>
      </c>
      <c r="X757" s="40">
        <v>81</v>
      </c>
      <c r="Y757" s="22">
        <v>0</v>
      </c>
      <c r="Z757" s="22">
        <v>0</v>
      </c>
      <c r="AA757" s="22" t="s">
        <v>315</v>
      </c>
      <c r="AB757" s="22" t="s">
        <v>220</v>
      </c>
      <c r="AC757" s="42">
        <f>IFERROR(LOOKUP(M757,打分卡!$F$7:$J$7,打分卡!$K$7:$O$7),1)</f>
        <v>1</v>
      </c>
      <c r="AD757" s="42">
        <f>IFERROR(LOOKUP(S757,打分卡!$F$8:$J$8,打分卡!$K$8:$O$8),1)</f>
        <v>2</v>
      </c>
      <c r="AE757" s="42">
        <f>IFERROR(LOOKUP(T757,打分卡!$F$9:$I$9,打分卡!$K$9:$N$9),1)</f>
        <v>2</v>
      </c>
      <c r="AF757" s="42">
        <f>IFERROR(LOOKUP(Q757,打分卡!$F$10:$J$10,打分卡!$K$10:$O$10),1)</f>
        <v>1</v>
      </c>
      <c r="AG757" s="42">
        <f>IFERROR(LOOKUP(R757,打分卡!$F$11:$J$11,打分卡!$K$11:$O$11),1)</f>
        <v>1</v>
      </c>
      <c r="AH757" s="42">
        <f>IFERROR(LOOKUP(U757,打分卡!$F$12:$J$12,打分卡!$K$12:$O$12),1)</f>
        <v>3</v>
      </c>
      <c r="AI757" s="42">
        <f>IFERROR(LOOKUP(X757,打分卡!$F$13:$J$13,打分卡!$K$13:$O$13),1)</f>
        <v>3</v>
      </c>
      <c r="AJ757" s="42">
        <f>IFERROR(LOOKUP(Y757,打分卡!$F$14:$J$14,打分卡!$K$14:$O$14),1)</f>
        <v>1</v>
      </c>
      <c r="AK757" s="42">
        <f>IFERROR(LOOKUP(W757,打分卡!$F$15:$J$15,打分卡!$K$15:$O$15),1)</f>
        <v>3</v>
      </c>
      <c r="AL757" s="45">
        <f t="shared" si="89"/>
        <v>2</v>
      </c>
      <c r="AM757" s="42">
        <f>IFERROR(LOOKUP(Z757,打分卡!$F$17:$H$17,打分卡!$K$17:$M$17),1)</f>
        <v>1</v>
      </c>
      <c r="AN757" s="46">
        <f>(打分卡!$D$7*AC757+打分卡!$D$8*AD757+打分卡!$D$9*AE757)/5</f>
        <v>11</v>
      </c>
      <c r="AO757" s="46">
        <f>(打分卡!$D$10*AF757+打分卡!$D$11*AG757)/5</f>
        <v>4</v>
      </c>
      <c r="AP757" s="46">
        <f>(打分卡!$D$12*AH757+打分卡!$D$13*AI757+打分卡!$D$14*AJ757+打分卡!$D$15*AK757)/5</f>
        <v>15.6</v>
      </c>
      <c r="AQ757" s="46">
        <f>(打分卡!$D$16*AL757+打分卡!$D$17*AM757)/5</f>
        <v>3.2</v>
      </c>
      <c r="AR757" s="48">
        <f t="shared" si="90"/>
        <v>33.8</v>
      </c>
      <c r="AS757" s="45" t="str">
        <f t="shared" si="91"/>
        <v>基础长尾</v>
      </c>
      <c r="AT757" s="45" t="str">
        <f t="shared" si="92"/>
        <v/>
      </c>
      <c r="AU757" s="45" t="str">
        <f t="shared" si="93"/>
        <v>激活：企微+Push低成本先跑</v>
      </c>
    </row>
    <row r="758" ht="15" customHeight="1" spans="1:47">
      <c r="A758" s="30" t="s">
        <v>2195</v>
      </c>
      <c r="B758" s="31" t="s">
        <v>2196</v>
      </c>
      <c r="C758" s="31" t="s">
        <v>218</v>
      </c>
      <c r="D758" s="31" t="s">
        <v>202</v>
      </c>
      <c r="E758" s="31" t="s">
        <v>197</v>
      </c>
      <c r="F758" s="30" t="s">
        <v>2197</v>
      </c>
      <c r="G758" s="31">
        <v>9</v>
      </c>
      <c r="H758" s="31" t="s">
        <v>301</v>
      </c>
      <c r="I758" s="31" t="s">
        <v>302</v>
      </c>
      <c r="J758" s="33">
        <v>10900</v>
      </c>
      <c r="K758" s="33">
        <v>4700</v>
      </c>
      <c r="L758" s="33">
        <v>2700</v>
      </c>
      <c r="M758" s="33">
        <f t="shared" si="88"/>
        <v>18300</v>
      </c>
      <c r="N758" s="34">
        <f t="shared" si="94"/>
        <v>9.59403093996338e-5</v>
      </c>
      <c r="O758" s="35">
        <f>SUM($M$2:M758)</f>
        <v>187115000</v>
      </c>
      <c r="P758" s="34">
        <f t="shared" si="95"/>
        <v>0.980976557011611</v>
      </c>
      <c r="Q758" s="37">
        <v>2.2</v>
      </c>
      <c r="R758" s="31">
        <v>1</v>
      </c>
      <c r="S758" s="31">
        <v>2</v>
      </c>
      <c r="T758" s="31">
        <v>1</v>
      </c>
      <c r="U758" s="37">
        <v>3.8</v>
      </c>
      <c r="V758" s="31">
        <v>6</v>
      </c>
      <c r="W758" s="31">
        <v>3</v>
      </c>
      <c r="X758" s="38">
        <v>89</v>
      </c>
      <c r="Y758" s="31">
        <v>1</v>
      </c>
      <c r="Z758" s="31">
        <v>0</v>
      </c>
      <c r="AA758" s="31" t="s">
        <v>185</v>
      </c>
      <c r="AB758" s="31" t="s">
        <v>220</v>
      </c>
      <c r="AC758" s="41">
        <f>IFERROR(LOOKUP(M758,打分卡!$F$7:$J$7,打分卡!$K$7:$O$7),1)</f>
        <v>1</v>
      </c>
      <c r="AD758" s="41">
        <f>IFERROR(LOOKUP(S758,打分卡!$F$8:$J$8,打分卡!$K$8:$O$8),1)</f>
        <v>2</v>
      </c>
      <c r="AE758" s="41">
        <f>IFERROR(LOOKUP(T758,打分卡!$F$9:$I$9,打分卡!$K$9:$N$9),1)</f>
        <v>2</v>
      </c>
      <c r="AF758" s="41">
        <f>IFERROR(LOOKUP(Q758,打分卡!$F$10:$J$10,打分卡!$K$10:$O$10),1)</f>
        <v>1</v>
      </c>
      <c r="AG758" s="41">
        <f>IFERROR(LOOKUP(R758,打分卡!$F$11:$J$11,打分卡!$K$11:$O$11),1)</f>
        <v>1</v>
      </c>
      <c r="AH758" s="41">
        <f>IFERROR(LOOKUP(U758,打分卡!$F$12:$J$12,打分卡!$K$12:$O$12),1)</f>
        <v>2</v>
      </c>
      <c r="AI758" s="41">
        <f>IFERROR(LOOKUP(X758,打分卡!$F$13:$J$13,打分卡!$K$13:$O$13),1)</f>
        <v>4</v>
      </c>
      <c r="AJ758" s="41">
        <f>IFERROR(LOOKUP(Y758,打分卡!$F$14:$J$14,打分卡!$K$14:$O$14),1)</f>
        <v>2</v>
      </c>
      <c r="AK758" s="41">
        <f>IFERROR(LOOKUP(W758,打分卡!$F$15:$J$15,打分卡!$K$15:$O$15),1)</f>
        <v>3</v>
      </c>
      <c r="AL758" s="43">
        <f t="shared" si="89"/>
        <v>3</v>
      </c>
      <c r="AM758" s="41">
        <f>IFERROR(LOOKUP(Z758,打分卡!$F$17:$H$17,打分卡!$K$17:$M$17),1)</f>
        <v>1</v>
      </c>
      <c r="AN758" s="44">
        <f>(打分卡!$D$7*AC758+打分卡!$D$8*AD758+打分卡!$D$9*AE758)/5</f>
        <v>11</v>
      </c>
      <c r="AO758" s="44">
        <f>(打分卡!$D$10*AF758+打分卡!$D$11*AG758)/5</f>
        <v>4</v>
      </c>
      <c r="AP758" s="44">
        <f>(打分卡!$D$12*AH758+打分卡!$D$13*AI758+打分卡!$D$14*AJ758+打分卡!$D$15*AK758)/5</f>
        <v>16</v>
      </c>
      <c r="AQ758" s="44">
        <f>(打分卡!$D$16*AL758+打分卡!$D$17*AM758)/5</f>
        <v>4.4</v>
      </c>
      <c r="AR758" s="47">
        <f t="shared" si="90"/>
        <v>35.4</v>
      </c>
      <c r="AS758" s="43" t="str">
        <f t="shared" si="91"/>
        <v>基础长尾</v>
      </c>
      <c r="AT758" s="43" t="str">
        <f t="shared" si="92"/>
        <v/>
      </c>
      <c r="AU758" s="43" t="str">
        <f t="shared" si="93"/>
        <v>激活：企微+Push低成本先跑</v>
      </c>
    </row>
    <row r="759" ht="15" customHeight="1" spans="1:47">
      <c r="A759" s="20" t="s">
        <v>2198</v>
      </c>
      <c r="B759" s="22" t="s">
        <v>2199</v>
      </c>
      <c r="C759" s="22" t="s">
        <v>239</v>
      </c>
      <c r="D759" s="22" t="s">
        <v>196</v>
      </c>
      <c r="E759" s="22" t="s">
        <v>197</v>
      </c>
      <c r="F759" s="20" t="s">
        <v>2200</v>
      </c>
      <c r="G759" s="22">
        <v>19</v>
      </c>
      <c r="H759" s="22" t="s">
        <v>183</v>
      </c>
      <c r="I759" s="22" t="s">
        <v>184</v>
      </c>
      <c r="J759" s="36">
        <v>9900</v>
      </c>
      <c r="K759" s="36">
        <v>4000</v>
      </c>
      <c r="L759" s="36">
        <v>4400</v>
      </c>
      <c r="M759" s="36">
        <f t="shared" si="88"/>
        <v>18300</v>
      </c>
      <c r="N759" s="34">
        <f t="shared" si="94"/>
        <v>9.59403093996338e-5</v>
      </c>
      <c r="O759" s="35">
        <f>SUM($M$2:M759)</f>
        <v>187133300</v>
      </c>
      <c r="P759" s="34">
        <f t="shared" si="95"/>
        <v>0.981072497321011</v>
      </c>
      <c r="Q759" s="39">
        <v>2.9</v>
      </c>
      <c r="R759" s="22">
        <v>2</v>
      </c>
      <c r="S759" s="22">
        <v>3</v>
      </c>
      <c r="T759" s="22">
        <v>2</v>
      </c>
      <c r="U759" s="39">
        <v>3.4</v>
      </c>
      <c r="V759" s="22">
        <v>7</v>
      </c>
      <c r="W759" s="22">
        <v>2</v>
      </c>
      <c r="X759" s="40">
        <v>74</v>
      </c>
      <c r="Y759" s="22">
        <v>1</v>
      </c>
      <c r="Z759" s="22">
        <v>1</v>
      </c>
      <c r="AA759" s="22" t="s">
        <v>185</v>
      </c>
      <c r="AB759" s="22" t="s">
        <v>220</v>
      </c>
      <c r="AC759" s="42">
        <f>IFERROR(LOOKUP(M759,打分卡!$F$7:$J$7,打分卡!$K$7:$O$7),1)</f>
        <v>1</v>
      </c>
      <c r="AD759" s="42">
        <f>IFERROR(LOOKUP(S759,打分卡!$F$8:$J$8,打分卡!$K$8:$O$8),1)</f>
        <v>3</v>
      </c>
      <c r="AE759" s="42">
        <f>IFERROR(LOOKUP(T759,打分卡!$F$9:$I$9,打分卡!$K$9:$N$9),1)</f>
        <v>3</v>
      </c>
      <c r="AF759" s="42">
        <f>IFERROR(LOOKUP(Q759,打分卡!$F$10:$J$10,打分卡!$K$10:$O$10),1)</f>
        <v>2</v>
      </c>
      <c r="AG759" s="42">
        <f>IFERROR(LOOKUP(R759,打分卡!$F$11:$J$11,打分卡!$K$11:$O$11),1)</f>
        <v>1</v>
      </c>
      <c r="AH759" s="42">
        <f>IFERROR(LOOKUP(U759,打分卡!$F$12:$J$12,打分卡!$K$12:$O$12),1)</f>
        <v>2</v>
      </c>
      <c r="AI759" s="42">
        <f>IFERROR(LOOKUP(X759,打分卡!$F$13:$J$13,打分卡!$K$13:$O$13),1)</f>
        <v>3</v>
      </c>
      <c r="AJ759" s="42">
        <f>IFERROR(LOOKUP(Y759,打分卡!$F$14:$J$14,打分卡!$K$14:$O$14),1)</f>
        <v>2</v>
      </c>
      <c r="AK759" s="42">
        <f>IFERROR(LOOKUP(W759,打分卡!$F$15:$J$15,打分卡!$K$15:$O$15),1)</f>
        <v>2</v>
      </c>
      <c r="AL759" s="45">
        <f t="shared" si="89"/>
        <v>3</v>
      </c>
      <c r="AM759" s="42">
        <f>IFERROR(LOOKUP(Z759,打分卡!$F$17:$H$17,打分卡!$K$17:$M$17),1)</f>
        <v>3</v>
      </c>
      <c r="AN759" s="46">
        <f>(打分卡!$D$7*AC759+打分卡!$D$8*AD759+打分卡!$D$9*AE759)/5</f>
        <v>14</v>
      </c>
      <c r="AO759" s="46">
        <f>(打分卡!$D$10*AF759+打分卡!$D$11*AG759)/5</f>
        <v>6</v>
      </c>
      <c r="AP759" s="46">
        <f>(打分卡!$D$12*AH759+打分卡!$D$13*AI759+打分卡!$D$14*AJ759+打分卡!$D$15*AK759)/5</f>
        <v>13.6</v>
      </c>
      <c r="AQ759" s="46">
        <f>(打分卡!$D$16*AL759+打分卡!$D$17*AM759)/5</f>
        <v>6</v>
      </c>
      <c r="AR759" s="48">
        <f t="shared" si="90"/>
        <v>39.6</v>
      </c>
      <c r="AS759" s="45" t="str">
        <f t="shared" si="91"/>
        <v>基础长尾</v>
      </c>
      <c r="AT759" s="45" t="str">
        <f t="shared" si="92"/>
        <v/>
      </c>
      <c r="AU759" s="45" t="str">
        <f t="shared" si="93"/>
        <v>激活：企微+Push低成本先跑</v>
      </c>
    </row>
    <row r="760" ht="15" customHeight="1" spans="1:47">
      <c r="A760" s="30" t="s">
        <v>2201</v>
      </c>
      <c r="B760" s="31" t="s">
        <v>2202</v>
      </c>
      <c r="C760" s="31" t="s">
        <v>179</v>
      </c>
      <c r="D760" s="31" t="s">
        <v>202</v>
      </c>
      <c r="E760" s="31" t="s">
        <v>197</v>
      </c>
      <c r="F760" s="30" t="s">
        <v>920</v>
      </c>
      <c r="G760" s="31">
        <v>24</v>
      </c>
      <c r="H760" s="31" t="s">
        <v>301</v>
      </c>
      <c r="I760" s="31" t="s">
        <v>184</v>
      </c>
      <c r="J760" s="33">
        <v>9000</v>
      </c>
      <c r="K760" s="33">
        <v>6000</v>
      </c>
      <c r="L760" s="33">
        <v>3100</v>
      </c>
      <c r="M760" s="33">
        <f t="shared" si="88"/>
        <v>18100</v>
      </c>
      <c r="N760" s="34">
        <f t="shared" si="94"/>
        <v>9.48917814280532e-5</v>
      </c>
      <c r="O760" s="35">
        <f>SUM($M$2:M760)</f>
        <v>187151400</v>
      </c>
      <c r="P760" s="34">
        <f t="shared" si="95"/>
        <v>0.981167389102439</v>
      </c>
      <c r="Q760" s="37">
        <v>2.1</v>
      </c>
      <c r="R760" s="31">
        <v>5</v>
      </c>
      <c r="S760" s="31">
        <v>3</v>
      </c>
      <c r="T760" s="31">
        <v>2</v>
      </c>
      <c r="U760" s="37">
        <v>73.9</v>
      </c>
      <c r="V760" s="31">
        <v>24</v>
      </c>
      <c r="W760" s="31">
        <v>3</v>
      </c>
      <c r="X760" s="38">
        <v>19</v>
      </c>
      <c r="Y760" s="31">
        <v>3</v>
      </c>
      <c r="Z760" s="31">
        <v>1</v>
      </c>
      <c r="AA760" s="31" t="s">
        <v>185</v>
      </c>
      <c r="AB760" s="31" t="s">
        <v>220</v>
      </c>
      <c r="AC760" s="41">
        <f>IFERROR(LOOKUP(M760,打分卡!$F$7:$J$7,打分卡!$K$7:$O$7),1)</f>
        <v>1</v>
      </c>
      <c r="AD760" s="41">
        <f>IFERROR(LOOKUP(S760,打分卡!$F$8:$J$8,打分卡!$K$8:$O$8),1)</f>
        <v>3</v>
      </c>
      <c r="AE760" s="41">
        <f>IFERROR(LOOKUP(T760,打分卡!$F$9:$I$9,打分卡!$K$9:$N$9),1)</f>
        <v>3</v>
      </c>
      <c r="AF760" s="41">
        <f>IFERROR(LOOKUP(Q760,打分卡!$F$10:$J$10,打分卡!$K$10:$O$10),1)</f>
        <v>1</v>
      </c>
      <c r="AG760" s="41">
        <f>IFERROR(LOOKUP(R760,打分卡!$F$11:$J$11,打分卡!$K$11:$O$11),1)</f>
        <v>3</v>
      </c>
      <c r="AH760" s="41">
        <f>IFERROR(LOOKUP(U760,打分卡!$F$12:$J$12,打分卡!$K$12:$O$12),1)</f>
        <v>5</v>
      </c>
      <c r="AI760" s="41">
        <f>IFERROR(LOOKUP(X760,打分卡!$F$13:$J$13,打分卡!$K$13:$O$13),1)</f>
        <v>2</v>
      </c>
      <c r="AJ760" s="41">
        <f>IFERROR(LOOKUP(Y760,打分卡!$F$14:$J$14,打分卡!$K$14:$O$14),1)</f>
        <v>4</v>
      </c>
      <c r="AK760" s="41">
        <f>IFERROR(LOOKUP(W760,打分卡!$F$15:$J$15,打分卡!$K$15:$O$15),1)</f>
        <v>3</v>
      </c>
      <c r="AL760" s="43">
        <f t="shared" si="89"/>
        <v>3</v>
      </c>
      <c r="AM760" s="41">
        <f>IFERROR(LOOKUP(Z760,打分卡!$F$17:$H$17,打分卡!$K$17:$M$17),1)</f>
        <v>3</v>
      </c>
      <c r="AN760" s="44">
        <f>(打分卡!$D$7*AC760+打分卡!$D$8*AD760+打分卡!$D$9*AE760)/5</f>
        <v>14</v>
      </c>
      <c r="AO760" s="44">
        <f>(打分卡!$D$10*AF760+打分卡!$D$11*AG760)/5</f>
        <v>8</v>
      </c>
      <c r="AP760" s="44">
        <f>(打分卡!$D$12*AH760+打分卡!$D$13*AI760+打分卡!$D$14*AJ760+打分卡!$D$15*AK760)/5</f>
        <v>22.4</v>
      </c>
      <c r="AQ760" s="44">
        <f>(打分卡!$D$16*AL760+打分卡!$D$17*AM760)/5</f>
        <v>6</v>
      </c>
      <c r="AR760" s="47">
        <f t="shared" si="90"/>
        <v>50.4</v>
      </c>
      <c r="AS760" s="43" t="str">
        <f t="shared" si="91"/>
        <v>腰部</v>
      </c>
      <c r="AT760" s="43" t="str">
        <f t="shared" si="92"/>
        <v/>
      </c>
      <c r="AU760" s="43" t="str">
        <f t="shared" si="93"/>
        <v>拉·主攻：主推AI外呼+大促作战包</v>
      </c>
    </row>
    <row r="761" ht="15" customHeight="1" spans="1:47">
      <c r="A761" s="20" t="s">
        <v>2203</v>
      </c>
      <c r="B761" s="22" t="s">
        <v>2204</v>
      </c>
      <c r="C761" s="22" t="s">
        <v>195</v>
      </c>
      <c r="D761" s="22" t="s">
        <v>196</v>
      </c>
      <c r="E761" s="22" t="s">
        <v>181</v>
      </c>
      <c r="F761" s="20" t="s">
        <v>996</v>
      </c>
      <c r="G761" s="22">
        <v>5</v>
      </c>
      <c r="H761" s="22" t="s">
        <v>301</v>
      </c>
      <c r="I761" s="22" t="s">
        <v>302</v>
      </c>
      <c r="J761" s="36">
        <v>11000</v>
      </c>
      <c r="K761" s="36">
        <v>5500</v>
      </c>
      <c r="L761" s="36">
        <v>1600</v>
      </c>
      <c r="M761" s="36">
        <f t="shared" si="88"/>
        <v>18100</v>
      </c>
      <c r="N761" s="34">
        <f t="shared" si="94"/>
        <v>9.48917814280532e-5</v>
      </c>
      <c r="O761" s="35">
        <f>SUM($M$2:M761)</f>
        <v>187169500</v>
      </c>
      <c r="P761" s="34">
        <f t="shared" si="95"/>
        <v>0.981262280883867</v>
      </c>
      <c r="Q761" s="39">
        <v>2.2</v>
      </c>
      <c r="R761" s="22">
        <v>8</v>
      </c>
      <c r="S761" s="22">
        <v>2</v>
      </c>
      <c r="T761" s="22">
        <v>1</v>
      </c>
      <c r="U761" s="39">
        <v>1.2</v>
      </c>
      <c r="V761" s="22">
        <v>5</v>
      </c>
      <c r="W761" s="22">
        <v>3</v>
      </c>
      <c r="X761" s="40">
        <v>11</v>
      </c>
      <c r="Y761" s="22">
        <v>0</v>
      </c>
      <c r="Z761" s="22">
        <v>1</v>
      </c>
      <c r="AA761" s="22" t="s">
        <v>315</v>
      </c>
      <c r="AB761" s="22" t="s">
        <v>220</v>
      </c>
      <c r="AC761" s="42">
        <f>IFERROR(LOOKUP(M761,打分卡!$F$7:$J$7,打分卡!$K$7:$O$7),1)</f>
        <v>1</v>
      </c>
      <c r="AD761" s="42">
        <f>IFERROR(LOOKUP(S761,打分卡!$F$8:$J$8,打分卡!$K$8:$O$8),1)</f>
        <v>2</v>
      </c>
      <c r="AE761" s="42">
        <f>IFERROR(LOOKUP(T761,打分卡!$F$9:$I$9,打分卡!$K$9:$N$9),1)</f>
        <v>2</v>
      </c>
      <c r="AF761" s="42">
        <f>IFERROR(LOOKUP(Q761,打分卡!$F$10:$J$10,打分卡!$K$10:$O$10),1)</f>
        <v>1</v>
      </c>
      <c r="AG761" s="42">
        <f>IFERROR(LOOKUP(R761,打分卡!$F$11:$J$11,打分卡!$K$11:$O$11),1)</f>
        <v>3</v>
      </c>
      <c r="AH761" s="42">
        <f>IFERROR(LOOKUP(U761,打分卡!$F$12:$J$12,打分卡!$K$12:$O$12),1)</f>
        <v>1</v>
      </c>
      <c r="AI761" s="42">
        <f>IFERROR(LOOKUP(X761,打分卡!$F$13:$J$13,打分卡!$K$13:$O$13),1)</f>
        <v>1</v>
      </c>
      <c r="AJ761" s="42">
        <f>IFERROR(LOOKUP(Y761,打分卡!$F$14:$J$14,打分卡!$K$14:$O$14),1)</f>
        <v>1</v>
      </c>
      <c r="AK761" s="42">
        <f>IFERROR(LOOKUP(W761,打分卡!$F$15:$J$15,打分卡!$K$15:$O$15),1)</f>
        <v>3</v>
      </c>
      <c r="AL761" s="45">
        <f t="shared" si="89"/>
        <v>2</v>
      </c>
      <c r="AM761" s="42">
        <f>IFERROR(LOOKUP(Z761,打分卡!$F$17:$H$17,打分卡!$K$17:$M$17),1)</f>
        <v>3</v>
      </c>
      <c r="AN761" s="46">
        <f>(打分卡!$D$7*AC761+打分卡!$D$8*AD761+打分卡!$D$9*AE761)/5</f>
        <v>11</v>
      </c>
      <c r="AO761" s="46">
        <f>(打分卡!$D$10*AF761+打分卡!$D$11*AG761)/5</f>
        <v>8</v>
      </c>
      <c r="AP761" s="46">
        <f>(打分卡!$D$12*AH761+打分卡!$D$13*AI761+打分卡!$D$14*AJ761+打分卡!$D$15*AK761)/5</f>
        <v>7.6</v>
      </c>
      <c r="AQ761" s="46">
        <f>(打分卡!$D$16*AL761+打分卡!$D$17*AM761)/5</f>
        <v>4.8</v>
      </c>
      <c r="AR761" s="48">
        <f t="shared" si="90"/>
        <v>31.4</v>
      </c>
      <c r="AS761" s="45" t="str">
        <f t="shared" si="91"/>
        <v>基础长尾</v>
      </c>
      <c r="AT761" s="45" t="str">
        <f t="shared" si="92"/>
        <v/>
      </c>
      <c r="AU761" s="45" t="str">
        <f t="shared" si="93"/>
        <v>激活：企微+Push低成本先跑</v>
      </c>
    </row>
    <row r="762" ht="15" customHeight="1" spans="1:47">
      <c r="A762" s="30" t="s">
        <v>2205</v>
      </c>
      <c r="B762" s="31" t="s">
        <v>2206</v>
      </c>
      <c r="C762" s="31" t="s">
        <v>209</v>
      </c>
      <c r="D762" s="31" t="s">
        <v>190</v>
      </c>
      <c r="E762" s="31" t="s">
        <v>197</v>
      </c>
      <c r="F762" s="30" t="s">
        <v>2207</v>
      </c>
      <c r="G762" s="31">
        <v>16</v>
      </c>
      <c r="H762" s="31" t="s">
        <v>301</v>
      </c>
      <c r="I762" s="31" t="s">
        <v>302</v>
      </c>
      <c r="J762" s="33">
        <v>11400</v>
      </c>
      <c r="K762" s="33">
        <v>5400</v>
      </c>
      <c r="L762" s="33">
        <v>1200</v>
      </c>
      <c r="M762" s="33">
        <f t="shared" si="88"/>
        <v>18000</v>
      </c>
      <c r="N762" s="34">
        <f t="shared" si="94"/>
        <v>9.43675174422628e-5</v>
      </c>
      <c r="O762" s="35">
        <f>SUM($M$2:M762)</f>
        <v>187187500</v>
      </c>
      <c r="P762" s="34">
        <f t="shared" si="95"/>
        <v>0.981356648401309</v>
      </c>
      <c r="Q762" s="37">
        <v>2.7</v>
      </c>
      <c r="R762" s="31">
        <v>1</v>
      </c>
      <c r="S762" s="31">
        <v>1</v>
      </c>
      <c r="T762" s="31">
        <v>2</v>
      </c>
      <c r="U762" s="37">
        <v>7.8</v>
      </c>
      <c r="V762" s="31">
        <v>3</v>
      </c>
      <c r="W762" s="31">
        <v>2</v>
      </c>
      <c r="X762" s="38">
        <v>39</v>
      </c>
      <c r="Y762" s="31">
        <v>0</v>
      </c>
      <c r="Z762" s="31">
        <v>0</v>
      </c>
      <c r="AA762" s="31" t="s">
        <v>199</v>
      </c>
      <c r="AB762" s="31" t="s">
        <v>220</v>
      </c>
      <c r="AC762" s="41">
        <f>IFERROR(LOOKUP(M762,打分卡!$F$7:$J$7,打分卡!$K$7:$O$7),1)</f>
        <v>1</v>
      </c>
      <c r="AD762" s="41">
        <f>IFERROR(LOOKUP(S762,打分卡!$F$8:$J$8,打分卡!$K$8:$O$8),1)</f>
        <v>1</v>
      </c>
      <c r="AE762" s="41">
        <f>IFERROR(LOOKUP(T762,打分卡!$F$9:$I$9,打分卡!$K$9:$N$9),1)</f>
        <v>3</v>
      </c>
      <c r="AF762" s="41">
        <f>IFERROR(LOOKUP(Q762,打分卡!$F$10:$J$10,打分卡!$K$10:$O$10),1)</f>
        <v>2</v>
      </c>
      <c r="AG762" s="41">
        <f>IFERROR(LOOKUP(R762,打分卡!$F$11:$J$11,打分卡!$K$11:$O$11),1)</f>
        <v>1</v>
      </c>
      <c r="AH762" s="41">
        <f>IFERROR(LOOKUP(U762,打分卡!$F$12:$J$12,打分卡!$K$12:$O$12),1)</f>
        <v>2</v>
      </c>
      <c r="AI762" s="41">
        <f>IFERROR(LOOKUP(X762,打分卡!$F$13:$J$13,打分卡!$K$13:$O$13),1)</f>
        <v>3</v>
      </c>
      <c r="AJ762" s="41">
        <f>IFERROR(LOOKUP(Y762,打分卡!$F$14:$J$14,打分卡!$K$14:$O$14),1)</f>
        <v>1</v>
      </c>
      <c r="AK762" s="41">
        <f>IFERROR(LOOKUP(W762,打分卡!$F$15:$J$15,打分卡!$K$15:$O$15),1)</f>
        <v>2</v>
      </c>
      <c r="AL762" s="43">
        <f t="shared" si="89"/>
        <v>5</v>
      </c>
      <c r="AM762" s="41">
        <f>IFERROR(LOOKUP(Z762,打分卡!$F$17:$H$17,打分卡!$K$17:$M$17),1)</f>
        <v>1</v>
      </c>
      <c r="AN762" s="44">
        <f>(打分卡!$D$7*AC762+打分卡!$D$8*AD762+打分卡!$D$9*AE762)/5</f>
        <v>10.8</v>
      </c>
      <c r="AO762" s="44">
        <f>(打分卡!$D$10*AF762+打分卡!$D$11*AG762)/5</f>
        <v>6</v>
      </c>
      <c r="AP762" s="44">
        <f>(打分卡!$D$12*AH762+打分卡!$D$13*AI762+打分卡!$D$14*AJ762+打分卡!$D$15*AK762)/5</f>
        <v>12.4</v>
      </c>
      <c r="AQ762" s="44">
        <f>(打分卡!$D$16*AL762+打分卡!$D$17*AM762)/5</f>
        <v>6.8</v>
      </c>
      <c r="AR762" s="47">
        <f t="shared" si="90"/>
        <v>36</v>
      </c>
      <c r="AS762" s="43" t="str">
        <f t="shared" si="91"/>
        <v>基础长尾</v>
      </c>
      <c r="AT762" s="43" t="str">
        <f t="shared" si="92"/>
        <v/>
      </c>
      <c r="AU762" s="43" t="str">
        <f t="shared" si="93"/>
        <v>激活：企微+Push低成本先跑</v>
      </c>
    </row>
    <row r="763" ht="15" customHeight="1" spans="1:47">
      <c r="A763" s="20" t="s">
        <v>2208</v>
      </c>
      <c r="B763" s="22" t="s">
        <v>2209</v>
      </c>
      <c r="C763" s="22" t="s">
        <v>189</v>
      </c>
      <c r="D763" s="22" t="s">
        <v>202</v>
      </c>
      <c r="E763" s="22" t="s">
        <v>181</v>
      </c>
      <c r="F763" s="20" t="s">
        <v>2210</v>
      </c>
      <c r="G763" s="22">
        <v>18</v>
      </c>
      <c r="H763" s="22" t="s">
        <v>301</v>
      </c>
      <c r="I763" s="22" t="s">
        <v>302</v>
      </c>
      <c r="J763" s="36">
        <v>10000</v>
      </c>
      <c r="K763" s="36">
        <v>4400</v>
      </c>
      <c r="L763" s="36">
        <v>3500</v>
      </c>
      <c r="M763" s="36">
        <f t="shared" si="88"/>
        <v>17900</v>
      </c>
      <c r="N763" s="34">
        <f t="shared" si="94"/>
        <v>9.38432534564725e-5</v>
      </c>
      <c r="O763" s="35">
        <f>SUM($M$2:M763)</f>
        <v>187205400</v>
      </c>
      <c r="P763" s="34">
        <f t="shared" si="95"/>
        <v>0.981450491654766</v>
      </c>
      <c r="Q763" s="39">
        <v>1.6</v>
      </c>
      <c r="R763" s="22">
        <v>8</v>
      </c>
      <c r="S763" s="22">
        <v>3</v>
      </c>
      <c r="T763" s="22">
        <v>0</v>
      </c>
      <c r="U763" s="39">
        <v>6.2</v>
      </c>
      <c r="V763" s="22">
        <v>7</v>
      </c>
      <c r="W763" s="22">
        <v>2</v>
      </c>
      <c r="X763" s="40">
        <v>33</v>
      </c>
      <c r="Y763" s="22">
        <v>1</v>
      </c>
      <c r="Z763" s="22">
        <v>0</v>
      </c>
      <c r="AA763" s="22" t="s">
        <v>315</v>
      </c>
      <c r="AB763" s="22" t="s">
        <v>220</v>
      </c>
      <c r="AC763" s="42">
        <f>IFERROR(LOOKUP(M763,打分卡!$F$7:$J$7,打分卡!$K$7:$O$7),1)</f>
        <v>1</v>
      </c>
      <c r="AD763" s="42">
        <f>IFERROR(LOOKUP(S763,打分卡!$F$8:$J$8,打分卡!$K$8:$O$8),1)</f>
        <v>3</v>
      </c>
      <c r="AE763" s="42">
        <f>IFERROR(LOOKUP(T763,打分卡!$F$9:$I$9,打分卡!$K$9:$N$9),1)</f>
        <v>1</v>
      </c>
      <c r="AF763" s="42">
        <f>IFERROR(LOOKUP(Q763,打分卡!$F$10:$J$10,打分卡!$K$10:$O$10),1)</f>
        <v>1</v>
      </c>
      <c r="AG763" s="42">
        <f>IFERROR(LOOKUP(R763,打分卡!$F$11:$J$11,打分卡!$K$11:$O$11),1)</f>
        <v>3</v>
      </c>
      <c r="AH763" s="42">
        <f>IFERROR(LOOKUP(U763,打分卡!$F$12:$J$12,打分卡!$K$12:$O$12),1)</f>
        <v>2</v>
      </c>
      <c r="AI763" s="42">
        <f>IFERROR(LOOKUP(X763,打分卡!$F$13:$J$13,打分卡!$K$13:$O$13),1)</f>
        <v>2</v>
      </c>
      <c r="AJ763" s="42">
        <f>IFERROR(LOOKUP(Y763,打分卡!$F$14:$J$14,打分卡!$K$14:$O$14),1)</f>
        <v>2</v>
      </c>
      <c r="AK763" s="42">
        <f>IFERROR(LOOKUP(W763,打分卡!$F$15:$J$15,打分卡!$K$15:$O$15),1)</f>
        <v>2</v>
      </c>
      <c r="AL763" s="45">
        <f t="shared" si="89"/>
        <v>2</v>
      </c>
      <c r="AM763" s="42">
        <f>IFERROR(LOOKUP(Z763,打分卡!$F$17:$H$17,打分卡!$K$17:$M$17),1)</f>
        <v>1</v>
      </c>
      <c r="AN763" s="46">
        <f>(打分卡!$D$7*AC763+打分卡!$D$8*AD763+打分卡!$D$9*AE763)/5</f>
        <v>11.2</v>
      </c>
      <c r="AO763" s="46">
        <f>(打分卡!$D$10*AF763+打分卡!$D$11*AG763)/5</f>
        <v>8</v>
      </c>
      <c r="AP763" s="46">
        <f>(打分卡!$D$12*AH763+打分卡!$D$13*AI763+打分卡!$D$14*AJ763+打分卡!$D$15*AK763)/5</f>
        <v>12</v>
      </c>
      <c r="AQ763" s="46">
        <f>(打分卡!$D$16*AL763+打分卡!$D$17*AM763)/5</f>
        <v>3.2</v>
      </c>
      <c r="AR763" s="48">
        <f t="shared" si="90"/>
        <v>34.4</v>
      </c>
      <c r="AS763" s="45" t="str">
        <f t="shared" si="91"/>
        <v>基础长尾</v>
      </c>
      <c r="AT763" s="45" t="str">
        <f t="shared" si="92"/>
        <v/>
      </c>
      <c r="AU763" s="45" t="str">
        <f t="shared" si="93"/>
        <v>激活：企微+Push低成本先跑</v>
      </c>
    </row>
    <row r="764" ht="15" customHeight="1" spans="1:47">
      <c r="A764" s="30" t="s">
        <v>2211</v>
      </c>
      <c r="B764" s="31" t="s">
        <v>2212</v>
      </c>
      <c r="C764" s="31" t="s">
        <v>239</v>
      </c>
      <c r="D764" s="31" t="s">
        <v>235</v>
      </c>
      <c r="E764" s="31" t="s">
        <v>181</v>
      </c>
      <c r="F764" s="30" t="s">
        <v>751</v>
      </c>
      <c r="G764" s="31">
        <v>9</v>
      </c>
      <c r="H764" s="31" t="s">
        <v>301</v>
      </c>
      <c r="I764" s="31" t="s">
        <v>184</v>
      </c>
      <c r="J764" s="33">
        <v>11200</v>
      </c>
      <c r="K764" s="33">
        <v>4300</v>
      </c>
      <c r="L764" s="33">
        <v>2200</v>
      </c>
      <c r="M764" s="33">
        <f t="shared" si="88"/>
        <v>17700</v>
      </c>
      <c r="N764" s="34">
        <f t="shared" si="94"/>
        <v>9.27947254848918e-5</v>
      </c>
      <c r="O764" s="35">
        <f>SUM($M$2:M764)</f>
        <v>187223100</v>
      </c>
      <c r="P764" s="34">
        <f t="shared" si="95"/>
        <v>0.981543286380251</v>
      </c>
      <c r="Q764" s="37">
        <v>2.7</v>
      </c>
      <c r="R764" s="31">
        <v>5</v>
      </c>
      <c r="S764" s="31">
        <v>3</v>
      </c>
      <c r="T764" s="31">
        <v>1</v>
      </c>
      <c r="U764" s="37">
        <v>8.3</v>
      </c>
      <c r="V764" s="31">
        <v>26</v>
      </c>
      <c r="W764" s="31">
        <v>2</v>
      </c>
      <c r="X764" s="38">
        <v>144</v>
      </c>
      <c r="Y764" s="31">
        <v>1</v>
      </c>
      <c r="Z764" s="31">
        <v>1</v>
      </c>
      <c r="AA764" s="31" t="s">
        <v>199</v>
      </c>
      <c r="AB764" s="31" t="s">
        <v>220</v>
      </c>
      <c r="AC764" s="41">
        <f>IFERROR(LOOKUP(M764,打分卡!$F$7:$J$7,打分卡!$K$7:$O$7),1)</f>
        <v>1</v>
      </c>
      <c r="AD764" s="41">
        <f>IFERROR(LOOKUP(S764,打分卡!$F$8:$J$8,打分卡!$K$8:$O$8),1)</f>
        <v>3</v>
      </c>
      <c r="AE764" s="41">
        <f>IFERROR(LOOKUP(T764,打分卡!$F$9:$I$9,打分卡!$K$9:$N$9),1)</f>
        <v>2</v>
      </c>
      <c r="AF764" s="41">
        <f>IFERROR(LOOKUP(Q764,打分卡!$F$10:$J$10,打分卡!$K$10:$O$10),1)</f>
        <v>2</v>
      </c>
      <c r="AG764" s="41">
        <f>IFERROR(LOOKUP(R764,打分卡!$F$11:$J$11,打分卡!$K$11:$O$11),1)</f>
        <v>3</v>
      </c>
      <c r="AH764" s="41">
        <f>IFERROR(LOOKUP(U764,打分卡!$F$12:$J$12,打分卡!$K$12:$O$12),1)</f>
        <v>2</v>
      </c>
      <c r="AI764" s="41">
        <f>IFERROR(LOOKUP(X764,打分卡!$F$13:$J$13,打分卡!$K$13:$O$13),1)</f>
        <v>4</v>
      </c>
      <c r="AJ764" s="41">
        <f>IFERROR(LOOKUP(Y764,打分卡!$F$14:$J$14,打分卡!$K$14:$O$14),1)</f>
        <v>2</v>
      </c>
      <c r="AK764" s="41">
        <f>IFERROR(LOOKUP(W764,打分卡!$F$15:$J$15,打分卡!$K$15:$O$15),1)</f>
        <v>2</v>
      </c>
      <c r="AL764" s="43">
        <f t="shared" si="89"/>
        <v>5</v>
      </c>
      <c r="AM764" s="41">
        <f>IFERROR(LOOKUP(Z764,打分卡!$F$17:$H$17,打分卡!$K$17:$M$17),1)</f>
        <v>3</v>
      </c>
      <c r="AN764" s="44">
        <f>(打分卡!$D$7*AC764+打分卡!$D$8*AD764+打分卡!$D$9*AE764)/5</f>
        <v>12.6</v>
      </c>
      <c r="AO764" s="44">
        <f>(打分卡!$D$10*AF764+打分卡!$D$11*AG764)/5</f>
        <v>10</v>
      </c>
      <c r="AP764" s="44">
        <f>(打分卡!$D$12*AH764+打分卡!$D$13*AI764+打分卡!$D$14*AJ764+打分卡!$D$15*AK764)/5</f>
        <v>15.2</v>
      </c>
      <c r="AQ764" s="44">
        <f>(打分卡!$D$16*AL764+打分卡!$D$17*AM764)/5</f>
        <v>8.4</v>
      </c>
      <c r="AR764" s="47">
        <f t="shared" si="90"/>
        <v>46.2</v>
      </c>
      <c r="AS764" s="43" t="str">
        <f t="shared" si="91"/>
        <v>腰部</v>
      </c>
      <c r="AT764" s="43" t="str">
        <f t="shared" si="92"/>
        <v/>
      </c>
      <c r="AU764" s="43" t="str">
        <f t="shared" si="93"/>
        <v>拉·主攻：主推AI外呼+大促作战包</v>
      </c>
    </row>
    <row r="765" ht="15" customHeight="1" spans="1:47">
      <c r="A765" s="20" t="s">
        <v>2213</v>
      </c>
      <c r="B765" s="22" t="s">
        <v>2214</v>
      </c>
      <c r="C765" s="22" t="s">
        <v>223</v>
      </c>
      <c r="D765" s="22" t="s">
        <v>227</v>
      </c>
      <c r="E765" s="22" t="s">
        <v>197</v>
      </c>
      <c r="F765" s="20" t="s">
        <v>2168</v>
      </c>
      <c r="G765" s="22">
        <v>11</v>
      </c>
      <c r="H765" s="22" t="s">
        <v>183</v>
      </c>
      <c r="I765" s="22" t="s">
        <v>302</v>
      </c>
      <c r="J765" s="36">
        <v>9800</v>
      </c>
      <c r="K765" s="36">
        <v>4800</v>
      </c>
      <c r="L765" s="36">
        <v>3100</v>
      </c>
      <c r="M765" s="36">
        <f t="shared" si="88"/>
        <v>17700</v>
      </c>
      <c r="N765" s="34">
        <f t="shared" si="94"/>
        <v>9.27947254848918e-5</v>
      </c>
      <c r="O765" s="35">
        <f>SUM($M$2:M765)</f>
        <v>187240800</v>
      </c>
      <c r="P765" s="34">
        <f t="shared" si="95"/>
        <v>0.981636081105736</v>
      </c>
      <c r="Q765" s="39">
        <v>2.3</v>
      </c>
      <c r="R765" s="22">
        <v>5</v>
      </c>
      <c r="S765" s="22">
        <v>1</v>
      </c>
      <c r="T765" s="22">
        <v>0</v>
      </c>
      <c r="U765" s="39">
        <v>67.9</v>
      </c>
      <c r="V765" s="22">
        <v>20</v>
      </c>
      <c r="W765" s="22">
        <v>0</v>
      </c>
      <c r="X765" s="40">
        <v>115</v>
      </c>
      <c r="Y765" s="22">
        <v>0</v>
      </c>
      <c r="Z765" s="22">
        <v>1</v>
      </c>
      <c r="AA765" s="22" t="s">
        <v>185</v>
      </c>
      <c r="AB765" s="22" t="s">
        <v>220</v>
      </c>
      <c r="AC765" s="42">
        <f>IFERROR(LOOKUP(M765,打分卡!$F$7:$J$7,打分卡!$K$7:$O$7),1)</f>
        <v>1</v>
      </c>
      <c r="AD765" s="42">
        <f>IFERROR(LOOKUP(S765,打分卡!$F$8:$J$8,打分卡!$K$8:$O$8),1)</f>
        <v>1</v>
      </c>
      <c r="AE765" s="42">
        <f>IFERROR(LOOKUP(T765,打分卡!$F$9:$I$9,打分卡!$K$9:$N$9),1)</f>
        <v>1</v>
      </c>
      <c r="AF765" s="42">
        <f>IFERROR(LOOKUP(Q765,打分卡!$F$10:$J$10,打分卡!$K$10:$O$10),1)</f>
        <v>1</v>
      </c>
      <c r="AG765" s="42">
        <f>IFERROR(LOOKUP(R765,打分卡!$F$11:$J$11,打分卡!$K$11:$O$11),1)</f>
        <v>3</v>
      </c>
      <c r="AH765" s="42">
        <f>IFERROR(LOOKUP(U765,打分卡!$F$12:$J$12,打分卡!$K$12:$O$12),1)</f>
        <v>4</v>
      </c>
      <c r="AI765" s="42">
        <f>IFERROR(LOOKUP(X765,打分卡!$F$13:$J$13,打分卡!$K$13:$O$13),1)</f>
        <v>4</v>
      </c>
      <c r="AJ765" s="42">
        <f>IFERROR(LOOKUP(Y765,打分卡!$F$14:$J$14,打分卡!$K$14:$O$14),1)</f>
        <v>1</v>
      </c>
      <c r="AK765" s="42">
        <f>IFERROR(LOOKUP(W765,打分卡!$F$15:$J$15,打分卡!$K$15:$O$15),1)</f>
        <v>1</v>
      </c>
      <c r="AL765" s="45">
        <f t="shared" si="89"/>
        <v>3</v>
      </c>
      <c r="AM765" s="42">
        <f>IFERROR(LOOKUP(Z765,打分卡!$F$17:$H$17,打分卡!$K$17:$M$17),1)</f>
        <v>3</v>
      </c>
      <c r="AN765" s="46">
        <f>(打分卡!$D$7*AC765+打分卡!$D$8*AD765+打分卡!$D$9*AE765)/5</f>
        <v>8</v>
      </c>
      <c r="AO765" s="46">
        <f>(打分卡!$D$10*AF765+打分卡!$D$11*AG765)/5</f>
        <v>8</v>
      </c>
      <c r="AP765" s="46">
        <f>(打分卡!$D$12*AH765+打分卡!$D$13*AI765+打分卡!$D$14*AJ765+打分卡!$D$15*AK765)/5</f>
        <v>18</v>
      </c>
      <c r="AQ765" s="46">
        <f>(打分卡!$D$16*AL765+打分卡!$D$17*AM765)/5</f>
        <v>6</v>
      </c>
      <c r="AR765" s="48">
        <f t="shared" si="90"/>
        <v>40</v>
      </c>
      <c r="AS765" s="45" t="str">
        <f t="shared" si="91"/>
        <v>腰部</v>
      </c>
      <c r="AT765" s="45" t="str">
        <f t="shared" si="92"/>
        <v/>
      </c>
      <c r="AU765" s="45" t="str">
        <f t="shared" si="93"/>
        <v>拉·主攻：主推AI外呼+大促作战包</v>
      </c>
    </row>
    <row r="766" ht="15" customHeight="1" spans="1:47">
      <c r="A766" s="30" t="s">
        <v>2215</v>
      </c>
      <c r="B766" s="31" t="s">
        <v>2216</v>
      </c>
      <c r="C766" s="31" t="s">
        <v>234</v>
      </c>
      <c r="D766" s="31" t="s">
        <v>202</v>
      </c>
      <c r="E766" s="31" t="s">
        <v>181</v>
      </c>
      <c r="F766" s="30" t="s">
        <v>863</v>
      </c>
      <c r="G766" s="31">
        <v>23</v>
      </c>
      <c r="H766" s="31" t="s">
        <v>301</v>
      </c>
      <c r="I766" s="31" t="s">
        <v>302</v>
      </c>
      <c r="J766" s="33">
        <v>8000</v>
      </c>
      <c r="K766" s="33">
        <v>3900</v>
      </c>
      <c r="L766" s="33">
        <v>5700</v>
      </c>
      <c r="M766" s="33">
        <f t="shared" si="88"/>
        <v>17600</v>
      </c>
      <c r="N766" s="34">
        <f t="shared" si="94"/>
        <v>9.22704614991014e-5</v>
      </c>
      <c r="O766" s="35">
        <f>SUM($M$2:M766)</f>
        <v>187258400</v>
      </c>
      <c r="P766" s="34">
        <f t="shared" si="95"/>
        <v>0.981728351567235</v>
      </c>
      <c r="Q766" s="37">
        <v>1.7</v>
      </c>
      <c r="R766" s="31">
        <v>7</v>
      </c>
      <c r="S766" s="31">
        <v>1</v>
      </c>
      <c r="T766" s="31">
        <v>1</v>
      </c>
      <c r="U766" s="37">
        <v>1.2</v>
      </c>
      <c r="V766" s="31">
        <v>4</v>
      </c>
      <c r="W766" s="31">
        <v>1</v>
      </c>
      <c r="X766" s="38">
        <v>23</v>
      </c>
      <c r="Y766" s="31">
        <v>0</v>
      </c>
      <c r="Z766" s="31">
        <v>1</v>
      </c>
      <c r="AA766" s="31" t="s">
        <v>185</v>
      </c>
      <c r="AB766" s="31" t="s">
        <v>220</v>
      </c>
      <c r="AC766" s="41">
        <f>IFERROR(LOOKUP(M766,打分卡!$F$7:$J$7,打分卡!$K$7:$O$7),1)</f>
        <v>1</v>
      </c>
      <c r="AD766" s="41">
        <f>IFERROR(LOOKUP(S766,打分卡!$F$8:$J$8,打分卡!$K$8:$O$8),1)</f>
        <v>1</v>
      </c>
      <c r="AE766" s="41">
        <f>IFERROR(LOOKUP(T766,打分卡!$F$9:$I$9,打分卡!$K$9:$N$9),1)</f>
        <v>2</v>
      </c>
      <c r="AF766" s="41">
        <f>IFERROR(LOOKUP(Q766,打分卡!$F$10:$J$10,打分卡!$K$10:$O$10),1)</f>
        <v>1</v>
      </c>
      <c r="AG766" s="41">
        <f>IFERROR(LOOKUP(R766,打分卡!$F$11:$J$11,打分卡!$K$11:$O$11),1)</f>
        <v>3</v>
      </c>
      <c r="AH766" s="41">
        <f>IFERROR(LOOKUP(U766,打分卡!$F$12:$J$12,打分卡!$K$12:$O$12),1)</f>
        <v>1</v>
      </c>
      <c r="AI766" s="41">
        <f>IFERROR(LOOKUP(X766,打分卡!$F$13:$J$13,打分卡!$K$13:$O$13),1)</f>
        <v>2</v>
      </c>
      <c r="AJ766" s="41">
        <f>IFERROR(LOOKUP(Y766,打分卡!$F$14:$J$14,打分卡!$K$14:$O$14),1)</f>
        <v>1</v>
      </c>
      <c r="AK766" s="41">
        <f>IFERROR(LOOKUP(W766,打分卡!$F$15:$J$15,打分卡!$K$15:$O$15),1)</f>
        <v>2</v>
      </c>
      <c r="AL766" s="43">
        <f t="shared" si="89"/>
        <v>3</v>
      </c>
      <c r="AM766" s="41">
        <f>IFERROR(LOOKUP(Z766,打分卡!$F$17:$H$17,打分卡!$K$17:$M$17),1)</f>
        <v>3</v>
      </c>
      <c r="AN766" s="44">
        <f>(打分卡!$D$7*AC766+打分卡!$D$8*AD766+打分卡!$D$9*AE766)/5</f>
        <v>9.4</v>
      </c>
      <c r="AO766" s="44">
        <f>(打分卡!$D$10*AF766+打分卡!$D$11*AG766)/5</f>
        <v>8</v>
      </c>
      <c r="AP766" s="44">
        <f>(打分卡!$D$12*AH766+打分卡!$D$13*AI766+打分卡!$D$14*AJ766+打分卡!$D$15*AK766)/5</f>
        <v>8.4</v>
      </c>
      <c r="AQ766" s="44">
        <f>(打分卡!$D$16*AL766+打分卡!$D$17*AM766)/5</f>
        <v>6</v>
      </c>
      <c r="AR766" s="47">
        <f t="shared" si="90"/>
        <v>31.8</v>
      </c>
      <c r="AS766" s="43" t="str">
        <f t="shared" si="91"/>
        <v>基础长尾</v>
      </c>
      <c r="AT766" s="43" t="str">
        <f t="shared" si="92"/>
        <v/>
      </c>
      <c r="AU766" s="43" t="str">
        <f t="shared" si="93"/>
        <v>激活：企微+Push低成本先跑</v>
      </c>
    </row>
    <row r="767" ht="15" customHeight="1" spans="1:47">
      <c r="A767" s="20" t="s">
        <v>2217</v>
      </c>
      <c r="B767" s="22" t="s">
        <v>2218</v>
      </c>
      <c r="C767" s="22" t="s">
        <v>223</v>
      </c>
      <c r="D767" s="22" t="s">
        <v>202</v>
      </c>
      <c r="E767" s="22" t="s">
        <v>181</v>
      </c>
      <c r="F767" s="20" t="s">
        <v>2219</v>
      </c>
      <c r="G767" s="22">
        <v>19</v>
      </c>
      <c r="H767" s="22" t="s">
        <v>183</v>
      </c>
      <c r="I767" s="22" t="s">
        <v>302</v>
      </c>
      <c r="J767" s="36">
        <v>7900</v>
      </c>
      <c r="K767" s="36">
        <v>6600</v>
      </c>
      <c r="L767" s="36">
        <v>3000</v>
      </c>
      <c r="M767" s="36">
        <f t="shared" si="88"/>
        <v>17500</v>
      </c>
      <c r="N767" s="34">
        <f t="shared" si="94"/>
        <v>9.17461975133111e-5</v>
      </c>
      <c r="O767" s="35">
        <f>SUM($M$2:M767)</f>
        <v>187275900</v>
      </c>
      <c r="P767" s="34">
        <f t="shared" si="95"/>
        <v>0.981820097764748</v>
      </c>
      <c r="Q767" s="39">
        <v>1.7</v>
      </c>
      <c r="R767" s="22">
        <v>5</v>
      </c>
      <c r="S767" s="22">
        <v>3</v>
      </c>
      <c r="T767" s="22">
        <v>0</v>
      </c>
      <c r="U767" s="39">
        <v>4.1</v>
      </c>
      <c r="V767" s="22">
        <v>7</v>
      </c>
      <c r="W767" s="22">
        <v>2</v>
      </c>
      <c r="X767" s="40">
        <v>18</v>
      </c>
      <c r="Y767" s="22">
        <v>2</v>
      </c>
      <c r="Z767" s="22">
        <v>0</v>
      </c>
      <c r="AA767" s="22" t="s">
        <v>199</v>
      </c>
      <c r="AB767" s="22" t="s">
        <v>220</v>
      </c>
      <c r="AC767" s="42">
        <f>IFERROR(LOOKUP(M767,打分卡!$F$7:$J$7,打分卡!$K$7:$O$7),1)</f>
        <v>1</v>
      </c>
      <c r="AD767" s="42">
        <f>IFERROR(LOOKUP(S767,打分卡!$F$8:$J$8,打分卡!$K$8:$O$8),1)</f>
        <v>3</v>
      </c>
      <c r="AE767" s="42">
        <f>IFERROR(LOOKUP(T767,打分卡!$F$9:$I$9,打分卡!$K$9:$N$9),1)</f>
        <v>1</v>
      </c>
      <c r="AF767" s="42">
        <f>IFERROR(LOOKUP(Q767,打分卡!$F$10:$J$10,打分卡!$K$10:$O$10),1)</f>
        <v>1</v>
      </c>
      <c r="AG767" s="42">
        <f>IFERROR(LOOKUP(R767,打分卡!$F$11:$J$11,打分卡!$K$11:$O$11),1)</f>
        <v>3</v>
      </c>
      <c r="AH767" s="42">
        <f>IFERROR(LOOKUP(U767,打分卡!$F$12:$J$12,打分卡!$K$12:$O$12),1)</f>
        <v>2</v>
      </c>
      <c r="AI767" s="42">
        <f>IFERROR(LOOKUP(X767,打分卡!$F$13:$J$13,打分卡!$K$13:$O$13),1)</f>
        <v>2</v>
      </c>
      <c r="AJ767" s="42">
        <f>IFERROR(LOOKUP(Y767,打分卡!$F$14:$J$14,打分卡!$K$14:$O$14),1)</f>
        <v>3</v>
      </c>
      <c r="AK767" s="42">
        <f>IFERROR(LOOKUP(W767,打分卡!$F$15:$J$15,打分卡!$K$15:$O$15),1)</f>
        <v>2</v>
      </c>
      <c r="AL767" s="45">
        <f t="shared" si="89"/>
        <v>5</v>
      </c>
      <c r="AM767" s="42">
        <f>IFERROR(LOOKUP(Z767,打分卡!$F$17:$H$17,打分卡!$K$17:$M$17),1)</f>
        <v>1</v>
      </c>
      <c r="AN767" s="46">
        <f>(打分卡!$D$7*AC767+打分卡!$D$8*AD767+打分卡!$D$9*AE767)/5</f>
        <v>11.2</v>
      </c>
      <c r="AO767" s="46">
        <f>(打分卡!$D$10*AF767+打分卡!$D$11*AG767)/5</f>
        <v>8</v>
      </c>
      <c r="AP767" s="46">
        <f>(打分卡!$D$12*AH767+打分卡!$D$13*AI767+打分卡!$D$14*AJ767+打分卡!$D$15*AK767)/5</f>
        <v>13.2</v>
      </c>
      <c r="AQ767" s="46">
        <f>(打分卡!$D$16*AL767+打分卡!$D$17*AM767)/5</f>
        <v>6.8</v>
      </c>
      <c r="AR767" s="48">
        <f t="shared" si="90"/>
        <v>39.2</v>
      </c>
      <c r="AS767" s="45" t="str">
        <f t="shared" si="91"/>
        <v>基础长尾</v>
      </c>
      <c r="AT767" s="45" t="str">
        <f t="shared" si="92"/>
        <v/>
      </c>
      <c r="AU767" s="45" t="str">
        <f t="shared" si="93"/>
        <v>激活：企微+Push低成本先跑</v>
      </c>
    </row>
    <row r="768" ht="15" customHeight="1" spans="1:47">
      <c r="A768" s="30" t="s">
        <v>2220</v>
      </c>
      <c r="B768" s="31" t="s">
        <v>2221</v>
      </c>
      <c r="C768" s="31" t="s">
        <v>218</v>
      </c>
      <c r="D768" s="31" t="s">
        <v>196</v>
      </c>
      <c r="E768" s="31" t="s">
        <v>181</v>
      </c>
      <c r="F768" s="30" t="s">
        <v>1766</v>
      </c>
      <c r="G768" s="31">
        <v>19</v>
      </c>
      <c r="H768" s="31" t="s">
        <v>301</v>
      </c>
      <c r="I768" s="31" t="s">
        <v>302</v>
      </c>
      <c r="J768" s="33">
        <v>9000</v>
      </c>
      <c r="K768" s="33">
        <v>6200</v>
      </c>
      <c r="L768" s="33">
        <v>2400</v>
      </c>
      <c r="M768" s="33">
        <f t="shared" si="88"/>
        <v>17600</v>
      </c>
      <c r="N768" s="34">
        <f t="shared" si="94"/>
        <v>9.22704614991014e-5</v>
      </c>
      <c r="O768" s="35">
        <f>SUM($M$2:M768)</f>
        <v>187293500</v>
      </c>
      <c r="P768" s="34">
        <f t="shared" si="95"/>
        <v>0.981912368226247</v>
      </c>
      <c r="Q768" s="37">
        <v>2.5</v>
      </c>
      <c r="R768" s="31">
        <v>4</v>
      </c>
      <c r="S768" s="31">
        <v>1</v>
      </c>
      <c r="T768" s="31">
        <v>1</v>
      </c>
      <c r="U768" s="37">
        <v>2.8</v>
      </c>
      <c r="V768" s="31">
        <v>19</v>
      </c>
      <c r="W768" s="31">
        <v>2</v>
      </c>
      <c r="X768" s="38">
        <v>80</v>
      </c>
      <c r="Y768" s="31">
        <v>0</v>
      </c>
      <c r="Z768" s="31">
        <v>1</v>
      </c>
      <c r="AA768" s="31" t="s">
        <v>185</v>
      </c>
      <c r="AB768" s="31" t="s">
        <v>220</v>
      </c>
      <c r="AC768" s="41">
        <f>IFERROR(LOOKUP(M768,打分卡!$F$7:$J$7,打分卡!$K$7:$O$7),1)</f>
        <v>1</v>
      </c>
      <c r="AD768" s="41">
        <f>IFERROR(LOOKUP(S768,打分卡!$F$8:$J$8,打分卡!$K$8:$O$8),1)</f>
        <v>1</v>
      </c>
      <c r="AE768" s="41">
        <f>IFERROR(LOOKUP(T768,打分卡!$F$9:$I$9,打分卡!$K$9:$N$9),1)</f>
        <v>2</v>
      </c>
      <c r="AF768" s="41">
        <f>IFERROR(LOOKUP(Q768,打分卡!$F$10:$J$10,打分卡!$K$10:$O$10),1)</f>
        <v>2</v>
      </c>
      <c r="AG768" s="41">
        <f>IFERROR(LOOKUP(R768,打分卡!$F$11:$J$11,打分卡!$K$11:$O$11),1)</f>
        <v>2</v>
      </c>
      <c r="AH768" s="41">
        <f>IFERROR(LOOKUP(U768,打分卡!$F$12:$J$12,打分卡!$K$12:$O$12),1)</f>
        <v>2</v>
      </c>
      <c r="AI768" s="41">
        <f>IFERROR(LOOKUP(X768,打分卡!$F$13:$J$13,打分卡!$K$13:$O$13),1)</f>
        <v>3</v>
      </c>
      <c r="AJ768" s="41">
        <f>IFERROR(LOOKUP(Y768,打分卡!$F$14:$J$14,打分卡!$K$14:$O$14),1)</f>
        <v>1</v>
      </c>
      <c r="AK768" s="41">
        <f>IFERROR(LOOKUP(W768,打分卡!$F$15:$J$15,打分卡!$K$15:$O$15),1)</f>
        <v>2</v>
      </c>
      <c r="AL768" s="43">
        <f t="shared" si="89"/>
        <v>3</v>
      </c>
      <c r="AM768" s="41">
        <f>IFERROR(LOOKUP(Z768,打分卡!$F$17:$H$17,打分卡!$K$17:$M$17),1)</f>
        <v>3</v>
      </c>
      <c r="AN768" s="44">
        <f>(打分卡!$D$7*AC768+打分卡!$D$8*AD768+打分卡!$D$9*AE768)/5</f>
        <v>9.4</v>
      </c>
      <c r="AO768" s="44">
        <f>(打分卡!$D$10*AF768+打分卡!$D$11*AG768)/5</f>
        <v>8</v>
      </c>
      <c r="AP768" s="44">
        <f>(打分卡!$D$12*AH768+打分卡!$D$13*AI768+打分卡!$D$14*AJ768+打分卡!$D$15*AK768)/5</f>
        <v>12.4</v>
      </c>
      <c r="AQ768" s="44">
        <f>(打分卡!$D$16*AL768+打分卡!$D$17*AM768)/5</f>
        <v>6</v>
      </c>
      <c r="AR768" s="47">
        <f t="shared" si="90"/>
        <v>35.8</v>
      </c>
      <c r="AS768" s="43" t="str">
        <f t="shared" si="91"/>
        <v>基础长尾</v>
      </c>
      <c r="AT768" s="43" t="str">
        <f t="shared" si="92"/>
        <v/>
      </c>
      <c r="AU768" s="43" t="str">
        <f t="shared" si="93"/>
        <v>激活：企微+Push低成本先跑</v>
      </c>
    </row>
    <row r="769" ht="15" customHeight="1" spans="1:47">
      <c r="A769" s="20" t="s">
        <v>2222</v>
      </c>
      <c r="B769" s="22" t="s">
        <v>2223</v>
      </c>
      <c r="C769" s="22" t="s">
        <v>179</v>
      </c>
      <c r="D769" s="22" t="s">
        <v>227</v>
      </c>
      <c r="E769" s="22" t="s">
        <v>181</v>
      </c>
      <c r="F769" s="20" t="s">
        <v>1633</v>
      </c>
      <c r="G769" s="22">
        <v>8</v>
      </c>
      <c r="H769" s="22" t="s">
        <v>301</v>
      </c>
      <c r="I769" s="22" t="s">
        <v>302</v>
      </c>
      <c r="J769" s="36">
        <v>9900</v>
      </c>
      <c r="K769" s="36">
        <v>5600</v>
      </c>
      <c r="L769" s="36">
        <v>1900</v>
      </c>
      <c r="M769" s="36">
        <f t="shared" si="88"/>
        <v>17400</v>
      </c>
      <c r="N769" s="34">
        <f t="shared" si="94"/>
        <v>9.12219335275207e-5</v>
      </c>
      <c r="O769" s="35">
        <f>SUM($M$2:M769)</f>
        <v>187310900</v>
      </c>
      <c r="P769" s="34">
        <f t="shared" si="95"/>
        <v>0.982003590159775</v>
      </c>
      <c r="Q769" s="39">
        <v>1.3</v>
      </c>
      <c r="R769" s="22">
        <v>6</v>
      </c>
      <c r="S769" s="22">
        <v>2</v>
      </c>
      <c r="T769" s="22">
        <v>2</v>
      </c>
      <c r="U769" s="39">
        <v>13</v>
      </c>
      <c r="V769" s="22">
        <v>22</v>
      </c>
      <c r="W769" s="22">
        <v>2</v>
      </c>
      <c r="X769" s="40">
        <v>45</v>
      </c>
      <c r="Y769" s="22">
        <v>3</v>
      </c>
      <c r="Z769" s="22">
        <v>0</v>
      </c>
      <c r="AA769" s="22" t="s">
        <v>185</v>
      </c>
      <c r="AB769" s="22" t="s">
        <v>220</v>
      </c>
      <c r="AC769" s="42">
        <f>IFERROR(LOOKUP(M769,打分卡!$F$7:$J$7,打分卡!$K$7:$O$7),1)</f>
        <v>1</v>
      </c>
      <c r="AD769" s="42">
        <f>IFERROR(LOOKUP(S769,打分卡!$F$8:$J$8,打分卡!$K$8:$O$8),1)</f>
        <v>2</v>
      </c>
      <c r="AE769" s="42">
        <f>IFERROR(LOOKUP(T769,打分卡!$F$9:$I$9,打分卡!$K$9:$N$9),1)</f>
        <v>3</v>
      </c>
      <c r="AF769" s="42">
        <f>IFERROR(LOOKUP(Q769,打分卡!$F$10:$J$10,打分卡!$K$10:$O$10),1)</f>
        <v>1</v>
      </c>
      <c r="AG769" s="42">
        <f>IFERROR(LOOKUP(R769,打分卡!$F$11:$J$11,打分卡!$K$11:$O$11),1)</f>
        <v>3</v>
      </c>
      <c r="AH769" s="42">
        <f>IFERROR(LOOKUP(U769,打分卡!$F$12:$J$12,打分卡!$K$12:$O$12),1)</f>
        <v>3</v>
      </c>
      <c r="AI769" s="42">
        <f>IFERROR(LOOKUP(X769,打分卡!$F$13:$J$13,打分卡!$K$13:$O$13),1)</f>
        <v>3</v>
      </c>
      <c r="AJ769" s="42">
        <f>IFERROR(LOOKUP(Y769,打分卡!$F$14:$J$14,打分卡!$K$14:$O$14),1)</f>
        <v>4</v>
      </c>
      <c r="AK769" s="42">
        <f>IFERROR(LOOKUP(W769,打分卡!$F$15:$J$15,打分卡!$K$15:$O$15),1)</f>
        <v>2</v>
      </c>
      <c r="AL769" s="45">
        <f t="shared" si="89"/>
        <v>3</v>
      </c>
      <c r="AM769" s="42">
        <f>IFERROR(LOOKUP(Z769,打分卡!$F$17:$H$17,打分卡!$K$17:$M$17),1)</f>
        <v>1</v>
      </c>
      <c r="AN769" s="46">
        <f>(打分卡!$D$7*AC769+打分卡!$D$8*AD769+打分卡!$D$9*AE769)/5</f>
        <v>12.4</v>
      </c>
      <c r="AO769" s="46">
        <f>(打分卡!$D$10*AF769+打分卡!$D$11*AG769)/5</f>
        <v>8</v>
      </c>
      <c r="AP769" s="46">
        <f>(打分卡!$D$12*AH769+打分卡!$D$13*AI769+打分卡!$D$14*AJ769+打分卡!$D$15*AK769)/5</f>
        <v>18.4</v>
      </c>
      <c r="AQ769" s="46">
        <f>(打分卡!$D$16*AL769+打分卡!$D$17*AM769)/5</f>
        <v>4.4</v>
      </c>
      <c r="AR769" s="48">
        <f t="shared" si="90"/>
        <v>43.2</v>
      </c>
      <c r="AS769" s="45" t="str">
        <f t="shared" si="91"/>
        <v>腰部</v>
      </c>
      <c r="AT769" s="45" t="str">
        <f t="shared" si="92"/>
        <v/>
      </c>
      <c r="AU769" s="45" t="str">
        <f t="shared" si="93"/>
        <v>拉·主攻：主推AI外呼+大促作战包</v>
      </c>
    </row>
    <row r="770" ht="15" customHeight="1" spans="1:47">
      <c r="A770" s="30" t="s">
        <v>2224</v>
      </c>
      <c r="B770" s="31" t="s">
        <v>2225</v>
      </c>
      <c r="C770" s="31" t="s">
        <v>179</v>
      </c>
      <c r="D770" s="31" t="s">
        <v>235</v>
      </c>
      <c r="E770" s="31" t="s">
        <v>181</v>
      </c>
      <c r="F770" s="30" t="s">
        <v>1600</v>
      </c>
      <c r="G770" s="31">
        <v>20</v>
      </c>
      <c r="H770" s="31" t="s">
        <v>301</v>
      </c>
      <c r="I770" s="31" t="s">
        <v>184</v>
      </c>
      <c r="J770" s="33">
        <v>11100</v>
      </c>
      <c r="K770" s="33">
        <v>5400</v>
      </c>
      <c r="L770" s="33">
        <v>900</v>
      </c>
      <c r="M770" s="33">
        <f t="shared" ref="M770:M833" si="96">SUM(J770:L770)</f>
        <v>17400</v>
      </c>
      <c r="N770" s="34">
        <f t="shared" si="94"/>
        <v>9.12219335275207e-5</v>
      </c>
      <c r="O770" s="35">
        <f>SUM($M$2:M770)</f>
        <v>187328300</v>
      </c>
      <c r="P770" s="34">
        <f t="shared" si="95"/>
        <v>0.982094812093302</v>
      </c>
      <c r="Q770" s="37">
        <v>2.1</v>
      </c>
      <c r="R770" s="31">
        <v>10</v>
      </c>
      <c r="S770" s="31">
        <v>3</v>
      </c>
      <c r="T770" s="31">
        <v>2</v>
      </c>
      <c r="U770" s="37">
        <v>3</v>
      </c>
      <c r="V770" s="31">
        <v>18</v>
      </c>
      <c r="W770" s="31">
        <v>2</v>
      </c>
      <c r="X770" s="38">
        <v>27</v>
      </c>
      <c r="Y770" s="31">
        <v>2</v>
      </c>
      <c r="Z770" s="31">
        <v>1</v>
      </c>
      <c r="AA770" s="31" t="s">
        <v>185</v>
      </c>
      <c r="AB770" s="31" t="s">
        <v>220</v>
      </c>
      <c r="AC770" s="41">
        <f>IFERROR(LOOKUP(M770,打分卡!$F$7:$J$7,打分卡!$K$7:$O$7),1)</f>
        <v>1</v>
      </c>
      <c r="AD770" s="41">
        <f>IFERROR(LOOKUP(S770,打分卡!$F$8:$J$8,打分卡!$K$8:$O$8),1)</f>
        <v>3</v>
      </c>
      <c r="AE770" s="41">
        <f>IFERROR(LOOKUP(T770,打分卡!$F$9:$I$9,打分卡!$K$9:$N$9),1)</f>
        <v>3</v>
      </c>
      <c r="AF770" s="41">
        <f>IFERROR(LOOKUP(Q770,打分卡!$F$10:$J$10,打分卡!$K$10:$O$10),1)</f>
        <v>1</v>
      </c>
      <c r="AG770" s="41">
        <f>IFERROR(LOOKUP(R770,打分卡!$F$11:$J$11,打分卡!$K$11:$O$11),1)</f>
        <v>4</v>
      </c>
      <c r="AH770" s="41">
        <f>IFERROR(LOOKUP(U770,打分卡!$F$12:$J$12,打分卡!$K$12:$O$12),1)</f>
        <v>2</v>
      </c>
      <c r="AI770" s="41">
        <f>IFERROR(LOOKUP(X770,打分卡!$F$13:$J$13,打分卡!$K$13:$O$13),1)</f>
        <v>2</v>
      </c>
      <c r="AJ770" s="41">
        <f>IFERROR(LOOKUP(Y770,打分卡!$F$14:$J$14,打分卡!$K$14:$O$14),1)</f>
        <v>3</v>
      </c>
      <c r="AK770" s="41">
        <f>IFERROR(LOOKUP(W770,打分卡!$F$15:$J$15,打分卡!$K$15:$O$15),1)</f>
        <v>2</v>
      </c>
      <c r="AL770" s="43">
        <f t="shared" ref="AL770:AL833" si="97">IF(AA770="连续下降",1,IF(AA770="下降",2,IF(AA770="上升",5,3)))</f>
        <v>3</v>
      </c>
      <c r="AM770" s="41">
        <f>IFERROR(LOOKUP(Z770,打分卡!$F$17:$H$17,打分卡!$K$17:$M$17),1)</f>
        <v>3</v>
      </c>
      <c r="AN770" s="44">
        <f>(打分卡!$D$7*AC770+打分卡!$D$8*AD770+打分卡!$D$9*AE770)/5</f>
        <v>14</v>
      </c>
      <c r="AO770" s="44">
        <f>(打分卡!$D$10*AF770+打分卡!$D$11*AG770)/5</f>
        <v>10</v>
      </c>
      <c r="AP770" s="44">
        <f>(打分卡!$D$12*AH770+打分卡!$D$13*AI770+打分卡!$D$14*AJ770+打分卡!$D$15*AK770)/5</f>
        <v>13.2</v>
      </c>
      <c r="AQ770" s="44">
        <f>(打分卡!$D$16*AL770+打分卡!$D$17*AM770)/5</f>
        <v>6</v>
      </c>
      <c r="AR770" s="47">
        <f t="shared" ref="AR770:AR833" si="98">IF(G770&lt;3,AP770/30*40+AO770+AP770+AQ770,AN770+AO770+AP770+AQ770)</f>
        <v>43.2</v>
      </c>
      <c r="AS770" s="43" t="str">
        <f t="shared" ref="AS770:AS833" si="99">IF(M770=0,IF(G770&lt;3,"新客观察期","未激活"),IF(AR770&gt;=90,"SKA",IF(AR770&gt;=75,"KA",IF(AR770&gt;=40,"腰部","基础长尾"))))</f>
        <v>腰部</v>
      </c>
      <c r="AT770" s="43" t="str">
        <f t="shared" ref="AT770:AT833" si="100">IF(AA770="连续下降","连续下降-预警","")</f>
        <v/>
      </c>
      <c r="AU770" s="43" t="str">
        <f t="shared" ref="AU770:AU833" si="101">IF(AS770="SKA","守·共创：卡片短信/AI外呼新场景POC",IF(AS770="KA","扩·深化：AI外呼场景深化+Push/企微补全",IF(AS770="腰部","拉·主攻：主推AI外呼+大促作战包",IF(AS770="新客观察期","培育：入门包+1v1场景教育",IF(AS770="基础长尾","激活：企微+Push低成本先跑","唤醒：短信模板+首充补贴")))))</f>
        <v>拉·主攻：主推AI外呼+大促作战包</v>
      </c>
    </row>
    <row r="771" ht="15" customHeight="1" spans="1:47">
      <c r="A771" s="20" t="s">
        <v>2226</v>
      </c>
      <c r="B771" s="22" t="s">
        <v>2227</v>
      </c>
      <c r="C771" s="22" t="s">
        <v>218</v>
      </c>
      <c r="D771" s="22" t="s">
        <v>202</v>
      </c>
      <c r="E771" s="22" t="s">
        <v>181</v>
      </c>
      <c r="F771" s="20" t="s">
        <v>2228</v>
      </c>
      <c r="G771" s="22">
        <v>19</v>
      </c>
      <c r="H771" s="22" t="s">
        <v>301</v>
      </c>
      <c r="I771" s="22" t="s">
        <v>302</v>
      </c>
      <c r="J771" s="36">
        <v>10200</v>
      </c>
      <c r="K771" s="36">
        <v>4000</v>
      </c>
      <c r="L771" s="36">
        <v>3200</v>
      </c>
      <c r="M771" s="36">
        <f t="shared" si="96"/>
        <v>17400</v>
      </c>
      <c r="N771" s="34">
        <f t="shared" ref="N771:N834" si="102">M771/$M$2002</f>
        <v>9.12219335275207e-5</v>
      </c>
      <c r="O771" s="35">
        <f>SUM($M$2:M771)</f>
        <v>187345700</v>
      </c>
      <c r="P771" s="34">
        <f t="shared" ref="P771:P834" si="103">O771/$M$2002</f>
        <v>0.98218603402683</v>
      </c>
      <c r="Q771" s="39">
        <v>1.4</v>
      </c>
      <c r="R771" s="22">
        <v>10</v>
      </c>
      <c r="S771" s="22">
        <v>1</v>
      </c>
      <c r="T771" s="22">
        <v>2</v>
      </c>
      <c r="U771" s="39">
        <v>55.8</v>
      </c>
      <c r="V771" s="22">
        <v>21</v>
      </c>
      <c r="W771" s="22">
        <v>0</v>
      </c>
      <c r="X771" s="40">
        <v>31</v>
      </c>
      <c r="Y771" s="22">
        <v>0</v>
      </c>
      <c r="Z771" s="22">
        <v>1</v>
      </c>
      <c r="AA771" s="22" t="s">
        <v>315</v>
      </c>
      <c r="AB771" s="22" t="s">
        <v>220</v>
      </c>
      <c r="AC771" s="42">
        <f>IFERROR(LOOKUP(M771,打分卡!$F$7:$J$7,打分卡!$K$7:$O$7),1)</f>
        <v>1</v>
      </c>
      <c r="AD771" s="42">
        <f>IFERROR(LOOKUP(S771,打分卡!$F$8:$J$8,打分卡!$K$8:$O$8),1)</f>
        <v>1</v>
      </c>
      <c r="AE771" s="42">
        <f>IFERROR(LOOKUP(T771,打分卡!$F$9:$I$9,打分卡!$K$9:$N$9),1)</f>
        <v>3</v>
      </c>
      <c r="AF771" s="42">
        <f>IFERROR(LOOKUP(Q771,打分卡!$F$10:$J$10,打分卡!$K$10:$O$10),1)</f>
        <v>1</v>
      </c>
      <c r="AG771" s="42">
        <f>IFERROR(LOOKUP(R771,打分卡!$F$11:$J$11,打分卡!$K$11:$O$11),1)</f>
        <v>4</v>
      </c>
      <c r="AH771" s="42">
        <f>IFERROR(LOOKUP(U771,打分卡!$F$12:$J$12,打分卡!$K$12:$O$12),1)</f>
        <v>4</v>
      </c>
      <c r="AI771" s="42">
        <f>IFERROR(LOOKUP(X771,打分卡!$F$13:$J$13,打分卡!$K$13:$O$13),1)</f>
        <v>2</v>
      </c>
      <c r="AJ771" s="42">
        <f>IFERROR(LOOKUP(Y771,打分卡!$F$14:$J$14,打分卡!$K$14:$O$14),1)</f>
        <v>1</v>
      </c>
      <c r="AK771" s="42">
        <f>IFERROR(LOOKUP(W771,打分卡!$F$15:$J$15,打分卡!$K$15:$O$15),1)</f>
        <v>1</v>
      </c>
      <c r="AL771" s="45">
        <f t="shared" si="97"/>
        <v>2</v>
      </c>
      <c r="AM771" s="42">
        <f>IFERROR(LOOKUP(Z771,打分卡!$F$17:$H$17,打分卡!$K$17:$M$17),1)</f>
        <v>3</v>
      </c>
      <c r="AN771" s="46">
        <f>(打分卡!$D$7*AC771+打分卡!$D$8*AD771+打分卡!$D$9*AE771)/5</f>
        <v>10.8</v>
      </c>
      <c r="AO771" s="46">
        <f>(打分卡!$D$10*AF771+打分卡!$D$11*AG771)/5</f>
        <v>10</v>
      </c>
      <c r="AP771" s="46">
        <f>(打分卡!$D$12*AH771+打分卡!$D$13*AI771+打分卡!$D$14*AJ771+打分卡!$D$15*AK771)/5</f>
        <v>14.8</v>
      </c>
      <c r="AQ771" s="46">
        <f>(打分卡!$D$16*AL771+打分卡!$D$17*AM771)/5</f>
        <v>4.8</v>
      </c>
      <c r="AR771" s="48">
        <f t="shared" si="98"/>
        <v>40.4</v>
      </c>
      <c r="AS771" s="45" t="str">
        <f t="shared" si="99"/>
        <v>腰部</v>
      </c>
      <c r="AT771" s="45" t="str">
        <f t="shared" si="100"/>
        <v/>
      </c>
      <c r="AU771" s="45" t="str">
        <f t="shared" si="101"/>
        <v>拉·主攻：主推AI外呼+大促作战包</v>
      </c>
    </row>
    <row r="772" ht="15" customHeight="1" spans="1:47">
      <c r="A772" s="30" t="s">
        <v>2229</v>
      </c>
      <c r="B772" s="31" t="s">
        <v>2230</v>
      </c>
      <c r="C772" s="31" t="s">
        <v>179</v>
      </c>
      <c r="D772" s="31" t="s">
        <v>190</v>
      </c>
      <c r="E772" s="31" t="s">
        <v>181</v>
      </c>
      <c r="F772" s="30" t="s">
        <v>2231</v>
      </c>
      <c r="G772" s="31">
        <v>7</v>
      </c>
      <c r="H772" s="31" t="s">
        <v>301</v>
      </c>
      <c r="I772" s="31" t="s">
        <v>302</v>
      </c>
      <c r="J772" s="33">
        <v>8400</v>
      </c>
      <c r="K772" s="33">
        <v>5500</v>
      </c>
      <c r="L772" s="33">
        <v>3400</v>
      </c>
      <c r="M772" s="33">
        <f t="shared" si="96"/>
        <v>17300</v>
      </c>
      <c r="N772" s="34">
        <f t="shared" si="102"/>
        <v>9.06976695417304e-5</v>
      </c>
      <c r="O772" s="35">
        <f>SUM($M$2:M772)</f>
        <v>187363000</v>
      </c>
      <c r="P772" s="34">
        <f t="shared" si="103"/>
        <v>0.982276731696371</v>
      </c>
      <c r="Q772" s="37">
        <v>1.1</v>
      </c>
      <c r="R772" s="31">
        <v>9</v>
      </c>
      <c r="S772" s="31">
        <v>3</v>
      </c>
      <c r="T772" s="31">
        <v>2</v>
      </c>
      <c r="U772" s="37">
        <v>25.7</v>
      </c>
      <c r="V772" s="31">
        <v>24</v>
      </c>
      <c r="W772" s="31">
        <v>3</v>
      </c>
      <c r="X772" s="38">
        <v>11</v>
      </c>
      <c r="Y772" s="31">
        <v>2</v>
      </c>
      <c r="Z772" s="31">
        <v>0</v>
      </c>
      <c r="AA772" s="31" t="s">
        <v>185</v>
      </c>
      <c r="AB772" s="31" t="s">
        <v>220</v>
      </c>
      <c r="AC772" s="41">
        <f>IFERROR(LOOKUP(M772,打分卡!$F$7:$J$7,打分卡!$K$7:$O$7),1)</f>
        <v>1</v>
      </c>
      <c r="AD772" s="41">
        <f>IFERROR(LOOKUP(S772,打分卡!$F$8:$J$8,打分卡!$K$8:$O$8),1)</f>
        <v>3</v>
      </c>
      <c r="AE772" s="41">
        <f>IFERROR(LOOKUP(T772,打分卡!$F$9:$I$9,打分卡!$K$9:$N$9),1)</f>
        <v>3</v>
      </c>
      <c r="AF772" s="41">
        <f>IFERROR(LOOKUP(Q772,打分卡!$F$10:$J$10,打分卡!$K$10:$O$10),1)</f>
        <v>1</v>
      </c>
      <c r="AG772" s="41">
        <f>IFERROR(LOOKUP(R772,打分卡!$F$11:$J$11,打分卡!$K$11:$O$11),1)</f>
        <v>4</v>
      </c>
      <c r="AH772" s="41">
        <f>IFERROR(LOOKUP(U772,打分卡!$F$12:$J$12,打分卡!$K$12:$O$12),1)</f>
        <v>3</v>
      </c>
      <c r="AI772" s="41">
        <f>IFERROR(LOOKUP(X772,打分卡!$F$13:$J$13,打分卡!$K$13:$O$13),1)</f>
        <v>1</v>
      </c>
      <c r="AJ772" s="41">
        <f>IFERROR(LOOKUP(Y772,打分卡!$F$14:$J$14,打分卡!$K$14:$O$14),1)</f>
        <v>3</v>
      </c>
      <c r="AK772" s="41">
        <f>IFERROR(LOOKUP(W772,打分卡!$F$15:$J$15,打分卡!$K$15:$O$15),1)</f>
        <v>3</v>
      </c>
      <c r="AL772" s="43">
        <f t="shared" si="97"/>
        <v>3</v>
      </c>
      <c r="AM772" s="41">
        <f>IFERROR(LOOKUP(Z772,打分卡!$F$17:$H$17,打分卡!$K$17:$M$17),1)</f>
        <v>1</v>
      </c>
      <c r="AN772" s="44">
        <f>(打分卡!$D$7*AC772+打分卡!$D$8*AD772+打分卡!$D$9*AE772)/5</f>
        <v>14</v>
      </c>
      <c r="AO772" s="44">
        <f>(打分卡!$D$10*AF772+打分卡!$D$11*AG772)/5</f>
        <v>10</v>
      </c>
      <c r="AP772" s="44">
        <f>(打分卡!$D$12*AH772+打分卡!$D$13*AI772+打分卡!$D$14*AJ772+打分卡!$D$15*AK772)/5</f>
        <v>14.8</v>
      </c>
      <c r="AQ772" s="44">
        <f>(打分卡!$D$16*AL772+打分卡!$D$17*AM772)/5</f>
        <v>4.4</v>
      </c>
      <c r="AR772" s="47">
        <f t="shared" si="98"/>
        <v>43.2</v>
      </c>
      <c r="AS772" s="43" t="str">
        <f t="shared" si="99"/>
        <v>腰部</v>
      </c>
      <c r="AT772" s="43" t="str">
        <f t="shared" si="100"/>
        <v/>
      </c>
      <c r="AU772" s="43" t="str">
        <f t="shared" si="101"/>
        <v>拉·主攻：主推AI外呼+大促作战包</v>
      </c>
    </row>
    <row r="773" ht="15" customHeight="1" spans="1:47">
      <c r="A773" s="20" t="s">
        <v>2232</v>
      </c>
      <c r="B773" s="22" t="s">
        <v>2233</v>
      </c>
      <c r="C773" s="22" t="s">
        <v>189</v>
      </c>
      <c r="D773" s="22" t="s">
        <v>196</v>
      </c>
      <c r="E773" s="22" t="s">
        <v>181</v>
      </c>
      <c r="F773" s="20" t="s">
        <v>2234</v>
      </c>
      <c r="G773" s="22">
        <v>16</v>
      </c>
      <c r="H773" s="22" t="s">
        <v>301</v>
      </c>
      <c r="I773" s="22" t="s">
        <v>302</v>
      </c>
      <c r="J773" s="36">
        <v>10400</v>
      </c>
      <c r="K773" s="36">
        <v>4600</v>
      </c>
      <c r="L773" s="36">
        <v>2300</v>
      </c>
      <c r="M773" s="36">
        <f t="shared" si="96"/>
        <v>17300</v>
      </c>
      <c r="N773" s="34">
        <f t="shared" si="102"/>
        <v>9.06976695417304e-5</v>
      </c>
      <c r="O773" s="35">
        <f>SUM($M$2:M773)</f>
        <v>187380300</v>
      </c>
      <c r="P773" s="34">
        <f t="shared" si="103"/>
        <v>0.982367429365913</v>
      </c>
      <c r="Q773" s="39">
        <v>2.4</v>
      </c>
      <c r="R773" s="22">
        <v>8</v>
      </c>
      <c r="S773" s="22">
        <v>2</v>
      </c>
      <c r="T773" s="22">
        <v>2</v>
      </c>
      <c r="U773" s="39">
        <v>1.6</v>
      </c>
      <c r="V773" s="22">
        <v>22</v>
      </c>
      <c r="W773" s="22">
        <v>3</v>
      </c>
      <c r="X773" s="40">
        <v>56</v>
      </c>
      <c r="Y773" s="22">
        <v>1</v>
      </c>
      <c r="Z773" s="22">
        <v>0</v>
      </c>
      <c r="AA773" s="22" t="s">
        <v>199</v>
      </c>
      <c r="AB773" s="22" t="s">
        <v>220</v>
      </c>
      <c r="AC773" s="42">
        <f>IFERROR(LOOKUP(M773,打分卡!$F$7:$J$7,打分卡!$K$7:$O$7),1)</f>
        <v>1</v>
      </c>
      <c r="AD773" s="42">
        <f>IFERROR(LOOKUP(S773,打分卡!$F$8:$J$8,打分卡!$K$8:$O$8),1)</f>
        <v>2</v>
      </c>
      <c r="AE773" s="42">
        <f>IFERROR(LOOKUP(T773,打分卡!$F$9:$I$9,打分卡!$K$9:$N$9),1)</f>
        <v>3</v>
      </c>
      <c r="AF773" s="42">
        <f>IFERROR(LOOKUP(Q773,打分卡!$F$10:$J$10,打分卡!$K$10:$O$10),1)</f>
        <v>1</v>
      </c>
      <c r="AG773" s="42">
        <f>IFERROR(LOOKUP(R773,打分卡!$F$11:$J$11,打分卡!$K$11:$O$11),1)</f>
        <v>3</v>
      </c>
      <c r="AH773" s="42">
        <f>IFERROR(LOOKUP(U773,打分卡!$F$12:$J$12,打分卡!$K$12:$O$12),1)</f>
        <v>1</v>
      </c>
      <c r="AI773" s="42">
        <f>IFERROR(LOOKUP(X773,打分卡!$F$13:$J$13,打分卡!$K$13:$O$13),1)</f>
        <v>3</v>
      </c>
      <c r="AJ773" s="42">
        <f>IFERROR(LOOKUP(Y773,打分卡!$F$14:$J$14,打分卡!$K$14:$O$14),1)</f>
        <v>2</v>
      </c>
      <c r="AK773" s="42">
        <f>IFERROR(LOOKUP(W773,打分卡!$F$15:$J$15,打分卡!$K$15:$O$15),1)</f>
        <v>3</v>
      </c>
      <c r="AL773" s="45">
        <f t="shared" si="97"/>
        <v>5</v>
      </c>
      <c r="AM773" s="42">
        <f>IFERROR(LOOKUP(Z773,打分卡!$F$17:$H$17,打分卡!$K$17:$M$17),1)</f>
        <v>1</v>
      </c>
      <c r="AN773" s="46">
        <f>(打分卡!$D$7*AC773+打分卡!$D$8*AD773+打分卡!$D$9*AE773)/5</f>
        <v>12.4</v>
      </c>
      <c r="AO773" s="46">
        <f>(打分卡!$D$10*AF773+打分卡!$D$11*AG773)/5</f>
        <v>8</v>
      </c>
      <c r="AP773" s="46">
        <f>(打分卡!$D$12*AH773+打分卡!$D$13*AI773+打分卡!$D$14*AJ773+打分卡!$D$15*AK773)/5</f>
        <v>12</v>
      </c>
      <c r="AQ773" s="46">
        <f>(打分卡!$D$16*AL773+打分卡!$D$17*AM773)/5</f>
        <v>6.8</v>
      </c>
      <c r="AR773" s="48">
        <f t="shared" si="98"/>
        <v>39.2</v>
      </c>
      <c r="AS773" s="45" t="str">
        <f t="shared" si="99"/>
        <v>基础长尾</v>
      </c>
      <c r="AT773" s="45" t="str">
        <f t="shared" si="100"/>
        <v/>
      </c>
      <c r="AU773" s="45" t="str">
        <f t="shared" si="101"/>
        <v>激活：企微+Push低成本先跑</v>
      </c>
    </row>
    <row r="774" ht="15" customHeight="1" spans="1:47">
      <c r="A774" s="30" t="s">
        <v>2235</v>
      </c>
      <c r="B774" s="31" t="s">
        <v>2236</v>
      </c>
      <c r="C774" s="31" t="s">
        <v>179</v>
      </c>
      <c r="D774" s="31" t="s">
        <v>180</v>
      </c>
      <c r="E774" s="31" t="s">
        <v>197</v>
      </c>
      <c r="F774" s="30" t="s">
        <v>2237</v>
      </c>
      <c r="G774" s="31">
        <v>9</v>
      </c>
      <c r="H774" s="31" t="s">
        <v>301</v>
      </c>
      <c r="I774" s="31" t="s">
        <v>302</v>
      </c>
      <c r="J774" s="33">
        <v>7900</v>
      </c>
      <c r="K774" s="33">
        <v>4700</v>
      </c>
      <c r="L774" s="33">
        <v>4700</v>
      </c>
      <c r="M774" s="33">
        <f t="shared" si="96"/>
        <v>17300</v>
      </c>
      <c r="N774" s="34">
        <f t="shared" si="102"/>
        <v>9.06976695417304e-5</v>
      </c>
      <c r="O774" s="35">
        <f>SUM($M$2:M774)</f>
        <v>187397600</v>
      </c>
      <c r="P774" s="34">
        <f t="shared" si="103"/>
        <v>0.982458127035455</v>
      </c>
      <c r="Q774" s="37">
        <v>1.4</v>
      </c>
      <c r="R774" s="31">
        <v>8</v>
      </c>
      <c r="S774" s="31">
        <v>1</v>
      </c>
      <c r="T774" s="31">
        <v>2</v>
      </c>
      <c r="U774" s="37">
        <v>8.9</v>
      </c>
      <c r="V774" s="31">
        <v>18</v>
      </c>
      <c r="W774" s="31">
        <v>2</v>
      </c>
      <c r="X774" s="38">
        <v>117</v>
      </c>
      <c r="Y774" s="31">
        <v>1</v>
      </c>
      <c r="Z774" s="31">
        <v>1</v>
      </c>
      <c r="AA774" s="31" t="s">
        <v>315</v>
      </c>
      <c r="AB774" s="31" t="s">
        <v>220</v>
      </c>
      <c r="AC774" s="41">
        <f>IFERROR(LOOKUP(M774,打分卡!$F$7:$J$7,打分卡!$K$7:$O$7),1)</f>
        <v>1</v>
      </c>
      <c r="AD774" s="41">
        <f>IFERROR(LOOKUP(S774,打分卡!$F$8:$J$8,打分卡!$K$8:$O$8),1)</f>
        <v>1</v>
      </c>
      <c r="AE774" s="41">
        <f>IFERROR(LOOKUP(T774,打分卡!$F$9:$I$9,打分卡!$K$9:$N$9),1)</f>
        <v>3</v>
      </c>
      <c r="AF774" s="41">
        <f>IFERROR(LOOKUP(Q774,打分卡!$F$10:$J$10,打分卡!$K$10:$O$10),1)</f>
        <v>1</v>
      </c>
      <c r="AG774" s="41">
        <f>IFERROR(LOOKUP(R774,打分卡!$F$11:$J$11,打分卡!$K$11:$O$11),1)</f>
        <v>3</v>
      </c>
      <c r="AH774" s="41">
        <f>IFERROR(LOOKUP(U774,打分卡!$F$12:$J$12,打分卡!$K$12:$O$12),1)</f>
        <v>2</v>
      </c>
      <c r="AI774" s="41">
        <f>IFERROR(LOOKUP(X774,打分卡!$F$13:$J$13,打分卡!$K$13:$O$13),1)</f>
        <v>4</v>
      </c>
      <c r="AJ774" s="41">
        <f>IFERROR(LOOKUP(Y774,打分卡!$F$14:$J$14,打分卡!$K$14:$O$14),1)</f>
        <v>2</v>
      </c>
      <c r="AK774" s="41">
        <f>IFERROR(LOOKUP(W774,打分卡!$F$15:$J$15,打分卡!$K$15:$O$15),1)</f>
        <v>2</v>
      </c>
      <c r="AL774" s="43">
        <f t="shared" si="97"/>
        <v>2</v>
      </c>
      <c r="AM774" s="41">
        <f>IFERROR(LOOKUP(Z774,打分卡!$F$17:$H$17,打分卡!$K$17:$M$17),1)</f>
        <v>3</v>
      </c>
      <c r="AN774" s="44">
        <f>(打分卡!$D$7*AC774+打分卡!$D$8*AD774+打分卡!$D$9*AE774)/5</f>
        <v>10.8</v>
      </c>
      <c r="AO774" s="44">
        <f>(打分卡!$D$10*AF774+打分卡!$D$11*AG774)/5</f>
        <v>8</v>
      </c>
      <c r="AP774" s="44">
        <f>(打分卡!$D$12*AH774+打分卡!$D$13*AI774+打分卡!$D$14*AJ774+打分卡!$D$15*AK774)/5</f>
        <v>15.2</v>
      </c>
      <c r="AQ774" s="44">
        <f>(打分卡!$D$16*AL774+打分卡!$D$17*AM774)/5</f>
        <v>4.8</v>
      </c>
      <c r="AR774" s="47">
        <f t="shared" si="98"/>
        <v>38.8</v>
      </c>
      <c r="AS774" s="43" t="str">
        <f t="shared" si="99"/>
        <v>基础长尾</v>
      </c>
      <c r="AT774" s="43" t="str">
        <f t="shared" si="100"/>
        <v/>
      </c>
      <c r="AU774" s="43" t="str">
        <f t="shared" si="101"/>
        <v>激活：企微+Push低成本先跑</v>
      </c>
    </row>
    <row r="775" ht="15" customHeight="1" spans="1:47">
      <c r="A775" s="20" t="s">
        <v>2238</v>
      </c>
      <c r="B775" s="22" t="s">
        <v>2239</v>
      </c>
      <c r="C775" s="22" t="s">
        <v>179</v>
      </c>
      <c r="D775" s="22" t="s">
        <v>252</v>
      </c>
      <c r="E775" s="22" t="s">
        <v>181</v>
      </c>
      <c r="F775" s="20" t="s">
        <v>469</v>
      </c>
      <c r="G775" s="22">
        <v>7</v>
      </c>
      <c r="H775" s="22" t="s">
        <v>301</v>
      </c>
      <c r="I775" s="22" t="s">
        <v>184</v>
      </c>
      <c r="J775" s="36">
        <v>10100</v>
      </c>
      <c r="K775" s="36">
        <v>5900</v>
      </c>
      <c r="L775" s="36">
        <v>1200</v>
      </c>
      <c r="M775" s="36">
        <f t="shared" si="96"/>
        <v>17200</v>
      </c>
      <c r="N775" s="34">
        <f t="shared" si="102"/>
        <v>9.017340555594e-5</v>
      </c>
      <c r="O775" s="35">
        <f>SUM($M$2:M775)</f>
        <v>187414800</v>
      </c>
      <c r="P775" s="34">
        <f t="shared" si="103"/>
        <v>0.982548300441011</v>
      </c>
      <c r="Q775" s="39">
        <v>1.9</v>
      </c>
      <c r="R775" s="22">
        <v>9</v>
      </c>
      <c r="S775" s="22">
        <v>2</v>
      </c>
      <c r="T775" s="22">
        <v>0</v>
      </c>
      <c r="U775" s="39">
        <v>2.8</v>
      </c>
      <c r="V775" s="22">
        <v>16</v>
      </c>
      <c r="W775" s="22">
        <v>4</v>
      </c>
      <c r="X775" s="40">
        <v>68</v>
      </c>
      <c r="Y775" s="22">
        <v>3</v>
      </c>
      <c r="Z775" s="22">
        <v>1</v>
      </c>
      <c r="AA775" s="22" t="s">
        <v>185</v>
      </c>
      <c r="AB775" s="22" t="s">
        <v>220</v>
      </c>
      <c r="AC775" s="42">
        <f>IFERROR(LOOKUP(M775,打分卡!$F$7:$J$7,打分卡!$K$7:$O$7),1)</f>
        <v>1</v>
      </c>
      <c r="AD775" s="42">
        <f>IFERROR(LOOKUP(S775,打分卡!$F$8:$J$8,打分卡!$K$8:$O$8),1)</f>
        <v>2</v>
      </c>
      <c r="AE775" s="42">
        <f>IFERROR(LOOKUP(T775,打分卡!$F$9:$I$9,打分卡!$K$9:$N$9),1)</f>
        <v>1</v>
      </c>
      <c r="AF775" s="42">
        <f>IFERROR(LOOKUP(Q775,打分卡!$F$10:$J$10,打分卡!$K$10:$O$10),1)</f>
        <v>1</v>
      </c>
      <c r="AG775" s="42">
        <f>IFERROR(LOOKUP(R775,打分卡!$F$11:$J$11,打分卡!$K$11:$O$11),1)</f>
        <v>4</v>
      </c>
      <c r="AH775" s="42">
        <f>IFERROR(LOOKUP(U775,打分卡!$F$12:$J$12,打分卡!$K$12:$O$12),1)</f>
        <v>2</v>
      </c>
      <c r="AI775" s="42">
        <f>IFERROR(LOOKUP(X775,打分卡!$F$13:$J$13,打分卡!$K$13:$O$13),1)</f>
        <v>3</v>
      </c>
      <c r="AJ775" s="42">
        <f>IFERROR(LOOKUP(Y775,打分卡!$F$14:$J$14,打分卡!$K$14:$O$14),1)</f>
        <v>4</v>
      </c>
      <c r="AK775" s="42">
        <f>IFERROR(LOOKUP(W775,打分卡!$F$15:$J$15,打分卡!$K$15:$O$15),1)</f>
        <v>3</v>
      </c>
      <c r="AL775" s="45">
        <f t="shared" si="97"/>
        <v>3</v>
      </c>
      <c r="AM775" s="42">
        <f>IFERROR(LOOKUP(Z775,打分卡!$F$17:$H$17,打分卡!$K$17:$M$17),1)</f>
        <v>3</v>
      </c>
      <c r="AN775" s="46">
        <f>(打分卡!$D$7*AC775+打分卡!$D$8*AD775+打分卡!$D$9*AE775)/5</f>
        <v>9.6</v>
      </c>
      <c r="AO775" s="46">
        <f>(打分卡!$D$10*AF775+打分卡!$D$11*AG775)/5</f>
        <v>10</v>
      </c>
      <c r="AP775" s="46">
        <f>(打分卡!$D$12*AH775+打分卡!$D$13*AI775+打分卡!$D$14*AJ775+打分卡!$D$15*AK775)/5</f>
        <v>16.8</v>
      </c>
      <c r="AQ775" s="46">
        <f>(打分卡!$D$16*AL775+打分卡!$D$17*AM775)/5</f>
        <v>6</v>
      </c>
      <c r="AR775" s="48">
        <f t="shared" si="98"/>
        <v>42.4</v>
      </c>
      <c r="AS775" s="45" t="str">
        <f t="shared" si="99"/>
        <v>腰部</v>
      </c>
      <c r="AT775" s="45" t="str">
        <f t="shared" si="100"/>
        <v/>
      </c>
      <c r="AU775" s="45" t="str">
        <f t="shared" si="101"/>
        <v>拉·主攻：主推AI外呼+大促作战包</v>
      </c>
    </row>
    <row r="776" ht="15" customHeight="1" spans="1:47">
      <c r="A776" s="30" t="s">
        <v>2240</v>
      </c>
      <c r="B776" s="31" t="s">
        <v>2241</v>
      </c>
      <c r="C776" s="31" t="s">
        <v>189</v>
      </c>
      <c r="D776" s="31" t="s">
        <v>196</v>
      </c>
      <c r="E776" s="31" t="s">
        <v>181</v>
      </c>
      <c r="F776" s="30" t="s">
        <v>1351</v>
      </c>
      <c r="G776" s="31">
        <v>16</v>
      </c>
      <c r="H776" s="31" t="s">
        <v>183</v>
      </c>
      <c r="I776" s="31" t="s">
        <v>302</v>
      </c>
      <c r="J776" s="33">
        <v>9100</v>
      </c>
      <c r="K776" s="33">
        <v>6200</v>
      </c>
      <c r="L776" s="33">
        <v>1800</v>
      </c>
      <c r="M776" s="33">
        <f t="shared" si="96"/>
        <v>17100</v>
      </c>
      <c r="N776" s="34">
        <f t="shared" si="102"/>
        <v>8.96491415701497e-5</v>
      </c>
      <c r="O776" s="35">
        <f>SUM($M$2:M776)</f>
        <v>187431900</v>
      </c>
      <c r="P776" s="34">
        <f t="shared" si="103"/>
        <v>0.982637949582581</v>
      </c>
      <c r="Q776" s="37">
        <v>1.4</v>
      </c>
      <c r="R776" s="31">
        <v>2</v>
      </c>
      <c r="S776" s="31">
        <v>2</v>
      </c>
      <c r="T776" s="31">
        <v>0</v>
      </c>
      <c r="U776" s="37">
        <v>4.1</v>
      </c>
      <c r="V776" s="31">
        <v>27</v>
      </c>
      <c r="W776" s="31">
        <v>0</v>
      </c>
      <c r="X776" s="38">
        <v>17</v>
      </c>
      <c r="Y776" s="31">
        <v>1</v>
      </c>
      <c r="Z776" s="31">
        <v>1</v>
      </c>
      <c r="AA776" s="31" t="s">
        <v>199</v>
      </c>
      <c r="AB776" s="31" t="s">
        <v>220</v>
      </c>
      <c r="AC776" s="41">
        <f>IFERROR(LOOKUP(M776,打分卡!$F$7:$J$7,打分卡!$K$7:$O$7),1)</f>
        <v>1</v>
      </c>
      <c r="AD776" s="41">
        <f>IFERROR(LOOKUP(S776,打分卡!$F$8:$J$8,打分卡!$K$8:$O$8),1)</f>
        <v>2</v>
      </c>
      <c r="AE776" s="41">
        <f>IFERROR(LOOKUP(T776,打分卡!$F$9:$I$9,打分卡!$K$9:$N$9),1)</f>
        <v>1</v>
      </c>
      <c r="AF776" s="41">
        <f>IFERROR(LOOKUP(Q776,打分卡!$F$10:$J$10,打分卡!$K$10:$O$10),1)</f>
        <v>1</v>
      </c>
      <c r="AG776" s="41">
        <f>IFERROR(LOOKUP(R776,打分卡!$F$11:$J$11,打分卡!$K$11:$O$11),1)</f>
        <v>1</v>
      </c>
      <c r="AH776" s="41">
        <f>IFERROR(LOOKUP(U776,打分卡!$F$12:$J$12,打分卡!$K$12:$O$12),1)</f>
        <v>2</v>
      </c>
      <c r="AI776" s="41">
        <f>IFERROR(LOOKUP(X776,打分卡!$F$13:$J$13,打分卡!$K$13:$O$13),1)</f>
        <v>1</v>
      </c>
      <c r="AJ776" s="41">
        <f>IFERROR(LOOKUP(Y776,打分卡!$F$14:$J$14,打分卡!$K$14:$O$14),1)</f>
        <v>2</v>
      </c>
      <c r="AK776" s="41">
        <f>IFERROR(LOOKUP(W776,打分卡!$F$15:$J$15,打分卡!$K$15:$O$15),1)</f>
        <v>1</v>
      </c>
      <c r="AL776" s="43">
        <f t="shared" si="97"/>
        <v>5</v>
      </c>
      <c r="AM776" s="41">
        <f>IFERROR(LOOKUP(Z776,打分卡!$F$17:$H$17,打分卡!$K$17:$M$17),1)</f>
        <v>3</v>
      </c>
      <c r="AN776" s="44">
        <f>(打分卡!$D$7*AC776+打分卡!$D$8*AD776+打分卡!$D$9*AE776)/5</f>
        <v>9.6</v>
      </c>
      <c r="AO776" s="44">
        <f>(打分卡!$D$10*AF776+打分卡!$D$11*AG776)/5</f>
        <v>4</v>
      </c>
      <c r="AP776" s="44">
        <f>(打分卡!$D$12*AH776+打分卡!$D$13*AI776+打分卡!$D$14*AJ776+打分卡!$D$15*AK776)/5</f>
        <v>9.6</v>
      </c>
      <c r="AQ776" s="44">
        <f>(打分卡!$D$16*AL776+打分卡!$D$17*AM776)/5</f>
        <v>8.4</v>
      </c>
      <c r="AR776" s="47">
        <f t="shared" si="98"/>
        <v>31.6</v>
      </c>
      <c r="AS776" s="43" t="str">
        <f t="shared" si="99"/>
        <v>基础长尾</v>
      </c>
      <c r="AT776" s="43" t="str">
        <f t="shared" si="100"/>
        <v/>
      </c>
      <c r="AU776" s="43" t="str">
        <f t="shared" si="101"/>
        <v>激活：企微+Push低成本先跑</v>
      </c>
    </row>
    <row r="777" ht="15" customHeight="1" spans="1:47">
      <c r="A777" s="20" t="s">
        <v>2242</v>
      </c>
      <c r="B777" s="22" t="s">
        <v>2243</v>
      </c>
      <c r="C777" s="22" t="s">
        <v>179</v>
      </c>
      <c r="D777" s="22" t="s">
        <v>196</v>
      </c>
      <c r="E777" s="22" t="s">
        <v>197</v>
      </c>
      <c r="F777" s="20" t="s">
        <v>661</v>
      </c>
      <c r="G777" s="22">
        <v>16</v>
      </c>
      <c r="H777" s="22" t="s">
        <v>301</v>
      </c>
      <c r="I777" s="22" t="s">
        <v>302</v>
      </c>
      <c r="J777" s="36">
        <v>10500</v>
      </c>
      <c r="K777" s="36">
        <v>5800</v>
      </c>
      <c r="L777" s="36">
        <v>900</v>
      </c>
      <c r="M777" s="36">
        <f t="shared" si="96"/>
        <v>17200</v>
      </c>
      <c r="N777" s="34">
        <f t="shared" si="102"/>
        <v>9.017340555594e-5</v>
      </c>
      <c r="O777" s="35">
        <f>SUM($M$2:M777)</f>
        <v>187449100</v>
      </c>
      <c r="P777" s="34">
        <f t="shared" si="103"/>
        <v>0.982728122988137</v>
      </c>
      <c r="Q777" s="39">
        <v>1.9</v>
      </c>
      <c r="R777" s="22">
        <v>9</v>
      </c>
      <c r="S777" s="22">
        <v>3</v>
      </c>
      <c r="T777" s="22">
        <v>0</v>
      </c>
      <c r="U777" s="39">
        <v>1</v>
      </c>
      <c r="V777" s="22">
        <v>21</v>
      </c>
      <c r="W777" s="22">
        <v>0</v>
      </c>
      <c r="X777" s="40">
        <v>142</v>
      </c>
      <c r="Y777" s="22">
        <v>2</v>
      </c>
      <c r="Z777" s="22">
        <v>0</v>
      </c>
      <c r="AA777" s="22" t="s">
        <v>315</v>
      </c>
      <c r="AB777" s="22" t="s">
        <v>220</v>
      </c>
      <c r="AC777" s="42">
        <f>IFERROR(LOOKUP(M777,打分卡!$F$7:$J$7,打分卡!$K$7:$O$7),1)</f>
        <v>1</v>
      </c>
      <c r="AD777" s="42">
        <f>IFERROR(LOOKUP(S777,打分卡!$F$8:$J$8,打分卡!$K$8:$O$8),1)</f>
        <v>3</v>
      </c>
      <c r="AE777" s="42">
        <f>IFERROR(LOOKUP(T777,打分卡!$F$9:$I$9,打分卡!$K$9:$N$9),1)</f>
        <v>1</v>
      </c>
      <c r="AF777" s="42">
        <f>IFERROR(LOOKUP(Q777,打分卡!$F$10:$J$10,打分卡!$K$10:$O$10),1)</f>
        <v>1</v>
      </c>
      <c r="AG777" s="42">
        <f>IFERROR(LOOKUP(R777,打分卡!$F$11:$J$11,打分卡!$K$11:$O$11),1)</f>
        <v>4</v>
      </c>
      <c r="AH777" s="42">
        <f>IFERROR(LOOKUP(U777,打分卡!$F$12:$J$12,打分卡!$K$12:$O$12),1)</f>
        <v>1</v>
      </c>
      <c r="AI777" s="42">
        <f>IFERROR(LOOKUP(X777,打分卡!$F$13:$J$13,打分卡!$K$13:$O$13),1)</f>
        <v>4</v>
      </c>
      <c r="AJ777" s="42">
        <f>IFERROR(LOOKUP(Y777,打分卡!$F$14:$J$14,打分卡!$K$14:$O$14),1)</f>
        <v>3</v>
      </c>
      <c r="AK777" s="42">
        <f>IFERROR(LOOKUP(W777,打分卡!$F$15:$J$15,打分卡!$K$15:$O$15),1)</f>
        <v>1</v>
      </c>
      <c r="AL777" s="45">
        <f t="shared" si="97"/>
        <v>2</v>
      </c>
      <c r="AM777" s="42">
        <f>IFERROR(LOOKUP(Z777,打分卡!$F$17:$H$17,打分卡!$K$17:$M$17),1)</f>
        <v>1</v>
      </c>
      <c r="AN777" s="46">
        <f>(打分卡!$D$7*AC777+打分卡!$D$8*AD777+打分卡!$D$9*AE777)/5</f>
        <v>11.2</v>
      </c>
      <c r="AO777" s="46">
        <f>(打分卡!$D$10*AF777+打分卡!$D$11*AG777)/5</f>
        <v>10</v>
      </c>
      <c r="AP777" s="46">
        <f>(打分卡!$D$12*AH777+打分卡!$D$13*AI777+打分卡!$D$14*AJ777+打分卡!$D$15*AK777)/5</f>
        <v>13.2</v>
      </c>
      <c r="AQ777" s="46">
        <f>(打分卡!$D$16*AL777+打分卡!$D$17*AM777)/5</f>
        <v>3.2</v>
      </c>
      <c r="AR777" s="48">
        <f t="shared" si="98"/>
        <v>37.6</v>
      </c>
      <c r="AS777" s="45" t="str">
        <f t="shared" si="99"/>
        <v>基础长尾</v>
      </c>
      <c r="AT777" s="45" t="str">
        <f t="shared" si="100"/>
        <v/>
      </c>
      <c r="AU777" s="45" t="str">
        <f t="shared" si="101"/>
        <v>激活：企微+Push低成本先跑</v>
      </c>
    </row>
    <row r="778" ht="15" customHeight="1" spans="1:47">
      <c r="A778" s="30" t="s">
        <v>2244</v>
      </c>
      <c r="B778" s="31" t="s">
        <v>2245</v>
      </c>
      <c r="C778" s="31" t="s">
        <v>179</v>
      </c>
      <c r="D778" s="31" t="s">
        <v>180</v>
      </c>
      <c r="E778" s="31" t="s">
        <v>181</v>
      </c>
      <c r="F778" s="30" t="s">
        <v>1676</v>
      </c>
      <c r="G778" s="31">
        <v>17</v>
      </c>
      <c r="H778" s="31" t="s">
        <v>301</v>
      </c>
      <c r="I778" s="31" t="s">
        <v>302</v>
      </c>
      <c r="J778" s="33">
        <v>9800</v>
      </c>
      <c r="K778" s="33">
        <v>4000</v>
      </c>
      <c r="L778" s="33">
        <v>3300</v>
      </c>
      <c r="M778" s="33">
        <f t="shared" si="96"/>
        <v>17100</v>
      </c>
      <c r="N778" s="34">
        <f t="shared" si="102"/>
        <v>8.96491415701497e-5</v>
      </c>
      <c r="O778" s="35">
        <f>SUM($M$2:M778)</f>
        <v>187466200</v>
      </c>
      <c r="P778" s="34">
        <f t="shared" si="103"/>
        <v>0.982817772129707</v>
      </c>
      <c r="Q778" s="37">
        <v>1.1</v>
      </c>
      <c r="R778" s="31">
        <v>3</v>
      </c>
      <c r="S778" s="31">
        <v>1</v>
      </c>
      <c r="T778" s="31">
        <v>0</v>
      </c>
      <c r="U778" s="37">
        <v>20</v>
      </c>
      <c r="V778" s="31">
        <v>11</v>
      </c>
      <c r="W778" s="31">
        <v>1</v>
      </c>
      <c r="X778" s="38">
        <v>19</v>
      </c>
      <c r="Y778" s="31">
        <v>1</v>
      </c>
      <c r="Z778" s="31">
        <v>1</v>
      </c>
      <c r="AA778" s="31" t="s">
        <v>185</v>
      </c>
      <c r="AB778" s="31" t="s">
        <v>220</v>
      </c>
      <c r="AC778" s="41">
        <f>IFERROR(LOOKUP(M778,打分卡!$F$7:$J$7,打分卡!$K$7:$O$7),1)</f>
        <v>1</v>
      </c>
      <c r="AD778" s="41">
        <f>IFERROR(LOOKUP(S778,打分卡!$F$8:$J$8,打分卡!$K$8:$O$8),1)</f>
        <v>1</v>
      </c>
      <c r="AE778" s="41">
        <f>IFERROR(LOOKUP(T778,打分卡!$F$9:$I$9,打分卡!$K$9:$N$9),1)</f>
        <v>1</v>
      </c>
      <c r="AF778" s="41">
        <f>IFERROR(LOOKUP(Q778,打分卡!$F$10:$J$10,打分卡!$K$10:$O$10),1)</f>
        <v>1</v>
      </c>
      <c r="AG778" s="41">
        <f>IFERROR(LOOKUP(R778,打分卡!$F$11:$J$11,打分卡!$K$11:$O$11),1)</f>
        <v>2</v>
      </c>
      <c r="AH778" s="41">
        <f>IFERROR(LOOKUP(U778,打分卡!$F$12:$J$12,打分卡!$K$12:$O$12),1)</f>
        <v>3</v>
      </c>
      <c r="AI778" s="41">
        <f>IFERROR(LOOKUP(X778,打分卡!$F$13:$J$13,打分卡!$K$13:$O$13),1)</f>
        <v>2</v>
      </c>
      <c r="AJ778" s="41">
        <f>IFERROR(LOOKUP(Y778,打分卡!$F$14:$J$14,打分卡!$K$14:$O$14),1)</f>
        <v>2</v>
      </c>
      <c r="AK778" s="41">
        <f>IFERROR(LOOKUP(W778,打分卡!$F$15:$J$15,打分卡!$K$15:$O$15),1)</f>
        <v>2</v>
      </c>
      <c r="AL778" s="43">
        <f t="shared" si="97"/>
        <v>3</v>
      </c>
      <c r="AM778" s="41">
        <f>IFERROR(LOOKUP(Z778,打分卡!$F$17:$H$17,打分卡!$K$17:$M$17),1)</f>
        <v>3</v>
      </c>
      <c r="AN778" s="44">
        <f>(打分卡!$D$7*AC778+打分卡!$D$8*AD778+打分卡!$D$9*AE778)/5</f>
        <v>8</v>
      </c>
      <c r="AO778" s="44">
        <f>(打分卡!$D$10*AF778+打分卡!$D$11*AG778)/5</f>
        <v>6</v>
      </c>
      <c r="AP778" s="44">
        <f>(打分卡!$D$12*AH778+打分卡!$D$13*AI778+打分卡!$D$14*AJ778+打分卡!$D$15*AK778)/5</f>
        <v>14.4</v>
      </c>
      <c r="AQ778" s="44">
        <f>(打分卡!$D$16*AL778+打分卡!$D$17*AM778)/5</f>
        <v>6</v>
      </c>
      <c r="AR778" s="47">
        <f t="shared" si="98"/>
        <v>34.4</v>
      </c>
      <c r="AS778" s="43" t="str">
        <f t="shared" si="99"/>
        <v>基础长尾</v>
      </c>
      <c r="AT778" s="43" t="str">
        <f t="shared" si="100"/>
        <v/>
      </c>
      <c r="AU778" s="43" t="str">
        <f t="shared" si="101"/>
        <v>激活：企微+Push低成本先跑</v>
      </c>
    </row>
    <row r="779" ht="15" customHeight="1" spans="1:47">
      <c r="A779" s="20" t="s">
        <v>2246</v>
      </c>
      <c r="B779" s="22" t="s">
        <v>2247</v>
      </c>
      <c r="C779" s="22" t="s">
        <v>223</v>
      </c>
      <c r="D779" s="22" t="s">
        <v>202</v>
      </c>
      <c r="E779" s="22" t="s">
        <v>181</v>
      </c>
      <c r="F779" s="20" t="s">
        <v>655</v>
      </c>
      <c r="G779" s="22">
        <v>4</v>
      </c>
      <c r="H779" s="22" t="s">
        <v>301</v>
      </c>
      <c r="I779" s="22" t="s">
        <v>302</v>
      </c>
      <c r="J779" s="36">
        <v>9300</v>
      </c>
      <c r="K779" s="36">
        <v>4700</v>
      </c>
      <c r="L779" s="36">
        <v>3000</v>
      </c>
      <c r="M779" s="36">
        <f t="shared" si="96"/>
        <v>17000</v>
      </c>
      <c r="N779" s="34">
        <f t="shared" si="102"/>
        <v>8.91248775843593e-5</v>
      </c>
      <c r="O779" s="35">
        <f>SUM($M$2:M779)</f>
        <v>187483200</v>
      </c>
      <c r="P779" s="34">
        <f t="shared" si="103"/>
        <v>0.982906897007292</v>
      </c>
      <c r="Q779" s="39">
        <v>1.2</v>
      </c>
      <c r="R779" s="22">
        <v>10</v>
      </c>
      <c r="S779" s="22">
        <v>1</v>
      </c>
      <c r="T779" s="22">
        <v>1</v>
      </c>
      <c r="U779" s="39">
        <v>13.9</v>
      </c>
      <c r="V779" s="22">
        <v>9</v>
      </c>
      <c r="W779" s="22">
        <v>3</v>
      </c>
      <c r="X779" s="40">
        <v>64</v>
      </c>
      <c r="Y779" s="22">
        <v>2</v>
      </c>
      <c r="Z779" s="22">
        <v>0</v>
      </c>
      <c r="AA779" s="22" t="s">
        <v>199</v>
      </c>
      <c r="AB779" s="22" t="s">
        <v>220</v>
      </c>
      <c r="AC779" s="42">
        <f>IFERROR(LOOKUP(M779,打分卡!$F$7:$J$7,打分卡!$K$7:$O$7),1)</f>
        <v>1</v>
      </c>
      <c r="AD779" s="42">
        <f>IFERROR(LOOKUP(S779,打分卡!$F$8:$J$8,打分卡!$K$8:$O$8),1)</f>
        <v>1</v>
      </c>
      <c r="AE779" s="42">
        <f>IFERROR(LOOKUP(T779,打分卡!$F$9:$I$9,打分卡!$K$9:$N$9),1)</f>
        <v>2</v>
      </c>
      <c r="AF779" s="42">
        <f>IFERROR(LOOKUP(Q779,打分卡!$F$10:$J$10,打分卡!$K$10:$O$10),1)</f>
        <v>1</v>
      </c>
      <c r="AG779" s="42">
        <f>IFERROR(LOOKUP(R779,打分卡!$F$11:$J$11,打分卡!$K$11:$O$11),1)</f>
        <v>4</v>
      </c>
      <c r="AH779" s="42">
        <f>IFERROR(LOOKUP(U779,打分卡!$F$12:$J$12,打分卡!$K$12:$O$12),1)</f>
        <v>3</v>
      </c>
      <c r="AI779" s="42">
        <f>IFERROR(LOOKUP(X779,打分卡!$F$13:$J$13,打分卡!$K$13:$O$13),1)</f>
        <v>3</v>
      </c>
      <c r="AJ779" s="42">
        <f>IFERROR(LOOKUP(Y779,打分卡!$F$14:$J$14,打分卡!$K$14:$O$14),1)</f>
        <v>3</v>
      </c>
      <c r="AK779" s="42">
        <f>IFERROR(LOOKUP(W779,打分卡!$F$15:$J$15,打分卡!$K$15:$O$15),1)</f>
        <v>3</v>
      </c>
      <c r="AL779" s="45">
        <f t="shared" si="97"/>
        <v>5</v>
      </c>
      <c r="AM779" s="42">
        <f>IFERROR(LOOKUP(Z779,打分卡!$F$17:$H$17,打分卡!$K$17:$M$17),1)</f>
        <v>1</v>
      </c>
      <c r="AN779" s="46">
        <f>(打分卡!$D$7*AC779+打分卡!$D$8*AD779+打分卡!$D$9*AE779)/5</f>
        <v>9.4</v>
      </c>
      <c r="AO779" s="46">
        <f>(打分卡!$D$10*AF779+打分卡!$D$11*AG779)/5</f>
        <v>10</v>
      </c>
      <c r="AP779" s="46">
        <f>(打分卡!$D$12*AH779+打分卡!$D$13*AI779+打分卡!$D$14*AJ779+打分卡!$D$15*AK779)/5</f>
        <v>18</v>
      </c>
      <c r="AQ779" s="46">
        <f>(打分卡!$D$16*AL779+打分卡!$D$17*AM779)/5</f>
        <v>6.8</v>
      </c>
      <c r="AR779" s="48">
        <f t="shared" si="98"/>
        <v>44.2</v>
      </c>
      <c r="AS779" s="45" t="str">
        <f t="shared" si="99"/>
        <v>腰部</v>
      </c>
      <c r="AT779" s="45" t="str">
        <f t="shared" si="100"/>
        <v/>
      </c>
      <c r="AU779" s="45" t="str">
        <f t="shared" si="101"/>
        <v>拉·主攻：主推AI外呼+大促作战包</v>
      </c>
    </row>
    <row r="780" ht="15" customHeight="1" spans="1:47">
      <c r="A780" s="30" t="s">
        <v>2248</v>
      </c>
      <c r="B780" s="31" t="s">
        <v>2249</v>
      </c>
      <c r="C780" s="31" t="s">
        <v>223</v>
      </c>
      <c r="D780" s="31" t="s">
        <v>235</v>
      </c>
      <c r="E780" s="31" t="s">
        <v>181</v>
      </c>
      <c r="F780" s="30" t="s">
        <v>2094</v>
      </c>
      <c r="G780" s="31">
        <v>20</v>
      </c>
      <c r="H780" s="31" t="s">
        <v>301</v>
      </c>
      <c r="I780" s="31" t="s">
        <v>302</v>
      </c>
      <c r="J780" s="33">
        <v>8500</v>
      </c>
      <c r="K780" s="33">
        <v>4600</v>
      </c>
      <c r="L780" s="33">
        <v>4000</v>
      </c>
      <c r="M780" s="33">
        <f t="shared" si="96"/>
        <v>17100</v>
      </c>
      <c r="N780" s="34">
        <f t="shared" si="102"/>
        <v>8.96491415701497e-5</v>
      </c>
      <c r="O780" s="35">
        <f>SUM($M$2:M780)</f>
        <v>187500300</v>
      </c>
      <c r="P780" s="34">
        <f t="shared" si="103"/>
        <v>0.982996546148862</v>
      </c>
      <c r="Q780" s="37">
        <v>1.1</v>
      </c>
      <c r="R780" s="31">
        <v>4</v>
      </c>
      <c r="S780" s="31">
        <v>3</v>
      </c>
      <c r="T780" s="31">
        <v>1</v>
      </c>
      <c r="U780" s="37">
        <v>3</v>
      </c>
      <c r="V780" s="31">
        <v>28</v>
      </c>
      <c r="W780" s="31">
        <v>2</v>
      </c>
      <c r="X780" s="38">
        <v>35</v>
      </c>
      <c r="Y780" s="31">
        <v>0</v>
      </c>
      <c r="Z780" s="31">
        <v>1</v>
      </c>
      <c r="AA780" s="31" t="s">
        <v>199</v>
      </c>
      <c r="AB780" s="31" t="s">
        <v>220</v>
      </c>
      <c r="AC780" s="41">
        <f>IFERROR(LOOKUP(M780,打分卡!$F$7:$J$7,打分卡!$K$7:$O$7),1)</f>
        <v>1</v>
      </c>
      <c r="AD780" s="41">
        <f>IFERROR(LOOKUP(S780,打分卡!$F$8:$J$8,打分卡!$K$8:$O$8),1)</f>
        <v>3</v>
      </c>
      <c r="AE780" s="41">
        <f>IFERROR(LOOKUP(T780,打分卡!$F$9:$I$9,打分卡!$K$9:$N$9),1)</f>
        <v>2</v>
      </c>
      <c r="AF780" s="41">
        <f>IFERROR(LOOKUP(Q780,打分卡!$F$10:$J$10,打分卡!$K$10:$O$10),1)</f>
        <v>1</v>
      </c>
      <c r="AG780" s="41">
        <f>IFERROR(LOOKUP(R780,打分卡!$F$11:$J$11,打分卡!$K$11:$O$11),1)</f>
        <v>2</v>
      </c>
      <c r="AH780" s="41">
        <f>IFERROR(LOOKUP(U780,打分卡!$F$12:$J$12,打分卡!$K$12:$O$12),1)</f>
        <v>2</v>
      </c>
      <c r="AI780" s="41">
        <f>IFERROR(LOOKUP(X780,打分卡!$F$13:$J$13,打分卡!$K$13:$O$13),1)</f>
        <v>2</v>
      </c>
      <c r="AJ780" s="41">
        <f>IFERROR(LOOKUP(Y780,打分卡!$F$14:$J$14,打分卡!$K$14:$O$14),1)</f>
        <v>1</v>
      </c>
      <c r="AK780" s="41">
        <f>IFERROR(LOOKUP(W780,打分卡!$F$15:$J$15,打分卡!$K$15:$O$15),1)</f>
        <v>2</v>
      </c>
      <c r="AL780" s="43">
        <f t="shared" si="97"/>
        <v>5</v>
      </c>
      <c r="AM780" s="41">
        <f>IFERROR(LOOKUP(Z780,打分卡!$F$17:$H$17,打分卡!$K$17:$M$17),1)</f>
        <v>3</v>
      </c>
      <c r="AN780" s="44">
        <f>(打分卡!$D$7*AC780+打分卡!$D$8*AD780+打分卡!$D$9*AE780)/5</f>
        <v>12.6</v>
      </c>
      <c r="AO780" s="44">
        <f>(打分卡!$D$10*AF780+打分卡!$D$11*AG780)/5</f>
        <v>6</v>
      </c>
      <c r="AP780" s="44">
        <f>(打分卡!$D$12*AH780+打分卡!$D$13*AI780+打分卡!$D$14*AJ780+打分卡!$D$15*AK780)/5</f>
        <v>10.8</v>
      </c>
      <c r="AQ780" s="44">
        <f>(打分卡!$D$16*AL780+打分卡!$D$17*AM780)/5</f>
        <v>8.4</v>
      </c>
      <c r="AR780" s="47">
        <f t="shared" si="98"/>
        <v>37.8</v>
      </c>
      <c r="AS780" s="43" t="str">
        <f t="shared" si="99"/>
        <v>基础长尾</v>
      </c>
      <c r="AT780" s="43" t="str">
        <f t="shared" si="100"/>
        <v/>
      </c>
      <c r="AU780" s="43" t="str">
        <f t="shared" si="101"/>
        <v>激活：企微+Push低成本先跑</v>
      </c>
    </row>
    <row r="781" ht="15" customHeight="1" spans="1:47">
      <c r="A781" s="20" t="s">
        <v>2250</v>
      </c>
      <c r="B781" s="22" t="s">
        <v>2251</v>
      </c>
      <c r="C781" s="22" t="s">
        <v>189</v>
      </c>
      <c r="D781" s="22" t="s">
        <v>252</v>
      </c>
      <c r="E781" s="22" t="s">
        <v>181</v>
      </c>
      <c r="F781" s="20" t="s">
        <v>723</v>
      </c>
      <c r="G781" s="22">
        <v>16</v>
      </c>
      <c r="H781" s="22" t="s">
        <v>301</v>
      </c>
      <c r="I781" s="22" t="s">
        <v>184</v>
      </c>
      <c r="J781" s="36">
        <v>9600</v>
      </c>
      <c r="K781" s="36">
        <v>5300</v>
      </c>
      <c r="L781" s="36">
        <v>1900</v>
      </c>
      <c r="M781" s="36">
        <f t="shared" si="96"/>
        <v>16800</v>
      </c>
      <c r="N781" s="34">
        <f t="shared" si="102"/>
        <v>8.80763496127786e-5</v>
      </c>
      <c r="O781" s="35">
        <f>SUM($M$2:M781)</f>
        <v>187517100</v>
      </c>
      <c r="P781" s="34">
        <f t="shared" si="103"/>
        <v>0.983084622498474</v>
      </c>
      <c r="Q781" s="39">
        <v>1</v>
      </c>
      <c r="R781" s="22">
        <v>4</v>
      </c>
      <c r="S781" s="22">
        <v>1</v>
      </c>
      <c r="T781" s="22">
        <v>1</v>
      </c>
      <c r="U781" s="39">
        <v>1.5</v>
      </c>
      <c r="V781" s="22">
        <v>24</v>
      </c>
      <c r="W781" s="22">
        <v>2</v>
      </c>
      <c r="X781" s="40">
        <v>104</v>
      </c>
      <c r="Y781" s="22">
        <v>0</v>
      </c>
      <c r="Z781" s="22">
        <v>1</v>
      </c>
      <c r="AA781" s="22" t="s">
        <v>185</v>
      </c>
      <c r="AB781" s="22" t="s">
        <v>220</v>
      </c>
      <c r="AC781" s="42">
        <f>IFERROR(LOOKUP(M781,打分卡!$F$7:$J$7,打分卡!$K$7:$O$7),1)</f>
        <v>1</v>
      </c>
      <c r="AD781" s="42">
        <f>IFERROR(LOOKUP(S781,打分卡!$F$8:$J$8,打分卡!$K$8:$O$8),1)</f>
        <v>1</v>
      </c>
      <c r="AE781" s="42">
        <f>IFERROR(LOOKUP(T781,打分卡!$F$9:$I$9,打分卡!$K$9:$N$9),1)</f>
        <v>2</v>
      </c>
      <c r="AF781" s="42">
        <f>IFERROR(LOOKUP(Q781,打分卡!$F$10:$J$10,打分卡!$K$10:$O$10),1)</f>
        <v>1</v>
      </c>
      <c r="AG781" s="42">
        <f>IFERROR(LOOKUP(R781,打分卡!$F$11:$J$11,打分卡!$K$11:$O$11),1)</f>
        <v>2</v>
      </c>
      <c r="AH781" s="42">
        <f>IFERROR(LOOKUP(U781,打分卡!$F$12:$J$12,打分卡!$K$12:$O$12),1)</f>
        <v>1</v>
      </c>
      <c r="AI781" s="42">
        <f>IFERROR(LOOKUP(X781,打分卡!$F$13:$J$13,打分卡!$K$13:$O$13),1)</f>
        <v>4</v>
      </c>
      <c r="AJ781" s="42">
        <f>IFERROR(LOOKUP(Y781,打分卡!$F$14:$J$14,打分卡!$K$14:$O$14),1)</f>
        <v>1</v>
      </c>
      <c r="AK781" s="42">
        <f>IFERROR(LOOKUP(W781,打分卡!$F$15:$J$15,打分卡!$K$15:$O$15),1)</f>
        <v>2</v>
      </c>
      <c r="AL781" s="45">
        <f t="shared" si="97"/>
        <v>3</v>
      </c>
      <c r="AM781" s="42">
        <f>IFERROR(LOOKUP(Z781,打分卡!$F$17:$H$17,打分卡!$K$17:$M$17),1)</f>
        <v>3</v>
      </c>
      <c r="AN781" s="46">
        <f>(打分卡!$D$7*AC781+打分卡!$D$8*AD781+打分卡!$D$9*AE781)/5</f>
        <v>9.4</v>
      </c>
      <c r="AO781" s="46">
        <f>(打分卡!$D$10*AF781+打分卡!$D$11*AG781)/5</f>
        <v>6</v>
      </c>
      <c r="AP781" s="46">
        <f>(打分卡!$D$12*AH781+打分卡!$D$13*AI781+打分卡!$D$14*AJ781+打分卡!$D$15*AK781)/5</f>
        <v>11.6</v>
      </c>
      <c r="AQ781" s="46">
        <f>(打分卡!$D$16*AL781+打分卡!$D$17*AM781)/5</f>
        <v>6</v>
      </c>
      <c r="AR781" s="48">
        <f t="shared" si="98"/>
        <v>33</v>
      </c>
      <c r="AS781" s="45" t="str">
        <f t="shared" si="99"/>
        <v>基础长尾</v>
      </c>
      <c r="AT781" s="45" t="str">
        <f t="shared" si="100"/>
        <v/>
      </c>
      <c r="AU781" s="45" t="str">
        <f t="shared" si="101"/>
        <v>激活：企微+Push低成本先跑</v>
      </c>
    </row>
    <row r="782" ht="15" customHeight="1" spans="1:47">
      <c r="A782" s="30" t="s">
        <v>2252</v>
      </c>
      <c r="B782" s="31" t="s">
        <v>2253</v>
      </c>
      <c r="C782" s="31" t="s">
        <v>179</v>
      </c>
      <c r="D782" s="31" t="s">
        <v>196</v>
      </c>
      <c r="E782" s="31" t="s">
        <v>181</v>
      </c>
      <c r="F782" s="30" t="s">
        <v>569</v>
      </c>
      <c r="G782" s="31">
        <v>22</v>
      </c>
      <c r="H782" s="31" t="s">
        <v>183</v>
      </c>
      <c r="I782" s="31" t="s">
        <v>184</v>
      </c>
      <c r="J782" s="33">
        <v>9600</v>
      </c>
      <c r="K782" s="33">
        <v>5200</v>
      </c>
      <c r="L782" s="33">
        <v>2100</v>
      </c>
      <c r="M782" s="33">
        <f t="shared" si="96"/>
        <v>16900</v>
      </c>
      <c r="N782" s="34">
        <f t="shared" si="102"/>
        <v>8.8600613598569e-5</v>
      </c>
      <c r="O782" s="35">
        <f>SUM($M$2:M782)</f>
        <v>187534000</v>
      </c>
      <c r="P782" s="34">
        <f t="shared" si="103"/>
        <v>0.983173223112073</v>
      </c>
      <c r="Q782" s="37">
        <v>2.2</v>
      </c>
      <c r="R782" s="31">
        <v>9</v>
      </c>
      <c r="S782" s="31">
        <v>1</v>
      </c>
      <c r="T782" s="31">
        <v>0</v>
      </c>
      <c r="U782" s="37">
        <v>5.3</v>
      </c>
      <c r="V782" s="31">
        <v>14</v>
      </c>
      <c r="W782" s="31">
        <v>3</v>
      </c>
      <c r="X782" s="38">
        <v>64</v>
      </c>
      <c r="Y782" s="31">
        <v>2</v>
      </c>
      <c r="Z782" s="31">
        <v>1</v>
      </c>
      <c r="AA782" s="31" t="s">
        <v>185</v>
      </c>
      <c r="AB782" s="31" t="s">
        <v>220</v>
      </c>
      <c r="AC782" s="41">
        <f>IFERROR(LOOKUP(M782,打分卡!$F$7:$J$7,打分卡!$K$7:$O$7),1)</f>
        <v>1</v>
      </c>
      <c r="AD782" s="41">
        <f>IFERROR(LOOKUP(S782,打分卡!$F$8:$J$8,打分卡!$K$8:$O$8),1)</f>
        <v>1</v>
      </c>
      <c r="AE782" s="41">
        <f>IFERROR(LOOKUP(T782,打分卡!$F$9:$I$9,打分卡!$K$9:$N$9),1)</f>
        <v>1</v>
      </c>
      <c r="AF782" s="41">
        <f>IFERROR(LOOKUP(Q782,打分卡!$F$10:$J$10,打分卡!$K$10:$O$10),1)</f>
        <v>1</v>
      </c>
      <c r="AG782" s="41">
        <f>IFERROR(LOOKUP(R782,打分卡!$F$11:$J$11,打分卡!$K$11:$O$11),1)</f>
        <v>4</v>
      </c>
      <c r="AH782" s="41">
        <f>IFERROR(LOOKUP(U782,打分卡!$F$12:$J$12,打分卡!$K$12:$O$12),1)</f>
        <v>2</v>
      </c>
      <c r="AI782" s="41">
        <f>IFERROR(LOOKUP(X782,打分卡!$F$13:$J$13,打分卡!$K$13:$O$13),1)</f>
        <v>3</v>
      </c>
      <c r="AJ782" s="41">
        <f>IFERROR(LOOKUP(Y782,打分卡!$F$14:$J$14,打分卡!$K$14:$O$14),1)</f>
        <v>3</v>
      </c>
      <c r="AK782" s="41">
        <f>IFERROR(LOOKUP(W782,打分卡!$F$15:$J$15,打分卡!$K$15:$O$15),1)</f>
        <v>3</v>
      </c>
      <c r="AL782" s="43">
        <f t="shared" si="97"/>
        <v>3</v>
      </c>
      <c r="AM782" s="41">
        <f>IFERROR(LOOKUP(Z782,打分卡!$F$17:$H$17,打分卡!$K$17:$M$17),1)</f>
        <v>3</v>
      </c>
      <c r="AN782" s="44">
        <f>(打分卡!$D$7*AC782+打分卡!$D$8*AD782+打分卡!$D$9*AE782)/5</f>
        <v>8</v>
      </c>
      <c r="AO782" s="44">
        <f>(打分卡!$D$10*AF782+打分卡!$D$11*AG782)/5</f>
        <v>10</v>
      </c>
      <c r="AP782" s="44">
        <f>(打分卡!$D$12*AH782+打分卡!$D$13*AI782+打分卡!$D$14*AJ782+打分卡!$D$15*AK782)/5</f>
        <v>15.6</v>
      </c>
      <c r="AQ782" s="44">
        <f>(打分卡!$D$16*AL782+打分卡!$D$17*AM782)/5</f>
        <v>6</v>
      </c>
      <c r="AR782" s="47">
        <f t="shared" si="98"/>
        <v>39.6</v>
      </c>
      <c r="AS782" s="43" t="str">
        <f t="shared" si="99"/>
        <v>基础长尾</v>
      </c>
      <c r="AT782" s="43" t="str">
        <f t="shared" si="100"/>
        <v/>
      </c>
      <c r="AU782" s="43" t="str">
        <f t="shared" si="101"/>
        <v>激活：企微+Push低成本先跑</v>
      </c>
    </row>
    <row r="783" ht="15" customHeight="1" spans="1:47">
      <c r="A783" s="20" t="s">
        <v>2254</v>
      </c>
      <c r="B783" s="22" t="s">
        <v>2255</v>
      </c>
      <c r="C783" s="22" t="s">
        <v>209</v>
      </c>
      <c r="D783" s="22" t="s">
        <v>196</v>
      </c>
      <c r="E783" s="22" t="s">
        <v>181</v>
      </c>
      <c r="F783" s="20" t="s">
        <v>1477</v>
      </c>
      <c r="G783" s="22">
        <v>13</v>
      </c>
      <c r="H783" s="22" t="s">
        <v>301</v>
      </c>
      <c r="I783" s="22" t="s">
        <v>302</v>
      </c>
      <c r="J783" s="36">
        <v>10400</v>
      </c>
      <c r="K783" s="36">
        <v>5500</v>
      </c>
      <c r="L783" s="36">
        <v>800</v>
      </c>
      <c r="M783" s="36">
        <f t="shared" si="96"/>
        <v>16700</v>
      </c>
      <c r="N783" s="34">
        <f t="shared" si="102"/>
        <v>8.75520856269883e-5</v>
      </c>
      <c r="O783" s="35">
        <f>SUM($M$2:M783)</f>
        <v>187550700</v>
      </c>
      <c r="P783" s="34">
        <f t="shared" si="103"/>
        <v>0.9832607751977</v>
      </c>
      <c r="Q783" s="39">
        <v>1.9</v>
      </c>
      <c r="R783" s="22">
        <v>2</v>
      </c>
      <c r="S783" s="22">
        <v>2</v>
      </c>
      <c r="T783" s="22">
        <v>0</v>
      </c>
      <c r="U783" s="39">
        <v>25.2</v>
      </c>
      <c r="V783" s="22">
        <v>14</v>
      </c>
      <c r="W783" s="22">
        <v>0</v>
      </c>
      <c r="X783" s="40">
        <v>19</v>
      </c>
      <c r="Y783" s="22">
        <v>1</v>
      </c>
      <c r="Z783" s="22">
        <v>1</v>
      </c>
      <c r="AA783" s="22" t="s">
        <v>199</v>
      </c>
      <c r="AB783" s="22" t="s">
        <v>220</v>
      </c>
      <c r="AC783" s="42">
        <f>IFERROR(LOOKUP(M783,打分卡!$F$7:$J$7,打分卡!$K$7:$O$7),1)</f>
        <v>1</v>
      </c>
      <c r="AD783" s="42">
        <f>IFERROR(LOOKUP(S783,打分卡!$F$8:$J$8,打分卡!$K$8:$O$8),1)</f>
        <v>2</v>
      </c>
      <c r="AE783" s="42">
        <f>IFERROR(LOOKUP(T783,打分卡!$F$9:$I$9,打分卡!$K$9:$N$9),1)</f>
        <v>1</v>
      </c>
      <c r="AF783" s="42">
        <f>IFERROR(LOOKUP(Q783,打分卡!$F$10:$J$10,打分卡!$K$10:$O$10),1)</f>
        <v>1</v>
      </c>
      <c r="AG783" s="42">
        <f>IFERROR(LOOKUP(R783,打分卡!$F$11:$J$11,打分卡!$K$11:$O$11),1)</f>
        <v>1</v>
      </c>
      <c r="AH783" s="42">
        <f>IFERROR(LOOKUP(U783,打分卡!$F$12:$J$12,打分卡!$K$12:$O$12),1)</f>
        <v>3</v>
      </c>
      <c r="AI783" s="42">
        <f>IFERROR(LOOKUP(X783,打分卡!$F$13:$J$13,打分卡!$K$13:$O$13),1)</f>
        <v>2</v>
      </c>
      <c r="AJ783" s="42">
        <f>IFERROR(LOOKUP(Y783,打分卡!$F$14:$J$14,打分卡!$K$14:$O$14),1)</f>
        <v>2</v>
      </c>
      <c r="AK783" s="42">
        <f>IFERROR(LOOKUP(W783,打分卡!$F$15:$J$15,打分卡!$K$15:$O$15),1)</f>
        <v>1</v>
      </c>
      <c r="AL783" s="45">
        <f t="shared" si="97"/>
        <v>5</v>
      </c>
      <c r="AM783" s="42">
        <f>IFERROR(LOOKUP(Z783,打分卡!$F$17:$H$17,打分卡!$K$17:$M$17),1)</f>
        <v>3</v>
      </c>
      <c r="AN783" s="46">
        <f>(打分卡!$D$7*AC783+打分卡!$D$8*AD783+打分卡!$D$9*AE783)/5</f>
        <v>9.6</v>
      </c>
      <c r="AO783" s="46">
        <f>(打分卡!$D$10*AF783+打分卡!$D$11*AG783)/5</f>
        <v>4</v>
      </c>
      <c r="AP783" s="46">
        <f>(打分卡!$D$12*AH783+打分卡!$D$13*AI783+打分卡!$D$14*AJ783+打分卡!$D$15*AK783)/5</f>
        <v>13.6</v>
      </c>
      <c r="AQ783" s="46">
        <f>(打分卡!$D$16*AL783+打分卡!$D$17*AM783)/5</f>
        <v>8.4</v>
      </c>
      <c r="AR783" s="48">
        <f t="shared" si="98"/>
        <v>35.6</v>
      </c>
      <c r="AS783" s="45" t="str">
        <f t="shared" si="99"/>
        <v>基础长尾</v>
      </c>
      <c r="AT783" s="45" t="str">
        <f t="shared" si="100"/>
        <v/>
      </c>
      <c r="AU783" s="45" t="str">
        <f t="shared" si="101"/>
        <v>激活：企微+Push低成本先跑</v>
      </c>
    </row>
    <row r="784" ht="15" customHeight="1" spans="1:47">
      <c r="A784" s="30" t="s">
        <v>2256</v>
      </c>
      <c r="B784" s="31" t="s">
        <v>2257</v>
      </c>
      <c r="C784" s="31" t="s">
        <v>179</v>
      </c>
      <c r="D784" s="31" t="s">
        <v>202</v>
      </c>
      <c r="E784" s="31" t="s">
        <v>197</v>
      </c>
      <c r="F784" s="30" t="s">
        <v>1455</v>
      </c>
      <c r="G784" s="31">
        <v>7</v>
      </c>
      <c r="H784" s="31" t="s">
        <v>183</v>
      </c>
      <c r="I784" s="31" t="s">
        <v>302</v>
      </c>
      <c r="J784" s="33">
        <v>8400</v>
      </c>
      <c r="K784" s="33">
        <v>5800</v>
      </c>
      <c r="L784" s="33">
        <v>2500</v>
      </c>
      <c r="M784" s="33">
        <f t="shared" si="96"/>
        <v>16700</v>
      </c>
      <c r="N784" s="34">
        <f t="shared" si="102"/>
        <v>8.75520856269883e-5</v>
      </c>
      <c r="O784" s="35">
        <f>SUM($M$2:M784)</f>
        <v>187567400</v>
      </c>
      <c r="P784" s="34">
        <f t="shared" si="103"/>
        <v>0.983348327283327</v>
      </c>
      <c r="Q784" s="37">
        <v>2.2</v>
      </c>
      <c r="R784" s="31">
        <v>4</v>
      </c>
      <c r="S784" s="31">
        <v>3</v>
      </c>
      <c r="T784" s="31">
        <v>1</v>
      </c>
      <c r="U784" s="37">
        <v>33.2</v>
      </c>
      <c r="V784" s="31">
        <v>10</v>
      </c>
      <c r="W784" s="31">
        <v>4</v>
      </c>
      <c r="X784" s="38">
        <v>37</v>
      </c>
      <c r="Y784" s="31">
        <v>0</v>
      </c>
      <c r="Z784" s="31">
        <v>0</v>
      </c>
      <c r="AA784" s="31" t="s">
        <v>199</v>
      </c>
      <c r="AB784" s="31" t="s">
        <v>220</v>
      </c>
      <c r="AC784" s="41">
        <f>IFERROR(LOOKUP(M784,打分卡!$F$7:$J$7,打分卡!$K$7:$O$7),1)</f>
        <v>1</v>
      </c>
      <c r="AD784" s="41">
        <f>IFERROR(LOOKUP(S784,打分卡!$F$8:$J$8,打分卡!$K$8:$O$8),1)</f>
        <v>3</v>
      </c>
      <c r="AE784" s="41">
        <f>IFERROR(LOOKUP(T784,打分卡!$F$9:$I$9,打分卡!$K$9:$N$9),1)</f>
        <v>2</v>
      </c>
      <c r="AF784" s="41">
        <f>IFERROR(LOOKUP(Q784,打分卡!$F$10:$J$10,打分卡!$K$10:$O$10),1)</f>
        <v>1</v>
      </c>
      <c r="AG784" s="41">
        <f>IFERROR(LOOKUP(R784,打分卡!$F$11:$J$11,打分卡!$K$11:$O$11),1)</f>
        <v>2</v>
      </c>
      <c r="AH784" s="41">
        <f>IFERROR(LOOKUP(U784,打分卡!$F$12:$J$12,打分卡!$K$12:$O$12),1)</f>
        <v>4</v>
      </c>
      <c r="AI784" s="41">
        <f>IFERROR(LOOKUP(X784,打分卡!$F$13:$J$13,打分卡!$K$13:$O$13),1)</f>
        <v>2</v>
      </c>
      <c r="AJ784" s="41">
        <f>IFERROR(LOOKUP(Y784,打分卡!$F$14:$J$14,打分卡!$K$14:$O$14),1)</f>
        <v>1</v>
      </c>
      <c r="AK784" s="41">
        <f>IFERROR(LOOKUP(W784,打分卡!$F$15:$J$15,打分卡!$K$15:$O$15),1)</f>
        <v>3</v>
      </c>
      <c r="AL784" s="43">
        <f t="shared" si="97"/>
        <v>5</v>
      </c>
      <c r="AM784" s="41">
        <f>IFERROR(LOOKUP(Z784,打分卡!$F$17:$H$17,打分卡!$K$17:$M$17),1)</f>
        <v>1</v>
      </c>
      <c r="AN784" s="44">
        <f>(打分卡!$D$7*AC784+打分卡!$D$8*AD784+打分卡!$D$9*AE784)/5</f>
        <v>12.6</v>
      </c>
      <c r="AO784" s="44">
        <f>(打分卡!$D$10*AF784+打分卡!$D$11*AG784)/5</f>
        <v>6</v>
      </c>
      <c r="AP784" s="44">
        <f>(打分卡!$D$12*AH784+打分卡!$D$13*AI784+打分卡!$D$14*AJ784+打分卡!$D$15*AK784)/5</f>
        <v>16.4</v>
      </c>
      <c r="AQ784" s="44">
        <f>(打分卡!$D$16*AL784+打分卡!$D$17*AM784)/5</f>
        <v>6.8</v>
      </c>
      <c r="AR784" s="47">
        <f t="shared" si="98"/>
        <v>41.8</v>
      </c>
      <c r="AS784" s="43" t="str">
        <f t="shared" si="99"/>
        <v>腰部</v>
      </c>
      <c r="AT784" s="43" t="str">
        <f t="shared" si="100"/>
        <v/>
      </c>
      <c r="AU784" s="43" t="str">
        <f t="shared" si="101"/>
        <v>拉·主攻：主推AI外呼+大促作战包</v>
      </c>
    </row>
    <row r="785" ht="15" customHeight="1" spans="1:47">
      <c r="A785" s="20" t="s">
        <v>2258</v>
      </c>
      <c r="B785" s="22" t="s">
        <v>2259</v>
      </c>
      <c r="C785" s="22" t="s">
        <v>223</v>
      </c>
      <c r="D785" s="22" t="s">
        <v>190</v>
      </c>
      <c r="E785" s="22" t="s">
        <v>181</v>
      </c>
      <c r="F785" s="20" t="s">
        <v>2260</v>
      </c>
      <c r="G785" s="22">
        <v>16</v>
      </c>
      <c r="H785" s="22" t="s">
        <v>301</v>
      </c>
      <c r="I785" s="22" t="s">
        <v>302</v>
      </c>
      <c r="J785" s="36">
        <v>10000</v>
      </c>
      <c r="K785" s="36">
        <v>5900</v>
      </c>
      <c r="L785" s="36">
        <v>800</v>
      </c>
      <c r="M785" s="36">
        <f t="shared" si="96"/>
        <v>16700</v>
      </c>
      <c r="N785" s="34">
        <f t="shared" si="102"/>
        <v>8.75520856269883e-5</v>
      </c>
      <c r="O785" s="35">
        <f>SUM($M$2:M785)</f>
        <v>187584100</v>
      </c>
      <c r="P785" s="34">
        <f t="shared" si="103"/>
        <v>0.983435879368954</v>
      </c>
      <c r="Q785" s="39">
        <v>2</v>
      </c>
      <c r="R785" s="22">
        <v>3</v>
      </c>
      <c r="S785" s="22">
        <v>1</v>
      </c>
      <c r="T785" s="22">
        <v>2</v>
      </c>
      <c r="U785" s="39">
        <v>1.9</v>
      </c>
      <c r="V785" s="22">
        <v>18</v>
      </c>
      <c r="W785" s="22">
        <v>3</v>
      </c>
      <c r="X785" s="40">
        <v>70</v>
      </c>
      <c r="Y785" s="22">
        <v>2</v>
      </c>
      <c r="Z785" s="22">
        <v>0</v>
      </c>
      <c r="AA785" s="22" t="s">
        <v>185</v>
      </c>
      <c r="AB785" s="22" t="s">
        <v>220</v>
      </c>
      <c r="AC785" s="42">
        <f>IFERROR(LOOKUP(M785,打分卡!$F$7:$J$7,打分卡!$K$7:$O$7),1)</f>
        <v>1</v>
      </c>
      <c r="AD785" s="42">
        <f>IFERROR(LOOKUP(S785,打分卡!$F$8:$J$8,打分卡!$K$8:$O$8),1)</f>
        <v>1</v>
      </c>
      <c r="AE785" s="42">
        <f>IFERROR(LOOKUP(T785,打分卡!$F$9:$I$9,打分卡!$K$9:$N$9),1)</f>
        <v>3</v>
      </c>
      <c r="AF785" s="42">
        <f>IFERROR(LOOKUP(Q785,打分卡!$F$10:$J$10,打分卡!$K$10:$O$10),1)</f>
        <v>1</v>
      </c>
      <c r="AG785" s="42">
        <f>IFERROR(LOOKUP(R785,打分卡!$F$11:$J$11,打分卡!$K$11:$O$11),1)</f>
        <v>2</v>
      </c>
      <c r="AH785" s="42">
        <f>IFERROR(LOOKUP(U785,打分卡!$F$12:$J$12,打分卡!$K$12:$O$12),1)</f>
        <v>1</v>
      </c>
      <c r="AI785" s="42">
        <f>IFERROR(LOOKUP(X785,打分卡!$F$13:$J$13,打分卡!$K$13:$O$13),1)</f>
        <v>3</v>
      </c>
      <c r="AJ785" s="42">
        <f>IFERROR(LOOKUP(Y785,打分卡!$F$14:$J$14,打分卡!$K$14:$O$14),1)</f>
        <v>3</v>
      </c>
      <c r="AK785" s="42">
        <f>IFERROR(LOOKUP(W785,打分卡!$F$15:$J$15,打分卡!$K$15:$O$15),1)</f>
        <v>3</v>
      </c>
      <c r="AL785" s="45">
        <f t="shared" si="97"/>
        <v>3</v>
      </c>
      <c r="AM785" s="42">
        <f>IFERROR(LOOKUP(Z785,打分卡!$F$17:$H$17,打分卡!$K$17:$M$17),1)</f>
        <v>1</v>
      </c>
      <c r="AN785" s="46">
        <f>(打分卡!$D$7*AC785+打分卡!$D$8*AD785+打分卡!$D$9*AE785)/5</f>
        <v>10.8</v>
      </c>
      <c r="AO785" s="46">
        <f>(打分卡!$D$10*AF785+打分卡!$D$11*AG785)/5</f>
        <v>6</v>
      </c>
      <c r="AP785" s="46">
        <f>(打分卡!$D$12*AH785+打分卡!$D$13*AI785+打分卡!$D$14*AJ785+打分卡!$D$15*AK785)/5</f>
        <v>13.2</v>
      </c>
      <c r="AQ785" s="46">
        <f>(打分卡!$D$16*AL785+打分卡!$D$17*AM785)/5</f>
        <v>4.4</v>
      </c>
      <c r="AR785" s="48">
        <f t="shared" si="98"/>
        <v>34.4</v>
      </c>
      <c r="AS785" s="45" t="str">
        <f t="shared" si="99"/>
        <v>基础长尾</v>
      </c>
      <c r="AT785" s="45" t="str">
        <f t="shared" si="100"/>
        <v/>
      </c>
      <c r="AU785" s="45" t="str">
        <f t="shared" si="101"/>
        <v>激活：企微+Push低成本先跑</v>
      </c>
    </row>
    <row r="786" ht="15" customHeight="1" spans="1:47">
      <c r="A786" s="30" t="s">
        <v>2261</v>
      </c>
      <c r="B786" s="31" t="s">
        <v>2262</v>
      </c>
      <c r="C786" s="31" t="s">
        <v>189</v>
      </c>
      <c r="D786" s="31" t="s">
        <v>196</v>
      </c>
      <c r="E786" s="31" t="s">
        <v>197</v>
      </c>
      <c r="F786" s="30" t="s">
        <v>2263</v>
      </c>
      <c r="G786" s="31">
        <v>8</v>
      </c>
      <c r="H786" s="31" t="s">
        <v>183</v>
      </c>
      <c r="I786" s="31" t="s">
        <v>184</v>
      </c>
      <c r="J786" s="33">
        <v>10000</v>
      </c>
      <c r="K786" s="33">
        <v>5800</v>
      </c>
      <c r="L786" s="33">
        <v>800</v>
      </c>
      <c r="M786" s="33">
        <f t="shared" si="96"/>
        <v>16600</v>
      </c>
      <c r="N786" s="34">
        <f t="shared" si="102"/>
        <v>8.70278216411979e-5</v>
      </c>
      <c r="O786" s="35">
        <f>SUM($M$2:M786)</f>
        <v>187600700</v>
      </c>
      <c r="P786" s="34">
        <f t="shared" si="103"/>
        <v>0.983522907190595</v>
      </c>
      <c r="Q786" s="37">
        <v>1.7</v>
      </c>
      <c r="R786" s="31">
        <v>3</v>
      </c>
      <c r="S786" s="31">
        <v>1</v>
      </c>
      <c r="T786" s="31">
        <v>2</v>
      </c>
      <c r="U786" s="37">
        <v>61.1</v>
      </c>
      <c r="V786" s="31">
        <v>23</v>
      </c>
      <c r="W786" s="31">
        <v>3</v>
      </c>
      <c r="X786" s="38">
        <v>52</v>
      </c>
      <c r="Y786" s="31">
        <v>0</v>
      </c>
      <c r="Z786" s="31">
        <v>1</v>
      </c>
      <c r="AA786" s="31" t="s">
        <v>185</v>
      </c>
      <c r="AB786" s="31" t="s">
        <v>220</v>
      </c>
      <c r="AC786" s="41">
        <f>IFERROR(LOOKUP(M786,打分卡!$F$7:$J$7,打分卡!$K$7:$O$7),1)</f>
        <v>1</v>
      </c>
      <c r="AD786" s="41">
        <f>IFERROR(LOOKUP(S786,打分卡!$F$8:$J$8,打分卡!$K$8:$O$8),1)</f>
        <v>1</v>
      </c>
      <c r="AE786" s="41">
        <f>IFERROR(LOOKUP(T786,打分卡!$F$9:$I$9,打分卡!$K$9:$N$9),1)</f>
        <v>3</v>
      </c>
      <c r="AF786" s="41">
        <f>IFERROR(LOOKUP(Q786,打分卡!$F$10:$J$10,打分卡!$K$10:$O$10),1)</f>
        <v>1</v>
      </c>
      <c r="AG786" s="41">
        <f>IFERROR(LOOKUP(R786,打分卡!$F$11:$J$11,打分卡!$K$11:$O$11),1)</f>
        <v>2</v>
      </c>
      <c r="AH786" s="41">
        <f>IFERROR(LOOKUP(U786,打分卡!$F$12:$J$12,打分卡!$K$12:$O$12),1)</f>
        <v>4</v>
      </c>
      <c r="AI786" s="41">
        <f>IFERROR(LOOKUP(X786,打分卡!$F$13:$J$13,打分卡!$K$13:$O$13),1)</f>
        <v>3</v>
      </c>
      <c r="AJ786" s="41">
        <f>IFERROR(LOOKUP(Y786,打分卡!$F$14:$J$14,打分卡!$K$14:$O$14),1)</f>
        <v>1</v>
      </c>
      <c r="AK786" s="41">
        <f>IFERROR(LOOKUP(W786,打分卡!$F$15:$J$15,打分卡!$K$15:$O$15),1)</f>
        <v>3</v>
      </c>
      <c r="AL786" s="43">
        <f t="shared" si="97"/>
        <v>3</v>
      </c>
      <c r="AM786" s="41">
        <f>IFERROR(LOOKUP(Z786,打分卡!$F$17:$H$17,打分卡!$K$17:$M$17),1)</f>
        <v>3</v>
      </c>
      <c r="AN786" s="44">
        <f>(打分卡!$D$7*AC786+打分卡!$D$8*AD786+打分卡!$D$9*AE786)/5</f>
        <v>10.8</v>
      </c>
      <c r="AO786" s="44">
        <f>(打分卡!$D$10*AF786+打分卡!$D$11*AG786)/5</f>
        <v>6</v>
      </c>
      <c r="AP786" s="44">
        <f>(打分卡!$D$12*AH786+打分卡!$D$13*AI786+打分卡!$D$14*AJ786+打分卡!$D$15*AK786)/5</f>
        <v>18</v>
      </c>
      <c r="AQ786" s="44">
        <f>(打分卡!$D$16*AL786+打分卡!$D$17*AM786)/5</f>
        <v>6</v>
      </c>
      <c r="AR786" s="47">
        <f t="shared" si="98"/>
        <v>40.8</v>
      </c>
      <c r="AS786" s="43" t="str">
        <f t="shared" si="99"/>
        <v>腰部</v>
      </c>
      <c r="AT786" s="43" t="str">
        <f t="shared" si="100"/>
        <v/>
      </c>
      <c r="AU786" s="43" t="str">
        <f t="shared" si="101"/>
        <v>拉·主攻：主推AI外呼+大促作战包</v>
      </c>
    </row>
    <row r="787" ht="15" customHeight="1" spans="1:47">
      <c r="A787" s="20" t="s">
        <v>2264</v>
      </c>
      <c r="B787" s="22" t="s">
        <v>2265</v>
      </c>
      <c r="C787" s="22" t="s">
        <v>234</v>
      </c>
      <c r="D787" s="22" t="s">
        <v>252</v>
      </c>
      <c r="E787" s="22" t="s">
        <v>181</v>
      </c>
      <c r="F787" s="20" t="s">
        <v>2266</v>
      </c>
      <c r="G787" s="22">
        <v>14</v>
      </c>
      <c r="H787" s="22" t="s">
        <v>183</v>
      </c>
      <c r="I787" s="22" t="s">
        <v>302</v>
      </c>
      <c r="J787" s="36">
        <v>9600</v>
      </c>
      <c r="K787" s="36">
        <v>5000</v>
      </c>
      <c r="L787" s="36">
        <v>2000</v>
      </c>
      <c r="M787" s="36">
        <f t="shared" si="96"/>
        <v>16600</v>
      </c>
      <c r="N787" s="34">
        <f t="shared" si="102"/>
        <v>8.70278216411979e-5</v>
      </c>
      <c r="O787" s="35">
        <f>SUM($M$2:M787)</f>
        <v>187617300</v>
      </c>
      <c r="P787" s="34">
        <f t="shared" si="103"/>
        <v>0.983609935012236</v>
      </c>
      <c r="Q787" s="39">
        <v>2.2</v>
      </c>
      <c r="R787" s="22">
        <v>6</v>
      </c>
      <c r="S787" s="22">
        <v>1</v>
      </c>
      <c r="T787" s="22">
        <v>2</v>
      </c>
      <c r="U787" s="39">
        <v>4.9</v>
      </c>
      <c r="V787" s="22">
        <v>26</v>
      </c>
      <c r="W787" s="22">
        <v>0</v>
      </c>
      <c r="X787" s="40">
        <v>45</v>
      </c>
      <c r="Y787" s="22">
        <v>3</v>
      </c>
      <c r="Z787" s="22">
        <v>0</v>
      </c>
      <c r="AA787" s="22" t="s">
        <v>185</v>
      </c>
      <c r="AB787" s="22" t="s">
        <v>220</v>
      </c>
      <c r="AC787" s="42">
        <f>IFERROR(LOOKUP(M787,打分卡!$F$7:$J$7,打分卡!$K$7:$O$7),1)</f>
        <v>1</v>
      </c>
      <c r="AD787" s="42">
        <f>IFERROR(LOOKUP(S787,打分卡!$F$8:$J$8,打分卡!$K$8:$O$8),1)</f>
        <v>1</v>
      </c>
      <c r="AE787" s="42">
        <f>IFERROR(LOOKUP(T787,打分卡!$F$9:$I$9,打分卡!$K$9:$N$9),1)</f>
        <v>3</v>
      </c>
      <c r="AF787" s="42">
        <f>IFERROR(LOOKUP(Q787,打分卡!$F$10:$J$10,打分卡!$K$10:$O$10),1)</f>
        <v>1</v>
      </c>
      <c r="AG787" s="42">
        <f>IFERROR(LOOKUP(R787,打分卡!$F$11:$J$11,打分卡!$K$11:$O$11),1)</f>
        <v>3</v>
      </c>
      <c r="AH787" s="42">
        <f>IFERROR(LOOKUP(U787,打分卡!$F$12:$J$12,打分卡!$K$12:$O$12),1)</f>
        <v>2</v>
      </c>
      <c r="AI787" s="42">
        <f>IFERROR(LOOKUP(X787,打分卡!$F$13:$J$13,打分卡!$K$13:$O$13),1)</f>
        <v>3</v>
      </c>
      <c r="AJ787" s="42">
        <f>IFERROR(LOOKUP(Y787,打分卡!$F$14:$J$14,打分卡!$K$14:$O$14),1)</f>
        <v>4</v>
      </c>
      <c r="AK787" s="42">
        <f>IFERROR(LOOKUP(W787,打分卡!$F$15:$J$15,打分卡!$K$15:$O$15),1)</f>
        <v>1</v>
      </c>
      <c r="AL787" s="45">
        <f t="shared" si="97"/>
        <v>3</v>
      </c>
      <c r="AM787" s="42">
        <f>IFERROR(LOOKUP(Z787,打分卡!$F$17:$H$17,打分卡!$K$17:$M$17),1)</f>
        <v>1</v>
      </c>
      <c r="AN787" s="46">
        <f>(打分卡!$D$7*AC787+打分卡!$D$8*AD787+打分卡!$D$9*AE787)/5</f>
        <v>10.8</v>
      </c>
      <c r="AO787" s="46">
        <f>(打分卡!$D$10*AF787+打分卡!$D$11*AG787)/5</f>
        <v>8</v>
      </c>
      <c r="AP787" s="46">
        <f>(打分卡!$D$12*AH787+打分卡!$D$13*AI787+打分卡!$D$14*AJ787+打分卡!$D$15*AK787)/5</f>
        <v>15.2</v>
      </c>
      <c r="AQ787" s="46">
        <f>(打分卡!$D$16*AL787+打分卡!$D$17*AM787)/5</f>
        <v>4.4</v>
      </c>
      <c r="AR787" s="48">
        <f t="shared" si="98"/>
        <v>38.4</v>
      </c>
      <c r="AS787" s="45" t="str">
        <f t="shared" si="99"/>
        <v>基础长尾</v>
      </c>
      <c r="AT787" s="45" t="str">
        <f t="shared" si="100"/>
        <v/>
      </c>
      <c r="AU787" s="45" t="str">
        <f t="shared" si="101"/>
        <v>激活：企微+Push低成本先跑</v>
      </c>
    </row>
    <row r="788" ht="15" customHeight="1" spans="1:47">
      <c r="A788" s="30" t="s">
        <v>2267</v>
      </c>
      <c r="B788" s="31" t="s">
        <v>2268</v>
      </c>
      <c r="C788" s="31" t="s">
        <v>209</v>
      </c>
      <c r="D788" s="31" t="s">
        <v>235</v>
      </c>
      <c r="E788" s="31" t="s">
        <v>197</v>
      </c>
      <c r="F788" s="30" t="s">
        <v>2269</v>
      </c>
      <c r="G788" s="31">
        <v>15</v>
      </c>
      <c r="H788" s="31" t="s">
        <v>301</v>
      </c>
      <c r="I788" s="31" t="s">
        <v>184</v>
      </c>
      <c r="J788" s="33">
        <v>10400</v>
      </c>
      <c r="K788" s="33">
        <v>5300</v>
      </c>
      <c r="L788" s="33">
        <v>800</v>
      </c>
      <c r="M788" s="33">
        <f t="shared" si="96"/>
        <v>16500</v>
      </c>
      <c r="N788" s="34">
        <f t="shared" si="102"/>
        <v>8.65035576554076e-5</v>
      </c>
      <c r="O788" s="35">
        <f>SUM($M$2:M788)</f>
        <v>187633800</v>
      </c>
      <c r="P788" s="34">
        <f t="shared" si="103"/>
        <v>0.983696438569892</v>
      </c>
      <c r="Q788" s="37">
        <v>1.8</v>
      </c>
      <c r="R788" s="31">
        <v>3</v>
      </c>
      <c r="S788" s="31">
        <v>3</v>
      </c>
      <c r="T788" s="31">
        <v>2</v>
      </c>
      <c r="U788" s="37">
        <v>6.4</v>
      </c>
      <c r="V788" s="31">
        <v>18</v>
      </c>
      <c r="W788" s="31">
        <v>3</v>
      </c>
      <c r="X788" s="38">
        <v>25</v>
      </c>
      <c r="Y788" s="31">
        <v>2</v>
      </c>
      <c r="Z788" s="31">
        <v>0</v>
      </c>
      <c r="AA788" s="31" t="s">
        <v>199</v>
      </c>
      <c r="AB788" s="31" t="s">
        <v>220</v>
      </c>
      <c r="AC788" s="41">
        <f>IFERROR(LOOKUP(M788,打分卡!$F$7:$J$7,打分卡!$K$7:$O$7),1)</f>
        <v>1</v>
      </c>
      <c r="AD788" s="41">
        <f>IFERROR(LOOKUP(S788,打分卡!$F$8:$J$8,打分卡!$K$8:$O$8),1)</f>
        <v>3</v>
      </c>
      <c r="AE788" s="41">
        <f>IFERROR(LOOKUP(T788,打分卡!$F$9:$I$9,打分卡!$K$9:$N$9),1)</f>
        <v>3</v>
      </c>
      <c r="AF788" s="41">
        <f>IFERROR(LOOKUP(Q788,打分卡!$F$10:$J$10,打分卡!$K$10:$O$10),1)</f>
        <v>1</v>
      </c>
      <c r="AG788" s="41">
        <f>IFERROR(LOOKUP(R788,打分卡!$F$11:$J$11,打分卡!$K$11:$O$11),1)</f>
        <v>2</v>
      </c>
      <c r="AH788" s="41">
        <f>IFERROR(LOOKUP(U788,打分卡!$F$12:$J$12,打分卡!$K$12:$O$12),1)</f>
        <v>2</v>
      </c>
      <c r="AI788" s="41">
        <f>IFERROR(LOOKUP(X788,打分卡!$F$13:$J$13,打分卡!$K$13:$O$13),1)</f>
        <v>2</v>
      </c>
      <c r="AJ788" s="41">
        <f>IFERROR(LOOKUP(Y788,打分卡!$F$14:$J$14,打分卡!$K$14:$O$14),1)</f>
        <v>3</v>
      </c>
      <c r="AK788" s="41">
        <f>IFERROR(LOOKUP(W788,打分卡!$F$15:$J$15,打分卡!$K$15:$O$15),1)</f>
        <v>3</v>
      </c>
      <c r="AL788" s="43">
        <f t="shared" si="97"/>
        <v>5</v>
      </c>
      <c r="AM788" s="41">
        <f>IFERROR(LOOKUP(Z788,打分卡!$F$17:$H$17,打分卡!$K$17:$M$17),1)</f>
        <v>1</v>
      </c>
      <c r="AN788" s="44">
        <f>(打分卡!$D$7*AC788+打分卡!$D$8*AD788+打分卡!$D$9*AE788)/5</f>
        <v>14</v>
      </c>
      <c r="AO788" s="44">
        <f>(打分卡!$D$10*AF788+打分卡!$D$11*AG788)/5</f>
        <v>6</v>
      </c>
      <c r="AP788" s="44">
        <f>(打分卡!$D$12*AH788+打分卡!$D$13*AI788+打分卡!$D$14*AJ788+打分卡!$D$15*AK788)/5</f>
        <v>14</v>
      </c>
      <c r="AQ788" s="44">
        <f>(打分卡!$D$16*AL788+打分卡!$D$17*AM788)/5</f>
        <v>6.8</v>
      </c>
      <c r="AR788" s="47">
        <f t="shared" si="98"/>
        <v>40.8</v>
      </c>
      <c r="AS788" s="43" t="str">
        <f t="shared" si="99"/>
        <v>腰部</v>
      </c>
      <c r="AT788" s="43" t="str">
        <f t="shared" si="100"/>
        <v/>
      </c>
      <c r="AU788" s="43" t="str">
        <f t="shared" si="101"/>
        <v>拉·主攻：主推AI外呼+大促作战包</v>
      </c>
    </row>
    <row r="789" ht="15" customHeight="1" spans="1:47">
      <c r="A789" s="20" t="s">
        <v>2270</v>
      </c>
      <c r="B789" s="22" t="s">
        <v>2271</v>
      </c>
      <c r="C789" s="22" t="s">
        <v>218</v>
      </c>
      <c r="D789" s="22" t="s">
        <v>202</v>
      </c>
      <c r="E789" s="22" t="s">
        <v>197</v>
      </c>
      <c r="F789" s="20" t="s">
        <v>327</v>
      </c>
      <c r="G789" s="22">
        <v>17</v>
      </c>
      <c r="H789" s="22" t="s">
        <v>301</v>
      </c>
      <c r="I789" s="22" t="s">
        <v>302</v>
      </c>
      <c r="J789" s="36">
        <v>8200</v>
      </c>
      <c r="K789" s="36">
        <v>3300</v>
      </c>
      <c r="L789" s="36">
        <v>5000</v>
      </c>
      <c r="M789" s="36">
        <f t="shared" si="96"/>
        <v>16500</v>
      </c>
      <c r="N789" s="34">
        <f t="shared" si="102"/>
        <v>8.65035576554076e-5</v>
      </c>
      <c r="O789" s="35">
        <f>SUM($M$2:M789)</f>
        <v>187650300</v>
      </c>
      <c r="P789" s="34">
        <f t="shared" si="103"/>
        <v>0.983782942127547</v>
      </c>
      <c r="Q789" s="39">
        <v>1.4</v>
      </c>
      <c r="R789" s="22">
        <v>3</v>
      </c>
      <c r="S789" s="22">
        <v>3</v>
      </c>
      <c r="T789" s="22">
        <v>0</v>
      </c>
      <c r="U789" s="39">
        <v>43.1</v>
      </c>
      <c r="V789" s="22">
        <v>17</v>
      </c>
      <c r="W789" s="22">
        <v>1</v>
      </c>
      <c r="X789" s="40">
        <v>27</v>
      </c>
      <c r="Y789" s="22">
        <v>2</v>
      </c>
      <c r="Z789" s="22">
        <v>1</v>
      </c>
      <c r="AA789" s="22" t="s">
        <v>199</v>
      </c>
      <c r="AB789" s="22" t="s">
        <v>220</v>
      </c>
      <c r="AC789" s="42">
        <f>IFERROR(LOOKUP(M789,打分卡!$F$7:$J$7,打分卡!$K$7:$O$7),1)</f>
        <v>1</v>
      </c>
      <c r="AD789" s="42">
        <f>IFERROR(LOOKUP(S789,打分卡!$F$8:$J$8,打分卡!$K$8:$O$8),1)</f>
        <v>3</v>
      </c>
      <c r="AE789" s="42">
        <f>IFERROR(LOOKUP(T789,打分卡!$F$9:$I$9,打分卡!$K$9:$N$9),1)</f>
        <v>1</v>
      </c>
      <c r="AF789" s="42">
        <f>IFERROR(LOOKUP(Q789,打分卡!$F$10:$J$10,打分卡!$K$10:$O$10),1)</f>
        <v>1</v>
      </c>
      <c r="AG789" s="42">
        <f>IFERROR(LOOKUP(R789,打分卡!$F$11:$J$11,打分卡!$K$11:$O$11),1)</f>
        <v>2</v>
      </c>
      <c r="AH789" s="42">
        <f>IFERROR(LOOKUP(U789,打分卡!$F$12:$J$12,打分卡!$K$12:$O$12),1)</f>
        <v>4</v>
      </c>
      <c r="AI789" s="42">
        <f>IFERROR(LOOKUP(X789,打分卡!$F$13:$J$13,打分卡!$K$13:$O$13),1)</f>
        <v>2</v>
      </c>
      <c r="AJ789" s="42">
        <f>IFERROR(LOOKUP(Y789,打分卡!$F$14:$J$14,打分卡!$K$14:$O$14),1)</f>
        <v>3</v>
      </c>
      <c r="AK789" s="42">
        <f>IFERROR(LOOKUP(W789,打分卡!$F$15:$J$15,打分卡!$K$15:$O$15),1)</f>
        <v>2</v>
      </c>
      <c r="AL789" s="45">
        <f t="shared" si="97"/>
        <v>5</v>
      </c>
      <c r="AM789" s="42">
        <f>IFERROR(LOOKUP(Z789,打分卡!$F$17:$H$17,打分卡!$K$17:$M$17),1)</f>
        <v>3</v>
      </c>
      <c r="AN789" s="46">
        <f>(打分卡!$D$7*AC789+打分卡!$D$8*AD789+打分卡!$D$9*AE789)/5</f>
        <v>11.2</v>
      </c>
      <c r="AO789" s="46">
        <f>(打分卡!$D$10*AF789+打分卡!$D$11*AG789)/5</f>
        <v>6</v>
      </c>
      <c r="AP789" s="46">
        <f>(打分卡!$D$12*AH789+打分卡!$D$13*AI789+打分卡!$D$14*AJ789+打分卡!$D$15*AK789)/5</f>
        <v>18</v>
      </c>
      <c r="AQ789" s="46">
        <f>(打分卡!$D$16*AL789+打分卡!$D$17*AM789)/5</f>
        <v>8.4</v>
      </c>
      <c r="AR789" s="48">
        <f t="shared" si="98"/>
        <v>43.6</v>
      </c>
      <c r="AS789" s="45" t="str">
        <f t="shared" si="99"/>
        <v>腰部</v>
      </c>
      <c r="AT789" s="45" t="str">
        <f t="shared" si="100"/>
        <v/>
      </c>
      <c r="AU789" s="45" t="str">
        <f t="shared" si="101"/>
        <v>拉·主攻：主推AI外呼+大促作战包</v>
      </c>
    </row>
    <row r="790" ht="15" customHeight="1" spans="1:47">
      <c r="A790" s="30" t="s">
        <v>2272</v>
      </c>
      <c r="B790" s="31" t="s">
        <v>2273</v>
      </c>
      <c r="C790" s="31" t="s">
        <v>239</v>
      </c>
      <c r="D790" s="31" t="s">
        <v>196</v>
      </c>
      <c r="E790" s="31" t="s">
        <v>181</v>
      </c>
      <c r="F790" s="30" t="s">
        <v>2274</v>
      </c>
      <c r="G790" s="31">
        <v>12</v>
      </c>
      <c r="H790" s="31" t="s">
        <v>301</v>
      </c>
      <c r="I790" s="31" t="s">
        <v>302</v>
      </c>
      <c r="J790" s="33">
        <v>10500</v>
      </c>
      <c r="K790" s="33">
        <v>5200</v>
      </c>
      <c r="L790" s="33">
        <v>800</v>
      </c>
      <c r="M790" s="33">
        <f t="shared" si="96"/>
        <v>16500</v>
      </c>
      <c r="N790" s="34">
        <f t="shared" si="102"/>
        <v>8.65035576554076e-5</v>
      </c>
      <c r="O790" s="35">
        <f>SUM($M$2:M790)</f>
        <v>187666800</v>
      </c>
      <c r="P790" s="34">
        <f t="shared" si="103"/>
        <v>0.983869445685203</v>
      </c>
      <c r="Q790" s="37">
        <v>2.3</v>
      </c>
      <c r="R790" s="31">
        <v>1</v>
      </c>
      <c r="S790" s="31">
        <v>2</v>
      </c>
      <c r="T790" s="31">
        <v>2</v>
      </c>
      <c r="U790" s="37">
        <v>4.2</v>
      </c>
      <c r="V790" s="31">
        <v>3</v>
      </c>
      <c r="W790" s="31">
        <v>3</v>
      </c>
      <c r="X790" s="38">
        <v>13</v>
      </c>
      <c r="Y790" s="31">
        <v>2</v>
      </c>
      <c r="Z790" s="31">
        <v>1</v>
      </c>
      <c r="AA790" s="31" t="s">
        <v>185</v>
      </c>
      <c r="AB790" s="31" t="s">
        <v>220</v>
      </c>
      <c r="AC790" s="41">
        <f>IFERROR(LOOKUP(M790,打分卡!$F$7:$J$7,打分卡!$K$7:$O$7),1)</f>
        <v>1</v>
      </c>
      <c r="AD790" s="41">
        <f>IFERROR(LOOKUP(S790,打分卡!$F$8:$J$8,打分卡!$K$8:$O$8),1)</f>
        <v>2</v>
      </c>
      <c r="AE790" s="41">
        <f>IFERROR(LOOKUP(T790,打分卡!$F$9:$I$9,打分卡!$K$9:$N$9),1)</f>
        <v>3</v>
      </c>
      <c r="AF790" s="41">
        <f>IFERROR(LOOKUP(Q790,打分卡!$F$10:$J$10,打分卡!$K$10:$O$10),1)</f>
        <v>1</v>
      </c>
      <c r="AG790" s="41">
        <f>IFERROR(LOOKUP(R790,打分卡!$F$11:$J$11,打分卡!$K$11:$O$11),1)</f>
        <v>1</v>
      </c>
      <c r="AH790" s="41">
        <f>IFERROR(LOOKUP(U790,打分卡!$F$12:$J$12,打分卡!$K$12:$O$12),1)</f>
        <v>2</v>
      </c>
      <c r="AI790" s="41">
        <f>IFERROR(LOOKUP(X790,打分卡!$F$13:$J$13,打分卡!$K$13:$O$13),1)</f>
        <v>1</v>
      </c>
      <c r="AJ790" s="41">
        <f>IFERROR(LOOKUP(Y790,打分卡!$F$14:$J$14,打分卡!$K$14:$O$14),1)</f>
        <v>3</v>
      </c>
      <c r="AK790" s="41">
        <f>IFERROR(LOOKUP(W790,打分卡!$F$15:$J$15,打分卡!$K$15:$O$15),1)</f>
        <v>3</v>
      </c>
      <c r="AL790" s="43">
        <f t="shared" si="97"/>
        <v>3</v>
      </c>
      <c r="AM790" s="41">
        <f>IFERROR(LOOKUP(Z790,打分卡!$F$17:$H$17,打分卡!$K$17:$M$17),1)</f>
        <v>3</v>
      </c>
      <c r="AN790" s="44">
        <f>(打分卡!$D$7*AC790+打分卡!$D$8*AD790+打分卡!$D$9*AE790)/5</f>
        <v>12.4</v>
      </c>
      <c r="AO790" s="44">
        <f>(打分卡!$D$10*AF790+打分卡!$D$11*AG790)/5</f>
        <v>4</v>
      </c>
      <c r="AP790" s="44">
        <f>(打分卡!$D$12*AH790+打分卡!$D$13*AI790+打分卡!$D$14*AJ790+打分卡!$D$15*AK790)/5</f>
        <v>12.4</v>
      </c>
      <c r="AQ790" s="44">
        <f>(打分卡!$D$16*AL790+打分卡!$D$17*AM790)/5</f>
        <v>6</v>
      </c>
      <c r="AR790" s="47">
        <f t="shared" si="98"/>
        <v>34.8</v>
      </c>
      <c r="AS790" s="43" t="str">
        <f t="shared" si="99"/>
        <v>基础长尾</v>
      </c>
      <c r="AT790" s="43" t="str">
        <f t="shared" si="100"/>
        <v/>
      </c>
      <c r="AU790" s="43" t="str">
        <f t="shared" si="101"/>
        <v>激活：企微+Push低成本先跑</v>
      </c>
    </row>
    <row r="791" ht="15" customHeight="1" spans="1:47">
      <c r="A791" s="20" t="s">
        <v>2275</v>
      </c>
      <c r="B791" s="22" t="s">
        <v>2276</v>
      </c>
      <c r="C791" s="22" t="s">
        <v>179</v>
      </c>
      <c r="D791" s="22" t="s">
        <v>202</v>
      </c>
      <c r="E791" s="22" t="s">
        <v>197</v>
      </c>
      <c r="F791" s="20" t="s">
        <v>641</v>
      </c>
      <c r="G791" s="22">
        <v>3</v>
      </c>
      <c r="H791" s="22" t="s">
        <v>642</v>
      </c>
      <c r="I791" s="22" t="s">
        <v>302</v>
      </c>
      <c r="J791" s="36">
        <v>8100</v>
      </c>
      <c r="K791" s="36">
        <v>4900</v>
      </c>
      <c r="L791" s="36">
        <v>3500</v>
      </c>
      <c r="M791" s="36">
        <f t="shared" si="96"/>
        <v>16500</v>
      </c>
      <c r="N791" s="34">
        <f t="shared" si="102"/>
        <v>8.65035576554076e-5</v>
      </c>
      <c r="O791" s="35">
        <f>SUM($M$2:M791)</f>
        <v>187683300</v>
      </c>
      <c r="P791" s="34">
        <f t="shared" si="103"/>
        <v>0.983955949242858</v>
      </c>
      <c r="Q791" s="39">
        <v>2.2</v>
      </c>
      <c r="R791" s="22">
        <v>1</v>
      </c>
      <c r="S791" s="22">
        <v>2</v>
      </c>
      <c r="T791" s="22">
        <v>2</v>
      </c>
      <c r="U791" s="39">
        <v>625</v>
      </c>
      <c r="V791" s="22">
        <v>13</v>
      </c>
      <c r="W791" s="22">
        <v>13</v>
      </c>
      <c r="X791" s="40">
        <v>979</v>
      </c>
      <c r="Y791" s="22">
        <v>3</v>
      </c>
      <c r="Z791" s="22">
        <v>0</v>
      </c>
      <c r="AA791" s="22" t="s">
        <v>199</v>
      </c>
      <c r="AB791" s="22" t="s">
        <v>220</v>
      </c>
      <c r="AC791" s="42">
        <f>IFERROR(LOOKUP(M791,打分卡!$F$7:$J$7,打分卡!$K$7:$O$7),1)</f>
        <v>1</v>
      </c>
      <c r="AD791" s="42">
        <f>IFERROR(LOOKUP(S791,打分卡!$F$8:$J$8,打分卡!$K$8:$O$8),1)</f>
        <v>2</v>
      </c>
      <c r="AE791" s="42">
        <f>IFERROR(LOOKUP(T791,打分卡!$F$9:$I$9,打分卡!$K$9:$N$9),1)</f>
        <v>3</v>
      </c>
      <c r="AF791" s="42">
        <f>IFERROR(LOOKUP(Q791,打分卡!$F$10:$J$10,打分卡!$K$10:$O$10),1)</f>
        <v>1</v>
      </c>
      <c r="AG791" s="42">
        <f>IFERROR(LOOKUP(R791,打分卡!$F$11:$J$11,打分卡!$K$11:$O$11),1)</f>
        <v>1</v>
      </c>
      <c r="AH791" s="42">
        <f>IFERROR(LOOKUP(U791,打分卡!$F$12:$J$12,打分卡!$K$12:$O$12),1)</f>
        <v>5</v>
      </c>
      <c r="AI791" s="42">
        <f>IFERROR(LOOKUP(X791,打分卡!$F$13:$J$13,打分卡!$K$13:$O$13),1)</f>
        <v>5</v>
      </c>
      <c r="AJ791" s="42">
        <f>IFERROR(LOOKUP(Y791,打分卡!$F$14:$J$14,打分卡!$K$14:$O$14),1)</f>
        <v>4</v>
      </c>
      <c r="AK791" s="42">
        <f>IFERROR(LOOKUP(W791,打分卡!$F$15:$J$15,打分卡!$K$15:$O$15),1)</f>
        <v>5</v>
      </c>
      <c r="AL791" s="45">
        <f t="shared" si="97"/>
        <v>5</v>
      </c>
      <c r="AM791" s="42">
        <f>IFERROR(LOOKUP(Z791,打分卡!$F$17:$H$17,打分卡!$K$17:$M$17),1)</f>
        <v>1</v>
      </c>
      <c r="AN791" s="46">
        <f>(打分卡!$D$7*AC791+打分卡!$D$8*AD791+打分卡!$D$9*AE791)/5</f>
        <v>12.4</v>
      </c>
      <c r="AO791" s="46">
        <f>(打分卡!$D$10*AF791+打分卡!$D$11*AG791)/5</f>
        <v>4</v>
      </c>
      <c r="AP791" s="46">
        <f>(打分卡!$D$12*AH791+打分卡!$D$13*AI791+打分卡!$D$14*AJ791+打分卡!$D$15*AK791)/5</f>
        <v>28.8</v>
      </c>
      <c r="AQ791" s="46">
        <f>(打分卡!$D$16*AL791+打分卡!$D$17*AM791)/5</f>
        <v>6.8</v>
      </c>
      <c r="AR791" s="48">
        <f t="shared" si="98"/>
        <v>52</v>
      </c>
      <c r="AS791" s="45" t="str">
        <f t="shared" si="99"/>
        <v>腰部</v>
      </c>
      <c r="AT791" s="45" t="str">
        <f t="shared" si="100"/>
        <v/>
      </c>
      <c r="AU791" s="45" t="str">
        <f t="shared" si="101"/>
        <v>拉·主攻：主推AI外呼+大促作战包</v>
      </c>
    </row>
    <row r="792" ht="15" customHeight="1" spans="1:47">
      <c r="A792" s="30" t="s">
        <v>2277</v>
      </c>
      <c r="B792" s="31" t="s">
        <v>2278</v>
      </c>
      <c r="C792" s="31" t="s">
        <v>223</v>
      </c>
      <c r="D792" s="31" t="s">
        <v>202</v>
      </c>
      <c r="E792" s="31" t="s">
        <v>181</v>
      </c>
      <c r="F792" s="30" t="s">
        <v>389</v>
      </c>
      <c r="G792" s="31">
        <v>14</v>
      </c>
      <c r="H792" s="31" t="s">
        <v>183</v>
      </c>
      <c r="I792" s="31" t="s">
        <v>302</v>
      </c>
      <c r="J792" s="33">
        <v>8600</v>
      </c>
      <c r="K792" s="33">
        <v>5500</v>
      </c>
      <c r="L792" s="33">
        <v>2400</v>
      </c>
      <c r="M792" s="33">
        <f t="shared" si="96"/>
        <v>16500</v>
      </c>
      <c r="N792" s="34">
        <f t="shared" si="102"/>
        <v>8.65035576554076e-5</v>
      </c>
      <c r="O792" s="35">
        <f>SUM($M$2:M792)</f>
        <v>187699800</v>
      </c>
      <c r="P792" s="34">
        <f t="shared" si="103"/>
        <v>0.984042452800513</v>
      </c>
      <c r="Q792" s="37">
        <v>1.8</v>
      </c>
      <c r="R792" s="31">
        <v>3</v>
      </c>
      <c r="S792" s="31">
        <v>1</v>
      </c>
      <c r="T792" s="31">
        <v>1</v>
      </c>
      <c r="U792" s="37">
        <v>4.8</v>
      </c>
      <c r="V792" s="31">
        <v>22</v>
      </c>
      <c r="W792" s="31">
        <v>4</v>
      </c>
      <c r="X792" s="38">
        <v>42</v>
      </c>
      <c r="Y792" s="31">
        <v>2</v>
      </c>
      <c r="Z792" s="31">
        <v>0</v>
      </c>
      <c r="AA792" s="31" t="s">
        <v>315</v>
      </c>
      <c r="AB792" s="31" t="s">
        <v>220</v>
      </c>
      <c r="AC792" s="41">
        <f>IFERROR(LOOKUP(M792,打分卡!$F$7:$J$7,打分卡!$K$7:$O$7),1)</f>
        <v>1</v>
      </c>
      <c r="AD792" s="41">
        <f>IFERROR(LOOKUP(S792,打分卡!$F$8:$J$8,打分卡!$K$8:$O$8),1)</f>
        <v>1</v>
      </c>
      <c r="AE792" s="41">
        <f>IFERROR(LOOKUP(T792,打分卡!$F$9:$I$9,打分卡!$K$9:$N$9),1)</f>
        <v>2</v>
      </c>
      <c r="AF792" s="41">
        <f>IFERROR(LOOKUP(Q792,打分卡!$F$10:$J$10,打分卡!$K$10:$O$10),1)</f>
        <v>1</v>
      </c>
      <c r="AG792" s="41">
        <f>IFERROR(LOOKUP(R792,打分卡!$F$11:$J$11,打分卡!$K$11:$O$11),1)</f>
        <v>2</v>
      </c>
      <c r="AH792" s="41">
        <f>IFERROR(LOOKUP(U792,打分卡!$F$12:$J$12,打分卡!$K$12:$O$12),1)</f>
        <v>2</v>
      </c>
      <c r="AI792" s="41">
        <f>IFERROR(LOOKUP(X792,打分卡!$F$13:$J$13,打分卡!$K$13:$O$13),1)</f>
        <v>3</v>
      </c>
      <c r="AJ792" s="41">
        <f>IFERROR(LOOKUP(Y792,打分卡!$F$14:$J$14,打分卡!$K$14:$O$14),1)</f>
        <v>3</v>
      </c>
      <c r="AK792" s="41">
        <f>IFERROR(LOOKUP(W792,打分卡!$F$15:$J$15,打分卡!$K$15:$O$15),1)</f>
        <v>3</v>
      </c>
      <c r="AL792" s="43">
        <f t="shared" si="97"/>
        <v>2</v>
      </c>
      <c r="AM792" s="41">
        <f>IFERROR(LOOKUP(Z792,打分卡!$F$17:$H$17,打分卡!$K$17:$M$17),1)</f>
        <v>1</v>
      </c>
      <c r="AN792" s="44">
        <f>(打分卡!$D$7*AC792+打分卡!$D$8*AD792+打分卡!$D$9*AE792)/5</f>
        <v>9.4</v>
      </c>
      <c r="AO792" s="44">
        <f>(打分卡!$D$10*AF792+打分卡!$D$11*AG792)/5</f>
        <v>6</v>
      </c>
      <c r="AP792" s="44">
        <f>(打分卡!$D$12*AH792+打分卡!$D$13*AI792+打分卡!$D$14*AJ792+打分卡!$D$15*AK792)/5</f>
        <v>15.6</v>
      </c>
      <c r="AQ792" s="44">
        <f>(打分卡!$D$16*AL792+打分卡!$D$17*AM792)/5</f>
        <v>3.2</v>
      </c>
      <c r="AR792" s="47">
        <f t="shared" si="98"/>
        <v>34.2</v>
      </c>
      <c r="AS792" s="43" t="str">
        <f t="shared" si="99"/>
        <v>基础长尾</v>
      </c>
      <c r="AT792" s="43" t="str">
        <f t="shared" si="100"/>
        <v/>
      </c>
      <c r="AU792" s="43" t="str">
        <f t="shared" si="101"/>
        <v>激活：企微+Push低成本先跑</v>
      </c>
    </row>
    <row r="793" ht="15" customHeight="1" spans="1:47">
      <c r="A793" s="20" t="s">
        <v>2279</v>
      </c>
      <c r="B793" s="22" t="s">
        <v>2280</v>
      </c>
      <c r="C793" s="22" t="s">
        <v>218</v>
      </c>
      <c r="D793" s="22" t="s">
        <v>196</v>
      </c>
      <c r="E793" s="22" t="s">
        <v>197</v>
      </c>
      <c r="F793" s="20" t="s">
        <v>2281</v>
      </c>
      <c r="G793" s="22">
        <v>22</v>
      </c>
      <c r="H793" s="22" t="s">
        <v>301</v>
      </c>
      <c r="I793" s="22" t="s">
        <v>302</v>
      </c>
      <c r="J793" s="36">
        <v>8000</v>
      </c>
      <c r="K793" s="36">
        <v>6000</v>
      </c>
      <c r="L793" s="36">
        <v>2400</v>
      </c>
      <c r="M793" s="36">
        <f t="shared" si="96"/>
        <v>16400</v>
      </c>
      <c r="N793" s="34">
        <f t="shared" si="102"/>
        <v>8.59792936696172e-5</v>
      </c>
      <c r="O793" s="35">
        <f>SUM($M$2:M793)</f>
        <v>187716200</v>
      </c>
      <c r="P793" s="34">
        <f t="shared" si="103"/>
        <v>0.984128432094183</v>
      </c>
      <c r="Q793" s="39">
        <v>2.1</v>
      </c>
      <c r="R793" s="22">
        <v>8</v>
      </c>
      <c r="S793" s="22">
        <v>2</v>
      </c>
      <c r="T793" s="22">
        <v>0</v>
      </c>
      <c r="U793" s="39">
        <v>45.7</v>
      </c>
      <c r="V793" s="22">
        <v>24</v>
      </c>
      <c r="W793" s="22">
        <v>2</v>
      </c>
      <c r="X793" s="40">
        <v>13</v>
      </c>
      <c r="Y793" s="22">
        <v>3</v>
      </c>
      <c r="Z793" s="22">
        <v>1</v>
      </c>
      <c r="AA793" s="22" t="s">
        <v>199</v>
      </c>
      <c r="AB793" s="22" t="s">
        <v>220</v>
      </c>
      <c r="AC793" s="42">
        <f>IFERROR(LOOKUP(M793,打分卡!$F$7:$J$7,打分卡!$K$7:$O$7),1)</f>
        <v>1</v>
      </c>
      <c r="AD793" s="42">
        <f>IFERROR(LOOKUP(S793,打分卡!$F$8:$J$8,打分卡!$K$8:$O$8),1)</f>
        <v>2</v>
      </c>
      <c r="AE793" s="42">
        <f>IFERROR(LOOKUP(T793,打分卡!$F$9:$I$9,打分卡!$K$9:$N$9),1)</f>
        <v>1</v>
      </c>
      <c r="AF793" s="42">
        <f>IFERROR(LOOKUP(Q793,打分卡!$F$10:$J$10,打分卡!$K$10:$O$10),1)</f>
        <v>1</v>
      </c>
      <c r="AG793" s="42">
        <f>IFERROR(LOOKUP(R793,打分卡!$F$11:$J$11,打分卡!$K$11:$O$11),1)</f>
        <v>3</v>
      </c>
      <c r="AH793" s="42">
        <f>IFERROR(LOOKUP(U793,打分卡!$F$12:$J$12,打分卡!$K$12:$O$12),1)</f>
        <v>4</v>
      </c>
      <c r="AI793" s="42">
        <f>IFERROR(LOOKUP(X793,打分卡!$F$13:$J$13,打分卡!$K$13:$O$13),1)</f>
        <v>1</v>
      </c>
      <c r="AJ793" s="42">
        <f>IFERROR(LOOKUP(Y793,打分卡!$F$14:$J$14,打分卡!$K$14:$O$14),1)</f>
        <v>4</v>
      </c>
      <c r="AK793" s="42">
        <f>IFERROR(LOOKUP(W793,打分卡!$F$15:$J$15,打分卡!$K$15:$O$15),1)</f>
        <v>2</v>
      </c>
      <c r="AL793" s="45">
        <f t="shared" si="97"/>
        <v>5</v>
      </c>
      <c r="AM793" s="42">
        <f>IFERROR(LOOKUP(Z793,打分卡!$F$17:$H$17,打分卡!$K$17:$M$17),1)</f>
        <v>3</v>
      </c>
      <c r="AN793" s="46">
        <f>(打分卡!$D$7*AC793+打分卡!$D$8*AD793+打分卡!$D$9*AE793)/5</f>
        <v>9.6</v>
      </c>
      <c r="AO793" s="46">
        <f>(打分卡!$D$10*AF793+打分卡!$D$11*AG793)/5</f>
        <v>8</v>
      </c>
      <c r="AP793" s="46">
        <f>(打分卡!$D$12*AH793+打分卡!$D$13*AI793+打分卡!$D$14*AJ793+打分卡!$D$15*AK793)/5</f>
        <v>17.6</v>
      </c>
      <c r="AQ793" s="46">
        <f>(打分卡!$D$16*AL793+打分卡!$D$17*AM793)/5</f>
        <v>8.4</v>
      </c>
      <c r="AR793" s="48">
        <f t="shared" si="98"/>
        <v>43.6</v>
      </c>
      <c r="AS793" s="45" t="str">
        <f t="shared" si="99"/>
        <v>腰部</v>
      </c>
      <c r="AT793" s="45" t="str">
        <f t="shared" si="100"/>
        <v/>
      </c>
      <c r="AU793" s="45" t="str">
        <f t="shared" si="101"/>
        <v>拉·主攻：主推AI外呼+大促作战包</v>
      </c>
    </row>
    <row r="794" ht="15" customHeight="1" spans="1:47">
      <c r="A794" s="30" t="s">
        <v>2282</v>
      </c>
      <c r="B794" s="31" t="s">
        <v>2283</v>
      </c>
      <c r="C794" s="31" t="s">
        <v>195</v>
      </c>
      <c r="D794" s="31" t="s">
        <v>190</v>
      </c>
      <c r="E794" s="31" t="s">
        <v>181</v>
      </c>
      <c r="F794" s="30" t="s">
        <v>920</v>
      </c>
      <c r="G794" s="31">
        <v>24</v>
      </c>
      <c r="H794" s="31" t="s">
        <v>301</v>
      </c>
      <c r="I794" s="31" t="s">
        <v>184</v>
      </c>
      <c r="J794" s="33">
        <v>7700</v>
      </c>
      <c r="K794" s="33">
        <v>5300</v>
      </c>
      <c r="L794" s="33">
        <v>3300</v>
      </c>
      <c r="M794" s="33">
        <f t="shared" si="96"/>
        <v>16300</v>
      </c>
      <c r="N794" s="34">
        <f t="shared" si="102"/>
        <v>8.54550296838269e-5</v>
      </c>
      <c r="O794" s="35">
        <f>SUM($M$2:M794)</f>
        <v>187732500</v>
      </c>
      <c r="P794" s="34">
        <f t="shared" si="103"/>
        <v>0.984213887123867</v>
      </c>
      <c r="Q794" s="37">
        <v>1.2</v>
      </c>
      <c r="R794" s="31">
        <v>5</v>
      </c>
      <c r="S794" s="31">
        <v>2</v>
      </c>
      <c r="T794" s="31">
        <v>1</v>
      </c>
      <c r="U794" s="37">
        <v>5.1</v>
      </c>
      <c r="V794" s="31">
        <v>19</v>
      </c>
      <c r="W794" s="31">
        <v>1</v>
      </c>
      <c r="X794" s="38">
        <v>16</v>
      </c>
      <c r="Y794" s="31">
        <v>1</v>
      </c>
      <c r="Z794" s="31">
        <v>1</v>
      </c>
      <c r="AA794" s="31" t="s">
        <v>199</v>
      </c>
      <c r="AB794" s="31" t="s">
        <v>220</v>
      </c>
      <c r="AC794" s="41">
        <f>IFERROR(LOOKUP(M794,打分卡!$F$7:$J$7,打分卡!$K$7:$O$7),1)</f>
        <v>1</v>
      </c>
      <c r="AD794" s="41">
        <f>IFERROR(LOOKUP(S794,打分卡!$F$8:$J$8,打分卡!$K$8:$O$8),1)</f>
        <v>2</v>
      </c>
      <c r="AE794" s="41">
        <f>IFERROR(LOOKUP(T794,打分卡!$F$9:$I$9,打分卡!$K$9:$N$9),1)</f>
        <v>2</v>
      </c>
      <c r="AF794" s="41">
        <f>IFERROR(LOOKUP(Q794,打分卡!$F$10:$J$10,打分卡!$K$10:$O$10),1)</f>
        <v>1</v>
      </c>
      <c r="AG794" s="41">
        <f>IFERROR(LOOKUP(R794,打分卡!$F$11:$J$11,打分卡!$K$11:$O$11),1)</f>
        <v>3</v>
      </c>
      <c r="AH794" s="41">
        <f>IFERROR(LOOKUP(U794,打分卡!$F$12:$J$12,打分卡!$K$12:$O$12),1)</f>
        <v>2</v>
      </c>
      <c r="AI794" s="41">
        <f>IFERROR(LOOKUP(X794,打分卡!$F$13:$J$13,打分卡!$K$13:$O$13),1)</f>
        <v>1</v>
      </c>
      <c r="AJ794" s="41">
        <f>IFERROR(LOOKUP(Y794,打分卡!$F$14:$J$14,打分卡!$K$14:$O$14),1)</f>
        <v>2</v>
      </c>
      <c r="AK794" s="41">
        <f>IFERROR(LOOKUP(W794,打分卡!$F$15:$J$15,打分卡!$K$15:$O$15),1)</f>
        <v>2</v>
      </c>
      <c r="AL794" s="43">
        <f t="shared" si="97"/>
        <v>5</v>
      </c>
      <c r="AM794" s="41">
        <f>IFERROR(LOOKUP(Z794,打分卡!$F$17:$H$17,打分卡!$K$17:$M$17),1)</f>
        <v>3</v>
      </c>
      <c r="AN794" s="44">
        <f>(打分卡!$D$7*AC794+打分卡!$D$8*AD794+打分卡!$D$9*AE794)/5</f>
        <v>11</v>
      </c>
      <c r="AO794" s="44">
        <f>(打分卡!$D$10*AF794+打分卡!$D$11*AG794)/5</f>
        <v>8</v>
      </c>
      <c r="AP794" s="44">
        <f>(打分卡!$D$12*AH794+打分卡!$D$13*AI794+打分卡!$D$14*AJ794+打分卡!$D$15*AK794)/5</f>
        <v>10.4</v>
      </c>
      <c r="AQ794" s="44">
        <f>(打分卡!$D$16*AL794+打分卡!$D$17*AM794)/5</f>
        <v>8.4</v>
      </c>
      <c r="AR794" s="47">
        <f t="shared" si="98"/>
        <v>37.8</v>
      </c>
      <c r="AS794" s="43" t="str">
        <f t="shared" si="99"/>
        <v>基础长尾</v>
      </c>
      <c r="AT794" s="43" t="str">
        <f t="shared" si="100"/>
        <v/>
      </c>
      <c r="AU794" s="43" t="str">
        <f t="shared" si="101"/>
        <v>激活：企微+Push低成本先跑</v>
      </c>
    </row>
    <row r="795" ht="15" customHeight="1" spans="1:47">
      <c r="A795" s="20" t="s">
        <v>2284</v>
      </c>
      <c r="B795" s="22" t="s">
        <v>2285</v>
      </c>
      <c r="C795" s="22" t="s">
        <v>239</v>
      </c>
      <c r="D795" s="22" t="s">
        <v>196</v>
      </c>
      <c r="E795" s="22" t="s">
        <v>197</v>
      </c>
      <c r="F795" s="20" t="s">
        <v>475</v>
      </c>
      <c r="G795" s="22">
        <v>8</v>
      </c>
      <c r="H795" s="22" t="s">
        <v>301</v>
      </c>
      <c r="I795" s="22" t="s">
        <v>302</v>
      </c>
      <c r="J795" s="36">
        <v>8600</v>
      </c>
      <c r="K795" s="36">
        <v>4400</v>
      </c>
      <c r="L795" s="36">
        <v>3200</v>
      </c>
      <c r="M795" s="36">
        <f t="shared" si="96"/>
        <v>16200</v>
      </c>
      <c r="N795" s="34">
        <f t="shared" si="102"/>
        <v>8.49307656980365e-5</v>
      </c>
      <c r="O795" s="35">
        <f>SUM($M$2:M795)</f>
        <v>187748700</v>
      </c>
      <c r="P795" s="34">
        <f t="shared" si="103"/>
        <v>0.984298817889565</v>
      </c>
      <c r="Q795" s="39">
        <v>2.3</v>
      </c>
      <c r="R795" s="22">
        <v>8</v>
      </c>
      <c r="S795" s="22">
        <v>3</v>
      </c>
      <c r="T795" s="22">
        <v>2</v>
      </c>
      <c r="U795" s="39">
        <v>12.6</v>
      </c>
      <c r="V795" s="22">
        <v>11</v>
      </c>
      <c r="W795" s="22">
        <v>3</v>
      </c>
      <c r="X795" s="40">
        <v>41</v>
      </c>
      <c r="Y795" s="22">
        <v>3</v>
      </c>
      <c r="Z795" s="22">
        <v>0</v>
      </c>
      <c r="AA795" s="22" t="s">
        <v>185</v>
      </c>
      <c r="AB795" s="22" t="s">
        <v>220</v>
      </c>
      <c r="AC795" s="42">
        <f>IFERROR(LOOKUP(M795,打分卡!$F$7:$J$7,打分卡!$K$7:$O$7),1)</f>
        <v>1</v>
      </c>
      <c r="AD795" s="42">
        <f>IFERROR(LOOKUP(S795,打分卡!$F$8:$J$8,打分卡!$K$8:$O$8),1)</f>
        <v>3</v>
      </c>
      <c r="AE795" s="42">
        <f>IFERROR(LOOKUP(T795,打分卡!$F$9:$I$9,打分卡!$K$9:$N$9),1)</f>
        <v>3</v>
      </c>
      <c r="AF795" s="42">
        <f>IFERROR(LOOKUP(Q795,打分卡!$F$10:$J$10,打分卡!$K$10:$O$10),1)</f>
        <v>1</v>
      </c>
      <c r="AG795" s="42">
        <f>IFERROR(LOOKUP(R795,打分卡!$F$11:$J$11,打分卡!$K$11:$O$11),1)</f>
        <v>3</v>
      </c>
      <c r="AH795" s="42">
        <f>IFERROR(LOOKUP(U795,打分卡!$F$12:$J$12,打分卡!$K$12:$O$12),1)</f>
        <v>3</v>
      </c>
      <c r="AI795" s="42">
        <f>IFERROR(LOOKUP(X795,打分卡!$F$13:$J$13,打分卡!$K$13:$O$13),1)</f>
        <v>3</v>
      </c>
      <c r="AJ795" s="42">
        <f>IFERROR(LOOKUP(Y795,打分卡!$F$14:$J$14,打分卡!$K$14:$O$14),1)</f>
        <v>4</v>
      </c>
      <c r="AK795" s="42">
        <f>IFERROR(LOOKUP(W795,打分卡!$F$15:$J$15,打分卡!$K$15:$O$15),1)</f>
        <v>3</v>
      </c>
      <c r="AL795" s="45">
        <f t="shared" si="97"/>
        <v>3</v>
      </c>
      <c r="AM795" s="42">
        <f>IFERROR(LOOKUP(Z795,打分卡!$F$17:$H$17,打分卡!$K$17:$M$17),1)</f>
        <v>1</v>
      </c>
      <c r="AN795" s="46">
        <f>(打分卡!$D$7*AC795+打分卡!$D$8*AD795+打分卡!$D$9*AE795)/5</f>
        <v>14</v>
      </c>
      <c r="AO795" s="46">
        <f>(打分卡!$D$10*AF795+打分卡!$D$11*AG795)/5</f>
        <v>8</v>
      </c>
      <c r="AP795" s="46">
        <f>(打分卡!$D$12*AH795+打分卡!$D$13*AI795+打分卡!$D$14*AJ795+打分卡!$D$15*AK795)/5</f>
        <v>19.2</v>
      </c>
      <c r="AQ795" s="46">
        <f>(打分卡!$D$16*AL795+打分卡!$D$17*AM795)/5</f>
        <v>4.4</v>
      </c>
      <c r="AR795" s="48">
        <f t="shared" si="98"/>
        <v>45.6</v>
      </c>
      <c r="AS795" s="45" t="str">
        <f t="shared" si="99"/>
        <v>腰部</v>
      </c>
      <c r="AT795" s="45" t="str">
        <f t="shared" si="100"/>
        <v/>
      </c>
      <c r="AU795" s="45" t="str">
        <f t="shared" si="101"/>
        <v>拉·主攻：主推AI外呼+大促作战包</v>
      </c>
    </row>
    <row r="796" ht="15" customHeight="1" spans="1:47">
      <c r="A796" s="30" t="s">
        <v>2286</v>
      </c>
      <c r="B796" s="31" t="s">
        <v>2287</v>
      </c>
      <c r="C796" s="31" t="s">
        <v>223</v>
      </c>
      <c r="D796" s="31" t="s">
        <v>227</v>
      </c>
      <c r="E796" s="31" t="s">
        <v>181</v>
      </c>
      <c r="F796" s="30" t="s">
        <v>2288</v>
      </c>
      <c r="G796" s="31">
        <v>7</v>
      </c>
      <c r="H796" s="31" t="s">
        <v>301</v>
      </c>
      <c r="I796" s="31" t="s">
        <v>184</v>
      </c>
      <c r="J796" s="33">
        <v>10200</v>
      </c>
      <c r="K796" s="33">
        <v>5300</v>
      </c>
      <c r="L796" s="33">
        <v>800</v>
      </c>
      <c r="M796" s="33">
        <f t="shared" si="96"/>
        <v>16300</v>
      </c>
      <c r="N796" s="34">
        <f t="shared" si="102"/>
        <v>8.54550296838269e-5</v>
      </c>
      <c r="O796" s="35">
        <f>SUM($M$2:M796)</f>
        <v>187765000</v>
      </c>
      <c r="P796" s="34">
        <f t="shared" si="103"/>
        <v>0.984384272919249</v>
      </c>
      <c r="Q796" s="37">
        <v>2.5</v>
      </c>
      <c r="R796" s="31">
        <v>3</v>
      </c>
      <c r="S796" s="31">
        <v>1</v>
      </c>
      <c r="T796" s="31">
        <v>0</v>
      </c>
      <c r="U796" s="37">
        <v>30.6</v>
      </c>
      <c r="V796" s="31">
        <v>21</v>
      </c>
      <c r="W796" s="31">
        <v>4</v>
      </c>
      <c r="X796" s="38">
        <v>24</v>
      </c>
      <c r="Y796" s="31">
        <v>3</v>
      </c>
      <c r="Z796" s="31">
        <v>1</v>
      </c>
      <c r="AA796" s="31" t="s">
        <v>185</v>
      </c>
      <c r="AB796" s="31" t="s">
        <v>220</v>
      </c>
      <c r="AC796" s="41">
        <f>IFERROR(LOOKUP(M796,打分卡!$F$7:$J$7,打分卡!$K$7:$O$7),1)</f>
        <v>1</v>
      </c>
      <c r="AD796" s="41">
        <f>IFERROR(LOOKUP(S796,打分卡!$F$8:$J$8,打分卡!$K$8:$O$8),1)</f>
        <v>1</v>
      </c>
      <c r="AE796" s="41">
        <f>IFERROR(LOOKUP(T796,打分卡!$F$9:$I$9,打分卡!$K$9:$N$9),1)</f>
        <v>1</v>
      </c>
      <c r="AF796" s="41">
        <f>IFERROR(LOOKUP(Q796,打分卡!$F$10:$J$10,打分卡!$K$10:$O$10),1)</f>
        <v>2</v>
      </c>
      <c r="AG796" s="41">
        <f>IFERROR(LOOKUP(R796,打分卡!$F$11:$J$11,打分卡!$K$11:$O$11),1)</f>
        <v>2</v>
      </c>
      <c r="AH796" s="41">
        <f>IFERROR(LOOKUP(U796,打分卡!$F$12:$J$12,打分卡!$K$12:$O$12),1)</f>
        <v>3</v>
      </c>
      <c r="AI796" s="41">
        <f>IFERROR(LOOKUP(X796,打分卡!$F$13:$J$13,打分卡!$K$13:$O$13),1)</f>
        <v>2</v>
      </c>
      <c r="AJ796" s="41">
        <f>IFERROR(LOOKUP(Y796,打分卡!$F$14:$J$14,打分卡!$K$14:$O$14),1)</f>
        <v>4</v>
      </c>
      <c r="AK796" s="41">
        <f>IFERROR(LOOKUP(W796,打分卡!$F$15:$J$15,打分卡!$K$15:$O$15),1)</f>
        <v>3</v>
      </c>
      <c r="AL796" s="43">
        <f t="shared" si="97"/>
        <v>3</v>
      </c>
      <c r="AM796" s="41">
        <f>IFERROR(LOOKUP(Z796,打分卡!$F$17:$H$17,打分卡!$K$17:$M$17),1)</f>
        <v>3</v>
      </c>
      <c r="AN796" s="44">
        <f>(打分卡!$D$7*AC796+打分卡!$D$8*AD796+打分卡!$D$9*AE796)/5</f>
        <v>8</v>
      </c>
      <c r="AO796" s="44">
        <f>(打分卡!$D$10*AF796+打分卡!$D$11*AG796)/5</f>
        <v>8</v>
      </c>
      <c r="AP796" s="44">
        <f>(打分卡!$D$12*AH796+打分卡!$D$13*AI796+打分卡!$D$14*AJ796+打分卡!$D$15*AK796)/5</f>
        <v>17.6</v>
      </c>
      <c r="AQ796" s="44">
        <f>(打分卡!$D$16*AL796+打分卡!$D$17*AM796)/5</f>
        <v>6</v>
      </c>
      <c r="AR796" s="47">
        <f t="shared" si="98"/>
        <v>39.6</v>
      </c>
      <c r="AS796" s="43" t="str">
        <f t="shared" si="99"/>
        <v>基础长尾</v>
      </c>
      <c r="AT796" s="43" t="str">
        <f t="shared" si="100"/>
        <v/>
      </c>
      <c r="AU796" s="43" t="str">
        <f t="shared" si="101"/>
        <v>激活：企微+Push低成本先跑</v>
      </c>
    </row>
    <row r="797" ht="15" customHeight="1" spans="1:47">
      <c r="A797" s="20" t="s">
        <v>2289</v>
      </c>
      <c r="B797" s="22" t="s">
        <v>2290</v>
      </c>
      <c r="C797" s="22" t="s">
        <v>189</v>
      </c>
      <c r="D797" s="22" t="s">
        <v>196</v>
      </c>
      <c r="E797" s="22" t="s">
        <v>181</v>
      </c>
      <c r="F797" s="20" t="s">
        <v>1652</v>
      </c>
      <c r="G797" s="22">
        <v>23</v>
      </c>
      <c r="H797" s="22" t="s">
        <v>301</v>
      </c>
      <c r="I797" s="22" t="s">
        <v>184</v>
      </c>
      <c r="J797" s="36">
        <v>8400</v>
      </c>
      <c r="K797" s="36">
        <v>3300</v>
      </c>
      <c r="L797" s="36">
        <v>4500</v>
      </c>
      <c r="M797" s="36">
        <f t="shared" si="96"/>
        <v>16200</v>
      </c>
      <c r="N797" s="34">
        <f t="shared" si="102"/>
        <v>8.49307656980365e-5</v>
      </c>
      <c r="O797" s="35">
        <f>SUM($M$2:M797)</f>
        <v>187781200</v>
      </c>
      <c r="P797" s="34">
        <f t="shared" si="103"/>
        <v>0.984469203684947</v>
      </c>
      <c r="Q797" s="39">
        <v>1.1</v>
      </c>
      <c r="R797" s="22">
        <v>2</v>
      </c>
      <c r="S797" s="22">
        <v>1</v>
      </c>
      <c r="T797" s="22">
        <v>2</v>
      </c>
      <c r="U797" s="39">
        <v>11.4</v>
      </c>
      <c r="V797" s="22">
        <v>19</v>
      </c>
      <c r="W797" s="22">
        <v>0</v>
      </c>
      <c r="X797" s="40">
        <v>92</v>
      </c>
      <c r="Y797" s="22">
        <v>2</v>
      </c>
      <c r="Z797" s="22">
        <v>0</v>
      </c>
      <c r="AA797" s="22" t="s">
        <v>185</v>
      </c>
      <c r="AB797" s="22" t="s">
        <v>220</v>
      </c>
      <c r="AC797" s="42">
        <f>IFERROR(LOOKUP(M797,打分卡!$F$7:$J$7,打分卡!$K$7:$O$7),1)</f>
        <v>1</v>
      </c>
      <c r="AD797" s="42">
        <f>IFERROR(LOOKUP(S797,打分卡!$F$8:$J$8,打分卡!$K$8:$O$8),1)</f>
        <v>1</v>
      </c>
      <c r="AE797" s="42">
        <f>IFERROR(LOOKUP(T797,打分卡!$F$9:$I$9,打分卡!$K$9:$N$9),1)</f>
        <v>3</v>
      </c>
      <c r="AF797" s="42">
        <f>IFERROR(LOOKUP(Q797,打分卡!$F$10:$J$10,打分卡!$K$10:$O$10),1)</f>
        <v>1</v>
      </c>
      <c r="AG797" s="42">
        <f>IFERROR(LOOKUP(R797,打分卡!$F$11:$J$11,打分卡!$K$11:$O$11),1)</f>
        <v>1</v>
      </c>
      <c r="AH797" s="42">
        <f>IFERROR(LOOKUP(U797,打分卡!$F$12:$J$12,打分卡!$K$12:$O$12),1)</f>
        <v>3</v>
      </c>
      <c r="AI797" s="42">
        <f>IFERROR(LOOKUP(X797,打分卡!$F$13:$J$13,打分卡!$K$13:$O$13),1)</f>
        <v>4</v>
      </c>
      <c r="AJ797" s="42">
        <f>IFERROR(LOOKUP(Y797,打分卡!$F$14:$J$14,打分卡!$K$14:$O$14),1)</f>
        <v>3</v>
      </c>
      <c r="AK797" s="42">
        <f>IFERROR(LOOKUP(W797,打分卡!$F$15:$J$15,打分卡!$K$15:$O$15),1)</f>
        <v>1</v>
      </c>
      <c r="AL797" s="45">
        <f t="shared" si="97"/>
        <v>3</v>
      </c>
      <c r="AM797" s="42">
        <f>IFERROR(LOOKUP(Z797,打分卡!$F$17:$H$17,打分卡!$K$17:$M$17),1)</f>
        <v>1</v>
      </c>
      <c r="AN797" s="46">
        <f>(打分卡!$D$7*AC797+打分卡!$D$8*AD797+打分卡!$D$9*AE797)/5</f>
        <v>10.8</v>
      </c>
      <c r="AO797" s="46">
        <f>(打分卡!$D$10*AF797+打分卡!$D$11*AG797)/5</f>
        <v>4</v>
      </c>
      <c r="AP797" s="46">
        <f>(打分卡!$D$12*AH797+打分卡!$D$13*AI797+打分卡!$D$14*AJ797+打分卡!$D$15*AK797)/5</f>
        <v>18</v>
      </c>
      <c r="AQ797" s="46">
        <f>(打分卡!$D$16*AL797+打分卡!$D$17*AM797)/5</f>
        <v>4.4</v>
      </c>
      <c r="AR797" s="48">
        <f t="shared" si="98"/>
        <v>37.2</v>
      </c>
      <c r="AS797" s="45" t="str">
        <f t="shared" si="99"/>
        <v>基础长尾</v>
      </c>
      <c r="AT797" s="45" t="str">
        <f t="shared" si="100"/>
        <v/>
      </c>
      <c r="AU797" s="45" t="str">
        <f t="shared" si="101"/>
        <v>激活：企微+Push低成本先跑</v>
      </c>
    </row>
    <row r="798" ht="15" customHeight="1" spans="1:47">
      <c r="A798" s="30" t="s">
        <v>2291</v>
      </c>
      <c r="B798" s="31" t="s">
        <v>2292</v>
      </c>
      <c r="C798" s="31" t="s">
        <v>223</v>
      </c>
      <c r="D798" s="31" t="s">
        <v>202</v>
      </c>
      <c r="E798" s="31" t="s">
        <v>181</v>
      </c>
      <c r="F798" s="30" t="s">
        <v>2293</v>
      </c>
      <c r="G798" s="31">
        <v>22</v>
      </c>
      <c r="H798" s="31" t="s">
        <v>301</v>
      </c>
      <c r="I798" s="31" t="s">
        <v>184</v>
      </c>
      <c r="J798" s="33">
        <v>10500</v>
      </c>
      <c r="K798" s="33">
        <v>4100</v>
      </c>
      <c r="L798" s="33">
        <v>1600</v>
      </c>
      <c r="M798" s="33">
        <f t="shared" si="96"/>
        <v>16200</v>
      </c>
      <c r="N798" s="34">
        <f t="shared" si="102"/>
        <v>8.49307656980365e-5</v>
      </c>
      <c r="O798" s="35">
        <f>SUM($M$2:M798)</f>
        <v>187797400</v>
      </c>
      <c r="P798" s="34">
        <f t="shared" si="103"/>
        <v>0.984554134450645</v>
      </c>
      <c r="Q798" s="37">
        <v>1.2</v>
      </c>
      <c r="R798" s="31">
        <v>8</v>
      </c>
      <c r="S798" s="31">
        <v>2</v>
      </c>
      <c r="T798" s="31">
        <v>1</v>
      </c>
      <c r="U798" s="37">
        <v>12.6</v>
      </c>
      <c r="V798" s="31">
        <v>4</v>
      </c>
      <c r="W798" s="31">
        <v>1</v>
      </c>
      <c r="X798" s="38">
        <v>21</v>
      </c>
      <c r="Y798" s="31">
        <v>1</v>
      </c>
      <c r="Z798" s="31">
        <v>0</v>
      </c>
      <c r="AA798" s="31" t="s">
        <v>185</v>
      </c>
      <c r="AB798" s="31" t="s">
        <v>220</v>
      </c>
      <c r="AC798" s="41">
        <f>IFERROR(LOOKUP(M798,打分卡!$F$7:$J$7,打分卡!$K$7:$O$7),1)</f>
        <v>1</v>
      </c>
      <c r="AD798" s="41">
        <f>IFERROR(LOOKUP(S798,打分卡!$F$8:$J$8,打分卡!$K$8:$O$8),1)</f>
        <v>2</v>
      </c>
      <c r="AE798" s="41">
        <f>IFERROR(LOOKUP(T798,打分卡!$F$9:$I$9,打分卡!$K$9:$N$9),1)</f>
        <v>2</v>
      </c>
      <c r="AF798" s="41">
        <f>IFERROR(LOOKUP(Q798,打分卡!$F$10:$J$10,打分卡!$K$10:$O$10),1)</f>
        <v>1</v>
      </c>
      <c r="AG798" s="41">
        <f>IFERROR(LOOKUP(R798,打分卡!$F$11:$J$11,打分卡!$K$11:$O$11),1)</f>
        <v>3</v>
      </c>
      <c r="AH798" s="41">
        <f>IFERROR(LOOKUP(U798,打分卡!$F$12:$J$12,打分卡!$K$12:$O$12),1)</f>
        <v>3</v>
      </c>
      <c r="AI798" s="41">
        <f>IFERROR(LOOKUP(X798,打分卡!$F$13:$J$13,打分卡!$K$13:$O$13),1)</f>
        <v>2</v>
      </c>
      <c r="AJ798" s="41">
        <f>IFERROR(LOOKUP(Y798,打分卡!$F$14:$J$14,打分卡!$K$14:$O$14),1)</f>
        <v>2</v>
      </c>
      <c r="AK798" s="41">
        <f>IFERROR(LOOKUP(W798,打分卡!$F$15:$J$15,打分卡!$K$15:$O$15),1)</f>
        <v>2</v>
      </c>
      <c r="AL798" s="43">
        <f t="shared" si="97"/>
        <v>3</v>
      </c>
      <c r="AM798" s="41">
        <f>IFERROR(LOOKUP(Z798,打分卡!$F$17:$H$17,打分卡!$K$17:$M$17),1)</f>
        <v>1</v>
      </c>
      <c r="AN798" s="44">
        <f>(打分卡!$D$7*AC798+打分卡!$D$8*AD798+打分卡!$D$9*AE798)/5</f>
        <v>11</v>
      </c>
      <c r="AO798" s="44">
        <f>(打分卡!$D$10*AF798+打分卡!$D$11*AG798)/5</f>
        <v>8</v>
      </c>
      <c r="AP798" s="44">
        <f>(打分卡!$D$12*AH798+打分卡!$D$13*AI798+打分卡!$D$14*AJ798+打分卡!$D$15*AK798)/5</f>
        <v>14.4</v>
      </c>
      <c r="AQ798" s="44">
        <f>(打分卡!$D$16*AL798+打分卡!$D$17*AM798)/5</f>
        <v>4.4</v>
      </c>
      <c r="AR798" s="47">
        <f t="shared" si="98"/>
        <v>37.8</v>
      </c>
      <c r="AS798" s="43" t="str">
        <f t="shared" si="99"/>
        <v>基础长尾</v>
      </c>
      <c r="AT798" s="43" t="str">
        <f t="shared" si="100"/>
        <v/>
      </c>
      <c r="AU798" s="43" t="str">
        <f t="shared" si="101"/>
        <v>激活：企微+Push低成本先跑</v>
      </c>
    </row>
    <row r="799" ht="15" customHeight="1" spans="1:47">
      <c r="A799" s="20" t="s">
        <v>2294</v>
      </c>
      <c r="B799" s="22" t="s">
        <v>2295</v>
      </c>
      <c r="C799" s="22" t="s">
        <v>179</v>
      </c>
      <c r="D799" s="22" t="s">
        <v>190</v>
      </c>
      <c r="E799" s="22" t="s">
        <v>181</v>
      </c>
      <c r="F799" s="20" t="s">
        <v>1505</v>
      </c>
      <c r="G799" s="22">
        <v>15</v>
      </c>
      <c r="H799" s="22" t="s">
        <v>183</v>
      </c>
      <c r="I799" s="22" t="s">
        <v>184</v>
      </c>
      <c r="J799" s="36">
        <v>7300</v>
      </c>
      <c r="K799" s="36">
        <v>4200</v>
      </c>
      <c r="L799" s="36">
        <v>4500</v>
      </c>
      <c r="M799" s="36">
        <f t="shared" si="96"/>
        <v>16000</v>
      </c>
      <c r="N799" s="34">
        <f t="shared" si="102"/>
        <v>8.38822377264558e-5</v>
      </c>
      <c r="O799" s="35">
        <f>SUM($M$2:M799)</f>
        <v>187813400</v>
      </c>
      <c r="P799" s="34">
        <f t="shared" si="103"/>
        <v>0.984638016688371</v>
      </c>
      <c r="Q799" s="39">
        <v>1.5</v>
      </c>
      <c r="R799" s="22">
        <v>4</v>
      </c>
      <c r="S799" s="22">
        <v>2</v>
      </c>
      <c r="T799" s="22">
        <v>2</v>
      </c>
      <c r="U799" s="39">
        <v>1.7</v>
      </c>
      <c r="V799" s="22">
        <v>24</v>
      </c>
      <c r="W799" s="22">
        <v>2</v>
      </c>
      <c r="X799" s="40">
        <v>61</v>
      </c>
      <c r="Y799" s="22">
        <v>2</v>
      </c>
      <c r="Z799" s="22">
        <v>1</v>
      </c>
      <c r="AA799" s="22" t="s">
        <v>315</v>
      </c>
      <c r="AB799" s="22" t="s">
        <v>220</v>
      </c>
      <c r="AC799" s="42">
        <f>IFERROR(LOOKUP(M799,打分卡!$F$7:$J$7,打分卡!$K$7:$O$7),1)</f>
        <v>1</v>
      </c>
      <c r="AD799" s="42">
        <f>IFERROR(LOOKUP(S799,打分卡!$F$8:$J$8,打分卡!$K$8:$O$8),1)</f>
        <v>2</v>
      </c>
      <c r="AE799" s="42">
        <f>IFERROR(LOOKUP(T799,打分卡!$F$9:$I$9,打分卡!$K$9:$N$9),1)</f>
        <v>3</v>
      </c>
      <c r="AF799" s="42">
        <f>IFERROR(LOOKUP(Q799,打分卡!$F$10:$J$10,打分卡!$K$10:$O$10),1)</f>
        <v>1</v>
      </c>
      <c r="AG799" s="42">
        <f>IFERROR(LOOKUP(R799,打分卡!$F$11:$J$11,打分卡!$K$11:$O$11),1)</f>
        <v>2</v>
      </c>
      <c r="AH799" s="42">
        <f>IFERROR(LOOKUP(U799,打分卡!$F$12:$J$12,打分卡!$K$12:$O$12),1)</f>
        <v>1</v>
      </c>
      <c r="AI799" s="42">
        <f>IFERROR(LOOKUP(X799,打分卡!$F$13:$J$13,打分卡!$K$13:$O$13),1)</f>
        <v>3</v>
      </c>
      <c r="AJ799" s="42">
        <f>IFERROR(LOOKUP(Y799,打分卡!$F$14:$J$14,打分卡!$K$14:$O$14),1)</f>
        <v>3</v>
      </c>
      <c r="AK799" s="42">
        <f>IFERROR(LOOKUP(W799,打分卡!$F$15:$J$15,打分卡!$K$15:$O$15),1)</f>
        <v>2</v>
      </c>
      <c r="AL799" s="45">
        <f t="shared" si="97"/>
        <v>2</v>
      </c>
      <c r="AM799" s="42">
        <f>IFERROR(LOOKUP(Z799,打分卡!$F$17:$H$17,打分卡!$K$17:$M$17),1)</f>
        <v>3</v>
      </c>
      <c r="AN799" s="46">
        <f>(打分卡!$D$7*AC799+打分卡!$D$8*AD799+打分卡!$D$9*AE799)/5</f>
        <v>12.4</v>
      </c>
      <c r="AO799" s="46">
        <f>(打分卡!$D$10*AF799+打分卡!$D$11*AG799)/5</f>
        <v>6</v>
      </c>
      <c r="AP799" s="46">
        <f>(打分卡!$D$12*AH799+打分卡!$D$13*AI799+打分卡!$D$14*AJ799+打分卡!$D$15*AK799)/5</f>
        <v>12.4</v>
      </c>
      <c r="AQ799" s="46">
        <f>(打分卡!$D$16*AL799+打分卡!$D$17*AM799)/5</f>
        <v>4.8</v>
      </c>
      <c r="AR799" s="48">
        <f t="shared" si="98"/>
        <v>35.6</v>
      </c>
      <c r="AS799" s="45" t="str">
        <f t="shared" si="99"/>
        <v>基础长尾</v>
      </c>
      <c r="AT799" s="45" t="str">
        <f t="shared" si="100"/>
        <v/>
      </c>
      <c r="AU799" s="45" t="str">
        <f t="shared" si="101"/>
        <v>激活：企微+Push低成本先跑</v>
      </c>
    </row>
    <row r="800" ht="15" customHeight="1" spans="1:47">
      <c r="A800" s="30" t="s">
        <v>2296</v>
      </c>
      <c r="B800" s="31" t="s">
        <v>2297</v>
      </c>
      <c r="C800" s="31" t="s">
        <v>189</v>
      </c>
      <c r="D800" s="31" t="s">
        <v>202</v>
      </c>
      <c r="E800" s="31" t="s">
        <v>197</v>
      </c>
      <c r="F800" s="30" t="s">
        <v>2298</v>
      </c>
      <c r="G800" s="31">
        <v>4</v>
      </c>
      <c r="H800" s="31" t="s">
        <v>301</v>
      </c>
      <c r="I800" s="31" t="s">
        <v>184</v>
      </c>
      <c r="J800" s="33">
        <v>10200</v>
      </c>
      <c r="K800" s="33">
        <v>4900</v>
      </c>
      <c r="L800" s="33">
        <v>1000</v>
      </c>
      <c r="M800" s="33">
        <f t="shared" si="96"/>
        <v>16100</v>
      </c>
      <c r="N800" s="34">
        <f t="shared" si="102"/>
        <v>8.44065017122462e-5</v>
      </c>
      <c r="O800" s="35">
        <f>SUM($M$2:M800)</f>
        <v>187829500</v>
      </c>
      <c r="P800" s="34">
        <f t="shared" si="103"/>
        <v>0.984722423190083</v>
      </c>
      <c r="Q800" s="37">
        <v>1.9</v>
      </c>
      <c r="R800" s="31">
        <v>4</v>
      </c>
      <c r="S800" s="31">
        <v>2</v>
      </c>
      <c r="T800" s="31">
        <v>1</v>
      </c>
      <c r="U800" s="37">
        <v>60.5</v>
      </c>
      <c r="V800" s="31">
        <v>27</v>
      </c>
      <c r="W800" s="31">
        <v>4</v>
      </c>
      <c r="X800" s="38">
        <v>19</v>
      </c>
      <c r="Y800" s="31">
        <v>2</v>
      </c>
      <c r="Z800" s="31">
        <v>0</v>
      </c>
      <c r="AA800" s="31" t="s">
        <v>199</v>
      </c>
      <c r="AB800" s="31" t="s">
        <v>220</v>
      </c>
      <c r="AC800" s="41">
        <f>IFERROR(LOOKUP(M800,打分卡!$F$7:$J$7,打分卡!$K$7:$O$7),1)</f>
        <v>1</v>
      </c>
      <c r="AD800" s="41">
        <f>IFERROR(LOOKUP(S800,打分卡!$F$8:$J$8,打分卡!$K$8:$O$8),1)</f>
        <v>2</v>
      </c>
      <c r="AE800" s="41">
        <f>IFERROR(LOOKUP(T800,打分卡!$F$9:$I$9,打分卡!$K$9:$N$9),1)</f>
        <v>2</v>
      </c>
      <c r="AF800" s="41">
        <f>IFERROR(LOOKUP(Q800,打分卡!$F$10:$J$10,打分卡!$K$10:$O$10),1)</f>
        <v>1</v>
      </c>
      <c r="AG800" s="41">
        <f>IFERROR(LOOKUP(R800,打分卡!$F$11:$J$11,打分卡!$K$11:$O$11),1)</f>
        <v>2</v>
      </c>
      <c r="AH800" s="41">
        <f>IFERROR(LOOKUP(U800,打分卡!$F$12:$J$12,打分卡!$K$12:$O$12),1)</f>
        <v>4</v>
      </c>
      <c r="AI800" s="41">
        <f>IFERROR(LOOKUP(X800,打分卡!$F$13:$J$13,打分卡!$K$13:$O$13),1)</f>
        <v>2</v>
      </c>
      <c r="AJ800" s="41">
        <f>IFERROR(LOOKUP(Y800,打分卡!$F$14:$J$14,打分卡!$K$14:$O$14),1)</f>
        <v>3</v>
      </c>
      <c r="AK800" s="41">
        <f>IFERROR(LOOKUP(W800,打分卡!$F$15:$J$15,打分卡!$K$15:$O$15),1)</f>
        <v>3</v>
      </c>
      <c r="AL800" s="43">
        <f t="shared" si="97"/>
        <v>5</v>
      </c>
      <c r="AM800" s="41">
        <f>IFERROR(LOOKUP(Z800,打分卡!$F$17:$H$17,打分卡!$K$17:$M$17),1)</f>
        <v>1</v>
      </c>
      <c r="AN800" s="44">
        <f>(打分卡!$D$7*AC800+打分卡!$D$8*AD800+打分卡!$D$9*AE800)/5</f>
        <v>11</v>
      </c>
      <c r="AO800" s="44">
        <f>(打分卡!$D$10*AF800+打分卡!$D$11*AG800)/5</f>
        <v>6</v>
      </c>
      <c r="AP800" s="44">
        <f>(打分卡!$D$12*AH800+打分卡!$D$13*AI800+打分卡!$D$14*AJ800+打分卡!$D$15*AK800)/5</f>
        <v>18.8</v>
      </c>
      <c r="AQ800" s="44">
        <f>(打分卡!$D$16*AL800+打分卡!$D$17*AM800)/5</f>
        <v>6.8</v>
      </c>
      <c r="AR800" s="47">
        <f t="shared" si="98"/>
        <v>42.6</v>
      </c>
      <c r="AS800" s="43" t="str">
        <f t="shared" si="99"/>
        <v>腰部</v>
      </c>
      <c r="AT800" s="43" t="str">
        <f t="shared" si="100"/>
        <v/>
      </c>
      <c r="AU800" s="43" t="str">
        <f t="shared" si="101"/>
        <v>拉·主攻：主推AI外呼+大促作战包</v>
      </c>
    </row>
    <row r="801" ht="15" customHeight="1" spans="1:47">
      <c r="A801" s="20" t="s">
        <v>2299</v>
      </c>
      <c r="B801" s="22" t="s">
        <v>2300</v>
      </c>
      <c r="C801" s="22" t="s">
        <v>189</v>
      </c>
      <c r="D801" s="22" t="s">
        <v>196</v>
      </c>
      <c r="E801" s="22" t="s">
        <v>181</v>
      </c>
      <c r="F801" s="20" t="s">
        <v>1298</v>
      </c>
      <c r="G801" s="22">
        <v>12</v>
      </c>
      <c r="H801" s="22" t="s">
        <v>301</v>
      </c>
      <c r="I801" s="22" t="s">
        <v>184</v>
      </c>
      <c r="J801" s="36">
        <v>10300</v>
      </c>
      <c r="K801" s="36">
        <v>3400</v>
      </c>
      <c r="L801" s="36">
        <v>2300</v>
      </c>
      <c r="M801" s="36">
        <f t="shared" si="96"/>
        <v>16000</v>
      </c>
      <c r="N801" s="34">
        <f t="shared" si="102"/>
        <v>8.38822377264558e-5</v>
      </c>
      <c r="O801" s="35">
        <f>SUM($M$2:M801)</f>
        <v>187845500</v>
      </c>
      <c r="P801" s="34">
        <f t="shared" si="103"/>
        <v>0.98480630542781</v>
      </c>
      <c r="Q801" s="39">
        <v>1.6</v>
      </c>
      <c r="R801" s="22">
        <v>9</v>
      </c>
      <c r="S801" s="22">
        <v>2</v>
      </c>
      <c r="T801" s="22">
        <v>1</v>
      </c>
      <c r="U801" s="39">
        <v>2.2</v>
      </c>
      <c r="V801" s="22">
        <v>4</v>
      </c>
      <c r="W801" s="22">
        <v>1</v>
      </c>
      <c r="X801" s="40">
        <v>17</v>
      </c>
      <c r="Y801" s="22">
        <v>1</v>
      </c>
      <c r="Z801" s="22">
        <v>1</v>
      </c>
      <c r="AA801" s="22" t="s">
        <v>185</v>
      </c>
      <c r="AB801" s="22" t="s">
        <v>220</v>
      </c>
      <c r="AC801" s="42">
        <f>IFERROR(LOOKUP(M801,打分卡!$F$7:$J$7,打分卡!$K$7:$O$7),1)</f>
        <v>1</v>
      </c>
      <c r="AD801" s="42">
        <f>IFERROR(LOOKUP(S801,打分卡!$F$8:$J$8,打分卡!$K$8:$O$8),1)</f>
        <v>2</v>
      </c>
      <c r="AE801" s="42">
        <f>IFERROR(LOOKUP(T801,打分卡!$F$9:$I$9,打分卡!$K$9:$N$9),1)</f>
        <v>2</v>
      </c>
      <c r="AF801" s="42">
        <f>IFERROR(LOOKUP(Q801,打分卡!$F$10:$J$10,打分卡!$K$10:$O$10),1)</f>
        <v>1</v>
      </c>
      <c r="AG801" s="42">
        <f>IFERROR(LOOKUP(R801,打分卡!$F$11:$J$11,打分卡!$K$11:$O$11),1)</f>
        <v>4</v>
      </c>
      <c r="AH801" s="42">
        <f>IFERROR(LOOKUP(U801,打分卡!$F$12:$J$12,打分卡!$K$12:$O$12),1)</f>
        <v>1</v>
      </c>
      <c r="AI801" s="42">
        <f>IFERROR(LOOKUP(X801,打分卡!$F$13:$J$13,打分卡!$K$13:$O$13),1)</f>
        <v>1</v>
      </c>
      <c r="AJ801" s="42">
        <f>IFERROR(LOOKUP(Y801,打分卡!$F$14:$J$14,打分卡!$K$14:$O$14),1)</f>
        <v>2</v>
      </c>
      <c r="AK801" s="42">
        <f>IFERROR(LOOKUP(W801,打分卡!$F$15:$J$15,打分卡!$K$15:$O$15),1)</f>
        <v>2</v>
      </c>
      <c r="AL801" s="45">
        <f t="shared" si="97"/>
        <v>3</v>
      </c>
      <c r="AM801" s="42">
        <f>IFERROR(LOOKUP(Z801,打分卡!$F$17:$H$17,打分卡!$K$17:$M$17),1)</f>
        <v>3</v>
      </c>
      <c r="AN801" s="46">
        <f>(打分卡!$D$7*AC801+打分卡!$D$8*AD801+打分卡!$D$9*AE801)/5</f>
        <v>11</v>
      </c>
      <c r="AO801" s="46">
        <f>(打分卡!$D$10*AF801+打分卡!$D$11*AG801)/5</f>
        <v>10</v>
      </c>
      <c r="AP801" s="46">
        <f>(打分卡!$D$12*AH801+打分卡!$D$13*AI801+打分卡!$D$14*AJ801+打分卡!$D$15*AK801)/5</f>
        <v>8</v>
      </c>
      <c r="AQ801" s="46">
        <f>(打分卡!$D$16*AL801+打分卡!$D$17*AM801)/5</f>
        <v>6</v>
      </c>
      <c r="AR801" s="48">
        <f t="shared" si="98"/>
        <v>35</v>
      </c>
      <c r="AS801" s="45" t="str">
        <f t="shared" si="99"/>
        <v>基础长尾</v>
      </c>
      <c r="AT801" s="45" t="str">
        <f t="shared" si="100"/>
        <v/>
      </c>
      <c r="AU801" s="45" t="str">
        <f t="shared" si="101"/>
        <v>激活：企微+Push低成本先跑</v>
      </c>
    </row>
    <row r="802" ht="15" customHeight="1" spans="1:47">
      <c r="A802" s="30" t="s">
        <v>2301</v>
      </c>
      <c r="B802" s="31" t="s">
        <v>2302</v>
      </c>
      <c r="C802" s="31" t="s">
        <v>189</v>
      </c>
      <c r="D802" s="31" t="s">
        <v>227</v>
      </c>
      <c r="E802" s="31" t="s">
        <v>181</v>
      </c>
      <c r="F802" s="30" t="s">
        <v>1205</v>
      </c>
      <c r="G802" s="31">
        <v>6</v>
      </c>
      <c r="H802" s="31" t="s">
        <v>183</v>
      </c>
      <c r="I802" s="31" t="s">
        <v>302</v>
      </c>
      <c r="J802" s="33">
        <v>7800</v>
      </c>
      <c r="K802" s="33">
        <v>4400</v>
      </c>
      <c r="L802" s="33">
        <v>3700</v>
      </c>
      <c r="M802" s="33">
        <f t="shared" si="96"/>
        <v>15900</v>
      </c>
      <c r="N802" s="34">
        <f t="shared" si="102"/>
        <v>8.33579737406655e-5</v>
      </c>
      <c r="O802" s="35">
        <f>SUM($M$2:M802)</f>
        <v>187861400</v>
      </c>
      <c r="P802" s="34">
        <f t="shared" si="103"/>
        <v>0.984889663401551</v>
      </c>
      <c r="Q802" s="37">
        <v>2.5</v>
      </c>
      <c r="R802" s="31">
        <v>8</v>
      </c>
      <c r="S802" s="31">
        <v>2</v>
      </c>
      <c r="T802" s="31">
        <v>2</v>
      </c>
      <c r="U802" s="37">
        <v>79.8</v>
      </c>
      <c r="V802" s="31">
        <v>3</v>
      </c>
      <c r="W802" s="31">
        <v>1</v>
      </c>
      <c r="X802" s="38">
        <v>37</v>
      </c>
      <c r="Y802" s="31">
        <v>1</v>
      </c>
      <c r="Z802" s="31">
        <v>0</v>
      </c>
      <c r="AA802" s="31" t="s">
        <v>185</v>
      </c>
      <c r="AB802" s="31" t="s">
        <v>220</v>
      </c>
      <c r="AC802" s="41">
        <f>IFERROR(LOOKUP(M802,打分卡!$F$7:$J$7,打分卡!$K$7:$O$7),1)</f>
        <v>1</v>
      </c>
      <c r="AD802" s="41">
        <f>IFERROR(LOOKUP(S802,打分卡!$F$8:$J$8,打分卡!$K$8:$O$8),1)</f>
        <v>2</v>
      </c>
      <c r="AE802" s="41">
        <f>IFERROR(LOOKUP(T802,打分卡!$F$9:$I$9,打分卡!$K$9:$N$9),1)</f>
        <v>3</v>
      </c>
      <c r="AF802" s="41">
        <f>IFERROR(LOOKUP(Q802,打分卡!$F$10:$J$10,打分卡!$K$10:$O$10),1)</f>
        <v>2</v>
      </c>
      <c r="AG802" s="41">
        <f>IFERROR(LOOKUP(R802,打分卡!$F$11:$J$11,打分卡!$K$11:$O$11),1)</f>
        <v>3</v>
      </c>
      <c r="AH802" s="41">
        <f>IFERROR(LOOKUP(U802,打分卡!$F$12:$J$12,打分卡!$K$12:$O$12),1)</f>
        <v>5</v>
      </c>
      <c r="AI802" s="41">
        <f>IFERROR(LOOKUP(X802,打分卡!$F$13:$J$13,打分卡!$K$13:$O$13),1)</f>
        <v>2</v>
      </c>
      <c r="AJ802" s="41">
        <f>IFERROR(LOOKUP(Y802,打分卡!$F$14:$J$14,打分卡!$K$14:$O$14),1)</f>
        <v>2</v>
      </c>
      <c r="AK802" s="41">
        <f>IFERROR(LOOKUP(W802,打分卡!$F$15:$J$15,打分卡!$K$15:$O$15),1)</f>
        <v>2</v>
      </c>
      <c r="AL802" s="43">
        <f t="shared" si="97"/>
        <v>3</v>
      </c>
      <c r="AM802" s="41">
        <f>IFERROR(LOOKUP(Z802,打分卡!$F$17:$H$17,打分卡!$K$17:$M$17),1)</f>
        <v>1</v>
      </c>
      <c r="AN802" s="44">
        <f>(打分卡!$D$7*AC802+打分卡!$D$8*AD802+打分卡!$D$9*AE802)/5</f>
        <v>12.4</v>
      </c>
      <c r="AO802" s="44">
        <f>(打分卡!$D$10*AF802+打分卡!$D$11*AG802)/5</f>
        <v>10</v>
      </c>
      <c r="AP802" s="44">
        <f>(打分卡!$D$12*AH802+打分卡!$D$13*AI802+打分卡!$D$14*AJ802+打分卡!$D$15*AK802)/5</f>
        <v>19.2</v>
      </c>
      <c r="AQ802" s="44">
        <f>(打分卡!$D$16*AL802+打分卡!$D$17*AM802)/5</f>
        <v>4.4</v>
      </c>
      <c r="AR802" s="47">
        <f t="shared" si="98"/>
        <v>46</v>
      </c>
      <c r="AS802" s="43" t="str">
        <f t="shared" si="99"/>
        <v>腰部</v>
      </c>
      <c r="AT802" s="43" t="str">
        <f t="shared" si="100"/>
        <v/>
      </c>
      <c r="AU802" s="43" t="str">
        <f t="shared" si="101"/>
        <v>拉·主攻：主推AI外呼+大促作战包</v>
      </c>
    </row>
    <row r="803" ht="15" customHeight="1" spans="1:47">
      <c r="A803" s="20" t="s">
        <v>2303</v>
      </c>
      <c r="B803" s="22" t="s">
        <v>2304</v>
      </c>
      <c r="C803" s="22" t="s">
        <v>189</v>
      </c>
      <c r="D803" s="22" t="s">
        <v>202</v>
      </c>
      <c r="E803" s="22" t="s">
        <v>181</v>
      </c>
      <c r="F803" s="20" t="s">
        <v>784</v>
      </c>
      <c r="G803" s="22">
        <v>10</v>
      </c>
      <c r="H803" s="22" t="s">
        <v>183</v>
      </c>
      <c r="I803" s="22" t="s">
        <v>184</v>
      </c>
      <c r="J803" s="36">
        <v>9200</v>
      </c>
      <c r="K803" s="36">
        <v>5200</v>
      </c>
      <c r="L803" s="36">
        <v>1600</v>
      </c>
      <c r="M803" s="36">
        <f t="shared" si="96"/>
        <v>16000</v>
      </c>
      <c r="N803" s="34">
        <f t="shared" si="102"/>
        <v>8.38822377264558e-5</v>
      </c>
      <c r="O803" s="35">
        <f>SUM($M$2:M803)</f>
        <v>187877400</v>
      </c>
      <c r="P803" s="34">
        <f t="shared" si="103"/>
        <v>0.984973545639277</v>
      </c>
      <c r="Q803" s="39">
        <v>2.3</v>
      </c>
      <c r="R803" s="22">
        <v>2</v>
      </c>
      <c r="S803" s="22">
        <v>1</v>
      </c>
      <c r="T803" s="22">
        <v>1</v>
      </c>
      <c r="U803" s="39">
        <v>5</v>
      </c>
      <c r="V803" s="22">
        <v>18</v>
      </c>
      <c r="W803" s="22">
        <v>3</v>
      </c>
      <c r="X803" s="40">
        <v>118</v>
      </c>
      <c r="Y803" s="22">
        <v>2</v>
      </c>
      <c r="Z803" s="22">
        <v>0</v>
      </c>
      <c r="AA803" s="22" t="s">
        <v>315</v>
      </c>
      <c r="AB803" s="22" t="s">
        <v>220</v>
      </c>
      <c r="AC803" s="42">
        <f>IFERROR(LOOKUP(M803,打分卡!$F$7:$J$7,打分卡!$K$7:$O$7),1)</f>
        <v>1</v>
      </c>
      <c r="AD803" s="42">
        <f>IFERROR(LOOKUP(S803,打分卡!$F$8:$J$8,打分卡!$K$8:$O$8),1)</f>
        <v>1</v>
      </c>
      <c r="AE803" s="42">
        <f>IFERROR(LOOKUP(T803,打分卡!$F$9:$I$9,打分卡!$K$9:$N$9),1)</f>
        <v>2</v>
      </c>
      <c r="AF803" s="42">
        <f>IFERROR(LOOKUP(Q803,打分卡!$F$10:$J$10,打分卡!$K$10:$O$10),1)</f>
        <v>1</v>
      </c>
      <c r="AG803" s="42">
        <f>IFERROR(LOOKUP(R803,打分卡!$F$11:$J$11,打分卡!$K$11:$O$11),1)</f>
        <v>1</v>
      </c>
      <c r="AH803" s="42">
        <f>IFERROR(LOOKUP(U803,打分卡!$F$12:$J$12,打分卡!$K$12:$O$12),1)</f>
        <v>2</v>
      </c>
      <c r="AI803" s="42">
        <f>IFERROR(LOOKUP(X803,打分卡!$F$13:$J$13,打分卡!$K$13:$O$13),1)</f>
        <v>4</v>
      </c>
      <c r="AJ803" s="42">
        <f>IFERROR(LOOKUP(Y803,打分卡!$F$14:$J$14,打分卡!$K$14:$O$14),1)</f>
        <v>3</v>
      </c>
      <c r="AK803" s="42">
        <f>IFERROR(LOOKUP(W803,打分卡!$F$15:$J$15,打分卡!$K$15:$O$15),1)</f>
        <v>3</v>
      </c>
      <c r="AL803" s="45">
        <f t="shared" si="97"/>
        <v>2</v>
      </c>
      <c r="AM803" s="42">
        <f>IFERROR(LOOKUP(Z803,打分卡!$F$17:$H$17,打分卡!$K$17:$M$17),1)</f>
        <v>1</v>
      </c>
      <c r="AN803" s="46">
        <f>(打分卡!$D$7*AC803+打分卡!$D$8*AD803+打分卡!$D$9*AE803)/5</f>
        <v>9.4</v>
      </c>
      <c r="AO803" s="46">
        <f>(打分卡!$D$10*AF803+打分卡!$D$11*AG803)/5</f>
        <v>4</v>
      </c>
      <c r="AP803" s="46">
        <f>(打分卡!$D$12*AH803+打分卡!$D$13*AI803+打分卡!$D$14*AJ803+打分卡!$D$15*AK803)/5</f>
        <v>17.2</v>
      </c>
      <c r="AQ803" s="46">
        <f>(打分卡!$D$16*AL803+打分卡!$D$17*AM803)/5</f>
        <v>3.2</v>
      </c>
      <c r="AR803" s="48">
        <f t="shared" si="98"/>
        <v>33.8</v>
      </c>
      <c r="AS803" s="45" t="str">
        <f t="shared" si="99"/>
        <v>基础长尾</v>
      </c>
      <c r="AT803" s="45" t="str">
        <f t="shared" si="100"/>
        <v/>
      </c>
      <c r="AU803" s="45" t="str">
        <f t="shared" si="101"/>
        <v>激活：企微+Push低成本先跑</v>
      </c>
    </row>
    <row r="804" ht="15" customHeight="1" spans="1:47">
      <c r="A804" s="30" t="s">
        <v>2305</v>
      </c>
      <c r="B804" s="31" t="s">
        <v>2306</v>
      </c>
      <c r="C804" s="31" t="s">
        <v>179</v>
      </c>
      <c r="D804" s="31" t="s">
        <v>180</v>
      </c>
      <c r="E804" s="31" t="s">
        <v>197</v>
      </c>
      <c r="F804" s="30" t="s">
        <v>1623</v>
      </c>
      <c r="G804" s="31">
        <v>3</v>
      </c>
      <c r="H804" s="31" t="s">
        <v>183</v>
      </c>
      <c r="I804" s="31" t="s">
        <v>184</v>
      </c>
      <c r="J804" s="33">
        <v>7500</v>
      </c>
      <c r="K804" s="33">
        <v>5000</v>
      </c>
      <c r="L804" s="33">
        <v>3400</v>
      </c>
      <c r="M804" s="33">
        <f t="shared" si="96"/>
        <v>15900</v>
      </c>
      <c r="N804" s="34">
        <f t="shared" si="102"/>
        <v>8.33579737406655e-5</v>
      </c>
      <c r="O804" s="35">
        <f>SUM($M$2:M804)</f>
        <v>187893300</v>
      </c>
      <c r="P804" s="34">
        <f t="shared" si="103"/>
        <v>0.985056903613018</v>
      </c>
      <c r="Q804" s="37">
        <v>2.4</v>
      </c>
      <c r="R804" s="31">
        <v>7</v>
      </c>
      <c r="S804" s="31">
        <v>3</v>
      </c>
      <c r="T804" s="31">
        <v>0</v>
      </c>
      <c r="U804" s="37">
        <v>7.6</v>
      </c>
      <c r="V804" s="31">
        <v>8</v>
      </c>
      <c r="W804" s="31">
        <v>4</v>
      </c>
      <c r="X804" s="38">
        <v>88</v>
      </c>
      <c r="Y804" s="31">
        <v>1</v>
      </c>
      <c r="Z804" s="31">
        <v>0</v>
      </c>
      <c r="AA804" s="31" t="s">
        <v>185</v>
      </c>
      <c r="AB804" s="31" t="s">
        <v>220</v>
      </c>
      <c r="AC804" s="41">
        <f>IFERROR(LOOKUP(M804,打分卡!$F$7:$J$7,打分卡!$K$7:$O$7),1)</f>
        <v>1</v>
      </c>
      <c r="AD804" s="41">
        <f>IFERROR(LOOKUP(S804,打分卡!$F$8:$J$8,打分卡!$K$8:$O$8),1)</f>
        <v>3</v>
      </c>
      <c r="AE804" s="41">
        <f>IFERROR(LOOKUP(T804,打分卡!$F$9:$I$9,打分卡!$K$9:$N$9),1)</f>
        <v>1</v>
      </c>
      <c r="AF804" s="41">
        <f>IFERROR(LOOKUP(Q804,打分卡!$F$10:$J$10,打分卡!$K$10:$O$10),1)</f>
        <v>1</v>
      </c>
      <c r="AG804" s="41">
        <f>IFERROR(LOOKUP(R804,打分卡!$F$11:$J$11,打分卡!$K$11:$O$11),1)</f>
        <v>3</v>
      </c>
      <c r="AH804" s="41">
        <f>IFERROR(LOOKUP(U804,打分卡!$F$12:$J$12,打分卡!$K$12:$O$12),1)</f>
        <v>2</v>
      </c>
      <c r="AI804" s="41">
        <f>IFERROR(LOOKUP(X804,打分卡!$F$13:$J$13,打分卡!$K$13:$O$13),1)</f>
        <v>4</v>
      </c>
      <c r="AJ804" s="41">
        <f>IFERROR(LOOKUP(Y804,打分卡!$F$14:$J$14,打分卡!$K$14:$O$14),1)</f>
        <v>2</v>
      </c>
      <c r="AK804" s="41">
        <f>IFERROR(LOOKUP(W804,打分卡!$F$15:$J$15,打分卡!$K$15:$O$15),1)</f>
        <v>3</v>
      </c>
      <c r="AL804" s="43">
        <f t="shared" si="97"/>
        <v>3</v>
      </c>
      <c r="AM804" s="41">
        <f>IFERROR(LOOKUP(Z804,打分卡!$F$17:$H$17,打分卡!$K$17:$M$17),1)</f>
        <v>1</v>
      </c>
      <c r="AN804" s="44">
        <f>(打分卡!$D$7*AC804+打分卡!$D$8*AD804+打分卡!$D$9*AE804)/5</f>
        <v>11.2</v>
      </c>
      <c r="AO804" s="44">
        <f>(打分卡!$D$10*AF804+打分卡!$D$11*AG804)/5</f>
        <v>8</v>
      </c>
      <c r="AP804" s="44">
        <f>(打分卡!$D$12*AH804+打分卡!$D$13*AI804+打分卡!$D$14*AJ804+打分卡!$D$15*AK804)/5</f>
        <v>16</v>
      </c>
      <c r="AQ804" s="44">
        <f>(打分卡!$D$16*AL804+打分卡!$D$17*AM804)/5</f>
        <v>4.4</v>
      </c>
      <c r="AR804" s="47">
        <f t="shared" si="98"/>
        <v>39.6</v>
      </c>
      <c r="AS804" s="43" t="str">
        <f t="shared" si="99"/>
        <v>基础长尾</v>
      </c>
      <c r="AT804" s="43" t="str">
        <f t="shared" si="100"/>
        <v/>
      </c>
      <c r="AU804" s="43" t="str">
        <f t="shared" si="101"/>
        <v>激活：企微+Push低成本先跑</v>
      </c>
    </row>
    <row r="805" ht="15" customHeight="1" spans="1:47">
      <c r="A805" s="20" t="s">
        <v>2307</v>
      </c>
      <c r="B805" s="22" t="s">
        <v>2308</v>
      </c>
      <c r="C805" s="22" t="s">
        <v>195</v>
      </c>
      <c r="D805" s="22" t="s">
        <v>235</v>
      </c>
      <c r="E805" s="22" t="s">
        <v>197</v>
      </c>
      <c r="F805" s="20" t="s">
        <v>1138</v>
      </c>
      <c r="G805" s="22">
        <v>15</v>
      </c>
      <c r="H805" s="22" t="s">
        <v>301</v>
      </c>
      <c r="I805" s="22" t="s">
        <v>302</v>
      </c>
      <c r="J805" s="36">
        <v>9800</v>
      </c>
      <c r="K805" s="36">
        <v>4200</v>
      </c>
      <c r="L805" s="36">
        <v>1800</v>
      </c>
      <c r="M805" s="36">
        <f t="shared" si="96"/>
        <v>15800</v>
      </c>
      <c r="N805" s="34">
        <f t="shared" si="102"/>
        <v>8.28337097548751e-5</v>
      </c>
      <c r="O805" s="35">
        <f>SUM($M$2:M805)</f>
        <v>187909100</v>
      </c>
      <c r="P805" s="34">
        <f t="shared" si="103"/>
        <v>0.985139737322773</v>
      </c>
      <c r="Q805" s="39">
        <v>1.7</v>
      </c>
      <c r="R805" s="22">
        <v>6</v>
      </c>
      <c r="S805" s="22">
        <v>2</v>
      </c>
      <c r="T805" s="22">
        <v>0</v>
      </c>
      <c r="U805" s="39">
        <v>70.5</v>
      </c>
      <c r="V805" s="22">
        <v>5</v>
      </c>
      <c r="W805" s="22">
        <v>0</v>
      </c>
      <c r="X805" s="40">
        <v>14</v>
      </c>
      <c r="Y805" s="22">
        <v>0</v>
      </c>
      <c r="Z805" s="22">
        <v>1</v>
      </c>
      <c r="AA805" s="22" t="s">
        <v>185</v>
      </c>
      <c r="AB805" s="22" t="s">
        <v>220</v>
      </c>
      <c r="AC805" s="42">
        <f>IFERROR(LOOKUP(M805,打分卡!$F$7:$J$7,打分卡!$K$7:$O$7),1)</f>
        <v>1</v>
      </c>
      <c r="AD805" s="42">
        <f>IFERROR(LOOKUP(S805,打分卡!$F$8:$J$8,打分卡!$K$8:$O$8),1)</f>
        <v>2</v>
      </c>
      <c r="AE805" s="42">
        <f>IFERROR(LOOKUP(T805,打分卡!$F$9:$I$9,打分卡!$K$9:$N$9),1)</f>
        <v>1</v>
      </c>
      <c r="AF805" s="42">
        <f>IFERROR(LOOKUP(Q805,打分卡!$F$10:$J$10,打分卡!$K$10:$O$10),1)</f>
        <v>1</v>
      </c>
      <c r="AG805" s="42">
        <f>IFERROR(LOOKUP(R805,打分卡!$F$11:$J$11,打分卡!$K$11:$O$11),1)</f>
        <v>3</v>
      </c>
      <c r="AH805" s="42">
        <f>IFERROR(LOOKUP(U805,打分卡!$F$12:$J$12,打分卡!$K$12:$O$12),1)</f>
        <v>5</v>
      </c>
      <c r="AI805" s="42">
        <f>IFERROR(LOOKUP(X805,打分卡!$F$13:$J$13,打分卡!$K$13:$O$13),1)</f>
        <v>1</v>
      </c>
      <c r="AJ805" s="42">
        <f>IFERROR(LOOKUP(Y805,打分卡!$F$14:$J$14,打分卡!$K$14:$O$14),1)</f>
        <v>1</v>
      </c>
      <c r="AK805" s="42">
        <f>IFERROR(LOOKUP(W805,打分卡!$F$15:$J$15,打分卡!$K$15:$O$15),1)</f>
        <v>1</v>
      </c>
      <c r="AL805" s="45">
        <f t="shared" si="97"/>
        <v>3</v>
      </c>
      <c r="AM805" s="42">
        <f>IFERROR(LOOKUP(Z805,打分卡!$F$17:$H$17,打分卡!$K$17:$M$17),1)</f>
        <v>3</v>
      </c>
      <c r="AN805" s="46">
        <f>(打分卡!$D$7*AC805+打分卡!$D$8*AD805+打分卡!$D$9*AE805)/5</f>
        <v>9.6</v>
      </c>
      <c r="AO805" s="46">
        <f>(打分卡!$D$10*AF805+打分卡!$D$11*AG805)/5</f>
        <v>8</v>
      </c>
      <c r="AP805" s="46">
        <f>(打分卡!$D$12*AH805+打分卡!$D$13*AI805+打分卡!$D$14*AJ805+打分卡!$D$15*AK805)/5</f>
        <v>15.6</v>
      </c>
      <c r="AQ805" s="46">
        <f>(打分卡!$D$16*AL805+打分卡!$D$17*AM805)/5</f>
        <v>6</v>
      </c>
      <c r="AR805" s="48">
        <f t="shared" si="98"/>
        <v>39.2</v>
      </c>
      <c r="AS805" s="45" t="str">
        <f t="shared" si="99"/>
        <v>基础长尾</v>
      </c>
      <c r="AT805" s="45" t="str">
        <f t="shared" si="100"/>
        <v/>
      </c>
      <c r="AU805" s="45" t="str">
        <f t="shared" si="101"/>
        <v>激活：企微+Push低成本先跑</v>
      </c>
    </row>
    <row r="806" ht="15" customHeight="1" spans="1:47">
      <c r="A806" s="30" t="s">
        <v>2309</v>
      </c>
      <c r="B806" s="31" t="s">
        <v>2310</v>
      </c>
      <c r="C806" s="31" t="s">
        <v>223</v>
      </c>
      <c r="D806" s="31" t="s">
        <v>202</v>
      </c>
      <c r="E806" s="31" t="s">
        <v>197</v>
      </c>
      <c r="F806" s="30" t="s">
        <v>2311</v>
      </c>
      <c r="G806" s="31">
        <v>4</v>
      </c>
      <c r="H806" s="31" t="s">
        <v>301</v>
      </c>
      <c r="I806" s="31" t="s">
        <v>302</v>
      </c>
      <c r="J806" s="33">
        <v>10000</v>
      </c>
      <c r="K806" s="33">
        <v>4000</v>
      </c>
      <c r="L806" s="33">
        <v>1800</v>
      </c>
      <c r="M806" s="33">
        <f t="shared" si="96"/>
        <v>15800</v>
      </c>
      <c r="N806" s="34">
        <f t="shared" si="102"/>
        <v>8.28337097548751e-5</v>
      </c>
      <c r="O806" s="35">
        <f>SUM($M$2:M806)</f>
        <v>187924900</v>
      </c>
      <c r="P806" s="34">
        <f t="shared" si="103"/>
        <v>0.985222571032527</v>
      </c>
      <c r="Q806" s="37">
        <v>2.1</v>
      </c>
      <c r="R806" s="31">
        <v>3</v>
      </c>
      <c r="S806" s="31">
        <v>2</v>
      </c>
      <c r="T806" s="31">
        <v>2</v>
      </c>
      <c r="U806" s="37">
        <v>22.1</v>
      </c>
      <c r="V806" s="31">
        <v>13</v>
      </c>
      <c r="W806" s="31">
        <v>0</v>
      </c>
      <c r="X806" s="38">
        <v>87</v>
      </c>
      <c r="Y806" s="31">
        <v>1</v>
      </c>
      <c r="Z806" s="31">
        <v>1</v>
      </c>
      <c r="AA806" s="31" t="s">
        <v>185</v>
      </c>
      <c r="AB806" s="31" t="s">
        <v>220</v>
      </c>
      <c r="AC806" s="41">
        <f>IFERROR(LOOKUP(M806,打分卡!$F$7:$J$7,打分卡!$K$7:$O$7),1)</f>
        <v>1</v>
      </c>
      <c r="AD806" s="41">
        <f>IFERROR(LOOKUP(S806,打分卡!$F$8:$J$8,打分卡!$K$8:$O$8),1)</f>
        <v>2</v>
      </c>
      <c r="AE806" s="41">
        <f>IFERROR(LOOKUP(T806,打分卡!$F$9:$I$9,打分卡!$K$9:$N$9),1)</f>
        <v>3</v>
      </c>
      <c r="AF806" s="41">
        <f>IFERROR(LOOKUP(Q806,打分卡!$F$10:$J$10,打分卡!$K$10:$O$10),1)</f>
        <v>1</v>
      </c>
      <c r="AG806" s="41">
        <f>IFERROR(LOOKUP(R806,打分卡!$F$11:$J$11,打分卡!$K$11:$O$11),1)</f>
        <v>2</v>
      </c>
      <c r="AH806" s="41">
        <f>IFERROR(LOOKUP(U806,打分卡!$F$12:$J$12,打分卡!$K$12:$O$12),1)</f>
        <v>3</v>
      </c>
      <c r="AI806" s="41">
        <f>IFERROR(LOOKUP(X806,打分卡!$F$13:$J$13,打分卡!$K$13:$O$13),1)</f>
        <v>4</v>
      </c>
      <c r="AJ806" s="41">
        <f>IFERROR(LOOKUP(Y806,打分卡!$F$14:$J$14,打分卡!$K$14:$O$14),1)</f>
        <v>2</v>
      </c>
      <c r="AK806" s="41">
        <f>IFERROR(LOOKUP(W806,打分卡!$F$15:$J$15,打分卡!$K$15:$O$15),1)</f>
        <v>1</v>
      </c>
      <c r="AL806" s="43">
        <f t="shared" si="97"/>
        <v>3</v>
      </c>
      <c r="AM806" s="41">
        <f>IFERROR(LOOKUP(Z806,打分卡!$F$17:$H$17,打分卡!$K$17:$M$17),1)</f>
        <v>3</v>
      </c>
      <c r="AN806" s="44">
        <f>(打分卡!$D$7*AC806+打分卡!$D$8*AD806+打分卡!$D$9*AE806)/5</f>
        <v>12.4</v>
      </c>
      <c r="AO806" s="44">
        <f>(打分卡!$D$10*AF806+打分卡!$D$11*AG806)/5</f>
        <v>6</v>
      </c>
      <c r="AP806" s="44">
        <f>(打分卡!$D$12*AH806+打分卡!$D$13*AI806+打分卡!$D$14*AJ806+打分卡!$D$15*AK806)/5</f>
        <v>16.8</v>
      </c>
      <c r="AQ806" s="44">
        <f>(打分卡!$D$16*AL806+打分卡!$D$17*AM806)/5</f>
        <v>6</v>
      </c>
      <c r="AR806" s="47">
        <f t="shared" si="98"/>
        <v>41.2</v>
      </c>
      <c r="AS806" s="43" t="str">
        <f t="shared" si="99"/>
        <v>腰部</v>
      </c>
      <c r="AT806" s="43" t="str">
        <f t="shared" si="100"/>
        <v/>
      </c>
      <c r="AU806" s="43" t="str">
        <f t="shared" si="101"/>
        <v>拉·主攻：主推AI外呼+大促作战包</v>
      </c>
    </row>
    <row r="807" ht="15" customHeight="1" spans="1:47">
      <c r="A807" s="20" t="s">
        <v>2312</v>
      </c>
      <c r="B807" s="22" t="s">
        <v>2313</v>
      </c>
      <c r="C807" s="22" t="s">
        <v>239</v>
      </c>
      <c r="D807" s="22" t="s">
        <v>202</v>
      </c>
      <c r="E807" s="22" t="s">
        <v>181</v>
      </c>
      <c r="F807" s="20" t="s">
        <v>291</v>
      </c>
      <c r="G807" s="22">
        <v>20</v>
      </c>
      <c r="H807" s="22" t="s">
        <v>301</v>
      </c>
      <c r="I807" s="22" t="s">
        <v>302</v>
      </c>
      <c r="J807" s="36">
        <v>7300</v>
      </c>
      <c r="K807" s="36">
        <v>3900</v>
      </c>
      <c r="L807" s="36">
        <v>4700</v>
      </c>
      <c r="M807" s="36">
        <f t="shared" si="96"/>
        <v>15900</v>
      </c>
      <c r="N807" s="34">
        <f t="shared" si="102"/>
        <v>8.33579737406655e-5</v>
      </c>
      <c r="O807" s="35">
        <f>SUM($M$2:M807)</f>
        <v>187940800</v>
      </c>
      <c r="P807" s="34">
        <f t="shared" si="103"/>
        <v>0.985305929006268</v>
      </c>
      <c r="Q807" s="39">
        <v>1</v>
      </c>
      <c r="R807" s="22">
        <v>5</v>
      </c>
      <c r="S807" s="22">
        <v>3</v>
      </c>
      <c r="T807" s="22">
        <v>1</v>
      </c>
      <c r="U807" s="39">
        <v>3.7</v>
      </c>
      <c r="V807" s="22">
        <v>30</v>
      </c>
      <c r="W807" s="22">
        <v>4</v>
      </c>
      <c r="X807" s="40">
        <v>18</v>
      </c>
      <c r="Y807" s="22">
        <v>0</v>
      </c>
      <c r="Z807" s="22">
        <v>0</v>
      </c>
      <c r="AA807" s="22" t="s">
        <v>315</v>
      </c>
      <c r="AB807" s="22" t="s">
        <v>220</v>
      </c>
      <c r="AC807" s="42">
        <f>IFERROR(LOOKUP(M807,打分卡!$F$7:$J$7,打分卡!$K$7:$O$7),1)</f>
        <v>1</v>
      </c>
      <c r="AD807" s="42">
        <f>IFERROR(LOOKUP(S807,打分卡!$F$8:$J$8,打分卡!$K$8:$O$8),1)</f>
        <v>3</v>
      </c>
      <c r="AE807" s="42">
        <f>IFERROR(LOOKUP(T807,打分卡!$F$9:$I$9,打分卡!$K$9:$N$9),1)</f>
        <v>2</v>
      </c>
      <c r="AF807" s="42">
        <f>IFERROR(LOOKUP(Q807,打分卡!$F$10:$J$10,打分卡!$K$10:$O$10),1)</f>
        <v>1</v>
      </c>
      <c r="AG807" s="42">
        <f>IFERROR(LOOKUP(R807,打分卡!$F$11:$J$11,打分卡!$K$11:$O$11),1)</f>
        <v>3</v>
      </c>
      <c r="AH807" s="42">
        <f>IFERROR(LOOKUP(U807,打分卡!$F$12:$J$12,打分卡!$K$12:$O$12),1)</f>
        <v>2</v>
      </c>
      <c r="AI807" s="42">
        <f>IFERROR(LOOKUP(X807,打分卡!$F$13:$J$13,打分卡!$K$13:$O$13),1)</f>
        <v>2</v>
      </c>
      <c r="AJ807" s="42">
        <f>IFERROR(LOOKUP(Y807,打分卡!$F$14:$J$14,打分卡!$K$14:$O$14),1)</f>
        <v>1</v>
      </c>
      <c r="AK807" s="42">
        <f>IFERROR(LOOKUP(W807,打分卡!$F$15:$J$15,打分卡!$K$15:$O$15),1)</f>
        <v>3</v>
      </c>
      <c r="AL807" s="45">
        <f t="shared" si="97"/>
        <v>2</v>
      </c>
      <c r="AM807" s="42">
        <f>IFERROR(LOOKUP(Z807,打分卡!$F$17:$H$17,打分卡!$K$17:$M$17),1)</f>
        <v>1</v>
      </c>
      <c r="AN807" s="46">
        <f>(打分卡!$D$7*AC807+打分卡!$D$8*AD807+打分卡!$D$9*AE807)/5</f>
        <v>12.6</v>
      </c>
      <c r="AO807" s="46">
        <f>(打分卡!$D$10*AF807+打分卡!$D$11*AG807)/5</f>
        <v>8</v>
      </c>
      <c r="AP807" s="46">
        <f>(打分卡!$D$12*AH807+打分卡!$D$13*AI807+打分卡!$D$14*AJ807+打分卡!$D$15*AK807)/5</f>
        <v>11.6</v>
      </c>
      <c r="AQ807" s="46">
        <f>(打分卡!$D$16*AL807+打分卡!$D$17*AM807)/5</f>
        <v>3.2</v>
      </c>
      <c r="AR807" s="48">
        <f t="shared" si="98"/>
        <v>35.4</v>
      </c>
      <c r="AS807" s="45" t="str">
        <f t="shared" si="99"/>
        <v>基础长尾</v>
      </c>
      <c r="AT807" s="45" t="str">
        <f t="shared" si="100"/>
        <v/>
      </c>
      <c r="AU807" s="45" t="str">
        <f t="shared" si="101"/>
        <v>激活：企微+Push低成本先跑</v>
      </c>
    </row>
    <row r="808" ht="15" customHeight="1" spans="1:47">
      <c r="A808" s="30" t="s">
        <v>2314</v>
      </c>
      <c r="B808" s="31" t="s">
        <v>2315</v>
      </c>
      <c r="C808" s="31" t="s">
        <v>179</v>
      </c>
      <c r="D808" s="31" t="s">
        <v>235</v>
      </c>
      <c r="E808" s="31" t="s">
        <v>181</v>
      </c>
      <c r="F808" s="30" t="s">
        <v>2316</v>
      </c>
      <c r="G808" s="31">
        <v>8</v>
      </c>
      <c r="H808" s="31" t="s">
        <v>301</v>
      </c>
      <c r="I808" s="31" t="s">
        <v>302</v>
      </c>
      <c r="J808" s="33">
        <v>7200</v>
      </c>
      <c r="K808" s="33">
        <v>5300</v>
      </c>
      <c r="L808" s="33">
        <v>3300</v>
      </c>
      <c r="M808" s="33">
        <f t="shared" si="96"/>
        <v>15800</v>
      </c>
      <c r="N808" s="34">
        <f t="shared" si="102"/>
        <v>8.28337097548751e-5</v>
      </c>
      <c r="O808" s="35">
        <f>SUM($M$2:M808)</f>
        <v>187956600</v>
      </c>
      <c r="P808" s="34">
        <f t="shared" si="103"/>
        <v>0.985388762716023</v>
      </c>
      <c r="Q808" s="37">
        <v>1.6</v>
      </c>
      <c r="R808" s="31">
        <v>8</v>
      </c>
      <c r="S808" s="31">
        <v>1</v>
      </c>
      <c r="T808" s="31">
        <v>1</v>
      </c>
      <c r="U808" s="37">
        <v>31.5</v>
      </c>
      <c r="V808" s="31">
        <v>3</v>
      </c>
      <c r="W808" s="31">
        <v>4</v>
      </c>
      <c r="X808" s="38">
        <v>29</v>
      </c>
      <c r="Y808" s="31">
        <v>1</v>
      </c>
      <c r="Z808" s="31">
        <v>1</v>
      </c>
      <c r="AA808" s="31" t="s">
        <v>185</v>
      </c>
      <c r="AB808" s="31" t="s">
        <v>220</v>
      </c>
      <c r="AC808" s="41">
        <f>IFERROR(LOOKUP(M808,打分卡!$F$7:$J$7,打分卡!$K$7:$O$7),1)</f>
        <v>1</v>
      </c>
      <c r="AD808" s="41">
        <f>IFERROR(LOOKUP(S808,打分卡!$F$8:$J$8,打分卡!$K$8:$O$8),1)</f>
        <v>1</v>
      </c>
      <c r="AE808" s="41">
        <f>IFERROR(LOOKUP(T808,打分卡!$F$9:$I$9,打分卡!$K$9:$N$9),1)</f>
        <v>2</v>
      </c>
      <c r="AF808" s="41">
        <f>IFERROR(LOOKUP(Q808,打分卡!$F$10:$J$10,打分卡!$K$10:$O$10),1)</f>
        <v>1</v>
      </c>
      <c r="AG808" s="41">
        <f>IFERROR(LOOKUP(R808,打分卡!$F$11:$J$11,打分卡!$K$11:$O$11),1)</f>
        <v>3</v>
      </c>
      <c r="AH808" s="41">
        <f>IFERROR(LOOKUP(U808,打分卡!$F$12:$J$12,打分卡!$K$12:$O$12),1)</f>
        <v>3</v>
      </c>
      <c r="AI808" s="41">
        <f>IFERROR(LOOKUP(X808,打分卡!$F$13:$J$13,打分卡!$K$13:$O$13),1)</f>
        <v>2</v>
      </c>
      <c r="AJ808" s="41">
        <f>IFERROR(LOOKUP(Y808,打分卡!$F$14:$J$14,打分卡!$K$14:$O$14),1)</f>
        <v>2</v>
      </c>
      <c r="AK808" s="41">
        <f>IFERROR(LOOKUP(W808,打分卡!$F$15:$J$15,打分卡!$K$15:$O$15),1)</f>
        <v>3</v>
      </c>
      <c r="AL808" s="43">
        <f t="shared" si="97"/>
        <v>3</v>
      </c>
      <c r="AM808" s="41">
        <f>IFERROR(LOOKUP(Z808,打分卡!$F$17:$H$17,打分卡!$K$17:$M$17),1)</f>
        <v>3</v>
      </c>
      <c r="AN808" s="44">
        <f>(打分卡!$D$7*AC808+打分卡!$D$8*AD808+打分卡!$D$9*AE808)/5</f>
        <v>9.4</v>
      </c>
      <c r="AO808" s="44">
        <f>(打分卡!$D$10*AF808+打分卡!$D$11*AG808)/5</f>
        <v>8</v>
      </c>
      <c r="AP808" s="44">
        <f>(打分卡!$D$12*AH808+打分卡!$D$13*AI808+打分卡!$D$14*AJ808+打分卡!$D$15*AK808)/5</f>
        <v>15.2</v>
      </c>
      <c r="AQ808" s="44">
        <f>(打分卡!$D$16*AL808+打分卡!$D$17*AM808)/5</f>
        <v>6</v>
      </c>
      <c r="AR808" s="47">
        <f t="shared" si="98"/>
        <v>38.6</v>
      </c>
      <c r="AS808" s="43" t="str">
        <f t="shared" si="99"/>
        <v>基础长尾</v>
      </c>
      <c r="AT808" s="43" t="str">
        <f t="shared" si="100"/>
        <v/>
      </c>
      <c r="AU808" s="43" t="str">
        <f t="shared" si="101"/>
        <v>激活：企微+Push低成本先跑</v>
      </c>
    </row>
    <row r="809" ht="15" customHeight="1" spans="1:47">
      <c r="A809" s="20" t="s">
        <v>2317</v>
      </c>
      <c r="B809" s="22" t="s">
        <v>2318</v>
      </c>
      <c r="C809" s="22" t="s">
        <v>239</v>
      </c>
      <c r="D809" s="22" t="s">
        <v>235</v>
      </c>
      <c r="E809" s="22" t="s">
        <v>197</v>
      </c>
      <c r="F809" s="20" t="s">
        <v>1186</v>
      </c>
      <c r="G809" s="22">
        <v>22</v>
      </c>
      <c r="H809" s="22" t="s">
        <v>301</v>
      </c>
      <c r="I809" s="22" t="s">
        <v>302</v>
      </c>
      <c r="J809" s="36">
        <v>8700</v>
      </c>
      <c r="K809" s="36">
        <v>3300</v>
      </c>
      <c r="L809" s="36">
        <v>3700</v>
      </c>
      <c r="M809" s="36">
        <f t="shared" si="96"/>
        <v>15700</v>
      </c>
      <c r="N809" s="34">
        <f t="shared" si="102"/>
        <v>8.23094457690848e-5</v>
      </c>
      <c r="O809" s="35">
        <f>SUM($M$2:M809)</f>
        <v>187972300</v>
      </c>
      <c r="P809" s="34">
        <f t="shared" si="103"/>
        <v>0.985471072161792</v>
      </c>
      <c r="Q809" s="39">
        <v>2.3</v>
      </c>
      <c r="R809" s="22">
        <v>8</v>
      </c>
      <c r="S809" s="22">
        <v>3</v>
      </c>
      <c r="T809" s="22">
        <v>1</v>
      </c>
      <c r="U809" s="39">
        <v>69.5</v>
      </c>
      <c r="V809" s="22">
        <v>30</v>
      </c>
      <c r="W809" s="22">
        <v>0</v>
      </c>
      <c r="X809" s="40">
        <v>69</v>
      </c>
      <c r="Y809" s="22">
        <v>3</v>
      </c>
      <c r="Z809" s="22">
        <v>1</v>
      </c>
      <c r="AA809" s="22" t="s">
        <v>199</v>
      </c>
      <c r="AB809" s="22" t="s">
        <v>220</v>
      </c>
      <c r="AC809" s="42">
        <f>IFERROR(LOOKUP(M809,打分卡!$F$7:$J$7,打分卡!$K$7:$O$7),1)</f>
        <v>1</v>
      </c>
      <c r="AD809" s="42">
        <f>IFERROR(LOOKUP(S809,打分卡!$F$8:$J$8,打分卡!$K$8:$O$8),1)</f>
        <v>3</v>
      </c>
      <c r="AE809" s="42">
        <f>IFERROR(LOOKUP(T809,打分卡!$F$9:$I$9,打分卡!$K$9:$N$9),1)</f>
        <v>2</v>
      </c>
      <c r="AF809" s="42">
        <f>IFERROR(LOOKUP(Q809,打分卡!$F$10:$J$10,打分卡!$K$10:$O$10),1)</f>
        <v>1</v>
      </c>
      <c r="AG809" s="42">
        <f>IFERROR(LOOKUP(R809,打分卡!$F$11:$J$11,打分卡!$K$11:$O$11),1)</f>
        <v>3</v>
      </c>
      <c r="AH809" s="42">
        <f>IFERROR(LOOKUP(U809,打分卡!$F$12:$J$12,打分卡!$K$12:$O$12),1)</f>
        <v>5</v>
      </c>
      <c r="AI809" s="42">
        <f>IFERROR(LOOKUP(X809,打分卡!$F$13:$J$13,打分卡!$K$13:$O$13),1)</f>
        <v>3</v>
      </c>
      <c r="AJ809" s="42">
        <f>IFERROR(LOOKUP(Y809,打分卡!$F$14:$J$14,打分卡!$K$14:$O$14),1)</f>
        <v>4</v>
      </c>
      <c r="AK809" s="42">
        <f>IFERROR(LOOKUP(W809,打分卡!$F$15:$J$15,打分卡!$K$15:$O$15),1)</f>
        <v>1</v>
      </c>
      <c r="AL809" s="45">
        <f t="shared" si="97"/>
        <v>5</v>
      </c>
      <c r="AM809" s="42">
        <f>IFERROR(LOOKUP(Z809,打分卡!$F$17:$H$17,打分卡!$K$17:$M$17),1)</f>
        <v>3</v>
      </c>
      <c r="AN809" s="46">
        <f>(打分卡!$D$7*AC809+打分卡!$D$8*AD809+打分卡!$D$9*AE809)/5</f>
        <v>12.6</v>
      </c>
      <c r="AO809" s="46">
        <f>(打分卡!$D$10*AF809+打分卡!$D$11*AG809)/5</f>
        <v>8</v>
      </c>
      <c r="AP809" s="46">
        <f>(打分卡!$D$12*AH809+打分卡!$D$13*AI809+打分卡!$D$14*AJ809+打分卡!$D$15*AK809)/5</f>
        <v>22.4</v>
      </c>
      <c r="AQ809" s="46">
        <f>(打分卡!$D$16*AL809+打分卡!$D$17*AM809)/5</f>
        <v>8.4</v>
      </c>
      <c r="AR809" s="48">
        <f t="shared" si="98"/>
        <v>51.4</v>
      </c>
      <c r="AS809" s="45" t="str">
        <f t="shared" si="99"/>
        <v>腰部</v>
      </c>
      <c r="AT809" s="45" t="str">
        <f t="shared" si="100"/>
        <v/>
      </c>
      <c r="AU809" s="45" t="str">
        <f t="shared" si="101"/>
        <v>拉·主攻：主推AI外呼+大促作战包</v>
      </c>
    </row>
    <row r="810" ht="15" customHeight="1" spans="1:47">
      <c r="A810" s="30" t="s">
        <v>2319</v>
      </c>
      <c r="B810" s="31" t="s">
        <v>2320</v>
      </c>
      <c r="C810" s="31" t="s">
        <v>189</v>
      </c>
      <c r="D810" s="31" t="s">
        <v>227</v>
      </c>
      <c r="E810" s="31" t="s">
        <v>197</v>
      </c>
      <c r="F810" s="30" t="s">
        <v>1001</v>
      </c>
      <c r="G810" s="31">
        <v>7</v>
      </c>
      <c r="H810" s="31" t="s">
        <v>301</v>
      </c>
      <c r="I810" s="31" t="s">
        <v>184</v>
      </c>
      <c r="J810" s="33">
        <v>7500</v>
      </c>
      <c r="K810" s="33">
        <v>5600</v>
      </c>
      <c r="L810" s="33">
        <v>2600</v>
      </c>
      <c r="M810" s="33">
        <f t="shared" si="96"/>
        <v>15700</v>
      </c>
      <c r="N810" s="34">
        <f t="shared" si="102"/>
        <v>8.23094457690848e-5</v>
      </c>
      <c r="O810" s="35">
        <f>SUM($M$2:M810)</f>
        <v>187988000</v>
      </c>
      <c r="P810" s="34">
        <f t="shared" si="103"/>
        <v>0.985553381607561</v>
      </c>
      <c r="Q810" s="37">
        <v>2.1</v>
      </c>
      <c r="R810" s="31">
        <v>9</v>
      </c>
      <c r="S810" s="31">
        <v>2</v>
      </c>
      <c r="T810" s="31">
        <v>2</v>
      </c>
      <c r="U810" s="37">
        <v>41.6</v>
      </c>
      <c r="V810" s="31">
        <v>9</v>
      </c>
      <c r="W810" s="31">
        <v>4</v>
      </c>
      <c r="X810" s="38">
        <v>19</v>
      </c>
      <c r="Y810" s="31">
        <v>2</v>
      </c>
      <c r="Z810" s="31">
        <v>0</v>
      </c>
      <c r="AA810" s="31" t="s">
        <v>199</v>
      </c>
      <c r="AB810" s="31" t="s">
        <v>220</v>
      </c>
      <c r="AC810" s="41">
        <f>IFERROR(LOOKUP(M810,打分卡!$F$7:$J$7,打分卡!$K$7:$O$7),1)</f>
        <v>1</v>
      </c>
      <c r="AD810" s="41">
        <f>IFERROR(LOOKUP(S810,打分卡!$F$8:$J$8,打分卡!$K$8:$O$8),1)</f>
        <v>2</v>
      </c>
      <c r="AE810" s="41">
        <f>IFERROR(LOOKUP(T810,打分卡!$F$9:$I$9,打分卡!$K$9:$N$9),1)</f>
        <v>3</v>
      </c>
      <c r="AF810" s="41">
        <f>IFERROR(LOOKUP(Q810,打分卡!$F$10:$J$10,打分卡!$K$10:$O$10),1)</f>
        <v>1</v>
      </c>
      <c r="AG810" s="41">
        <f>IFERROR(LOOKUP(R810,打分卡!$F$11:$J$11,打分卡!$K$11:$O$11),1)</f>
        <v>4</v>
      </c>
      <c r="AH810" s="41">
        <f>IFERROR(LOOKUP(U810,打分卡!$F$12:$J$12,打分卡!$K$12:$O$12),1)</f>
        <v>4</v>
      </c>
      <c r="AI810" s="41">
        <f>IFERROR(LOOKUP(X810,打分卡!$F$13:$J$13,打分卡!$K$13:$O$13),1)</f>
        <v>2</v>
      </c>
      <c r="AJ810" s="41">
        <f>IFERROR(LOOKUP(Y810,打分卡!$F$14:$J$14,打分卡!$K$14:$O$14),1)</f>
        <v>3</v>
      </c>
      <c r="AK810" s="41">
        <f>IFERROR(LOOKUP(W810,打分卡!$F$15:$J$15,打分卡!$K$15:$O$15),1)</f>
        <v>3</v>
      </c>
      <c r="AL810" s="43">
        <f t="shared" si="97"/>
        <v>5</v>
      </c>
      <c r="AM810" s="41">
        <f>IFERROR(LOOKUP(Z810,打分卡!$F$17:$H$17,打分卡!$K$17:$M$17),1)</f>
        <v>1</v>
      </c>
      <c r="AN810" s="44">
        <f>(打分卡!$D$7*AC810+打分卡!$D$8*AD810+打分卡!$D$9*AE810)/5</f>
        <v>12.4</v>
      </c>
      <c r="AO810" s="44">
        <f>(打分卡!$D$10*AF810+打分卡!$D$11*AG810)/5</f>
        <v>10</v>
      </c>
      <c r="AP810" s="44">
        <f>(打分卡!$D$12*AH810+打分卡!$D$13*AI810+打分卡!$D$14*AJ810+打分卡!$D$15*AK810)/5</f>
        <v>18.8</v>
      </c>
      <c r="AQ810" s="44">
        <f>(打分卡!$D$16*AL810+打分卡!$D$17*AM810)/5</f>
        <v>6.8</v>
      </c>
      <c r="AR810" s="47">
        <f t="shared" si="98"/>
        <v>48</v>
      </c>
      <c r="AS810" s="43" t="str">
        <f t="shared" si="99"/>
        <v>腰部</v>
      </c>
      <c r="AT810" s="43" t="str">
        <f t="shared" si="100"/>
        <v/>
      </c>
      <c r="AU810" s="43" t="str">
        <f t="shared" si="101"/>
        <v>拉·主攻：主推AI外呼+大促作战包</v>
      </c>
    </row>
    <row r="811" ht="15" customHeight="1" spans="1:47">
      <c r="A811" s="20" t="s">
        <v>2321</v>
      </c>
      <c r="B811" s="22" t="s">
        <v>2322</v>
      </c>
      <c r="C811" s="22" t="s">
        <v>189</v>
      </c>
      <c r="D811" s="22" t="s">
        <v>202</v>
      </c>
      <c r="E811" s="22" t="s">
        <v>181</v>
      </c>
      <c r="F811" s="20" t="s">
        <v>1251</v>
      </c>
      <c r="G811" s="22">
        <v>7</v>
      </c>
      <c r="H811" s="22" t="s">
        <v>183</v>
      </c>
      <c r="I811" s="22" t="s">
        <v>302</v>
      </c>
      <c r="J811" s="36">
        <v>8300</v>
      </c>
      <c r="K811" s="36">
        <v>4400</v>
      </c>
      <c r="L811" s="36">
        <v>2900</v>
      </c>
      <c r="M811" s="36">
        <f t="shared" si="96"/>
        <v>15600</v>
      </c>
      <c r="N811" s="34">
        <f t="shared" si="102"/>
        <v>8.17851817832944e-5</v>
      </c>
      <c r="O811" s="35">
        <f>SUM($M$2:M811)</f>
        <v>188003600</v>
      </c>
      <c r="P811" s="34">
        <f t="shared" si="103"/>
        <v>0.985635166789344</v>
      </c>
      <c r="Q811" s="39">
        <v>1</v>
      </c>
      <c r="R811" s="22">
        <v>6</v>
      </c>
      <c r="S811" s="22">
        <v>3</v>
      </c>
      <c r="T811" s="22">
        <v>2</v>
      </c>
      <c r="U811" s="39">
        <v>6.6</v>
      </c>
      <c r="V811" s="22">
        <v>27</v>
      </c>
      <c r="W811" s="22">
        <v>0</v>
      </c>
      <c r="X811" s="40">
        <v>19</v>
      </c>
      <c r="Y811" s="22">
        <v>2</v>
      </c>
      <c r="Z811" s="22">
        <v>1</v>
      </c>
      <c r="AA811" s="22" t="s">
        <v>185</v>
      </c>
      <c r="AB811" s="22" t="s">
        <v>220</v>
      </c>
      <c r="AC811" s="42">
        <f>IFERROR(LOOKUP(M811,打分卡!$F$7:$J$7,打分卡!$K$7:$O$7),1)</f>
        <v>1</v>
      </c>
      <c r="AD811" s="42">
        <f>IFERROR(LOOKUP(S811,打分卡!$F$8:$J$8,打分卡!$K$8:$O$8),1)</f>
        <v>3</v>
      </c>
      <c r="AE811" s="42">
        <f>IFERROR(LOOKUP(T811,打分卡!$F$9:$I$9,打分卡!$K$9:$N$9),1)</f>
        <v>3</v>
      </c>
      <c r="AF811" s="42">
        <f>IFERROR(LOOKUP(Q811,打分卡!$F$10:$J$10,打分卡!$K$10:$O$10),1)</f>
        <v>1</v>
      </c>
      <c r="AG811" s="42">
        <f>IFERROR(LOOKUP(R811,打分卡!$F$11:$J$11,打分卡!$K$11:$O$11),1)</f>
        <v>3</v>
      </c>
      <c r="AH811" s="42">
        <f>IFERROR(LOOKUP(U811,打分卡!$F$12:$J$12,打分卡!$K$12:$O$12),1)</f>
        <v>2</v>
      </c>
      <c r="AI811" s="42">
        <f>IFERROR(LOOKUP(X811,打分卡!$F$13:$J$13,打分卡!$K$13:$O$13),1)</f>
        <v>2</v>
      </c>
      <c r="AJ811" s="42">
        <f>IFERROR(LOOKUP(Y811,打分卡!$F$14:$J$14,打分卡!$K$14:$O$14),1)</f>
        <v>3</v>
      </c>
      <c r="AK811" s="42">
        <f>IFERROR(LOOKUP(W811,打分卡!$F$15:$J$15,打分卡!$K$15:$O$15),1)</f>
        <v>1</v>
      </c>
      <c r="AL811" s="45">
        <f t="shared" si="97"/>
        <v>3</v>
      </c>
      <c r="AM811" s="42">
        <f>IFERROR(LOOKUP(Z811,打分卡!$F$17:$H$17,打分卡!$K$17:$M$17),1)</f>
        <v>3</v>
      </c>
      <c r="AN811" s="46">
        <f>(打分卡!$D$7*AC811+打分卡!$D$8*AD811+打分卡!$D$9*AE811)/5</f>
        <v>14</v>
      </c>
      <c r="AO811" s="46">
        <f>(打分卡!$D$10*AF811+打分卡!$D$11*AG811)/5</f>
        <v>8</v>
      </c>
      <c r="AP811" s="46">
        <f>(打分卡!$D$12*AH811+打分卡!$D$13*AI811+打分卡!$D$14*AJ811+打分卡!$D$15*AK811)/5</f>
        <v>12.4</v>
      </c>
      <c r="AQ811" s="46">
        <f>(打分卡!$D$16*AL811+打分卡!$D$17*AM811)/5</f>
        <v>6</v>
      </c>
      <c r="AR811" s="48">
        <f t="shared" si="98"/>
        <v>40.4</v>
      </c>
      <c r="AS811" s="45" t="str">
        <f t="shared" si="99"/>
        <v>腰部</v>
      </c>
      <c r="AT811" s="45" t="str">
        <f t="shared" si="100"/>
        <v/>
      </c>
      <c r="AU811" s="45" t="str">
        <f t="shared" si="101"/>
        <v>拉·主攻：主推AI外呼+大促作战包</v>
      </c>
    </row>
    <row r="812" ht="15" customHeight="1" spans="1:47">
      <c r="A812" s="30" t="s">
        <v>2323</v>
      </c>
      <c r="B812" s="31" t="s">
        <v>2324</v>
      </c>
      <c r="C812" s="31" t="s">
        <v>179</v>
      </c>
      <c r="D812" s="31" t="s">
        <v>202</v>
      </c>
      <c r="E812" s="31" t="s">
        <v>197</v>
      </c>
      <c r="F812" s="30" t="s">
        <v>2325</v>
      </c>
      <c r="G812" s="31">
        <v>2</v>
      </c>
      <c r="H812" s="31" t="s">
        <v>642</v>
      </c>
      <c r="I812" s="31" t="s">
        <v>184</v>
      </c>
      <c r="J812" s="33">
        <v>7200</v>
      </c>
      <c r="K812" s="33">
        <v>5200</v>
      </c>
      <c r="L812" s="33">
        <v>3100</v>
      </c>
      <c r="M812" s="33">
        <f t="shared" si="96"/>
        <v>15500</v>
      </c>
      <c r="N812" s="34">
        <f t="shared" si="102"/>
        <v>8.12609177975041e-5</v>
      </c>
      <c r="O812" s="35">
        <f>SUM($M$2:M812)</f>
        <v>188019100</v>
      </c>
      <c r="P812" s="34">
        <f t="shared" si="103"/>
        <v>0.985716427707142</v>
      </c>
      <c r="Q812" s="37">
        <v>1.7</v>
      </c>
      <c r="R812" s="31">
        <v>8</v>
      </c>
      <c r="S812" s="31">
        <v>2</v>
      </c>
      <c r="T812" s="31">
        <v>1</v>
      </c>
      <c r="U812" s="37">
        <v>272</v>
      </c>
      <c r="V812" s="31">
        <v>23</v>
      </c>
      <c r="W812" s="31">
        <v>14</v>
      </c>
      <c r="X812" s="38">
        <v>705</v>
      </c>
      <c r="Y812" s="31">
        <v>4</v>
      </c>
      <c r="Z812" s="31">
        <v>1</v>
      </c>
      <c r="AA812" s="31" t="s">
        <v>199</v>
      </c>
      <c r="AB812" s="31" t="s">
        <v>220</v>
      </c>
      <c r="AC812" s="41">
        <f>IFERROR(LOOKUP(M812,打分卡!$F$7:$J$7,打分卡!$K$7:$O$7),1)</f>
        <v>1</v>
      </c>
      <c r="AD812" s="41">
        <f>IFERROR(LOOKUP(S812,打分卡!$F$8:$J$8,打分卡!$K$8:$O$8),1)</f>
        <v>2</v>
      </c>
      <c r="AE812" s="41">
        <f>IFERROR(LOOKUP(T812,打分卡!$F$9:$I$9,打分卡!$K$9:$N$9),1)</f>
        <v>2</v>
      </c>
      <c r="AF812" s="41">
        <f>IFERROR(LOOKUP(Q812,打分卡!$F$10:$J$10,打分卡!$K$10:$O$10),1)</f>
        <v>1</v>
      </c>
      <c r="AG812" s="41">
        <f>IFERROR(LOOKUP(R812,打分卡!$F$11:$J$11,打分卡!$K$11:$O$11),1)</f>
        <v>3</v>
      </c>
      <c r="AH812" s="41">
        <f>IFERROR(LOOKUP(U812,打分卡!$F$12:$J$12,打分卡!$K$12:$O$12),1)</f>
        <v>5</v>
      </c>
      <c r="AI812" s="41">
        <f>IFERROR(LOOKUP(X812,打分卡!$F$13:$J$13,打分卡!$K$13:$O$13),1)</f>
        <v>5</v>
      </c>
      <c r="AJ812" s="41">
        <f>IFERROR(LOOKUP(Y812,打分卡!$F$14:$J$14,打分卡!$K$14:$O$14),1)</f>
        <v>4</v>
      </c>
      <c r="AK812" s="41">
        <f>IFERROR(LOOKUP(W812,打分卡!$F$15:$J$15,打分卡!$K$15:$O$15),1)</f>
        <v>5</v>
      </c>
      <c r="AL812" s="43">
        <f t="shared" si="97"/>
        <v>5</v>
      </c>
      <c r="AM812" s="41">
        <f>IFERROR(LOOKUP(Z812,打分卡!$F$17:$H$17,打分卡!$K$17:$M$17),1)</f>
        <v>3</v>
      </c>
      <c r="AN812" s="44">
        <f>(打分卡!$D$7*AC812+打分卡!$D$8*AD812+打分卡!$D$9*AE812)/5</f>
        <v>11</v>
      </c>
      <c r="AO812" s="44">
        <f>(打分卡!$D$10*AF812+打分卡!$D$11*AG812)/5</f>
        <v>8</v>
      </c>
      <c r="AP812" s="44">
        <f>(打分卡!$D$12*AH812+打分卡!$D$13*AI812+打分卡!$D$14*AJ812+打分卡!$D$15*AK812)/5</f>
        <v>28.8</v>
      </c>
      <c r="AQ812" s="44">
        <f>(打分卡!$D$16*AL812+打分卡!$D$17*AM812)/5</f>
        <v>8.4</v>
      </c>
      <c r="AR812" s="47">
        <f t="shared" si="98"/>
        <v>83.6</v>
      </c>
      <c r="AS812" s="43" t="str">
        <f t="shared" si="99"/>
        <v>KA</v>
      </c>
      <c r="AT812" s="43" t="str">
        <f t="shared" si="100"/>
        <v/>
      </c>
      <c r="AU812" s="43" t="str">
        <f t="shared" si="101"/>
        <v>扩·深化：AI外呼场景深化+Push/企微补全</v>
      </c>
    </row>
    <row r="813" ht="15" customHeight="1" spans="1:47">
      <c r="A813" s="20" t="s">
        <v>2326</v>
      </c>
      <c r="B813" s="22" t="s">
        <v>2327</v>
      </c>
      <c r="C813" s="22" t="s">
        <v>239</v>
      </c>
      <c r="D813" s="22" t="s">
        <v>227</v>
      </c>
      <c r="E813" s="22" t="s">
        <v>181</v>
      </c>
      <c r="F813" s="20" t="s">
        <v>1465</v>
      </c>
      <c r="G813" s="22">
        <v>22</v>
      </c>
      <c r="H813" s="22" t="s">
        <v>301</v>
      </c>
      <c r="I813" s="22" t="s">
        <v>184</v>
      </c>
      <c r="J813" s="36">
        <v>9500</v>
      </c>
      <c r="K813" s="36">
        <v>3300</v>
      </c>
      <c r="L813" s="36">
        <v>2600</v>
      </c>
      <c r="M813" s="36">
        <f t="shared" si="96"/>
        <v>15400</v>
      </c>
      <c r="N813" s="34">
        <f t="shared" si="102"/>
        <v>8.07366538117137e-5</v>
      </c>
      <c r="O813" s="35">
        <f>SUM($M$2:M813)</f>
        <v>188034500</v>
      </c>
      <c r="P813" s="34">
        <f t="shared" si="103"/>
        <v>0.985797164360954</v>
      </c>
      <c r="Q813" s="39">
        <v>1.4</v>
      </c>
      <c r="R813" s="22">
        <v>3</v>
      </c>
      <c r="S813" s="22">
        <v>3</v>
      </c>
      <c r="T813" s="22">
        <v>2</v>
      </c>
      <c r="U813" s="39">
        <v>8.7</v>
      </c>
      <c r="V813" s="22">
        <v>5</v>
      </c>
      <c r="W813" s="22">
        <v>3</v>
      </c>
      <c r="X813" s="40">
        <v>24</v>
      </c>
      <c r="Y813" s="22">
        <v>0</v>
      </c>
      <c r="Z813" s="22">
        <v>1</v>
      </c>
      <c r="AA813" s="22" t="s">
        <v>185</v>
      </c>
      <c r="AB813" s="22" t="s">
        <v>220</v>
      </c>
      <c r="AC813" s="42">
        <f>IFERROR(LOOKUP(M813,打分卡!$F$7:$J$7,打分卡!$K$7:$O$7),1)</f>
        <v>1</v>
      </c>
      <c r="AD813" s="42">
        <f>IFERROR(LOOKUP(S813,打分卡!$F$8:$J$8,打分卡!$K$8:$O$8),1)</f>
        <v>3</v>
      </c>
      <c r="AE813" s="42">
        <f>IFERROR(LOOKUP(T813,打分卡!$F$9:$I$9,打分卡!$K$9:$N$9),1)</f>
        <v>3</v>
      </c>
      <c r="AF813" s="42">
        <f>IFERROR(LOOKUP(Q813,打分卡!$F$10:$J$10,打分卡!$K$10:$O$10),1)</f>
        <v>1</v>
      </c>
      <c r="AG813" s="42">
        <f>IFERROR(LOOKUP(R813,打分卡!$F$11:$J$11,打分卡!$K$11:$O$11),1)</f>
        <v>2</v>
      </c>
      <c r="AH813" s="42">
        <f>IFERROR(LOOKUP(U813,打分卡!$F$12:$J$12,打分卡!$K$12:$O$12),1)</f>
        <v>2</v>
      </c>
      <c r="AI813" s="42">
        <f>IFERROR(LOOKUP(X813,打分卡!$F$13:$J$13,打分卡!$K$13:$O$13),1)</f>
        <v>2</v>
      </c>
      <c r="AJ813" s="42">
        <f>IFERROR(LOOKUP(Y813,打分卡!$F$14:$J$14,打分卡!$K$14:$O$14),1)</f>
        <v>1</v>
      </c>
      <c r="AK813" s="42">
        <f>IFERROR(LOOKUP(W813,打分卡!$F$15:$J$15,打分卡!$K$15:$O$15),1)</f>
        <v>3</v>
      </c>
      <c r="AL813" s="45">
        <f t="shared" si="97"/>
        <v>3</v>
      </c>
      <c r="AM813" s="42">
        <f>IFERROR(LOOKUP(Z813,打分卡!$F$17:$H$17,打分卡!$K$17:$M$17),1)</f>
        <v>3</v>
      </c>
      <c r="AN813" s="46">
        <f>(打分卡!$D$7*AC813+打分卡!$D$8*AD813+打分卡!$D$9*AE813)/5</f>
        <v>14</v>
      </c>
      <c r="AO813" s="46">
        <f>(打分卡!$D$10*AF813+打分卡!$D$11*AG813)/5</f>
        <v>6</v>
      </c>
      <c r="AP813" s="46">
        <f>(打分卡!$D$12*AH813+打分卡!$D$13*AI813+打分卡!$D$14*AJ813+打分卡!$D$15*AK813)/5</f>
        <v>11.6</v>
      </c>
      <c r="AQ813" s="46">
        <f>(打分卡!$D$16*AL813+打分卡!$D$17*AM813)/5</f>
        <v>6</v>
      </c>
      <c r="AR813" s="48">
        <f t="shared" si="98"/>
        <v>37.6</v>
      </c>
      <c r="AS813" s="45" t="str">
        <f t="shared" si="99"/>
        <v>基础长尾</v>
      </c>
      <c r="AT813" s="45" t="str">
        <f t="shared" si="100"/>
        <v/>
      </c>
      <c r="AU813" s="45" t="str">
        <f t="shared" si="101"/>
        <v>激活：企微+Push低成本先跑</v>
      </c>
    </row>
    <row r="814" ht="15" customHeight="1" spans="1:47">
      <c r="A814" s="30" t="s">
        <v>2328</v>
      </c>
      <c r="B814" s="31" t="s">
        <v>2329</v>
      </c>
      <c r="C814" s="31" t="s">
        <v>189</v>
      </c>
      <c r="D814" s="31" t="s">
        <v>180</v>
      </c>
      <c r="E814" s="31" t="s">
        <v>197</v>
      </c>
      <c r="F814" s="30" t="s">
        <v>1043</v>
      </c>
      <c r="G814" s="31">
        <v>23</v>
      </c>
      <c r="H814" s="31" t="s">
        <v>301</v>
      </c>
      <c r="I814" s="31" t="s">
        <v>184</v>
      </c>
      <c r="J814" s="33">
        <v>10000</v>
      </c>
      <c r="K814" s="33">
        <v>4600</v>
      </c>
      <c r="L814" s="33">
        <v>800</v>
      </c>
      <c r="M814" s="33">
        <f t="shared" si="96"/>
        <v>15400</v>
      </c>
      <c r="N814" s="34">
        <f t="shared" si="102"/>
        <v>8.07366538117137e-5</v>
      </c>
      <c r="O814" s="35">
        <f>SUM($M$2:M814)</f>
        <v>188049900</v>
      </c>
      <c r="P814" s="34">
        <f t="shared" si="103"/>
        <v>0.985877901014765</v>
      </c>
      <c r="Q814" s="37">
        <v>1.9</v>
      </c>
      <c r="R814" s="31">
        <v>3</v>
      </c>
      <c r="S814" s="31">
        <v>2</v>
      </c>
      <c r="T814" s="31">
        <v>1</v>
      </c>
      <c r="U814" s="37">
        <v>5.3</v>
      </c>
      <c r="V814" s="31">
        <v>13</v>
      </c>
      <c r="W814" s="31">
        <v>3</v>
      </c>
      <c r="X814" s="38">
        <v>13</v>
      </c>
      <c r="Y814" s="31">
        <v>2</v>
      </c>
      <c r="Z814" s="31">
        <v>0</v>
      </c>
      <c r="AA814" s="31" t="s">
        <v>199</v>
      </c>
      <c r="AB814" s="31" t="s">
        <v>220</v>
      </c>
      <c r="AC814" s="41">
        <f>IFERROR(LOOKUP(M814,打分卡!$F$7:$J$7,打分卡!$K$7:$O$7),1)</f>
        <v>1</v>
      </c>
      <c r="AD814" s="41">
        <f>IFERROR(LOOKUP(S814,打分卡!$F$8:$J$8,打分卡!$K$8:$O$8),1)</f>
        <v>2</v>
      </c>
      <c r="AE814" s="41">
        <f>IFERROR(LOOKUP(T814,打分卡!$F$9:$I$9,打分卡!$K$9:$N$9),1)</f>
        <v>2</v>
      </c>
      <c r="AF814" s="41">
        <f>IFERROR(LOOKUP(Q814,打分卡!$F$10:$J$10,打分卡!$K$10:$O$10),1)</f>
        <v>1</v>
      </c>
      <c r="AG814" s="41">
        <f>IFERROR(LOOKUP(R814,打分卡!$F$11:$J$11,打分卡!$K$11:$O$11),1)</f>
        <v>2</v>
      </c>
      <c r="AH814" s="41">
        <f>IFERROR(LOOKUP(U814,打分卡!$F$12:$J$12,打分卡!$K$12:$O$12),1)</f>
        <v>2</v>
      </c>
      <c r="AI814" s="41">
        <f>IFERROR(LOOKUP(X814,打分卡!$F$13:$J$13,打分卡!$K$13:$O$13),1)</f>
        <v>1</v>
      </c>
      <c r="AJ814" s="41">
        <f>IFERROR(LOOKUP(Y814,打分卡!$F$14:$J$14,打分卡!$K$14:$O$14),1)</f>
        <v>3</v>
      </c>
      <c r="AK814" s="41">
        <f>IFERROR(LOOKUP(W814,打分卡!$F$15:$J$15,打分卡!$K$15:$O$15),1)</f>
        <v>3</v>
      </c>
      <c r="AL814" s="43">
        <f t="shared" si="97"/>
        <v>5</v>
      </c>
      <c r="AM814" s="41">
        <f>IFERROR(LOOKUP(Z814,打分卡!$F$17:$H$17,打分卡!$K$17:$M$17),1)</f>
        <v>1</v>
      </c>
      <c r="AN814" s="44">
        <f>(打分卡!$D$7*AC814+打分卡!$D$8*AD814+打分卡!$D$9*AE814)/5</f>
        <v>11</v>
      </c>
      <c r="AO814" s="44">
        <f>(打分卡!$D$10*AF814+打分卡!$D$11*AG814)/5</f>
        <v>6</v>
      </c>
      <c r="AP814" s="44">
        <f>(打分卡!$D$12*AH814+打分卡!$D$13*AI814+打分卡!$D$14*AJ814+打分卡!$D$15*AK814)/5</f>
        <v>12.4</v>
      </c>
      <c r="AQ814" s="44">
        <f>(打分卡!$D$16*AL814+打分卡!$D$17*AM814)/5</f>
        <v>6.8</v>
      </c>
      <c r="AR814" s="47">
        <f t="shared" si="98"/>
        <v>36.2</v>
      </c>
      <c r="AS814" s="43" t="str">
        <f t="shared" si="99"/>
        <v>基础长尾</v>
      </c>
      <c r="AT814" s="43" t="str">
        <f t="shared" si="100"/>
        <v/>
      </c>
      <c r="AU814" s="43" t="str">
        <f t="shared" si="101"/>
        <v>激活：企微+Push低成本先跑</v>
      </c>
    </row>
    <row r="815" ht="15" customHeight="1" spans="1:47">
      <c r="A815" s="20" t="s">
        <v>2330</v>
      </c>
      <c r="B815" s="22" t="s">
        <v>2331</v>
      </c>
      <c r="C815" s="22" t="s">
        <v>189</v>
      </c>
      <c r="D815" s="22" t="s">
        <v>202</v>
      </c>
      <c r="E815" s="22" t="s">
        <v>181</v>
      </c>
      <c r="F815" s="20" t="s">
        <v>2003</v>
      </c>
      <c r="G815" s="22">
        <v>7</v>
      </c>
      <c r="H815" s="22" t="s">
        <v>301</v>
      </c>
      <c r="I815" s="22" t="s">
        <v>302</v>
      </c>
      <c r="J815" s="36">
        <v>9000</v>
      </c>
      <c r="K815" s="36">
        <v>3600</v>
      </c>
      <c r="L815" s="36">
        <v>2700</v>
      </c>
      <c r="M815" s="36">
        <f t="shared" si="96"/>
        <v>15300</v>
      </c>
      <c r="N815" s="34">
        <f t="shared" si="102"/>
        <v>8.02123898259234e-5</v>
      </c>
      <c r="O815" s="35">
        <f>SUM($M$2:M815)</f>
        <v>188065200</v>
      </c>
      <c r="P815" s="34">
        <f t="shared" si="103"/>
        <v>0.985958113404591</v>
      </c>
      <c r="Q815" s="39">
        <v>2.4</v>
      </c>
      <c r="R815" s="22">
        <v>1</v>
      </c>
      <c r="S815" s="22">
        <v>3</v>
      </c>
      <c r="T815" s="22">
        <v>2</v>
      </c>
      <c r="U815" s="39">
        <v>4.8</v>
      </c>
      <c r="V815" s="22">
        <v>4</v>
      </c>
      <c r="W815" s="22">
        <v>2</v>
      </c>
      <c r="X815" s="40">
        <v>14</v>
      </c>
      <c r="Y815" s="22">
        <v>2</v>
      </c>
      <c r="Z815" s="22">
        <v>1</v>
      </c>
      <c r="AA815" s="22" t="s">
        <v>185</v>
      </c>
      <c r="AB815" s="22" t="s">
        <v>220</v>
      </c>
      <c r="AC815" s="42">
        <f>IFERROR(LOOKUP(M815,打分卡!$F$7:$J$7,打分卡!$K$7:$O$7),1)</f>
        <v>1</v>
      </c>
      <c r="AD815" s="42">
        <f>IFERROR(LOOKUP(S815,打分卡!$F$8:$J$8,打分卡!$K$8:$O$8),1)</f>
        <v>3</v>
      </c>
      <c r="AE815" s="42">
        <f>IFERROR(LOOKUP(T815,打分卡!$F$9:$I$9,打分卡!$K$9:$N$9),1)</f>
        <v>3</v>
      </c>
      <c r="AF815" s="42">
        <f>IFERROR(LOOKUP(Q815,打分卡!$F$10:$J$10,打分卡!$K$10:$O$10),1)</f>
        <v>1</v>
      </c>
      <c r="AG815" s="42">
        <f>IFERROR(LOOKUP(R815,打分卡!$F$11:$J$11,打分卡!$K$11:$O$11),1)</f>
        <v>1</v>
      </c>
      <c r="AH815" s="42">
        <f>IFERROR(LOOKUP(U815,打分卡!$F$12:$J$12,打分卡!$K$12:$O$12),1)</f>
        <v>2</v>
      </c>
      <c r="AI815" s="42">
        <f>IFERROR(LOOKUP(X815,打分卡!$F$13:$J$13,打分卡!$K$13:$O$13),1)</f>
        <v>1</v>
      </c>
      <c r="AJ815" s="42">
        <f>IFERROR(LOOKUP(Y815,打分卡!$F$14:$J$14,打分卡!$K$14:$O$14),1)</f>
        <v>3</v>
      </c>
      <c r="AK815" s="42">
        <f>IFERROR(LOOKUP(W815,打分卡!$F$15:$J$15,打分卡!$K$15:$O$15),1)</f>
        <v>2</v>
      </c>
      <c r="AL815" s="45">
        <f t="shared" si="97"/>
        <v>3</v>
      </c>
      <c r="AM815" s="42">
        <f>IFERROR(LOOKUP(Z815,打分卡!$F$17:$H$17,打分卡!$K$17:$M$17),1)</f>
        <v>3</v>
      </c>
      <c r="AN815" s="46">
        <f>(打分卡!$D$7*AC815+打分卡!$D$8*AD815+打分卡!$D$9*AE815)/5</f>
        <v>14</v>
      </c>
      <c r="AO815" s="46">
        <f>(打分卡!$D$10*AF815+打分卡!$D$11*AG815)/5</f>
        <v>4</v>
      </c>
      <c r="AP815" s="46">
        <f>(打分卡!$D$12*AH815+打分卡!$D$13*AI815+打分卡!$D$14*AJ815+打分卡!$D$15*AK815)/5</f>
        <v>11.6</v>
      </c>
      <c r="AQ815" s="46">
        <f>(打分卡!$D$16*AL815+打分卡!$D$17*AM815)/5</f>
        <v>6</v>
      </c>
      <c r="AR815" s="48">
        <f t="shared" si="98"/>
        <v>35.6</v>
      </c>
      <c r="AS815" s="45" t="str">
        <f t="shared" si="99"/>
        <v>基础长尾</v>
      </c>
      <c r="AT815" s="45" t="str">
        <f t="shared" si="100"/>
        <v/>
      </c>
      <c r="AU815" s="45" t="str">
        <f t="shared" si="101"/>
        <v>激活：企微+Push低成本先跑</v>
      </c>
    </row>
    <row r="816" ht="15" customHeight="1" spans="1:47">
      <c r="A816" s="30" t="s">
        <v>2332</v>
      </c>
      <c r="B816" s="31" t="s">
        <v>2333</v>
      </c>
      <c r="C816" s="31" t="s">
        <v>179</v>
      </c>
      <c r="D816" s="31" t="s">
        <v>202</v>
      </c>
      <c r="E816" s="31" t="s">
        <v>181</v>
      </c>
      <c r="F816" s="30" t="s">
        <v>1154</v>
      </c>
      <c r="G816" s="31">
        <v>6</v>
      </c>
      <c r="H816" s="31" t="s">
        <v>301</v>
      </c>
      <c r="I816" s="31" t="s">
        <v>302</v>
      </c>
      <c r="J816" s="33">
        <v>8800</v>
      </c>
      <c r="K816" s="33">
        <v>5600</v>
      </c>
      <c r="L816" s="33">
        <v>800</v>
      </c>
      <c r="M816" s="33">
        <f t="shared" si="96"/>
        <v>15200</v>
      </c>
      <c r="N816" s="34">
        <f t="shared" si="102"/>
        <v>7.9688125840133e-5</v>
      </c>
      <c r="O816" s="35">
        <f>SUM($M$2:M816)</f>
        <v>188080400</v>
      </c>
      <c r="P816" s="34">
        <f t="shared" si="103"/>
        <v>0.986037801530431</v>
      </c>
      <c r="Q816" s="37">
        <v>2.1</v>
      </c>
      <c r="R816" s="31">
        <v>5</v>
      </c>
      <c r="S816" s="31">
        <v>2</v>
      </c>
      <c r="T816" s="31">
        <v>1</v>
      </c>
      <c r="U816" s="37">
        <v>1.1</v>
      </c>
      <c r="V816" s="31">
        <v>16</v>
      </c>
      <c r="W816" s="31">
        <v>2</v>
      </c>
      <c r="X816" s="38">
        <v>29</v>
      </c>
      <c r="Y816" s="31">
        <v>0</v>
      </c>
      <c r="Z816" s="31">
        <v>1</v>
      </c>
      <c r="AA816" s="31" t="s">
        <v>199</v>
      </c>
      <c r="AB816" s="31" t="s">
        <v>220</v>
      </c>
      <c r="AC816" s="41">
        <f>IFERROR(LOOKUP(M816,打分卡!$F$7:$J$7,打分卡!$K$7:$O$7),1)</f>
        <v>1</v>
      </c>
      <c r="AD816" s="41">
        <f>IFERROR(LOOKUP(S816,打分卡!$F$8:$J$8,打分卡!$K$8:$O$8),1)</f>
        <v>2</v>
      </c>
      <c r="AE816" s="41">
        <f>IFERROR(LOOKUP(T816,打分卡!$F$9:$I$9,打分卡!$K$9:$N$9),1)</f>
        <v>2</v>
      </c>
      <c r="AF816" s="41">
        <f>IFERROR(LOOKUP(Q816,打分卡!$F$10:$J$10,打分卡!$K$10:$O$10),1)</f>
        <v>1</v>
      </c>
      <c r="AG816" s="41">
        <f>IFERROR(LOOKUP(R816,打分卡!$F$11:$J$11,打分卡!$K$11:$O$11),1)</f>
        <v>3</v>
      </c>
      <c r="AH816" s="41">
        <f>IFERROR(LOOKUP(U816,打分卡!$F$12:$J$12,打分卡!$K$12:$O$12),1)</f>
        <v>1</v>
      </c>
      <c r="AI816" s="41">
        <f>IFERROR(LOOKUP(X816,打分卡!$F$13:$J$13,打分卡!$K$13:$O$13),1)</f>
        <v>2</v>
      </c>
      <c r="AJ816" s="41">
        <f>IFERROR(LOOKUP(Y816,打分卡!$F$14:$J$14,打分卡!$K$14:$O$14),1)</f>
        <v>1</v>
      </c>
      <c r="AK816" s="41">
        <f>IFERROR(LOOKUP(W816,打分卡!$F$15:$J$15,打分卡!$K$15:$O$15),1)</f>
        <v>2</v>
      </c>
      <c r="AL816" s="43">
        <f t="shared" si="97"/>
        <v>5</v>
      </c>
      <c r="AM816" s="41">
        <f>IFERROR(LOOKUP(Z816,打分卡!$F$17:$H$17,打分卡!$K$17:$M$17),1)</f>
        <v>3</v>
      </c>
      <c r="AN816" s="44">
        <f>(打分卡!$D$7*AC816+打分卡!$D$8*AD816+打分卡!$D$9*AE816)/5</f>
        <v>11</v>
      </c>
      <c r="AO816" s="44">
        <f>(打分卡!$D$10*AF816+打分卡!$D$11*AG816)/5</f>
        <v>8</v>
      </c>
      <c r="AP816" s="44">
        <f>(打分卡!$D$12*AH816+打分卡!$D$13*AI816+打分卡!$D$14*AJ816+打分卡!$D$15*AK816)/5</f>
        <v>8.4</v>
      </c>
      <c r="AQ816" s="44">
        <f>(打分卡!$D$16*AL816+打分卡!$D$17*AM816)/5</f>
        <v>8.4</v>
      </c>
      <c r="AR816" s="47">
        <f t="shared" si="98"/>
        <v>35.8</v>
      </c>
      <c r="AS816" s="43" t="str">
        <f t="shared" si="99"/>
        <v>基础长尾</v>
      </c>
      <c r="AT816" s="43" t="str">
        <f t="shared" si="100"/>
        <v/>
      </c>
      <c r="AU816" s="43" t="str">
        <f t="shared" si="101"/>
        <v>激活：企微+Push低成本先跑</v>
      </c>
    </row>
    <row r="817" ht="15" customHeight="1" spans="1:47">
      <c r="A817" s="20" t="s">
        <v>2334</v>
      </c>
      <c r="B817" s="22" t="s">
        <v>2335</v>
      </c>
      <c r="C817" s="22" t="s">
        <v>239</v>
      </c>
      <c r="D817" s="22" t="s">
        <v>202</v>
      </c>
      <c r="E817" s="22" t="s">
        <v>181</v>
      </c>
      <c r="F817" s="20" t="s">
        <v>908</v>
      </c>
      <c r="G817" s="22">
        <v>5</v>
      </c>
      <c r="H817" s="22" t="s">
        <v>183</v>
      </c>
      <c r="I817" s="22" t="s">
        <v>302</v>
      </c>
      <c r="J817" s="36">
        <v>8700</v>
      </c>
      <c r="K817" s="36">
        <v>5200</v>
      </c>
      <c r="L817" s="36">
        <v>1200</v>
      </c>
      <c r="M817" s="36">
        <f t="shared" si="96"/>
        <v>15100</v>
      </c>
      <c r="N817" s="34">
        <f t="shared" si="102"/>
        <v>7.91638618543427e-5</v>
      </c>
      <c r="O817" s="35">
        <f>SUM($M$2:M817)</f>
        <v>188095500</v>
      </c>
      <c r="P817" s="34">
        <f t="shared" si="103"/>
        <v>0.986116965392286</v>
      </c>
      <c r="Q817" s="39">
        <v>2.2</v>
      </c>
      <c r="R817" s="22">
        <v>2</v>
      </c>
      <c r="S817" s="22">
        <v>1</v>
      </c>
      <c r="T817" s="22">
        <v>2</v>
      </c>
      <c r="U817" s="39">
        <v>26.6</v>
      </c>
      <c r="V817" s="22">
        <v>16</v>
      </c>
      <c r="W817" s="22">
        <v>2</v>
      </c>
      <c r="X817" s="40">
        <v>147</v>
      </c>
      <c r="Y817" s="22">
        <v>0</v>
      </c>
      <c r="Z817" s="22">
        <v>1</v>
      </c>
      <c r="AA817" s="22" t="s">
        <v>185</v>
      </c>
      <c r="AB817" s="22" t="s">
        <v>220</v>
      </c>
      <c r="AC817" s="42">
        <f>IFERROR(LOOKUP(M817,打分卡!$F$7:$J$7,打分卡!$K$7:$O$7),1)</f>
        <v>1</v>
      </c>
      <c r="AD817" s="42">
        <f>IFERROR(LOOKUP(S817,打分卡!$F$8:$J$8,打分卡!$K$8:$O$8),1)</f>
        <v>1</v>
      </c>
      <c r="AE817" s="42">
        <f>IFERROR(LOOKUP(T817,打分卡!$F$9:$I$9,打分卡!$K$9:$N$9),1)</f>
        <v>3</v>
      </c>
      <c r="AF817" s="42">
        <f>IFERROR(LOOKUP(Q817,打分卡!$F$10:$J$10,打分卡!$K$10:$O$10),1)</f>
        <v>1</v>
      </c>
      <c r="AG817" s="42">
        <f>IFERROR(LOOKUP(R817,打分卡!$F$11:$J$11,打分卡!$K$11:$O$11),1)</f>
        <v>1</v>
      </c>
      <c r="AH817" s="42">
        <f>IFERROR(LOOKUP(U817,打分卡!$F$12:$J$12,打分卡!$K$12:$O$12),1)</f>
        <v>3</v>
      </c>
      <c r="AI817" s="42">
        <f>IFERROR(LOOKUP(X817,打分卡!$F$13:$J$13,打分卡!$K$13:$O$13),1)</f>
        <v>4</v>
      </c>
      <c r="AJ817" s="42">
        <f>IFERROR(LOOKUP(Y817,打分卡!$F$14:$J$14,打分卡!$K$14:$O$14),1)</f>
        <v>1</v>
      </c>
      <c r="AK817" s="42">
        <f>IFERROR(LOOKUP(W817,打分卡!$F$15:$J$15,打分卡!$K$15:$O$15),1)</f>
        <v>2</v>
      </c>
      <c r="AL817" s="45">
        <f t="shared" si="97"/>
        <v>3</v>
      </c>
      <c r="AM817" s="42">
        <f>IFERROR(LOOKUP(Z817,打分卡!$F$17:$H$17,打分卡!$K$17:$M$17),1)</f>
        <v>3</v>
      </c>
      <c r="AN817" s="46">
        <f>(打分卡!$D$7*AC817+打分卡!$D$8*AD817+打分卡!$D$9*AE817)/5</f>
        <v>10.8</v>
      </c>
      <c r="AO817" s="46">
        <f>(打分卡!$D$10*AF817+打分卡!$D$11*AG817)/5</f>
        <v>4</v>
      </c>
      <c r="AP817" s="46">
        <f>(打分卡!$D$12*AH817+打分卡!$D$13*AI817+打分卡!$D$14*AJ817+打分卡!$D$15*AK817)/5</f>
        <v>16.4</v>
      </c>
      <c r="AQ817" s="46">
        <f>(打分卡!$D$16*AL817+打分卡!$D$17*AM817)/5</f>
        <v>6</v>
      </c>
      <c r="AR817" s="48">
        <f t="shared" si="98"/>
        <v>37.2</v>
      </c>
      <c r="AS817" s="45" t="str">
        <f t="shared" si="99"/>
        <v>基础长尾</v>
      </c>
      <c r="AT817" s="45" t="str">
        <f t="shared" si="100"/>
        <v/>
      </c>
      <c r="AU817" s="45" t="str">
        <f t="shared" si="101"/>
        <v>激活：企微+Push低成本先跑</v>
      </c>
    </row>
    <row r="818" ht="15" customHeight="1" spans="1:47">
      <c r="A818" s="30" t="s">
        <v>2336</v>
      </c>
      <c r="B818" s="31" t="s">
        <v>2337</v>
      </c>
      <c r="C818" s="31" t="s">
        <v>189</v>
      </c>
      <c r="D818" s="31" t="s">
        <v>202</v>
      </c>
      <c r="E818" s="31" t="s">
        <v>181</v>
      </c>
      <c r="F818" s="30" t="s">
        <v>2338</v>
      </c>
      <c r="G818" s="31">
        <v>11</v>
      </c>
      <c r="H818" s="31" t="s">
        <v>301</v>
      </c>
      <c r="I818" s="31" t="s">
        <v>302</v>
      </c>
      <c r="J818" s="33">
        <v>9100</v>
      </c>
      <c r="K818" s="33">
        <v>5100</v>
      </c>
      <c r="L818" s="33">
        <v>700</v>
      </c>
      <c r="M818" s="33">
        <f t="shared" si="96"/>
        <v>14900</v>
      </c>
      <c r="N818" s="34">
        <f t="shared" si="102"/>
        <v>7.8115333882762e-5</v>
      </c>
      <c r="O818" s="35">
        <f>SUM($M$2:M818)</f>
        <v>188110400</v>
      </c>
      <c r="P818" s="34">
        <f t="shared" si="103"/>
        <v>0.986195080726169</v>
      </c>
      <c r="Q818" s="37">
        <v>2.2</v>
      </c>
      <c r="R818" s="31">
        <v>8</v>
      </c>
      <c r="S818" s="31">
        <v>2</v>
      </c>
      <c r="T818" s="31">
        <v>0</v>
      </c>
      <c r="U818" s="37">
        <v>65</v>
      </c>
      <c r="V818" s="31">
        <v>15</v>
      </c>
      <c r="W818" s="31">
        <v>1</v>
      </c>
      <c r="X818" s="38">
        <v>48</v>
      </c>
      <c r="Y818" s="31">
        <v>0</v>
      </c>
      <c r="Z818" s="31">
        <v>0</v>
      </c>
      <c r="AA818" s="31" t="s">
        <v>199</v>
      </c>
      <c r="AB818" s="31" t="s">
        <v>220</v>
      </c>
      <c r="AC818" s="41">
        <f>IFERROR(LOOKUP(M818,打分卡!$F$7:$J$7,打分卡!$K$7:$O$7),1)</f>
        <v>1</v>
      </c>
      <c r="AD818" s="41">
        <f>IFERROR(LOOKUP(S818,打分卡!$F$8:$J$8,打分卡!$K$8:$O$8),1)</f>
        <v>2</v>
      </c>
      <c r="AE818" s="41">
        <f>IFERROR(LOOKUP(T818,打分卡!$F$9:$I$9,打分卡!$K$9:$N$9),1)</f>
        <v>1</v>
      </c>
      <c r="AF818" s="41">
        <f>IFERROR(LOOKUP(Q818,打分卡!$F$10:$J$10,打分卡!$K$10:$O$10),1)</f>
        <v>1</v>
      </c>
      <c r="AG818" s="41">
        <f>IFERROR(LOOKUP(R818,打分卡!$F$11:$J$11,打分卡!$K$11:$O$11),1)</f>
        <v>3</v>
      </c>
      <c r="AH818" s="41">
        <f>IFERROR(LOOKUP(U818,打分卡!$F$12:$J$12,打分卡!$K$12:$O$12),1)</f>
        <v>4</v>
      </c>
      <c r="AI818" s="41">
        <f>IFERROR(LOOKUP(X818,打分卡!$F$13:$J$13,打分卡!$K$13:$O$13),1)</f>
        <v>3</v>
      </c>
      <c r="AJ818" s="41">
        <f>IFERROR(LOOKUP(Y818,打分卡!$F$14:$J$14,打分卡!$K$14:$O$14),1)</f>
        <v>1</v>
      </c>
      <c r="AK818" s="41">
        <f>IFERROR(LOOKUP(W818,打分卡!$F$15:$J$15,打分卡!$K$15:$O$15),1)</f>
        <v>2</v>
      </c>
      <c r="AL818" s="43">
        <f t="shared" si="97"/>
        <v>5</v>
      </c>
      <c r="AM818" s="41">
        <f>IFERROR(LOOKUP(Z818,打分卡!$F$17:$H$17,打分卡!$K$17:$M$17),1)</f>
        <v>1</v>
      </c>
      <c r="AN818" s="44">
        <f>(打分卡!$D$7*AC818+打分卡!$D$8*AD818+打分卡!$D$9*AE818)/5</f>
        <v>9.6</v>
      </c>
      <c r="AO818" s="44">
        <f>(打分卡!$D$10*AF818+打分卡!$D$11*AG818)/5</f>
        <v>8</v>
      </c>
      <c r="AP818" s="44">
        <f>(打分卡!$D$12*AH818+打分卡!$D$13*AI818+打分卡!$D$14*AJ818+打分卡!$D$15*AK818)/5</f>
        <v>17.2</v>
      </c>
      <c r="AQ818" s="44">
        <f>(打分卡!$D$16*AL818+打分卡!$D$17*AM818)/5</f>
        <v>6.8</v>
      </c>
      <c r="AR818" s="47">
        <f t="shared" si="98"/>
        <v>41.6</v>
      </c>
      <c r="AS818" s="43" t="str">
        <f t="shared" si="99"/>
        <v>腰部</v>
      </c>
      <c r="AT818" s="43" t="str">
        <f t="shared" si="100"/>
        <v/>
      </c>
      <c r="AU818" s="43" t="str">
        <f t="shared" si="101"/>
        <v>拉·主攻：主推AI外呼+大促作战包</v>
      </c>
    </row>
    <row r="819" ht="15" customHeight="1" spans="1:47">
      <c r="A819" s="20" t="s">
        <v>2339</v>
      </c>
      <c r="B819" s="22" t="s">
        <v>2340</v>
      </c>
      <c r="C819" s="22" t="s">
        <v>223</v>
      </c>
      <c r="D819" s="22" t="s">
        <v>252</v>
      </c>
      <c r="E819" s="22" t="s">
        <v>181</v>
      </c>
      <c r="F819" s="20" t="s">
        <v>2341</v>
      </c>
      <c r="G819" s="22">
        <v>6</v>
      </c>
      <c r="H819" s="22" t="s">
        <v>301</v>
      </c>
      <c r="I819" s="22" t="s">
        <v>302</v>
      </c>
      <c r="J819" s="36">
        <v>7700</v>
      </c>
      <c r="K819" s="36">
        <v>5400</v>
      </c>
      <c r="L819" s="36">
        <v>1800</v>
      </c>
      <c r="M819" s="36">
        <f t="shared" si="96"/>
        <v>14900</v>
      </c>
      <c r="N819" s="34">
        <f t="shared" si="102"/>
        <v>7.8115333882762e-5</v>
      </c>
      <c r="O819" s="35">
        <f>SUM($M$2:M819)</f>
        <v>188125300</v>
      </c>
      <c r="P819" s="34">
        <f t="shared" si="103"/>
        <v>0.986273196060051</v>
      </c>
      <c r="Q819" s="39">
        <v>1</v>
      </c>
      <c r="R819" s="22">
        <v>2</v>
      </c>
      <c r="S819" s="22">
        <v>3</v>
      </c>
      <c r="T819" s="22">
        <v>1</v>
      </c>
      <c r="U819" s="39">
        <v>13.3</v>
      </c>
      <c r="V819" s="22">
        <v>4</v>
      </c>
      <c r="W819" s="22">
        <v>2</v>
      </c>
      <c r="X819" s="40">
        <v>15</v>
      </c>
      <c r="Y819" s="22">
        <v>1</v>
      </c>
      <c r="Z819" s="22">
        <v>0</v>
      </c>
      <c r="AA819" s="22" t="s">
        <v>199</v>
      </c>
      <c r="AB819" s="22" t="s">
        <v>220</v>
      </c>
      <c r="AC819" s="42">
        <f>IFERROR(LOOKUP(M819,打分卡!$F$7:$J$7,打分卡!$K$7:$O$7),1)</f>
        <v>1</v>
      </c>
      <c r="AD819" s="42">
        <f>IFERROR(LOOKUP(S819,打分卡!$F$8:$J$8,打分卡!$K$8:$O$8),1)</f>
        <v>3</v>
      </c>
      <c r="AE819" s="42">
        <f>IFERROR(LOOKUP(T819,打分卡!$F$9:$I$9,打分卡!$K$9:$N$9),1)</f>
        <v>2</v>
      </c>
      <c r="AF819" s="42">
        <f>IFERROR(LOOKUP(Q819,打分卡!$F$10:$J$10,打分卡!$K$10:$O$10),1)</f>
        <v>1</v>
      </c>
      <c r="AG819" s="42">
        <f>IFERROR(LOOKUP(R819,打分卡!$F$11:$J$11,打分卡!$K$11:$O$11),1)</f>
        <v>1</v>
      </c>
      <c r="AH819" s="42">
        <f>IFERROR(LOOKUP(U819,打分卡!$F$12:$J$12,打分卡!$K$12:$O$12),1)</f>
        <v>3</v>
      </c>
      <c r="AI819" s="42">
        <f>IFERROR(LOOKUP(X819,打分卡!$F$13:$J$13,打分卡!$K$13:$O$13),1)</f>
        <v>1</v>
      </c>
      <c r="AJ819" s="42">
        <f>IFERROR(LOOKUP(Y819,打分卡!$F$14:$J$14,打分卡!$K$14:$O$14),1)</f>
        <v>2</v>
      </c>
      <c r="AK819" s="42">
        <f>IFERROR(LOOKUP(W819,打分卡!$F$15:$J$15,打分卡!$K$15:$O$15),1)</f>
        <v>2</v>
      </c>
      <c r="AL819" s="45">
        <f t="shared" si="97"/>
        <v>5</v>
      </c>
      <c r="AM819" s="42">
        <f>IFERROR(LOOKUP(Z819,打分卡!$F$17:$H$17,打分卡!$K$17:$M$17),1)</f>
        <v>1</v>
      </c>
      <c r="AN819" s="46">
        <f>(打分卡!$D$7*AC819+打分卡!$D$8*AD819+打分卡!$D$9*AE819)/5</f>
        <v>12.6</v>
      </c>
      <c r="AO819" s="46">
        <f>(打分卡!$D$10*AF819+打分卡!$D$11*AG819)/5</f>
        <v>4</v>
      </c>
      <c r="AP819" s="46">
        <f>(打分卡!$D$12*AH819+打分卡!$D$13*AI819+打分卡!$D$14*AJ819+打分卡!$D$15*AK819)/5</f>
        <v>12.8</v>
      </c>
      <c r="AQ819" s="46">
        <f>(打分卡!$D$16*AL819+打分卡!$D$17*AM819)/5</f>
        <v>6.8</v>
      </c>
      <c r="AR819" s="48">
        <f t="shared" si="98"/>
        <v>36.2</v>
      </c>
      <c r="AS819" s="45" t="str">
        <f t="shared" si="99"/>
        <v>基础长尾</v>
      </c>
      <c r="AT819" s="45" t="str">
        <f t="shared" si="100"/>
        <v/>
      </c>
      <c r="AU819" s="45" t="str">
        <f t="shared" si="101"/>
        <v>激活：企微+Push低成本先跑</v>
      </c>
    </row>
    <row r="820" ht="15" customHeight="1" spans="1:47">
      <c r="A820" s="30" t="s">
        <v>2342</v>
      </c>
      <c r="B820" s="31" t="s">
        <v>2343</v>
      </c>
      <c r="C820" s="31" t="s">
        <v>218</v>
      </c>
      <c r="D820" s="31" t="s">
        <v>227</v>
      </c>
      <c r="E820" s="31" t="s">
        <v>197</v>
      </c>
      <c r="F820" s="30" t="s">
        <v>569</v>
      </c>
      <c r="G820" s="31">
        <v>22</v>
      </c>
      <c r="H820" s="31" t="s">
        <v>301</v>
      </c>
      <c r="I820" s="31" t="s">
        <v>302</v>
      </c>
      <c r="J820" s="33">
        <v>7600</v>
      </c>
      <c r="K820" s="33">
        <v>3600</v>
      </c>
      <c r="L820" s="33">
        <v>3700</v>
      </c>
      <c r="M820" s="33">
        <f t="shared" si="96"/>
        <v>14900</v>
      </c>
      <c r="N820" s="34">
        <f t="shared" si="102"/>
        <v>7.8115333882762e-5</v>
      </c>
      <c r="O820" s="35">
        <f>SUM($M$2:M820)</f>
        <v>188140200</v>
      </c>
      <c r="P820" s="34">
        <f t="shared" si="103"/>
        <v>0.986351311393934</v>
      </c>
      <c r="Q820" s="37">
        <v>1.8</v>
      </c>
      <c r="R820" s="31">
        <v>1</v>
      </c>
      <c r="S820" s="31">
        <v>1</v>
      </c>
      <c r="T820" s="31">
        <v>0</v>
      </c>
      <c r="U820" s="37">
        <v>6.9</v>
      </c>
      <c r="V820" s="31">
        <v>9</v>
      </c>
      <c r="W820" s="31">
        <v>0</v>
      </c>
      <c r="X820" s="38">
        <v>65</v>
      </c>
      <c r="Y820" s="31">
        <v>3</v>
      </c>
      <c r="Z820" s="31">
        <v>0</v>
      </c>
      <c r="AA820" s="31" t="s">
        <v>199</v>
      </c>
      <c r="AB820" s="31" t="s">
        <v>220</v>
      </c>
      <c r="AC820" s="41">
        <f>IFERROR(LOOKUP(M820,打分卡!$F$7:$J$7,打分卡!$K$7:$O$7),1)</f>
        <v>1</v>
      </c>
      <c r="AD820" s="41">
        <f>IFERROR(LOOKUP(S820,打分卡!$F$8:$J$8,打分卡!$K$8:$O$8),1)</f>
        <v>1</v>
      </c>
      <c r="AE820" s="41">
        <f>IFERROR(LOOKUP(T820,打分卡!$F$9:$I$9,打分卡!$K$9:$N$9),1)</f>
        <v>1</v>
      </c>
      <c r="AF820" s="41">
        <f>IFERROR(LOOKUP(Q820,打分卡!$F$10:$J$10,打分卡!$K$10:$O$10),1)</f>
        <v>1</v>
      </c>
      <c r="AG820" s="41">
        <f>IFERROR(LOOKUP(R820,打分卡!$F$11:$J$11,打分卡!$K$11:$O$11),1)</f>
        <v>1</v>
      </c>
      <c r="AH820" s="41">
        <f>IFERROR(LOOKUP(U820,打分卡!$F$12:$J$12,打分卡!$K$12:$O$12),1)</f>
        <v>2</v>
      </c>
      <c r="AI820" s="41">
        <f>IFERROR(LOOKUP(X820,打分卡!$F$13:$J$13,打分卡!$K$13:$O$13),1)</f>
        <v>3</v>
      </c>
      <c r="AJ820" s="41">
        <f>IFERROR(LOOKUP(Y820,打分卡!$F$14:$J$14,打分卡!$K$14:$O$14),1)</f>
        <v>4</v>
      </c>
      <c r="AK820" s="41">
        <f>IFERROR(LOOKUP(W820,打分卡!$F$15:$J$15,打分卡!$K$15:$O$15),1)</f>
        <v>1</v>
      </c>
      <c r="AL820" s="43">
        <f t="shared" si="97"/>
        <v>5</v>
      </c>
      <c r="AM820" s="41">
        <f>IFERROR(LOOKUP(Z820,打分卡!$F$17:$H$17,打分卡!$K$17:$M$17),1)</f>
        <v>1</v>
      </c>
      <c r="AN820" s="44">
        <f>(打分卡!$D$7*AC820+打分卡!$D$8*AD820+打分卡!$D$9*AE820)/5</f>
        <v>8</v>
      </c>
      <c r="AO820" s="44">
        <f>(打分卡!$D$10*AF820+打分卡!$D$11*AG820)/5</f>
        <v>4</v>
      </c>
      <c r="AP820" s="44">
        <f>(打分卡!$D$12*AH820+打分卡!$D$13*AI820+打分卡!$D$14*AJ820+打分卡!$D$15*AK820)/5</f>
        <v>15.2</v>
      </c>
      <c r="AQ820" s="44">
        <f>(打分卡!$D$16*AL820+打分卡!$D$17*AM820)/5</f>
        <v>6.8</v>
      </c>
      <c r="AR820" s="47">
        <f t="shared" si="98"/>
        <v>34</v>
      </c>
      <c r="AS820" s="43" t="str">
        <f t="shared" si="99"/>
        <v>基础长尾</v>
      </c>
      <c r="AT820" s="43" t="str">
        <f t="shared" si="100"/>
        <v/>
      </c>
      <c r="AU820" s="43" t="str">
        <f t="shared" si="101"/>
        <v>激活：企微+Push低成本先跑</v>
      </c>
    </row>
    <row r="821" ht="15" customHeight="1" spans="1:47">
      <c r="A821" s="20" t="s">
        <v>2344</v>
      </c>
      <c r="B821" s="22" t="s">
        <v>2345</v>
      </c>
      <c r="C821" s="22" t="s">
        <v>239</v>
      </c>
      <c r="D821" s="22" t="s">
        <v>202</v>
      </c>
      <c r="E821" s="22" t="s">
        <v>181</v>
      </c>
      <c r="F821" s="20" t="s">
        <v>751</v>
      </c>
      <c r="G821" s="22">
        <v>9</v>
      </c>
      <c r="H821" s="22" t="s">
        <v>301</v>
      </c>
      <c r="I821" s="22" t="s">
        <v>302</v>
      </c>
      <c r="J821" s="36">
        <v>7900</v>
      </c>
      <c r="K821" s="36">
        <v>3200</v>
      </c>
      <c r="L821" s="36">
        <v>3600</v>
      </c>
      <c r="M821" s="36">
        <f t="shared" si="96"/>
        <v>14700</v>
      </c>
      <c r="N821" s="34">
        <f t="shared" si="102"/>
        <v>7.70668059111813e-5</v>
      </c>
      <c r="O821" s="35">
        <f>SUM($M$2:M821)</f>
        <v>188154900</v>
      </c>
      <c r="P821" s="34">
        <f t="shared" si="103"/>
        <v>0.986428378199845</v>
      </c>
      <c r="Q821" s="39">
        <v>0.9</v>
      </c>
      <c r="R821" s="22">
        <v>9</v>
      </c>
      <c r="S821" s="22">
        <v>3</v>
      </c>
      <c r="T821" s="22">
        <v>0</v>
      </c>
      <c r="U821" s="39">
        <v>1.7</v>
      </c>
      <c r="V821" s="22">
        <v>25</v>
      </c>
      <c r="W821" s="22">
        <v>1</v>
      </c>
      <c r="X821" s="40">
        <v>30</v>
      </c>
      <c r="Y821" s="22">
        <v>3</v>
      </c>
      <c r="Z821" s="22">
        <v>0</v>
      </c>
      <c r="AA821" s="22" t="s">
        <v>185</v>
      </c>
      <c r="AB821" s="22" t="s">
        <v>220</v>
      </c>
      <c r="AC821" s="42">
        <f>IFERROR(LOOKUP(M821,打分卡!$F$7:$J$7,打分卡!$K$7:$O$7),1)</f>
        <v>1</v>
      </c>
      <c r="AD821" s="42">
        <f>IFERROR(LOOKUP(S821,打分卡!$F$8:$J$8,打分卡!$K$8:$O$8),1)</f>
        <v>3</v>
      </c>
      <c r="AE821" s="42">
        <f>IFERROR(LOOKUP(T821,打分卡!$F$9:$I$9,打分卡!$K$9:$N$9),1)</f>
        <v>1</v>
      </c>
      <c r="AF821" s="42">
        <f>IFERROR(LOOKUP(Q821,打分卡!$F$10:$J$10,打分卡!$K$10:$O$10),1)</f>
        <v>1</v>
      </c>
      <c r="AG821" s="42">
        <f>IFERROR(LOOKUP(R821,打分卡!$F$11:$J$11,打分卡!$K$11:$O$11),1)</f>
        <v>4</v>
      </c>
      <c r="AH821" s="42">
        <f>IFERROR(LOOKUP(U821,打分卡!$F$12:$J$12,打分卡!$K$12:$O$12),1)</f>
        <v>1</v>
      </c>
      <c r="AI821" s="42">
        <f>IFERROR(LOOKUP(X821,打分卡!$F$13:$J$13,打分卡!$K$13:$O$13),1)</f>
        <v>2</v>
      </c>
      <c r="AJ821" s="42">
        <f>IFERROR(LOOKUP(Y821,打分卡!$F$14:$J$14,打分卡!$K$14:$O$14),1)</f>
        <v>4</v>
      </c>
      <c r="AK821" s="42">
        <f>IFERROR(LOOKUP(W821,打分卡!$F$15:$J$15,打分卡!$K$15:$O$15),1)</f>
        <v>2</v>
      </c>
      <c r="AL821" s="45">
        <f t="shared" si="97"/>
        <v>3</v>
      </c>
      <c r="AM821" s="42">
        <f>IFERROR(LOOKUP(Z821,打分卡!$F$17:$H$17,打分卡!$K$17:$M$17),1)</f>
        <v>1</v>
      </c>
      <c r="AN821" s="46">
        <f>(打分卡!$D$7*AC821+打分卡!$D$8*AD821+打分卡!$D$9*AE821)/5</f>
        <v>11.2</v>
      </c>
      <c r="AO821" s="46">
        <f>(打分卡!$D$10*AF821+打分卡!$D$11*AG821)/5</f>
        <v>10</v>
      </c>
      <c r="AP821" s="46">
        <f>(打分卡!$D$12*AH821+打分卡!$D$13*AI821+打分卡!$D$14*AJ821+打分卡!$D$15*AK821)/5</f>
        <v>12</v>
      </c>
      <c r="AQ821" s="46">
        <f>(打分卡!$D$16*AL821+打分卡!$D$17*AM821)/5</f>
        <v>4.4</v>
      </c>
      <c r="AR821" s="48">
        <f t="shared" si="98"/>
        <v>37.6</v>
      </c>
      <c r="AS821" s="45" t="str">
        <f t="shared" si="99"/>
        <v>基础长尾</v>
      </c>
      <c r="AT821" s="45" t="str">
        <f t="shared" si="100"/>
        <v/>
      </c>
      <c r="AU821" s="45" t="str">
        <f t="shared" si="101"/>
        <v>激活：企微+Push低成本先跑</v>
      </c>
    </row>
    <row r="822" ht="15" customHeight="1" spans="1:47">
      <c r="A822" s="30" t="s">
        <v>2346</v>
      </c>
      <c r="B822" s="31" t="s">
        <v>2347</v>
      </c>
      <c r="C822" s="31" t="s">
        <v>189</v>
      </c>
      <c r="D822" s="31" t="s">
        <v>252</v>
      </c>
      <c r="E822" s="31" t="s">
        <v>181</v>
      </c>
      <c r="F822" s="30" t="s">
        <v>896</v>
      </c>
      <c r="G822" s="31">
        <v>5</v>
      </c>
      <c r="H822" s="31" t="s">
        <v>301</v>
      </c>
      <c r="I822" s="31" t="s">
        <v>302</v>
      </c>
      <c r="J822" s="33">
        <v>6600</v>
      </c>
      <c r="K822" s="33">
        <v>5400</v>
      </c>
      <c r="L822" s="33">
        <v>2700</v>
      </c>
      <c r="M822" s="33">
        <f t="shared" si="96"/>
        <v>14700</v>
      </c>
      <c r="N822" s="34">
        <f t="shared" si="102"/>
        <v>7.70668059111813e-5</v>
      </c>
      <c r="O822" s="35">
        <f>SUM($M$2:M822)</f>
        <v>188169600</v>
      </c>
      <c r="P822" s="34">
        <f t="shared" si="103"/>
        <v>0.986505445005756</v>
      </c>
      <c r="Q822" s="37">
        <v>1.9</v>
      </c>
      <c r="R822" s="31">
        <v>9</v>
      </c>
      <c r="S822" s="31">
        <v>1</v>
      </c>
      <c r="T822" s="31">
        <v>1</v>
      </c>
      <c r="U822" s="37">
        <v>59</v>
      </c>
      <c r="V822" s="31">
        <v>7</v>
      </c>
      <c r="W822" s="31">
        <v>4</v>
      </c>
      <c r="X822" s="38">
        <v>15</v>
      </c>
      <c r="Y822" s="31">
        <v>1</v>
      </c>
      <c r="Z822" s="31">
        <v>1</v>
      </c>
      <c r="AA822" s="31" t="s">
        <v>199</v>
      </c>
      <c r="AB822" s="31" t="s">
        <v>220</v>
      </c>
      <c r="AC822" s="41">
        <f>IFERROR(LOOKUP(M822,打分卡!$F$7:$J$7,打分卡!$K$7:$O$7),1)</f>
        <v>1</v>
      </c>
      <c r="AD822" s="41">
        <f>IFERROR(LOOKUP(S822,打分卡!$F$8:$J$8,打分卡!$K$8:$O$8),1)</f>
        <v>1</v>
      </c>
      <c r="AE822" s="41">
        <f>IFERROR(LOOKUP(T822,打分卡!$F$9:$I$9,打分卡!$K$9:$N$9),1)</f>
        <v>2</v>
      </c>
      <c r="AF822" s="41">
        <f>IFERROR(LOOKUP(Q822,打分卡!$F$10:$J$10,打分卡!$K$10:$O$10),1)</f>
        <v>1</v>
      </c>
      <c r="AG822" s="41">
        <f>IFERROR(LOOKUP(R822,打分卡!$F$11:$J$11,打分卡!$K$11:$O$11),1)</f>
        <v>4</v>
      </c>
      <c r="AH822" s="41">
        <f>IFERROR(LOOKUP(U822,打分卡!$F$12:$J$12,打分卡!$K$12:$O$12),1)</f>
        <v>4</v>
      </c>
      <c r="AI822" s="41">
        <f>IFERROR(LOOKUP(X822,打分卡!$F$13:$J$13,打分卡!$K$13:$O$13),1)</f>
        <v>1</v>
      </c>
      <c r="AJ822" s="41">
        <f>IFERROR(LOOKUP(Y822,打分卡!$F$14:$J$14,打分卡!$K$14:$O$14),1)</f>
        <v>2</v>
      </c>
      <c r="AK822" s="41">
        <f>IFERROR(LOOKUP(W822,打分卡!$F$15:$J$15,打分卡!$K$15:$O$15),1)</f>
        <v>3</v>
      </c>
      <c r="AL822" s="43">
        <f t="shared" si="97"/>
        <v>5</v>
      </c>
      <c r="AM822" s="41">
        <f>IFERROR(LOOKUP(Z822,打分卡!$F$17:$H$17,打分卡!$K$17:$M$17),1)</f>
        <v>3</v>
      </c>
      <c r="AN822" s="44">
        <f>(打分卡!$D$7*AC822+打分卡!$D$8*AD822+打分卡!$D$9*AE822)/5</f>
        <v>9.4</v>
      </c>
      <c r="AO822" s="44">
        <f>(打分卡!$D$10*AF822+打分卡!$D$11*AG822)/5</f>
        <v>10</v>
      </c>
      <c r="AP822" s="44">
        <f>(打分卡!$D$12*AH822+打分卡!$D$13*AI822+打分卡!$D$14*AJ822+打分卡!$D$15*AK822)/5</f>
        <v>16</v>
      </c>
      <c r="AQ822" s="44">
        <f>(打分卡!$D$16*AL822+打分卡!$D$17*AM822)/5</f>
        <v>8.4</v>
      </c>
      <c r="AR822" s="47">
        <f t="shared" si="98"/>
        <v>43.8</v>
      </c>
      <c r="AS822" s="43" t="str">
        <f t="shared" si="99"/>
        <v>腰部</v>
      </c>
      <c r="AT822" s="43" t="str">
        <f t="shared" si="100"/>
        <v/>
      </c>
      <c r="AU822" s="43" t="str">
        <f t="shared" si="101"/>
        <v>拉·主攻：主推AI外呼+大促作战包</v>
      </c>
    </row>
    <row r="823" ht="15" customHeight="1" spans="1:47">
      <c r="A823" s="20" t="s">
        <v>2348</v>
      </c>
      <c r="B823" s="22" t="s">
        <v>2349</v>
      </c>
      <c r="C823" s="22" t="s">
        <v>234</v>
      </c>
      <c r="D823" s="22" t="s">
        <v>202</v>
      </c>
      <c r="E823" s="22" t="s">
        <v>181</v>
      </c>
      <c r="F823" s="20" t="s">
        <v>2350</v>
      </c>
      <c r="G823" s="22">
        <v>19</v>
      </c>
      <c r="H823" s="22" t="s">
        <v>183</v>
      </c>
      <c r="I823" s="22" t="s">
        <v>302</v>
      </c>
      <c r="J823" s="36">
        <v>7700</v>
      </c>
      <c r="K823" s="36">
        <v>4600</v>
      </c>
      <c r="L823" s="36">
        <v>2200</v>
      </c>
      <c r="M823" s="36">
        <f t="shared" si="96"/>
        <v>14500</v>
      </c>
      <c r="N823" s="34">
        <f t="shared" si="102"/>
        <v>7.60182779396006e-5</v>
      </c>
      <c r="O823" s="35">
        <f>SUM($M$2:M823)</f>
        <v>188184100</v>
      </c>
      <c r="P823" s="34">
        <f t="shared" si="103"/>
        <v>0.986581463283696</v>
      </c>
      <c r="Q823" s="39">
        <v>1.9</v>
      </c>
      <c r="R823" s="22">
        <v>5</v>
      </c>
      <c r="S823" s="22">
        <v>2</v>
      </c>
      <c r="T823" s="22">
        <v>1</v>
      </c>
      <c r="U823" s="39">
        <v>40.1</v>
      </c>
      <c r="V823" s="22">
        <v>18</v>
      </c>
      <c r="W823" s="22">
        <v>3</v>
      </c>
      <c r="X823" s="40">
        <v>33</v>
      </c>
      <c r="Y823" s="22">
        <v>0</v>
      </c>
      <c r="Z823" s="22">
        <v>0</v>
      </c>
      <c r="AA823" s="22" t="s">
        <v>185</v>
      </c>
      <c r="AB823" s="22" t="s">
        <v>220</v>
      </c>
      <c r="AC823" s="42">
        <f>IFERROR(LOOKUP(M823,打分卡!$F$7:$J$7,打分卡!$K$7:$O$7),1)</f>
        <v>1</v>
      </c>
      <c r="AD823" s="42">
        <f>IFERROR(LOOKUP(S823,打分卡!$F$8:$J$8,打分卡!$K$8:$O$8),1)</f>
        <v>2</v>
      </c>
      <c r="AE823" s="42">
        <f>IFERROR(LOOKUP(T823,打分卡!$F$9:$I$9,打分卡!$K$9:$N$9),1)</f>
        <v>2</v>
      </c>
      <c r="AF823" s="42">
        <f>IFERROR(LOOKUP(Q823,打分卡!$F$10:$J$10,打分卡!$K$10:$O$10),1)</f>
        <v>1</v>
      </c>
      <c r="AG823" s="42">
        <f>IFERROR(LOOKUP(R823,打分卡!$F$11:$J$11,打分卡!$K$11:$O$11),1)</f>
        <v>3</v>
      </c>
      <c r="AH823" s="42">
        <f>IFERROR(LOOKUP(U823,打分卡!$F$12:$J$12,打分卡!$K$12:$O$12),1)</f>
        <v>4</v>
      </c>
      <c r="AI823" s="42">
        <f>IFERROR(LOOKUP(X823,打分卡!$F$13:$J$13,打分卡!$K$13:$O$13),1)</f>
        <v>2</v>
      </c>
      <c r="AJ823" s="42">
        <f>IFERROR(LOOKUP(Y823,打分卡!$F$14:$J$14,打分卡!$K$14:$O$14),1)</f>
        <v>1</v>
      </c>
      <c r="AK823" s="42">
        <f>IFERROR(LOOKUP(W823,打分卡!$F$15:$J$15,打分卡!$K$15:$O$15),1)</f>
        <v>3</v>
      </c>
      <c r="AL823" s="45">
        <f t="shared" si="97"/>
        <v>3</v>
      </c>
      <c r="AM823" s="42">
        <f>IFERROR(LOOKUP(Z823,打分卡!$F$17:$H$17,打分卡!$K$17:$M$17),1)</f>
        <v>1</v>
      </c>
      <c r="AN823" s="46">
        <f>(打分卡!$D$7*AC823+打分卡!$D$8*AD823+打分卡!$D$9*AE823)/5</f>
        <v>11</v>
      </c>
      <c r="AO823" s="46">
        <f>(打分卡!$D$10*AF823+打分卡!$D$11*AG823)/5</f>
        <v>8</v>
      </c>
      <c r="AP823" s="46">
        <f>(打分卡!$D$12*AH823+打分卡!$D$13*AI823+打分卡!$D$14*AJ823+打分卡!$D$15*AK823)/5</f>
        <v>16.4</v>
      </c>
      <c r="AQ823" s="46">
        <f>(打分卡!$D$16*AL823+打分卡!$D$17*AM823)/5</f>
        <v>4.4</v>
      </c>
      <c r="AR823" s="48">
        <f t="shared" si="98"/>
        <v>39.8</v>
      </c>
      <c r="AS823" s="45" t="str">
        <f t="shared" si="99"/>
        <v>基础长尾</v>
      </c>
      <c r="AT823" s="45" t="str">
        <f t="shared" si="100"/>
        <v/>
      </c>
      <c r="AU823" s="45" t="str">
        <f t="shared" si="101"/>
        <v>激活：企微+Push低成本先跑</v>
      </c>
    </row>
    <row r="824" ht="15" customHeight="1" spans="1:47">
      <c r="A824" s="30" t="s">
        <v>2351</v>
      </c>
      <c r="B824" s="31" t="s">
        <v>2352</v>
      </c>
      <c r="C824" s="31" t="s">
        <v>189</v>
      </c>
      <c r="D824" s="31" t="s">
        <v>202</v>
      </c>
      <c r="E824" s="31" t="s">
        <v>181</v>
      </c>
      <c r="F824" s="30" t="s">
        <v>923</v>
      </c>
      <c r="G824" s="31">
        <v>23</v>
      </c>
      <c r="H824" s="31" t="s">
        <v>301</v>
      </c>
      <c r="I824" s="31" t="s">
        <v>302</v>
      </c>
      <c r="J824" s="33">
        <v>9300</v>
      </c>
      <c r="K824" s="33">
        <v>4600</v>
      </c>
      <c r="L824" s="33">
        <v>700</v>
      </c>
      <c r="M824" s="33">
        <f t="shared" si="96"/>
        <v>14600</v>
      </c>
      <c r="N824" s="34">
        <f t="shared" si="102"/>
        <v>7.65425419253909e-5</v>
      </c>
      <c r="O824" s="35">
        <f>SUM($M$2:M824)</f>
        <v>188198700</v>
      </c>
      <c r="P824" s="34">
        <f t="shared" si="103"/>
        <v>0.986658005825621</v>
      </c>
      <c r="Q824" s="37">
        <v>1</v>
      </c>
      <c r="R824" s="31">
        <v>8</v>
      </c>
      <c r="S824" s="31">
        <v>2</v>
      </c>
      <c r="T824" s="31">
        <v>1</v>
      </c>
      <c r="U824" s="37">
        <v>3.5</v>
      </c>
      <c r="V824" s="31">
        <v>23</v>
      </c>
      <c r="W824" s="31">
        <v>0</v>
      </c>
      <c r="X824" s="38">
        <v>36</v>
      </c>
      <c r="Y824" s="31">
        <v>0</v>
      </c>
      <c r="Z824" s="31">
        <v>1</v>
      </c>
      <c r="AA824" s="31" t="s">
        <v>315</v>
      </c>
      <c r="AB824" s="31" t="s">
        <v>220</v>
      </c>
      <c r="AC824" s="41">
        <f>IFERROR(LOOKUP(M824,打分卡!$F$7:$J$7,打分卡!$K$7:$O$7),1)</f>
        <v>1</v>
      </c>
      <c r="AD824" s="41">
        <f>IFERROR(LOOKUP(S824,打分卡!$F$8:$J$8,打分卡!$K$8:$O$8),1)</f>
        <v>2</v>
      </c>
      <c r="AE824" s="41">
        <f>IFERROR(LOOKUP(T824,打分卡!$F$9:$I$9,打分卡!$K$9:$N$9),1)</f>
        <v>2</v>
      </c>
      <c r="AF824" s="41">
        <f>IFERROR(LOOKUP(Q824,打分卡!$F$10:$J$10,打分卡!$K$10:$O$10),1)</f>
        <v>1</v>
      </c>
      <c r="AG824" s="41">
        <f>IFERROR(LOOKUP(R824,打分卡!$F$11:$J$11,打分卡!$K$11:$O$11),1)</f>
        <v>3</v>
      </c>
      <c r="AH824" s="41">
        <f>IFERROR(LOOKUP(U824,打分卡!$F$12:$J$12,打分卡!$K$12:$O$12),1)</f>
        <v>2</v>
      </c>
      <c r="AI824" s="41">
        <f>IFERROR(LOOKUP(X824,打分卡!$F$13:$J$13,打分卡!$K$13:$O$13),1)</f>
        <v>2</v>
      </c>
      <c r="AJ824" s="41">
        <f>IFERROR(LOOKUP(Y824,打分卡!$F$14:$J$14,打分卡!$K$14:$O$14),1)</f>
        <v>1</v>
      </c>
      <c r="AK824" s="41">
        <f>IFERROR(LOOKUP(W824,打分卡!$F$15:$J$15,打分卡!$K$15:$O$15),1)</f>
        <v>1</v>
      </c>
      <c r="AL824" s="43">
        <f t="shared" si="97"/>
        <v>2</v>
      </c>
      <c r="AM824" s="41">
        <f>IFERROR(LOOKUP(Z824,打分卡!$F$17:$H$17,打分卡!$K$17:$M$17),1)</f>
        <v>3</v>
      </c>
      <c r="AN824" s="44">
        <f>(打分卡!$D$7*AC824+打分卡!$D$8*AD824+打分卡!$D$9*AE824)/5</f>
        <v>11</v>
      </c>
      <c r="AO824" s="44">
        <f>(打分卡!$D$10*AF824+打分卡!$D$11*AG824)/5</f>
        <v>8</v>
      </c>
      <c r="AP824" s="44">
        <f>(打分卡!$D$12*AH824+打分卡!$D$13*AI824+打分卡!$D$14*AJ824+打分卡!$D$15*AK824)/5</f>
        <v>10</v>
      </c>
      <c r="AQ824" s="44">
        <f>(打分卡!$D$16*AL824+打分卡!$D$17*AM824)/5</f>
        <v>4.8</v>
      </c>
      <c r="AR824" s="47">
        <f t="shared" si="98"/>
        <v>33.8</v>
      </c>
      <c r="AS824" s="43" t="str">
        <f t="shared" si="99"/>
        <v>基础长尾</v>
      </c>
      <c r="AT824" s="43" t="str">
        <f t="shared" si="100"/>
        <v/>
      </c>
      <c r="AU824" s="43" t="str">
        <f t="shared" si="101"/>
        <v>激活：企微+Push低成本先跑</v>
      </c>
    </row>
    <row r="825" ht="15" customHeight="1" spans="1:47">
      <c r="A825" s="20" t="s">
        <v>2353</v>
      </c>
      <c r="B825" s="22" t="s">
        <v>2354</v>
      </c>
      <c r="C825" s="22" t="s">
        <v>189</v>
      </c>
      <c r="D825" s="22" t="s">
        <v>190</v>
      </c>
      <c r="E825" s="22" t="s">
        <v>181</v>
      </c>
      <c r="F825" s="20" t="s">
        <v>2081</v>
      </c>
      <c r="G825" s="22">
        <v>12</v>
      </c>
      <c r="H825" s="22" t="s">
        <v>301</v>
      </c>
      <c r="I825" s="22" t="s">
        <v>302</v>
      </c>
      <c r="J825" s="36">
        <v>6700</v>
      </c>
      <c r="K825" s="36">
        <v>4000</v>
      </c>
      <c r="L825" s="36">
        <v>3800</v>
      </c>
      <c r="M825" s="36">
        <f t="shared" si="96"/>
        <v>14500</v>
      </c>
      <c r="N825" s="34">
        <f t="shared" si="102"/>
        <v>7.60182779396006e-5</v>
      </c>
      <c r="O825" s="35">
        <f>SUM($M$2:M825)</f>
        <v>188213200</v>
      </c>
      <c r="P825" s="34">
        <f t="shared" si="103"/>
        <v>0.986734024103561</v>
      </c>
      <c r="Q825" s="39">
        <v>1.8</v>
      </c>
      <c r="R825" s="22">
        <v>7</v>
      </c>
      <c r="S825" s="22">
        <v>1</v>
      </c>
      <c r="T825" s="22">
        <v>1</v>
      </c>
      <c r="U825" s="39">
        <v>6.1</v>
      </c>
      <c r="V825" s="22">
        <v>22</v>
      </c>
      <c r="W825" s="22">
        <v>1</v>
      </c>
      <c r="X825" s="40">
        <v>14</v>
      </c>
      <c r="Y825" s="22">
        <v>3</v>
      </c>
      <c r="Z825" s="22">
        <v>0</v>
      </c>
      <c r="AA825" s="22" t="s">
        <v>199</v>
      </c>
      <c r="AB825" s="22" t="s">
        <v>220</v>
      </c>
      <c r="AC825" s="42">
        <f>IFERROR(LOOKUP(M825,打分卡!$F$7:$J$7,打分卡!$K$7:$O$7),1)</f>
        <v>1</v>
      </c>
      <c r="AD825" s="42">
        <f>IFERROR(LOOKUP(S825,打分卡!$F$8:$J$8,打分卡!$K$8:$O$8),1)</f>
        <v>1</v>
      </c>
      <c r="AE825" s="42">
        <f>IFERROR(LOOKUP(T825,打分卡!$F$9:$I$9,打分卡!$K$9:$N$9),1)</f>
        <v>2</v>
      </c>
      <c r="AF825" s="42">
        <f>IFERROR(LOOKUP(Q825,打分卡!$F$10:$J$10,打分卡!$K$10:$O$10),1)</f>
        <v>1</v>
      </c>
      <c r="AG825" s="42">
        <f>IFERROR(LOOKUP(R825,打分卡!$F$11:$J$11,打分卡!$K$11:$O$11),1)</f>
        <v>3</v>
      </c>
      <c r="AH825" s="42">
        <f>IFERROR(LOOKUP(U825,打分卡!$F$12:$J$12,打分卡!$K$12:$O$12),1)</f>
        <v>2</v>
      </c>
      <c r="AI825" s="42">
        <f>IFERROR(LOOKUP(X825,打分卡!$F$13:$J$13,打分卡!$K$13:$O$13),1)</f>
        <v>1</v>
      </c>
      <c r="AJ825" s="42">
        <f>IFERROR(LOOKUP(Y825,打分卡!$F$14:$J$14,打分卡!$K$14:$O$14),1)</f>
        <v>4</v>
      </c>
      <c r="AK825" s="42">
        <f>IFERROR(LOOKUP(W825,打分卡!$F$15:$J$15,打分卡!$K$15:$O$15),1)</f>
        <v>2</v>
      </c>
      <c r="AL825" s="45">
        <f t="shared" si="97"/>
        <v>5</v>
      </c>
      <c r="AM825" s="42">
        <f>IFERROR(LOOKUP(Z825,打分卡!$F$17:$H$17,打分卡!$K$17:$M$17),1)</f>
        <v>1</v>
      </c>
      <c r="AN825" s="46">
        <f>(打分卡!$D$7*AC825+打分卡!$D$8*AD825+打分卡!$D$9*AE825)/5</f>
        <v>9.4</v>
      </c>
      <c r="AO825" s="46">
        <f>(打分卡!$D$10*AF825+打分卡!$D$11*AG825)/5</f>
        <v>8</v>
      </c>
      <c r="AP825" s="46">
        <f>(打分卡!$D$12*AH825+打分卡!$D$13*AI825+打分卡!$D$14*AJ825+打分卡!$D$15*AK825)/5</f>
        <v>12.8</v>
      </c>
      <c r="AQ825" s="46">
        <f>(打分卡!$D$16*AL825+打分卡!$D$17*AM825)/5</f>
        <v>6.8</v>
      </c>
      <c r="AR825" s="48">
        <f t="shared" si="98"/>
        <v>37</v>
      </c>
      <c r="AS825" s="45" t="str">
        <f t="shared" si="99"/>
        <v>基础长尾</v>
      </c>
      <c r="AT825" s="45" t="str">
        <f t="shared" si="100"/>
        <v/>
      </c>
      <c r="AU825" s="45" t="str">
        <f t="shared" si="101"/>
        <v>激活：企微+Push低成本先跑</v>
      </c>
    </row>
    <row r="826" ht="15" customHeight="1" spans="1:47">
      <c r="A826" s="30" t="s">
        <v>2355</v>
      </c>
      <c r="B826" s="31" t="s">
        <v>2356</v>
      </c>
      <c r="C826" s="31" t="s">
        <v>223</v>
      </c>
      <c r="D826" s="31" t="s">
        <v>202</v>
      </c>
      <c r="E826" s="31" t="s">
        <v>181</v>
      </c>
      <c r="F826" s="30" t="s">
        <v>641</v>
      </c>
      <c r="G826" s="31">
        <v>3</v>
      </c>
      <c r="H826" s="31" t="s">
        <v>301</v>
      </c>
      <c r="I826" s="31" t="s">
        <v>302</v>
      </c>
      <c r="J826" s="33">
        <v>7300</v>
      </c>
      <c r="K826" s="33">
        <v>3700</v>
      </c>
      <c r="L826" s="33">
        <v>3500</v>
      </c>
      <c r="M826" s="33">
        <f t="shared" si="96"/>
        <v>14500</v>
      </c>
      <c r="N826" s="34">
        <f t="shared" si="102"/>
        <v>7.60182779396006e-5</v>
      </c>
      <c r="O826" s="35">
        <f>SUM($M$2:M826)</f>
        <v>188227700</v>
      </c>
      <c r="P826" s="34">
        <f t="shared" si="103"/>
        <v>0.986810042381501</v>
      </c>
      <c r="Q826" s="37">
        <v>1.8</v>
      </c>
      <c r="R826" s="31">
        <v>5</v>
      </c>
      <c r="S826" s="31">
        <v>3</v>
      </c>
      <c r="T826" s="31">
        <v>0</v>
      </c>
      <c r="U826" s="37">
        <v>3.1</v>
      </c>
      <c r="V826" s="31">
        <v>11</v>
      </c>
      <c r="W826" s="31">
        <v>1</v>
      </c>
      <c r="X826" s="38">
        <v>59</v>
      </c>
      <c r="Y826" s="31">
        <v>2</v>
      </c>
      <c r="Z826" s="31">
        <v>0</v>
      </c>
      <c r="AA826" s="31" t="s">
        <v>185</v>
      </c>
      <c r="AB826" s="31" t="s">
        <v>220</v>
      </c>
      <c r="AC826" s="41">
        <f>IFERROR(LOOKUP(M826,打分卡!$F$7:$J$7,打分卡!$K$7:$O$7),1)</f>
        <v>1</v>
      </c>
      <c r="AD826" s="41">
        <f>IFERROR(LOOKUP(S826,打分卡!$F$8:$J$8,打分卡!$K$8:$O$8),1)</f>
        <v>3</v>
      </c>
      <c r="AE826" s="41">
        <f>IFERROR(LOOKUP(T826,打分卡!$F$9:$I$9,打分卡!$K$9:$N$9),1)</f>
        <v>1</v>
      </c>
      <c r="AF826" s="41">
        <f>IFERROR(LOOKUP(Q826,打分卡!$F$10:$J$10,打分卡!$K$10:$O$10),1)</f>
        <v>1</v>
      </c>
      <c r="AG826" s="41">
        <f>IFERROR(LOOKUP(R826,打分卡!$F$11:$J$11,打分卡!$K$11:$O$11),1)</f>
        <v>3</v>
      </c>
      <c r="AH826" s="41">
        <f>IFERROR(LOOKUP(U826,打分卡!$F$12:$J$12,打分卡!$K$12:$O$12),1)</f>
        <v>2</v>
      </c>
      <c r="AI826" s="41">
        <f>IFERROR(LOOKUP(X826,打分卡!$F$13:$J$13,打分卡!$K$13:$O$13),1)</f>
        <v>3</v>
      </c>
      <c r="AJ826" s="41">
        <f>IFERROR(LOOKUP(Y826,打分卡!$F$14:$J$14,打分卡!$K$14:$O$14),1)</f>
        <v>3</v>
      </c>
      <c r="AK826" s="41">
        <f>IFERROR(LOOKUP(W826,打分卡!$F$15:$J$15,打分卡!$K$15:$O$15),1)</f>
        <v>2</v>
      </c>
      <c r="AL826" s="43">
        <f t="shared" si="97"/>
        <v>3</v>
      </c>
      <c r="AM826" s="41">
        <f>IFERROR(LOOKUP(Z826,打分卡!$F$17:$H$17,打分卡!$K$17:$M$17),1)</f>
        <v>1</v>
      </c>
      <c r="AN826" s="44">
        <f>(打分卡!$D$7*AC826+打分卡!$D$8*AD826+打分卡!$D$9*AE826)/5</f>
        <v>11.2</v>
      </c>
      <c r="AO826" s="44">
        <f>(打分卡!$D$10*AF826+打分卡!$D$11*AG826)/5</f>
        <v>8</v>
      </c>
      <c r="AP826" s="44">
        <f>(打分卡!$D$12*AH826+打分卡!$D$13*AI826+打分卡!$D$14*AJ826+打分卡!$D$15*AK826)/5</f>
        <v>14.8</v>
      </c>
      <c r="AQ826" s="44">
        <f>(打分卡!$D$16*AL826+打分卡!$D$17*AM826)/5</f>
        <v>4.4</v>
      </c>
      <c r="AR826" s="47">
        <f t="shared" si="98"/>
        <v>38.4</v>
      </c>
      <c r="AS826" s="43" t="str">
        <f t="shared" si="99"/>
        <v>基础长尾</v>
      </c>
      <c r="AT826" s="43" t="str">
        <f t="shared" si="100"/>
        <v/>
      </c>
      <c r="AU826" s="43" t="str">
        <f t="shared" si="101"/>
        <v>激活：企微+Push低成本先跑</v>
      </c>
    </row>
    <row r="827" ht="15" customHeight="1" spans="1:47">
      <c r="A827" s="20" t="s">
        <v>2357</v>
      </c>
      <c r="B827" s="22" t="s">
        <v>2358</v>
      </c>
      <c r="C827" s="22" t="s">
        <v>189</v>
      </c>
      <c r="D827" s="22" t="s">
        <v>190</v>
      </c>
      <c r="E827" s="22" t="s">
        <v>197</v>
      </c>
      <c r="F827" s="20" t="s">
        <v>215</v>
      </c>
      <c r="G827" s="22">
        <v>14</v>
      </c>
      <c r="H827" s="22" t="s">
        <v>301</v>
      </c>
      <c r="I827" s="22" t="s">
        <v>184</v>
      </c>
      <c r="J827" s="36">
        <v>7400</v>
      </c>
      <c r="K827" s="36">
        <v>5500</v>
      </c>
      <c r="L827" s="36">
        <v>1600</v>
      </c>
      <c r="M827" s="36">
        <f t="shared" si="96"/>
        <v>14500</v>
      </c>
      <c r="N827" s="34">
        <f t="shared" si="102"/>
        <v>7.60182779396006e-5</v>
      </c>
      <c r="O827" s="35">
        <f>SUM($M$2:M827)</f>
        <v>188242200</v>
      </c>
      <c r="P827" s="34">
        <f t="shared" si="103"/>
        <v>0.98688606065944</v>
      </c>
      <c r="Q827" s="39">
        <v>1.7</v>
      </c>
      <c r="R827" s="22">
        <v>6</v>
      </c>
      <c r="S827" s="22">
        <v>1</v>
      </c>
      <c r="T827" s="22">
        <v>0</v>
      </c>
      <c r="U827" s="39">
        <v>4.1</v>
      </c>
      <c r="V827" s="22">
        <v>9</v>
      </c>
      <c r="W827" s="22">
        <v>2</v>
      </c>
      <c r="X827" s="40">
        <v>54</v>
      </c>
      <c r="Y827" s="22">
        <v>1</v>
      </c>
      <c r="Z827" s="22">
        <v>1</v>
      </c>
      <c r="AA827" s="22" t="s">
        <v>199</v>
      </c>
      <c r="AB827" s="22" t="s">
        <v>220</v>
      </c>
      <c r="AC827" s="42">
        <f>IFERROR(LOOKUP(M827,打分卡!$F$7:$J$7,打分卡!$K$7:$O$7),1)</f>
        <v>1</v>
      </c>
      <c r="AD827" s="42">
        <f>IFERROR(LOOKUP(S827,打分卡!$F$8:$J$8,打分卡!$K$8:$O$8),1)</f>
        <v>1</v>
      </c>
      <c r="AE827" s="42">
        <f>IFERROR(LOOKUP(T827,打分卡!$F$9:$I$9,打分卡!$K$9:$N$9),1)</f>
        <v>1</v>
      </c>
      <c r="AF827" s="42">
        <f>IFERROR(LOOKUP(Q827,打分卡!$F$10:$J$10,打分卡!$K$10:$O$10),1)</f>
        <v>1</v>
      </c>
      <c r="AG827" s="42">
        <f>IFERROR(LOOKUP(R827,打分卡!$F$11:$J$11,打分卡!$K$11:$O$11),1)</f>
        <v>3</v>
      </c>
      <c r="AH827" s="42">
        <f>IFERROR(LOOKUP(U827,打分卡!$F$12:$J$12,打分卡!$K$12:$O$12),1)</f>
        <v>2</v>
      </c>
      <c r="AI827" s="42">
        <f>IFERROR(LOOKUP(X827,打分卡!$F$13:$J$13,打分卡!$K$13:$O$13),1)</f>
        <v>3</v>
      </c>
      <c r="AJ827" s="42">
        <f>IFERROR(LOOKUP(Y827,打分卡!$F$14:$J$14,打分卡!$K$14:$O$14),1)</f>
        <v>2</v>
      </c>
      <c r="AK827" s="42">
        <f>IFERROR(LOOKUP(W827,打分卡!$F$15:$J$15,打分卡!$K$15:$O$15),1)</f>
        <v>2</v>
      </c>
      <c r="AL827" s="45">
        <f t="shared" si="97"/>
        <v>5</v>
      </c>
      <c r="AM827" s="42">
        <f>IFERROR(LOOKUP(Z827,打分卡!$F$17:$H$17,打分卡!$K$17:$M$17),1)</f>
        <v>3</v>
      </c>
      <c r="AN827" s="46">
        <f>(打分卡!$D$7*AC827+打分卡!$D$8*AD827+打分卡!$D$9*AE827)/5</f>
        <v>8</v>
      </c>
      <c r="AO827" s="46">
        <f>(打分卡!$D$10*AF827+打分卡!$D$11*AG827)/5</f>
        <v>8</v>
      </c>
      <c r="AP827" s="46">
        <f>(打分卡!$D$12*AH827+打分卡!$D$13*AI827+打分卡!$D$14*AJ827+打分卡!$D$15*AK827)/5</f>
        <v>13.6</v>
      </c>
      <c r="AQ827" s="46">
        <f>(打分卡!$D$16*AL827+打分卡!$D$17*AM827)/5</f>
        <v>8.4</v>
      </c>
      <c r="AR827" s="48">
        <f t="shared" si="98"/>
        <v>38</v>
      </c>
      <c r="AS827" s="45" t="str">
        <f t="shared" si="99"/>
        <v>基础长尾</v>
      </c>
      <c r="AT827" s="45" t="str">
        <f t="shared" si="100"/>
        <v/>
      </c>
      <c r="AU827" s="45" t="str">
        <f t="shared" si="101"/>
        <v>激活：企微+Push低成本先跑</v>
      </c>
    </row>
    <row r="828" ht="15" customHeight="1" spans="1:47">
      <c r="A828" s="30" t="s">
        <v>2359</v>
      </c>
      <c r="B828" s="31" t="s">
        <v>2360</v>
      </c>
      <c r="C828" s="31" t="s">
        <v>189</v>
      </c>
      <c r="D828" s="31" t="s">
        <v>202</v>
      </c>
      <c r="E828" s="31" t="s">
        <v>197</v>
      </c>
      <c r="F828" s="30" t="s">
        <v>1358</v>
      </c>
      <c r="G828" s="31">
        <v>10</v>
      </c>
      <c r="H828" s="31" t="s">
        <v>301</v>
      </c>
      <c r="I828" s="31" t="s">
        <v>184</v>
      </c>
      <c r="J828" s="33">
        <v>7300</v>
      </c>
      <c r="K828" s="33">
        <v>5200</v>
      </c>
      <c r="L828" s="33">
        <v>2000</v>
      </c>
      <c r="M828" s="33">
        <f t="shared" si="96"/>
        <v>14500</v>
      </c>
      <c r="N828" s="34">
        <f t="shared" si="102"/>
        <v>7.60182779396006e-5</v>
      </c>
      <c r="O828" s="35">
        <f>SUM($M$2:M828)</f>
        <v>188256700</v>
      </c>
      <c r="P828" s="34">
        <f t="shared" si="103"/>
        <v>0.98696207893738</v>
      </c>
      <c r="Q828" s="37">
        <v>1.7</v>
      </c>
      <c r="R828" s="31">
        <v>4</v>
      </c>
      <c r="S828" s="31">
        <v>2</v>
      </c>
      <c r="T828" s="31">
        <v>1</v>
      </c>
      <c r="U828" s="37">
        <v>1.6</v>
      </c>
      <c r="V828" s="31">
        <v>26</v>
      </c>
      <c r="W828" s="31">
        <v>1</v>
      </c>
      <c r="X828" s="38">
        <v>37</v>
      </c>
      <c r="Y828" s="31">
        <v>3</v>
      </c>
      <c r="Z828" s="31">
        <v>0</v>
      </c>
      <c r="AA828" s="31" t="s">
        <v>185</v>
      </c>
      <c r="AB828" s="31" t="s">
        <v>220</v>
      </c>
      <c r="AC828" s="41">
        <f>IFERROR(LOOKUP(M828,打分卡!$F$7:$J$7,打分卡!$K$7:$O$7),1)</f>
        <v>1</v>
      </c>
      <c r="AD828" s="41">
        <f>IFERROR(LOOKUP(S828,打分卡!$F$8:$J$8,打分卡!$K$8:$O$8),1)</f>
        <v>2</v>
      </c>
      <c r="AE828" s="41">
        <f>IFERROR(LOOKUP(T828,打分卡!$F$9:$I$9,打分卡!$K$9:$N$9),1)</f>
        <v>2</v>
      </c>
      <c r="AF828" s="41">
        <f>IFERROR(LOOKUP(Q828,打分卡!$F$10:$J$10,打分卡!$K$10:$O$10),1)</f>
        <v>1</v>
      </c>
      <c r="AG828" s="41">
        <f>IFERROR(LOOKUP(R828,打分卡!$F$11:$J$11,打分卡!$K$11:$O$11),1)</f>
        <v>2</v>
      </c>
      <c r="AH828" s="41">
        <f>IFERROR(LOOKUP(U828,打分卡!$F$12:$J$12,打分卡!$K$12:$O$12),1)</f>
        <v>1</v>
      </c>
      <c r="AI828" s="41">
        <f>IFERROR(LOOKUP(X828,打分卡!$F$13:$J$13,打分卡!$K$13:$O$13),1)</f>
        <v>2</v>
      </c>
      <c r="AJ828" s="41">
        <f>IFERROR(LOOKUP(Y828,打分卡!$F$14:$J$14,打分卡!$K$14:$O$14),1)</f>
        <v>4</v>
      </c>
      <c r="AK828" s="41">
        <f>IFERROR(LOOKUP(W828,打分卡!$F$15:$J$15,打分卡!$K$15:$O$15),1)</f>
        <v>2</v>
      </c>
      <c r="AL828" s="43">
        <f t="shared" si="97"/>
        <v>3</v>
      </c>
      <c r="AM828" s="41">
        <f>IFERROR(LOOKUP(Z828,打分卡!$F$17:$H$17,打分卡!$K$17:$M$17),1)</f>
        <v>1</v>
      </c>
      <c r="AN828" s="44">
        <f>(打分卡!$D$7*AC828+打分卡!$D$8*AD828+打分卡!$D$9*AE828)/5</f>
        <v>11</v>
      </c>
      <c r="AO828" s="44">
        <f>(打分卡!$D$10*AF828+打分卡!$D$11*AG828)/5</f>
        <v>6</v>
      </c>
      <c r="AP828" s="44">
        <f>(打分卡!$D$12*AH828+打分卡!$D$13*AI828+打分卡!$D$14*AJ828+打分卡!$D$15*AK828)/5</f>
        <v>12</v>
      </c>
      <c r="AQ828" s="44">
        <f>(打分卡!$D$16*AL828+打分卡!$D$17*AM828)/5</f>
        <v>4.4</v>
      </c>
      <c r="AR828" s="47">
        <f t="shared" si="98"/>
        <v>33.4</v>
      </c>
      <c r="AS828" s="43" t="str">
        <f t="shared" si="99"/>
        <v>基础长尾</v>
      </c>
      <c r="AT828" s="43" t="str">
        <f t="shared" si="100"/>
        <v/>
      </c>
      <c r="AU828" s="43" t="str">
        <f t="shared" si="101"/>
        <v>激活：企微+Push低成本先跑</v>
      </c>
    </row>
    <row r="829" ht="15" customHeight="1" spans="1:47">
      <c r="A829" s="20" t="s">
        <v>2361</v>
      </c>
      <c r="B829" s="22" t="s">
        <v>2362</v>
      </c>
      <c r="C829" s="22" t="s">
        <v>209</v>
      </c>
      <c r="D829" s="22" t="s">
        <v>202</v>
      </c>
      <c r="E829" s="22" t="s">
        <v>197</v>
      </c>
      <c r="F829" s="20" t="s">
        <v>2363</v>
      </c>
      <c r="G829" s="22">
        <v>24</v>
      </c>
      <c r="H829" s="22" t="s">
        <v>301</v>
      </c>
      <c r="I829" s="22" t="s">
        <v>302</v>
      </c>
      <c r="J829" s="36">
        <v>9000</v>
      </c>
      <c r="K829" s="36">
        <v>2900</v>
      </c>
      <c r="L829" s="36">
        <v>2500</v>
      </c>
      <c r="M829" s="36">
        <f t="shared" si="96"/>
        <v>14400</v>
      </c>
      <c r="N829" s="34">
        <f t="shared" si="102"/>
        <v>7.54940139538102e-5</v>
      </c>
      <c r="O829" s="35">
        <f>SUM($M$2:M829)</f>
        <v>188271100</v>
      </c>
      <c r="P829" s="34">
        <f t="shared" si="103"/>
        <v>0.987037572951334</v>
      </c>
      <c r="Q829" s="39">
        <v>2.1</v>
      </c>
      <c r="R829" s="22">
        <v>2</v>
      </c>
      <c r="S829" s="22">
        <v>2</v>
      </c>
      <c r="T829" s="22">
        <v>1</v>
      </c>
      <c r="U829" s="39">
        <v>74.6</v>
      </c>
      <c r="V829" s="22">
        <v>19</v>
      </c>
      <c r="W829" s="22">
        <v>0</v>
      </c>
      <c r="X829" s="40">
        <v>97</v>
      </c>
      <c r="Y829" s="22">
        <v>1</v>
      </c>
      <c r="Z829" s="22">
        <v>0</v>
      </c>
      <c r="AA829" s="22" t="s">
        <v>315</v>
      </c>
      <c r="AB829" s="22" t="s">
        <v>220</v>
      </c>
      <c r="AC829" s="42">
        <f>IFERROR(LOOKUP(M829,打分卡!$F$7:$J$7,打分卡!$K$7:$O$7),1)</f>
        <v>1</v>
      </c>
      <c r="AD829" s="42">
        <f>IFERROR(LOOKUP(S829,打分卡!$F$8:$J$8,打分卡!$K$8:$O$8),1)</f>
        <v>2</v>
      </c>
      <c r="AE829" s="42">
        <f>IFERROR(LOOKUP(T829,打分卡!$F$9:$I$9,打分卡!$K$9:$N$9),1)</f>
        <v>2</v>
      </c>
      <c r="AF829" s="42">
        <f>IFERROR(LOOKUP(Q829,打分卡!$F$10:$J$10,打分卡!$K$10:$O$10),1)</f>
        <v>1</v>
      </c>
      <c r="AG829" s="42">
        <f>IFERROR(LOOKUP(R829,打分卡!$F$11:$J$11,打分卡!$K$11:$O$11),1)</f>
        <v>1</v>
      </c>
      <c r="AH829" s="42">
        <f>IFERROR(LOOKUP(U829,打分卡!$F$12:$J$12,打分卡!$K$12:$O$12),1)</f>
        <v>5</v>
      </c>
      <c r="AI829" s="42">
        <f>IFERROR(LOOKUP(X829,打分卡!$F$13:$J$13,打分卡!$K$13:$O$13),1)</f>
        <v>4</v>
      </c>
      <c r="AJ829" s="42">
        <f>IFERROR(LOOKUP(Y829,打分卡!$F$14:$J$14,打分卡!$K$14:$O$14),1)</f>
        <v>2</v>
      </c>
      <c r="AK829" s="42">
        <f>IFERROR(LOOKUP(W829,打分卡!$F$15:$J$15,打分卡!$K$15:$O$15),1)</f>
        <v>1</v>
      </c>
      <c r="AL829" s="45">
        <f t="shared" si="97"/>
        <v>2</v>
      </c>
      <c r="AM829" s="42">
        <f>IFERROR(LOOKUP(Z829,打分卡!$F$17:$H$17,打分卡!$K$17:$M$17),1)</f>
        <v>1</v>
      </c>
      <c r="AN829" s="46">
        <f>(打分卡!$D$7*AC829+打分卡!$D$8*AD829+打分卡!$D$9*AE829)/5</f>
        <v>11</v>
      </c>
      <c r="AO829" s="46">
        <f>(打分卡!$D$10*AF829+打分卡!$D$11*AG829)/5</f>
        <v>4</v>
      </c>
      <c r="AP829" s="46">
        <f>(打分卡!$D$12*AH829+打分卡!$D$13*AI829+打分卡!$D$14*AJ829+打分卡!$D$15*AK829)/5</f>
        <v>21.6</v>
      </c>
      <c r="AQ829" s="46">
        <f>(打分卡!$D$16*AL829+打分卡!$D$17*AM829)/5</f>
        <v>3.2</v>
      </c>
      <c r="AR829" s="48">
        <f t="shared" si="98"/>
        <v>39.8</v>
      </c>
      <c r="AS829" s="45" t="str">
        <f t="shared" si="99"/>
        <v>基础长尾</v>
      </c>
      <c r="AT829" s="45" t="str">
        <f t="shared" si="100"/>
        <v/>
      </c>
      <c r="AU829" s="45" t="str">
        <f t="shared" si="101"/>
        <v>激活：企微+Push低成本先跑</v>
      </c>
    </row>
    <row r="830" ht="15" customHeight="1" spans="1:47">
      <c r="A830" s="30" t="s">
        <v>2364</v>
      </c>
      <c r="B830" s="31" t="s">
        <v>2365</v>
      </c>
      <c r="C830" s="31" t="s">
        <v>223</v>
      </c>
      <c r="D830" s="31" t="s">
        <v>196</v>
      </c>
      <c r="E830" s="31" t="s">
        <v>181</v>
      </c>
      <c r="F830" s="30" t="s">
        <v>215</v>
      </c>
      <c r="G830" s="31">
        <v>14</v>
      </c>
      <c r="H830" s="31" t="s">
        <v>301</v>
      </c>
      <c r="I830" s="31" t="s">
        <v>302</v>
      </c>
      <c r="J830" s="33">
        <v>6600</v>
      </c>
      <c r="K830" s="33">
        <v>2900</v>
      </c>
      <c r="L830" s="33">
        <v>4700</v>
      </c>
      <c r="M830" s="33">
        <f t="shared" si="96"/>
        <v>14200</v>
      </c>
      <c r="N830" s="34">
        <f t="shared" si="102"/>
        <v>7.44454859822296e-5</v>
      </c>
      <c r="O830" s="35">
        <f>SUM($M$2:M830)</f>
        <v>188285300</v>
      </c>
      <c r="P830" s="34">
        <f t="shared" si="103"/>
        <v>0.987112018437316</v>
      </c>
      <c r="Q830" s="37">
        <v>2</v>
      </c>
      <c r="R830" s="31">
        <v>1</v>
      </c>
      <c r="S830" s="31">
        <v>3</v>
      </c>
      <c r="T830" s="31">
        <v>1</v>
      </c>
      <c r="U830" s="37">
        <v>31.4</v>
      </c>
      <c r="V830" s="31">
        <v>24</v>
      </c>
      <c r="W830" s="31">
        <v>4</v>
      </c>
      <c r="X830" s="38">
        <v>50</v>
      </c>
      <c r="Y830" s="31">
        <v>0</v>
      </c>
      <c r="Z830" s="31">
        <v>0</v>
      </c>
      <c r="AA830" s="31" t="s">
        <v>185</v>
      </c>
      <c r="AB830" s="31" t="s">
        <v>220</v>
      </c>
      <c r="AC830" s="41">
        <f>IFERROR(LOOKUP(M830,打分卡!$F$7:$J$7,打分卡!$K$7:$O$7),1)</f>
        <v>1</v>
      </c>
      <c r="AD830" s="41">
        <f>IFERROR(LOOKUP(S830,打分卡!$F$8:$J$8,打分卡!$K$8:$O$8),1)</f>
        <v>3</v>
      </c>
      <c r="AE830" s="41">
        <f>IFERROR(LOOKUP(T830,打分卡!$F$9:$I$9,打分卡!$K$9:$N$9),1)</f>
        <v>2</v>
      </c>
      <c r="AF830" s="41">
        <f>IFERROR(LOOKUP(Q830,打分卡!$F$10:$J$10,打分卡!$K$10:$O$10),1)</f>
        <v>1</v>
      </c>
      <c r="AG830" s="41">
        <f>IFERROR(LOOKUP(R830,打分卡!$F$11:$J$11,打分卡!$K$11:$O$11),1)</f>
        <v>1</v>
      </c>
      <c r="AH830" s="41">
        <f>IFERROR(LOOKUP(U830,打分卡!$F$12:$J$12,打分卡!$K$12:$O$12),1)</f>
        <v>3</v>
      </c>
      <c r="AI830" s="41">
        <f>IFERROR(LOOKUP(X830,打分卡!$F$13:$J$13,打分卡!$K$13:$O$13),1)</f>
        <v>3</v>
      </c>
      <c r="AJ830" s="41">
        <f>IFERROR(LOOKUP(Y830,打分卡!$F$14:$J$14,打分卡!$K$14:$O$14),1)</f>
        <v>1</v>
      </c>
      <c r="AK830" s="41">
        <f>IFERROR(LOOKUP(W830,打分卡!$F$15:$J$15,打分卡!$K$15:$O$15),1)</f>
        <v>3</v>
      </c>
      <c r="AL830" s="43">
        <f t="shared" si="97"/>
        <v>3</v>
      </c>
      <c r="AM830" s="41">
        <f>IFERROR(LOOKUP(Z830,打分卡!$F$17:$H$17,打分卡!$K$17:$M$17),1)</f>
        <v>1</v>
      </c>
      <c r="AN830" s="44">
        <f>(打分卡!$D$7*AC830+打分卡!$D$8*AD830+打分卡!$D$9*AE830)/5</f>
        <v>12.6</v>
      </c>
      <c r="AO830" s="44">
        <f>(打分卡!$D$10*AF830+打分卡!$D$11*AG830)/5</f>
        <v>4</v>
      </c>
      <c r="AP830" s="44">
        <f>(打分卡!$D$12*AH830+打分卡!$D$13*AI830+打分卡!$D$14*AJ830+打分卡!$D$15*AK830)/5</f>
        <v>15.6</v>
      </c>
      <c r="AQ830" s="44">
        <f>(打分卡!$D$16*AL830+打分卡!$D$17*AM830)/5</f>
        <v>4.4</v>
      </c>
      <c r="AR830" s="47">
        <f t="shared" si="98"/>
        <v>36.6</v>
      </c>
      <c r="AS830" s="43" t="str">
        <f t="shared" si="99"/>
        <v>基础长尾</v>
      </c>
      <c r="AT830" s="43" t="str">
        <f t="shared" si="100"/>
        <v/>
      </c>
      <c r="AU830" s="43" t="str">
        <f t="shared" si="101"/>
        <v>激活：企微+Push低成本先跑</v>
      </c>
    </row>
    <row r="831" ht="15" customHeight="1" spans="1:47">
      <c r="A831" s="20" t="s">
        <v>2366</v>
      </c>
      <c r="B831" s="22" t="s">
        <v>2367</v>
      </c>
      <c r="C831" s="22" t="s">
        <v>189</v>
      </c>
      <c r="D831" s="22" t="s">
        <v>235</v>
      </c>
      <c r="E831" s="22" t="s">
        <v>181</v>
      </c>
      <c r="F831" s="20" t="s">
        <v>1915</v>
      </c>
      <c r="G831" s="22">
        <v>13</v>
      </c>
      <c r="H831" s="22" t="s">
        <v>301</v>
      </c>
      <c r="I831" s="22" t="s">
        <v>302</v>
      </c>
      <c r="J831" s="36">
        <v>8700</v>
      </c>
      <c r="K831" s="36">
        <v>4700</v>
      </c>
      <c r="L831" s="36">
        <v>700</v>
      </c>
      <c r="M831" s="36">
        <f t="shared" si="96"/>
        <v>14100</v>
      </c>
      <c r="N831" s="34">
        <f t="shared" si="102"/>
        <v>7.39212219964392e-5</v>
      </c>
      <c r="O831" s="35">
        <f>SUM($M$2:M831)</f>
        <v>188299400</v>
      </c>
      <c r="P831" s="34">
        <f t="shared" si="103"/>
        <v>0.987185939659312</v>
      </c>
      <c r="Q831" s="39">
        <v>2.1</v>
      </c>
      <c r="R831" s="22">
        <v>5</v>
      </c>
      <c r="S831" s="22">
        <v>1</v>
      </c>
      <c r="T831" s="22">
        <v>2</v>
      </c>
      <c r="U831" s="39">
        <v>65.9</v>
      </c>
      <c r="V831" s="22">
        <v>28</v>
      </c>
      <c r="W831" s="22">
        <v>1</v>
      </c>
      <c r="X831" s="40">
        <v>58</v>
      </c>
      <c r="Y831" s="22">
        <v>2</v>
      </c>
      <c r="Z831" s="22">
        <v>1</v>
      </c>
      <c r="AA831" s="22" t="s">
        <v>185</v>
      </c>
      <c r="AB831" s="22" t="s">
        <v>220</v>
      </c>
      <c r="AC831" s="42">
        <f>IFERROR(LOOKUP(M831,打分卡!$F$7:$J$7,打分卡!$K$7:$O$7),1)</f>
        <v>1</v>
      </c>
      <c r="AD831" s="42">
        <f>IFERROR(LOOKUP(S831,打分卡!$F$8:$J$8,打分卡!$K$8:$O$8),1)</f>
        <v>1</v>
      </c>
      <c r="AE831" s="42">
        <f>IFERROR(LOOKUP(T831,打分卡!$F$9:$I$9,打分卡!$K$9:$N$9),1)</f>
        <v>3</v>
      </c>
      <c r="AF831" s="42">
        <f>IFERROR(LOOKUP(Q831,打分卡!$F$10:$J$10,打分卡!$K$10:$O$10),1)</f>
        <v>1</v>
      </c>
      <c r="AG831" s="42">
        <f>IFERROR(LOOKUP(R831,打分卡!$F$11:$J$11,打分卡!$K$11:$O$11),1)</f>
        <v>3</v>
      </c>
      <c r="AH831" s="42">
        <f>IFERROR(LOOKUP(U831,打分卡!$F$12:$J$12,打分卡!$K$12:$O$12),1)</f>
        <v>4</v>
      </c>
      <c r="AI831" s="42">
        <f>IFERROR(LOOKUP(X831,打分卡!$F$13:$J$13,打分卡!$K$13:$O$13),1)</f>
        <v>3</v>
      </c>
      <c r="AJ831" s="42">
        <f>IFERROR(LOOKUP(Y831,打分卡!$F$14:$J$14,打分卡!$K$14:$O$14),1)</f>
        <v>3</v>
      </c>
      <c r="AK831" s="42">
        <f>IFERROR(LOOKUP(W831,打分卡!$F$15:$J$15,打分卡!$K$15:$O$15),1)</f>
        <v>2</v>
      </c>
      <c r="AL831" s="45">
        <f t="shared" si="97"/>
        <v>3</v>
      </c>
      <c r="AM831" s="42">
        <f>IFERROR(LOOKUP(Z831,打分卡!$F$17:$H$17,打分卡!$K$17:$M$17),1)</f>
        <v>3</v>
      </c>
      <c r="AN831" s="46">
        <f>(打分卡!$D$7*AC831+打分卡!$D$8*AD831+打分卡!$D$9*AE831)/5</f>
        <v>10.8</v>
      </c>
      <c r="AO831" s="46">
        <f>(打分卡!$D$10*AF831+打分卡!$D$11*AG831)/5</f>
        <v>8</v>
      </c>
      <c r="AP831" s="46">
        <f>(打分卡!$D$12*AH831+打分卡!$D$13*AI831+打分卡!$D$14*AJ831+打分卡!$D$15*AK831)/5</f>
        <v>19.6</v>
      </c>
      <c r="AQ831" s="46">
        <f>(打分卡!$D$16*AL831+打分卡!$D$17*AM831)/5</f>
        <v>6</v>
      </c>
      <c r="AR831" s="48">
        <f t="shared" si="98"/>
        <v>44.4</v>
      </c>
      <c r="AS831" s="45" t="str">
        <f t="shared" si="99"/>
        <v>腰部</v>
      </c>
      <c r="AT831" s="45" t="str">
        <f t="shared" si="100"/>
        <v/>
      </c>
      <c r="AU831" s="45" t="str">
        <f t="shared" si="101"/>
        <v>拉·主攻：主推AI外呼+大促作战包</v>
      </c>
    </row>
    <row r="832" ht="15" customHeight="1" spans="1:47">
      <c r="A832" s="30" t="s">
        <v>2368</v>
      </c>
      <c r="B832" s="31" t="s">
        <v>2369</v>
      </c>
      <c r="C832" s="31" t="s">
        <v>223</v>
      </c>
      <c r="D832" s="31" t="s">
        <v>190</v>
      </c>
      <c r="E832" s="31" t="s">
        <v>181</v>
      </c>
      <c r="F832" s="30" t="s">
        <v>2370</v>
      </c>
      <c r="G832" s="31">
        <v>8</v>
      </c>
      <c r="H832" s="31" t="s">
        <v>301</v>
      </c>
      <c r="I832" s="31" t="s">
        <v>184</v>
      </c>
      <c r="J832" s="33">
        <v>8300</v>
      </c>
      <c r="K832" s="33">
        <v>4300</v>
      </c>
      <c r="L832" s="33">
        <v>1400</v>
      </c>
      <c r="M832" s="33">
        <f t="shared" si="96"/>
        <v>14000</v>
      </c>
      <c r="N832" s="34">
        <f t="shared" si="102"/>
        <v>7.33969580106489e-5</v>
      </c>
      <c r="O832" s="35">
        <f>SUM($M$2:M832)</f>
        <v>188313400</v>
      </c>
      <c r="P832" s="34">
        <f t="shared" si="103"/>
        <v>0.987259336617323</v>
      </c>
      <c r="Q832" s="37">
        <v>1.3</v>
      </c>
      <c r="R832" s="31">
        <v>1</v>
      </c>
      <c r="S832" s="31">
        <v>2</v>
      </c>
      <c r="T832" s="31">
        <v>2</v>
      </c>
      <c r="U832" s="37">
        <v>2.1</v>
      </c>
      <c r="V832" s="31">
        <v>26</v>
      </c>
      <c r="W832" s="31">
        <v>2</v>
      </c>
      <c r="X832" s="38">
        <v>121</v>
      </c>
      <c r="Y832" s="31">
        <v>2</v>
      </c>
      <c r="Z832" s="31">
        <v>1</v>
      </c>
      <c r="AA832" s="31" t="s">
        <v>199</v>
      </c>
      <c r="AB832" s="31" t="s">
        <v>220</v>
      </c>
      <c r="AC832" s="41">
        <f>IFERROR(LOOKUP(M832,打分卡!$F$7:$J$7,打分卡!$K$7:$O$7),1)</f>
        <v>1</v>
      </c>
      <c r="AD832" s="41">
        <f>IFERROR(LOOKUP(S832,打分卡!$F$8:$J$8,打分卡!$K$8:$O$8),1)</f>
        <v>2</v>
      </c>
      <c r="AE832" s="41">
        <f>IFERROR(LOOKUP(T832,打分卡!$F$9:$I$9,打分卡!$K$9:$N$9),1)</f>
        <v>3</v>
      </c>
      <c r="AF832" s="41">
        <f>IFERROR(LOOKUP(Q832,打分卡!$F$10:$J$10,打分卡!$K$10:$O$10),1)</f>
        <v>1</v>
      </c>
      <c r="AG832" s="41">
        <f>IFERROR(LOOKUP(R832,打分卡!$F$11:$J$11,打分卡!$K$11:$O$11),1)</f>
        <v>1</v>
      </c>
      <c r="AH832" s="41">
        <f>IFERROR(LOOKUP(U832,打分卡!$F$12:$J$12,打分卡!$K$12:$O$12),1)</f>
        <v>1</v>
      </c>
      <c r="AI832" s="41">
        <f>IFERROR(LOOKUP(X832,打分卡!$F$13:$J$13,打分卡!$K$13:$O$13),1)</f>
        <v>4</v>
      </c>
      <c r="AJ832" s="41">
        <f>IFERROR(LOOKUP(Y832,打分卡!$F$14:$J$14,打分卡!$K$14:$O$14),1)</f>
        <v>3</v>
      </c>
      <c r="AK832" s="41">
        <f>IFERROR(LOOKUP(W832,打分卡!$F$15:$J$15,打分卡!$K$15:$O$15),1)</f>
        <v>2</v>
      </c>
      <c r="AL832" s="43">
        <f t="shared" si="97"/>
        <v>5</v>
      </c>
      <c r="AM832" s="41">
        <f>IFERROR(LOOKUP(Z832,打分卡!$F$17:$H$17,打分卡!$K$17:$M$17),1)</f>
        <v>3</v>
      </c>
      <c r="AN832" s="44">
        <f>(打分卡!$D$7*AC832+打分卡!$D$8*AD832+打分卡!$D$9*AE832)/5</f>
        <v>12.4</v>
      </c>
      <c r="AO832" s="44">
        <f>(打分卡!$D$10*AF832+打分卡!$D$11*AG832)/5</f>
        <v>4</v>
      </c>
      <c r="AP832" s="44">
        <f>(打分卡!$D$12*AH832+打分卡!$D$13*AI832+打分卡!$D$14*AJ832+打分卡!$D$15*AK832)/5</f>
        <v>14</v>
      </c>
      <c r="AQ832" s="44">
        <f>(打分卡!$D$16*AL832+打分卡!$D$17*AM832)/5</f>
        <v>8.4</v>
      </c>
      <c r="AR832" s="47">
        <f t="shared" si="98"/>
        <v>38.8</v>
      </c>
      <c r="AS832" s="43" t="str">
        <f t="shared" si="99"/>
        <v>基础长尾</v>
      </c>
      <c r="AT832" s="43" t="str">
        <f t="shared" si="100"/>
        <v/>
      </c>
      <c r="AU832" s="43" t="str">
        <f t="shared" si="101"/>
        <v>激活：企微+Push低成本先跑</v>
      </c>
    </row>
    <row r="833" ht="15" customHeight="1" spans="1:47">
      <c r="A833" s="20" t="s">
        <v>2371</v>
      </c>
      <c r="B833" s="22" t="s">
        <v>2372</v>
      </c>
      <c r="C833" s="22" t="s">
        <v>209</v>
      </c>
      <c r="D833" s="22" t="s">
        <v>202</v>
      </c>
      <c r="E833" s="22" t="s">
        <v>181</v>
      </c>
      <c r="F833" s="20" t="s">
        <v>1647</v>
      </c>
      <c r="G833" s="22">
        <v>3</v>
      </c>
      <c r="H833" s="22" t="s">
        <v>301</v>
      </c>
      <c r="I833" s="22" t="s">
        <v>184</v>
      </c>
      <c r="J833" s="36">
        <v>8200</v>
      </c>
      <c r="K833" s="36">
        <v>4600</v>
      </c>
      <c r="L833" s="36">
        <v>1100</v>
      </c>
      <c r="M833" s="36">
        <f t="shared" si="96"/>
        <v>13900</v>
      </c>
      <c r="N833" s="34">
        <f t="shared" si="102"/>
        <v>7.28726940248585e-5</v>
      </c>
      <c r="O833" s="35">
        <f>SUM($M$2:M833)</f>
        <v>188327300</v>
      </c>
      <c r="P833" s="34">
        <f t="shared" si="103"/>
        <v>0.987332209311348</v>
      </c>
      <c r="Q833" s="39">
        <v>1.6</v>
      </c>
      <c r="R833" s="22">
        <v>3</v>
      </c>
      <c r="S833" s="22">
        <v>1</v>
      </c>
      <c r="T833" s="22">
        <v>2</v>
      </c>
      <c r="U833" s="39">
        <v>24.2</v>
      </c>
      <c r="V833" s="22">
        <v>5</v>
      </c>
      <c r="W833" s="22">
        <v>0</v>
      </c>
      <c r="X833" s="40">
        <v>15</v>
      </c>
      <c r="Y833" s="22">
        <v>3</v>
      </c>
      <c r="Z833" s="22">
        <v>1</v>
      </c>
      <c r="AA833" s="22" t="s">
        <v>199</v>
      </c>
      <c r="AB833" s="22" t="s">
        <v>220</v>
      </c>
      <c r="AC833" s="42">
        <f>IFERROR(LOOKUP(M833,打分卡!$F$7:$J$7,打分卡!$K$7:$O$7),1)</f>
        <v>1</v>
      </c>
      <c r="AD833" s="42">
        <f>IFERROR(LOOKUP(S833,打分卡!$F$8:$J$8,打分卡!$K$8:$O$8),1)</f>
        <v>1</v>
      </c>
      <c r="AE833" s="42">
        <f>IFERROR(LOOKUP(T833,打分卡!$F$9:$I$9,打分卡!$K$9:$N$9),1)</f>
        <v>3</v>
      </c>
      <c r="AF833" s="42">
        <f>IFERROR(LOOKUP(Q833,打分卡!$F$10:$J$10,打分卡!$K$10:$O$10),1)</f>
        <v>1</v>
      </c>
      <c r="AG833" s="42">
        <f>IFERROR(LOOKUP(R833,打分卡!$F$11:$J$11,打分卡!$K$11:$O$11),1)</f>
        <v>2</v>
      </c>
      <c r="AH833" s="42">
        <f>IFERROR(LOOKUP(U833,打分卡!$F$12:$J$12,打分卡!$K$12:$O$12),1)</f>
        <v>3</v>
      </c>
      <c r="AI833" s="42">
        <f>IFERROR(LOOKUP(X833,打分卡!$F$13:$J$13,打分卡!$K$13:$O$13),1)</f>
        <v>1</v>
      </c>
      <c r="AJ833" s="42">
        <f>IFERROR(LOOKUP(Y833,打分卡!$F$14:$J$14,打分卡!$K$14:$O$14),1)</f>
        <v>4</v>
      </c>
      <c r="AK833" s="42">
        <f>IFERROR(LOOKUP(W833,打分卡!$F$15:$J$15,打分卡!$K$15:$O$15),1)</f>
        <v>1</v>
      </c>
      <c r="AL833" s="45">
        <f t="shared" si="97"/>
        <v>5</v>
      </c>
      <c r="AM833" s="42">
        <f>IFERROR(LOOKUP(Z833,打分卡!$F$17:$H$17,打分卡!$K$17:$M$17),1)</f>
        <v>3</v>
      </c>
      <c r="AN833" s="46">
        <f>(打分卡!$D$7*AC833+打分卡!$D$8*AD833+打分卡!$D$9*AE833)/5</f>
        <v>10.8</v>
      </c>
      <c r="AO833" s="46">
        <f>(打分卡!$D$10*AF833+打分卡!$D$11*AG833)/5</f>
        <v>6</v>
      </c>
      <c r="AP833" s="46">
        <f>(打分卡!$D$12*AH833+打分卡!$D$13*AI833+打分卡!$D$14*AJ833+打分卡!$D$15*AK833)/5</f>
        <v>14.4</v>
      </c>
      <c r="AQ833" s="46">
        <f>(打分卡!$D$16*AL833+打分卡!$D$17*AM833)/5</f>
        <v>8.4</v>
      </c>
      <c r="AR833" s="48">
        <f t="shared" si="98"/>
        <v>39.6</v>
      </c>
      <c r="AS833" s="45" t="str">
        <f t="shared" si="99"/>
        <v>基础长尾</v>
      </c>
      <c r="AT833" s="45" t="str">
        <f t="shared" si="100"/>
        <v/>
      </c>
      <c r="AU833" s="45" t="str">
        <f t="shared" si="101"/>
        <v>激活：企微+Push低成本先跑</v>
      </c>
    </row>
    <row r="834" ht="15" customHeight="1" spans="1:47">
      <c r="A834" s="30" t="s">
        <v>2373</v>
      </c>
      <c r="B834" s="31" t="s">
        <v>2374</v>
      </c>
      <c r="C834" s="31" t="s">
        <v>223</v>
      </c>
      <c r="D834" s="31" t="s">
        <v>227</v>
      </c>
      <c r="E834" s="31" t="s">
        <v>197</v>
      </c>
      <c r="F834" s="30" t="s">
        <v>717</v>
      </c>
      <c r="G834" s="31">
        <v>12</v>
      </c>
      <c r="H834" s="31" t="s">
        <v>301</v>
      </c>
      <c r="I834" s="31" t="s">
        <v>302</v>
      </c>
      <c r="J834" s="33">
        <v>7600</v>
      </c>
      <c r="K834" s="33">
        <v>3200</v>
      </c>
      <c r="L834" s="33">
        <v>3000</v>
      </c>
      <c r="M834" s="33">
        <f t="shared" ref="M834:M897" si="104">SUM(J834:L834)</f>
        <v>13800</v>
      </c>
      <c r="N834" s="34">
        <f t="shared" si="102"/>
        <v>7.23484300390681e-5</v>
      </c>
      <c r="O834" s="35">
        <f>SUM($M$2:M834)</f>
        <v>188341100</v>
      </c>
      <c r="P834" s="34">
        <f t="shared" si="103"/>
        <v>0.987404557741387</v>
      </c>
      <c r="Q834" s="37">
        <v>1.7</v>
      </c>
      <c r="R834" s="31">
        <v>8</v>
      </c>
      <c r="S834" s="31">
        <v>1</v>
      </c>
      <c r="T834" s="31">
        <v>2</v>
      </c>
      <c r="U834" s="37">
        <v>7.2</v>
      </c>
      <c r="V834" s="31">
        <v>25</v>
      </c>
      <c r="W834" s="31">
        <v>2</v>
      </c>
      <c r="X834" s="38">
        <v>27</v>
      </c>
      <c r="Y834" s="31">
        <v>0</v>
      </c>
      <c r="Z834" s="31">
        <v>0</v>
      </c>
      <c r="AA834" s="31" t="s">
        <v>199</v>
      </c>
      <c r="AB834" s="31" t="s">
        <v>220</v>
      </c>
      <c r="AC834" s="41">
        <f>IFERROR(LOOKUP(M834,打分卡!$F$7:$J$7,打分卡!$K$7:$O$7),1)</f>
        <v>1</v>
      </c>
      <c r="AD834" s="41">
        <f>IFERROR(LOOKUP(S834,打分卡!$F$8:$J$8,打分卡!$K$8:$O$8),1)</f>
        <v>1</v>
      </c>
      <c r="AE834" s="41">
        <f>IFERROR(LOOKUP(T834,打分卡!$F$9:$I$9,打分卡!$K$9:$N$9),1)</f>
        <v>3</v>
      </c>
      <c r="AF834" s="41">
        <f>IFERROR(LOOKUP(Q834,打分卡!$F$10:$J$10,打分卡!$K$10:$O$10),1)</f>
        <v>1</v>
      </c>
      <c r="AG834" s="41">
        <f>IFERROR(LOOKUP(R834,打分卡!$F$11:$J$11,打分卡!$K$11:$O$11),1)</f>
        <v>3</v>
      </c>
      <c r="AH834" s="41">
        <f>IFERROR(LOOKUP(U834,打分卡!$F$12:$J$12,打分卡!$K$12:$O$12),1)</f>
        <v>2</v>
      </c>
      <c r="AI834" s="41">
        <f>IFERROR(LOOKUP(X834,打分卡!$F$13:$J$13,打分卡!$K$13:$O$13),1)</f>
        <v>2</v>
      </c>
      <c r="AJ834" s="41">
        <f>IFERROR(LOOKUP(Y834,打分卡!$F$14:$J$14,打分卡!$K$14:$O$14),1)</f>
        <v>1</v>
      </c>
      <c r="AK834" s="41">
        <f>IFERROR(LOOKUP(W834,打分卡!$F$15:$J$15,打分卡!$K$15:$O$15),1)</f>
        <v>2</v>
      </c>
      <c r="AL834" s="43">
        <f t="shared" ref="AL834:AL897" si="105">IF(AA834="连续下降",1,IF(AA834="下降",2,IF(AA834="上升",5,3)))</f>
        <v>5</v>
      </c>
      <c r="AM834" s="41">
        <f>IFERROR(LOOKUP(Z834,打分卡!$F$17:$H$17,打分卡!$K$17:$M$17),1)</f>
        <v>1</v>
      </c>
      <c r="AN834" s="44">
        <f>(打分卡!$D$7*AC834+打分卡!$D$8*AD834+打分卡!$D$9*AE834)/5</f>
        <v>10.8</v>
      </c>
      <c r="AO834" s="44">
        <f>(打分卡!$D$10*AF834+打分卡!$D$11*AG834)/5</f>
        <v>8</v>
      </c>
      <c r="AP834" s="44">
        <f>(打分卡!$D$12*AH834+打分卡!$D$13*AI834+打分卡!$D$14*AJ834+打分卡!$D$15*AK834)/5</f>
        <v>10.8</v>
      </c>
      <c r="AQ834" s="44">
        <f>(打分卡!$D$16*AL834+打分卡!$D$17*AM834)/5</f>
        <v>6.8</v>
      </c>
      <c r="AR834" s="47">
        <f t="shared" ref="AR834:AR897" si="106">IF(G834&lt;3,AP834/30*40+AO834+AP834+AQ834,AN834+AO834+AP834+AQ834)</f>
        <v>36.4</v>
      </c>
      <c r="AS834" s="43" t="str">
        <f t="shared" ref="AS834:AS897" si="107">IF(M834=0,IF(G834&lt;3,"新客观察期","未激活"),IF(AR834&gt;=90,"SKA",IF(AR834&gt;=75,"KA",IF(AR834&gt;=40,"腰部","基础长尾"))))</f>
        <v>基础长尾</v>
      </c>
      <c r="AT834" s="43" t="str">
        <f t="shared" ref="AT834:AT897" si="108">IF(AA834="连续下降","连续下降-预警","")</f>
        <v/>
      </c>
      <c r="AU834" s="43" t="str">
        <f t="shared" ref="AU834:AU897" si="109">IF(AS834="SKA","守·共创：卡片短信/AI外呼新场景POC",IF(AS834="KA","扩·深化：AI外呼场景深化+Push/企微补全",IF(AS834="腰部","拉·主攻：主推AI外呼+大促作战包",IF(AS834="新客观察期","培育：入门包+1v1场景教育",IF(AS834="基础长尾","激活：企微+Push低成本先跑","唤醒：短信模板+首充补贴")))))</f>
        <v>激活：企微+Push低成本先跑</v>
      </c>
    </row>
    <row r="835" ht="15" customHeight="1" spans="1:47">
      <c r="A835" s="20" t="s">
        <v>2375</v>
      </c>
      <c r="B835" s="22" t="s">
        <v>2376</v>
      </c>
      <c r="C835" s="22" t="s">
        <v>218</v>
      </c>
      <c r="D835" s="22" t="s">
        <v>196</v>
      </c>
      <c r="E835" s="22" t="s">
        <v>181</v>
      </c>
      <c r="F835" s="20" t="s">
        <v>1595</v>
      </c>
      <c r="G835" s="22">
        <v>21</v>
      </c>
      <c r="H835" s="22" t="s">
        <v>301</v>
      </c>
      <c r="I835" s="22" t="s">
        <v>302</v>
      </c>
      <c r="J835" s="36">
        <v>6900</v>
      </c>
      <c r="K835" s="36">
        <v>5400</v>
      </c>
      <c r="L835" s="36">
        <v>1500</v>
      </c>
      <c r="M835" s="36">
        <f t="shared" si="104"/>
        <v>13800</v>
      </c>
      <c r="N835" s="34">
        <f t="shared" ref="N835:N898" si="110">M835/$M$2002</f>
        <v>7.23484300390681e-5</v>
      </c>
      <c r="O835" s="35">
        <f>SUM($M$2:M835)</f>
        <v>188354900</v>
      </c>
      <c r="P835" s="34">
        <f t="shared" ref="P835:P898" si="111">O835/$M$2002</f>
        <v>0.987476906171426</v>
      </c>
      <c r="Q835" s="39">
        <v>1.5</v>
      </c>
      <c r="R835" s="22">
        <v>10</v>
      </c>
      <c r="S835" s="22">
        <v>1</v>
      </c>
      <c r="T835" s="22">
        <v>0</v>
      </c>
      <c r="U835" s="39">
        <v>2.1</v>
      </c>
      <c r="V835" s="22">
        <v>15</v>
      </c>
      <c r="W835" s="22">
        <v>3</v>
      </c>
      <c r="X835" s="40">
        <v>12</v>
      </c>
      <c r="Y835" s="22">
        <v>0</v>
      </c>
      <c r="Z835" s="22">
        <v>0</v>
      </c>
      <c r="AA835" s="22" t="s">
        <v>199</v>
      </c>
      <c r="AB835" s="22" t="s">
        <v>220</v>
      </c>
      <c r="AC835" s="42">
        <f>IFERROR(LOOKUP(M835,打分卡!$F$7:$J$7,打分卡!$K$7:$O$7),1)</f>
        <v>1</v>
      </c>
      <c r="AD835" s="42">
        <f>IFERROR(LOOKUP(S835,打分卡!$F$8:$J$8,打分卡!$K$8:$O$8),1)</f>
        <v>1</v>
      </c>
      <c r="AE835" s="42">
        <f>IFERROR(LOOKUP(T835,打分卡!$F$9:$I$9,打分卡!$K$9:$N$9),1)</f>
        <v>1</v>
      </c>
      <c r="AF835" s="42">
        <f>IFERROR(LOOKUP(Q835,打分卡!$F$10:$J$10,打分卡!$K$10:$O$10),1)</f>
        <v>1</v>
      </c>
      <c r="AG835" s="42">
        <f>IFERROR(LOOKUP(R835,打分卡!$F$11:$J$11,打分卡!$K$11:$O$11),1)</f>
        <v>4</v>
      </c>
      <c r="AH835" s="42">
        <f>IFERROR(LOOKUP(U835,打分卡!$F$12:$J$12,打分卡!$K$12:$O$12),1)</f>
        <v>1</v>
      </c>
      <c r="AI835" s="42">
        <f>IFERROR(LOOKUP(X835,打分卡!$F$13:$J$13,打分卡!$K$13:$O$13),1)</f>
        <v>1</v>
      </c>
      <c r="AJ835" s="42">
        <f>IFERROR(LOOKUP(Y835,打分卡!$F$14:$J$14,打分卡!$K$14:$O$14),1)</f>
        <v>1</v>
      </c>
      <c r="AK835" s="42">
        <f>IFERROR(LOOKUP(W835,打分卡!$F$15:$J$15,打分卡!$K$15:$O$15),1)</f>
        <v>3</v>
      </c>
      <c r="AL835" s="45">
        <f t="shared" si="105"/>
        <v>5</v>
      </c>
      <c r="AM835" s="42">
        <f>IFERROR(LOOKUP(Z835,打分卡!$F$17:$H$17,打分卡!$K$17:$M$17),1)</f>
        <v>1</v>
      </c>
      <c r="AN835" s="46">
        <f>(打分卡!$D$7*AC835+打分卡!$D$8*AD835+打分卡!$D$9*AE835)/5</f>
        <v>8</v>
      </c>
      <c r="AO835" s="46">
        <f>(打分卡!$D$10*AF835+打分卡!$D$11*AG835)/5</f>
        <v>10</v>
      </c>
      <c r="AP835" s="46">
        <f>(打分卡!$D$12*AH835+打分卡!$D$13*AI835+打分卡!$D$14*AJ835+打分卡!$D$15*AK835)/5</f>
        <v>7.6</v>
      </c>
      <c r="AQ835" s="46">
        <f>(打分卡!$D$16*AL835+打分卡!$D$17*AM835)/5</f>
        <v>6.8</v>
      </c>
      <c r="AR835" s="48">
        <f t="shared" si="106"/>
        <v>32.4</v>
      </c>
      <c r="AS835" s="45" t="str">
        <f t="shared" si="107"/>
        <v>基础长尾</v>
      </c>
      <c r="AT835" s="45" t="str">
        <f t="shared" si="108"/>
        <v/>
      </c>
      <c r="AU835" s="45" t="str">
        <f t="shared" si="109"/>
        <v>激活：企微+Push低成本先跑</v>
      </c>
    </row>
    <row r="836" ht="15" customHeight="1" spans="1:47">
      <c r="A836" s="30" t="s">
        <v>2377</v>
      </c>
      <c r="B836" s="31" t="s">
        <v>2378</v>
      </c>
      <c r="C836" s="31" t="s">
        <v>189</v>
      </c>
      <c r="D836" s="31" t="s">
        <v>227</v>
      </c>
      <c r="E836" s="31" t="s">
        <v>197</v>
      </c>
      <c r="F836" s="30" t="s">
        <v>2379</v>
      </c>
      <c r="G836" s="31">
        <v>4</v>
      </c>
      <c r="H836" s="31" t="s">
        <v>301</v>
      </c>
      <c r="I836" s="31" t="s">
        <v>302</v>
      </c>
      <c r="J836" s="33">
        <v>8000</v>
      </c>
      <c r="K836" s="33">
        <v>2900</v>
      </c>
      <c r="L836" s="33">
        <v>2900</v>
      </c>
      <c r="M836" s="33">
        <f t="shared" si="104"/>
        <v>13800</v>
      </c>
      <c r="N836" s="34">
        <f t="shared" si="110"/>
        <v>7.23484300390681e-5</v>
      </c>
      <c r="O836" s="35">
        <f>SUM($M$2:M836)</f>
        <v>188368700</v>
      </c>
      <c r="P836" s="34">
        <f t="shared" si="111"/>
        <v>0.987549254601465</v>
      </c>
      <c r="Q836" s="37">
        <v>1.9</v>
      </c>
      <c r="R836" s="31">
        <v>3</v>
      </c>
      <c r="S836" s="31">
        <v>1</v>
      </c>
      <c r="T836" s="31">
        <v>2</v>
      </c>
      <c r="U836" s="37">
        <v>44.4</v>
      </c>
      <c r="V836" s="31">
        <v>24</v>
      </c>
      <c r="W836" s="31">
        <v>4</v>
      </c>
      <c r="X836" s="38">
        <v>80</v>
      </c>
      <c r="Y836" s="31">
        <v>3</v>
      </c>
      <c r="Z836" s="31">
        <v>1</v>
      </c>
      <c r="AA836" s="31" t="s">
        <v>315</v>
      </c>
      <c r="AB836" s="31" t="s">
        <v>220</v>
      </c>
      <c r="AC836" s="41">
        <f>IFERROR(LOOKUP(M836,打分卡!$F$7:$J$7,打分卡!$K$7:$O$7),1)</f>
        <v>1</v>
      </c>
      <c r="AD836" s="41">
        <f>IFERROR(LOOKUP(S836,打分卡!$F$8:$J$8,打分卡!$K$8:$O$8),1)</f>
        <v>1</v>
      </c>
      <c r="AE836" s="41">
        <f>IFERROR(LOOKUP(T836,打分卡!$F$9:$I$9,打分卡!$K$9:$N$9),1)</f>
        <v>3</v>
      </c>
      <c r="AF836" s="41">
        <f>IFERROR(LOOKUP(Q836,打分卡!$F$10:$J$10,打分卡!$K$10:$O$10),1)</f>
        <v>1</v>
      </c>
      <c r="AG836" s="41">
        <f>IFERROR(LOOKUP(R836,打分卡!$F$11:$J$11,打分卡!$K$11:$O$11),1)</f>
        <v>2</v>
      </c>
      <c r="AH836" s="41">
        <f>IFERROR(LOOKUP(U836,打分卡!$F$12:$J$12,打分卡!$K$12:$O$12),1)</f>
        <v>4</v>
      </c>
      <c r="AI836" s="41">
        <f>IFERROR(LOOKUP(X836,打分卡!$F$13:$J$13,打分卡!$K$13:$O$13),1)</f>
        <v>3</v>
      </c>
      <c r="AJ836" s="41">
        <f>IFERROR(LOOKUP(Y836,打分卡!$F$14:$J$14,打分卡!$K$14:$O$14),1)</f>
        <v>4</v>
      </c>
      <c r="AK836" s="41">
        <f>IFERROR(LOOKUP(W836,打分卡!$F$15:$J$15,打分卡!$K$15:$O$15),1)</f>
        <v>3</v>
      </c>
      <c r="AL836" s="43">
        <f t="shared" si="105"/>
        <v>2</v>
      </c>
      <c r="AM836" s="41">
        <f>IFERROR(LOOKUP(Z836,打分卡!$F$17:$H$17,打分卡!$K$17:$M$17),1)</f>
        <v>3</v>
      </c>
      <c r="AN836" s="44">
        <f>(打分卡!$D$7*AC836+打分卡!$D$8*AD836+打分卡!$D$9*AE836)/5</f>
        <v>10.8</v>
      </c>
      <c r="AO836" s="44">
        <f>(打分卡!$D$10*AF836+打分卡!$D$11*AG836)/5</f>
        <v>6</v>
      </c>
      <c r="AP836" s="44">
        <f>(打分卡!$D$12*AH836+打分卡!$D$13*AI836+打分卡!$D$14*AJ836+打分卡!$D$15*AK836)/5</f>
        <v>21.6</v>
      </c>
      <c r="AQ836" s="44">
        <f>(打分卡!$D$16*AL836+打分卡!$D$17*AM836)/5</f>
        <v>4.8</v>
      </c>
      <c r="AR836" s="47">
        <f t="shared" si="106"/>
        <v>43.2</v>
      </c>
      <c r="AS836" s="43" t="str">
        <f t="shared" si="107"/>
        <v>腰部</v>
      </c>
      <c r="AT836" s="43" t="str">
        <f t="shared" si="108"/>
        <v/>
      </c>
      <c r="AU836" s="43" t="str">
        <f t="shared" si="109"/>
        <v>拉·主攻：主推AI外呼+大促作战包</v>
      </c>
    </row>
    <row r="837" ht="15" customHeight="1" spans="1:47">
      <c r="A837" s="20" t="s">
        <v>2380</v>
      </c>
      <c r="B837" s="22" t="s">
        <v>2381</v>
      </c>
      <c r="C837" s="22" t="s">
        <v>195</v>
      </c>
      <c r="D837" s="22" t="s">
        <v>196</v>
      </c>
      <c r="E837" s="22" t="s">
        <v>181</v>
      </c>
      <c r="F837" s="20" t="s">
        <v>2382</v>
      </c>
      <c r="G837" s="22">
        <v>24</v>
      </c>
      <c r="H837" s="22" t="s">
        <v>301</v>
      </c>
      <c r="I837" s="22" t="s">
        <v>302</v>
      </c>
      <c r="J837" s="36">
        <v>9000</v>
      </c>
      <c r="K837" s="36">
        <v>4200</v>
      </c>
      <c r="L837" s="36">
        <v>700</v>
      </c>
      <c r="M837" s="36">
        <f t="shared" si="104"/>
        <v>13900</v>
      </c>
      <c r="N837" s="34">
        <f t="shared" si="110"/>
        <v>7.28726940248585e-5</v>
      </c>
      <c r="O837" s="35">
        <f>SUM($M$2:M837)</f>
        <v>188382600</v>
      </c>
      <c r="P837" s="34">
        <f t="shared" si="111"/>
        <v>0.98762212729549</v>
      </c>
      <c r="Q837" s="39">
        <v>1.6</v>
      </c>
      <c r="R837" s="22">
        <v>5</v>
      </c>
      <c r="S837" s="22">
        <v>1</v>
      </c>
      <c r="T837" s="22">
        <v>0</v>
      </c>
      <c r="U837" s="39">
        <v>4.1</v>
      </c>
      <c r="V837" s="22">
        <v>24</v>
      </c>
      <c r="W837" s="22">
        <v>0</v>
      </c>
      <c r="X837" s="40">
        <v>17</v>
      </c>
      <c r="Y837" s="22">
        <v>2</v>
      </c>
      <c r="Z837" s="22">
        <v>0</v>
      </c>
      <c r="AA837" s="22" t="s">
        <v>185</v>
      </c>
      <c r="AB837" s="22" t="s">
        <v>220</v>
      </c>
      <c r="AC837" s="42">
        <f>IFERROR(LOOKUP(M837,打分卡!$F$7:$J$7,打分卡!$K$7:$O$7),1)</f>
        <v>1</v>
      </c>
      <c r="AD837" s="42">
        <f>IFERROR(LOOKUP(S837,打分卡!$F$8:$J$8,打分卡!$K$8:$O$8),1)</f>
        <v>1</v>
      </c>
      <c r="AE837" s="42">
        <f>IFERROR(LOOKUP(T837,打分卡!$F$9:$I$9,打分卡!$K$9:$N$9),1)</f>
        <v>1</v>
      </c>
      <c r="AF837" s="42">
        <f>IFERROR(LOOKUP(Q837,打分卡!$F$10:$J$10,打分卡!$K$10:$O$10),1)</f>
        <v>1</v>
      </c>
      <c r="AG837" s="42">
        <f>IFERROR(LOOKUP(R837,打分卡!$F$11:$J$11,打分卡!$K$11:$O$11),1)</f>
        <v>3</v>
      </c>
      <c r="AH837" s="42">
        <f>IFERROR(LOOKUP(U837,打分卡!$F$12:$J$12,打分卡!$K$12:$O$12),1)</f>
        <v>2</v>
      </c>
      <c r="AI837" s="42">
        <f>IFERROR(LOOKUP(X837,打分卡!$F$13:$J$13,打分卡!$K$13:$O$13),1)</f>
        <v>1</v>
      </c>
      <c r="AJ837" s="42">
        <f>IFERROR(LOOKUP(Y837,打分卡!$F$14:$J$14,打分卡!$K$14:$O$14),1)</f>
        <v>3</v>
      </c>
      <c r="AK837" s="42">
        <f>IFERROR(LOOKUP(W837,打分卡!$F$15:$J$15,打分卡!$K$15:$O$15),1)</f>
        <v>1</v>
      </c>
      <c r="AL837" s="45">
        <f t="shared" si="105"/>
        <v>3</v>
      </c>
      <c r="AM837" s="42">
        <f>IFERROR(LOOKUP(Z837,打分卡!$F$17:$H$17,打分卡!$K$17:$M$17),1)</f>
        <v>1</v>
      </c>
      <c r="AN837" s="46">
        <f>(打分卡!$D$7*AC837+打分卡!$D$8*AD837+打分卡!$D$9*AE837)/5</f>
        <v>8</v>
      </c>
      <c r="AO837" s="46">
        <f>(打分卡!$D$10*AF837+打分卡!$D$11*AG837)/5</f>
        <v>8</v>
      </c>
      <c r="AP837" s="46">
        <f>(打分卡!$D$12*AH837+打分卡!$D$13*AI837+打分卡!$D$14*AJ837+打分卡!$D$15*AK837)/5</f>
        <v>10.8</v>
      </c>
      <c r="AQ837" s="46">
        <f>(打分卡!$D$16*AL837+打分卡!$D$17*AM837)/5</f>
        <v>4.4</v>
      </c>
      <c r="AR837" s="48">
        <f t="shared" si="106"/>
        <v>31.2</v>
      </c>
      <c r="AS837" s="45" t="str">
        <f t="shared" si="107"/>
        <v>基础长尾</v>
      </c>
      <c r="AT837" s="45" t="str">
        <f t="shared" si="108"/>
        <v/>
      </c>
      <c r="AU837" s="45" t="str">
        <f t="shared" si="109"/>
        <v>激活：企微+Push低成本先跑</v>
      </c>
    </row>
    <row r="838" ht="15" customHeight="1" spans="1:47">
      <c r="A838" s="30" t="s">
        <v>2383</v>
      </c>
      <c r="B838" s="31" t="s">
        <v>2384</v>
      </c>
      <c r="C838" s="31" t="s">
        <v>195</v>
      </c>
      <c r="D838" s="31" t="s">
        <v>196</v>
      </c>
      <c r="E838" s="31" t="s">
        <v>197</v>
      </c>
      <c r="F838" s="30" t="s">
        <v>2385</v>
      </c>
      <c r="G838" s="31">
        <v>11</v>
      </c>
      <c r="H838" s="31" t="s">
        <v>301</v>
      </c>
      <c r="I838" s="31" t="s">
        <v>302</v>
      </c>
      <c r="J838" s="33">
        <v>8500</v>
      </c>
      <c r="K838" s="33">
        <v>4400</v>
      </c>
      <c r="L838" s="33">
        <v>900</v>
      </c>
      <c r="M838" s="33">
        <f t="shared" si="104"/>
        <v>13800</v>
      </c>
      <c r="N838" s="34">
        <f t="shared" si="110"/>
        <v>7.23484300390681e-5</v>
      </c>
      <c r="O838" s="35">
        <f>SUM($M$2:M838)</f>
        <v>188396400</v>
      </c>
      <c r="P838" s="34">
        <f t="shared" si="111"/>
        <v>0.987694475725529</v>
      </c>
      <c r="Q838" s="37">
        <v>1.4</v>
      </c>
      <c r="R838" s="31">
        <v>8</v>
      </c>
      <c r="S838" s="31">
        <v>2</v>
      </c>
      <c r="T838" s="31">
        <v>2</v>
      </c>
      <c r="U838" s="37">
        <v>2.1</v>
      </c>
      <c r="V838" s="31">
        <v>30</v>
      </c>
      <c r="W838" s="31">
        <v>4</v>
      </c>
      <c r="X838" s="38">
        <v>18</v>
      </c>
      <c r="Y838" s="31">
        <v>2</v>
      </c>
      <c r="Z838" s="31">
        <v>1</v>
      </c>
      <c r="AA838" s="31" t="s">
        <v>315</v>
      </c>
      <c r="AB838" s="31" t="s">
        <v>220</v>
      </c>
      <c r="AC838" s="41">
        <f>IFERROR(LOOKUP(M838,打分卡!$F$7:$J$7,打分卡!$K$7:$O$7),1)</f>
        <v>1</v>
      </c>
      <c r="AD838" s="41">
        <f>IFERROR(LOOKUP(S838,打分卡!$F$8:$J$8,打分卡!$K$8:$O$8),1)</f>
        <v>2</v>
      </c>
      <c r="AE838" s="41">
        <f>IFERROR(LOOKUP(T838,打分卡!$F$9:$I$9,打分卡!$K$9:$N$9),1)</f>
        <v>3</v>
      </c>
      <c r="AF838" s="41">
        <f>IFERROR(LOOKUP(Q838,打分卡!$F$10:$J$10,打分卡!$K$10:$O$10),1)</f>
        <v>1</v>
      </c>
      <c r="AG838" s="41">
        <f>IFERROR(LOOKUP(R838,打分卡!$F$11:$J$11,打分卡!$K$11:$O$11),1)</f>
        <v>3</v>
      </c>
      <c r="AH838" s="41">
        <f>IFERROR(LOOKUP(U838,打分卡!$F$12:$J$12,打分卡!$K$12:$O$12),1)</f>
        <v>1</v>
      </c>
      <c r="AI838" s="41">
        <f>IFERROR(LOOKUP(X838,打分卡!$F$13:$J$13,打分卡!$K$13:$O$13),1)</f>
        <v>2</v>
      </c>
      <c r="AJ838" s="41">
        <f>IFERROR(LOOKUP(Y838,打分卡!$F$14:$J$14,打分卡!$K$14:$O$14),1)</f>
        <v>3</v>
      </c>
      <c r="AK838" s="41">
        <f>IFERROR(LOOKUP(W838,打分卡!$F$15:$J$15,打分卡!$K$15:$O$15),1)</f>
        <v>3</v>
      </c>
      <c r="AL838" s="43">
        <f t="shared" si="105"/>
        <v>2</v>
      </c>
      <c r="AM838" s="41">
        <f>IFERROR(LOOKUP(Z838,打分卡!$F$17:$H$17,打分卡!$K$17:$M$17),1)</f>
        <v>3</v>
      </c>
      <c r="AN838" s="44">
        <f>(打分卡!$D$7*AC838+打分卡!$D$8*AD838+打分卡!$D$9*AE838)/5</f>
        <v>12.4</v>
      </c>
      <c r="AO838" s="44">
        <f>(打分卡!$D$10*AF838+打分卡!$D$11*AG838)/5</f>
        <v>8</v>
      </c>
      <c r="AP838" s="44">
        <f>(打分卡!$D$12*AH838+打分卡!$D$13*AI838+打分卡!$D$14*AJ838+打分卡!$D$15*AK838)/5</f>
        <v>11.6</v>
      </c>
      <c r="AQ838" s="44">
        <f>(打分卡!$D$16*AL838+打分卡!$D$17*AM838)/5</f>
        <v>4.8</v>
      </c>
      <c r="AR838" s="47">
        <f t="shared" si="106"/>
        <v>36.8</v>
      </c>
      <c r="AS838" s="43" t="str">
        <f t="shared" si="107"/>
        <v>基础长尾</v>
      </c>
      <c r="AT838" s="43" t="str">
        <f t="shared" si="108"/>
        <v/>
      </c>
      <c r="AU838" s="43" t="str">
        <f t="shared" si="109"/>
        <v>激活：企微+Push低成本先跑</v>
      </c>
    </row>
    <row r="839" ht="15" customHeight="1" spans="1:47">
      <c r="A839" s="20" t="s">
        <v>2386</v>
      </c>
      <c r="B839" s="22" t="s">
        <v>2387</v>
      </c>
      <c r="C839" s="22" t="s">
        <v>179</v>
      </c>
      <c r="D839" s="22" t="s">
        <v>202</v>
      </c>
      <c r="E839" s="22" t="s">
        <v>197</v>
      </c>
      <c r="F839" s="20" t="s">
        <v>1992</v>
      </c>
      <c r="G839" s="22">
        <v>24</v>
      </c>
      <c r="H839" s="22" t="s">
        <v>301</v>
      </c>
      <c r="I839" s="22" t="s">
        <v>184</v>
      </c>
      <c r="J839" s="36">
        <v>7900</v>
      </c>
      <c r="K839" s="36">
        <v>3000</v>
      </c>
      <c r="L839" s="36">
        <v>2900</v>
      </c>
      <c r="M839" s="36">
        <f t="shared" si="104"/>
        <v>13800</v>
      </c>
      <c r="N839" s="34">
        <f t="shared" si="110"/>
        <v>7.23484300390681e-5</v>
      </c>
      <c r="O839" s="35">
        <f>SUM($M$2:M839)</f>
        <v>188410200</v>
      </c>
      <c r="P839" s="34">
        <f t="shared" si="111"/>
        <v>0.987766824155568</v>
      </c>
      <c r="Q839" s="39">
        <v>0.9</v>
      </c>
      <c r="R839" s="22">
        <v>10</v>
      </c>
      <c r="S839" s="22">
        <v>2</v>
      </c>
      <c r="T839" s="22">
        <v>2</v>
      </c>
      <c r="U839" s="39">
        <v>2.2</v>
      </c>
      <c r="V839" s="22">
        <v>16</v>
      </c>
      <c r="W839" s="22">
        <v>3</v>
      </c>
      <c r="X839" s="40">
        <v>26</v>
      </c>
      <c r="Y839" s="22">
        <v>0</v>
      </c>
      <c r="Z839" s="22">
        <v>0</v>
      </c>
      <c r="AA839" s="22" t="s">
        <v>185</v>
      </c>
      <c r="AB839" s="22" t="s">
        <v>220</v>
      </c>
      <c r="AC839" s="42">
        <f>IFERROR(LOOKUP(M839,打分卡!$F$7:$J$7,打分卡!$K$7:$O$7),1)</f>
        <v>1</v>
      </c>
      <c r="AD839" s="42">
        <f>IFERROR(LOOKUP(S839,打分卡!$F$8:$J$8,打分卡!$K$8:$O$8),1)</f>
        <v>2</v>
      </c>
      <c r="AE839" s="42">
        <f>IFERROR(LOOKUP(T839,打分卡!$F$9:$I$9,打分卡!$K$9:$N$9),1)</f>
        <v>3</v>
      </c>
      <c r="AF839" s="42">
        <f>IFERROR(LOOKUP(Q839,打分卡!$F$10:$J$10,打分卡!$K$10:$O$10),1)</f>
        <v>1</v>
      </c>
      <c r="AG839" s="42">
        <f>IFERROR(LOOKUP(R839,打分卡!$F$11:$J$11,打分卡!$K$11:$O$11),1)</f>
        <v>4</v>
      </c>
      <c r="AH839" s="42">
        <f>IFERROR(LOOKUP(U839,打分卡!$F$12:$J$12,打分卡!$K$12:$O$12),1)</f>
        <v>1</v>
      </c>
      <c r="AI839" s="42">
        <f>IFERROR(LOOKUP(X839,打分卡!$F$13:$J$13,打分卡!$K$13:$O$13),1)</f>
        <v>2</v>
      </c>
      <c r="AJ839" s="42">
        <f>IFERROR(LOOKUP(Y839,打分卡!$F$14:$J$14,打分卡!$K$14:$O$14),1)</f>
        <v>1</v>
      </c>
      <c r="AK839" s="42">
        <f>IFERROR(LOOKUP(W839,打分卡!$F$15:$J$15,打分卡!$K$15:$O$15),1)</f>
        <v>3</v>
      </c>
      <c r="AL839" s="45">
        <f t="shared" si="105"/>
        <v>3</v>
      </c>
      <c r="AM839" s="42">
        <f>IFERROR(LOOKUP(Z839,打分卡!$F$17:$H$17,打分卡!$K$17:$M$17),1)</f>
        <v>1</v>
      </c>
      <c r="AN839" s="46">
        <f>(打分卡!$D$7*AC839+打分卡!$D$8*AD839+打分卡!$D$9*AE839)/5</f>
        <v>12.4</v>
      </c>
      <c r="AO839" s="46">
        <f>(打分卡!$D$10*AF839+打分卡!$D$11*AG839)/5</f>
        <v>10</v>
      </c>
      <c r="AP839" s="46">
        <f>(打分卡!$D$12*AH839+打分卡!$D$13*AI839+打分卡!$D$14*AJ839+打分卡!$D$15*AK839)/5</f>
        <v>9.2</v>
      </c>
      <c r="AQ839" s="46">
        <f>(打分卡!$D$16*AL839+打分卡!$D$17*AM839)/5</f>
        <v>4.4</v>
      </c>
      <c r="AR839" s="48">
        <f t="shared" si="106"/>
        <v>36</v>
      </c>
      <c r="AS839" s="45" t="str">
        <f t="shared" si="107"/>
        <v>基础长尾</v>
      </c>
      <c r="AT839" s="45" t="str">
        <f t="shared" si="108"/>
        <v/>
      </c>
      <c r="AU839" s="45" t="str">
        <f t="shared" si="109"/>
        <v>激活：企微+Push低成本先跑</v>
      </c>
    </row>
    <row r="840" ht="15" customHeight="1" spans="1:47">
      <c r="A840" s="30" t="s">
        <v>2388</v>
      </c>
      <c r="B840" s="31" t="s">
        <v>2389</v>
      </c>
      <c r="C840" s="31" t="s">
        <v>179</v>
      </c>
      <c r="D840" s="31" t="s">
        <v>202</v>
      </c>
      <c r="E840" s="31" t="s">
        <v>181</v>
      </c>
      <c r="F840" s="30" t="s">
        <v>781</v>
      </c>
      <c r="G840" s="31">
        <v>21</v>
      </c>
      <c r="H840" s="31" t="s">
        <v>183</v>
      </c>
      <c r="I840" s="31" t="s">
        <v>184</v>
      </c>
      <c r="J840" s="33">
        <v>8900</v>
      </c>
      <c r="K840" s="33">
        <v>3800</v>
      </c>
      <c r="L840" s="33">
        <v>1100</v>
      </c>
      <c r="M840" s="33">
        <f t="shared" si="104"/>
        <v>13800</v>
      </c>
      <c r="N840" s="34">
        <f t="shared" si="110"/>
        <v>7.23484300390681e-5</v>
      </c>
      <c r="O840" s="35">
        <f>SUM($M$2:M840)</f>
        <v>188424000</v>
      </c>
      <c r="P840" s="34">
        <f t="shared" si="111"/>
        <v>0.987839172585607</v>
      </c>
      <c r="Q840" s="37">
        <v>1.8</v>
      </c>
      <c r="R840" s="31">
        <v>6</v>
      </c>
      <c r="S840" s="31">
        <v>3</v>
      </c>
      <c r="T840" s="31">
        <v>0</v>
      </c>
      <c r="U840" s="37">
        <v>62.5</v>
      </c>
      <c r="V840" s="31">
        <v>10</v>
      </c>
      <c r="W840" s="31">
        <v>3</v>
      </c>
      <c r="X840" s="38">
        <v>117</v>
      </c>
      <c r="Y840" s="31">
        <v>3</v>
      </c>
      <c r="Z840" s="31">
        <v>1</v>
      </c>
      <c r="AA840" s="31" t="s">
        <v>199</v>
      </c>
      <c r="AB840" s="31" t="s">
        <v>220</v>
      </c>
      <c r="AC840" s="41">
        <f>IFERROR(LOOKUP(M840,打分卡!$F$7:$J$7,打分卡!$K$7:$O$7),1)</f>
        <v>1</v>
      </c>
      <c r="AD840" s="41">
        <f>IFERROR(LOOKUP(S840,打分卡!$F$8:$J$8,打分卡!$K$8:$O$8),1)</f>
        <v>3</v>
      </c>
      <c r="AE840" s="41">
        <f>IFERROR(LOOKUP(T840,打分卡!$F$9:$I$9,打分卡!$K$9:$N$9),1)</f>
        <v>1</v>
      </c>
      <c r="AF840" s="41">
        <f>IFERROR(LOOKUP(Q840,打分卡!$F$10:$J$10,打分卡!$K$10:$O$10),1)</f>
        <v>1</v>
      </c>
      <c r="AG840" s="41">
        <f>IFERROR(LOOKUP(R840,打分卡!$F$11:$J$11,打分卡!$K$11:$O$11),1)</f>
        <v>3</v>
      </c>
      <c r="AH840" s="41">
        <f>IFERROR(LOOKUP(U840,打分卡!$F$12:$J$12,打分卡!$K$12:$O$12),1)</f>
        <v>4</v>
      </c>
      <c r="AI840" s="41">
        <f>IFERROR(LOOKUP(X840,打分卡!$F$13:$J$13,打分卡!$K$13:$O$13),1)</f>
        <v>4</v>
      </c>
      <c r="AJ840" s="41">
        <f>IFERROR(LOOKUP(Y840,打分卡!$F$14:$J$14,打分卡!$K$14:$O$14),1)</f>
        <v>4</v>
      </c>
      <c r="AK840" s="41">
        <f>IFERROR(LOOKUP(W840,打分卡!$F$15:$J$15,打分卡!$K$15:$O$15),1)</f>
        <v>3</v>
      </c>
      <c r="AL840" s="43">
        <f t="shared" si="105"/>
        <v>5</v>
      </c>
      <c r="AM840" s="41">
        <f>IFERROR(LOOKUP(Z840,打分卡!$F$17:$H$17,打分卡!$K$17:$M$17),1)</f>
        <v>3</v>
      </c>
      <c r="AN840" s="44">
        <f>(打分卡!$D$7*AC840+打分卡!$D$8*AD840+打分卡!$D$9*AE840)/5</f>
        <v>11.2</v>
      </c>
      <c r="AO840" s="44">
        <f>(打分卡!$D$10*AF840+打分卡!$D$11*AG840)/5</f>
        <v>8</v>
      </c>
      <c r="AP840" s="44">
        <f>(打分卡!$D$12*AH840+打分卡!$D$13*AI840+打分卡!$D$14*AJ840+打分卡!$D$15*AK840)/5</f>
        <v>23.2</v>
      </c>
      <c r="AQ840" s="44">
        <f>(打分卡!$D$16*AL840+打分卡!$D$17*AM840)/5</f>
        <v>8.4</v>
      </c>
      <c r="AR840" s="47">
        <f t="shared" si="106"/>
        <v>50.8</v>
      </c>
      <c r="AS840" s="43" t="str">
        <f t="shared" si="107"/>
        <v>腰部</v>
      </c>
      <c r="AT840" s="43" t="str">
        <f t="shared" si="108"/>
        <v/>
      </c>
      <c r="AU840" s="43" t="str">
        <f t="shared" si="109"/>
        <v>拉·主攻：主推AI外呼+大促作战包</v>
      </c>
    </row>
    <row r="841" ht="15" customHeight="1" spans="1:47">
      <c r="A841" s="20" t="s">
        <v>2390</v>
      </c>
      <c r="B841" s="22" t="s">
        <v>2391</v>
      </c>
      <c r="C841" s="22" t="s">
        <v>195</v>
      </c>
      <c r="D841" s="22" t="s">
        <v>202</v>
      </c>
      <c r="E841" s="22" t="s">
        <v>181</v>
      </c>
      <c r="F841" s="20" t="s">
        <v>445</v>
      </c>
      <c r="G841" s="22">
        <v>21</v>
      </c>
      <c r="H841" s="22" t="s">
        <v>301</v>
      </c>
      <c r="I841" s="22" t="s">
        <v>302</v>
      </c>
      <c r="J841" s="36">
        <v>6400</v>
      </c>
      <c r="K841" s="36">
        <v>5400</v>
      </c>
      <c r="L841" s="36">
        <v>2000</v>
      </c>
      <c r="M841" s="36">
        <f t="shared" si="104"/>
        <v>13800</v>
      </c>
      <c r="N841" s="34">
        <f t="shared" si="110"/>
        <v>7.23484300390681e-5</v>
      </c>
      <c r="O841" s="35">
        <f>SUM($M$2:M841)</f>
        <v>188437800</v>
      </c>
      <c r="P841" s="34">
        <f t="shared" si="111"/>
        <v>0.987911521015646</v>
      </c>
      <c r="Q841" s="39">
        <v>1</v>
      </c>
      <c r="R841" s="22">
        <v>6</v>
      </c>
      <c r="S841" s="22">
        <v>3</v>
      </c>
      <c r="T841" s="22">
        <v>1</v>
      </c>
      <c r="U841" s="39">
        <v>57.7</v>
      </c>
      <c r="V841" s="22">
        <v>28</v>
      </c>
      <c r="W841" s="22">
        <v>2</v>
      </c>
      <c r="X841" s="40">
        <v>97</v>
      </c>
      <c r="Y841" s="22">
        <v>1</v>
      </c>
      <c r="Z841" s="22">
        <v>1</v>
      </c>
      <c r="AA841" s="22" t="s">
        <v>315</v>
      </c>
      <c r="AB841" s="22" t="s">
        <v>220</v>
      </c>
      <c r="AC841" s="42">
        <f>IFERROR(LOOKUP(M841,打分卡!$F$7:$J$7,打分卡!$K$7:$O$7),1)</f>
        <v>1</v>
      </c>
      <c r="AD841" s="42">
        <f>IFERROR(LOOKUP(S841,打分卡!$F$8:$J$8,打分卡!$K$8:$O$8),1)</f>
        <v>3</v>
      </c>
      <c r="AE841" s="42">
        <f>IFERROR(LOOKUP(T841,打分卡!$F$9:$I$9,打分卡!$K$9:$N$9),1)</f>
        <v>2</v>
      </c>
      <c r="AF841" s="42">
        <f>IFERROR(LOOKUP(Q841,打分卡!$F$10:$J$10,打分卡!$K$10:$O$10),1)</f>
        <v>1</v>
      </c>
      <c r="AG841" s="42">
        <f>IFERROR(LOOKUP(R841,打分卡!$F$11:$J$11,打分卡!$K$11:$O$11),1)</f>
        <v>3</v>
      </c>
      <c r="AH841" s="42">
        <f>IFERROR(LOOKUP(U841,打分卡!$F$12:$J$12,打分卡!$K$12:$O$12),1)</f>
        <v>4</v>
      </c>
      <c r="AI841" s="42">
        <f>IFERROR(LOOKUP(X841,打分卡!$F$13:$J$13,打分卡!$K$13:$O$13),1)</f>
        <v>4</v>
      </c>
      <c r="AJ841" s="42">
        <f>IFERROR(LOOKUP(Y841,打分卡!$F$14:$J$14,打分卡!$K$14:$O$14),1)</f>
        <v>2</v>
      </c>
      <c r="AK841" s="42">
        <f>IFERROR(LOOKUP(W841,打分卡!$F$15:$J$15,打分卡!$K$15:$O$15),1)</f>
        <v>2</v>
      </c>
      <c r="AL841" s="45">
        <f t="shared" si="105"/>
        <v>2</v>
      </c>
      <c r="AM841" s="42">
        <f>IFERROR(LOOKUP(Z841,打分卡!$F$17:$H$17,打分卡!$K$17:$M$17),1)</f>
        <v>3</v>
      </c>
      <c r="AN841" s="46">
        <f>(打分卡!$D$7*AC841+打分卡!$D$8*AD841+打分卡!$D$9*AE841)/5</f>
        <v>12.6</v>
      </c>
      <c r="AO841" s="46">
        <f>(打分卡!$D$10*AF841+打分卡!$D$11*AG841)/5</f>
        <v>8</v>
      </c>
      <c r="AP841" s="46">
        <f>(打分卡!$D$12*AH841+打分卡!$D$13*AI841+打分卡!$D$14*AJ841+打分卡!$D$15*AK841)/5</f>
        <v>20</v>
      </c>
      <c r="AQ841" s="46">
        <f>(打分卡!$D$16*AL841+打分卡!$D$17*AM841)/5</f>
        <v>4.8</v>
      </c>
      <c r="AR841" s="48">
        <f t="shared" si="106"/>
        <v>45.4</v>
      </c>
      <c r="AS841" s="45" t="str">
        <f t="shared" si="107"/>
        <v>腰部</v>
      </c>
      <c r="AT841" s="45" t="str">
        <f t="shared" si="108"/>
        <v/>
      </c>
      <c r="AU841" s="45" t="str">
        <f t="shared" si="109"/>
        <v>拉·主攻：主推AI外呼+大促作战包</v>
      </c>
    </row>
    <row r="842" ht="15" customHeight="1" spans="1:47">
      <c r="A842" s="30" t="s">
        <v>2392</v>
      </c>
      <c r="B842" s="31" t="s">
        <v>2393</v>
      </c>
      <c r="C842" s="31" t="s">
        <v>195</v>
      </c>
      <c r="D842" s="31" t="s">
        <v>180</v>
      </c>
      <c r="E842" s="31" t="s">
        <v>197</v>
      </c>
      <c r="F842" s="30" t="s">
        <v>2394</v>
      </c>
      <c r="G842" s="31">
        <v>20</v>
      </c>
      <c r="H842" s="31" t="s">
        <v>183</v>
      </c>
      <c r="I842" s="31" t="s">
        <v>184</v>
      </c>
      <c r="J842" s="33">
        <v>7400</v>
      </c>
      <c r="K842" s="33">
        <v>5100</v>
      </c>
      <c r="L842" s="33">
        <v>1100</v>
      </c>
      <c r="M842" s="33">
        <f t="shared" si="104"/>
        <v>13600</v>
      </c>
      <c r="N842" s="34">
        <f t="shared" si="110"/>
        <v>7.12999020674874e-5</v>
      </c>
      <c r="O842" s="35">
        <f>SUM($M$2:M842)</f>
        <v>188451400</v>
      </c>
      <c r="P842" s="34">
        <f t="shared" si="111"/>
        <v>0.987982820917714</v>
      </c>
      <c r="Q842" s="37">
        <v>1.8</v>
      </c>
      <c r="R842" s="31">
        <v>6</v>
      </c>
      <c r="S842" s="31">
        <v>3</v>
      </c>
      <c r="T842" s="31">
        <v>1</v>
      </c>
      <c r="U842" s="37">
        <v>5.6</v>
      </c>
      <c r="V842" s="31">
        <v>3</v>
      </c>
      <c r="W842" s="31">
        <v>4</v>
      </c>
      <c r="X842" s="38">
        <v>65</v>
      </c>
      <c r="Y842" s="31">
        <v>3</v>
      </c>
      <c r="Z842" s="31">
        <v>1</v>
      </c>
      <c r="AA842" s="31" t="s">
        <v>185</v>
      </c>
      <c r="AB842" s="31" t="s">
        <v>220</v>
      </c>
      <c r="AC842" s="41">
        <f>IFERROR(LOOKUP(M842,打分卡!$F$7:$J$7,打分卡!$K$7:$O$7),1)</f>
        <v>1</v>
      </c>
      <c r="AD842" s="41">
        <f>IFERROR(LOOKUP(S842,打分卡!$F$8:$J$8,打分卡!$K$8:$O$8),1)</f>
        <v>3</v>
      </c>
      <c r="AE842" s="41">
        <f>IFERROR(LOOKUP(T842,打分卡!$F$9:$I$9,打分卡!$K$9:$N$9),1)</f>
        <v>2</v>
      </c>
      <c r="AF842" s="41">
        <f>IFERROR(LOOKUP(Q842,打分卡!$F$10:$J$10,打分卡!$K$10:$O$10),1)</f>
        <v>1</v>
      </c>
      <c r="AG842" s="41">
        <f>IFERROR(LOOKUP(R842,打分卡!$F$11:$J$11,打分卡!$K$11:$O$11),1)</f>
        <v>3</v>
      </c>
      <c r="AH842" s="41">
        <f>IFERROR(LOOKUP(U842,打分卡!$F$12:$J$12,打分卡!$K$12:$O$12),1)</f>
        <v>2</v>
      </c>
      <c r="AI842" s="41">
        <f>IFERROR(LOOKUP(X842,打分卡!$F$13:$J$13,打分卡!$K$13:$O$13),1)</f>
        <v>3</v>
      </c>
      <c r="AJ842" s="41">
        <f>IFERROR(LOOKUP(Y842,打分卡!$F$14:$J$14,打分卡!$K$14:$O$14),1)</f>
        <v>4</v>
      </c>
      <c r="AK842" s="41">
        <f>IFERROR(LOOKUP(W842,打分卡!$F$15:$J$15,打分卡!$K$15:$O$15),1)</f>
        <v>3</v>
      </c>
      <c r="AL842" s="43">
        <f t="shared" si="105"/>
        <v>3</v>
      </c>
      <c r="AM842" s="41">
        <f>IFERROR(LOOKUP(Z842,打分卡!$F$17:$H$17,打分卡!$K$17:$M$17),1)</f>
        <v>3</v>
      </c>
      <c r="AN842" s="44">
        <f>(打分卡!$D$7*AC842+打分卡!$D$8*AD842+打分卡!$D$9*AE842)/5</f>
        <v>12.6</v>
      </c>
      <c r="AO842" s="44">
        <f>(打分卡!$D$10*AF842+打分卡!$D$11*AG842)/5</f>
        <v>8</v>
      </c>
      <c r="AP842" s="44">
        <f>(打分卡!$D$12*AH842+打分卡!$D$13*AI842+打分卡!$D$14*AJ842+打分卡!$D$15*AK842)/5</f>
        <v>16.8</v>
      </c>
      <c r="AQ842" s="44">
        <f>(打分卡!$D$16*AL842+打分卡!$D$17*AM842)/5</f>
        <v>6</v>
      </c>
      <c r="AR842" s="47">
        <f t="shared" si="106"/>
        <v>43.4</v>
      </c>
      <c r="AS842" s="43" t="str">
        <f t="shared" si="107"/>
        <v>腰部</v>
      </c>
      <c r="AT842" s="43" t="str">
        <f t="shared" si="108"/>
        <v/>
      </c>
      <c r="AU842" s="43" t="str">
        <f t="shared" si="109"/>
        <v>拉·主攻：主推AI外呼+大促作战包</v>
      </c>
    </row>
    <row r="843" ht="15" customHeight="1" spans="1:47">
      <c r="A843" s="20" t="s">
        <v>2395</v>
      </c>
      <c r="B843" s="22" t="s">
        <v>2396</v>
      </c>
      <c r="C843" s="22" t="s">
        <v>179</v>
      </c>
      <c r="D843" s="22" t="s">
        <v>202</v>
      </c>
      <c r="E843" s="22" t="s">
        <v>181</v>
      </c>
      <c r="F843" s="20" t="s">
        <v>2397</v>
      </c>
      <c r="G843" s="22">
        <v>13</v>
      </c>
      <c r="H843" s="22" t="s">
        <v>301</v>
      </c>
      <c r="I843" s="22" t="s">
        <v>184</v>
      </c>
      <c r="J843" s="36">
        <v>7400</v>
      </c>
      <c r="K843" s="36">
        <v>5000</v>
      </c>
      <c r="L843" s="36">
        <v>1200</v>
      </c>
      <c r="M843" s="36">
        <f t="shared" si="104"/>
        <v>13600</v>
      </c>
      <c r="N843" s="34">
        <f t="shared" si="110"/>
        <v>7.12999020674874e-5</v>
      </c>
      <c r="O843" s="35">
        <f>SUM($M$2:M843)</f>
        <v>188465000</v>
      </c>
      <c r="P843" s="34">
        <f t="shared" si="111"/>
        <v>0.988054120819781</v>
      </c>
      <c r="Q843" s="39">
        <v>1.1</v>
      </c>
      <c r="R843" s="22">
        <v>3</v>
      </c>
      <c r="S843" s="22">
        <v>3</v>
      </c>
      <c r="T843" s="22">
        <v>1</v>
      </c>
      <c r="U843" s="39">
        <v>2.1</v>
      </c>
      <c r="V843" s="22">
        <v>14</v>
      </c>
      <c r="W843" s="22">
        <v>3</v>
      </c>
      <c r="X843" s="40">
        <v>17</v>
      </c>
      <c r="Y843" s="22">
        <v>2</v>
      </c>
      <c r="Z843" s="22">
        <v>1</v>
      </c>
      <c r="AA843" s="22" t="s">
        <v>185</v>
      </c>
      <c r="AB843" s="22" t="s">
        <v>220</v>
      </c>
      <c r="AC843" s="42">
        <f>IFERROR(LOOKUP(M843,打分卡!$F$7:$J$7,打分卡!$K$7:$O$7),1)</f>
        <v>1</v>
      </c>
      <c r="AD843" s="42">
        <f>IFERROR(LOOKUP(S843,打分卡!$F$8:$J$8,打分卡!$K$8:$O$8),1)</f>
        <v>3</v>
      </c>
      <c r="AE843" s="42">
        <f>IFERROR(LOOKUP(T843,打分卡!$F$9:$I$9,打分卡!$K$9:$N$9),1)</f>
        <v>2</v>
      </c>
      <c r="AF843" s="42">
        <f>IFERROR(LOOKUP(Q843,打分卡!$F$10:$J$10,打分卡!$K$10:$O$10),1)</f>
        <v>1</v>
      </c>
      <c r="AG843" s="42">
        <f>IFERROR(LOOKUP(R843,打分卡!$F$11:$J$11,打分卡!$K$11:$O$11),1)</f>
        <v>2</v>
      </c>
      <c r="AH843" s="42">
        <f>IFERROR(LOOKUP(U843,打分卡!$F$12:$J$12,打分卡!$K$12:$O$12),1)</f>
        <v>1</v>
      </c>
      <c r="AI843" s="42">
        <f>IFERROR(LOOKUP(X843,打分卡!$F$13:$J$13,打分卡!$K$13:$O$13),1)</f>
        <v>1</v>
      </c>
      <c r="AJ843" s="42">
        <f>IFERROR(LOOKUP(Y843,打分卡!$F$14:$J$14,打分卡!$K$14:$O$14),1)</f>
        <v>3</v>
      </c>
      <c r="AK843" s="42">
        <f>IFERROR(LOOKUP(W843,打分卡!$F$15:$J$15,打分卡!$K$15:$O$15),1)</f>
        <v>3</v>
      </c>
      <c r="AL843" s="45">
        <f t="shared" si="105"/>
        <v>3</v>
      </c>
      <c r="AM843" s="42">
        <f>IFERROR(LOOKUP(Z843,打分卡!$F$17:$H$17,打分卡!$K$17:$M$17),1)</f>
        <v>3</v>
      </c>
      <c r="AN843" s="46">
        <f>(打分卡!$D$7*AC843+打分卡!$D$8*AD843+打分卡!$D$9*AE843)/5</f>
        <v>12.6</v>
      </c>
      <c r="AO843" s="46">
        <f>(打分卡!$D$10*AF843+打分卡!$D$11*AG843)/5</f>
        <v>6</v>
      </c>
      <c r="AP843" s="46">
        <f>(打分卡!$D$12*AH843+打分卡!$D$13*AI843+打分卡!$D$14*AJ843+打分卡!$D$15*AK843)/5</f>
        <v>10</v>
      </c>
      <c r="AQ843" s="46">
        <f>(打分卡!$D$16*AL843+打分卡!$D$17*AM843)/5</f>
        <v>6</v>
      </c>
      <c r="AR843" s="48">
        <f t="shared" si="106"/>
        <v>34.6</v>
      </c>
      <c r="AS843" s="45" t="str">
        <f t="shared" si="107"/>
        <v>基础长尾</v>
      </c>
      <c r="AT843" s="45" t="str">
        <f t="shared" si="108"/>
        <v/>
      </c>
      <c r="AU843" s="45" t="str">
        <f t="shared" si="109"/>
        <v>激活：企微+Push低成本先跑</v>
      </c>
    </row>
    <row r="844" ht="15" customHeight="1" spans="1:47">
      <c r="A844" s="30" t="s">
        <v>2398</v>
      </c>
      <c r="B844" s="31" t="s">
        <v>2399</v>
      </c>
      <c r="C844" s="31" t="s">
        <v>223</v>
      </c>
      <c r="D844" s="31" t="s">
        <v>196</v>
      </c>
      <c r="E844" s="31" t="s">
        <v>181</v>
      </c>
      <c r="F844" s="30" t="s">
        <v>2400</v>
      </c>
      <c r="G844" s="31">
        <v>15</v>
      </c>
      <c r="H844" s="31" t="s">
        <v>183</v>
      </c>
      <c r="I844" s="31" t="s">
        <v>302</v>
      </c>
      <c r="J844" s="33">
        <v>6900</v>
      </c>
      <c r="K844" s="33">
        <v>5300</v>
      </c>
      <c r="L844" s="33">
        <v>1400</v>
      </c>
      <c r="M844" s="33">
        <f t="shared" si="104"/>
        <v>13600</v>
      </c>
      <c r="N844" s="34">
        <f t="shared" si="110"/>
        <v>7.12999020674874e-5</v>
      </c>
      <c r="O844" s="35">
        <f>SUM($M$2:M844)</f>
        <v>188478600</v>
      </c>
      <c r="P844" s="34">
        <f t="shared" si="111"/>
        <v>0.988125420721849</v>
      </c>
      <c r="Q844" s="37">
        <v>1</v>
      </c>
      <c r="R844" s="31">
        <v>5</v>
      </c>
      <c r="S844" s="31">
        <v>3</v>
      </c>
      <c r="T844" s="31">
        <v>1</v>
      </c>
      <c r="U844" s="37">
        <v>26.4</v>
      </c>
      <c r="V844" s="31">
        <v>3</v>
      </c>
      <c r="W844" s="31">
        <v>4</v>
      </c>
      <c r="X844" s="38">
        <v>58</v>
      </c>
      <c r="Y844" s="31">
        <v>2</v>
      </c>
      <c r="Z844" s="31">
        <v>0</v>
      </c>
      <c r="AA844" s="31" t="s">
        <v>199</v>
      </c>
      <c r="AB844" s="31" t="s">
        <v>220</v>
      </c>
      <c r="AC844" s="41">
        <f>IFERROR(LOOKUP(M844,打分卡!$F$7:$J$7,打分卡!$K$7:$O$7),1)</f>
        <v>1</v>
      </c>
      <c r="AD844" s="41">
        <f>IFERROR(LOOKUP(S844,打分卡!$F$8:$J$8,打分卡!$K$8:$O$8),1)</f>
        <v>3</v>
      </c>
      <c r="AE844" s="41">
        <f>IFERROR(LOOKUP(T844,打分卡!$F$9:$I$9,打分卡!$K$9:$N$9),1)</f>
        <v>2</v>
      </c>
      <c r="AF844" s="41">
        <f>IFERROR(LOOKUP(Q844,打分卡!$F$10:$J$10,打分卡!$K$10:$O$10),1)</f>
        <v>1</v>
      </c>
      <c r="AG844" s="41">
        <f>IFERROR(LOOKUP(R844,打分卡!$F$11:$J$11,打分卡!$K$11:$O$11),1)</f>
        <v>3</v>
      </c>
      <c r="AH844" s="41">
        <f>IFERROR(LOOKUP(U844,打分卡!$F$12:$J$12,打分卡!$K$12:$O$12),1)</f>
        <v>3</v>
      </c>
      <c r="AI844" s="41">
        <f>IFERROR(LOOKUP(X844,打分卡!$F$13:$J$13,打分卡!$K$13:$O$13),1)</f>
        <v>3</v>
      </c>
      <c r="AJ844" s="41">
        <f>IFERROR(LOOKUP(Y844,打分卡!$F$14:$J$14,打分卡!$K$14:$O$14),1)</f>
        <v>3</v>
      </c>
      <c r="AK844" s="41">
        <f>IFERROR(LOOKUP(W844,打分卡!$F$15:$J$15,打分卡!$K$15:$O$15),1)</f>
        <v>3</v>
      </c>
      <c r="AL844" s="43">
        <f t="shared" si="105"/>
        <v>5</v>
      </c>
      <c r="AM844" s="41">
        <f>IFERROR(LOOKUP(Z844,打分卡!$F$17:$H$17,打分卡!$K$17:$M$17),1)</f>
        <v>1</v>
      </c>
      <c r="AN844" s="44">
        <f>(打分卡!$D$7*AC844+打分卡!$D$8*AD844+打分卡!$D$9*AE844)/5</f>
        <v>12.6</v>
      </c>
      <c r="AO844" s="44">
        <f>(打分卡!$D$10*AF844+打分卡!$D$11*AG844)/5</f>
        <v>8</v>
      </c>
      <c r="AP844" s="44">
        <f>(打分卡!$D$12*AH844+打分卡!$D$13*AI844+打分卡!$D$14*AJ844+打分卡!$D$15*AK844)/5</f>
        <v>18</v>
      </c>
      <c r="AQ844" s="44">
        <f>(打分卡!$D$16*AL844+打分卡!$D$17*AM844)/5</f>
        <v>6.8</v>
      </c>
      <c r="AR844" s="47">
        <f t="shared" si="106"/>
        <v>45.4</v>
      </c>
      <c r="AS844" s="43" t="str">
        <f t="shared" si="107"/>
        <v>腰部</v>
      </c>
      <c r="AT844" s="43" t="str">
        <f t="shared" si="108"/>
        <v/>
      </c>
      <c r="AU844" s="43" t="str">
        <f t="shared" si="109"/>
        <v>拉·主攻：主推AI外呼+大促作战包</v>
      </c>
    </row>
    <row r="845" ht="15" customHeight="1" spans="1:47">
      <c r="A845" s="20" t="s">
        <v>2401</v>
      </c>
      <c r="B845" s="22" t="s">
        <v>2402</v>
      </c>
      <c r="C845" s="22" t="s">
        <v>223</v>
      </c>
      <c r="D845" s="22" t="s">
        <v>227</v>
      </c>
      <c r="E845" s="22" t="s">
        <v>181</v>
      </c>
      <c r="F845" s="20" t="s">
        <v>1143</v>
      </c>
      <c r="G845" s="22">
        <v>6</v>
      </c>
      <c r="H845" s="22" t="s">
        <v>301</v>
      </c>
      <c r="I845" s="22" t="s">
        <v>302</v>
      </c>
      <c r="J845" s="36">
        <v>6100</v>
      </c>
      <c r="K845" s="36">
        <v>5100</v>
      </c>
      <c r="L845" s="36">
        <v>2200</v>
      </c>
      <c r="M845" s="36">
        <f t="shared" si="104"/>
        <v>13400</v>
      </c>
      <c r="N845" s="34">
        <f t="shared" si="110"/>
        <v>7.02513740959068e-5</v>
      </c>
      <c r="O845" s="35">
        <f>SUM($M$2:M845)</f>
        <v>188492000</v>
      </c>
      <c r="P845" s="34">
        <f t="shared" si="111"/>
        <v>0.988195672095944</v>
      </c>
      <c r="Q845" s="39">
        <v>2</v>
      </c>
      <c r="R845" s="22">
        <v>10</v>
      </c>
      <c r="S845" s="22">
        <v>2</v>
      </c>
      <c r="T845" s="22">
        <v>2</v>
      </c>
      <c r="U845" s="39">
        <v>3.8</v>
      </c>
      <c r="V845" s="22">
        <v>15</v>
      </c>
      <c r="W845" s="22">
        <v>0</v>
      </c>
      <c r="X845" s="40">
        <v>102</v>
      </c>
      <c r="Y845" s="22">
        <v>0</v>
      </c>
      <c r="Z845" s="22">
        <v>0</v>
      </c>
      <c r="AA845" s="22" t="s">
        <v>185</v>
      </c>
      <c r="AB845" s="22" t="s">
        <v>220</v>
      </c>
      <c r="AC845" s="42">
        <f>IFERROR(LOOKUP(M845,打分卡!$F$7:$J$7,打分卡!$K$7:$O$7),1)</f>
        <v>1</v>
      </c>
      <c r="AD845" s="42">
        <f>IFERROR(LOOKUP(S845,打分卡!$F$8:$J$8,打分卡!$K$8:$O$8),1)</f>
        <v>2</v>
      </c>
      <c r="AE845" s="42">
        <f>IFERROR(LOOKUP(T845,打分卡!$F$9:$I$9,打分卡!$K$9:$N$9),1)</f>
        <v>3</v>
      </c>
      <c r="AF845" s="42">
        <f>IFERROR(LOOKUP(Q845,打分卡!$F$10:$J$10,打分卡!$K$10:$O$10),1)</f>
        <v>1</v>
      </c>
      <c r="AG845" s="42">
        <f>IFERROR(LOOKUP(R845,打分卡!$F$11:$J$11,打分卡!$K$11:$O$11),1)</f>
        <v>4</v>
      </c>
      <c r="AH845" s="42">
        <f>IFERROR(LOOKUP(U845,打分卡!$F$12:$J$12,打分卡!$K$12:$O$12),1)</f>
        <v>2</v>
      </c>
      <c r="AI845" s="42">
        <f>IFERROR(LOOKUP(X845,打分卡!$F$13:$J$13,打分卡!$K$13:$O$13),1)</f>
        <v>4</v>
      </c>
      <c r="AJ845" s="42">
        <f>IFERROR(LOOKUP(Y845,打分卡!$F$14:$J$14,打分卡!$K$14:$O$14),1)</f>
        <v>1</v>
      </c>
      <c r="AK845" s="42">
        <f>IFERROR(LOOKUP(W845,打分卡!$F$15:$J$15,打分卡!$K$15:$O$15),1)</f>
        <v>1</v>
      </c>
      <c r="AL845" s="45">
        <f t="shared" si="105"/>
        <v>3</v>
      </c>
      <c r="AM845" s="42">
        <f>IFERROR(LOOKUP(Z845,打分卡!$F$17:$H$17,打分卡!$K$17:$M$17),1)</f>
        <v>1</v>
      </c>
      <c r="AN845" s="46">
        <f>(打分卡!$D$7*AC845+打分卡!$D$8*AD845+打分卡!$D$9*AE845)/5</f>
        <v>12.4</v>
      </c>
      <c r="AO845" s="46">
        <f>(打分卡!$D$10*AF845+打分卡!$D$11*AG845)/5</f>
        <v>10</v>
      </c>
      <c r="AP845" s="46">
        <f>(打分卡!$D$12*AH845+打分卡!$D$13*AI845+打分卡!$D$14*AJ845+打分卡!$D$15*AK845)/5</f>
        <v>13.2</v>
      </c>
      <c r="AQ845" s="46">
        <f>(打分卡!$D$16*AL845+打分卡!$D$17*AM845)/5</f>
        <v>4.4</v>
      </c>
      <c r="AR845" s="48">
        <f t="shared" si="106"/>
        <v>40</v>
      </c>
      <c r="AS845" s="45" t="str">
        <f t="shared" si="107"/>
        <v>腰部</v>
      </c>
      <c r="AT845" s="45" t="str">
        <f t="shared" si="108"/>
        <v/>
      </c>
      <c r="AU845" s="45" t="str">
        <f t="shared" si="109"/>
        <v>拉·主攻：主推AI外呼+大促作战包</v>
      </c>
    </row>
    <row r="846" ht="15" customHeight="1" spans="1:47">
      <c r="A846" s="30" t="s">
        <v>2403</v>
      </c>
      <c r="B846" s="31" t="s">
        <v>2404</v>
      </c>
      <c r="C846" s="31" t="s">
        <v>189</v>
      </c>
      <c r="D846" s="31" t="s">
        <v>196</v>
      </c>
      <c r="E846" s="31" t="s">
        <v>181</v>
      </c>
      <c r="F846" s="30" t="s">
        <v>914</v>
      </c>
      <c r="G846" s="31">
        <v>10</v>
      </c>
      <c r="H846" s="31" t="s">
        <v>183</v>
      </c>
      <c r="I846" s="31" t="s">
        <v>302</v>
      </c>
      <c r="J846" s="33">
        <v>6400</v>
      </c>
      <c r="K846" s="33">
        <v>4500</v>
      </c>
      <c r="L846" s="33">
        <v>2400</v>
      </c>
      <c r="M846" s="33">
        <f t="shared" si="104"/>
        <v>13300</v>
      </c>
      <c r="N846" s="34">
        <f t="shared" si="110"/>
        <v>6.97271101101164e-5</v>
      </c>
      <c r="O846" s="35">
        <f>SUM($M$2:M846)</f>
        <v>188505300</v>
      </c>
      <c r="P846" s="34">
        <f t="shared" si="111"/>
        <v>0.988265399206055</v>
      </c>
      <c r="Q846" s="37">
        <v>2.1</v>
      </c>
      <c r="R846" s="31">
        <v>8</v>
      </c>
      <c r="S846" s="31">
        <v>3</v>
      </c>
      <c r="T846" s="31">
        <v>2</v>
      </c>
      <c r="U846" s="37">
        <v>20.8</v>
      </c>
      <c r="V846" s="31">
        <v>5</v>
      </c>
      <c r="W846" s="31">
        <v>2</v>
      </c>
      <c r="X846" s="38">
        <v>26</v>
      </c>
      <c r="Y846" s="31">
        <v>3</v>
      </c>
      <c r="Z846" s="31">
        <v>0</v>
      </c>
      <c r="AA846" s="31" t="s">
        <v>199</v>
      </c>
      <c r="AB846" s="31" t="s">
        <v>220</v>
      </c>
      <c r="AC846" s="41">
        <f>IFERROR(LOOKUP(M846,打分卡!$F$7:$J$7,打分卡!$K$7:$O$7),1)</f>
        <v>1</v>
      </c>
      <c r="AD846" s="41">
        <f>IFERROR(LOOKUP(S846,打分卡!$F$8:$J$8,打分卡!$K$8:$O$8),1)</f>
        <v>3</v>
      </c>
      <c r="AE846" s="41">
        <f>IFERROR(LOOKUP(T846,打分卡!$F$9:$I$9,打分卡!$K$9:$N$9),1)</f>
        <v>3</v>
      </c>
      <c r="AF846" s="41">
        <f>IFERROR(LOOKUP(Q846,打分卡!$F$10:$J$10,打分卡!$K$10:$O$10),1)</f>
        <v>1</v>
      </c>
      <c r="AG846" s="41">
        <f>IFERROR(LOOKUP(R846,打分卡!$F$11:$J$11,打分卡!$K$11:$O$11),1)</f>
        <v>3</v>
      </c>
      <c r="AH846" s="41">
        <f>IFERROR(LOOKUP(U846,打分卡!$F$12:$J$12,打分卡!$K$12:$O$12),1)</f>
        <v>3</v>
      </c>
      <c r="AI846" s="41">
        <f>IFERROR(LOOKUP(X846,打分卡!$F$13:$J$13,打分卡!$K$13:$O$13),1)</f>
        <v>2</v>
      </c>
      <c r="AJ846" s="41">
        <f>IFERROR(LOOKUP(Y846,打分卡!$F$14:$J$14,打分卡!$K$14:$O$14),1)</f>
        <v>4</v>
      </c>
      <c r="AK846" s="41">
        <f>IFERROR(LOOKUP(W846,打分卡!$F$15:$J$15,打分卡!$K$15:$O$15),1)</f>
        <v>2</v>
      </c>
      <c r="AL846" s="43">
        <f t="shared" si="105"/>
        <v>5</v>
      </c>
      <c r="AM846" s="41">
        <f>IFERROR(LOOKUP(Z846,打分卡!$F$17:$H$17,打分卡!$K$17:$M$17),1)</f>
        <v>1</v>
      </c>
      <c r="AN846" s="44">
        <f>(打分卡!$D$7*AC846+打分卡!$D$8*AD846+打分卡!$D$9*AE846)/5</f>
        <v>14</v>
      </c>
      <c r="AO846" s="44">
        <f>(打分卡!$D$10*AF846+打分卡!$D$11*AG846)/5</f>
        <v>8</v>
      </c>
      <c r="AP846" s="44">
        <f>(打分卡!$D$12*AH846+打分卡!$D$13*AI846+打分卡!$D$14*AJ846+打分卡!$D$15*AK846)/5</f>
        <v>16.8</v>
      </c>
      <c r="AQ846" s="44">
        <f>(打分卡!$D$16*AL846+打分卡!$D$17*AM846)/5</f>
        <v>6.8</v>
      </c>
      <c r="AR846" s="47">
        <f t="shared" si="106"/>
        <v>45.6</v>
      </c>
      <c r="AS846" s="43" t="str">
        <f t="shared" si="107"/>
        <v>腰部</v>
      </c>
      <c r="AT846" s="43" t="str">
        <f t="shared" si="108"/>
        <v/>
      </c>
      <c r="AU846" s="43" t="str">
        <f t="shared" si="109"/>
        <v>拉·主攻：主推AI外呼+大促作战包</v>
      </c>
    </row>
    <row r="847" ht="15" customHeight="1" spans="1:47">
      <c r="A847" s="20" t="s">
        <v>2405</v>
      </c>
      <c r="B847" s="22" t="s">
        <v>2406</v>
      </c>
      <c r="C847" s="22" t="s">
        <v>179</v>
      </c>
      <c r="D847" s="22" t="s">
        <v>190</v>
      </c>
      <c r="E847" s="22" t="s">
        <v>181</v>
      </c>
      <c r="F847" s="20" t="s">
        <v>914</v>
      </c>
      <c r="G847" s="22">
        <v>10</v>
      </c>
      <c r="H847" s="22" t="s">
        <v>301</v>
      </c>
      <c r="I847" s="22" t="s">
        <v>184</v>
      </c>
      <c r="J847" s="36">
        <v>8400</v>
      </c>
      <c r="K847" s="36">
        <v>4300</v>
      </c>
      <c r="L847" s="36">
        <v>700</v>
      </c>
      <c r="M847" s="36">
        <f t="shared" si="104"/>
        <v>13400</v>
      </c>
      <c r="N847" s="34">
        <f t="shared" si="110"/>
        <v>7.02513740959068e-5</v>
      </c>
      <c r="O847" s="35">
        <f>SUM($M$2:M847)</f>
        <v>188518700</v>
      </c>
      <c r="P847" s="34">
        <f t="shared" si="111"/>
        <v>0.98833565058015</v>
      </c>
      <c r="Q847" s="39">
        <v>1.8</v>
      </c>
      <c r="R847" s="22">
        <v>4</v>
      </c>
      <c r="S847" s="22">
        <v>1</v>
      </c>
      <c r="T847" s="22">
        <v>2</v>
      </c>
      <c r="U847" s="39">
        <v>31</v>
      </c>
      <c r="V847" s="22">
        <v>17</v>
      </c>
      <c r="W847" s="22">
        <v>0</v>
      </c>
      <c r="X847" s="40">
        <v>52</v>
      </c>
      <c r="Y847" s="22">
        <v>1</v>
      </c>
      <c r="Z847" s="22">
        <v>1</v>
      </c>
      <c r="AA847" s="22" t="s">
        <v>315</v>
      </c>
      <c r="AB847" s="22" t="s">
        <v>220</v>
      </c>
      <c r="AC847" s="42">
        <f>IFERROR(LOOKUP(M847,打分卡!$F$7:$J$7,打分卡!$K$7:$O$7),1)</f>
        <v>1</v>
      </c>
      <c r="AD847" s="42">
        <f>IFERROR(LOOKUP(S847,打分卡!$F$8:$J$8,打分卡!$K$8:$O$8),1)</f>
        <v>1</v>
      </c>
      <c r="AE847" s="42">
        <f>IFERROR(LOOKUP(T847,打分卡!$F$9:$I$9,打分卡!$K$9:$N$9),1)</f>
        <v>3</v>
      </c>
      <c r="AF847" s="42">
        <f>IFERROR(LOOKUP(Q847,打分卡!$F$10:$J$10,打分卡!$K$10:$O$10),1)</f>
        <v>1</v>
      </c>
      <c r="AG847" s="42">
        <f>IFERROR(LOOKUP(R847,打分卡!$F$11:$J$11,打分卡!$K$11:$O$11),1)</f>
        <v>2</v>
      </c>
      <c r="AH847" s="42">
        <f>IFERROR(LOOKUP(U847,打分卡!$F$12:$J$12,打分卡!$K$12:$O$12),1)</f>
        <v>3</v>
      </c>
      <c r="AI847" s="42">
        <f>IFERROR(LOOKUP(X847,打分卡!$F$13:$J$13,打分卡!$K$13:$O$13),1)</f>
        <v>3</v>
      </c>
      <c r="AJ847" s="42">
        <f>IFERROR(LOOKUP(Y847,打分卡!$F$14:$J$14,打分卡!$K$14:$O$14),1)</f>
        <v>2</v>
      </c>
      <c r="AK847" s="42">
        <f>IFERROR(LOOKUP(W847,打分卡!$F$15:$J$15,打分卡!$K$15:$O$15),1)</f>
        <v>1</v>
      </c>
      <c r="AL847" s="45">
        <f t="shared" si="105"/>
        <v>2</v>
      </c>
      <c r="AM847" s="42">
        <f>IFERROR(LOOKUP(Z847,打分卡!$F$17:$H$17,打分卡!$K$17:$M$17),1)</f>
        <v>3</v>
      </c>
      <c r="AN847" s="46">
        <f>(打分卡!$D$7*AC847+打分卡!$D$8*AD847+打分卡!$D$9*AE847)/5</f>
        <v>10.8</v>
      </c>
      <c r="AO847" s="46">
        <f>(打分卡!$D$10*AF847+打分卡!$D$11*AG847)/5</f>
        <v>6</v>
      </c>
      <c r="AP847" s="46">
        <f>(打分卡!$D$12*AH847+打分卡!$D$13*AI847+打分卡!$D$14*AJ847+打分卡!$D$15*AK847)/5</f>
        <v>15.2</v>
      </c>
      <c r="AQ847" s="46">
        <f>(打分卡!$D$16*AL847+打分卡!$D$17*AM847)/5</f>
        <v>4.8</v>
      </c>
      <c r="AR847" s="48">
        <f t="shared" si="106"/>
        <v>36.8</v>
      </c>
      <c r="AS847" s="45" t="str">
        <f t="shared" si="107"/>
        <v>基础长尾</v>
      </c>
      <c r="AT847" s="45" t="str">
        <f t="shared" si="108"/>
        <v/>
      </c>
      <c r="AU847" s="45" t="str">
        <f t="shared" si="109"/>
        <v>激活：企微+Push低成本先跑</v>
      </c>
    </row>
    <row r="848" ht="15" customHeight="1" spans="1:47">
      <c r="A848" s="30" t="s">
        <v>2407</v>
      </c>
      <c r="B848" s="31" t="s">
        <v>2408</v>
      </c>
      <c r="C848" s="31" t="s">
        <v>234</v>
      </c>
      <c r="D848" s="31" t="s">
        <v>190</v>
      </c>
      <c r="E848" s="31" t="s">
        <v>181</v>
      </c>
      <c r="F848" s="30" t="s">
        <v>2288</v>
      </c>
      <c r="G848" s="31">
        <v>7</v>
      </c>
      <c r="H848" s="31" t="s">
        <v>301</v>
      </c>
      <c r="I848" s="31" t="s">
        <v>302</v>
      </c>
      <c r="J848" s="33">
        <v>7000</v>
      </c>
      <c r="K848" s="33">
        <v>3600</v>
      </c>
      <c r="L848" s="33">
        <v>2700</v>
      </c>
      <c r="M848" s="33">
        <f t="shared" si="104"/>
        <v>13300</v>
      </c>
      <c r="N848" s="34">
        <f t="shared" si="110"/>
        <v>6.97271101101164e-5</v>
      </c>
      <c r="O848" s="35">
        <f>SUM($M$2:M848)</f>
        <v>188532000</v>
      </c>
      <c r="P848" s="34">
        <f t="shared" si="111"/>
        <v>0.988405377690261</v>
      </c>
      <c r="Q848" s="37">
        <v>2.1</v>
      </c>
      <c r="R848" s="31">
        <v>6</v>
      </c>
      <c r="S848" s="31">
        <v>3</v>
      </c>
      <c r="T848" s="31">
        <v>0</v>
      </c>
      <c r="U848" s="37">
        <v>1.8</v>
      </c>
      <c r="V848" s="31">
        <v>7</v>
      </c>
      <c r="W848" s="31">
        <v>2</v>
      </c>
      <c r="X848" s="38">
        <v>12</v>
      </c>
      <c r="Y848" s="31">
        <v>3</v>
      </c>
      <c r="Z848" s="31">
        <v>0</v>
      </c>
      <c r="AA848" s="31" t="s">
        <v>185</v>
      </c>
      <c r="AB848" s="31" t="s">
        <v>220</v>
      </c>
      <c r="AC848" s="41">
        <f>IFERROR(LOOKUP(M848,打分卡!$F$7:$J$7,打分卡!$K$7:$O$7),1)</f>
        <v>1</v>
      </c>
      <c r="AD848" s="41">
        <f>IFERROR(LOOKUP(S848,打分卡!$F$8:$J$8,打分卡!$K$8:$O$8),1)</f>
        <v>3</v>
      </c>
      <c r="AE848" s="41">
        <f>IFERROR(LOOKUP(T848,打分卡!$F$9:$I$9,打分卡!$K$9:$N$9),1)</f>
        <v>1</v>
      </c>
      <c r="AF848" s="41">
        <f>IFERROR(LOOKUP(Q848,打分卡!$F$10:$J$10,打分卡!$K$10:$O$10),1)</f>
        <v>1</v>
      </c>
      <c r="AG848" s="41">
        <f>IFERROR(LOOKUP(R848,打分卡!$F$11:$J$11,打分卡!$K$11:$O$11),1)</f>
        <v>3</v>
      </c>
      <c r="AH848" s="41">
        <f>IFERROR(LOOKUP(U848,打分卡!$F$12:$J$12,打分卡!$K$12:$O$12),1)</f>
        <v>1</v>
      </c>
      <c r="AI848" s="41">
        <f>IFERROR(LOOKUP(X848,打分卡!$F$13:$J$13,打分卡!$K$13:$O$13),1)</f>
        <v>1</v>
      </c>
      <c r="AJ848" s="41">
        <f>IFERROR(LOOKUP(Y848,打分卡!$F$14:$J$14,打分卡!$K$14:$O$14),1)</f>
        <v>4</v>
      </c>
      <c r="AK848" s="41">
        <f>IFERROR(LOOKUP(W848,打分卡!$F$15:$J$15,打分卡!$K$15:$O$15),1)</f>
        <v>2</v>
      </c>
      <c r="AL848" s="43">
        <f t="shared" si="105"/>
        <v>3</v>
      </c>
      <c r="AM848" s="41">
        <f>IFERROR(LOOKUP(Z848,打分卡!$F$17:$H$17,打分卡!$K$17:$M$17),1)</f>
        <v>1</v>
      </c>
      <c r="AN848" s="44">
        <f>(打分卡!$D$7*AC848+打分卡!$D$8*AD848+打分卡!$D$9*AE848)/5</f>
        <v>11.2</v>
      </c>
      <c r="AO848" s="44">
        <f>(打分卡!$D$10*AF848+打分卡!$D$11*AG848)/5</f>
        <v>8</v>
      </c>
      <c r="AP848" s="44">
        <f>(打分卡!$D$12*AH848+打分卡!$D$13*AI848+打分卡!$D$14*AJ848+打分卡!$D$15*AK848)/5</f>
        <v>10.4</v>
      </c>
      <c r="AQ848" s="44">
        <f>(打分卡!$D$16*AL848+打分卡!$D$17*AM848)/5</f>
        <v>4.4</v>
      </c>
      <c r="AR848" s="47">
        <f t="shared" si="106"/>
        <v>34</v>
      </c>
      <c r="AS848" s="43" t="str">
        <f t="shared" si="107"/>
        <v>基础长尾</v>
      </c>
      <c r="AT848" s="43" t="str">
        <f t="shared" si="108"/>
        <v/>
      </c>
      <c r="AU848" s="43" t="str">
        <f t="shared" si="109"/>
        <v>激活：企微+Push低成本先跑</v>
      </c>
    </row>
    <row r="849" ht="15" customHeight="1" spans="1:47">
      <c r="A849" s="20" t="s">
        <v>2409</v>
      </c>
      <c r="B849" s="22" t="s">
        <v>2410</v>
      </c>
      <c r="C849" s="22" t="s">
        <v>189</v>
      </c>
      <c r="D849" s="22" t="s">
        <v>202</v>
      </c>
      <c r="E849" s="22" t="s">
        <v>181</v>
      </c>
      <c r="F849" s="20" t="s">
        <v>572</v>
      </c>
      <c r="G849" s="22">
        <v>22</v>
      </c>
      <c r="H849" s="22" t="s">
        <v>301</v>
      </c>
      <c r="I849" s="22" t="s">
        <v>302</v>
      </c>
      <c r="J849" s="36">
        <v>6500</v>
      </c>
      <c r="K849" s="36">
        <v>3000</v>
      </c>
      <c r="L849" s="36">
        <v>3700</v>
      </c>
      <c r="M849" s="36">
        <f t="shared" si="104"/>
        <v>13200</v>
      </c>
      <c r="N849" s="34">
        <f t="shared" si="110"/>
        <v>6.92028461243261e-5</v>
      </c>
      <c r="O849" s="35">
        <f>SUM($M$2:M849)</f>
        <v>188545200</v>
      </c>
      <c r="P849" s="34">
        <f t="shared" si="111"/>
        <v>0.988474580536385</v>
      </c>
      <c r="Q849" s="39">
        <v>1.4</v>
      </c>
      <c r="R849" s="22">
        <v>9</v>
      </c>
      <c r="S849" s="22">
        <v>2</v>
      </c>
      <c r="T849" s="22">
        <v>2</v>
      </c>
      <c r="U849" s="39">
        <v>1.3</v>
      </c>
      <c r="V849" s="22">
        <v>27</v>
      </c>
      <c r="W849" s="22">
        <v>1</v>
      </c>
      <c r="X849" s="40">
        <v>117</v>
      </c>
      <c r="Y849" s="22">
        <v>0</v>
      </c>
      <c r="Z849" s="22">
        <v>0</v>
      </c>
      <c r="AA849" s="22" t="s">
        <v>185</v>
      </c>
      <c r="AB849" s="22" t="s">
        <v>220</v>
      </c>
      <c r="AC849" s="42">
        <f>IFERROR(LOOKUP(M849,打分卡!$F$7:$J$7,打分卡!$K$7:$O$7),1)</f>
        <v>1</v>
      </c>
      <c r="AD849" s="42">
        <f>IFERROR(LOOKUP(S849,打分卡!$F$8:$J$8,打分卡!$K$8:$O$8),1)</f>
        <v>2</v>
      </c>
      <c r="AE849" s="42">
        <f>IFERROR(LOOKUP(T849,打分卡!$F$9:$I$9,打分卡!$K$9:$N$9),1)</f>
        <v>3</v>
      </c>
      <c r="AF849" s="42">
        <f>IFERROR(LOOKUP(Q849,打分卡!$F$10:$J$10,打分卡!$K$10:$O$10),1)</f>
        <v>1</v>
      </c>
      <c r="AG849" s="42">
        <f>IFERROR(LOOKUP(R849,打分卡!$F$11:$J$11,打分卡!$K$11:$O$11),1)</f>
        <v>4</v>
      </c>
      <c r="AH849" s="42">
        <f>IFERROR(LOOKUP(U849,打分卡!$F$12:$J$12,打分卡!$K$12:$O$12),1)</f>
        <v>1</v>
      </c>
      <c r="AI849" s="42">
        <f>IFERROR(LOOKUP(X849,打分卡!$F$13:$J$13,打分卡!$K$13:$O$13),1)</f>
        <v>4</v>
      </c>
      <c r="AJ849" s="42">
        <f>IFERROR(LOOKUP(Y849,打分卡!$F$14:$J$14,打分卡!$K$14:$O$14),1)</f>
        <v>1</v>
      </c>
      <c r="AK849" s="42">
        <f>IFERROR(LOOKUP(W849,打分卡!$F$15:$J$15,打分卡!$K$15:$O$15),1)</f>
        <v>2</v>
      </c>
      <c r="AL849" s="45">
        <f t="shared" si="105"/>
        <v>3</v>
      </c>
      <c r="AM849" s="42">
        <f>IFERROR(LOOKUP(Z849,打分卡!$F$17:$H$17,打分卡!$K$17:$M$17),1)</f>
        <v>1</v>
      </c>
      <c r="AN849" s="46">
        <f>(打分卡!$D$7*AC849+打分卡!$D$8*AD849+打分卡!$D$9*AE849)/5</f>
        <v>12.4</v>
      </c>
      <c r="AO849" s="46">
        <f>(打分卡!$D$10*AF849+打分卡!$D$11*AG849)/5</f>
        <v>10</v>
      </c>
      <c r="AP849" s="46">
        <f>(打分卡!$D$12*AH849+打分卡!$D$13*AI849+打分卡!$D$14*AJ849+打分卡!$D$15*AK849)/5</f>
        <v>11.6</v>
      </c>
      <c r="AQ849" s="46">
        <f>(打分卡!$D$16*AL849+打分卡!$D$17*AM849)/5</f>
        <v>4.4</v>
      </c>
      <c r="AR849" s="48">
        <f t="shared" si="106"/>
        <v>38.4</v>
      </c>
      <c r="AS849" s="45" t="str">
        <f t="shared" si="107"/>
        <v>基础长尾</v>
      </c>
      <c r="AT849" s="45" t="str">
        <f t="shared" si="108"/>
        <v/>
      </c>
      <c r="AU849" s="45" t="str">
        <f t="shared" si="109"/>
        <v>激活：企微+Push低成本先跑</v>
      </c>
    </row>
    <row r="850" ht="15" customHeight="1" spans="1:47">
      <c r="A850" s="30" t="s">
        <v>2411</v>
      </c>
      <c r="B850" s="31" t="s">
        <v>2412</v>
      </c>
      <c r="C850" s="31" t="s">
        <v>179</v>
      </c>
      <c r="D850" s="31" t="s">
        <v>202</v>
      </c>
      <c r="E850" s="31" t="s">
        <v>181</v>
      </c>
      <c r="F850" s="30" t="s">
        <v>1452</v>
      </c>
      <c r="G850" s="31">
        <v>15</v>
      </c>
      <c r="H850" s="31" t="s">
        <v>301</v>
      </c>
      <c r="I850" s="31" t="s">
        <v>302</v>
      </c>
      <c r="J850" s="33">
        <v>8000</v>
      </c>
      <c r="K850" s="33">
        <v>4600</v>
      </c>
      <c r="L850" s="33">
        <v>700</v>
      </c>
      <c r="M850" s="33">
        <f t="shared" si="104"/>
        <v>13300</v>
      </c>
      <c r="N850" s="34">
        <f t="shared" si="110"/>
        <v>6.97271101101164e-5</v>
      </c>
      <c r="O850" s="35">
        <f>SUM($M$2:M850)</f>
        <v>188558500</v>
      </c>
      <c r="P850" s="34">
        <f t="shared" si="111"/>
        <v>0.988544307646495</v>
      </c>
      <c r="Q850" s="37">
        <v>1.4</v>
      </c>
      <c r="R850" s="31">
        <v>2</v>
      </c>
      <c r="S850" s="31">
        <v>3</v>
      </c>
      <c r="T850" s="31">
        <v>2</v>
      </c>
      <c r="U850" s="37">
        <v>8.5</v>
      </c>
      <c r="V850" s="31">
        <v>19</v>
      </c>
      <c r="W850" s="31">
        <v>4</v>
      </c>
      <c r="X850" s="38">
        <v>68</v>
      </c>
      <c r="Y850" s="31">
        <v>1</v>
      </c>
      <c r="Z850" s="31">
        <v>0</v>
      </c>
      <c r="AA850" s="31" t="s">
        <v>199</v>
      </c>
      <c r="AB850" s="31" t="s">
        <v>220</v>
      </c>
      <c r="AC850" s="41">
        <f>IFERROR(LOOKUP(M850,打分卡!$F$7:$J$7,打分卡!$K$7:$O$7),1)</f>
        <v>1</v>
      </c>
      <c r="AD850" s="41">
        <f>IFERROR(LOOKUP(S850,打分卡!$F$8:$J$8,打分卡!$K$8:$O$8),1)</f>
        <v>3</v>
      </c>
      <c r="AE850" s="41">
        <f>IFERROR(LOOKUP(T850,打分卡!$F$9:$I$9,打分卡!$K$9:$N$9),1)</f>
        <v>3</v>
      </c>
      <c r="AF850" s="41">
        <f>IFERROR(LOOKUP(Q850,打分卡!$F$10:$J$10,打分卡!$K$10:$O$10),1)</f>
        <v>1</v>
      </c>
      <c r="AG850" s="41">
        <f>IFERROR(LOOKUP(R850,打分卡!$F$11:$J$11,打分卡!$K$11:$O$11),1)</f>
        <v>1</v>
      </c>
      <c r="AH850" s="41">
        <f>IFERROR(LOOKUP(U850,打分卡!$F$12:$J$12,打分卡!$K$12:$O$12),1)</f>
        <v>2</v>
      </c>
      <c r="AI850" s="41">
        <f>IFERROR(LOOKUP(X850,打分卡!$F$13:$J$13,打分卡!$K$13:$O$13),1)</f>
        <v>3</v>
      </c>
      <c r="AJ850" s="41">
        <f>IFERROR(LOOKUP(Y850,打分卡!$F$14:$J$14,打分卡!$K$14:$O$14),1)</f>
        <v>2</v>
      </c>
      <c r="AK850" s="41">
        <f>IFERROR(LOOKUP(W850,打分卡!$F$15:$J$15,打分卡!$K$15:$O$15),1)</f>
        <v>3</v>
      </c>
      <c r="AL850" s="43">
        <f t="shared" si="105"/>
        <v>5</v>
      </c>
      <c r="AM850" s="41">
        <f>IFERROR(LOOKUP(Z850,打分卡!$F$17:$H$17,打分卡!$K$17:$M$17),1)</f>
        <v>1</v>
      </c>
      <c r="AN850" s="44">
        <f>(打分卡!$D$7*AC850+打分卡!$D$8*AD850+打分卡!$D$9*AE850)/5</f>
        <v>14</v>
      </c>
      <c r="AO850" s="44">
        <f>(打分卡!$D$10*AF850+打分卡!$D$11*AG850)/5</f>
        <v>4</v>
      </c>
      <c r="AP850" s="44">
        <f>(打分卡!$D$12*AH850+打分卡!$D$13*AI850+打分卡!$D$14*AJ850+打分卡!$D$15*AK850)/5</f>
        <v>14.4</v>
      </c>
      <c r="AQ850" s="44">
        <f>(打分卡!$D$16*AL850+打分卡!$D$17*AM850)/5</f>
        <v>6.8</v>
      </c>
      <c r="AR850" s="47">
        <f t="shared" si="106"/>
        <v>39.2</v>
      </c>
      <c r="AS850" s="43" t="str">
        <f t="shared" si="107"/>
        <v>基础长尾</v>
      </c>
      <c r="AT850" s="43" t="str">
        <f t="shared" si="108"/>
        <v/>
      </c>
      <c r="AU850" s="43" t="str">
        <f t="shared" si="109"/>
        <v>激活：企微+Push低成本先跑</v>
      </c>
    </row>
    <row r="851" ht="15" customHeight="1" spans="1:47">
      <c r="A851" s="20" t="s">
        <v>2413</v>
      </c>
      <c r="B851" s="22" t="s">
        <v>2414</v>
      </c>
      <c r="C851" s="22" t="s">
        <v>179</v>
      </c>
      <c r="D851" s="22" t="s">
        <v>202</v>
      </c>
      <c r="E851" s="22" t="s">
        <v>197</v>
      </c>
      <c r="F851" s="20" t="s">
        <v>2415</v>
      </c>
      <c r="G851" s="22">
        <v>14</v>
      </c>
      <c r="H851" s="22" t="s">
        <v>183</v>
      </c>
      <c r="I851" s="22" t="s">
        <v>302</v>
      </c>
      <c r="J851" s="36">
        <v>8300</v>
      </c>
      <c r="K851" s="36">
        <v>3100</v>
      </c>
      <c r="L851" s="36">
        <v>1900</v>
      </c>
      <c r="M851" s="36">
        <f t="shared" si="104"/>
        <v>13300</v>
      </c>
      <c r="N851" s="34">
        <f t="shared" si="110"/>
        <v>6.97271101101164e-5</v>
      </c>
      <c r="O851" s="35">
        <f>SUM($M$2:M851)</f>
        <v>188571800</v>
      </c>
      <c r="P851" s="34">
        <f t="shared" si="111"/>
        <v>0.988614034756605</v>
      </c>
      <c r="Q851" s="39">
        <v>1.3</v>
      </c>
      <c r="R851" s="22">
        <v>8</v>
      </c>
      <c r="S851" s="22">
        <v>3</v>
      </c>
      <c r="T851" s="22">
        <v>2</v>
      </c>
      <c r="U851" s="39">
        <v>33</v>
      </c>
      <c r="V851" s="22">
        <v>24</v>
      </c>
      <c r="W851" s="22">
        <v>3</v>
      </c>
      <c r="X851" s="40">
        <v>11</v>
      </c>
      <c r="Y851" s="22">
        <v>2</v>
      </c>
      <c r="Z851" s="22">
        <v>0</v>
      </c>
      <c r="AA851" s="22" t="s">
        <v>185</v>
      </c>
      <c r="AB851" s="22" t="s">
        <v>220</v>
      </c>
      <c r="AC851" s="42">
        <f>IFERROR(LOOKUP(M851,打分卡!$F$7:$J$7,打分卡!$K$7:$O$7),1)</f>
        <v>1</v>
      </c>
      <c r="AD851" s="42">
        <f>IFERROR(LOOKUP(S851,打分卡!$F$8:$J$8,打分卡!$K$8:$O$8),1)</f>
        <v>3</v>
      </c>
      <c r="AE851" s="42">
        <f>IFERROR(LOOKUP(T851,打分卡!$F$9:$I$9,打分卡!$K$9:$N$9),1)</f>
        <v>3</v>
      </c>
      <c r="AF851" s="42">
        <f>IFERROR(LOOKUP(Q851,打分卡!$F$10:$J$10,打分卡!$K$10:$O$10),1)</f>
        <v>1</v>
      </c>
      <c r="AG851" s="42">
        <f>IFERROR(LOOKUP(R851,打分卡!$F$11:$J$11,打分卡!$K$11:$O$11),1)</f>
        <v>3</v>
      </c>
      <c r="AH851" s="42">
        <f>IFERROR(LOOKUP(U851,打分卡!$F$12:$J$12,打分卡!$K$12:$O$12),1)</f>
        <v>4</v>
      </c>
      <c r="AI851" s="42">
        <f>IFERROR(LOOKUP(X851,打分卡!$F$13:$J$13,打分卡!$K$13:$O$13),1)</f>
        <v>1</v>
      </c>
      <c r="AJ851" s="42">
        <f>IFERROR(LOOKUP(Y851,打分卡!$F$14:$J$14,打分卡!$K$14:$O$14),1)</f>
        <v>3</v>
      </c>
      <c r="AK851" s="42">
        <f>IFERROR(LOOKUP(W851,打分卡!$F$15:$J$15,打分卡!$K$15:$O$15),1)</f>
        <v>3</v>
      </c>
      <c r="AL851" s="45">
        <f t="shared" si="105"/>
        <v>3</v>
      </c>
      <c r="AM851" s="42">
        <f>IFERROR(LOOKUP(Z851,打分卡!$F$17:$H$17,打分卡!$K$17:$M$17),1)</f>
        <v>1</v>
      </c>
      <c r="AN851" s="46">
        <f>(打分卡!$D$7*AC851+打分卡!$D$8*AD851+打分卡!$D$9*AE851)/5</f>
        <v>14</v>
      </c>
      <c r="AO851" s="46">
        <f>(打分卡!$D$10*AF851+打分卡!$D$11*AG851)/5</f>
        <v>8</v>
      </c>
      <c r="AP851" s="46">
        <f>(打分卡!$D$12*AH851+打分卡!$D$13*AI851+打分卡!$D$14*AJ851+打分卡!$D$15*AK851)/5</f>
        <v>17.2</v>
      </c>
      <c r="AQ851" s="46">
        <f>(打分卡!$D$16*AL851+打分卡!$D$17*AM851)/5</f>
        <v>4.4</v>
      </c>
      <c r="AR851" s="48">
        <f t="shared" si="106"/>
        <v>43.6</v>
      </c>
      <c r="AS851" s="45" t="str">
        <f t="shared" si="107"/>
        <v>腰部</v>
      </c>
      <c r="AT851" s="45" t="str">
        <f t="shared" si="108"/>
        <v/>
      </c>
      <c r="AU851" s="45" t="str">
        <f t="shared" si="109"/>
        <v>拉·主攻：主推AI外呼+大促作战包</v>
      </c>
    </row>
    <row r="852" ht="15" customHeight="1" spans="1:47">
      <c r="A852" s="30" t="s">
        <v>2416</v>
      </c>
      <c r="B852" s="31" t="s">
        <v>2417</v>
      </c>
      <c r="C852" s="31" t="s">
        <v>223</v>
      </c>
      <c r="D852" s="31" t="s">
        <v>202</v>
      </c>
      <c r="E852" s="31" t="s">
        <v>181</v>
      </c>
      <c r="F852" s="30" t="s">
        <v>2418</v>
      </c>
      <c r="G852" s="31">
        <v>21</v>
      </c>
      <c r="H852" s="31" t="s">
        <v>183</v>
      </c>
      <c r="I852" s="31" t="s">
        <v>184</v>
      </c>
      <c r="J852" s="33">
        <v>6300</v>
      </c>
      <c r="K852" s="33">
        <v>2900</v>
      </c>
      <c r="L852" s="33">
        <v>3900</v>
      </c>
      <c r="M852" s="33">
        <f t="shared" si="104"/>
        <v>13100</v>
      </c>
      <c r="N852" s="34">
        <f t="shared" si="110"/>
        <v>6.86785821385357e-5</v>
      </c>
      <c r="O852" s="35">
        <f>SUM($M$2:M852)</f>
        <v>188584900</v>
      </c>
      <c r="P852" s="34">
        <f t="shared" si="111"/>
        <v>0.988682713338744</v>
      </c>
      <c r="Q852" s="37">
        <v>1.9</v>
      </c>
      <c r="R852" s="31">
        <v>8</v>
      </c>
      <c r="S852" s="31">
        <v>2</v>
      </c>
      <c r="T852" s="31">
        <v>2</v>
      </c>
      <c r="U852" s="37">
        <v>26</v>
      </c>
      <c r="V852" s="31">
        <v>22</v>
      </c>
      <c r="W852" s="31">
        <v>4</v>
      </c>
      <c r="X852" s="38">
        <v>142</v>
      </c>
      <c r="Y852" s="31">
        <v>2</v>
      </c>
      <c r="Z852" s="31">
        <v>1</v>
      </c>
      <c r="AA852" s="31" t="s">
        <v>315</v>
      </c>
      <c r="AB852" s="31" t="s">
        <v>220</v>
      </c>
      <c r="AC852" s="41">
        <f>IFERROR(LOOKUP(M852,打分卡!$F$7:$J$7,打分卡!$K$7:$O$7),1)</f>
        <v>1</v>
      </c>
      <c r="AD852" s="41">
        <f>IFERROR(LOOKUP(S852,打分卡!$F$8:$J$8,打分卡!$K$8:$O$8),1)</f>
        <v>2</v>
      </c>
      <c r="AE852" s="41">
        <f>IFERROR(LOOKUP(T852,打分卡!$F$9:$I$9,打分卡!$K$9:$N$9),1)</f>
        <v>3</v>
      </c>
      <c r="AF852" s="41">
        <f>IFERROR(LOOKUP(Q852,打分卡!$F$10:$J$10,打分卡!$K$10:$O$10),1)</f>
        <v>1</v>
      </c>
      <c r="AG852" s="41">
        <f>IFERROR(LOOKUP(R852,打分卡!$F$11:$J$11,打分卡!$K$11:$O$11),1)</f>
        <v>3</v>
      </c>
      <c r="AH852" s="41">
        <f>IFERROR(LOOKUP(U852,打分卡!$F$12:$J$12,打分卡!$K$12:$O$12),1)</f>
        <v>3</v>
      </c>
      <c r="AI852" s="41">
        <f>IFERROR(LOOKUP(X852,打分卡!$F$13:$J$13,打分卡!$K$13:$O$13),1)</f>
        <v>4</v>
      </c>
      <c r="AJ852" s="41">
        <f>IFERROR(LOOKUP(Y852,打分卡!$F$14:$J$14,打分卡!$K$14:$O$14),1)</f>
        <v>3</v>
      </c>
      <c r="AK852" s="41">
        <f>IFERROR(LOOKUP(W852,打分卡!$F$15:$J$15,打分卡!$K$15:$O$15),1)</f>
        <v>3</v>
      </c>
      <c r="AL852" s="43">
        <f t="shared" si="105"/>
        <v>2</v>
      </c>
      <c r="AM852" s="41">
        <f>IFERROR(LOOKUP(Z852,打分卡!$F$17:$H$17,打分卡!$K$17:$M$17),1)</f>
        <v>3</v>
      </c>
      <c r="AN852" s="44">
        <f>(打分卡!$D$7*AC852+打分卡!$D$8*AD852+打分卡!$D$9*AE852)/5</f>
        <v>12.4</v>
      </c>
      <c r="AO852" s="44">
        <f>(打分卡!$D$10*AF852+打分卡!$D$11*AG852)/5</f>
        <v>8</v>
      </c>
      <c r="AP852" s="44">
        <f>(打分卡!$D$12*AH852+打分卡!$D$13*AI852+打分卡!$D$14*AJ852+打分卡!$D$15*AK852)/5</f>
        <v>19.6</v>
      </c>
      <c r="AQ852" s="44">
        <f>(打分卡!$D$16*AL852+打分卡!$D$17*AM852)/5</f>
        <v>4.8</v>
      </c>
      <c r="AR852" s="47">
        <f t="shared" si="106"/>
        <v>44.8</v>
      </c>
      <c r="AS852" s="43" t="str">
        <f t="shared" si="107"/>
        <v>腰部</v>
      </c>
      <c r="AT852" s="43" t="str">
        <f t="shared" si="108"/>
        <v/>
      </c>
      <c r="AU852" s="43" t="str">
        <f t="shared" si="109"/>
        <v>拉·主攻：主推AI外呼+大促作战包</v>
      </c>
    </row>
    <row r="853" ht="15" customHeight="1" spans="1:47">
      <c r="A853" s="20" t="s">
        <v>2419</v>
      </c>
      <c r="B853" s="22" t="s">
        <v>2420</v>
      </c>
      <c r="C853" s="22" t="s">
        <v>179</v>
      </c>
      <c r="D853" s="22" t="s">
        <v>227</v>
      </c>
      <c r="E853" s="22" t="s">
        <v>181</v>
      </c>
      <c r="F853" s="20" t="s">
        <v>2421</v>
      </c>
      <c r="G853" s="22">
        <v>6</v>
      </c>
      <c r="H853" s="22" t="s">
        <v>301</v>
      </c>
      <c r="I853" s="22" t="s">
        <v>302</v>
      </c>
      <c r="J853" s="36">
        <v>6100</v>
      </c>
      <c r="K853" s="36">
        <v>3100</v>
      </c>
      <c r="L853" s="36">
        <v>3900</v>
      </c>
      <c r="M853" s="36">
        <f t="shared" si="104"/>
        <v>13100</v>
      </c>
      <c r="N853" s="34">
        <f t="shared" si="110"/>
        <v>6.86785821385357e-5</v>
      </c>
      <c r="O853" s="35">
        <f>SUM($M$2:M853)</f>
        <v>188598000</v>
      </c>
      <c r="P853" s="34">
        <f t="shared" si="111"/>
        <v>0.988751391920882</v>
      </c>
      <c r="Q853" s="39">
        <v>1.6</v>
      </c>
      <c r="R853" s="22">
        <v>5</v>
      </c>
      <c r="S853" s="22">
        <v>3</v>
      </c>
      <c r="T853" s="22">
        <v>1</v>
      </c>
      <c r="U853" s="39">
        <v>5</v>
      </c>
      <c r="V853" s="22">
        <v>12</v>
      </c>
      <c r="W853" s="22">
        <v>1</v>
      </c>
      <c r="X853" s="40">
        <v>72</v>
      </c>
      <c r="Y853" s="22">
        <v>0</v>
      </c>
      <c r="Z853" s="22">
        <v>0</v>
      </c>
      <c r="AA853" s="22" t="s">
        <v>315</v>
      </c>
      <c r="AB853" s="22" t="s">
        <v>220</v>
      </c>
      <c r="AC853" s="42">
        <f>IFERROR(LOOKUP(M853,打分卡!$F$7:$J$7,打分卡!$K$7:$O$7),1)</f>
        <v>1</v>
      </c>
      <c r="AD853" s="42">
        <f>IFERROR(LOOKUP(S853,打分卡!$F$8:$J$8,打分卡!$K$8:$O$8),1)</f>
        <v>3</v>
      </c>
      <c r="AE853" s="42">
        <f>IFERROR(LOOKUP(T853,打分卡!$F$9:$I$9,打分卡!$K$9:$N$9),1)</f>
        <v>2</v>
      </c>
      <c r="AF853" s="42">
        <f>IFERROR(LOOKUP(Q853,打分卡!$F$10:$J$10,打分卡!$K$10:$O$10),1)</f>
        <v>1</v>
      </c>
      <c r="AG853" s="42">
        <f>IFERROR(LOOKUP(R853,打分卡!$F$11:$J$11,打分卡!$K$11:$O$11),1)</f>
        <v>3</v>
      </c>
      <c r="AH853" s="42">
        <f>IFERROR(LOOKUP(U853,打分卡!$F$12:$J$12,打分卡!$K$12:$O$12),1)</f>
        <v>2</v>
      </c>
      <c r="AI853" s="42">
        <f>IFERROR(LOOKUP(X853,打分卡!$F$13:$J$13,打分卡!$K$13:$O$13),1)</f>
        <v>3</v>
      </c>
      <c r="AJ853" s="42">
        <f>IFERROR(LOOKUP(Y853,打分卡!$F$14:$J$14,打分卡!$K$14:$O$14),1)</f>
        <v>1</v>
      </c>
      <c r="AK853" s="42">
        <f>IFERROR(LOOKUP(W853,打分卡!$F$15:$J$15,打分卡!$K$15:$O$15),1)</f>
        <v>2</v>
      </c>
      <c r="AL853" s="45">
        <f t="shared" si="105"/>
        <v>2</v>
      </c>
      <c r="AM853" s="42">
        <f>IFERROR(LOOKUP(Z853,打分卡!$F$17:$H$17,打分卡!$K$17:$M$17),1)</f>
        <v>1</v>
      </c>
      <c r="AN853" s="46">
        <f>(打分卡!$D$7*AC853+打分卡!$D$8*AD853+打分卡!$D$9*AE853)/5</f>
        <v>12.6</v>
      </c>
      <c r="AO853" s="46">
        <f>(打分卡!$D$10*AF853+打分卡!$D$11*AG853)/5</f>
        <v>8</v>
      </c>
      <c r="AP853" s="46">
        <f>(打分卡!$D$12*AH853+打分卡!$D$13*AI853+打分卡!$D$14*AJ853+打分卡!$D$15*AK853)/5</f>
        <v>12.4</v>
      </c>
      <c r="AQ853" s="46">
        <f>(打分卡!$D$16*AL853+打分卡!$D$17*AM853)/5</f>
        <v>3.2</v>
      </c>
      <c r="AR853" s="48">
        <f t="shared" si="106"/>
        <v>36.2</v>
      </c>
      <c r="AS853" s="45" t="str">
        <f t="shared" si="107"/>
        <v>基础长尾</v>
      </c>
      <c r="AT853" s="45" t="str">
        <f t="shared" si="108"/>
        <v/>
      </c>
      <c r="AU853" s="45" t="str">
        <f t="shared" si="109"/>
        <v>激活：企微+Push低成本先跑</v>
      </c>
    </row>
    <row r="854" ht="15" customHeight="1" spans="1:47">
      <c r="A854" s="30" t="s">
        <v>2422</v>
      </c>
      <c r="B854" s="31" t="s">
        <v>2423</v>
      </c>
      <c r="C854" s="31" t="s">
        <v>179</v>
      </c>
      <c r="D854" s="31" t="s">
        <v>227</v>
      </c>
      <c r="E854" s="31" t="s">
        <v>181</v>
      </c>
      <c r="F854" s="30" t="s">
        <v>1709</v>
      </c>
      <c r="G854" s="31">
        <v>15</v>
      </c>
      <c r="H854" s="31" t="s">
        <v>301</v>
      </c>
      <c r="I854" s="31" t="s">
        <v>184</v>
      </c>
      <c r="J854" s="33">
        <v>6200</v>
      </c>
      <c r="K854" s="33">
        <v>2900</v>
      </c>
      <c r="L854" s="33">
        <v>4000</v>
      </c>
      <c r="M854" s="33">
        <f t="shared" si="104"/>
        <v>13100</v>
      </c>
      <c r="N854" s="34">
        <f t="shared" si="110"/>
        <v>6.86785821385357e-5</v>
      </c>
      <c r="O854" s="35">
        <f>SUM($M$2:M854)</f>
        <v>188611100</v>
      </c>
      <c r="P854" s="34">
        <f t="shared" si="111"/>
        <v>0.988820070503021</v>
      </c>
      <c r="Q854" s="37">
        <v>0.9</v>
      </c>
      <c r="R854" s="31">
        <v>10</v>
      </c>
      <c r="S854" s="31">
        <v>3</v>
      </c>
      <c r="T854" s="31">
        <v>1</v>
      </c>
      <c r="U854" s="37">
        <v>57</v>
      </c>
      <c r="V854" s="31">
        <v>24</v>
      </c>
      <c r="W854" s="31">
        <v>4</v>
      </c>
      <c r="X854" s="38">
        <v>58</v>
      </c>
      <c r="Y854" s="31">
        <v>3</v>
      </c>
      <c r="Z854" s="31">
        <v>1</v>
      </c>
      <c r="AA854" s="31" t="s">
        <v>185</v>
      </c>
      <c r="AB854" s="31" t="s">
        <v>220</v>
      </c>
      <c r="AC854" s="41">
        <f>IFERROR(LOOKUP(M854,打分卡!$F$7:$J$7,打分卡!$K$7:$O$7),1)</f>
        <v>1</v>
      </c>
      <c r="AD854" s="41">
        <f>IFERROR(LOOKUP(S854,打分卡!$F$8:$J$8,打分卡!$K$8:$O$8),1)</f>
        <v>3</v>
      </c>
      <c r="AE854" s="41">
        <f>IFERROR(LOOKUP(T854,打分卡!$F$9:$I$9,打分卡!$K$9:$N$9),1)</f>
        <v>2</v>
      </c>
      <c r="AF854" s="41">
        <f>IFERROR(LOOKUP(Q854,打分卡!$F$10:$J$10,打分卡!$K$10:$O$10),1)</f>
        <v>1</v>
      </c>
      <c r="AG854" s="41">
        <f>IFERROR(LOOKUP(R854,打分卡!$F$11:$J$11,打分卡!$K$11:$O$11),1)</f>
        <v>4</v>
      </c>
      <c r="AH854" s="41">
        <f>IFERROR(LOOKUP(U854,打分卡!$F$12:$J$12,打分卡!$K$12:$O$12),1)</f>
        <v>4</v>
      </c>
      <c r="AI854" s="41">
        <f>IFERROR(LOOKUP(X854,打分卡!$F$13:$J$13,打分卡!$K$13:$O$13),1)</f>
        <v>3</v>
      </c>
      <c r="AJ854" s="41">
        <f>IFERROR(LOOKUP(Y854,打分卡!$F$14:$J$14,打分卡!$K$14:$O$14),1)</f>
        <v>4</v>
      </c>
      <c r="AK854" s="41">
        <f>IFERROR(LOOKUP(W854,打分卡!$F$15:$J$15,打分卡!$K$15:$O$15),1)</f>
        <v>3</v>
      </c>
      <c r="AL854" s="43">
        <f t="shared" si="105"/>
        <v>3</v>
      </c>
      <c r="AM854" s="41">
        <f>IFERROR(LOOKUP(Z854,打分卡!$F$17:$H$17,打分卡!$K$17:$M$17),1)</f>
        <v>3</v>
      </c>
      <c r="AN854" s="44">
        <f>(打分卡!$D$7*AC854+打分卡!$D$8*AD854+打分卡!$D$9*AE854)/5</f>
        <v>12.6</v>
      </c>
      <c r="AO854" s="44">
        <f>(打分卡!$D$10*AF854+打分卡!$D$11*AG854)/5</f>
        <v>10</v>
      </c>
      <c r="AP854" s="44">
        <f>(打分卡!$D$12*AH854+打分卡!$D$13*AI854+打分卡!$D$14*AJ854+打分卡!$D$15*AK854)/5</f>
        <v>21.6</v>
      </c>
      <c r="AQ854" s="44">
        <f>(打分卡!$D$16*AL854+打分卡!$D$17*AM854)/5</f>
        <v>6</v>
      </c>
      <c r="AR854" s="47">
        <f t="shared" si="106"/>
        <v>50.2</v>
      </c>
      <c r="AS854" s="43" t="str">
        <f t="shared" si="107"/>
        <v>腰部</v>
      </c>
      <c r="AT854" s="43" t="str">
        <f t="shared" si="108"/>
        <v/>
      </c>
      <c r="AU854" s="43" t="str">
        <f t="shared" si="109"/>
        <v>拉·主攻：主推AI外呼+大促作战包</v>
      </c>
    </row>
    <row r="855" ht="15" customHeight="1" spans="1:47">
      <c r="A855" s="20" t="s">
        <v>2424</v>
      </c>
      <c r="B855" s="22" t="s">
        <v>2425</v>
      </c>
      <c r="C855" s="22" t="s">
        <v>179</v>
      </c>
      <c r="D855" s="22" t="s">
        <v>202</v>
      </c>
      <c r="E855" s="22" t="s">
        <v>197</v>
      </c>
      <c r="F855" s="20" t="s">
        <v>560</v>
      </c>
      <c r="G855" s="22">
        <v>13</v>
      </c>
      <c r="H855" s="22" t="s">
        <v>301</v>
      </c>
      <c r="I855" s="22" t="s">
        <v>184</v>
      </c>
      <c r="J855" s="36">
        <v>6400</v>
      </c>
      <c r="K855" s="36">
        <v>4100</v>
      </c>
      <c r="L855" s="36">
        <v>2400</v>
      </c>
      <c r="M855" s="36">
        <f t="shared" si="104"/>
        <v>12900</v>
      </c>
      <c r="N855" s="34">
        <f t="shared" si="110"/>
        <v>6.7630054166955e-5</v>
      </c>
      <c r="O855" s="35">
        <f>SUM($M$2:M855)</f>
        <v>188624000</v>
      </c>
      <c r="P855" s="34">
        <f t="shared" si="111"/>
        <v>0.988887700557188</v>
      </c>
      <c r="Q855" s="39">
        <v>1.6</v>
      </c>
      <c r="R855" s="22">
        <v>7</v>
      </c>
      <c r="S855" s="22">
        <v>2</v>
      </c>
      <c r="T855" s="22">
        <v>0</v>
      </c>
      <c r="U855" s="39">
        <v>29.9</v>
      </c>
      <c r="V855" s="22">
        <v>29</v>
      </c>
      <c r="W855" s="22">
        <v>2</v>
      </c>
      <c r="X855" s="40">
        <v>10</v>
      </c>
      <c r="Y855" s="22">
        <v>1</v>
      </c>
      <c r="Z855" s="22">
        <v>0</v>
      </c>
      <c r="AA855" s="22" t="s">
        <v>199</v>
      </c>
      <c r="AB855" s="22" t="s">
        <v>220</v>
      </c>
      <c r="AC855" s="42">
        <f>IFERROR(LOOKUP(M855,打分卡!$F$7:$J$7,打分卡!$K$7:$O$7),1)</f>
        <v>1</v>
      </c>
      <c r="AD855" s="42">
        <f>IFERROR(LOOKUP(S855,打分卡!$F$8:$J$8,打分卡!$K$8:$O$8),1)</f>
        <v>2</v>
      </c>
      <c r="AE855" s="42">
        <f>IFERROR(LOOKUP(T855,打分卡!$F$9:$I$9,打分卡!$K$9:$N$9),1)</f>
        <v>1</v>
      </c>
      <c r="AF855" s="42">
        <f>IFERROR(LOOKUP(Q855,打分卡!$F$10:$J$10,打分卡!$K$10:$O$10),1)</f>
        <v>1</v>
      </c>
      <c r="AG855" s="42">
        <f>IFERROR(LOOKUP(R855,打分卡!$F$11:$J$11,打分卡!$K$11:$O$11),1)</f>
        <v>3</v>
      </c>
      <c r="AH855" s="42">
        <f>IFERROR(LOOKUP(U855,打分卡!$F$12:$J$12,打分卡!$K$12:$O$12),1)</f>
        <v>3</v>
      </c>
      <c r="AI855" s="42">
        <f>IFERROR(LOOKUP(X855,打分卡!$F$13:$J$13,打分卡!$K$13:$O$13),1)</f>
        <v>1</v>
      </c>
      <c r="AJ855" s="42">
        <f>IFERROR(LOOKUP(Y855,打分卡!$F$14:$J$14,打分卡!$K$14:$O$14),1)</f>
        <v>2</v>
      </c>
      <c r="AK855" s="42">
        <f>IFERROR(LOOKUP(W855,打分卡!$F$15:$J$15,打分卡!$K$15:$O$15),1)</f>
        <v>2</v>
      </c>
      <c r="AL855" s="45">
        <f t="shared" si="105"/>
        <v>5</v>
      </c>
      <c r="AM855" s="42">
        <f>IFERROR(LOOKUP(Z855,打分卡!$F$17:$H$17,打分卡!$K$17:$M$17),1)</f>
        <v>1</v>
      </c>
      <c r="AN855" s="46">
        <f>(打分卡!$D$7*AC855+打分卡!$D$8*AD855+打分卡!$D$9*AE855)/5</f>
        <v>9.6</v>
      </c>
      <c r="AO855" s="46">
        <f>(打分卡!$D$10*AF855+打分卡!$D$11*AG855)/5</f>
        <v>8</v>
      </c>
      <c r="AP855" s="46">
        <f>(打分卡!$D$12*AH855+打分卡!$D$13*AI855+打分卡!$D$14*AJ855+打分卡!$D$15*AK855)/5</f>
        <v>12.8</v>
      </c>
      <c r="AQ855" s="46">
        <f>(打分卡!$D$16*AL855+打分卡!$D$17*AM855)/5</f>
        <v>6.8</v>
      </c>
      <c r="AR855" s="48">
        <f t="shared" si="106"/>
        <v>37.2</v>
      </c>
      <c r="AS855" s="45" t="str">
        <f t="shared" si="107"/>
        <v>基础长尾</v>
      </c>
      <c r="AT855" s="45" t="str">
        <f t="shared" si="108"/>
        <v/>
      </c>
      <c r="AU855" s="45" t="str">
        <f t="shared" si="109"/>
        <v>激活：企微+Push低成本先跑</v>
      </c>
    </row>
    <row r="856" ht="15" customHeight="1" spans="1:47">
      <c r="A856" s="30" t="s">
        <v>2426</v>
      </c>
      <c r="B856" s="31" t="s">
        <v>2427</v>
      </c>
      <c r="C856" s="31" t="s">
        <v>189</v>
      </c>
      <c r="D856" s="31" t="s">
        <v>235</v>
      </c>
      <c r="E856" s="31" t="s">
        <v>181</v>
      </c>
      <c r="F856" s="30" t="s">
        <v>2428</v>
      </c>
      <c r="G856" s="31">
        <v>14</v>
      </c>
      <c r="H856" s="31" t="s">
        <v>183</v>
      </c>
      <c r="I856" s="31" t="s">
        <v>302</v>
      </c>
      <c r="J856" s="33">
        <v>7200</v>
      </c>
      <c r="K856" s="33">
        <v>3600</v>
      </c>
      <c r="L856" s="33">
        <v>2200</v>
      </c>
      <c r="M856" s="33">
        <f t="shared" si="104"/>
        <v>13000</v>
      </c>
      <c r="N856" s="34">
        <f t="shared" si="110"/>
        <v>6.81543181527454e-5</v>
      </c>
      <c r="O856" s="35">
        <f>SUM($M$2:M856)</f>
        <v>188637000</v>
      </c>
      <c r="P856" s="34">
        <f t="shared" si="111"/>
        <v>0.988955854875341</v>
      </c>
      <c r="Q856" s="37">
        <v>2</v>
      </c>
      <c r="R856" s="31">
        <v>8</v>
      </c>
      <c r="S856" s="31">
        <v>2</v>
      </c>
      <c r="T856" s="31">
        <v>0</v>
      </c>
      <c r="U856" s="37">
        <v>11.4</v>
      </c>
      <c r="V856" s="31">
        <v>28</v>
      </c>
      <c r="W856" s="31">
        <v>3</v>
      </c>
      <c r="X856" s="38">
        <v>42</v>
      </c>
      <c r="Y856" s="31">
        <v>2</v>
      </c>
      <c r="Z856" s="31">
        <v>0</v>
      </c>
      <c r="AA856" s="31" t="s">
        <v>199</v>
      </c>
      <c r="AB856" s="31" t="s">
        <v>220</v>
      </c>
      <c r="AC856" s="41">
        <f>IFERROR(LOOKUP(M856,打分卡!$F$7:$J$7,打分卡!$K$7:$O$7),1)</f>
        <v>1</v>
      </c>
      <c r="AD856" s="41">
        <f>IFERROR(LOOKUP(S856,打分卡!$F$8:$J$8,打分卡!$K$8:$O$8),1)</f>
        <v>2</v>
      </c>
      <c r="AE856" s="41">
        <f>IFERROR(LOOKUP(T856,打分卡!$F$9:$I$9,打分卡!$K$9:$N$9),1)</f>
        <v>1</v>
      </c>
      <c r="AF856" s="41">
        <f>IFERROR(LOOKUP(Q856,打分卡!$F$10:$J$10,打分卡!$K$10:$O$10),1)</f>
        <v>1</v>
      </c>
      <c r="AG856" s="41">
        <f>IFERROR(LOOKUP(R856,打分卡!$F$11:$J$11,打分卡!$K$11:$O$11),1)</f>
        <v>3</v>
      </c>
      <c r="AH856" s="41">
        <f>IFERROR(LOOKUP(U856,打分卡!$F$12:$J$12,打分卡!$K$12:$O$12),1)</f>
        <v>3</v>
      </c>
      <c r="AI856" s="41">
        <f>IFERROR(LOOKUP(X856,打分卡!$F$13:$J$13,打分卡!$K$13:$O$13),1)</f>
        <v>3</v>
      </c>
      <c r="AJ856" s="41">
        <f>IFERROR(LOOKUP(Y856,打分卡!$F$14:$J$14,打分卡!$K$14:$O$14),1)</f>
        <v>3</v>
      </c>
      <c r="AK856" s="41">
        <f>IFERROR(LOOKUP(W856,打分卡!$F$15:$J$15,打分卡!$K$15:$O$15),1)</f>
        <v>3</v>
      </c>
      <c r="AL856" s="43">
        <f t="shared" si="105"/>
        <v>5</v>
      </c>
      <c r="AM856" s="41">
        <f>IFERROR(LOOKUP(Z856,打分卡!$F$17:$H$17,打分卡!$K$17:$M$17),1)</f>
        <v>1</v>
      </c>
      <c r="AN856" s="44">
        <f>(打分卡!$D$7*AC856+打分卡!$D$8*AD856+打分卡!$D$9*AE856)/5</f>
        <v>9.6</v>
      </c>
      <c r="AO856" s="44">
        <f>(打分卡!$D$10*AF856+打分卡!$D$11*AG856)/5</f>
        <v>8</v>
      </c>
      <c r="AP856" s="44">
        <f>(打分卡!$D$12*AH856+打分卡!$D$13*AI856+打分卡!$D$14*AJ856+打分卡!$D$15*AK856)/5</f>
        <v>18</v>
      </c>
      <c r="AQ856" s="44">
        <f>(打分卡!$D$16*AL856+打分卡!$D$17*AM856)/5</f>
        <v>6.8</v>
      </c>
      <c r="AR856" s="47">
        <f t="shared" si="106"/>
        <v>42.4</v>
      </c>
      <c r="AS856" s="43" t="str">
        <f t="shared" si="107"/>
        <v>腰部</v>
      </c>
      <c r="AT856" s="43" t="str">
        <f t="shared" si="108"/>
        <v/>
      </c>
      <c r="AU856" s="43" t="str">
        <f t="shared" si="109"/>
        <v>拉·主攻：主推AI外呼+大促作战包</v>
      </c>
    </row>
    <row r="857" ht="15" customHeight="1" spans="1:47">
      <c r="A857" s="20" t="s">
        <v>2429</v>
      </c>
      <c r="B857" s="22" t="s">
        <v>2430</v>
      </c>
      <c r="C857" s="22" t="s">
        <v>189</v>
      </c>
      <c r="D857" s="22" t="s">
        <v>252</v>
      </c>
      <c r="E857" s="22" t="s">
        <v>181</v>
      </c>
      <c r="F857" s="20" t="s">
        <v>2431</v>
      </c>
      <c r="G857" s="22">
        <v>12</v>
      </c>
      <c r="H857" s="22" t="s">
        <v>301</v>
      </c>
      <c r="I857" s="22" t="s">
        <v>302</v>
      </c>
      <c r="J857" s="36">
        <v>6400</v>
      </c>
      <c r="K857" s="36">
        <v>2700</v>
      </c>
      <c r="L857" s="36">
        <v>3800</v>
      </c>
      <c r="M857" s="36">
        <f t="shared" si="104"/>
        <v>12900</v>
      </c>
      <c r="N857" s="34">
        <f t="shared" si="110"/>
        <v>6.7630054166955e-5</v>
      </c>
      <c r="O857" s="35">
        <f>SUM($M$2:M857)</f>
        <v>188649900</v>
      </c>
      <c r="P857" s="34">
        <f t="shared" si="111"/>
        <v>0.989023484929507</v>
      </c>
      <c r="Q857" s="39">
        <v>1.2</v>
      </c>
      <c r="R857" s="22">
        <v>9</v>
      </c>
      <c r="S857" s="22">
        <v>3</v>
      </c>
      <c r="T857" s="22">
        <v>0</v>
      </c>
      <c r="U857" s="39">
        <v>18</v>
      </c>
      <c r="V857" s="22">
        <v>6</v>
      </c>
      <c r="W857" s="22">
        <v>3</v>
      </c>
      <c r="X857" s="40">
        <v>51</v>
      </c>
      <c r="Y857" s="22">
        <v>3</v>
      </c>
      <c r="Z857" s="22">
        <v>1</v>
      </c>
      <c r="AA857" s="22" t="s">
        <v>199</v>
      </c>
      <c r="AB857" s="22" t="s">
        <v>220</v>
      </c>
      <c r="AC857" s="42">
        <f>IFERROR(LOOKUP(M857,打分卡!$F$7:$J$7,打分卡!$K$7:$O$7),1)</f>
        <v>1</v>
      </c>
      <c r="AD857" s="42">
        <f>IFERROR(LOOKUP(S857,打分卡!$F$8:$J$8,打分卡!$K$8:$O$8),1)</f>
        <v>3</v>
      </c>
      <c r="AE857" s="42">
        <f>IFERROR(LOOKUP(T857,打分卡!$F$9:$I$9,打分卡!$K$9:$N$9),1)</f>
        <v>1</v>
      </c>
      <c r="AF857" s="42">
        <f>IFERROR(LOOKUP(Q857,打分卡!$F$10:$J$10,打分卡!$K$10:$O$10),1)</f>
        <v>1</v>
      </c>
      <c r="AG857" s="42">
        <f>IFERROR(LOOKUP(R857,打分卡!$F$11:$J$11,打分卡!$K$11:$O$11),1)</f>
        <v>4</v>
      </c>
      <c r="AH857" s="42">
        <f>IFERROR(LOOKUP(U857,打分卡!$F$12:$J$12,打分卡!$K$12:$O$12),1)</f>
        <v>3</v>
      </c>
      <c r="AI857" s="42">
        <f>IFERROR(LOOKUP(X857,打分卡!$F$13:$J$13,打分卡!$K$13:$O$13),1)</f>
        <v>3</v>
      </c>
      <c r="AJ857" s="42">
        <f>IFERROR(LOOKUP(Y857,打分卡!$F$14:$J$14,打分卡!$K$14:$O$14),1)</f>
        <v>4</v>
      </c>
      <c r="AK857" s="42">
        <f>IFERROR(LOOKUP(W857,打分卡!$F$15:$J$15,打分卡!$K$15:$O$15),1)</f>
        <v>3</v>
      </c>
      <c r="AL857" s="45">
        <f t="shared" si="105"/>
        <v>5</v>
      </c>
      <c r="AM857" s="42">
        <f>IFERROR(LOOKUP(Z857,打分卡!$F$17:$H$17,打分卡!$K$17:$M$17),1)</f>
        <v>3</v>
      </c>
      <c r="AN857" s="46">
        <f>(打分卡!$D$7*AC857+打分卡!$D$8*AD857+打分卡!$D$9*AE857)/5</f>
        <v>11.2</v>
      </c>
      <c r="AO857" s="46">
        <f>(打分卡!$D$10*AF857+打分卡!$D$11*AG857)/5</f>
        <v>10</v>
      </c>
      <c r="AP857" s="46">
        <f>(打分卡!$D$12*AH857+打分卡!$D$13*AI857+打分卡!$D$14*AJ857+打分卡!$D$15*AK857)/5</f>
        <v>19.2</v>
      </c>
      <c r="AQ857" s="46">
        <f>(打分卡!$D$16*AL857+打分卡!$D$17*AM857)/5</f>
        <v>8.4</v>
      </c>
      <c r="AR857" s="48">
        <f t="shared" si="106"/>
        <v>48.8</v>
      </c>
      <c r="AS857" s="45" t="str">
        <f t="shared" si="107"/>
        <v>腰部</v>
      </c>
      <c r="AT857" s="45" t="str">
        <f t="shared" si="108"/>
        <v/>
      </c>
      <c r="AU857" s="45" t="str">
        <f t="shared" si="109"/>
        <v>拉·主攻：主推AI外呼+大促作战包</v>
      </c>
    </row>
    <row r="858" ht="15" customHeight="1" spans="1:47">
      <c r="A858" s="30" t="s">
        <v>2432</v>
      </c>
      <c r="B858" s="31" t="s">
        <v>2433</v>
      </c>
      <c r="C858" s="31" t="s">
        <v>218</v>
      </c>
      <c r="D858" s="31" t="s">
        <v>180</v>
      </c>
      <c r="E858" s="31" t="s">
        <v>181</v>
      </c>
      <c r="F858" s="30" t="s">
        <v>314</v>
      </c>
      <c r="G858" s="31">
        <v>6</v>
      </c>
      <c r="H858" s="31" t="s">
        <v>301</v>
      </c>
      <c r="I858" s="31" t="s">
        <v>302</v>
      </c>
      <c r="J858" s="33">
        <v>6800</v>
      </c>
      <c r="K858" s="33">
        <v>4800</v>
      </c>
      <c r="L858" s="33">
        <v>1300</v>
      </c>
      <c r="M858" s="33">
        <f t="shared" si="104"/>
        <v>12900</v>
      </c>
      <c r="N858" s="34">
        <f t="shared" si="110"/>
        <v>6.7630054166955e-5</v>
      </c>
      <c r="O858" s="35">
        <f>SUM($M$2:M858)</f>
        <v>188662800</v>
      </c>
      <c r="P858" s="34">
        <f t="shared" si="111"/>
        <v>0.989091114983674</v>
      </c>
      <c r="Q858" s="37">
        <v>1.1</v>
      </c>
      <c r="R858" s="31">
        <v>1</v>
      </c>
      <c r="S858" s="31">
        <v>1</v>
      </c>
      <c r="T858" s="31">
        <v>0</v>
      </c>
      <c r="U858" s="37">
        <v>13.7</v>
      </c>
      <c r="V858" s="31">
        <v>13</v>
      </c>
      <c r="W858" s="31">
        <v>2</v>
      </c>
      <c r="X858" s="38">
        <v>16</v>
      </c>
      <c r="Y858" s="31">
        <v>1</v>
      </c>
      <c r="Z858" s="31">
        <v>1</v>
      </c>
      <c r="AA858" s="31" t="s">
        <v>199</v>
      </c>
      <c r="AB858" s="31" t="s">
        <v>220</v>
      </c>
      <c r="AC858" s="41">
        <f>IFERROR(LOOKUP(M858,打分卡!$F$7:$J$7,打分卡!$K$7:$O$7),1)</f>
        <v>1</v>
      </c>
      <c r="AD858" s="41">
        <f>IFERROR(LOOKUP(S858,打分卡!$F$8:$J$8,打分卡!$K$8:$O$8),1)</f>
        <v>1</v>
      </c>
      <c r="AE858" s="41">
        <f>IFERROR(LOOKUP(T858,打分卡!$F$9:$I$9,打分卡!$K$9:$N$9),1)</f>
        <v>1</v>
      </c>
      <c r="AF858" s="41">
        <f>IFERROR(LOOKUP(Q858,打分卡!$F$10:$J$10,打分卡!$K$10:$O$10),1)</f>
        <v>1</v>
      </c>
      <c r="AG858" s="41">
        <f>IFERROR(LOOKUP(R858,打分卡!$F$11:$J$11,打分卡!$K$11:$O$11),1)</f>
        <v>1</v>
      </c>
      <c r="AH858" s="41">
        <f>IFERROR(LOOKUP(U858,打分卡!$F$12:$J$12,打分卡!$K$12:$O$12),1)</f>
        <v>3</v>
      </c>
      <c r="AI858" s="41">
        <f>IFERROR(LOOKUP(X858,打分卡!$F$13:$J$13,打分卡!$K$13:$O$13),1)</f>
        <v>1</v>
      </c>
      <c r="AJ858" s="41">
        <f>IFERROR(LOOKUP(Y858,打分卡!$F$14:$J$14,打分卡!$K$14:$O$14),1)</f>
        <v>2</v>
      </c>
      <c r="AK858" s="41">
        <f>IFERROR(LOOKUP(W858,打分卡!$F$15:$J$15,打分卡!$K$15:$O$15),1)</f>
        <v>2</v>
      </c>
      <c r="AL858" s="43">
        <f t="shared" si="105"/>
        <v>5</v>
      </c>
      <c r="AM858" s="41">
        <f>IFERROR(LOOKUP(Z858,打分卡!$F$17:$H$17,打分卡!$K$17:$M$17),1)</f>
        <v>3</v>
      </c>
      <c r="AN858" s="44">
        <f>(打分卡!$D$7*AC858+打分卡!$D$8*AD858+打分卡!$D$9*AE858)/5</f>
        <v>8</v>
      </c>
      <c r="AO858" s="44">
        <f>(打分卡!$D$10*AF858+打分卡!$D$11*AG858)/5</f>
        <v>4</v>
      </c>
      <c r="AP858" s="44">
        <f>(打分卡!$D$12*AH858+打分卡!$D$13*AI858+打分卡!$D$14*AJ858+打分卡!$D$15*AK858)/5</f>
        <v>12.8</v>
      </c>
      <c r="AQ858" s="44">
        <f>(打分卡!$D$16*AL858+打分卡!$D$17*AM858)/5</f>
        <v>8.4</v>
      </c>
      <c r="AR858" s="47">
        <f t="shared" si="106"/>
        <v>33.2</v>
      </c>
      <c r="AS858" s="43" t="str">
        <f t="shared" si="107"/>
        <v>基础长尾</v>
      </c>
      <c r="AT858" s="43" t="str">
        <f t="shared" si="108"/>
        <v/>
      </c>
      <c r="AU858" s="43" t="str">
        <f t="shared" si="109"/>
        <v>激活：企微+Push低成本先跑</v>
      </c>
    </row>
    <row r="859" ht="15" customHeight="1" spans="1:47">
      <c r="A859" s="20" t="s">
        <v>2434</v>
      </c>
      <c r="B859" s="22" t="s">
        <v>2435</v>
      </c>
      <c r="C859" s="22" t="s">
        <v>179</v>
      </c>
      <c r="D859" s="22" t="s">
        <v>202</v>
      </c>
      <c r="E859" s="22" t="s">
        <v>181</v>
      </c>
      <c r="F859" s="20" t="s">
        <v>1143</v>
      </c>
      <c r="G859" s="22">
        <v>6</v>
      </c>
      <c r="H859" s="22" t="s">
        <v>301</v>
      </c>
      <c r="I859" s="22" t="s">
        <v>184</v>
      </c>
      <c r="J859" s="36">
        <v>8100</v>
      </c>
      <c r="K859" s="36">
        <v>3000</v>
      </c>
      <c r="L859" s="36">
        <v>1900</v>
      </c>
      <c r="M859" s="36">
        <f t="shared" si="104"/>
        <v>13000</v>
      </c>
      <c r="N859" s="34">
        <f t="shared" si="110"/>
        <v>6.81543181527454e-5</v>
      </c>
      <c r="O859" s="35">
        <f>SUM($M$2:M859)</f>
        <v>188675800</v>
      </c>
      <c r="P859" s="34">
        <f t="shared" si="111"/>
        <v>0.989159269301827</v>
      </c>
      <c r="Q859" s="39">
        <v>1</v>
      </c>
      <c r="R859" s="22">
        <v>8</v>
      </c>
      <c r="S859" s="22">
        <v>1</v>
      </c>
      <c r="T859" s="22">
        <v>2</v>
      </c>
      <c r="U859" s="39">
        <v>4.9</v>
      </c>
      <c r="V859" s="22">
        <v>20</v>
      </c>
      <c r="W859" s="22">
        <v>0</v>
      </c>
      <c r="X859" s="40">
        <v>16</v>
      </c>
      <c r="Y859" s="22">
        <v>3</v>
      </c>
      <c r="Z859" s="22">
        <v>1</v>
      </c>
      <c r="AA859" s="22" t="s">
        <v>185</v>
      </c>
      <c r="AB859" s="22" t="s">
        <v>220</v>
      </c>
      <c r="AC859" s="42">
        <f>IFERROR(LOOKUP(M859,打分卡!$F$7:$J$7,打分卡!$K$7:$O$7),1)</f>
        <v>1</v>
      </c>
      <c r="AD859" s="42">
        <f>IFERROR(LOOKUP(S859,打分卡!$F$8:$J$8,打分卡!$K$8:$O$8),1)</f>
        <v>1</v>
      </c>
      <c r="AE859" s="42">
        <f>IFERROR(LOOKUP(T859,打分卡!$F$9:$I$9,打分卡!$K$9:$N$9),1)</f>
        <v>3</v>
      </c>
      <c r="AF859" s="42">
        <f>IFERROR(LOOKUP(Q859,打分卡!$F$10:$J$10,打分卡!$K$10:$O$10),1)</f>
        <v>1</v>
      </c>
      <c r="AG859" s="42">
        <f>IFERROR(LOOKUP(R859,打分卡!$F$11:$J$11,打分卡!$K$11:$O$11),1)</f>
        <v>3</v>
      </c>
      <c r="AH859" s="42">
        <f>IFERROR(LOOKUP(U859,打分卡!$F$12:$J$12,打分卡!$K$12:$O$12),1)</f>
        <v>2</v>
      </c>
      <c r="AI859" s="42">
        <f>IFERROR(LOOKUP(X859,打分卡!$F$13:$J$13,打分卡!$K$13:$O$13),1)</f>
        <v>1</v>
      </c>
      <c r="AJ859" s="42">
        <f>IFERROR(LOOKUP(Y859,打分卡!$F$14:$J$14,打分卡!$K$14:$O$14),1)</f>
        <v>4</v>
      </c>
      <c r="AK859" s="42">
        <f>IFERROR(LOOKUP(W859,打分卡!$F$15:$J$15,打分卡!$K$15:$O$15),1)</f>
        <v>1</v>
      </c>
      <c r="AL859" s="45">
        <f t="shared" si="105"/>
        <v>3</v>
      </c>
      <c r="AM859" s="42">
        <f>IFERROR(LOOKUP(Z859,打分卡!$F$17:$H$17,打分卡!$K$17:$M$17),1)</f>
        <v>3</v>
      </c>
      <c r="AN859" s="46">
        <f>(打分卡!$D$7*AC859+打分卡!$D$8*AD859+打分卡!$D$9*AE859)/5</f>
        <v>10.8</v>
      </c>
      <c r="AO859" s="46">
        <f>(打分卡!$D$10*AF859+打分卡!$D$11*AG859)/5</f>
        <v>8</v>
      </c>
      <c r="AP859" s="46">
        <f>(打分卡!$D$12*AH859+打分卡!$D$13*AI859+打分卡!$D$14*AJ859+打分卡!$D$15*AK859)/5</f>
        <v>12</v>
      </c>
      <c r="AQ859" s="46">
        <f>(打分卡!$D$16*AL859+打分卡!$D$17*AM859)/5</f>
        <v>6</v>
      </c>
      <c r="AR859" s="48">
        <f t="shared" si="106"/>
        <v>36.8</v>
      </c>
      <c r="AS859" s="45" t="str">
        <f t="shared" si="107"/>
        <v>基础长尾</v>
      </c>
      <c r="AT859" s="45" t="str">
        <f t="shared" si="108"/>
        <v/>
      </c>
      <c r="AU859" s="45" t="str">
        <f t="shared" si="109"/>
        <v>激活：企微+Push低成本先跑</v>
      </c>
    </row>
    <row r="860" ht="15" customHeight="1" spans="1:47">
      <c r="A860" s="30" t="s">
        <v>2436</v>
      </c>
      <c r="B860" s="31" t="s">
        <v>2437</v>
      </c>
      <c r="C860" s="31" t="s">
        <v>209</v>
      </c>
      <c r="D860" s="31" t="s">
        <v>227</v>
      </c>
      <c r="E860" s="31" t="s">
        <v>197</v>
      </c>
      <c r="F860" s="30" t="s">
        <v>1413</v>
      </c>
      <c r="G860" s="31">
        <v>14</v>
      </c>
      <c r="H860" s="31" t="s">
        <v>301</v>
      </c>
      <c r="I860" s="31" t="s">
        <v>184</v>
      </c>
      <c r="J860" s="33">
        <v>5800</v>
      </c>
      <c r="K860" s="33">
        <v>3000</v>
      </c>
      <c r="L860" s="33">
        <v>4100</v>
      </c>
      <c r="M860" s="33">
        <f t="shared" si="104"/>
        <v>12900</v>
      </c>
      <c r="N860" s="34">
        <f t="shared" si="110"/>
        <v>6.7630054166955e-5</v>
      </c>
      <c r="O860" s="35">
        <f>SUM($M$2:M860)</f>
        <v>188688700</v>
      </c>
      <c r="P860" s="34">
        <f t="shared" si="111"/>
        <v>0.989226899355994</v>
      </c>
      <c r="Q860" s="37">
        <v>2.1</v>
      </c>
      <c r="R860" s="31">
        <v>9</v>
      </c>
      <c r="S860" s="31">
        <v>2</v>
      </c>
      <c r="T860" s="31">
        <v>0</v>
      </c>
      <c r="U860" s="37">
        <v>7.4</v>
      </c>
      <c r="V860" s="31">
        <v>21</v>
      </c>
      <c r="W860" s="31">
        <v>1</v>
      </c>
      <c r="X860" s="38">
        <v>19</v>
      </c>
      <c r="Y860" s="31">
        <v>0</v>
      </c>
      <c r="Z860" s="31">
        <v>0</v>
      </c>
      <c r="AA860" s="31" t="s">
        <v>199</v>
      </c>
      <c r="AB860" s="31" t="s">
        <v>220</v>
      </c>
      <c r="AC860" s="41">
        <f>IFERROR(LOOKUP(M860,打分卡!$F$7:$J$7,打分卡!$K$7:$O$7),1)</f>
        <v>1</v>
      </c>
      <c r="AD860" s="41">
        <f>IFERROR(LOOKUP(S860,打分卡!$F$8:$J$8,打分卡!$K$8:$O$8),1)</f>
        <v>2</v>
      </c>
      <c r="AE860" s="41">
        <f>IFERROR(LOOKUP(T860,打分卡!$F$9:$I$9,打分卡!$K$9:$N$9),1)</f>
        <v>1</v>
      </c>
      <c r="AF860" s="41">
        <f>IFERROR(LOOKUP(Q860,打分卡!$F$10:$J$10,打分卡!$K$10:$O$10),1)</f>
        <v>1</v>
      </c>
      <c r="AG860" s="41">
        <f>IFERROR(LOOKUP(R860,打分卡!$F$11:$J$11,打分卡!$K$11:$O$11),1)</f>
        <v>4</v>
      </c>
      <c r="AH860" s="41">
        <f>IFERROR(LOOKUP(U860,打分卡!$F$12:$J$12,打分卡!$K$12:$O$12),1)</f>
        <v>2</v>
      </c>
      <c r="AI860" s="41">
        <f>IFERROR(LOOKUP(X860,打分卡!$F$13:$J$13,打分卡!$K$13:$O$13),1)</f>
        <v>2</v>
      </c>
      <c r="AJ860" s="41">
        <f>IFERROR(LOOKUP(Y860,打分卡!$F$14:$J$14,打分卡!$K$14:$O$14),1)</f>
        <v>1</v>
      </c>
      <c r="AK860" s="41">
        <f>IFERROR(LOOKUP(W860,打分卡!$F$15:$J$15,打分卡!$K$15:$O$15),1)</f>
        <v>2</v>
      </c>
      <c r="AL860" s="43">
        <f t="shared" si="105"/>
        <v>5</v>
      </c>
      <c r="AM860" s="41">
        <f>IFERROR(LOOKUP(Z860,打分卡!$F$17:$H$17,打分卡!$K$17:$M$17),1)</f>
        <v>1</v>
      </c>
      <c r="AN860" s="44">
        <f>(打分卡!$D$7*AC860+打分卡!$D$8*AD860+打分卡!$D$9*AE860)/5</f>
        <v>9.6</v>
      </c>
      <c r="AO860" s="44">
        <f>(打分卡!$D$10*AF860+打分卡!$D$11*AG860)/5</f>
        <v>10</v>
      </c>
      <c r="AP860" s="44">
        <f>(打分卡!$D$12*AH860+打分卡!$D$13*AI860+打分卡!$D$14*AJ860+打分卡!$D$15*AK860)/5</f>
        <v>10.8</v>
      </c>
      <c r="AQ860" s="44">
        <f>(打分卡!$D$16*AL860+打分卡!$D$17*AM860)/5</f>
        <v>6.8</v>
      </c>
      <c r="AR860" s="47">
        <f t="shared" si="106"/>
        <v>37.2</v>
      </c>
      <c r="AS860" s="43" t="str">
        <f t="shared" si="107"/>
        <v>基础长尾</v>
      </c>
      <c r="AT860" s="43" t="str">
        <f t="shared" si="108"/>
        <v/>
      </c>
      <c r="AU860" s="43" t="str">
        <f t="shared" si="109"/>
        <v>激活：企微+Push低成本先跑</v>
      </c>
    </row>
    <row r="861" ht="15" customHeight="1" spans="1:47">
      <c r="A861" s="20" t="s">
        <v>2438</v>
      </c>
      <c r="B861" s="22" t="s">
        <v>2439</v>
      </c>
      <c r="C861" s="22" t="s">
        <v>223</v>
      </c>
      <c r="D861" s="22" t="s">
        <v>196</v>
      </c>
      <c r="E861" s="22" t="s">
        <v>181</v>
      </c>
      <c r="F861" s="20" t="s">
        <v>2440</v>
      </c>
      <c r="G861" s="22">
        <v>13</v>
      </c>
      <c r="H861" s="22" t="s">
        <v>301</v>
      </c>
      <c r="I861" s="22" t="s">
        <v>302</v>
      </c>
      <c r="J861" s="36">
        <v>6200</v>
      </c>
      <c r="K861" s="36">
        <v>4300</v>
      </c>
      <c r="L861" s="36">
        <v>2400</v>
      </c>
      <c r="M861" s="36">
        <f t="shared" si="104"/>
        <v>12900</v>
      </c>
      <c r="N861" s="34">
        <f t="shared" si="110"/>
        <v>6.7630054166955e-5</v>
      </c>
      <c r="O861" s="35">
        <f>SUM($M$2:M861)</f>
        <v>188701600</v>
      </c>
      <c r="P861" s="34">
        <f t="shared" si="111"/>
        <v>0.989294529410161</v>
      </c>
      <c r="Q861" s="39">
        <v>1</v>
      </c>
      <c r="R861" s="22">
        <v>4</v>
      </c>
      <c r="S861" s="22">
        <v>3</v>
      </c>
      <c r="T861" s="22">
        <v>1</v>
      </c>
      <c r="U861" s="39">
        <v>1.2</v>
      </c>
      <c r="V861" s="22">
        <v>22</v>
      </c>
      <c r="W861" s="22">
        <v>4</v>
      </c>
      <c r="X861" s="40">
        <v>31</v>
      </c>
      <c r="Y861" s="22">
        <v>2</v>
      </c>
      <c r="Z861" s="22">
        <v>0</v>
      </c>
      <c r="AA861" s="22" t="s">
        <v>315</v>
      </c>
      <c r="AB861" s="22" t="s">
        <v>220</v>
      </c>
      <c r="AC861" s="42">
        <f>IFERROR(LOOKUP(M861,打分卡!$F$7:$J$7,打分卡!$K$7:$O$7),1)</f>
        <v>1</v>
      </c>
      <c r="AD861" s="42">
        <f>IFERROR(LOOKUP(S861,打分卡!$F$8:$J$8,打分卡!$K$8:$O$8),1)</f>
        <v>3</v>
      </c>
      <c r="AE861" s="42">
        <f>IFERROR(LOOKUP(T861,打分卡!$F$9:$I$9,打分卡!$K$9:$N$9),1)</f>
        <v>2</v>
      </c>
      <c r="AF861" s="42">
        <f>IFERROR(LOOKUP(Q861,打分卡!$F$10:$J$10,打分卡!$K$10:$O$10),1)</f>
        <v>1</v>
      </c>
      <c r="AG861" s="42">
        <f>IFERROR(LOOKUP(R861,打分卡!$F$11:$J$11,打分卡!$K$11:$O$11),1)</f>
        <v>2</v>
      </c>
      <c r="AH861" s="42">
        <f>IFERROR(LOOKUP(U861,打分卡!$F$12:$J$12,打分卡!$K$12:$O$12),1)</f>
        <v>1</v>
      </c>
      <c r="AI861" s="42">
        <f>IFERROR(LOOKUP(X861,打分卡!$F$13:$J$13,打分卡!$K$13:$O$13),1)</f>
        <v>2</v>
      </c>
      <c r="AJ861" s="42">
        <f>IFERROR(LOOKUP(Y861,打分卡!$F$14:$J$14,打分卡!$K$14:$O$14),1)</f>
        <v>3</v>
      </c>
      <c r="AK861" s="42">
        <f>IFERROR(LOOKUP(W861,打分卡!$F$15:$J$15,打分卡!$K$15:$O$15),1)</f>
        <v>3</v>
      </c>
      <c r="AL861" s="45">
        <f t="shared" si="105"/>
        <v>2</v>
      </c>
      <c r="AM861" s="42">
        <f>IFERROR(LOOKUP(Z861,打分卡!$F$17:$H$17,打分卡!$K$17:$M$17),1)</f>
        <v>1</v>
      </c>
      <c r="AN861" s="46">
        <f>(打分卡!$D$7*AC861+打分卡!$D$8*AD861+打分卡!$D$9*AE861)/5</f>
        <v>12.6</v>
      </c>
      <c r="AO861" s="46">
        <f>(打分卡!$D$10*AF861+打分卡!$D$11*AG861)/5</f>
        <v>6</v>
      </c>
      <c r="AP861" s="46">
        <f>(打分卡!$D$12*AH861+打分卡!$D$13*AI861+打分卡!$D$14*AJ861+打分卡!$D$15*AK861)/5</f>
        <v>11.6</v>
      </c>
      <c r="AQ861" s="46">
        <f>(打分卡!$D$16*AL861+打分卡!$D$17*AM861)/5</f>
        <v>3.2</v>
      </c>
      <c r="AR861" s="48">
        <f t="shared" si="106"/>
        <v>33.4</v>
      </c>
      <c r="AS861" s="45" t="str">
        <f t="shared" si="107"/>
        <v>基础长尾</v>
      </c>
      <c r="AT861" s="45" t="str">
        <f t="shared" si="108"/>
        <v/>
      </c>
      <c r="AU861" s="45" t="str">
        <f t="shared" si="109"/>
        <v>激活：企微+Push低成本先跑</v>
      </c>
    </row>
    <row r="862" ht="15" customHeight="1" spans="1:47">
      <c r="A862" s="30" t="s">
        <v>2441</v>
      </c>
      <c r="B862" s="31" t="s">
        <v>2442</v>
      </c>
      <c r="C862" s="31" t="s">
        <v>239</v>
      </c>
      <c r="D862" s="31" t="s">
        <v>202</v>
      </c>
      <c r="E862" s="31" t="s">
        <v>181</v>
      </c>
      <c r="F862" s="30" t="s">
        <v>1126</v>
      </c>
      <c r="G862" s="31">
        <v>7</v>
      </c>
      <c r="H862" s="31" t="s">
        <v>301</v>
      </c>
      <c r="I862" s="31" t="s">
        <v>302</v>
      </c>
      <c r="J862" s="33">
        <v>6900</v>
      </c>
      <c r="K862" s="33">
        <v>3800</v>
      </c>
      <c r="L862" s="33">
        <v>2100</v>
      </c>
      <c r="M862" s="33">
        <f t="shared" si="104"/>
        <v>12800</v>
      </c>
      <c r="N862" s="34">
        <f t="shared" si="110"/>
        <v>6.71057901811647e-5</v>
      </c>
      <c r="O862" s="35">
        <f>SUM($M$2:M862)</f>
        <v>188714400</v>
      </c>
      <c r="P862" s="34">
        <f t="shared" si="111"/>
        <v>0.989361635200342</v>
      </c>
      <c r="Q862" s="37">
        <v>1.1</v>
      </c>
      <c r="R862" s="31">
        <v>3</v>
      </c>
      <c r="S862" s="31">
        <v>2</v>
      </c>
      <c r="T862" s="31">
        <v>0</v>
      </c>
      <c r="U862" s="37">
        <v>1.3</v>
      </c>
      <c r="V862" s="31">
        <v>8</v>
      </c>
      <c r="W862" s="31">
        <v>0</v>
      </c>
      <c r="X862" s="38">
        <v>70</v>
      </c>
      <c r="Y862" s="31">
        <v>0</v>
      </c>
      <c r="Z862" s="31">
        <v>0</v>
      </c>
      <c r="AA862" s="31" t="s">
        <v>315</v>
      </c>
      <c r="AB862" s="31" t="s">
        <v>220</v>
      </c>
      <c r="AC862" s="41">
        <f>IFERROR(LOOKUP(M862,打分卡!$F$7:$J$7,打分卡!$K$7:$O$7),1)</f>
        <v>1</v>
      </c>
      <c r="AD862" s="41">
        <f>IFERROR(LOOKUP(S862,打分卡!$F$8:$J$8,打分卡!$K$8:$O$8),1)</f>
        <v>2</v>
      </c>
      <c r="AE862" s="41">
        <f>IFERROR(LOOKUP(T862,打分卡!$F$9:$I$9,打分卡!$K$9:$N$9),1)</f>
        <v>1</v>
      </c>
      <c r="AF862" s="41">
        <f>IFERROR(LOOKUP(Q862,打分卡!$F$10:$J$10,打分卡!$K$10:$O$10),1)</f>
        <v>1</v>
      </c>
      <c r="AG862" s="41">
        <f>IFERROR(LOOKUP(R862,打分卡!$F$11:$J$11,打分卡!$K$11:$O$11),1)</f>
        <v>2</v>
      </c>
      <c r="AH862" s="41">
        <f>IFERROR(LOOKUP(U862,打分卡!$F$12:$J$12,打分卡!$K$12:$O$12),1)</f>
        <v>1</v>
      </c>
      <c r="AI862" s="41">
        <f>IFERROR(LOOKUP(X862,打分卡!$F$13:$J$13,打分卡!$K$13:$O$13),1)</f>
        <v>3</v>
      </c>
      <c r="AJ862" s="41">
        <f>IFERROR(LOOKUP(Y862,打分卡!$F$14:$J$14,打分卡!$K$14:$O$14),1)</f>
        <v>1</v>
      </c>
      <c r="AK862" s="41">
        <f>IFERROR(LOOKUP(W862,打分卡!$F$15:$J$15,打分卡!$K$15:$O$15),1)</f>
        <v>1</v>
      </c>
      <c r="AL862" s="43">
        <f t="shared" si="105"/>
        <v>2</v>
      </c>
      <c r="AM862" s="41">
        <f>IFERROR(LOOKUP(Z862,打分卡!$F$17:$H$17,打分卡!$K$17:$M$17),1)</f>
        <v>1</v>
      </c>
      <c r="AN862" s="44">
        <f>(打分卡!$D$7*AC862+打分卡!$D$8*AD862+打分卡!$D$9*AE862)/5</f>
        <v>9.6</v>
      </c>
      <c r="AO862" s="44">
        <f>(打分卡!$D$10*AF862+打分卡!$D$11*AG862)/5</f>
        <v>6</v>
      </c>
      <c r="AP862" s="44">
        <f>(打分卡!$D$12*AH862+打分卡!$D$13*AI862+打分卡!$D$14*AJ862+打分卡!$D$15*AK862)/5</f>
        <v>9.2</v>
      </c>
      <c r="AQ862" s="44">
        <f>(打分卡!$D$16*AL862+打分卡!$D$17*AM862)/5</f>
        <v>3.2</v>
      </c>
      <c r="AR862" s="47">
        <f t="shared" si="106"/>
        <v>28</v>
      </c>
      <c r="AS862" s="43" t="str">
        <f t="shared" si="107"/>
        <v>基础长尾</v>
      </c>
      <c r="AT862" s="43" t="str">
        <f t="shared" si="108"/>
        <v/>
      </c>
      <c r="AU862" s="43" t="str">
        <f t="shared" si="109"/>
        <v>激活：企微+Push低成本先跑</v>
      </c>
    </row>
    <row r="863" ht="15" customHeight="1" spans="1:47">
      <c r="A863" s="20" t="s">
        <v>2443</v>
      </c>
      <c r="B863" s="22" t="s">
        <v>2444</v>
      </c>
      <c r="C863" s="22" t="s">
        <v>189</v>
      </c>
      <c r="D863" s="22" t="s">
        <v>202</v>
      </c>
      <c r="E863" s="22" t="s">
        <v>197</v>
      </c>
      <c r="F863" s="20" t="s">
        <v>2445</v>
      </c>
      <c r="G863" s="22">
        <v>24</v>
      </c>
      <c r="H863" s="22" t="s">
        <v>301</v>
      </c>
      <c r="I863" s="22" t="s">
        <v>302</v>
      </c>
      <c r="J863" s="36">
        <v>7900</v>
      </c>
      <c r="K863" s="36">
        <v>4300</v>
      </c>
      <c r="L863" s="36">
        <v>600</v>
      </c>
      <c r="M863" s="36">
        <f t="shared" si="104"/>
        <v>12800</v>
      </c>
      <c r="N863" s="34">
        <f t="shared" si="110"/>
        <v>6.71057901811647e-5</v>
      </c>
      <c r="O863" s="35">
        <f>SUM($M$2:M863)</f>
        <v>188727200</v>
      </c>
      <c r="P863" s="34">
        <f t="shared" si="111"/>
        <v>0.989428740990523</v>
      </c>
      <c r="Q863" s="39">
        <v>1.5</v>
      </c>
      <c r="R863" s="22">
        <v>3</v>
      </c>
      <c r="S863" s="22">
        <v>3</v>
      </c>
      <c r="T863" s="22">
        <v>2</v>
      </c>
      <c r="U863" s="39">
        <v>1.7</v>
      </c>
      <c r="V863" s="22">
        <v>26</v>
      </c>
      <c r="W863" s="22">
        <v>3</v>
      </c>
      <c r="X863" s="40">
        <v>141</v>
      </c>
      <c r="Y863" s="22">
        <v>0</v>
      </c>
      <c r="Z863" s="22">
        <v>1</v>
      </c>
      <c r="AA863" s="22" t="s">
        <v>185</v>
      </c>
      <c r="AB863" s="22" t="s">
        <v>220</v>
      </c>
      <c r="AC863" s="42">
        <f>IFERROR(LOOKUP(M863,打分卡!$F$7:$J$7,打分卡!$K$7:$O$7),1)</f>
        <v>1</v>
      </c>
      <c r="AD863" s="42">
        <f>IFERROR(LOOKUP(S863,打分卡!$F$8:$J$8,打分卡!$K$8:$O$8),1)</f>
        <v>3</v>
      </c>
      <c r="AE863" s="42">
        <f>IFERROR(LOOKUP(T863,打分卡!$F$9:$I$9,打分卡!$K$9:$N$9),1)</f>
        <v>3</v>
      </c>
      <c r="AF863" s="42">
        <f>IFERROR(LOOKUP(Q863,打分卡!$F$10:$J$10,打分卡!$K$10:$O$10),1)</f>
        <v>1</v>
      </c>
      <c r="AG863" s="42">
        <f>IFERROR(LOOKUP(R863,打分卡!$F$11:$J$11,打分卡!$K$11:$O$11),1)</f>
        <v>2</v>
      </c>
      <c r="AH863" s="42">
        <f>IFERROR(LOOKUP(U863,打分卡!$F$12:$J$12,打分卡!$K$12:$O$12),1)</f>
        <v>1</v>
      </c>
      <c r="AI863" s="42">
        <f>IFERROR(LOOKUP(X863,打分卡!$F$13:$J$13,打分卡!$K$13:$O$13),1)</f>
        <v>4</v>
      </c>
      <c r="AJ863" s="42">
        <f>IFERROR(LOOKUP(Y863,打分卡!$F$14:$J$14,打分卡!$K$14:$O$14),1)</f>
        <v>1</v>
      </c>
      <c r="AK863" s="42">
        <f>IFERROR(LOOKUP(W863,打分卡!$F$15:$J$15,打分卡!$K$15:$O$15),1)</f>
        <v>3</v>
      </c>
      <c r="AL863" s="45">
        <f t="shared" si="105"/>
        <v>3</v>
      </c>
      <c r="AM863" s="42">
        <f>IFERROR(LOOKUP(Z863,打分卡!$F$17:$H$17,打分卡!$K$17:$M$17),1)</f>
        <v>3</v>
      </c>
      <c r="AN863" s="46">
        <f>(打分卡!$D$7*AC863+打分卡!$D$8*AD863+打分卡!$D$9*AE863)/5</f>
        <v>14</v>
      </c>
      <c r="AO863" s="46">
        <f>(打分卡!$D$10*AF863+打分卡!$D$11*AG863)/5</f>
        <v>6</v>
      </c>
      <c r="AP863" s="46">
        <f>(打分卡!$D$12*AH863+打分卡!$D$13*AI863+打分卡!$D$14*AJ863+打分卡!$D$15*AK863)/5</f>
        <v>12.4</v>
      </c>
      <c r="AQ863" s="46">
        <f>(打分卡!$D$16*AL863+打分卡!$D$17*AM863)/5</f>
        <v>6</v>
      </c>
      <c r="AR863" s="48">
        <f t="shared" si="106"/>
        <v>38.4</v>
      </c>
      <c r="AS863" s="45" t="str">
        <f t="shared" si="107"/>
        <v>基础长尾</v>
      </c>
      <c r="AT863" s="45" t="str">
        <f t="shared" si="108"/>
        <v/>
      </c>
      <c r="AU863" s="45" t="str">
        <f t="shared" si="109"/>
        <v>激活：企微+Push低成本先跑</v>
      </c>
    </row>
    <row r="864" ht="15" customHeight="1" spans="1:47">
      <c r="A864" s="30" t="s">
        <v>2446</v>
      </c>
      <c r="B864" s="31" t="s">
        <v>2447</v>
      </c>
      <c r="C864" s="31" t="s">
        <v>209</v>
      </c>
      <c r="D864" s="31" t="s">
        <v>227</v>
      </c>
      <c r="E864" s="31" t="s">
        <v>181</v>
      </c>
      <c r="F864" s="30" t="s">
        <v>282</v>
      </c>
      <c r="G864" s="31">
        <v>14</v>
      </c>
      <c r="H864" s="31" t="s">
        <v>301</v>
      </c>
      <c r="I864" s="31" t="s">
        <v>184</v>
      </c>
      <c r="J864" s="33">
        <v>6400</v>
      </c>
      <c r="K864" s="33">
        <v>3100</v>
      </c>
      <c r="L864" s="33">
        <v>3300</v>
      </c>
      <c r="M864" s="33">
        <f t="shared" si="104"/>
        <v>12800</v>
      </c>
      <c r="N864" s="34">
        <f t="shared" si="110"/>
        <v>6.71057901811647e-5</v>
      </c>
      <c r="O864" s="35">
        <f>SUM($M$2:M864)</f>
        <v>188740000</v>
      </c>
      <c r="P864" s="34">
        <f t="shared" si="111"/>
        <v>0.989495846780705</v>
      </c>
      <c r="Q864" s="37">
        <v>0.8</v>
      </c>
      <c r="R864" s="31">
        <v>3</v>
      </c>
      <c r="S864" s="31">
        <v>2</v>
      </c>
      <c r="T864" s="31">
        <v>0</v>
      </c>
      <c r="U864" s="37">
        <v>58.4</v>
      </c>
      <c r="V864" s="31">
        <v>9</v>
      </c>
      <c r="W864" s="31">
        <v>1</v>
      </c>
      <c r="X864" s="38">
        <v>131</v>
      </c>
      <c r="Y864" s="31">
        <v>3</v>
      </c>
      <c r="Z864" s="31">
        <v>1</v>
      </c>
      <c r="AA864" s="31" t="s">
        <v>185</v>
      </c>
      <c r="AB864" s="31" t="s">
        <v>220</v>
      </c>
      <c r="AC864" s="41">
        <f>IFERROR(LOOKUP(M864,打分卡!$F$7:$J$7,打分卡!$K$7:$O$7),1)</f>
        <v>1</v>
      </c>
      <c r="AD864" s="41">
        <f>IFERROR(LOOKUP(S864,打分卡!$F$8:$J$8,打分卡!$K$8:$O$8),1)</f>
        <v>2</v>
      </c>
      <c r="AE864" s="41">
        <f>IFERROR(LOOKUP(T864,打分卡!$F$9:$I$9,打分卡!$K$9:$N$9),1)</f>
        <v>1</v>
      </c>
      <c r="AF864" s="41">
        <f>IFERROR(LOOKUP(Q864,打分卡!$F$10:$J$10,打分卡!$K$10:$O$10),1)</f>
        <v>1</v>
      </c>
      <c r="AG864" s="41">
        <f>IFERROR(LOOKUP(R864,打分卡!$F$11:$J$11,打分卡!$K$11:$O$11),1)</f>
        <v>2</v>
      </c>
      <c r="AH864" s="41">
        <f>IFERROR(LOOKUP(U864,打分卡!$F$12:$J$12,打分卡!$K$12:$O$12),1)</f>
        <v>4</v>
      </c>
      <c r="AI864" s="41">
        <f>IFERROR(LOOKUP(X864,打分卡!$F$13:$J$13,打分卡!$K$13:$O$13),1)</f>
        <v>4</v>
      </c>
      <c r="AJ864" s="41">
        <f>IFERROR(LOOKUP(Y864,打分卡!$F$14:$J$14,打分卡!$K$14:$O$14),1)</f>
        <v>4</v>
      </c>
      <c r="AK864" s="41">
        <f>IFERROR(LOOKUP(W864,打分卡!$F$15:$J$15,打分卡!$K$15:$O$15),1)</f>
        <v>2</v>
      </c>
      <c r="AL864" s="43">
        <f t="shared" si="105"/>
        <v>3</v>
      </c>
      <c r="AM864" s="41">
        <f>IFERROR(LOOKUP(Z864,打分卡!$F$17:$H$17,打分卡!$K$17:$M$17),1)</f>
        <v>3</v>
      </c>
      <c r="AN864" s="44">
        <f>(打分卡!$D$7*AC864+打分卡!$D$8*AD864+打分卡!$D$9*AE864)/5</f>
        <v>9.6</v>
      </c>
      <c r="AO864" s="44">
        <f>(打分卡!$D$10*AF864+打分卡!$D$11*AG864)/5</f>
        <v>6</v>
      </c>
      <c r="AP864" s="44">
        <f>(打分卡!$D$12*AH864+打分卡!$D$13*AI864+打分卡!$D$14*AJ864+打分卡!$D$15*AK864)/5</f>
        <v>22.4</v>
      </c>
      <c r="AQ864" s="44">
        <f>(打分卡!$D$16*AL864+打分卡!$D$17*AM864)/5</f>
        <v>6</v>
      </c>
      <c r="AR864" s="47">
        <f t="shared" si="106"/>
        <v>44</v>
      </c>
      <c r="AS864" s="43" t="str">
        <f t="shared" si="107"/>
        <v>腰部</v>
      </c>
      <c r="AT864" s="43" t="str">
        <f t="shared" si="108"/>
        <v/>
      </c>
      <c r="AU864" s="43" t="str">
        <f t="shared" si="109"/>
        <v>拉·主攻：主推AI外呼+大促作战包</v>
      </c>
    </row>
    <row r="865" ht="15" customHeight="1" spans="1:47">
      <c r="A865" s="20" t="s">
        <v>2448</v>
      </c>
      <c r="B865" s="22" t="s">
        <v>2449</v>
      </c>
      <c r="C865" s="22" t="s">
        <v>234</v>
      </c>
      <c r="D865" s="22" t="s">
        <v>202</v>
      </c>
      <c r="E865" s="22" t="s">
        <v>197</v>
      </c>
      <c r="F865" s="20" t="s">
        <v>357</v>
      </c>
      <c r="G865" s="22">
        <v>24</v>
      </c>
      <c r="H865" s="22" t="s">
        <v>301</v>
      </c>
      <c r="I865" s="22" t="s">
        <v>184</v>
      </c>
      <c r="J865" s="36">
        <v>7600</v>
      </c>
      <c r="K865" s="36">
        <v>4400</v>
      </c>
      <c r="L865" s="36">
        <v>700</v>
      </c>
      <c r="M865" s="36">
        <f t="shared" si="104"/>
        <v>12700</v>
      </c>
      <c r="N865" s="34">
        <f t="shared" si="110"/>
        <v>6.65815261953743e-5</v>
      </c>
      <c r="O865" s="35">
        <f>SUM($M$2:M865)</f>
        <v>188752700</v>
      </c>
      <c r="P865" s="34">
        <f t="shared" si="111"/>
        <v>0.9895624283069</v>
      </c>
      <c r="Q865" s="39">
        <v>1.1</v>
      </c>
      <c r="R865" s="22">
        <v>5</v>
      </c>
      <c r="S865" s="22">
        <v>2</v>
      </c>
      <c r="T865" s="22">
        <v>2</v>
      </c>
      <c r="U865" s="39">
        <v>2.3</v>
      </c>
      <c r="V865" s="22">
        <v>7</v>
      </c>
      <c r="W865" s="22">
        <v>4</v>
      </c>
      <c r="X865" s="40">
        <v>64</v>
      </c>
      <c r="Y865" s="22">
        <v>1</v>
      </c>
      <c r="Z865" s="22">
        <v>0</v>
      </c>
      <c r="AA865" s="22" t="s">
        <v>185</v>
      </c>
      <c r="AB865" s="22" t="s">
        <v>220</v>
      </c>
      <c r="AC865" s="42">
        <f>IFERROR(LOOKUP(M865,打分卡!$F$7:$J$7,打分卡!$K$7:$O$7),1)</f>
        <v>1</v>
      </c>
      <c r="AD865" s="42">
        <f>IFERROR(LOOKUP(S865,打分卡!$F$8:$J$8,打分卡!$K$8:$O$8),1)</f>
        <v>2</v>
      </c>
      <c r="AE865" s="42">
        <f>IFERROR(LOOKUP(T865,打分卡!$F$9:$I$9,打分卡!$K$9:$N$9),1)</f>
        <v>3</v>
      </c>
      <c r="AF865" s="42">
        <f>IFERROR(LOOKUP(Q865,打分卡!$F$10:$J$10,打分卡!$K$10:$O$10),1)</f>
        <v>1</v>
      </c>
      <c r="AG865" s="42">
        <f>IFERROR(LOOKUP(R865,打分卡!$F$11:$J$11,打分卡!$K$11:$O$11),1)</f>
        <v>3</v>
      </c>
      <c r="AH865" s="42">
        <f>IFERROR(LOOKUP(U865,打分卡!$F$12:$J$12,打分卡!$K$12:$O$12),1)</f>
        <v>1</v>
      </c>
      <c r="AI865" s="42">
        <f>IFERROR(LOOKUP(X865,打分卡!$F$13:$J$13,打分卡!$K$13:$O$13),1)</f>
        <v>3</v>
      </c>
      <c r="AJ865" s="42">
        <f>IFERROR(LOOKUP(Y865,打分卡!$F$14:$J$14,打分卡!$K$14:$O$14),1)</f>
        <v>2</v>
      </c>
      <c r="AK865" s="42">
        <f>IFERROR(LOOKUP(W865,打分卡!$F$15:$J$15,打分卡!$K$15:$O$15),1)</f>
        <v>3</v>
      </c>
      <c r="AL865" s="45">
        <f t="shared" si="105"/>
        <v>3</v>
      </c>
      <c r="AM865" s="42">
        <f>IFERROR(LOOKUP(Z865,打分卡!$F$17:$H$17,打分卡!$K$17:$M$17),1)</f>
        <v>1</v>
      </c>
      <c r="AN865" s="46">
        <f>(打分卡!$D$7*AC865+打分卡!$D$8*AD865+打分卡!$D$9*AE865)/5</f>
        <v>12.4</v>
      </c>
      <c r="AO865" s="46">
        <f>(打分卡!$D$10*AF865+打分卡!$D$11*AG865)/5</f>
        <v>8</v>
      </c>
      <c r="AP865" s="46">
        <f>(打分卡!$D$12*AH865+打分卡!$D$13*AI865+打分卡!$D$14*AJ865+打分卡!$D$15*AK865)/5</f>
        <v>12</v>
      </c>
      <c r="AQ865" s="46">
        <f>(打分卡!$D$16*AL865+打分卡!$D$17*AM865)/5</f>
        <v>4.4</v>
      </c>
      <c r="AR865" s="48">
        <f t="shared" si="106"/>
        <v>36.8</v>
      </c>
      <c r="AS865" s="45" t="str">
        <f t="shared" si="107"/>
        <v>基础长尾</v>
      </c>
      <c r="AT865" s="45" t="str">
        <f t="shared" si="108"/>
        <v/>
      </c>
      <c r="AU865" s="45" t="str">
        <f t="shared" si="109"/>
        <v>激活：企微+Push低成本先跑</v>
      </c>
    </row>
    <row r="866" ht="15" customHeight="1" spans="1:47">
      <c r="A866" s="30" t="s">
        <v>2450</v>
      </c>
      <c r="B866" s="31" t="s">
        <v>2451</v>
      </c>
      <c r="C866" s="31" t="s">
        <v>195</v>
      </c>
      <c r="D866" s="31" t="s">
        <v>202</v>
      </c>
      <c r="E866" s="31" t="s">
        <v>181</v>
      </c>
      <c r="F866" s="30" t="s">
        <v>1046</v>
      </c>
      <c r="G866" s="31">
        <v>23</v>
      </c>
      <c r="H866" s="31" t="s">
        <v>301</v>
      </c>
      <c r="I866" s="31" t="s">
        <v>184</v>
      </c>
      <c r="J866" s="33">
        <v>7700</v>
      </c>
      <c r="K866" s="33">
        <v>4300</v>
      </c>
      <c r="L866" s="33">
        <v>700</v>
      </c>
      <c r="M866" s="33">
        <f t="shared" si="104"/>
        <v>12700</v>
      </c>
      <c r="N866" s="34">
        <f t="shared" si="110"/>
        <v>6.65815261953743e-5</v>
      </c>
      <c r="O866" s="35">
        <f>SUM($M$2:M866)</f>
        <v>188765400</v>
      </c>
      <c r="P866" s="34">
        <f t="shared" si="111"/>
        <v>0.989629009833095</v>
      </c>
      <c r="Q866" s="37">
        <v>1.2</v>
      </c>
      <c r="R866" s="31">
        <v>8</v>
      </c>
      <c r="S866" s="31">
        <v>2</v>
      </c>
      <c r="T866" s="31">
        <v>0</v>
      </c>
      <c r="U866" s="37">
        <v>6.8</v>
      </c>
      <c r="V866" s="31">
        <v>28</v>
      </c>
      <c r="W866" s="31">
        <v>0</v>
      </c>
      <c r="X866" s="38">
        <v>80</v>
      </c>
      <c r="Y866" s="31">
        <v>1</v>
      </c>
      <c r="Z866" s="31">
        <v>0</v>
      </c>
      <c r="AA866" s="31" t="s">
        <v>199</v>
      </c>
      <c r="AB866" s="31" t="s">
        <v>220</v>
      </c>
      <c r="AC866" s="41">
        <f>IFERROR(LOOKUP(M866,打分卡!$F$7:$J$7,打分卡!$K$7:$O$7),1)</f>
        <v>1</v>
      </c>
      <c r="AD866" s="41">
        <f>IFERROR(LOOKUP(S866,打分卡!$F$8:$J$8,打分卡!$K$8:$O$8),1)</f>
        <v>2</v>
      </c>
      <c r="AE866" s="41">
        <f>IFERROR(LOOKUP(T866,打分卡!$F$9:$I$9,打分卡!$K$9:$N$9),1)</f>
        <v>1</v>
      </c>
      <c r="AF866" s="41">
        <f>IFERROR(LOOKUP(Q866,打分卡!$F$10:$J$10,打分卡!$K$10:$O$10),1)</f>
        <v>1</v>
      </c>
      <c r="AG866" s="41">
        <f>IFERROR(LOOKUP(R866,打分卡!$F$11:$J$11,打分卡!$K$11:$O$11),1)</f>
        <v>3</v>
      </c>
      <c r="AH866" s="41">
        <f>IFERROR(LOOKUP(U866,打分卡!$F$12:$J$12,打分卡!$K$12:$O$12),1)</f>
        <v>2</v>
      </c>
      <c r="AI866" s="41">
        <f>IFERROR(LOOKUP(X866,打分卡!$F$13:$J$13,打分卡!$K$13:$O$13),1)</f>
        <v>3</v>
      </c>
      <c r="AJ866" s="41">
        <f>IFERROR(LOOKUP(Y866,打分卡!$F$14:$J$14,打分卡!$K$14:$O$14),1)</f>
        <v>2</v>
      </c>
      <c r="AK866" s="41">
        <f>IFERROR(LOOKUP(W866,打分卡!$F$15:$J$15,打分卡!$K$15:$O$15),1)</f>
        <v>1</v>
      </c>
      <c r="AL866" s="43">
        <f t="shared" si="105"/>
        <v>5</v>
      </c>
      <c r="AM866" s="41">
        <f>IFERROR(LOOKUP(Z866,打分卡!$F$17:$H$17,打分卡!$K$17:$M$17),1)</f>
        <v>1</v>
      </c>
      <c r="AN866" s="44">
        <f>(打分卡!$D$7*AC866+打分卡!$D$8*AD866+打分卡!$D$9*AE866)/5</f>
        <v>9.6</v>
      </c>
      <c r="AO866" s="44">
        <f>(打分卡!$D$10*AF866+打分卡!$D$11*AG866)/5</f>
        <v>8</v>
      </c>
      <c r="AP866" s="44">
        <f>(打分卡!$D$12*AH866+打分卡!$D$13*AI866+打分卡!$D$14*AJ866+打分卡!$D$15*AK866)/5</f>
        <v>12.8</v>
      </c>
      <c r="AQ866" s="44">
        <f>(打分卡!$D$16*AL866+打分卡!$D$17*AM866)/5</f>
        <v>6.8</v>
      </c>
      <c r="AR866" s="47">
        <f t="shared" si="106"/>
        <v>37.2</v>
      </c>
      <c r="AS866" s="43" t="str">
        <f t="shared" si="107"/>
        <v>基础长尾</v>
      </c>
      <c r="AT866" s="43" t="str">
        <f t="shared" si="108"/>
        <v/>
      </c>
      <c r="AU866" s="43" t="str">
        <f t="shared" si="109"/>
        <v>激活：企微+Push低成本先跑</v>
      </c>
    </row>
    <row r="867" ht="15" customHeight="1" spans="1:47">
      <c r="A867" s="20" t="s">
        <v>2452</v>
      </c>
      <c r="B867" s="22" t="s">
        <v>2453</v>
      </c>
      <c r="C867" s="22" t="s">
        <v>223</v>
      </c>
      <c r="D867" s="22" t="s">
        <v>202</v>
      </c>
      <c r="E867" s="22" t="s">
        <v>197</v>
      </c>
      <c r="F867" s="20" t="s">
        <v>508</v>
      </c>
      <c r="G867" s="22">
        <v>17</v>
      </c>
      <c r="H867" s="22" t="s">
        <v>301</v>
      </c>
      <c r="I867" s="22" t="s">
        <v>302</v>
      </c>
      <c r="J867" s="36">
        <v>6400</v>
      </c>
      <c r="K867" s="36">
        <v>5100</v>
      </c>
      <c r="L867" s="36">
        <v>1300</v>
      </c>
      <c r="M867" s="36">
        <f t="shared" si="104"/>
        <v>12800</v>
      </c>
      <c r="N867" s="34">
        <f t="shared" si="110"/>
        <v>6.71057901811647e-5</v>
      </c>
      <c r="O867" s="35">
        <f>SUM($M$2:M867)</f>
        <v>188778200</v>
      </c>
      <c r="P867" s="34">
        <f t="shared" si="111"/>
        <v>0.989696115623277</v>
      </c>
      <c r="Q867" s="39">
        <v>0.9</v>
      </c>
      <c r="R867" s="22">
        <v>8</v>
      </c>
      <c r="S867" s="22">
        <v>1</v>
      </c>
      <c r="T867" s="22">
        <v>1</v>
      </c>
      <c r="U867" s="39">
        <v>58.9</v>
      </c>
      <c r="V867" s="22">
        <v>17</v>
      </c>
      <c r="W867" s="22">
        <v>3</v>
      </c>
      <c r="X867" s="40">
        <v>83</v>
      </c>
      <c r="Y867" s="22">
        <v>3</v>
      </c>
      <c r="Z867" s="22">
        <v>0</v>
      </c>
      <c r="AA867" s="22" t="s">
        <v>185</v>
      </c>
      <c r="AB867" s="22" t="s">
        <v>220</v>
      </c>
      <c r="AC867" s="42">
        <f>IFERROR(LOOKUP(M867,打分卡!$F$7:$J$7,打分卡!$K$7:$O$7),1)</f>
        <v>1</v>
      </c>
      <c r="AD867" s="42">
        <f>IFERROR(LOOKUP(S867,打分卡!$F$8:$J$8,打分卡!$K$8:$O$8),1)</f>
        <v>1</v>
      </c>
      <c r="AE867" s="42">
        <f>IFERROR(LOOKUP(T867,打分卡!$F$9:$I$9,打分卡!$K$9:$N$9),1)</f>
        <v>2</v>
      </c>
      <c r="AF867" s="42">
        <f>IFERROR(LOOKUP(Q867,打分卡!$F$10:$J$10,打分卡!$K$10:$O$10),1)</f>
        <v>1</v>
      </c>
      <c r="AG867" s="42">
        <f>IFERROR(LOOKUP(R867,打分卡!$F$11:$J$11,打分卡!$K$11:$O$11),1)</f>
        <v>3</v>
      </c>
      <c r="AH867" s="42">
        <f>IFERROR(LOOKUP(U867,打分卡!$F$12:$J$12,打分卡!$K$12:$O$12),1)</f>
        <v>4</v>
      </c>
      <c r="AI867" s="42">
        <f>IFERROR(LOOKUP(X867,打分卡!$F$13:$J$13,打分卡!$K$13:$O$13),1)</f>
        <v>4</v>
      </c>
      <c r="AJ867" s="42">
        <f>IFERROR(LOOKUP(Y867,打分卡!$F$14:$J$14,打分卡!$K$14:$O$14),1)</f>
        <v>4</v>
      </c>
      <c r="AK867" s="42">
        <f>IFERROR(LOOKUP(W867,打分卡!$F$15:$J$15,打分卡!$K$15:$O$15),1)</f>
        <v>3</v>
      </c>
      <c r="AL867" s="45">
        <f t="shared" si="105"/>
        <v>3</v>
      </c>
      <c r="AM867" s="42">
        <f>IFERROR(LOOKUP(Z867,打分卡!$F$17:$H$17,打分卡!$K$17:$M$17),1)</f>
        <v>1</v>
      </c>
      <c r="AN867" s="46">
        <f>(打分卡!$D$7*AC867+打分卡!$D$8*AD867+打分卡!$D$9*AE867)/5</f>
        <v>9.4</v>
      </c>
      <c r="AO867" s="46">
        <f>(打分卡!$D$10*AF867+打分卡!$D$11*AG867)/5</f>
        <v>8</v>
      </c>
      <c r="AP867" s="46">
        <f>(打分卡!$D$12*AH867+打分卡!$D$13*AI867+打分卡!$D$14*AJ867+打分卡!$D$15*AK867)/5</f>
        <v>23.2</v>
      </c>
      <c r="AQ867" s="46">
        <f>(打分卡!$D$16*AL867+打分卡!$D$17*AM867)/5</f>
        <v>4.4</v>
      </c>
      <c r="AR867" s="48">
        <f t="shared" si="106"/>
        <v>45</v>
      </c>
      <c r="AS867" s="45" t="str">
        <f t="shared" si="107"/>
        <v>腰部</v>
      </c>
      <c r="AT867" s="45" t="str">
        <f t="shared" si="108"/>
        <v/>
      </c>
      <c r="AU867" s="45" t="str">
        <f t="shared" si="109"/>
        <v>拉·主攻：主推AI外呼+大促作战包</v>
      </c>
    </row>
    <row r="868" ht="15" customHeight="1" spans="1:47">
      <c r="A868" s="30" t="s">
        <v>2454</v>
      </c>
      <c r="B868" s="31" t="s">
        <v>2455</v>
      </c>
      <c r="C868" s="31" t="s">
        <v>239</v>
      </c>
      <c r="D868" s="31" t="s">
        <v>227</v>
      </c>
      <c r="E868" s="31" t="s">
        <v>181</v>
      </c>
      <c r="F868" s="30" t="s">
        <v>1717</v>
      </c>
      <c r="G868" s="31">
        <v>22</v>
      </c>
      <c r="H868" s="31" t="s">
        <v>301</v>
      </c>
      <c r="I868" s="31" t="s">
        <v>184</v>
      </c>
      <c r="J868" s="33">
        <v>7500</v>
      </c>
      <c r="K868" s="33">
        <v>2600</v>
      </c>
      <c r="L868" s="33">
        <v>2700</v>
      </c>
      <c r="M868" s="33">
        <f t="shared" si="104"/>
        <v>12800</v>
      </c>
      <c r="N868" s="34">
        <f t="shared" si="110"/>
        <v>6.71057901811647e-5</v>
      </c>
      <c r="O868" s="35">
        <f>SUM($M$2:M868)</f>
        <v>188791000</v>
      </c>
      <c r="P868" s="34">
        <f t="shared" si="111"/>
        <v>0.989763221413458</v>
      </c>
      <c r="Q868" s="37">
        <v>1</v>
      </c>
      <c r="R868" s="31">
        <v>6</v>
      </c>
      <c r="S868" s="31">
        <v>3</v>
      </c>
      <c r="T868" s="31">
        <v>0</v>
      </c>
      <c r="U868" s="37">
        <v>1.1</v>
      </c>
      <c r="V868" s="31">
        <v>21</v>
      </c>
      <c r="W868" s="31">
        <v>1</v>
      </c>
      <c r="X868" s="38">
        <v>48</v>
      </c>
      <c r="Y868" s="31">
        <v>2</v>
      </c>
      <c r="Z868" s="31">
        <v>1</v>
      </c>
      <c r="AA868" s="31" t="s">
        <v>199</v>
      </c>
      <c r="AB868" s="31" t="s">
        <v>220</v>
      </c>
      <c r="AC868" s="41">
        <f>IFERROR(LOOKUP(M868,打分卡!$F$7:$J$7,打分卡!$K$7:$O$7),1)</f>
        <v>1</v>
      </c>
      <c r="AD868" s="41">
        <f>IFERROR(LOOKUP(S868,打分卡!$F$8:$J$8,打分卡!$K$8:$O$8),1)</f>
        <v>3</v>
      </c>
      <c r="AE868" s="41">
        <f>IFERROR(LOOKUP(T868,打分卡!$F$9:$I$9,打分卡!$K$9:$N$9),1)</f>
        <v>1</v>
      </c>
      <c r="AF868" s="41">
        <f>IFERROR(LOOKUP(Q868,打分卡!$F$10:$J$10,打分卡!$K$10:$O$10),1)</f>
        <v>1</v>
      </c>
      <c r="AG868" s="41">
        <f>IFERROR(LOOKUP(R868,打分卡!$F$11:$J$11,打分卡!$K$11:$O$11),1)</f>
        <v>3</v>
      </c>
      <c r="AH868" s="41">
        <f>IFERROR(LOOKUP(U868,打分卡!$F$12:$J$12,打分卡!$K$12:$O$12),1)</f>
        <v>1</v>
      </c>
      <c r="AI868" s="41">
        <f>IFERROR(LOOKUP(X868,打分卡!$F$13:$J$13,打分卡!$K$13:$O$13),1)</f>
        <v>3</v>
      </c>
      <c r="AJ868" s="41">
        <f>IFERROR(LOOKUP(Y868,打分卡!$F$14:$J$14,打分卡!$K$14:$O$14),1)</f>
        <v>3</v>
      </c>
      <c r="AK868" s="41">
        <f>IFERROR(LOOKUP(W868,打分卡!$F$15:$J$15,打分卡!$K$15:$O$15),1)</f>
        <v>2</v>
      </c>
      <c r="AL868" s="43">
        <f t="shared" si="105"/>
        <v>5</v>
      </c>
      <c r="AM868" s="41">
        <f>IFERROR(LOOKUP(Z868,打分卡!$F$17:$H$17,打分卡!$K$17:$M$17),1)</f>
        <v>3</v>
      </c>
      <c r="AN868" s="44">
        <f>(打分卡!$D$7*AC868+打分卡!$D$8*AD868+打分卡!$D$9*AE868)/5</f>
        <v>11.2</v>
      </c>
      <c r="AO868" s="44">
        <f>(打分卡!$D$10*AF868+打分卡!$D$11*AG868)/5</f>
        <v>8</v>
      </c>
      <c r="AP868" s="44">
        <f>(打分卡!$D$12*AH868+打分卡!$D$13*AI868+打分卡!$D$14*AJ868+打分卡!$D$15*AK868)/5</f>
        <v>12.4</v>
      </c>
      <c r="AQ868" s="44">
        <f>(打分卡!$D$16*AL868+打分卡!$D$17*AM868)/5</f>
        <v>8.4</v>
      </c>
      <c r="AR868" s="47">
        <f t="shared" si="106"/>
        <v>40</v>
      </c>
      <c r="AS868" s="43" t="str">
        <f t="shared" si="107"/>
        <v>腰部</v>
      </c>
      <c r="AT868" s="43" t="str">
        <f t="shared" si="108"/>
        <v/>
      </c>
      <c r="AU868" s="43" t="str">
        <f t="shared" si="109"/>
        <v>拉·主攻：主推AI外呼+大促作战包</v>
      </c>
    </row>
    <row r="869" ht="15" customHeight="1" spans="1:47">
      <c r="A869" s="20" t="s">
        <v>2456</v>
      </c>
      <c r="B869" s="22" t="s">
        <v>2457</v>
      </c>
      <c r="C869" s="22" t="s">
        <v>179</v>
      </c>
      <c r="D869" s="22" t="s">
        <v>202</v>
      </c>
      <c r="E869" s="22" t="s">
        <v>197</v>
      </c>
      <c r="F869" s="20" t="s">
        <v>1695</v>
      </c>
      <c r="G869" s="22">
        <v>14</v>
      </c>
      <c r="H869" s="22" t="s">
        <v>301</v>
      </c>
      <c r="I869" s="22" t="s">
        <v>184</v>
      </c>
      <c r="J869" s="36">
        <v>6900</v>
      </c>
      <c r="K869" s="36">
        <v>3900</v>
      </c>
      <c r="L869" s="36">
        <v>1900</v>
      </c>
      <c r="M869" s="36">
        <f t="shared" si="104"/>
        <v>12700</v>
      </c>
      <c r="N869" s="34">
        <f t="shared" si="110"/>
        <v>6.65815261953743e-5</v>
      </c>
      <c r="O869" s="35">
        <f>SUM($M$2:M869)</f>
        <v>188803700</v>
      </c>
      <c r="P869" s="34">
        <f t="shared" si="111"/>
        <v>0.989829802939653</v>
      </c>
      <c r="Q869" s="39">
        <v>1.9</v>
      </c>
      <c r="R869" s="22">
        <v>7</v>
      </c>
      <c r="S869" s="22">
        <v>2</v>
      </c>
      <c r="T869" s="22">
        <v>1</v>
      </c>
      <c r="U869" s="39">
        <v>20.3</v>
      </c>
      <c r="V869" s="22">
        <v>30</v>
      </c>
      <c r="W869" s="22">
        <v>0</v>
      </c>
      <c r="X869" s="40">
        <v>117</v>
      </c>
      <c r="Y869" s="22">
        <v>0</v>
      </c>
      <c r="Z869" s="22">
        <v>0</v>
      </c>
      <c r="AA869" s="22" t="s">
        <v>185</v>
      </c>
      <c r="AB869" s="22" t="s">
        <v>220</v>
      </c>
      <c r="AC869" s="42">
        <f>IFERROR(LOOKUP(M869,打分卡!$F$7:$J$7,打分卡!$K$7:$O$7),1)</f>
        <v>1</v>
      </c>
      <c r="AD869" s="42">
        <f>IFERROR(LOOKUP(S869,打分卡!$F$8:$J$8,打分卡!$K$8:$O$8),1)</f>
        <v>2</v>
      </c>
      <c r="AE869" s="42">
        <f>IFERROR(LOOKUP(T869,打分卡!$F$9:$I$9,打分卡!$K$9:$N$9),1)</f>
        <v>2</v>
      </c>
      <c r="AF869" s="42">
        <f>IFERROR(LOOKUP(Q869,打分卡!$F$10:$J$10,打分卡!$K$10:$O$10),1)</f>
        <v>1</v>
      </c>
      <c r="AG869" s="42">
        <f>IFERROR(LOOKUP(R869,打分卡!$F$11:$J$11,打分卡!$K$11:$O$11),1)</f>
        <v>3</v>
      </c>
      <c r="AH869" s="42">
        <f>IFERROR(LOOKUP(U869,打分卡!$F$12:$J$12,打分卡!$K$12:$O$12),1)</f>
        <v>3</v>
      </c>
      <c r="AI869" s="42">
        <f>IFERROR(LOOKUP(X869,打分卡!$F$13:$J$13,打分卡!$K$13:$O$13),1)</f>
        <v>4</v>
      </c>
      <c r="AJ869" s="42">
        <f>IFERROR(LOOKUP(Y869,打分卡!$F$14:$J$14,打分卡!$K$14:$O$14),1)</f>
        <v>1</v>
      </c>
      <c r="AK869" s="42">
        <f>IFERROR(LOOKUP(W869,打分卡!$F$15:$J$15,打分卡!$K$15:$O$15),1)</f>
        <v>1</v>
      </c>
      <c r="AL869" s="45">
        <f t="shared" si="105"/>
        <v>3</v>
      </c>
      <c r="AM869" s="42">
        <f>IFERROR(LOOKUP(Z869,打分卡!$F$17:$H$17,打分卡!$K$17:$M$17),1)</f>
        <v>1</v>
      </c>
      <c r="AN869" s="46">
        <f>(打分卡!$D$7*AC869+打分卡!$D$8*AD869+打分卡!$D$9*AE869)/5</f>
        <v>11</v>
      </c>
      <c r="AO869" s="46">
        <f>(打分卡!$D$10*AF869+打分卡!$D$11*AG869)/5</f>
        <v>8</v>
      </c>
      <c r="AP869" s="46">
        <f>(打分卡!$D$12*AH869+打分卡!$D$13*AI869+打分卡!$D$14*AJ869+打分卡!$D$15*AK869)/5</f>
        <v>15.6</v>
      </c>
      <c r="AQ869" s="46">
        <f>(打分卡!$D$16*AL869+打分卡!$D$17*AM869)/5</f>
        <v>4.4</v>
      </c>
      <c r="AR869" s="48">
        <f t="shared" si="106"/>
        <v>39</v>
      </c>
      <c r="AS869" s="45" t="str">
        <f t="shared" si="107"/>
        <v>基础长尾</v>
      </c>
      <c r="AT869" s="45" t="str">
        <f t="shared" si="108"/>
        <v/>
      </c>
      <c r="AU869" s="45" t="str">
        <f t="shared" si="109"/>
        <v>激活：企微+Push低成本先跑</v>
      </c>
    </row>
    <row r="870" ht="15" customHeight="1" spans="1:47">
      <c r="A870" s="30" t="s">
        <v>2458</v>
      </c>
      <c r="B870" s="31" t="s">
        <v>2459</v>
      </c>
      <c r="C870" s="31" t="s">
        <v>179</v>
      </c>
      <c r="D870" s="31" t="s">
        <v>202</v>
      </c>
      <c r="E870" s="31" t="s">
        <v>197</v>
      </c>
      <c r="F870" s="30" t="s">
        <v>1159</v>
      </c>
      <c r="G870" s="31">
        <v>20</v>
      </c>
      <c r="H870" s="31" t="s">
        <v>301</v>
      </c>
      <c r="I870" s="31" t="s">
        <v>184</v>
      </c>
      <c r="J870" s="33">
        <v>7200</v>
      </c>
      <c r="K870" s="33">
        <v>3100</v>
      </c>
      <c r="L870" s="33">
        <v>2300</v>
      </c>
      <c r="M870" s="33">
        <f t="shared" si="104"/>
        <v>12600</v>
      </c>
      <c r="N870" s="34">
        <f t="shared" si="110"/>
        <v>6.6057262209584e-5</v>
      </c>
      <c r="O870" s="35">
        <f>SUM($M$2:M870)</f>
        <v>188816300</v>
      </c>
      <c r="P870" s="34">
        <f t="shared" si="111"/>
        <v>0.989895860201863</v>
      </c>
      <c r="Q870" s="37">
        <v>0.8</v>
      </c>
      <c r="R870" s="31">
        <v>8</v>
      </c>
      <c r="S870" s="31">
        <v>2</v>
      </c>
      <c r="T870" s="31">
        <v>0</v>
      </c>
      <c r="U870" s="37">
        <v>14.1</v>
      </c>
      <c r="V870" s="31">
        <v>24</v>
      </c>
      <c r="W870" s="31">
        <v>2</v>
      </c>
      <c r="X870" s="38">
        <v>53</v>
      </c>
      <c r="Y870" s="31">
        <v>0</v>
      </c>
      <c r="Z870" s="31">
        <v>0</v>
      </c>
      <c r="AA870" s="31" t="s">
        <v>315</v>
      </c>
      <c r="AB870" s="31" t="s">
        <v>220</v>
      </c>
      <c r="AC870" s="41">
        <f>IFERROR(LOOKUP(M870,打分卡!$F$7:$J$7,打分卡!$K$7:$O$7),1)</f>
        <v>1</v>
      </c>
      <c r="AD870" s="41">
        <f>IFERROR(LOOKUP(S870,打分卡!$F$8:$J$8,打分卡!$K$8:$O$8),1)</f>
        <v>2</v>
      </c>
      <c r="AE870" s="41">
        <f>IFERROR(LOOKUP(T870,打分卡!$F$9:$I$9,打分卡!$K$9:$N$9),1)</f>
        <v>1</v>
      </c>
      <c r="AF870" s="41">
        <f>IFERROR(LOOKUP(Q870,打分卡!$F$10:$J$10,打分卡!$K$10:$O$10),1)</f>
        <v>1</v>
      </c>
      <c r="AG870" s="41">
        <f>IFERROR(LOOKUP(R870,打分卡!$F$11:$J$11,打分卡!$K$11:$O$11),1)</f>
        <v>3</v>
      </c>
      <c r="AH870" s="41">
        <f>IFERROR(LOOKUP(U870,打分卡!$F$12:$J$12,打分卡!$K$12:$O$12),1)</f>
        <v>3</v>
      </c>
      <c r="AI870" s="41">
        <f>IFERROR(LOOKUP(X870,打分卡!$F$13:$J$13,打分卡!$K$13:$O$13),1)</f>
        <v>3</v>
      </c>
      <c r="AJ870" s="41">
        <f>IFERROR(LOOKUP(Y870,打分卡!$F$14:$J$14,打分卡!$K$14:$O$14),1)</f>
        <v>1</v>
      </c>
      <c r="AK870" s="41">
        <f>IFERROR(LOOKUP(W870,打分卡!$F$15:$J$15,打分卡!$K$15:$O$15),1)</f>
        <v>2</v>
      </c>
      <c r="AL870" s="43">
        <f t="shared" si="105"/>
        <v>2</v>
      </c>
      <c r="AM870" s="41">
        <f>IFERROR(LOOKUP(Z870,打分卡!$F$17:$H$17,打分卡!$K$17:$M$17),1)</f>
        <v>1</v>
      </c>
      <c r="AN870" s="44">
        <f>(打分卡!$D$7*AC870+打分卡!$D$8*AD870+打分卡!$D$9*AE870)/5</f>
        <v>9.6</v>
      </c>
      <c r="AO870" s="44">
        <f>(打分卡!$D$10*AF870+打分卡!$D$11*AG870)/5</f>
        <v>8</v>
      </c>
      <c r="AP870" s="44">
        <f>(打分卡!$D$12*AH870+打分卡!$D$13*AI870+打分卡!$D$14*AJ870+打分卡!$D$15*AK870)/5</f>
        <v>14.8</v>
      </c>
      <c r="AQ870" s="44">
        <f>(打分卡!$D$16*AL870+打分卡!$D$17*AM870)/5</f>
        <v>3.2</v>
      </c>
      <c r="AR870" s="47">
        <f t="shared" si="106"/>
        <v>35.6</v>
      </c>
      <c r="AS870" s="43" t="str">
        <f t="shared" si="107"/>
        <v>基础长尾</v>
      </c>
      <c r="AT870" s="43" t="str">
        <f t="shared" si="108"/>
        <v/>
      </c>
      <c r="AU870" s="43" t="str">
        <f t="shared" si="109"/>
        <v>激活：企微+Push低成本先跑</v>
      </c>
    </row>
    <row r="871" ht="15" customHeight="1" spans="1:47">
      <c r="A871" s="20" t="s">
        <v>2460</v>
      </c>
      <c r="B871" s="22" t="s">
        <v>2461</v>
      </c>
      <c r="C871" s="22" t="s">
        <v>234</v>
      </c>
      <c r="D871" s="22" t="s">
        <v>202</v>
      </c>
      <c r="E871" s="22" t="s">
        <v>181</v>
      </c>
      <c r="F871" s="20" t="s">
        <v>1712</v>
      </c>
      <c r="G871" s="22">
        <v>5</v>
      </c>
      <c r="H871" s="22" t="s">
        <v>301</v>
      </c>
      <c r="I871" s="22" t="s">
        <v>184</v>
      </c>
      <c r="J871" s="36">
        <v>6400</v>
      </c>
      <c r="K871" s="36">
        <v>3800</v>
      </c>
      <c r="L871" s="36">
        <v>2400</v>
      </c>
      <c r="M871" s="36">
        <f t="shared" si="104"/>
        <v>12600</v>
      </c>
      <c r="N871" s="34">
        <f t="shared" si="110"/>
        <v>6.6057262209584e-5</v>
      </c>
      <c r="O871" s="35">
        <f>SUM($M$2:M871)</f>
        <v>188828900</v>
      </c>
      <c r="P871" s="34">
        <f t="shared" si="111"/>
        <v>0.989961917464072</v>
      </c>
      <c r="Q871" s="39">
        <v>1.9</v>
      </c>
      <c r="R871" s="22">
        <v>7</v>
      </c>
      <c r="S871" s="22">
        <v>1</v>
      </c>
      <c r="T871" s="22">
        <v>0</v>
      </c>
      <c r="U871" s="39">
        <v>26.1</v>
      </c>
      <c r="V871" s="22">
        <v>15</v>
      </c>
      <c r="W871" s="22">
        <v>0</v>
      </c>
      <c r="X871" s="40">
        <v>15</v>
      </c>
      <c r="Y871" s="22">
        <v>1</v>
      </c>
      <c r="Z871" s="22">
        <v>1</v>
      </c>
      <c r="AA871" s="22" t="s">
        <v>199</v>
      </c>
      <c r="AB871" s="22" t="s">
        <v>220</v>
      </c>
      <c r="AC871" s="42">
        <f>IFERROR(LOOKUP(M871,打分卡!$F$7:$J$7,打分卡!$K$7:$O$7),1)</f>
        <v>1</v>
      </c>
      <c r="AD871" s="42">
        <f>IFERROR(LOOKUP(S871,打分卡!$F$8:$J$8,打分卡!$K$8:$O$8),1)</f>
        <v>1</v>
      </c>
      <c r="AE871" s="42">
        <f>IFERROR(LOOKUP(T871,打分卡!$F$9:$I$9,打分卡!$K$9:$N$9),1)</f>
        <v>1</v>
      </c>
      <c r="AF871" s="42">
        <f>IFERROR(LOOKUP(Q871,打分卡!$F$10:$J$10,打分卡!$K$10:$O$10),1)</f>
        <v>1</v>
      </c>
      <c r="AG871" s="42">
        <f>IFERROR(LOOKUP(R871,打分卡!$F$11:$J$11,打分卡!$K$11:$O$11),1)</f>
        <v>3</v>
      </c>
      <c r="AH871" s="42">
        <f>IFERROR(LOOKUP(U871,打分卡!$F$12:$J$12,打分卡!$K$12:$O$12),1)</f>
        <v>3</v>
      </c>
      <c r="AI871" s="42">
        <f>IFERROR(LOOKUP(X871,打分卡!$F$13:$J$13,打分卡!$K$13:$O$13),1)</f>
        <v>1</v>
      </c>
      <c r="AJ871" s="42">
        <f>IFERROR(LOOKUP(Y871,打分卡!$F$14:$J$14,打分卡!$K$14:$O$14),1)</f>
        <v>2</v>
      </c>
      <c r="AK871" s="42">
        <f>IFERROR(LOOKUP(W871,打分卡!$F$15:$J$15,打分卡!$K$15:$O$15),1)</f>
        <v>1</v>
      </c>
      <c r="AL871" s="45">
        <f t="shared" si="105"/>
        <v>5</v>
      </c>
      <c r="AM871" s="42">
        <f>IFERROR(LOOKUP(Z871,打分卡!$F$17:$H$17,打分卡!$K$17:$M$17),1)</f>
        <v>3</v>
      </c>
      <c r="AN871" s="46">
        <f>(打分卡!$D$7*AC871+打分卡!$D$8*AD871+打分卡!$D$9*AE871)/5</f>
        <v>8</v>
      </c>
      <c r="AO871" s="46">
        <f>(打分卡!$D$10*AF871+打分卡!$D$11*AG871)/5</f>
        <v>8</v>
      </c>
      <c r="AP871" s="46">
        <f>(打分卡!$D$12*AH871+打分卡!$D$13*AI871+打分卡!$D$14*AJ871+打分卡!$D$15*AK871)/5</f>
        <v>12</v>
      </c>
      <c r="AQ871" s="46">
        <f>(打分卡!$D$16*AL871+打分卡!$D$17*AM871)/5</f>
        <v>8.4</v>
      </c>
      <c r="AR871" s="48">
        <f t="shared" si="106"/>
        <v>36.4</v>
      </c>
      <c r="AS871" s="45" t="str">
        <f t="shared" si="107"/>
        <v>基础长尾</v>
      </c>
      <c r="AT871" s="45" t="str">
        <f t="shared" si="108"/>
        <v/>
      </c>
      <c r="AU871" s="45" t="str">
        <f t="shared" si="109"/>
        <v>激活：企微+Push低成本先跑</v>
      </c>
    </row>
    <row r="872" ht="15" customHeight="1" spans="1:47">
      <c r="A872" s="30" t="s">
        <v>2462</v>
      </c>
      <c r="B872" s="31" t="s">
        <v>2463</v>
      </c>
      <c r="C872" s="31" t="s">
        <v>189</v>
      </c>
      <c r="D872" s="31" t="s">
        <v>196</v>
      </c>
      <c r="E872" s="31" t="s">
        <v>181</v>
      </c>
      <c r="F872" s="30" t="s">
        <v>2298</v>
      </c>
      <c r="G872" s="31">
        <v>4</v>
      </c>
      <c r="H872" s="31" t="s">
        <v>301</v>
      </c>
      <c r="I872" s="31" t="s">
        <v>184</v>
      </c>
      <c r="J872" s="33">
        <v>6000</v>
      </c>
      <c r="K872" s="33">
        <v>2800</v>
      </c>
      <c r="L872" s="33">
        <v>3600</v>
      </c>
      <c r="M872" s="33">
        <f t="shared" si="104"/>
        <v>12400</v>
      </c>
      <c r="N872" s="34">
        <f t="shared" si="110"/>
        <v>6.50087342380033e-5</v>
      </c>
      <c r="O872" s="35">
        <f>SUM($M$2:M872)</f>
        <v>188841300</v>
      </c>
      <c r="P872" s="34">
        <f t="shared" si="111"/>
        <v>0.99002692619831</v>
      </c>
      <c r="Q872" s="37">
        <v>1.5</v>
      </c>
      <c r="R872" s="31">
        <v>5</v>
      </c>
      <c r="S872" s="31">
        <v>1</v>
      </c>
      <c r="T872" s="31">
        <v>1</v>
      </c>
      <c r="U872" s="37">
        <v>2.8</v>
      </c>
      <c r="V872" s="31">
        <v>8</v>
      </c>
      <c r="W872" s="31">
        <v>4</v>
      </c>
      <c r="X872" s="38">
        <v>119</v>
      </c>
      <c r="Y872" s="31">
        <v>3</v>
      </c>
      <c r="Z872" s="31">
        <v>0</v>
      </c>
      <c r="AA872" s="31" t="s">
        <v>185</v>
      </c>
      <c r="AB872" s="31" t="s">
        <v>220</v>
      </c>
      <c r="AC872" s="41">
        <f>IFERROR(LOOKUP(M872,打分卡!$F$7:$J$7,打分卡!$K$7:$O$7),1)</f>
        <v>1</v>
      </c>
      <c r="AD872" s="41">
        <f>IFERROR(LOOKUP(S872,打分卡!$F$8:$J$8,打分卡!$K$8:$O$8),1)</f>
        <v>1</v>
      </c>
      <c r="AE872" s="41">
        <f>IFERROR(LOOKUP(T872,打分卡!$F$9:$I$9,打分卡!$K$9:$N$9),1)</f>
        <v>2</v>
      </c>
      <c r="AF872" s="41">
        <f>IFERROR(LOOKUP(Q872,打分卡!$F$10:$J$10,打分卡!$K$10:$O$10),1)</f>
        <v>1</v>
      </c>
      <c r="AG872" s="41">
        <f>IFERROR(LOOKUP(R872,打分卡!$F$11:$J$11,打分卡!$K$11:$O$11),1)</f>
        <v>3</v>
      </c>
      <c r="AH872" s="41">
        <f>IFERROR(LOOKUP(U872,打分卡!$F$12:$J$12,打分卡!$K$12:$O$12),1)</f>
        <v>2</v>
      </c>
      <c r="AI872" s="41">
        <f>IFERROR(LOOKUP(X872,打分卡!$F$13:$J$13,打分卡!$K$13:$O$13),1)</f>
        <v>4</v>
      </c>
      <c r="AJ872" s="41">
        <f>IFERROR(LOOKUP(Y872,打分卡!$F$14:$J$14,打分卡!$K$14:$O$14),1)</f>
        <v>4</v>
      </c>
      <c r="AK872" s="41">
        <f>IFERROR(LOOKUP(W872,打分卡!$F$15:$J$15,打分卡!$K$15:$O$15),1)</f>
        <v>3</v>
      </c>
      <c r="AL872" s="43">
        <f t="shared" si="105"/>
        <v>3</v>
      </c>
      <c r="AM872" s="41">
        <f>IFERROR(LOOKUP(Z872,打分卡!$F$17:$H$17,打分卡!$K$17:$M$17),1)</f>
        <v>1</v>
      </c>
      <c r="AN872" s="44">
        <f>(打分卡!$D$7*AC872+打分卡!$D$8*AD872+打分卡!$D$9*AE872)/5</f>
        <v>9.4</v>
      </c>
      <c r="AO872" s="44">
        <f>(打分卡!$D$10*AF872+打分卡!$D$11*AG872)/5</f>
        <v>8</v>
      </c>
      <c r="AP872" s="44">
        <f>(打分卡!$D$12*AH872+打分卡!$D$13*AI872+打分卡!$D$14*AJ872+打分卡!$D$15*AK872)/5</f>
        <v>18.4</v>
      </c>
      <c r="AQ872" s="44">
        <f>(打分卡!$D$16*AL872+打分卡!$D$17*AM872)/5</f>
        <v>4.4</v>
      </c>
      <c r="AR872" s="47">
        <f t="shared" si="106"/>
        <v>40.2</v>
      </c>
      <c r="AS872" s="43" t="str">
        <f t="shared" si="107"/>
        <v>腰部</v>
      </c>
      <c r="AT872" s="43" t="str">
        <f t="shared" si="108"/>
        <v/>
      </c>
      <c r="AU872" s="43" t="str">
        <f t="shared" si="109"/>
        <v>拉·主攻：主推AI外呼+大促作战包</v>
      </c>
    </row>
    <row r="873" ht="15" customHeight="1" spans="1:47">
      <c r="A873" s="20" t="s">
        <v>2464</v>
      </c>
      <c r="B873" s="22" t="s">
        <v>2465</v>
      </c>
      <c r="C873" s="22" t="s">
        <v>195</v>
      </c>
      <c r="D873" s="22" t="s">
        <v>252</v>
      </c>
      <c r="E873" s="22" t="s">
        <v>181</v>
      </c>
      <c r="F873" s="20" t="s">
        <v>1194</v>
      </c>
      <c r="G873" s="22">
        <v>23</v>
      </c>
      <c r="H873" s="22" t="s">
        <v>301</v>
      </c>
      <c r="I873" s="22" t="s">
        <v>184</v>
      </c>
      <c r="J873" s="36">
        <v>5600</v>
      </c>
      <c r="K873" s="36">
        <v>4500</v>
      </c>
      <c r="L873" s="36">
        <v>2300</v>
      </c>
      <c r="M873" s="36">
        <f t="shared" si="104"/>
        <v>12400</v>
      </c>
      <c r="N873" s="34">
        <f t="shared" si="110"/>
        <v>6.50087342380033e-5</v>
      </c>
      <c r="O873" s="35">
        <f>SUM($M$2:M873)</f>
        <v>188853700</v>
      </c>
      <c r="P873" s="34">
        <f t="shared" si="111"/>
        <v>0.990091934932548</v>
      </c>
      <c r="Q873" s="39">
        <v>1.7</v>
      </c>
      <c r="R873" s="22">
        <v>6</v>
      </c>
      <c r="S873" s="22">
        <v>3</v>
      </c>
      <c r="T873" s="22">
        <v>1</v>
      </c>
      <c r="U873" s="39">
        <v>25.7</v>
      </c>
      <c r="V873" s="22">
        <v>27</v>
      </c>
      <c r="W873" s="22">
        <v>1</v>
      </c>
      <c r="X873" s="40">
        <v>76</v>
      </c>
      <c r="Y873" s="22">
        <v>0</v>
      </c>
      <c r="Z873" s="22">
        <v>1</v>
      </c>
      <c r="AA873" s="22" t="s">
        <v>185</v>
      </c>
      <c r="AB873" s="22" t="s">
        <v>220</v>
      </c>
      <c r="AC873" s="42">
        <f>IFERROR(LOOKUP(M873,打分卡!$F$7:$J$7,打分卡!$K$7:$O$7),1)</f>
        <v>1</v>
      </c>
      <c r="AD873" s="42">
        <f>IFERROR(LOOKUP(S873,打分卡!$F$8:$J$8,打分卡!$K$8:$O$8),1)</f>
        <v>3</v>
      </c>
      <c r="AE873" s="42">
        <f>IFERROR(LOOKUP(T873,打分卡!$F$9:$I$9,打分卡!$K$9:$N$9),1)</f>
        <v>2</v>
      </c>
      <c r="AF873" s="42">
        <f>IFERROR(LOOKUP(Q873,打分卡!$F$10:$J$10,打分卡!$K$10:$O$10),1)</f>
        <v>1</v>
      </c>
      <c r="AG873" s="42">
        <f>IFERROR(LOOKUP(R873,打分卡!$F$11:$J$11,打分卡!$K$11:$O$11),1)</f>
        <v>3</v>
      </c>
      <c r="AH873" s="42">
        <f>IFERROR(LOOKUP(U873,打分卡!$F$12:$J$12,打分卡!$K$12:$O$12),1)</f>
        <v>3</v>
      </c>
      <c r="AI873" s="42">
        <f>IFERROR(LOOKUP(X873,打分卡!$F$13:$J$13,打分卡!$K$13:$O$13),1)</f>
        <v>3</v>
      </c>
      <c r="AJ873" s="42">
        <f>IFERROR(LOOKUP(Y873,打分卡!$F$14:$J$14,打分卡!$K$14:$O$14),1)</f>
        <v>1</v>
      </c>
      <c r="AK873" s="42">
        <f>IFERROR(LOOKUP(W873,打分卡!$F$15:$J$15,打分卡!$K$15:$O$15),1)</f>
        <v>2</v>
      </c>
      <c r="AL873" s="45">
        <f t="shared" si="105"/>
        <v>3</v>
      </c>
      <c r="AM873" s="42">
        <f>IFERROR(LOOKUP(Z873,打分卡!$F$17:$H$17,打分卡!$K$17:$M$17),1)</f>
        <v>3</v>
      </c>
      <c r="AN873" s="46">
        <f>(打分卡!$D$7*AC873+打分卡!$D$8*AD873+打分卡!$D$9*AE873)/5</f>
        <v>12.6</v>
      </c>
      <c r="AO873" s="46">
        <f>(打分卡!$D$10*AF873+打分卡!$D$11*AG873)/5</f>
        <v>8</v>
      </c>
      <c r="AP873" s="46">
        <f>(打分卡!$D$12*AH873+打分卡!$D$13*AI873+打分卡!$D$14*AJ873+打分卡!$D$15*AK873)/5</f>
        <v>14.8</v>
      </c>
      <c r="AQ873" s="46">
        <f>(打分卡!$D$16*AL873+打分卡!$D$17*AM873)/5</f>
        <v>6</v>
      </c>
      <c r="AR873" s="48">
        <f t="shared" si="106"/>
        <v>41.4</v>
      </c>
      <c r="AS873" s="45" t="str">
        <f t="shared" si="107"/>
        <v>腰部</v>
      </c>
      <c r="AT873" s="45" t="str">
        <f t="shared" si="108"/>
        <v/>
      </c>
      <c r="AU873" s="45" t="str">
        <f t="shared" si="109"/>
        <v>拉·主攻：主推AI外呼+大促作战包</v>
      </c>
    </row>
    <row r="874" ht="15" customHeight="1" spans="1:47">
      <c r="A874" s="30" t="s">
        <v>2466</v>
      </c>
      <c r="B874" s="31" t="s">
        <v>2467</v>
      </c>
      <c r="C874" s="31" t="s">
        <v>239</v>
      </c>
      <c r="D874" s="31" t="s">
        <v>196</v>
      </c>
      <c r="E874" s="31" t="s">
        <v>181</v>
      </c>
      <c r="F874" s="30" t="s">
        <v>2468</v>
      </c>
      <c r="G874" s="31">
        <v>10</v>
      </c>
      <c r="H874" s="31" t="s">
        <v>183</v>
      </c>
      <c r="I874" s="31" t="s">
        <v>302</v>
      </c>
      <c r="J874" s="33">
        <v>6500</v>
      </c>
      <c r="K874" s="33">
        <v>4800</v>
      </c>
      <c r="L874" s="33">
        <v>1100</v>
      </c>
      <c r="M874" s="33">
        <f t="shared" si="104"/>
        <v>12400</v>
      </c>
      <c r="N874" s="34">
        <f t="shared" si="110"/>
        <v>6.50087342380033e-5</v>
      </c>
      <c r="O874" s="35">
        <f>SUM($M$2:M874)</f>
        <v>188866100</v>
      </c>
      <c r="P874" s="34">
        <f t="shared" si="111"/>
        <v>0.990156943666786</v>
      </c>
      <c r="Q874" s="37">
        <v>1</v>
      </c>
      <c r="R874" s="31">
        <v>9</v>
      </c>
      <c r="S874" s="31">
        <v>2</v>
      </c>
      <c r="T874" s="31">
        <v>2</v>
      </c>
      <c r="U874" s="37">
        <v>1.2</v>
      </c>
      <c r="V874" s="31">
        <v>27</v>
      </c>
      <c r="W874" s="31">
        <v>0</v>
      </c>
      <c r="X874" s="38">
        <v>60</v>
      </c>
      <c r="Y874" s="31">
        <v>1</v>
      </c>
      <c r="Z874" s="31">
        <v>0</v>
      </c>
      <c r="AA874" s="31" t="s">
        <v>185</v>
      </c>
      <c r="AB874" s="31" t="s">
        <v>220</v>
      </c>
      <c r="AC874" s="41">
        <f>IFERROR(LOOKUP(M874,打分卡!$F$7:$J$7,打分卡!$K$7:$O$7),1)</f>
        <v>1</v>
      </c>
      <c r="AD874" s="41">
        <f>IFERROR(LOOKUP(S874,打分卡!$F$8:$J$8,打分卡!$K$8:$O$8),1)</f>
        <v>2</v>
      </c>
      <c r="AE874" s="41">
        <f>IFERROR(LOOKUP(T874,打分卡!$F$9:$I$9,打分卡!$K$9:$N$9),1)</f>
        <v>3</v>
      </c>
      <c r="AF874" s="41">
        <f>IFERROR(LOOKUP(Q874,打分卡!$F$10:$J$10,打分卡!$K$10:$O$10),1)</f>
        <v>1</v>
      </c>
      <c r="AG874" s="41">
        <f>IFERROR(LOOKUP(R874,打分卡!$F$11:$J$11,打分卡!$K$11:$O$11),1)</f>
        <v>4</v>
      </c>
      <c r="AH874" s="41">
        <f>IFERROR(LOOKUP(U874,打分卡!$F$12:$J$12,打分卡!$K$12:$O$12),1)</f>
        <v>1</v>
      </c>
      <c r="AI874" s="41">
        <f>IFERROR(LOOKUP(X874,打分卡!$F$13:$J$13,打分卡!$K$13:$O$13),1)</f>
        <v>3</v>
      </c>
      <c r="AJ874" s="41">
        <f>IFERROR(LOOKUP(Y874,打分卡!$F$14:$J$14,打分卡!$K$14:$O$14),1)</f>
        <v>2</v>
      </c>
      <c r="AK874" s="41">
        <f>IFERROR(LOOKUP(W874,打分卡!$F$15:$J$15,打分卡!$K$15:$O$15),1)</f>
        <v>1</v>
      </c>
      <c r="AL874" s="43">
        <f t="shared" si="105"/>
        <v>3</v>
      </c>
      <c r="AM874" s="41">
        <f>IFERROR(LOOKUP(Z874,打分卡!$F$17:$H$17,打分卡!$K$17:$M$17),1)</f>
        <v>1</v>
      </c>
      <c r="AN874" s="44">
        <f>(打分卡!$D$7*AC874+打分卡!$D$8*AD874+打分卡!$D$9*AE874)/5</f>
        <v>12.4</v>
      </c>
      <c r="AO874" s="44">
        <f>(打分卡!$D$10*AF874+打分卡!$D$11*AG874)/5</f>
        <v>10</v>
      </c>
      <c r="AP874" s="44">
        <f>(打分卡!$D$12*AH874+打分卡!$D$13*AI874+打分卡!$D$14*AJ874+打分卡!$D$15*AK874)/5</f>
        <v>10.4</v>
      </c>
      <c r="AQ874" s="44">
        <f>(打分卡!$D$16*AL874+打分卡!$D$17*AM874)/5</f>
        <v>4.4</v>
      </c>
      <c r="AR874" s="47">
        <f t="shared" si="106"/>
        <v>37.2</v>
      </c>
      <c r="AS874" s="43" t="str">
        <f t="shared" si="107"/>
        <v>基础长尾</v>
      </c>
      <c r="AT874" s="43" t="str">
        <f t="shared" si="108"/>
        <v/>
      </c>
      <c r="AU874" s="43" t="str">
        <f t="shared" si="109"/>
        <v>激活：企微+Push低成本先跑</v>
      </c>
    </row>
    <row r="875" ht="15" customHeight="1" spans="1:47">
      <c r="A875" s="20" t="s">
        <v>2469</v>
      </c>
      <c r="B875" s="22" t="s">
        <v>2470</v>
      </c>
      <c r="C875" s="22" t="s">
        <v>239</v>
      </c>
      <c r="D875" s="22" t="s">
        <v>235</v>
      </c>
      <c r="E875" s="22" t="s">
        <v>181</v>
      </c>
      <c r="F875" s="20" t="s">
        <v>424</v>
      </c>
      <c r="G875" s="22">
        <v>7</v>
      </c>
      <c r="H875" s="22" t="s">
        <v>301</v>
      </c>
      <c r="I875" s="22" t="s">
        <v>184</v>
      </c>
      <c r="J875" s="36">
        <v>7500</v>
      </c>
      <c r="K875" s="36">
        <v>4300</v>
      </c>
      <c r="L875" s="36">
        <v>600</v>
      </c>
      <c r="M875" s="36">
        <f t="shared" si="104"/>
        <v>12400</v>
      </c>
      <c r="N875" s="34">
        <f t="shared" si="110"/>
        <v>6.50087342380033e-5</v>
      </c>
      <c r="O875" s="35">
        <f>SUM($M$2:M875)</f>
        <v>188878500</v>
      </c>
      <c r="P875" s="34">
        <f t="shared" si="111"/>
        <v>0.990221952401024</v>
      </c>
      <c r="Q875" s="39">
        <v>0.9</v>
      </c>
      <c r="R875" s="22">
        <v>6</v>
      </c>
      <c r="S875" s="22">
        <v>2</v>
      </c>
      <c r="T875" s="22">
        <v>2</v>
      </c>
      <c r="U875" s="39">
        <v>76</v>
      </c>
      <c r="V875" s="22">
        <v>24</v>
      </c>
      <c r="W875" s="22">
        <v>1</v>
      </c>
      <c r="X875" s="40">
        <v>104</v>
      </c>
      <c r="Y875" s="22">
        <v>2</v>
      </c>
      <c r="Z875" s="22">
        <v>1</v>
      </c>
      <c r="AA875" s="22" t="s">
        <v>185</v>
      </c>
      <c r="AB875" s="22" t="s">
        <v>220</v>
      </c>
      <c r="AC875" s="42">
        <f>IFERROR(LOOKUP(M875,打分卡!$F$7:$J$7,打分卡!$K$7:$O$7),1)</f>
        <v>1</v>
      </c>
      <c r="AD875" s="42">
        <f>IFERROR(LOOKUP(S875,打分卡!$F$8:$J$8,打分卡!$K$8:$O$8),1)</f>
        <v>2</v>
      </c>
      <c r="AE875" s="42">
        <f>IFERROR(LOOKUP(T875,打分卡!$F$9:$I$9,打分卡!$K$9:$N$9),1)</f>
        <v>3</v>
      </c>
      <c r="AF875" s="42">
        <f>IFERROR(LOOKUP(Q875,打分卡!$F$10:$J$10,打分卡!$K$10:$O$10),1)</f>
        <v>1</v>
      </c>
      <c r="AG875" s="42">
        <f>IFERROR(LOOKUP(R875,打分卡!$F$11:$J$11,打分卡!$K$11:$O$11),1)</f>
        <v>3</v>
      </c>
      <c r="AH875" s="42">
        <f>IFERROR(LOOKUP(U875,打分卡!$F$12:$J$12,打分卡!$K$12:$O$12),1)</f>
        <v>5</v>
      </c>
      <c r="AI875" s="42">
        <f>IFERROR(LOOKUP(X875,打分卡!$F$13:$J$13,打分卡!$K$13:$O$13),1)</f>
        <v>4</v>
      </c>
      <c r="AJ875" s="42">
        <f>IFERROR(LOOKUP(Y875,打分卡!$F$14:$J$14,打分卡!$K$14:$O$14),1)</f>
        <v>3</v>
      </c>
      <c r="AK875" s="42">
        <f>IFERROR(LOOKUP(W875,打分卡!$F$15:$J$15,打分卡!$K$15:$O$15),1)</f>
        <v>2</v>
      </c>
      <c r="AL875" s="45">
        <f t="shared" si="105"/>
        <v>3</v>
      </c>
      <c r="AM875" s="42">
        <f>IFERROR(LOOKUP(Z875,打分卡!$F$17:$H$17,打分卡!$K$17:$M$17),1)</f>
        <v>3</v>
      </c>
      <c r="AN875" s="46">
        <f>(打分卡!$D$7*AC875+打分卡!$D$8*AD875+打分卡!$D$9*AE875)/5</f>
        <v>12.4</v>
      </c>
      <c r="AO875" s="46">
        <f>(打分卡!$D$10*AF875+打分卡!$D$11*AG875)/5</f>
        <v>8</v>
      </c>
      <c r="AP875" s="46">
        <f>(打分卡!$D$12*AH875+打分卡!$D$13*AI875+打分卡!$D$14*AJ875+打分卡!$D$15*AK875)/5</f>
        <v>23.6</v>
      </c>
      <c r="AQ875" s="46">
        <f>(打分卡!$D$16*AL875+打分卡!$D$17*AM875)/5</f>
        <v>6</v>
      </c>
      <c r="AR875" s="48">
        <f t="shared" si="106"/>
        <v>50</v>
      </c>
      <c r="AS875" s="45" t="str">
        <f t="shared" si="107"/>
        <v>腰部</v>
      </c>
      <c r="AT875" s="45" t="str">
        <f t="shared" si="108"/>
        <v/>
      </c>
      <c r="AU875" s="45" t="str">
        <f t="shared" si="109"/>
        <v>拉·主攻：主推AI外呼+大促作战包</v>
      </c>
    </row>
    <row r="876" ht="15" customHeight="1" spans="1:47">
      <c r="A876" s="30" t="s">
        <v>2471</v>
      </c>
      <c r="B876" s="31" t="s">
        <v>2472</v>
      </c>
      <c r="C876" s="31" t="s">
        <v>223</v>
      </c>
      <c r="D876" s="31" t="s">
        <v>196</v>
      </c>
      <c r="E876" s="31" t="s">
        <v>181</v>
      </c>
      <c r="F876" s="30" t="s">
        <v>2197</v>
      </c>
      <c r="G876" s="31">
        <v>9</v>
      </c>
      <c r="H876" s="31" t="s">
        <v>301</v>
      </c>
      <c r="I876" s="31" t="s">
        <v>184</v>
      </c>
      <c r="J876" s="33">
        <v>7800</v>
      </c>
      <c r="K876" s="33">
        <v>4000</v>
      </c>
      <c r="L876" s="33">
        <v>600</v>
      </c>
      <c r="M876" s="33">
        <f t="shared" si="104"/>
        <v>12400</v>
      </c>
      <c r="N876" s="34">
        <f t="shared" si="110"/>
        <v>6.50087342380033e-5</v>
      </c>
      <c r="O876" s="35">
        <f>SUM($M$2:M876)</f>
        <v>188890900</v>
      </c>
      <c r="P876" s="34">
        <f t="shared" si="111"/>
        <v>0.990286961135262</v>
      </c>
      <c r="Q876" s="37">
        <v>1.2</v>
      </c>
      <c r="R876" s="31">
        <v>9</v>
      </c>
      <c r="S876" s="31">
        <v>1</v>
      </c>
      <c r="T876" s="31">
        <v>0</v>
      </c>
      <c r="U876" s="37">
        <v>41.9</v>
      </c>
      <c r="V876" s="31">
        <v>14</v>
      </c>
      <c r="W876" s="31">
        <v>2</v>
      </c>
      <c r="X876" s="38">
        <v>11</v>
      </c>
      <c r="Y876" s="31">
        <v>2</v>
      </c>
      <c r="Z876" s="31">
        <v>0</v>
      </c>
      <c r="AA876" s="31" t="s">
        <v>199</v>
      </c>
      <c r="AB876" s="31" t="s">
        <v>220</v>
      </c>
      <c r="AC876" s="41">
        <f>IFERROR(LOOKUP(M876,打分卡!$F$7:$J$7,打分卡!$K$7:$O$7),1)</f>
        <v>1</v>
      </c>
      <c r="AD876" s="41">
        <f>IFERROR(LOOKUP(S876,打分卡!$F$8:$J$8,打分卡!$K$8:$O$8),1)</f>
        <v>1</v>
      </c>
      <c r="AE876" s="41">
        <f>IFERROR(LOOKUP(T876,打分卡!$F$9:$I$9,打分卡!$K$9:$N$9),1)</f>
        <v>1</v>
      </c>
      <c r="AF876" s="41">
        <f>IFERROR(LOOKUP(Q876,打分卡!$F$10:$J$10,打分卡!$K$10:$O$10),1)</f>
        <v>1</v>
      </c>
      <c r="AG876" s="41">
        <f>IFERROR(LOOKUP(R876,打分卡!$F$11:$J$11,打分卡!$K$11:$O$11),1)</f>
        <v>4</v>
      </c>
      <c r="AH876" s="41">
        <f>IFERROR(LOOKUP(U876,打分卡!$F$12:$J$12,打分卡!$K$12:$O$12),1)</f>
        <v>4</v>
      </c>
      <c r="AI876" s="41">
        <f>IFERROR(LOOKUP(X876,打分卡!$F$13:$J$13,打分卡!$K$13:$O$13),1)</f>
        <v>1</v>
      </c>
      <c r="AJ876" s="41">
        <f>IFERROR(LOOKUP(Y876,打分卡!$F$14:$J$14,打分卡!$K$14:$O$14),1)</f>
        <v>3</v>
      </c>
      <c r="AK876" s="41">
        <f>IFERROR(LOOKUP(W876,打分卡!$F$15:$J$15,打分卡!$K$15:$O$15),1)</f>
        <v>2</v>
      </c>
      <c r="AL876" s="43">
        <f t="shared" si="105"/>
        <v>5</v>
      </c>
      <c r="AM876" s="41">
        <f>IFERROR(LOOKUP(Z876,打分卡!$F$17:$H$17,打分卡!$K$17:$M$17),1)</f>
        <v>1</v>
      </c>
      <c r="AN876" s="44">
        <f>(打分卡!$D$7*AC876+打分卡!$D$8*AD876+打分卡!$D$9*AE876)/5</f>
        <v>8</v>
      </c>
      <c r="AO876" s="44">
        <f>(打分卡!$D$10*AF876+打分卡!$D$11*AG876)/5</f>
        <v>10</v>
      </c>
      <c r="AP876" s="44">
        <f>(打分卡!$D$12*AH876+打分卡!$D$13*AI876+打分卡!$D$14*AJ876+打分卡!$D$15*AK876)/5</f>
        <v>16.4</v>
      </c>
      <c r="AQ876" s="44">
        <f>(打分卡!$D$16*AL876+打分卡!$D$17*AM876)/5</f>
        <v>6.8</v>
      </c>
      <c r="AR876" s="47">
        <f t="shared" si="106"/>
        <v>41.2</v>
      </c>
      <c r="AS876" s="43" t="str">
        <f t="shared" si="107"/>
        <v>腰部</v>
      </c>
      <c r="AT876" s="43" t="str">
        <f t="shared" si="108"/>
        <v/>
      </c>
      <c r="AU876" s="43" t="str">
        <f t="shared" si="109"/>
        <v>拉·主攻：主推AI外呼+大促作战包</v>
      </c>
    </row>
    <row r="877" ht="15" customHeight="1" spans="1:47">
      <c r="A877" s="20" t="s">
        <v>2473</v>
      </c>
      <c r="B877" s="22" t="s">
        <v>2474</v>
      </c>
      <c r="C877" s="22" t="s">
        <v>189</v>
      </c>
      <c r="D877" s="22" t="s">
        <v>196</v>
      </c>
      <c r="E877" s="22" t="s">
        <v>181</v>
      </c>
      <c r="F877" s="20" t="s">
        <v>572</v>
      </c>
      <c r="G877" s="22">
        <v>22</v>
      </c>
      <c r="H877" s="22" t="s">
        <v>301</v>
      </c>
      <c r="I877" s="22" t="s">
        <v>302</v>
      </c>
      <c r="J877" s="36">
        <v>5700</v>
      </c>
      <c r="K877" s="36">
        <v>4000</v>
      </c>
      <c r="L877" s="36">
        <v>2600</v>
      </c>
      <c r="M877" s="36">
        <f t="shared" si="104"/>
        <v>12300</v>
      </c>
      <c r="N877" s="34">
        <f t="shared" si="110"/>
        <v>6.44844702522129e-5</v>
      </c>
      <c r="O877" s="35">
        <f>SUM($M$2:M877)</f>
        <v>188903200</v>
      </c>
      <c r="P877" s="34">
        <f t="shared" si="111"/>
        <v>0.990351445605514</v>
      </c>
      <c r="Q877" s="39">
        <v>0.7</v>
      </c>
      <c r="R877" s="22">
        <v>5</v>
      </c>
      <c r="S877" s="22">
        <v>3</v>
      </c>
      <c r="T877" s="22">
        <v>1</v>
      </c>
      <c r="U877" s="39">
        <v>16.5</v>
      </c>
      <c r="V877" s="22">
        <v>24</v>
      </c>
      <c r="W877" s="22">
        <v>4</v>
      </c>
      <c r="X877" s="40">
        <v>67</v>
      </c>
      <c r="Y877" s="22">
        <v>1</v>
      </c>
      <c r="Z877" s="22">
        <v>1</v>
      </c>
      <c r="AA877" s="22" t="s">
        <v>199</v>
      </c>
      <c r="AB877" s="22" t="s">
        <v>220</v>
      </c>
      <c r="AC877" s="42">
        <f>IFERROR(LOOKUP(M877,打分卡!$F$7:$J$7,打分卡!$K$7:$O$7),1)</f>
        <v>1</v>
      </c>
      <c r="AD877" s="42">
        <f>IFERROR(LOOKUP(S877,打分卡!$F$8:$J$8,打分卡!$K$8:$O$8),1)</f>
        <v>3</v>
      </c>
      <c r="AE877" s="42">
        <f>IFERROR(LOOKUP(T877,打分卡!$F$9:$I$9,打分卡!$K$9:$N$9),1)</f>
        <v>2</v>
      </c>
      <c r="AF877" s="42">
        <f>IFERROR(LOOKUP(Q877,打分卡!$F$10:$J$10,打分卡!$K$10:$O$10),1)</f>
        <v>1</v>
      </c>
      <c r="AG877" s="42">
        <f>IFERROR(LOOKUP(R877,打分卡!$F$11:$J$11,打分卡!$K$11:$O$11),1)</f>
        <v>3</v>
      </c>
      <c r="AH877" s="42">
        <f>IFERROR(LOOKUP(U877,打分卡!$F$12:$J$12,打分卡!$K$12:$O$12),1)</f>
        <v>3</v>
      </c>
      <c r="AI877" s="42">
        <f>IFERROR(LOOKUP(X877,打分卡!$F$13:$J$13,打分卡!$K$13:$O$13),1)</f>
        <v>3</v>
      </c>
      <c r="AJ877" s="42">
        <f>IFERROR(LOOKUP(Y877,打分卡!$F$14:$J$14,打分卡!$K$14:$O$14),1)</f>
        <v>2</v>
      </c>
      <c r="AK877" s="42">
        <f>IFERROR(LOOKUP(W877,打分卡!$F$15:$J$15,打分卡!$K$15:$O$15),1)</f>
        <v>3</v>
      </c>
      <c r="AL877" s="45">
        <f t="shared" si="105"/>
        <v>5</v>
      </c>
      <c r="AM877" s="42">
        <f>IFERROR(LOOKUP(Z877,打分卡!$F$17:$H$17,打分卡!$K$17:$M$17),1)</f>
        <v>3</v>
      </c>
      <c r="AN877" s="46">
        <f>(打分卡!$D$7*AC877+打分卡!$D$8*AD877+打分卡!$D$9*AE877)/5</f>
        <v>12.6</v>
      </c>
      <c r="AO877" s="46">
        <f>(打分卡!$D$10*AF877+打分卡!$D$11*AG877)/5</f>
        <v>8</v>
      </c>
      <c r="AP877" s="46">
        <f>(打分卡!$D$12*AH877+打分卡!$D$13*AI877+打分卡!$D$14*AJ877+打分卡!$D$15*AK877)/5</f>
        <v>16.8</v>
      </c>
      <c r="AQ877" s="46">
        <f>(打分卡!$D$16*AL877+打分卡!$D$17*AM877)/5</f>
        <v>8.4</v>
      </c>
      <c r="AR877" s="48">
        <f t="shared" si="106"/>
        <v>45.8</v>
      </c>
      <c r="AS877" s="45" t="str">
        <f t="shared" si="107"/>
        <v>腰部</v>
      </c>
      <c r="AT877" s="45" t="str">
        <f t="shared" si="108"/>
        <v/>
      </c>
      <c r="AU877" s="45" t="str">
        <f t="shared" si="109"/>
        <v>拉·主攻：主推AI外呼+大促作战包</v>
      </c>
    </row>
    <row r="878" ht="15" customHeight="1" spans="1:47">
      <c r="A878" s="30" t="s">
        <v>2475</v>
      </c>
      <c r="B878" s="31" t="s">
        <v>2476</v>
      </c>
      <c r="C878" s="31" t="s">
        <v>218</v>
      </c>
      <c r="D878" s="31" t="s">
        <v>202</v>
      </c>
      <c r="E878" s="31" t="s">
        <v>181</v>
      </c>
      <c r="F878" s="30" t="s">
        <v>2477</v>
      </c>
      <c r="G878" s="31">
        <v>19</v>
      </c>
      <c r="H878" s="31" t="s">
        <v>183</v>
      </c>
      <c r="I878" s="31" t="s">
        <v>302</v>
      </c>
      <c r="J878" s="33">
        <v>7000</v>
      </c>
      <c r="K878" s="33">
        <v>3400</v>
      </c>
      <c r="L878" s="33">
        <v>1800</v>
      </c>
      <c r="M878" s="33">
        <f t="shared" si="104"/>
        <v>12200</v>
      </c>
      <c r="N878" s="34">
        <f t="shared" si="110"/>
        <v>6.39602062664226e-5</v>
      </c>
      <c r="O878" s="35">
        <f>SUM($M$2:M878)</f>
        <v>188915400</v>
      </c>
      <c r="P878" s="34">
        <f t="shared" si="111"/>
        <v>0.990415405811781</v>
      </c>
      <c r="Q878" s="37">
        <v>1.1</v>
      </c>
      <c r="R878" s="31">
        <v>8</v>
      </c>
      <c r="S878" s="31">
        <v>1</v>
      </c>
      <c r="T878" s="31">
        <v>1</v>
      </c>
      <c r="U878" s="37">
        <v>1.7</v>
      </c>
      <c r="V878" s="31">
        <v>22</v>
      </c>
      <c r="W878" s="31">
        <v>3</v>
      </c>
      <c r="X878" s="38">
        <v>114</v>
      </c>
      <c r="Y878" s="31">
        <v>1</v>
      </c>
      <c r="Z878" s="31">
        <v>0</v>
      </c>
      <c r="AA878" s="31" t="s">
        <v>315</v>
      </c>
      <c r="AB878" s="31" t="s">
        <v>220</v>
      </c>
      <c r="AC878" s="41">
        <f>IFERROR(LOOKUP(M878,打分卡!$F$7:$J$7,打分卡!$K$7:$O$7),1)</f>
        <v>1</v>
      </c>
      <c r="AD878" s="41">
        <f>IFERROR(LOOKUP(S878,打分卡!$F$8:$J$8,打分卡!$K$8:$O$8),1)</f>
        <v>1</v>
      </c>
      <c r="AE878" s="41">
        <f>IFERROR(LOOKUP(T878,打分卡!$F$9:$I$9,打分卡!$K$9:$N$9),1)</f>
        <v>2</v>
      </c>
      <c r="AF878" s="41">
        <f>IFERROR(LOOKUP(Q878,打分卡!$F$10:$J$10,打分卡!$K$10:$O$10),1)</f>
        <v>1</v>
      </c>
      <c r="AG878" s="41">
        <f>IFERROR(LOOKUP(R878,打分卡!$F$11:$J$11,打分卡!$K$11:$O$11),1)</f>
        <v>3</v>
      </c>
      <c r="AH878" s="41">
        <f>IFERROR(LOOKUP(U878,打分卡!$F$12:$J$12,打分卡!$K$12:$O$12),1)</f>
        <v>1</v>
      </c>
      <c r="AI878" s="41">
        <f>IFERROR(LOOKUP(X878,打分卡!$F$13:$J$13,打分卡!$K$13:$O$13),1)</f>
        <v>4</v>
      </c>
      <c r="AJ878" s="41">
        <f>IFERROR(LOOKUP(Y878,打分卡!$F$14:$J$14,打分卡!$K$14:$O$14),1)</f>
        <v>2</v>
      </c>
      <c r="AK878" s="41">
        <f>IFERROR(LOOKUP(W878,打分卡!$F$15:$J$15,打分卡!$K$15:$O$15),1)</f>
        <v>3</v>
      </c>
      <c r="AL878" s="43">
        <f t="shared" si="105"/>
        <v>2</v>
      </c>
      <c r="AM878" s="41">
        <f>IFERROR(LOOKUP(Z878,打分卡!$F$17:$H$17,打分卡!$K$17:$M$17),1)</f>
        <v>1</v>
      </c>
      <c r="AN878" s="44">
        <f>(打分卡!$D$7*AC878+打分卡!$D$8*AD878+打分卡!$D$9*AE878)/5</f>
        <v>9.4</v>
      </c>
      <c r="AO878" s="44">
        <f>(打分卡!$D$10*AF878+打分卡!$D$11*AG878)/5</f>
        <v>8</v>
      </c>
      <c r="AP878" s="44">
        <f>(打分卡!$D$12*AH878+打分卡!$D$13*AI878+打分卡!$D$14*AJ878+打分卡!$D$15*AK878)/5</f>
        <v>13.6</v>
      </c>
      <c r="AQ878" s="44">
        <f>(打分卡!$D$16*AL878+打分卡!$D$17*AM878)/5</f>
        <v>3.2</v>
      </c>
      <c r="AR878" s="47">
        <f t="shared" si="106"/>
        <v>34.2</v>
      </c>
      <c r="AS878" s="43" t="str">
        <f t="shared" si="107"/>
        <v>基础长尾</v>
      </c>
      <c r="AT878" s="43" t="str">
        <f t="shared" si="108"/>
        <v/>
      </c>
      <c r="AU878" s="43" t="str">
        <f t="shared" si="109"/>
        <v>激活：企微+Push低成本先跑</v>
      </c>
    </row>
    <row r="879" ht="15" customHeight="1" spans="1:47">
      <c r="A879" s="20" t="s">
        <v>2478</v>
      </c>
      <c r="B879" s="22" t="s">
        <v>2479</v>
      </c>
      <c r="C879" s="22" t="s">
        <v>179</v>
      </c>
      <c r="D879" s="22" t="s">
        <v>235</v>
      </c>
      <c r="E879" s="22" t="s">
        <v>181</v>
      </c>
      <c r="F879" s="20" t="s">
        <v>831</v>
      </c>
      <c r="G879" s="22">
        <v>17</v>
      </c>
      <c r="H879" s="22" t="s">
        <v>301</v>
      </c>
      <c r="I879" s="22" t="s">
        <v>184</v>
      </c>
      <c r="J879" s="36">
        <v>6200</v>
      </c>
      <c r="K879" s="36">
        <v>4300</v>
      </c>
      <c r="L879" s="36">
        <v>1600</v>
      </c>
      <c r="M879" s="36">
        <f t="shared" si="104"/>
        <v>12100</v>
      </c>
      <c r="N879" s="34">
        <f t="shared" si="110"/>
        <v>6.34359422806322e-5</v>
      </c>
      <c r="O879" s="35">
        <f>SUM($M$2:M879)</f>
        <v>188927500</v>
      </c>
      <c r="P879" s="34">
        <f t="shared" si="111"/>
        <v>0.990478841754061</v>
      </c>
      <c r="Q879" s="39">
        <v>0.9</v>
      </c>
      <c r="R879" s="22">
        <v>9</v>
      </c>
      <c r="S879" s="22">
        <v>1</v>
      </c>
      <c r="T879" s="22">
        <v>2</v>
      </c>
      <c r="U879" s="39">
        <v>7.1</v>
      </c>
      <c r="V879" s="22">
        <v>28</v>
      </c>
      <c r="W879" s="22">
        <v>3</v>
      </c>
      <c r="X879" s="40">
        <v>21</v>
      </c>
      <c r="Y879" s="22">
        <v>3</v>
      </c>
      <c r="Z879" s="22">
        <v>0</v>
      </c>
      <c r="AA879" s="22" t="s">
        <v>199</v>
      </c>
      <c r="AB879" s="22" t="s">
        <v>220</v>
      </c>
      <c r="AC879" s="42">
        <f>IFERROR(LOOKUP(M879,打分卡!$F$7:$J$7,打分卡!$K$7:$O$7),1)</f>
        <v>1</v>
      </c>
      <c r="AD879" s="42">
        <f>IFERROR(LOOKUP(S879,打分卡!$F$8:$J$8,打分卡!$K$8:$O$8),1)</f>
        <v>1</v>
      </c>
      <c r="AE879" s="42">
        <f>IFERROR(LOOKUP(T879,打分卡!$F$9:$I$9,打分卡!$K$9:$N$9),1)</f>
        <v>3</v>
      </c>
      <c r="AF879" s="42">
        <f>IFERROR(LOOKUP(Q879,打分卡!$F$10:$J$10,打分卡!$K$10:$O$10),1)</f>
        <v>1</v>
      </c>
      <c r="AG879" s="42">
        <f>IFERROR(LOOKUP(R879,打分卡!$F$11:$J$11,打分卡!$K$11:$O$11),1)</f>
        <v>4</v>
      </c>
      <c r="AH879" s="42">
        <f>IFERROR(LOOKUP(U879,打分卡!$F$12:$J$12,打分卡!$K$12:$O$12),1)</f>
        <v>2</v>
      </c>
      <c r="AI879" s="42">
        <f>IFERROR(LOOKUP(X879,打分卡!$F$13:$J$13,打分卡!$K$13:$O$13),1)</f>
        <v>2</v>
      </c>
      <c r="AJ879" s="42">
        <f>IFERROR(LOOKUP(Y879,打分卡!$F$14:$J$14,打分卡!$K$14:$O$14),1)</f>
        <v>4</v>
      </c>
      <c r="AK879" s="42">
        <f>IFERROR(LOOKUP(W879,打分卡!$F$15:$J$15,打分卡!$K$15:$O$15),1)</f>
        <v>3</v>
      </c>
      <c r="AL879" s="45">
        <f t="shared" si="105"/>
        <v>5</v>
      </c>
      <c r="AM879" s="42">
        <f>IFERROR(LOOKUP(Z879,打分卡!$F$17:$H$17,打分卡!$K$17:$M$17),1)</f>
        <v>1</v>
      </c>
      <c r="AN879" s="46">
        <f>(打分卡!$D$7*AC879+打分卡!$D$8*AD879+打分卡!$D$9*AE879)/5</f>
        <v>10.8</v>
      </c>
      <c r="AO879" s="46">
        <f>(打分卡!$D$10*AF879+打分卡!$D$11*AG879)/5</f>
        <v>10</v>
      </c>
      <c r="AP879" s="46">
        <f>(打分卡!$D$12*AH879+打分卡!$D$13*AI879+打分卡!$D$14*AJ879+打分卡!$D$15*AK879)/5</f>
        <v>15.2</v>
      </c>
      <c r="AQ879" s="46">
        <f>(打分卡!$D$16*AL879+打分卡!$D$17*AM879)/5</f>
        <v>6.8</v>
      </c>
      <c r="AR879" s="48">
        <f t="shared" si="106"/>
        <v>42.8</v>
      </c>
      <c r="AS879" s="45" t="str">
        <f t="shared" si="107"/>
        <v>腰部</v>
      </c>
      <c r="AT879" s="45" t="str">
        <f t="shared" si="108"/>
        <v/>
      </c>
      <c r="AU879" s="45" t="str">
        <f t="shared" si="109"/>
        <v>拉·主攻：主推AI外呼+大促作战包</v>
      </c>
    </row>
    <row r="880" ht="15" customHeight="1" spans="1:47">
      <c r="A880" s="30" t="s">
        <v>2480</v>
      </c>
      <c r="B880" s="31" t="s">
        <v>2481</v>
      </c>
      <c r="C880" s="31" t="s">
        <v>179</v>
      </c>
      <c r="D880" s="31" t="s">
        <v>180</v>
      </c>
      <c r="E880" s="31" t="s">
        <v>197</v>
      </c>
      <c r="F880" s="30" t="s">
        <v>1742</v>
      </c>
      <c r="G880" s="31">
        <v>17</v>
      </c>
      <c r="H880" s="31" t="s">
        <v>301</v>
      </c>
      <c r="I880" s="31" t="s">
        <v>302</v>
      </c>
      <c r="J880" s="33">
        <v>5800</v>
      </c>
      <c r="K880" s="33">
        <v>4500</v>
      </c>
      <c r="L880" s="33">
        <v>1800</v>
      </c>
      <c r="M880" s="33">
        <f t="shared" si="104"/>
        <v>12100</v>
      </c>
      <c r="N880" s="34">
        <f t="shared" si="110"/>
        <v>6.34359422806322e-5</v>
      </c>
      <c r="O880" s="35">
        <f>SUM($M$2:M880)</f>
        <v>188939600</v>
      </c>
      <c r="P880" s="34">
        <f t="shared" si="111"/>
        <v>0.990542277696342</v>
      </c>
      <c r="Q880" s="37">
        <v>1.2</v>
      </c>
      <c r="R880" s="31">
        <v>3</v>
      </c>
      <c r="S880" s="31">
        <v>1</v>
      </c>
      <c r="T880" s="31">
        <v>1</v>
      </c>
      <c r="U880" s="37">
        <v>13.9</v>
      </c>
      <c r="V880" s="31">
        <v>20</v>
      </c>
      <c r="W880" s="31">
        <v>0</v>
      </c>
      <c r="X880" s="38">
        <v>28</v>
      </c>
      <c r="Y880" s="31">
        <v>1</v>
      </c>
      <c r="Z880" s="31">
        <v>0</v>
      </c>
      <c r="AA880" s="31" t="s">
        <v>185</v>
      </c>
      <c r="AB880" s="31" t="s">
        <v>220</v>
      </c>
      <c r="AC880" s="41">
        <f>IFERROR(LOOKUP(M880,打分卡!$F$7:$J$7,打分卡!$K$7:$O$7),1)</f>
        <v>1</v>
      </c>
      <c r="AD880" s="41">
        <f>IFERROR(LOOKUP(S880,打分卡!$F$8:$J$8,打分卡!$K$8:$O$8),1)</f>
        <v>1</v>
      </c>
      <c r="AE880" s="41">
        <f>IFERROR(LOOKUP(T880,打分卡!$F$9:$I$9,打分卡!$K$9:$N$9),1)</f>
        <v>2</v>
      </c>
      <c r="AF880" s="41">
        <f>IFERROR(LOOKUP(Q880,打分卡!$F$10:$J$10,打分卡!$K$10:$O$10),1)</f>
        <v>1</v>
      </c>
      <c r="AG880" s="41">
        <f>IFERROR(LOOKUP(R880,打分卡!$F$11:$J$11,打分卡!$K$11:$O$11),1)</f>
        <v>2</v>
      </c>
      <c r="AH880" s="41">
        <f>IFERROR(LOOKUP(U880,打分卡!$F$12:$J$12,打分卡!$K$12:$O$12),1)</f>
        <v>3</v>
      </c>
      <c r="AI880" s="41">
        <f>IFERROR(LOOKUP(X880,打分卡!$F$13:$J$13,打分卡!$K$13:$O$13),1)</f>
        <v>2</v>
      </c>
      <c r="AJ880" s="41">
        <f>IFERROR(LOOKUP(Y880,打分卡!$F$14:$J$14,打分卡!$K$14:$O$14),1)</f>
        <v>2</v>
      </c>
      <c r="AK880" s="41">
        <f>IFERROR(LOOKUP(W880,打分卡!$F$15:$J$15,打分卡!$K$15:$O$15),1)</f>
        <v>1</v>
      </c>
      <c r="AL880" s="43">
        <f t="shared" si="105"/>
        <v>3</v>
      </c>
      <c r="AM880" s="41">
        <f>IFERROR(LOOKUP(Z880,打分卡!$F$17:$H$17,打分卡!$K$17:$M$17),1)</f>
        <v>1</v>
      </c>
      <c r="AN880" s="44">
        <f>(打分卡!$D$7*AC880+打分卡!$D$8*AD880+打分卡!$D$9*AE880)/5</f>
        <v>9.4</v>
      </c>
      <c r="AO880" s="44">
        <f>(打分卡!$D$10*AF880+打分卡!$D$11*AG880)/5</f>
        <v>6</v>
      </c>
      <c r="AP880" s="44">
        <f>(打分卡!$D$12*AH880+打分卡!$D$13*AI880+打分卡!$D$14*AJ880+打分卡!$D$15*AK880)/5</f>
        <v>13.6</v>
      </c>
      <c r="AQ880" s="44">
        <f>(打分卡!$D$16*AL880+打分卡!$D$17*AM880)/5</f>
        <v>4.4</v>
      </c>
      <c r="AR880" s="47">
        <f t="shared" si="106"/>
        <v>33.4</v>
      </c>
      <c r="AS880" s="43" t="str">
        <f t="shared" si="107"/>
        <v>基础长尾</v>
      </c>
      <c r="AT880" s="43" t="str">
        <f t="shared" si="108"/>
        <v/>
      </c>
      <c r="AU880" s="43" t="str">
        <f t="shared" si="109"/>
        <v>激活：企微+Push低成本先跑</v>
      </c>
    </row>
    <row r="881" ht="15" customHeight="1" spans="1:47">
      <c r="A881" s="20" t="s">
        <v>2482</v>
      </c>
      <c r="B881" s="22" t="s">
        <v>2483</v>
      </c>
      <c r="C881" s="22" t="s">
        <v>189</v>
      </c>
      <c r="D881" s="22" t="s">
        <v>227</v>
      </c>
      <c r="E881" s="22" t="s">
        <v>181</v>
      </c>
      <c r="F881" s="20" t="s">
        <v>2484</v>
      </c>
      <c r="G881" s="22">
        <v>2</v>
      </c>
      <c r="H881" s="22" t="s">
        <v>642</v>
      </c>
      <c r="I881" s="22" t="s">
        <v>184</v>
      </c>
      <c r="J881" s="36">
        <v>6900</v>
      </c>
      <c r="K881" s="36">
        <v>3100</v>
      </c>
      <c r="L881" s="36">
        <v>2000</v>
      </c>
      <c r="M881" s="36">
        <f t="shared" si="104"/>
        <v>12000</v>
      </c>
      <c r="N881" s="34">
        <f t="shared" si="110"/>
        <v>6.29116782948419e-5</v>
      </c>
      <c r="O881" s="35">
        <f>SUM($M$2:M881)</f>
        <v>188951600</v>
      </c>
      <c r="P881" s="34">
        <f t="shared" si="111"/>
        <v>0.990605189374637</v>
      </c>
      <c r="Q881" s="39">
        <v>1.5</v>
      </c>
      <c r="R881" s="22">
        <v>5</v>
      </c>
      <c r="S881" s="22">
        <v>1</v>
      </c>
      <c r="T881" s="22">
        <v>1</v>
      </c>
      <c r="U881" s="39">
        <v>597</v>
      </c>
      <c r="V881" s="22">
        <v>27</v>
      </c>
      <c r="W881" s="22">
        <v>17</v>
      </c>
      <c r="X881" s="40">
        <v>761</v>
      </c>
      <c r="Y881" s="22">
        <v>4</v>
      </c>
      <c r="Z881" s="22">
        <v>0</v>
      </c>
      <c r="AA881" s="22" t="s">
        <v>199</v>
      </c>
      <c r="AB881" s="22" t="s">
        <v>220</v>
      </c>
      <c r="AC881" s="42">
        <f>IFERROR(LOOKUP(M881,打分卡!$F$7:$J$7,打分卡!$K$7:$O$7),1)</f>
        <v>1</v>
      </c>
      <c r="AD881" s="42">
        <f>IFERROR(LOOKUP(S881,打分卡!$F$8:$J$8,打分卡!$K$8:$O$8),1)</f>
        <v>1</v>
      </c>
      <c r="AE881" s="42">
        <f>IFERROR(LOOKUP(T881,打分卡!$F$9:$I$9,打分卡!$K$9:$N$9),1)</f>
        <v>2</v>
      </c>
      <c r="AF881" s="42">
        <f>IFERROR(LOOKUP(Q881,打分卡!$F$10:$J$10,打分卡!$K$10:$O$10),1)</f>
        <v>1</v>
      </c>
      <c r="AG881" s="42">
        <f>IFERROR(LOOKUP(R881,打分卡!$F$11:$J$11,打分卡!$K$11:$O$11),1)</f>
        <v>3</v>
      </c>
      <c r="AH881" s="42">
        <f>IFERROR(LOOKUP(U881,打分卡!$F$12:$J$12,打分卡!$K$12:$O$12),1)</f>
        <v>5</v>
      </c>
      <c r="AI881" s="42">
        <f>IFERROR(LOOKUP(X881,打分卡!$F$13:$J$13,打分卡!$K$13:$O$13),1)</f>
        <v>5</v>
      </c>
      <c r="AJ881" s="42">
        <f>IFERROR(LOOKUP(Y881,打分卡!$F$14:$J$14,打分卡!$K$14:$O$14),1)</f>
        <v>4</v>
      </c>
      <c r="AK881" s="42">
        <f>IFERROR(LOOKUP(W881,打分卡!$F$15:$J$15,打分卡!$K$15:$O$15),1)</f>
        <v>5</v>
      </c>
      <c r="AL881" s="45">
        <f t="shared" si="105"/>
        <v>5</v>
      </c>
      <c r="AM881" s="42">
        <f>IFERROR(LOOKUP(Z881,打分卡!$F$17:$H$17,打分卡!$K$17:$M$17),1)</f>
        <v>1</v>
      </c>
      <c r="AN881" s="46">
        <f>(打分卡!$D$7*AC881+打分卡!$D$8*AD881+打分卡!$D$9*AE881)/5</f>
        <v>9.4</v>
      </c>
      <c r="AO881" s="46">
        <f>(打分卡!$D$10*AF881+打分卡!$D$11*AG881)/5</f>
        <v>8</v>
      </c>
      <c r="AP881" s="46">
        <f>(打分卡!$D$12*AH881+打分卡!$D$13*AI881+打分卡!$D$14*AJ881+打分卡!$D$15*AK881)/5</f>
        <v>28.8</v>
      </c>
      <c r="AQ881" s="46">
        <f>(打分卡!$D$16*AL881+打分卡!$D$17*AM881)/5</f>
        <v>6.8</v>
      </c>
      <c r="AR881" s="48">
        <f t="shared" si="106"/>
        <v>82</v>
      </c>
      <c r="AS881" s="45" t="str">
        <f t="shared" si="107"/>
        <v>KA</v>
      </c>
      <c r="AT881" s="45" t="str">
        <f t="shared" si="108"/>
        <v/>
      </c>
      <c r="AU881" s="45" t="str">
        <f t="shared" si="109"/>
        <v>扩·深化：AI外呼场景深化+Push/企微补全</v>
      </c>
    </row>
    <row r="882" ht="15" customHeight="1" spans="1:47">
      <c r="A882" s="30" t="s">
        <v>2485</v>
      </c>
      <c r="B882" s="31" t="s">
        <v>2486</v>
      </c>
      <c r="C882" s="31" t="s">
        <v>239</v>
      </c>
      <c r="D882" s="31" t="s">
        <v>252</v>
      </c>
      <c r="E882" s="31" t="s">
        <v>197</v>
      </c>
      <c r="F882" s="30" t="s">
        <v>1652</v>
      </c>
      <c r="G882" s="31">
        <v>23</v>
      </c>
      <c r="H882" s="31" t="s">
        <v>301</v>
      </c>
      <c r="I882" s="31" t="s">
        <v>184</v>
      </c>
      <c r="J882" s="33">
        <v>7300</v>
      </c>
      <c r="K882" s="33">
        <v>3400</v>
      </c>
      <c r="L882" s="33">
        <v>1300</v>
      </c>
      <c r="M882" s="33">
        <f t="shared" si="104"/>
        <v>12000</v>
      </c>
      <c r="N882" s="34">
        <f t="shared" si="110"/>
        <v>6.29116782948419e-5</v>
      </c>
      <c r="O882" s="35">
        <f>SUM($M$2:M882)</f>
        <v>188963600</v>
      </c>
      <c r="P882" s="34">
        <f t="shared" si="111"/>
        <v>0.990668101052932</v>
      </c>
      <c r="Q882" s="37">
        <v>1.5</v>
      </c>
      <c r="R882" s="31">
        <v>2</v>
      </c>
      <c r="S882" s="31">
        <v>2</v>
      </c>
      <c r="T882" s="31">
        <v>1</v>
      </c>
      <c r="U882" s="37">
        <v>2.6</v>
      </c>
      <c r="V882" s="31">
        <v>22</v>
      </c>
      <c r="W882" s="31">
        <v>3</v>
      </c>
      <c r="X882" s="38">
        <v>11</v>
      </c>
      <c r="Y882" s="31">
        <v>1</v>
      </c>
      <c r="Z882" s="31">
        <v>1</v>
      </c>
      <c r="AA882" s="31" t="s">
        <v>185</v>
      </c>
      <c r="AB882" s="31" t="s">
        <v>220</v>
      </c>
      <c r="AC882" s="41">
        <f>IFERROR(LOOKUP(M882,打分卡!$F$7:$J$7,打分卡!$K$7:$O$7),1)</f>
        <v>1</v>
      </c>
      <c r="AD882" s="41">
        <f>IFERROR(LOOKUP(S882,打分卡!$F$8:$J$8,打分卡!$K$8:$O$8),1)</f>
        <v>2</v>
      </c>
      <c r="AE882" s="41">
        <f>IFERROR(LOOKUP(T882,打分卡!$F$9:$I$9,打分卡!$K$9:$N$9),1)</f>
        <v>2</v>
      </c>
      <c r="AF882" s="41">
        <f>IFERROR(LOOKUP(Q882,打分卡!$F$10:$J$10,打分卡!$K$10:$O$10),1)</f>
        <v>1</v>
      </c>
      <c r="AG882" s="41">
        <f>IFERROR(LOOKUP(R882,打分卡!$F$11:$J$11,打分卡!$K$11:$O$11),1)</f>
        <v>1</v>
      </c>
      <c r="AH882" s="41">
        <f>IFERROR(LOOKUP(U882,打分卡!$F$12:$J$12,打分卡!$K$12:$O$12),1)</f>
        <v>1</v>
      </c>
      <c r="AI882" s="41">
        <f>IFERROR(LOOKUP(X882,打分卡!$F$13:$J$13,打分卡!$K$13:$O$13),1)</f>
        <v>1</v>
      </c>
      <c r="AJ882" s="41">
        <f>IFERROR(LOOKUP(Y882,打分卡!$F$14:$J$14,打分卡!$K$14:$O$14),1)</f>
        <v>2</v>
      </c>
      <c r="AK882" s="41">
        <f>IFERROR(LOOKUP(W882,打分卡!$F$15:$J$15,打分卡!$K$15:$O$15),1)</f>
        <v>3</v>
      </c>
      <c r="AL882" s="43">
        <f t="shared" si="105"/>
        <v>3</v>
      </c>
      <c r="AM882" s="41">
        <f>IFERROR(LOOKUP(Z882,打分卡!$F$17:$H$17,打分卡!$K$17:$M$17),1)</f>
        <v>3</v>
      </c>
      <c r="AN882" s="44">
        <f>(打分卡!$D$7*AC882+打分卡!$D$8*AD882+打分卡!$D$9*AE882)/5</f>
        <v>11</v>
      </c>
      <c r="AO882" s="44">
        <f>(打分卡!$D$10*AF882+打分卡!$D$11*AG882)/5</f>
        <v>4</v>
      </c>
      <c r="AP882" s="44">
        <f>(打分卡!$D$12*AH882+打分卡!$D$13*AI882+打分卡!$D$14*AJ882+打分卡!$D$15*AK882)/5</f>
        <v>8.8</v>
      </c>
      <c r="AQ882" s="44">
        <f>(打分卡!$D$16*AL882+打分卡!$D$17*AM882)/5</f>
        <v>6</v>
      </c>
      <c r="AR882" s="47">
        <f t="shared" si="106"/>
        <v>29.8</v>
      </c>
      <c r="AS882" s="43" t="str">
        <f t="shared" si="107"/>
        <v>基础长尾</v>
      </c>
      <c r="AT882" s="43" t="str">
        <f t="shared" si="108"/>
        <v/>
      </c>
      <c r="AU882" s="43" t="str">
        <f t="shared" si="109"/>
        <v>激活：企微+Push低成本先跑</v>
      </c>
    </row>
    <row r="883" ht="15" customHeight="1" spans="1:47">
      <c r="A883" s="20" t="s">
        <v>2487</v>
      </c>
      <c r="B883" s="22" t="s">
        <v>2488</v>
      </c>
      <c r="C883" s="22" t="s">
        <v>223</v>
      </c>
      <c r="D883" s="22" t="s">
        <v>202</v>
      </c>
      <c r="E883" s="22" t="s">
        <v>197</v>
      </c>
      <c r="F883" s="20" t="s">
        <v>1019</v>
      </c>
      <c r="G883" s="22">
        <v>12</v>
      </c>
      <c r="H883" s="22" t="s">
        <v>301</v>
      </c>
      <c r="I883" s="22" t="s">
        <v>302</v>
      </c>
      <c r="J883" s="36">
        <v>6700</v>
      </c>
      <c r="K883" s="36">
        <v>3000</v>
      </c>
      <c r="L883" s="36">
        <v>2400</v>
      </c>
      <c r="M883" s="36">
        <f t="shared" si="104"/>
        <v>12100</v>
      </c>
      <c r="N883" s="34">
        <f t="shared" si="110"/>
        <v>6.34359422806322e-5</v>
      </c>
      <c r="O883" s="35">
        <f>SUM($M$2:M883)</f>
        <v>188975700</v>
      </c>
      <c r="P883" s="34">
        <f t="shared" si="111"/>
        <v>0.990731536995212</v>
      </c>
      <c r="Q883" s="39">
        <v>0.8</v>
      </c>
      <c r="R883" s="22">
        <v>1</v>
      </c>
      <c r="S883" s="22">
        <v>3</v>
      </c>
      <c r="T883" s="22">
        <v>0</v>
      </c>
      <c r="U883" s="39">
        <v>77.8</v>
      </c>
      <c r="V883" s="22">
        <v>20</v>
      </c>
      <c r="W883" s="22">
        <v>0</v>
      </c>
      <c r="X883" s="40">
        <v>13</v>
      </c>
      <c r="Y883" s="22">
        <v>1</v>
      </c>
      <c r="Z883" s="22">
        <v>1</v>
      </c>
      <c r="AA883" s="22" t="s">
        <v>199</v>
      </c>
      <c r="AB883" s="22" t="s">
        <v>220</v>
      </c>
      <c r="AC883" s="42">
        <f>IFERROR(LOOKUP(M883,打分卡!$F$7:$J$7,打分卡!$K$7:$O$7),1)</f>
        <v>1</v>
      </c>
      <c r="AD883" s="42">
        <f>IFERROR(LOOKUP(S883,打分卡!$F$8:$J$8,打分卡!$K$8:$O$8),1)</f>
        <v>3</v>
      </c>
      <c r="AE883" s="42">
        <f>IFERROR(LOOKUP(T883,打分卡!$F$9:$I$9,打分卡!$K$9:$N$9),1)</f>
        <v>1</v>
      </c>
      <c r="AF883" s="42">
        <f>IFERROR(LOOKUP(Q883,打分卡!$F$10:$J$10,打分卡!$K$10:$O$10),1)</f>
        <v>1</v>
      </c>
      <c r="AG883" s="42">
        <f>IFERROR(LOOKUP(R883,打分卡!$F$11:$J$11,打分卡!$K$11:$O$11),1)</f>
        <v>1</v>
      </c>
      <c r="AH883" s="42">
        <f>IFERROR(LOOKUP(U883,打分卡!$F$12:$J$12,打分卡!$K$12:$O$12),1)</f>
        <v>5</v>
      </c>
      <c r="AI883" s="42">
        <f>IFERROR(LOOKUP(X883,打分卡!$F$13:$J$13,打分卡!$K$13:$O$13),1)</f>
        <v>1</v>
      </c>
      <c r="AJ883" s="42">
        <f>IFERROR(LOOKUP(Y883,打分卡!$F$14:$J$14,打分卡!$K$14:$O$14),1)</f>
        <v>2</v>
      </c>
      <c r="AK883" s="42">
        <f>IFERROR(LOOKUP(W883,打分卡!$F$15:$J$15,打分卡!$K$15:$O$15),1)</f>
        <v>1</v>
      </c>
      <c r="AL883" s="45">
        <f t="shared" si="105"/>
        <v>5</v>
      </c>
      <c r="AM883" s="42">
        <f>IFERROR(LOOKUP(Z883,打分卡!$F$17:$H$17,打分卡!$K$17:$M$17),1)</f>
        <v>3</v>
      </c>
      <c r="AN883" s="46">
        <f>(打分卡!$D$7*AC883+打分卡!$D$8*AD883+打分卡!$D$9*AE883)/5</f>
        <v>11.2</v>
      </c>
      <c r="AO883" s="46">
        <f>(打分卡!$D$10*AF883+打分卡!$D$11*AG883)/5</f>
        <v>4</v>
      </c>
      <c r="AP883" s="46">
        <f>(打分卡!$D$12*AH883+打分卡!$D$13*AI883+打分卡!$D$14*AJ883+打分卡!$D$15*AK883)/5</f>
        <v>16.8</v>
      </c>
      <c r="AQ883" s="46">
        <f>(打分卡!$D$16*AL883+打分卡!$D$17*AM883)/5</f>
        <v>8.4</v>
      </c>
      <c r="AR883" s="48">
        <f t="shared" si="106"/>
        <v>40.4</v>
      </c>
      <c r="AS883" s="45" t="str">
        <f t="shared" si="107"/>
        <v>腰部</v>
      </c>
      <c r="AT883" s="45" t="str">
        <f t="shared" si="108"/>
        <v/>
      </c>
      <c r="AU883" s="45" t="str">
        <f t="shared" si="109"/>
        <v>拉·主攻：主推AI外呼+大促作战包</v>
      </c>
    </row>
    <row r="884" ht="15" customHeight="1" spans="1:47">
      <c r="A884" s="30" t="s">
        <v>2489</v>
      </c>
      <c r="B884" s="31" t="s">
        <v>2490</v>
      </c>
      <c r="C884" s="31" t="s">
        <v>179</v>
      </c>
      <c r="D884" s="31" t="s">
        <v>202</v>
      </c>
      <c r="E884" s="31" t="s">
        <v>181</v>
      </c>
      <c r="F884" s="30" t="s">
        <v>2400</v>
      </c>
      <c r="G884" s="31">
        <v>15</v>
      </c>
      <c r="H884" s="31" t="s">
        <v>301</v>
      </c>
      <c r="I884" s="31" t="s">
        <v>184</v>
      </c>
      <c r="J884" s="33">
        <v>7100</v>
      </c>
      <c r="K884" s="33">
        <v>4300</v>
      </c>
      <c r="L884" s="33">
        <v>600</v>
      </c>
      <c r="M884" s="33">
        <f t="shared" si="104"/>
        <v>12000</v>
      </c>
      <c r="N884" s="34">
        <f t="shared" si="110"/>
        <v>6.29116782948419e-5</v>
      </c>
      <c r="O884" s="35">
        <f>SUM($M$2:M884)</f>
        <v>188987700</v>
      </c>
      <c r="P884" s="34">
        <f t="shared" si="111"/>
        <v>0.990794448673507</v>
      </c>
      <c r="Q884" s="37">
        <v>1.2</v>
      </c>
      <c r="R884" s="31">
        <v>10</v>
      </c>
      <c r="S884" s="31">
        <v>2</v>
      </c>
      <c r="T884" s="31">
        <v>2</v>
      </c>
      <c r="U884" s="37">
        <v>10.8</v>
      </c>
      <c r="V884" s="31">
        <v>3</v>
      </c>
      <c r="W884" s="31">
        <v>1</v>
      </c>
      <c r="X884" s="38">
        <v>45</v>
      </c>
      <c r="Y884" s="31">
        <v>1</v>
      </c>
      <c r="Z884" s="31">
        <v>1</v>
      </c>
      <c r="AA884" s="31" t="s">
        <v>315</v>
      </c>
      <c r="AB884" s="31" t="s">
        <v>220</v>
      </c>
      <c r="AC884" s="41">
        <f>IFERROR(LOOKUP(M884,打分卡!$F$7:$J$7,打分卡!$K$7:$O$7),1)</f>
        <v>1</v>
      </c>
      <c r="AD884" s="41">
        <f>IFERROR(LOOKUP(S884,打分卡!$F$8:$J$8,打分卡!$K$8:$O$8),1)</f>
        <v>2</v>
      </c>
      <c r="AE884" s="41">
        <f>IFERROR(LOOKUP(T884,打分卡!$F$9:$I$9,打分卡!$K$9:$N$9),1)</f>
        <v>3</v>
      </c>
      <c r="AF884" s="41">
        <f>IFERROR(LOOKUP(Q884,打分卡!$F$10:$J$10,打分卡!$K$10:$O$10),1)</f>
        <v>1</v>
      </c>
      <c r="AG884" s="41">
        <f>IFERROR(LOOKUP(R884,打分卡!$F$11:$J$11,打分卡!$K$11:$O$11),1)</f>
        <v>4</v>
      </c>
      <c r="AH884" s="41">
        <f>IFERROR(LOOKUP(U884,打分卡!$F$12:$J$12,打分卡!$K$12:$O$12),1)</f>
        <v>3</v>
      </c>
      <c r="AI884" s="41">
        <f>IFERROR(LOOKUP(X884,打分卡!$F$13:$J$13,打分卡!$K$13:$O$13),1)</f>
        <v>3</v>
      </c>
      <c r="AJ884" s="41">
        <f>IFERROR(LOOKUP(Y884,打分卡!$F$14:$J$14,打分卡!$K$14:$O$14),1)</f>
        <v>2</v>
      </c>
      <c r="AK884" s="41">
        <f>IFERROR(LOOKUP(W884,打分卡!$F$15:$J$15,打分卡!$K$15:$O$15),1)</f>
        <v>2</v>
      </c>
      <c r="AL884" s="43">
        <f t="shared" si="105"/>
        <v>2</v>
      </c>
      <c r="AM884" s="41">
        <f>IFERROR(LOOKUP(Z884,打分卡!$F$17:$H$17,打分卡!$K$17:$M$17),1)</f>
        <v>3</v>
      </c>
      <c r="AN884" s="44">
        <f>(打分卡!$D$7*AC884+打分卡!$D$8*AD884+打分卡!$D$9*AE884)/5</f>
        <v>12.4</v>
      </c>
      <c r="AO884" s="44">
        <f>(打分卡!$D$10*AF884+打分卡!$D$11*AG884)/5</f>
        <v>10</v>
      </c>
      <c r="AP884" s="44">
        <f>(打分卡!$D$12*AH884+打分卡!$D$13*AI884+打分卡!$D$14*AJ884+打分卡!$D$15*AK884)/5</f>
        <v>16</v>
      </c>
      <c r="AQ884" s="44">
        <f>(打分卡!$D$16*AL884+打分卡!$D$17*AM884)/5</f>
        <v>4.8</v>
      </c>
      <c r="AR884" s="47">
        <f t="shared" si="106"/>
        <v>43.2</v>
      </c>
      <c r="AS884" s="43" t="str">
        <f t="shared" si="107"/>
        <v>腰部</v>
      </c>
      <c r="AT884" s="43" t="str">
        <f t="shared" si="108"/>
        <v/>
      </c>
      <c r="AU884" s="43" t="str">
        <f t="shared" si="109"/>
        <v>拉·主攻：主推AI外呼+大促作战包</v>
      </c>
    </row>
    <row r="885" ht="15" customHeight="1" spans="1:47">
      <c r="A885" s="20" t="s">
        <v>2491</v>
      </c>
      <c r="B885" s="22" t="s">
        <v>2492</v>
      </c>
      <c r="C885" s="22" t="s">
        <v>179</v>
      </c>
      <c r="D885" s="22" t="s">
        <v>180</v>
      </c>
      <c r="E885" s="22" t="s">
        <v>197</v>
      </c>
      <c r="F885" s="20" t="s">
        <v>1840</v>
      </c>
      <c r="G885" s="22">
        <v>2</v>
      </c>
      <c r="H885" s="22" t="s">
        <v>642</v>
      </c>
      <c r="I885" s="22" t="s">
        <v>184</v>
      </c>
      <c r="J885" s="36">
        <v>6000</v>
      </c>
      <c r="K885" s="36">
        <v>4400</v>
      </c>
      <c r="L885" s="36">
        <v>1600</v>
      </c>
      <c r="M885" s="36">
        <f t="shared" si="104"/>
        <v>12000</v>
      </c>
      <c r="N885" s="34">
        <f t="shared" si="110"/>
        <v>6.29116782948419e-5</v>
      </c>
      <c r="O885" s="35">
        <f>SUM($M$2:M885)</f>
        <v>188999700</v>
      </c>
      <c r="P885" s="34">
        <f t="shared" si="111"/>
        <v>0.990857360351802</v>
      </c>
      <c r="Q885" s="39">
        <v>1.3</v>
      </c>
      <c r="R885" s="22">
        <v>7</v>
      </c>
      <c r="S885" s="22">
        <v>3</v>
      </c>
      <c r="T885" s="22">
        <v>0</v>
      </c>
      <c r="U885" s="39">
        <v>903</v>
      </c>
      <c r="V885" s="22">
        <v>5</v>
      </c>
      <c r="W885" s="22">
        <v>21</v>
      </c>
      <c r="X885" s="40">
        <v>966</v>
      </c>
      <c r="Y885" s="22">
        <v>5</v>
      </c>
      <c r="Z885" s="22">
        <v>1</v>
      </c>
      <c r="AA885" s="22" t="s">
        <v>199</v>
      </c>
      <c r="AB885" s="22" t="s">
        <v>220</v>
      </c>
      <c r="AC885" s="42">
        <f>IFERROR(LOOKUP(M885,打分卡!$F$7:$J$7,打分卡!$K$7:$O$7),1)</f>
        <v>1</v>
      </c>
      <c r="AD885" s="42">
        <f>IFERROR(LOOKUP(S885,打分卡!$F$8:$J$8,打分卡!$K$8:$O$8),1)</f>
        <v>3</v>
      </c>
      <c r="AE885" s="42">
        <f>IFERROR(LOOKUP(T885,打分卡!$F$9:$I$9,打分卡!$K$9:$N$9),1)</f>
        <v>1</v>
      </c>
      <c r="AF885" s="42">
        <f>IFERROR(LOOKUP(Q885,打分卡!$F$10:$J$10,打分卡!$K$10:$O$10),1)</f>
        <v>1</v>
      </c>
      <c r="AG885" s="42">
        <f>IFERROR(LOOKUP(R885,打分卡!$F$11:$J$11,打分卡!$K$11:$O$11),1)</f>
        <v>3</v>
      </c>
      <c r="AH885" s="42">
        <f>IFERROR(LOOKUP(U885,打分卡!$F$12:$J$12,打分卡!$K$12:$O$12),1)</f>
        <v>5</v>
      </c>
      <c r="AI885" s="42">
        <f>IFERROR(LOOKUP(X885,打分卡!$F$13:$J$13,打分卡!$K$13:$O$13),1)</f>
        <v>5</v>
      </c>
      <c r="AJ885" s="42">
        <f>IFERROR(LOOKUP(Y885,打分卡!$F$14:$J$14,打分卡!$K$14:$O$14),1)</f>
        <v>5</v>
      </c>
      <c r="AK885" s="42">
        <f>IFERROR(LOOKUP(W885,打分卡!$F$15:$J$15,打分卡!$K$15:$O$15),1)</f>
        <v>5</v>
      </c>
      <c r="AL885" s="45">
        <f t="shared" si="105"/>
        <v>5</v>
      </c>
      <c r="AM885" s="42">
        <f>IFERROR(LOOKUP(Z885,打分卡!$F$17:$H$17,打分卡!$K$17:$M$17),1)</f>
        <v>3</v>
      </c>
      <c r="AN885" s="46">
        <f>(打分卡!$D$7*AC885+打分卡!$D$8*AD885+打分卡!$D$9*AE885)/5</f>
        <v>11.2</v>
      </c>
      <c r="AO885" s="46">
        <f>(打分卡!$D$10*AF885+打分卡!$D$11*AG885)/5</f>
        <v>8</v>
      </c>
      <c r="AP885" s="46">
        <f>(打分卡!$D$12*AH885+打分卡!$D$13*AI885+打分卡!$D$14*AJ885+打分卡!$D$15*AK885)/5</f>
        <v>30</v>
      </c>
      <c r="AQ885" s="46">
        <f>(打分卡!$D$16*AL885+打分卡!$D$17*AM885)/5</f>
        <v>8.4</v>
      </c>
      <c r="AR885" s="48">
        <f t="shared" si="106"/>
        <v>86.4</v>
      </c>
      <c r="AS885" s="45" t="str">
        <f t="shared" si="107"/>
        <v>KA</v>
      </c>
      <c r="AT885" s="45" t="str">
        <f t="shared" si="108"/>
        <v/>
      </c>
      <c r="AU885" s="45" t="str">
        <f t="shared" si="109"/>
        <v>扩·深化：AI外呼场景深化+Push/企微补全</v>
      </c>
    </row>
    <row r="886" ht="15" customHeight="1" spans="1:47">
      <c r="A886" s="30" t="s">
        <v>2493</v>
      </c>
      <c r="B886" s="31" t="s">
        <v>2494</v>
      </c>
      <c r="C886" s="31" t="s">
        <v>218</v>
      </c>
      <c r="D886" s="31" t="s">
        <v>202</v>
      </c>
      <c r="E886" s="31" t="s">
        <v>181</v>
      </c>
      <c r="F886" s="30" t="s">
        <v>641</v>
      </c>
      <c r="G886" s="31">
        <v>3</v>
      </c>
      <c r="H886" s="31" t="s">
        <v>301</v>
      </c>
      <c r="I886" s="31" t="s">
        <v>184</v>
      </c>
      <c r="J886" s="33">
        <v>7000</v>
      </c>
      <c r="K886" s="33">
        <v>2500</v>
      </c>
      <c r="L886" s="33">
        <v>2300</v>
      </c>
      <c r="M886" s="33">
        <f t="shared" si="104"/>
        <v>11800</v>
      </c>
      <c r="N886" s="34">
        <f t="shared" si="110"/>
        <v>6.18631503232612e-5</v>
      </c>
      <c r="O886" s="35">
        <f>SUM($M$2:M886)</f>
        <v>189011500</v>
      </c>
      <c r="P886" s="34">
        <f t="shared" si="111"/>
        <v>0.990919223502125</v>
      </c>
      <c r="Q886" s="37">
        <v>0.8</v>
      </c>
      <c r="R886" s="31">
        <v>2</v>
      </c>
      <c r="S886" s="31">
        <v>2</v>
      </c>
      <c r="T886" s="31">
        <v>1</v>
      </c>
      <c r="U886" s="37">
        <v>23.3</v>
      </c>
      <c r="V886" s="31">
        <v>14</v>
      </c>
      <c r="W886" s="31">
        <v>3</v>
      </c>
      <c r="X886" s="38">
        <v>45</v>
      </c>
      <c r="Y886" s="31">
        <v>0</v>
      </c>
      <c r="Z886" s="31">
        <v>1</v>
      </c>
      <c r="AA886" s="31" t="s">
        <v>185</v>
      </c>
      <c r="AB886" s="31" t="s">
        <v>220</v>
      </c>
      <c r="AC886" s="41">
        <f>IFERROR(LOOKUP(M886,打分卡!$F$7:$J$7,打分卡!$K$7:$O$7),1)</f>
        <v>1</v>
      </c>
      <c r="AD886" s="41">
        <f>IFERROR(LOOKUP(S886,打分卡!$F$8:$J$8,打分卡!$K$8:$O$8),1)</f>
        <v>2</v>
      </c>
      <c r="AE886" s="41">
        <f>IFERROR(LOOKUP(T886,打分卡!$F$9:$I$9,打分卡!$K$9:$N$9),1)</f>
        <v>2</v>
      </c>
      <c r="AF886" s="41">
        <f>IFERROR(LOOKUP(Q886,打分卡!$F$10:$J$10,打分卡!$K$10:$O$10),1)</f>
        <v>1</v>
      </c>
      <c r="AG886" s="41">
        <f>IFERROR(LOOKUP(R886,打分卡!$F$11:$J$11,打分卡!$K$11:$O$11),1)</f>
        <v>1</v>
      </c>
      <c r="AH886" s="41">
        <f>IFERROR(LOOKUP(U886,打分卡!$F$12:$J$12,打分卡!$K$12:$O$12),1)</f>
        <v>3</v>
      </c>
      <c r="AI886" s="41">
        <f>IFERROR(LOOKUP(X886,打分卡!$F$13:$J$13,打分卡!$K$13:$O$13),1)</f>
        <v>3</v>
      </c>
      <c r="AJ886" s="41">
        <f>IFERROR(LOOKUP(Y886,打分卡!$F$14:$J$14,打分卡!$K$14:$O$14),1)</f>
        <v>1</v>
      </c>
      <c r="AK886" s="41">
        <f>IFERROR(LOOKUP(W886,打分卡!$F$15:$J$15,打分卡!$K$15:$O$15),1)</f>
        <v>3</v>
      </c>
      <c r="AL886" s="43">
        <f t="shared" si="105"/>
        <v>3</v>
      </c>
      <c r="AM886" s="41">
        <f>IFERROR(LOOKUP(Z886,打分卡!$F$17:$H$17,打分卡!$K$17:$M$17),1)</f>
        <v>3</v>
      </c>
      <c r="AN886" s="44">
        <f>(打分卡!$D$7*AC886+打分卡!$D$8*AD886+打分卡!$D$9*AE886)/5</f>
        <v>11</v>
      </c>
      <c r="AO886" s="44">
        <f>(打分卡!$D$10*AF886+打分卡!$D$11*AG886)/5</f>
        <v>4</v>
      </c>
      <c r="AP886" s="44">
        <f>(打分卡!$D$12*AH886+打分卡!$D$13*AI886+打分卡!$D$14*AJ886+打分卡!$D$15*AK886)/5</f>
        <v>15.6</v>
      </c>
      <c r="AQ886" s="44">
        <f>(打分卡!$D$16*AL886+打分卡!$D$17*AM886)/5</f>
        <v>6</v>
      </c>
      <c r="AR886" s="47">
        <f t="shared" si="106"/>
        <v>36.6</v>
      </c>
      <c r="AS886" s="43" t="str">
        <f t="shared" si="107"/>
        <v>基础长尾</v>
      </c>
      <c r="AT886" s="43" t="str">
        <f t="shared" si="108"/>
        <v/>
      </c>
      <c r="AU886" s="43" t="str">
        <f t="shared" si="109"/>
        <v>激活：企微+Push低成本先跑</v>
      </c>
    </row>
    <row r="887" ht="15" customHeight="1" spans="1:47">
      <c r="A887" s="20" t="s">
        <v>2495</v>
      </c>
      <c r="B887" s="22" t="s">
        <v>2496</v>
      </c>
      <c r="C887" s="22" t="s">
        <v>189</v>
      </c>
      <c r="D887" s="22" t="s">
        <v>235</v>
      </c>
      <c r="E887" s="22" t="s">
        <v>197</v>
      </c>
      <c r="F887" s="20" t="s">
        <v>982</v>
      </c>
      <c r="G887" s="22">
        <v>22</v>
      </c>
      <c r="H887" s="22" t="s">
        <v>301</v>
      </c>
      <c r="I887" s="22" t="s">
        <v>302</v>
      </c>
      <c r="J887" s="36">
        <v>5900</v>
      </c>
      <c r="K887" s="36">
        <v>3800</v>
      </c>
      <c r="L887" s="36">
        <v>2000</v>
      </c>
      <c r="M887" s="36">
        <f t="shared" si="104"/>
        <v>11700</v>
      </c>
      <c r="N887" s="34">
        <f t="shared" si="110"/>
        <v>6.13388863374708e-5</v>
      </c>
      <c r="O887" s="35">
        <f>SUM($M$2:M887)</f>
        <v>189023200</v>
      </c>
      <c r="P887" s="34">
        <f t="shared" si="111"/>
        <v>0.990980562388463</v>
      </c>
      <c r="Q887" s="39">
        <v>1.9</v>
      </c>
      <c r="R887" s="22">
        <v>3</v>
      </c>
      <c r="S887" s="22">
        <v>1</v>
      </c>
      <c r="T887" s="22">
        <v>2</v>
      </c>
      <c r="U887" s="39">
        <v>1.1</v>
      </c>
      <c r="V887" s="22">
        <v>3</v>
      </c>
      <c r="W887" s="22">
        <v>3</v>
      </c>
      <c r="X887" s="40">
        <v>16</v>
      </c>
      <c r="Y887" s="22">
        <v>3</v>
      </c>
      <c r="Z887" s="22">
        <v>1</v>
      </c>
      <c r="AA887" s="22" t="s">
        <v>199</v>
      </c>
      <c r="AB887" s="22" t="s">
        <v>220</v>
      </c>
      <c r="AC887" s="42">
        <f>IFERROR(LOOKUP(M887,打分卡!$F$7:$J$7,打分卡!$K$7:$O$7),1)</f>
        <v>1</v>
      </c>
      <c r="AD887" s="42">
        <f>IFERROR(LOOKUP(S887,打分卡!$F$8:$J$8,打分卡!$K$8:$O$8),1)</f>
        <v>1</v>
      </c>
      <c r="AE887" s="42">
        <f>IFERROR(LOOKUP(T887,打分卡!$F$9:$I$9,打分卡!$K$9:$N$9),1)</f>
        <v>3</v>
      </c>
      <c r="AF887" s="42">
        <f>IFERROR(LOOKUP(Q887,打分卡!$F$10:$J$10,打分卡!$K$10:$O$10),1)</f>
        <v>1</v>
      </c>
      <c r="AG887" s="42">
        <f>IFERROR(LOOKUP(R887,打分卡!$F$11:$J$11,打分卡!$K$11:$O$11),1)</f>
        <v>2</v>
      </c>
      <c r="AH887" s="42">
        <f>IFERROR(LOOKUP(U887,打分卡!$F$12:$J$12,打分卡!$K$12:$O$12),1)</f>
        <v>1</v>
      </c>
      <c r="AI887" s="42">
        <f>IFERROR(LOOKUP(X887,打分卡!$F$13:$J$13,打分卡!$K$13:$O$13),1)</f>
        <v>1</v>
      </c>
      <c r="AJ887" s="42">
        <f>IFERROR(LOOKUP(Y887,打分卡!$F$14:$J$14,打分卡!$K$14:$O$14),1)</f>
        <v>4</v>
      </c>
      <c r="AK887" s="42">
        <f>IFERROR(LOOKUP(W887,打分卡!$F$15:$J$15,打分卡!$K$15:$O$15),1)</f>
        <v>3</v>
      </c>
      <c r="AL887" s="45">
        <f t="shared" si="105"/>
        <v>5</v>
      </c>
      <c r="AM887" s="42">
        <f>IFERROR(LOOKUP(Z887,打分卡!$F$17:$H$17,打分卡!$K$17:$M$17),1)</f>
        <v>3</v>
      </c>
      <c r="AN887" s="46">
        <f>(打分卡!$D$7*AC887+打分卡!$D$8*AD887+打分卡!$D$9*AE887)/5</f>
        <v>10.8</v>
      </c>
      <c r="AO887" s="46">
        <f>(打分卡!$D$10*AF887+打分卡!$D$11*AG887)/5</f>
        <v>6</v>
      </c>
      <c r="AP887" s="46">
        <f>(打分卡!$D$12*AH887+打分卡!$D$13*AI887+打分卡!$D$14*AJ887+打分卡!$D$15*AK887)/5</f>
        <v>11.2</v>
      </c>
      <c r="AQ887" s="46">
        <f>(打分卡!$D$16*AL887+打分卡!$D$17*AM887)/5</f>
        <v>8.4</v>
      </c>
      <c r="AR887" s="48">
        <f t="shared" si="106"/>
        <v>36.4</v>
      </c>
      <c r="AS887" s="45" t="str">
        <f t="shared" si="107"/>
        <v>基础长尾</v>
      </c>
      <c r="AT887" s="45" t="str">
        <f t="shared" si="108"/>
        <v/>
      </c>
      <c r="AU887" s="45" t="str">
        <f t="shared" si="109"/>
        <v>激活：企微+Push低成本先跑</v>
      </c>
    </row>
    <row r="888" ht="15" customHeight="1" spans="1:47">
      <c r="A888" s="30" t="s">
        <v>2497</v>
      </c>
      <c r="B888" s="31" t="s">
        <v>2498</v>
      </c>
      <c r="C888" s="31" t="s">
        <v>223</v>
      </c>
      <c r="D888" s="31" t="s">
        <v>227</v>
      </c>
      <c r="E888" s="31" t="s">
        <v>181</v>
      </c>
      <c r="F888" s="30" t="s">
        <v>2000</v>
      </c>
      <c r="G888" s="31">
        <v>8</v>
      </c>
      <c r="H888" s="31" t="s">
        <v>301</v>
      </c>
      <c r="I888" s="31" t="s">
        <v>302</v>
      </c>
      <c r="J888" s="33">
        <v>5400</v>
      </c>
      <c r="K888" s="33">
        <v>3900</v>
      </c>
      <c r="L888" s="33">
        <v>2300</v>
      </c>
      <c r="M888" s="33">
        <f t="shared" si="104"/>
        <v>11600</v>
      </c>
      <c r="N888" s="34">
        <f t="shared" si="110"/>
        <v>6.08146223516805e-5</v>
      </c>
      <c r="O888" s="35">
        <f>SUM($M$2:M888)</f>
        <v>189034800</v>
      </c>
      <c r="P888" s="34">
        <f t="shared" si="111"/>
        <v>0.991041377010815</v>
      </c>
      <c r="Q888" s="37">
        <v>0.8</v>
      </c>
      <c r="R888" s="31">
        <v>1</v>
      </c>
      <c r="S888" s="31">
        <v>2</v>
      </c>
      <c r="T888" s="31">
        <v>1</v>
      </c>
      <c r="U888" s="37">
        <v>10.3</v>
      </c>
      <c r="V888" s="31">
        <v>15</v>
      </c>
      <c r="W888" s="31">
        <v>4</v>
      </c>
      <c r="X888" s="38">
        <v>17</v>
      </c>
      <c r="Y888" s="31">
        <v>1</v>
      </c>
      <c r="Z888" s="31">
        <v>0</v>
      </c>
      <c r="AA888" s="31" t="s">
        <v>185</v>
      </c>
      <c r="AB888" s="31" t="s">
        <v>220</v>
      </c>
      <c r="AC888" s="41">
        <f>IFERROR(LOOKUP(M888,打分卡!$F$7:$J$7,打分卡!$K$7:$O$7),1)</f>
        <v>1</v>
      </c>
      <c r="AD888" s="41">
        <f>IFERROR(LOOKUP(S888,打分卡!$F$8:$J$8,打分卡!$K$8:$O$8),1)</f>
        <v>2</v>
      </c>
      <c r="AE888" s="41">
        <f>IFERROR(LOOKUP(T888,打分卡!$F$9:$I$9,打分卡!$K$9:$N$9),1)</f>
        <v>2</v>
      </c>
      <c r="AF888" s="41">
        <f>IFERROR(LOOKUP(Q888,打分卡!$F$10:$J$10,打分卡!$K$10:$O$10),1)</f>
        <v>1</v>
      </c>
      <c r="AG888" s="41">
        <f>IFERROR(LOOKUP(R888,打分卡!$F$11:$J$11,打分卡!$K$11:$O$11),1)</f>
        <v>1</v>
      </c>
      <c r="AH888" s="41">
        <f>IFERROR(LOOKUP(U888,打分卡!$F$12:$J$12,打分卡!$K$12:$O$12),1)</f>
        <v>2</v>
      </c>
      <c r="AI888" s="41">
        <f>IFERROR(LOOKUP(X888,打分卡!$F$13:$J$13,打分卡!$K$13:$O$13),1)</f>
        <v>1</v>
      </c>
      <c r="AJ888" s="41">
        <f>IFERROR(LOOKUP(Y888,打分卡!$F$14:$J$14,打分卡!$K$14:$O$14),1)</f>
        <v>2</v>
      </c>
      <c r="AK888" s="41">
        <f>IFERROR(LOOKUP(W888,打分卡!$F$15:$J$15,打分卡!$K$15:$O$15),1)</f>
        <v>3</v>
      </c>
      <c r="AL888" s="43">
        <f t="shared" si="105"/>
        <v>3</v>
      </c>
      <c r="AM888" s="41">
        <f>IFERROR(LOOKUP(Z888,打分卡!$F$17:$H$17,打分卡!$K$17:$M$17),1)</f>
        <v>1</v>
      </c>
      <c r="AN888" s="44">
        <f>(打分卡!$D$7*AC888+打分卡!$D$8*AD888+打分卡!$D$9*AE888)/5</f>
        <v>11</v>
      </c>
      <c r="AO888" s="44">
        <f>(打分卡!$D$10*AF888+打分卡!$D$11*AG888)/5</f>
        <v>4</v>
      </c>
      <c r="AP888" s="44">
        <f>(打分卡!$D$12*AH888+打分卡!$D$13*AI888+打分卡!$D$14*AJ888+打分卡!$D$15*AK888)/5</f>
        <v>11.2</v>
      </c>
      <c r="AQ888" s="44">
        <f>(打分卡!$D$16*AL888+打分卡!$D$17*AM888)/5</f>
        <v>4.4</v>
      </c>
      <c r="AR888" s="47">
        <f t="shared" si="106"/>
        <v>30.6</v>
      </c>
      <c r="AS888" s="43" t="str">
        <f t="shared" si="107"/>
        <v>基础长尾</v>
      </c>
      <c r="AT888" s="43" t="str">
        <f t="shared" si="108"/>
        <v/>
      </c>
      <c r="AU888" s="43" t="str">
        <f t="shared" si="109"/>
        <v>激活：企微+Push低成本先跑</v>
      </c>
    </row>
    <row r="889" ht="15" customHeight="1" spans="1:47">
      <c r="A889" s="20" t="s">
        <v>2499</v>
      </c>
      <c r="B889" s="22" t="s">
        <v>2500</v>
      </c>
      <c r="C889" s="22" t="s">
        <v>189</v>
      </c>
      <c r="D889" s="22" t="s">
        <v>202</v>
      </c>
      <c r="E889" s="22" t="s">
        <v>197</v>
      </c>
      <c r="F889" s="20" t="s">
        <v>2228</v>
      </c>
      <c r="G889" s="22">
        <v>19</v>
      </c>
      <c r="H889" s="22" t="s">
        <v>301</v>
      </c>
      <c r="I889" s="22" t="s">
        <v>184</v>
      </c>
      <c r="J889" s="36">
        <v>6900</v>
      </c>
      <c r="K889" s="36">
        <v>3100</v>
      </c>
      <c r="L889" s="36">
        <v>1700</v>
      </c>
      <c r="M889" s="36">
        <f t="shared" si="104"/>
        <v>11700</v>
      </c>
      <c r="N889" s="34">
        <f t="shared" si="110"/>
        <v>6.13388863374708e-5</v>
      </c>
      <c r="O889" s="35">
        <f>SUM($M$2:M889)</f>
        <v>189046500</v>
      </c>
      <c r="P889" s="34">
        <f t="shared" si="111"/>
        <v>0.991102715897152</v>
      </c>
      <c r="Q889" s="39">
        <v>0.8</v>
      </c>
      <c r="R889" s="22">
        <v>2</v>
      </c>
      <c r="S889" s="22">
        <v>1</v>
      </c>
      <c r="T889" s="22">
        <v>2</v>
      </c>
      <c r="U889" s="39">
        <v>4.9</v>
      </c>
      <c r="V889" s="22">
        <v>24</v>
      </c>
      <c r="W889" s="22">
        <v>1</v>
      </c>
      <c r="X889" s="40">
        <v>87</v>
      </c>
      <c r="Y889" s="22">
        <v>1</v>
      </c>
      <c r="Z889" s="22">
        <v>0</v>
      </c>
      <c r="AA889" s="22" t="s">
        <v>185</v>
      </c>
      <c r="AB889" s="22" t="s">
        <v>220</v>
      </c>
      <c r="AC889" s="42">
        <f>IFERROR(LOOKUP(M889,打分卡!$F$7:$J$7,打分卡!$K$7:$O$7),1)</f>
        <v>1</v>
      </c>
      <c r="AD889" s="42">
        <f>IFERROR(LOOKUP(S889,打分卡!$F$8:$J$8,打分卡!$K$8:$O$8),1)</f>
        <v>1</v>
      </c>
      <c r="AE889" s="42">
        <f>IFERROR(LOOKUP(T889,打分卡!$F$9:$I$9,打分卡!$K$9:$N$9),1)</f>
        <v>3</v>
      </c>
      <c r="AF889" s="42">
        <f>IFERROR(LOOKUP(Q889,打分卡!$F$10:$J$10,打分卡!$K$10:$O$10),1)</f>
        <v>1</v>
      </c>
      <c r="AG889" s="42">
        <f>IFERROR(LOOKUP(R889,打分卡!$F$11:$J$11,打分卡!$K$11:$O$11),1)</f>
        <v>1</v>
      </c>
      <c r="AH889" s="42">
        <f>IFERROR(LOOKUP(U889,打分卡!$F$12:$J$12,打分卡!$K$12:$O$12),1)</f>
        <v>2</v>
      </c>
      <c r="AI889" s="42">
        <f>IFERROR(LOOKUP(X889,打分卡!$F$13:$J$13,打分卡!$K$13:$O$13),1)</f>
        <v>4</v>
      </c>
      <c r="AJ889" s="42">
        <f>IFERROR(LOOKUP(Y889,打分卡!$F$14:$J$14,打分卡!$K$14:$O$14),1)</f>
        <v>2</v>
      </c>
      <c r="AK889" s="42">
        <f>IFERROR(LOOKUP(W889,打分卡!$F$15:$J$15,打分卡!$K$15:$O$15),1)</f>
        <v>2</v>
      </c>
      <c r="AL889" s="45">
        <f t="shared" si="105"/>
        <v>3</v>
      </c>
      <c r="AM889" s="42">
        <f>IFERROR(LOOKUP(Z889,打分卡!$F$17:$H$17,打分卡!$K$17:$M$17),1)</f>
        <v>1</v>
      </c>
      <c r="AN889" s="46">
        <f>(打分卡!$D$7*AC889+打分卡!$D$8*AD889+打分卡!$D$9*AE889)/5</f>
        <v>10.8</v>
      </c>
      <c r="AO889" s="46">
        <f>(打分卡!$D$10*AF889+打分卡!$D$11*AG889)/5</f>
        <v>4</v>
      </c>
      <c r="AP889" s="46">
        <f>(打分卡!$D$12*AH889+打分卡!$D$13*AI889+打分卡!$D$14*AJ889+打分卡!$D$15*AK889)/5</f>
        <v>15.2</v>
      </c>
      <c r="AQ889" s="46">
        <f>(打分卡!$D$16*AL889+打分卡!$D$17*AM889)/5</f>
        <v>4.4</v>
      </c>
      <c r="AR889" s="48">
        <f t="shared" si="106"/>
        <v>34.4</v>
      </c>
      <c r="AS889" s="45" t="str">
        <f t="shared" si="107"/>
        <v>基础长尾</v>
      </c>
      <c r="AT889" s="45" t="str">
        <f t="shared" si="108"/>
        <v/>
      </c>
      <c r="AU889" s="45" t="str">
        <f t="shared" si="109"/>
        <v>激活：企微+Push低成本先跑</v>
      </c>
    </row>
    <row r="890" ht="15" customHeight="1" spans="1:47">
      <c r="A890" s="30" t="s">
        <v>2501</v>
      </c>
      <c r="B890" s="31" t="s">
        <v>2502</v>
      </c>
      <c r="C890" s="31" t="s">
        <v>239</v>
      </c>
      <c r="D890" s="31" t="s">
        <v>190</v>
      </c>
      <c r="E890" s="31" t="s">
        <v>197</v>
      </c>
      <c r="F890" s="30" t="s">
        <v>2503</v>
      </c>
      <c r="G890" s="31">
        <v>3</v>
      </c>
      <c r="H890" s="31" t="s">
        <v>301</v>
      </c>
      <c r="I890" s="31" t="s">
        <v>302</v>
      </c>
      <c r="J890" s="33">
        <v>6200</v>
      </c>
      <c r="K890" s="33">
        <v>4100</v>
      </c>
      <c r="L890" s="33">
        <v>1300</v>
      </c>
      <c r="M890" s="33">
        <f t="shared" si="104"/>
        <v>11600</v>
      </c>
      <c r="N890" s="34">
        <f t="shared" si="110"/>
        <v>6.08146223516805e-5</v>
      </c>
      <c r="O890" s="35">
        <f>SUM($M$2:M890)</f>
        <v>189058100</v>
      </c>
      <c r="P890" s="34">
        <f t="shared" si="111"/>
        <v>0.991163530519504</v>
      </c>
      <c r="Q890" s="37">
        <v>1</v>
      </c>
      <c r="R890" s="31">
        <v>8</v>
      </c>
      <c r="S890" s="31">
        <v>2</v>
      </c>
      <c r="T890" s="31">
        <v>0</v>
      </c>
      <c r="U890" s="37">
        <v>20.5</v>
      </c>
      <c r="V890" s="31">
        <v>17</v>
      </c>
      <c r="W890" s="31">
        <v>2</v>
      </c>
      <c r="X890" s="38">
        <v>63</v>
      </c>
      <c r="Y890" s="31">
        <v>0</v>
      </c>
      <c r="Z890" s="31">
        <v>1</v>
      </c>
      <c r="AA890" s="31" t="s">
        <v>199</v>
      </c>
      <c r="AB890" s="31" t="s">
        <v>220</v>
      </c>
      <c r="AC890" s="41">
        <f>IFERROR(LOOKUP(M890,打分卡!$F$7:$J$7,打分卡!$K$7:$O$7),1)</f>
        <v>1</v>
      </c>
      <c r="AD890" s="41">
        <f>IFERROR(LOOKUP(S890,打分卡!$F$8:$J$8,打分卡!$K$8:$O$8),1)</f>
        <v>2</v>
      </c>
      <c r="AE890" s="41">
        <f>IFERROR(LOOKUP(T890,打分卡!$F$9:$I$9,打分卡!$K$9:$N$9),1)</f>
        <v>1</v>
      </c>
      <c r="AF890" s="41">
        <f>IFERROR(LOOKUP(Q890,打分卡!$F$10:$J$10,打分卡!$K$10:$O$10),1)</f>
        <v>1</v>
      </c>
      <c r="AG890" s="41">
        <f>IFERROR(LOOKUP(R890,打分卡!$F$11:$J$11,打分卡!$K$11:$O$11),1)</f>
        <v>3</v>
      </c>
      <c r="AH890" s="41">
        <f>IFERROR(LOOKUP(U890,打分卡!$F$12:$J$12,打分卡!$K$12:$O$12),1)</f>
        <v>3</v>
      </c>
      <c r="AI890" s="41">
        <f>IFERROR(LOOKUP(X890,打分卡!$F$13:$J$13,打分卡!$K$13:$O$13),1)</f>
        <v>3</v>
      </c>
      <c r="AJ890" s="41">
        <f>IFERROR(LOOKUP(Y890,打分卡!$F$14:$J$14,打分卡!$K$14:$O$14),1)</f>
        <v>1</v>
      </c>
      <c r="AK890" s="41">
        <f>IFERROR(LOOKUP(W890,打分卡!$F$15:$J$15,打分卡!$K$15:$O$15),1)</f>
        <v>2</v>
      </c>
      <c r="AL890" s="43">
        <f t="shared" si="105"/>
        <v>5</v>
      </c>
      <c r="AM890" s="41">
        <f>IFERROR(LOOKUP(Z890,打分卡!$F$17:$H$17,打分卡!$K$17:$M$17),1)</f>
        <v>3</v>
      </c>
      <c r="AN890" s="44">
        <f>(打分卡!$D$7*AC890+打分卡!$D$8*AD890+打分卡!$D$9*AE890)/5</f>
        <v>9.6</v>
      </c>
      <c r="AO890" s="44">
        <f>(打分卡!$D$10*AF890+打分卡!$D$11*AG890)/5</f>
        <v>8</v>
      </c>
      <c r="AP890" s="44">
        <f>(打分卡!$D$12*AH890+打分卡!$D$13*AI890+打分卡!$D$14*AJ890+打分卡!$D$15*AK890)/5</f>
        <v>14.8</v>
      </c>
      <c r="AQ890" s="44">
        <f>(打分卡!$D$16*AL890+打分卡!$D$17*AM890)/5</f>
        <v>8.4</v>
      </c>
      <c r="AR890" s="47">
        <f t="shared" si="106"/>
        <v>40.8</v>
      </c>
      <c r="AS890" s="43" t="str">
        <f t="shared" si="107"/>
        <v>腰部</v>
      </c>
      <c r="AT890" s="43" t="str">
        <f t="shared" si="108"/>
        <v/>
      </c>
      <c r="AU890" s="43" t="str">
        <f t="shared" si="109"/>
        <v>拉·主攻：主推AI外呼+大促作战包</v>
      </c>
    </row>
    <row r="891" ht="15" customHeight="1" spans="1:47">
      <c r="A891" s="20" t="s">
        <v>2504</v>
      </c>
      <c r="B891" s="22" t="s">
        <v>2505</v>
      </c>
      <c r="C891" s="22" t="s">
        <v>195</v>
      </c>
      <c r="D891" s="22" t="s">
        <v>227</v>
      </c>
      <c r="E891" s="22" t="s">
        <v>197</v>
      </c>
      <c r="F891" s="20" t="s">
        <v>2506</v>
      </c>
      <c r="G891" s="22">
        <v>5</v>
      </c>
      <c r="H891" s="22" t="s">
        <v>183</v>
      </c>
      <c r="I891" s="22" t="s">
        <v>302</v>
      </c>
      <c r="J891" s="36">
        <v>7200</v>
      </c>
      <c r="K891" s="36">
        <v>3500</v>
      </c>
      <c r="L891" s="36">
        <v>900</v>
      </c>
      <c r="M891" s="36">
        <f t="shared" si="104"/>
        <v>11600</v>
      </c>
      <c r="N891" s="34">
        <f t="shared" si="110"/>
        <v>6.08146223516805e-5</v>
      </c>
      <c r="O891" s="35">
        <f>SUM($M$2:M891)</f>
        <v>189069700</v>
      </c>
      <c r="P891" s="34">
        <f t="shared" si="111"/>
        <v>0.991224345141855</v>
      </c>
      <c r="Q891" s="39">
        <v>1.3</v>
      </c>
      <c r="R891" s="22">
        <v>8</v>
      </c>
      <c r="S891" s="22">
        <v>1</v>
      </c>
      <c r="T891" s="22">
        <v>1</v>
      </c>
      <c r="U891" s="39">
        <v>10.3</v>
      </c>
      <c r="V891" s="22">
        <v>11</v>
      </c>
      <c r="W891" s="22">
        <v>3</v>
      </c>
      <c r="X891" s="40">
        <v>21</v>
      </c>
      <c r="Y891" s="22">
        <v>3</v>
      </c>
      <c r="Z891" s="22">
        <v>0</v>
      </c>
      <c r="AA891" s="22" t="s">
        <v>185</v>
      </c>
      <c r="AB891" s="22" t="s">
        <v>220</v>
      </c>
      <c r="AC891" s="42">
        <f>IFERROR(LOOKUP(M891,打分卡!$F$7:$J$7,打分卡!$K$7:$O$7),1)</f>
        <v>1</v>
      </c>
      <c r="AD891" s="42">
        <f>IFERROR(LOOKUP(S891,打分卡!$F$8:$J$8,打分卡!$K$8:$O$8),1)</f>
        <v>1</v>
      </c>
      <c r="AE891" s="42">
        <f>IFERROR(LOOKUP(T891,打分卡!$F$9:$I$9,打分卡!$K$9:$N$9),1)</f>
        <v>2</v>
      </c>
      <c r="AF891" s="42">
        <f>IFERROR(LOOKUP(Q891,打分卡!$F$10:$J$10,打分卡!$K$10:$O$10),1)</f>
        <v>1</v>
      </c>
      <c r="AG891" s="42">
        <f>IFERROR(LOOKUP(R891,打分卡!$F$11:$J$11,打分卡!$K$11:$O$11),1)</f>
        <v>3</v>
      </c>
      <c r="AH891" s="42">
        <f>IFERROR(LOOKUP(U891,打分卡!$F$12:$J$12,打分卡!$K$12:$O$12),1)</f>
        <v>2</v>
      </c>
      <c r="AI891" s="42">
        <f>IFERROR(LOOKUP(X891,打分卡!$F$13:$J$13,打分卡!$K$13:$O$13),1)</f>
        <v>2</v>
      </c>
      <c r="AJ891" s="42">
        <f>IFERROR(LOOKUP(Y891,打分卡!$F$14:$J$14,打分卡!$K$14:$O$14),1)</f>
        <v>4</v>
      </c>
      <c r="AK891" s="42">
        <f>IFERROR(LOOKUP(W891,打分卡!$F$15:$J$15,打分卡!$K$15:$O$15),1)</f>
        <v>3</v>
      </c>
      <c r="AL891" s="45">
        <f t="shared" si="105"/>
        <v>3</v>
      </c>
      <c r="AM891" s="42">
        <f>IFERROR(LOOKUP(Z891,打分卡!$F$17:$H$17,打分卡!$K$17:$M$17),1)</f>
        <v>1</v>
      </c>
      <c r="AN891" s="46">
        <f>(打分卡!$D$7*AC891+打分卡!$D$8*AD891+打分卡!$D$9*AE891)/5</f>
        <v>9.4</v>
      </c>
      <c r="AO891" s="46">
        <f>(打分卡!$D$10*AF891+打分卡!$D$11*AG891)/5</f>
        <v>8</v>
      </c>
      <c r="AP891" s="46">
        <f>(打分卡!$D$12*AH891+打分卡!$D$13*AI891+打分卡!$D$14*AJ891+打分卡!$D$15*AK891)/5</f>
        <v>15.2</v>
      </c>
      <c r="AQ891" s="46">
        <f>(打分卡!$D$16*AL891+打分卡!$D$17*AM891)/5</f>
        <v>4.4</v>
      </c>
      <c r="AR891" s="48">
        <f t="shared" si="106"/>
        <v>37</v>
      </c>
      <c r="AS891" s="45" t="str">
        <f t="shared" si="107"/>
        <v>基础长尾</v>
      </c>
      <c r="AT891" s="45" t="str">
        <f t="shared" si="108"/>
        <v/>
      </c>
      <c r="AU891" s="45" t="str">
        <f t="shared" si="109"/>
        <v>激活：企微+Push低成本先跑</v>
      </c>
    </row>
    <row r="892" ht="15" customHeight="1" spans="1:47">
      <c r="A892" s="30" t="s">
        <v>2507</v>
      </c>
      <c r="B892" s="31" t="s">
        <v>2508</v>
      </c>
      <c r="C892" s="31" t="s">
        <v>239</v>
      </c>
      <c r="D892" s="31" t="s">
        <v>196</v>
      </c>
      <c r="E892" s="31" t="s">
        <v>197</v>
      </c>
      <c r="F892" s="30" t="s">
        <v>1283</v>
      </c>
      <c r="G892" s="31">
        <v>19</v>
      </c>
      <c r="H892" s="31" t="s">
        <v>301</v>
      </c>
      <c r="I892" s="31" t="s">
        <v>302</v>
      </c>
      <c r="J892" s="33">
        <v>7000</v>
      </c>
      <c r="K892" s="33">
        <v>3800</v>
      </c>
      <c r="L892" s="33">
        <v>800</v>
      </c>
      <c r="M892" s="33">
        <f t="shared" si="104"/>
        <v>11600</v>
      </c>
      <c r="N892" s="34">
        <f t="shared" si="110"/>
        <v>6.08146223516805e-5</v>
      </c>
      <c r="O892" s="35">
        <f>SUM($M$2:M892)</f>
        <v>189081300</v>
      </c>
      <c r="P892" s="34">
        <f t="shared" si="111"/>
        <v>0.991285159764207</v>
      </c>
      <c r="Q892" s="37">
        <v>1.1</v>
      </c>
      <c r="R892" s="31">
        <v>8</v>
      </c>
      <c r="S892" s="31">
        <v>1</v>
      </c>
      <c r="T892" s="31">
        <v>0</v>
      </c>
      <c r="U892" s="37">
        <v>1.7</v>
      </c>
      <c r="V892" s="31">
        <v>15</v>
      </c>
      <c r="W892" s="31">
        <v>3</v>
      </c>
      <c r="X892" s="38">
        <v>50</v>
      </c>
      <c r="Y892" s="31">
        <v>1</v>
      </c>
      <c r="Z892" s="31">
        <v>0</v>
      </c>
      <c r="AA892" s="31" t="s">
        <v>315</v>
      </c>
      <c r="AB892" s="31" t="s">
        <v>220</v>
      </c>
      <c r="AC892" s="41">
        <f>IFERROR(LOOKUP(M892,打分卡!$F$7:$J$7,打分卡!$K$7:$O$7),1)</f>
        <v>1</v>
      </c>
      <c r="AD892" s="41">
        <f>IFERROR(LOOKUP(S892,打分卡!$F$8:$J$8,打分卡!$K$8:$O$8),1)</f>
        <v>1</v>
      </c>
      <c r="AE892" s="41">
        <f>IFERROR(LOOKUP(T892,打分卡!$F$9:$I$9,打分卡!$K$9:$N$9),1)</f>
        <v>1</v>
      </c>
      <c r="AF892" s="41">
        <f>IFERROR(LOOKUP(Q892,打分卡!$F$10:$J$10,打分卡!$K$10:$O$10),1)</f>
        <v>1</v>
      </c>
      <c r="AG892" s="41">
        <f>IFERROR(LOOKUP(R892,打分卡!$F$11:$J$11,打分卡!$K$11:$O$11),1)</f>
        <v>3</v>
      </c>
      <c r="AH892" s="41">
        <f>IFERROR(LOOKUP(U892,打分卡!$F$12:$J$12,打分卡!$K$12:$O$12),1)</f>
        <v>1</v>
      </c>
      <c r="AI892" s="41">
        <f>IFERROR(LOOKUP(X892,打分卡!$F$13:$J$13,打分卡!$K$13:$O$13),1)</f>
        <v>3</v>
      </c>
      <c r="AJ892" s="41">
        <f>IFERROR(LOOKUP(Y892,打分卡!$F$14:$J$14,打分卡!$K$14:$O$14),1)</f>
        <v>2</v>
      </c>
      <c r="AK892" s="41">
        <f>IFERROR(LOOKUP(W892,打分卡!$F$15:$J$15,打分卡!$K$15:$O$15),1)</f>
        <v>3</v>
      </c>
      <c r="AL892" s="43">
        <f t="shared" si="105"/>
        <v>2</v>
      </c>
      <c r="AM892" s="41">
        <f>IFERROR(LOOKUP(Z892,打分卡!$F$17:$H$17,打分卡!$K$17:$M$17),1)</f>
        <v>1</v>
      </c>
      <c r="AN892" s="44">
        <f>(打分卡!$D$7*AC892+打分卡!$D$8*AD892+打分卡!$D$9*AE892)/5</f>
        <v>8</v>
      </c>
      <c r="AO892" s="44">
        <f>(打分卡!$D$10*AF892+打分卡!$D$11*AG892)/5</f>
        <v>8</v>
      </c>
      <c r="AP892" s="44">
        <f>(打分卡!$D$12*AH892+打分卡!$D$13*AI892+打分卡!$D$14*AJ892+打分卡!$D$15*AK892)/5</f>
        <v>12</v>
      </c>
      <c r="AQ892" s="44">
        <f>(打分卡!$D$16*AL892+打分卡!$D$17*AM892)/5</f>
        <v>3.2</v>
      </c>
      <c r="AR892" s="47">
        <f t="shared" si="106"/>
        <v>31.2</v>
      </c>
      <c r="AS892" s="43" t="str">
        <f t="shared" si="107"/>
        <v>基础长尾</v>
      </c>
      <c r="AT892" s="43" t="str">
        <f t="shared" si="108"/>
        <v/>
      </c>
      <c r="AU892" s="43" t="str">
        <f t="shared" si="109"/>
        <v>激活：企微+Push低成本先跑</v>
      </c>
    </row>
    <row r="893" ht="15" customHeight="1" spans="1:47">
      <c r="A893" s="20" t="s">
        <v>2509</v>
      </c>
      <c r="B893" s="22" t="s">
        <v>2510</v>
      </c>
      <c r="C893" s="22" t="s">
        <v>218</v>
      </c>
      <c r="D893" s="22" t="s">
        <v>227</v>
      </c>
      <c r="E893" s="22" t="s">
        <v>197</v>
      </c>
      <c r="F893" s="20" t="s">
        <v>2511</v>
      </c>
      <c r="G893" s="22">
        <v>20</v>
      </c>
      <c r="H893" s="22" t="s">
        <v>301</v>
      </c>
      <c r="I893" s="22" t="s">
        <v>184</v>
      </c>
      <c r="J893" s="36">
        <v>6100</v>
      </c>
      <c r="K893" s="36">
        <v>3700</v>
      </c>
      <c r="L893" s="36">
        <v>1800</v>
      </c>
      <c r="M893" s="36">
        <f t="shared" si="104"/>
        <v>11600</v>
      </c>
      <c r="N893" s="34">
        <f t="shared" si="110"/>
        <v>6.08146223516805e-5</v>
      </c>
      <c r="O893" s="35">
        <f>SUM($M$2:M893)</f>
        <v>189092900</v>
      </c>
      <c r="P893" s="34">
        <f t="shared" si="111"/>
        <v>0.991345974386559</v>
      </c>
      <c r="Q893" s="39">
        <v>1</v>
      </c>
      <c r="R893" s="22">
        <v>1</v>
      </c>
      <c r="S893" s="22">
        <v>1</v>
      </c>
      <c r="T893" s="22">
        <v>0</v>
      </c>
      <c r="U893" s="39">
        <v>4.9</v>
      </c>
      <c r="V893" s="22">
        <v>9</v>
      </c>
      <c r="W893" s="22">
        <v>3</v>
      </c>
      <c r="X893" s="40">
        <v>84</v>
      </c>
      <c r="Y893" s="22">
        <v>2</v>
      </c>
      <c r="Z893" s="22">
        <v>1</v>
      </c>
      <c r="AA893" s="22" t="s">
        <v>185</v>
      </c>
      <c r="AB893" s="22" t="s">
        <v>220</v>
      </c>
      <c r="AC893" s="42">
        <f>IFERROR(LOOKUP(M893,打分卡!$F$7:$J$7,打分卡!$K$7:$O$7),1)</f>
        <v>1</v>
      </c>
      <c r="AD893" s="42">
        <f>IFERROR(LOOKUP(S893,打分卡!$F$8:$J$8,打分卡!$K$8:$O$8),1)</f>
        <v>1</v>
      </c>
      <c r="AE893" s="42">
        <f>IFERROR(LOOKUP(T893,打分卡!$F$9:$I$9,打分卡!$K$9:$N$9),1)</f>
        <v>1</v>
      </c>
      <c r="AF893" s="42">
        <f>IFERROR(LOOKUP(Q893,打分卡!$F$10:$J$10,打分卡!$K$10:$O$10),1)</f>
        <v>1</v>
      </c>
      <c r="AG893" s="42">
        <f>IFERROR(LOOKUP(R893,打分卡!$F$11:$J$11,打分卡!$K$11:$O$11),1)</f>
        <v>1</v>
      </c>
      <c r="AH893" s="42">
        <f>IFERROR(LOOKUP(U893,打分卡!$F$12:$J$12,打分卡!$K$12:$O$12),1)</f>
        <v>2</v>
      </c>
      <c r="AI893" s="42">
        <f>IFERROR(LOOKUP(X893,打分卡!$F$13:$J$13,打分卡!$K$13:$O$13),1)</f>
        <v>4</v>
      </c>
      <c r="AJ893" s="42">
        <f>IFERROR(LOOKUP(Y893,打分卡!$F$14:$J$14,打分卡!$K$14:$O$14),1)</f>
        <v>3</v>
      </c>
      <c r="AK893" s="42">
        <f>IFERROR(LOOKUP(W893,打分卡!$F$15:$J$15,打分卡!$K$15:$O$15),1)</f>
        <v>3</v>
      </c>
      <c r="AL893" s="45">
        <f t="shared" si="105"/>
        <v>3</v>
      </c>
      <c r="AM893" s="42">
        <f>IFERROR(LOOKUP(Z893,打分卡!$F$17:$H$17,打分卡!$K$17:$M$17),1)</f>
        <v>3</v>
      </c>
      <c r="AN893" s="46">
        <f>(打分卡!$D$7*AC893+打分卡!$D$8*AD893+打分卡!$D$9*AE893)/5</f>
        <v>8</v>
      </c>
      <c r="AO893" s="46">
        <f>(打分卡!$D$10*AF893+打分卡!$D$11*AG893)/5</f>
        <v>4</v>
      </c>
      <c r="AP893" s="46">
        <f>(打分卡!$D$12*AH893+打分卡!$D$13*AI893+打分卡!$D$14*AJ893+打分卡!$D$15*AK893)/5</f>
        <v>17.2</v>
      </c>
      <c r="AQ893" s="46">
        <f>(打分卡!$D$16*AL893+打分卡!$D$17*AM893)/5</f>
        <v>6</v>
      </c>
      <c r="AR893" s="48">
        <f t="shared" si="106"/>
        <v>35.2</v>
      </c>
      <c r="AS893" s="45" t="str">
        <f t="shared" si="107"/>
        <v>基础长尾</v>
      </c>
      <c r="AT893" s="45" t="str">
        <f t="shared" si="108"/>
        <v/>
      </c>
      <c r="AU893" s="45" t="str">
        <f t="shared" si="109"/>
        <v>激活：企微+Push低成本先跑</v>
      </c>
    </row>
    <row r="894" ht="15" customHeight="1" spans="1:47">
      <c r="A894" s="30" t="s">
        <v>2512</v>
      </c>
      <c r="B894" s="31" t="s">
        <v>2513</v>
      </c>
      <c r="C894" s="31" t="s">
        <v>189</v>
      </c>
      <c r="D894" s="31" t="s">
        <v>202</v>
      </c>
      <c r="E894" s="31" t="s">
        <v>197</v>
      </c>
      <c r="F894" s="30" t="s">
        <v>2514</v>
      </c>
      <c r="G894" s="31">
        <v>17</v>
      </c>
      <c r="H894" s="31" t="s">
        <v>301</v>
      </c>
      <c r="I894" s="31" t="s">
        <v>302</v>
      </c>
      <c r="J894" s="33">
        <v>6300</v>
      </c>
      <c r="K894" s="33">
        <v>2800</v>
      </c>
      <c r="L894" s="33">
        <v>2400</v>
      </c>
      <c r="M894" s="33">
        <f t="shared" si="104"/>
        <v>11500</v>
      </c>
      <c r="N894" s="34">
        <f t="shared" si="110"/>
        <v>6.02903583658901e-5</v>
      </c>
      <c r="O894" s="35">
        <f>SUM($M$2:M894)</f>
        <v>189104400</v>
      </c>
      <c r="P894" s="34">
        <f t="shared" si="111"/>
        <v>0.991406264744925</v>
      </c>
      <c r="Q894" s="37">
        <v>0.9</v>
      </c>
      <c r="R894" s="31">
        <v>2</v>
      </c>
      <c r="S894" s="31">
        <v>3</v>
      </c>
      <c r="T894" s="31">
        <v>0</v>
      </c>
      <c r="U894" s="37">
        <v>1.7</v>
      </c>
      <c r="V894" s="31">
        <v>22</v>
      </c>
      <c r="W894" s="31">
        <v>1</v>
      </c>
      <c r="X894" s="38">
        <v>17</v>
      </c>
      <c r="Y894" s="31">
        <v>2</v>
      </c>
      <c r="Z894" s="31">
        <v>0</v>
      </c>
      <c r="AA894" s="31" t="s">
        <v>315</v>
      </c>
      <c r="AB894" s="31" t="s">
        <v>220</v>
      </c>
      <c r="AC894" s="41">
        <f>IFERROR(LOOKUP(M894,打分卡!$F$7:$J$7,打分卡!$K$7:$O$7),1)</f>
        <v>1</v>
      </c>
      <c r="AD894" s="41">
        <f>IFERROR(LOOKUP(S894,打分卡!$F$8:$J$8,打分卡!$K$8:$O$8),1)</f>
        <v>3</v>
      </c>
      <c r="AE894" s="41">
        <f>IFERROR(LOOKUP(T894,打分卡!$F$9:$I$9,打分卡!$K$9:$N$9),1)</f>
        <v>1</v>
      </c>
      <c r="AF894" s="41">
        <f>IFERROR(LOOKUP(Q894,打分卡!$F$10:$J$10,打分卡!$K$10:$O$10),1)</f>
        <v>1</v>
      </c>
      <c r="AG894" s="41">
        <f>IFERROR(LOOKUP(R894,打分卡!$F$11:$J$11,打分卡!$K$11:$O$11),1)</f>
        <v>1</v>
      </c>
      <c r="AH894" s="41">
        <f>IFERROR(LOOKUP(U894,打分卡!$F$12:$J$12,打分卡!$K$12:$O$12),1)</f>
        <v>1</v>
      </c>
      <c r="AI894" s="41">
        <f>IFERROR(LOOKUP(X894,打分卡!$F$13:$J$13,打分卡!$K$13:$O$13),1)</f>
        <v>1</v>
      </c>
      <c r="AJ894" s="41">
        <f>IFERROR(LOOKUP(Y894,打分卡!$F$14:$J$14,打分卡!$K$14:$O$14),1)</f>
        <v>3</v>
      </c>
      <c r="AK894" s="41">
        <f>IFERROR(LOOKUP(W894,打分卡!$F$15:$J$15,打分卡!$K$15:$O$15),1)</f>
        <v>2</v>
      </c>
      <c r="AL894" s="43">
        <f t="shared" si="105"/>
        <v>2</v>
      </c>
      <c r="AM894" s="41">
        <f>IFERROR(LOOKUP(Z894,打分卡!$F$17:$H$17,打分卡!$K$17:$M$17),1)</f>
        <v>1</v>
      </c>
      <c r="AN894" s="44">
        <f>(打分卡!$D$7*AC894+打分卡!$D$8*AD894+打分卡!$D$9*AE894)/5</f>
        <v>11.2</v>
      </c>
      <c r="AO894" s="44">
        <f>(打分卡!$D$10*AF894+打分卡!$D$11*AG894)/5</f>
        <v>4</v>
      </c>
      <c r="AP894" s="44">
        <f>(打分卡!$D$12*AH894+打分卡!$D$13*AI894+打分卡!$D$14*AJ894+打分卡!$D$15*AK894)/5</f>
        <v>9.2</v>
      </c>
      <c r="AQ894" s="44">
        <f>(打分卡!$D$16*AL894+打分卡!$D$17*AM894)/5</f>
        <v>3.2</v>
      </c>
      <c r="AR894" s="47">
        <f t="shared" si="106"/>
        <v>27.6</v>
      </c>
      <c r="AS894" s="43" t="str">
        <f t="shared" si="107"/>
        <v>基础长尾</v>
      </c>
      <c r="AT894" s="43" t="str">
        <f t="shared" si="108"/>
        <v/>
      </c>
      <c r="AU894" s="43" t="str">
        <f t="shared" si="109"/>
        <v>激活：企微+Push低成本先跑</v>
      </c>
    </row>
    <row r="895" ht="15" customHeight="1" spans="1:47">
      <c r="A895" s="20" t="s">
        <v>2515</v>
      </c>
      <c r="B895" s="22" t="s">
        <v>2516</v>
      </c>
      <c r="C895" s="22" t="s">
        <v>218</v>
      </c>
      <c r="D895" s="22" t="s">
        <v>227</v>
      </c>
      <c r="E895" s="22" t="s">
        <v>181</v>
      </c>
      <c r="F895" s="20" t="s">
        <v>947</v>
      </c>
      <c r="G895" s="22">
        <v>12</v>
      </c>
      <c r="H895" s="22" t="s">
        <v>301</v>
      </c>
      <c r="I895" s="22" t="s">
        <v>184</v>
      </c>
      <c r="J895" s="36">
        <v>6000</v>
      </c>
      <c r="K895" s="36">
        <v>2400</v>
      </c>
      <c r="L895" s="36">
        <v>3100</v>
      </c>
      <c r="M895" s="36">
        <f t="shared" si="104"/>
        <v>11500</v>
      </c>
      <c r="N895" s="34">
        <f t="shared" si="110"/>
        <v>6.02903583658901e-5</v>
      </c>
      <c r="O895" s="35">
        <f>SUM($M$2:M895)</f>
        <v>189115900</v>
      </c>
      <c r="P895" s="34">
        <f t="shared" si="111"/>
        <v>0.991466555103291</v>
      </c>
      <c r="Q895" s="39">
        <v>1.5</v>
      </c>
      <c r="R895" s="22">
        <v>1</v>
      </c>
      <c r="S895" s="22">
        <v>3</v>
      </c>
      <c r="T895" s="22">
        <v>1</v>
      </c>
      <c r="U895" s="39">
        <v>12.2</v>
      </c>
      <c r="V895" s="22">
        <v>13</v>
      </c>
      <c r="W895" s="22">
        <v>3</v>
      </c>
      <c r="X895" s="40">
        <v>16</v>
      </c>
      <c r="Y895" s="22">
        <v>3</v>
      </c>
      <c r="Z895" s="22">
        <v>1</v>
      </c>
      <c r="AA895" s="22" t="s">
        <v>185</v>
      </c>
      <c r="AB895" s="22" t="s">
        <v>220</v>
      </c>
      <c r="AC895" s="42">
        <f>IFERROR(LOOKUP(M895,打分卡!$F$7:$J$7,打分卡!$K$7:$O$7),1)</f>
        <v>1</v>
      </c>
      <c r="AD895" s="42">
        <f>IFERROR(LOOKUP(S895,打分卡!$F$8:$J$8,打分卡!$K$8:$O$8),1)</f>
        <v>3</v>
      </c>
      <c r="AE895" s="42">
        <f>IFERROR(LOOKUP(T895,打分卡!$F$9:$I$9,打分卡!$K$9:$N$9),1)</f>
        <v>2</v>
      </c>
      <c r="AF895" s="42">
        <f>IFERROR(LOOKUP(Q895,打分卡!$F$10:$J$10,打分卡!$K$10:$O$10),1)</f>
        <v>1</v>
      </c>
      <c r="AG895" s="42">
        <f>IFERROR(LOOKUP(R895,打分卡!$F$11:$J$11,打分卡!$K$11:$O$11),1)</f>
        <v>1</v>
      </c>
      <c r="AH895" s="42">
        <f>IFERROR(LOOKUP(U895,打分卡!$F$12:$J$12,打分卡!$K$12:$O$12),1)</f>
        <v>3</v>
      </c>
      <c r="AI895" s="42">
        <f>IFERROR(LOOKUP(X895,打分卡!$F$13:$J$13,打分卡!$K$13:$O$13),1)</f>
        <v>1</v>
      </c>
      <c r="AJ895" s="42">
        <f>IFERROR(LOOKUP(Y895,打分卡!$F$14:$J$14,打分卡!$K$14:$O$14),1)</f>
        <v>4</v>
      </c>
      <c r="AK895" s="42">
        <f>IFERROR(LOOKUP(W895,打分卡!$F$15:$J$15,打分卡!$K$15:$O$15),1)</f>
        <v>3</v>
      </c>
      <c r="AL895" s="45">
        <f t="shared" si="105"/>
        <v>3</v>
      </c>
      <c r="AM895" s="42">
        <f>IFERROR(LOOKUP(Z895,打分卡!$F$17:$H$17,打分卡!$K$17:$M$17),1)</f>
        <v>3</v>
      </c>
      <c r="AN895" s="46">
        <f>(打分卡!$D$7*AC895+打分卡!$D$8*AD895+打分卡!$D$9*AE895)/5</f>
        <v>12.6</v>
      </c>
      <c r="AO895" s="46">
        <f>(打分卡!$D$10*AF895+打分卡!$D$11*AG895)/5</f>
        <v>4</v>
      </c>
      <c r="AP895" s="46">
        <f>(打分卡!$D$12*AH895+打分卡!$D$13*AI895+打分卡!$D$14*AJ895+打分卡!$D$15*AK895)/5</f>
        <v>16</v>
      </c>
      <c r="AQ895" s="46">
        <f>(打分卡!$D$16*AL895+打分卡!$D$17*AM895)/5</f>
        <v>6</v>
      </c>
      <c r="AR895" s="48">
        <f t="shared" si="106"/>
        <v>38.6</v>
      </c>
      <c r="AS895" s="45" t="str">
        <f t="shared" si="107"/>
        <v>基础长尾</v>
      </c>
      <c r="AT895" s="45" t="str">
        <f t="shared" si="108"/>
        <v/>
      </c>
      <c r="AU895" s="45" t="str">
        <f t="shared" si="109"/>
        <v>激活：企微+Push低成本先跑</v>
      </c>
    </row>
    <row r="896" ht="15" customHeight="1" spans="1:47">
      <c r="A896" s="30" t="s">
        <v>2517</v>
      </c>
      <c r="B896" s="31" t="s">
        <v>2518</v>
      </c>
      <c r="C896" s="31" t="s">
        <v>179</v>
      </c>
      <c r="D896" s="31" t="s">
        <v>235</v>
      </c>
      <c r="E896" s="31" t="s">
        <v>181</v>
      </c>
      <c r="F896" s="30" t="s">
        <v>1107</v>
      </c>
      <c r="G896" s="31">
        <v>10</v>
      </c>
      <c r="H896" s="31" t="s">
        <v>301</v>
      </c>
      <c r="I896" s="31" t="s">
        <v>184</v>
      </c>
      <c r="J896" s="33">
        <v>5900</v>
      </c>
      <c r="K896" s="33">
        <v>4300</v>
      </c>
      <c r="L896" s="33">
        <v>1300</v>
      </c>
      <c r="M896" s="33">
        <f t="shared" si="104"/>
        <v>11500</v>
      </c>
      <c r="N896" s="34">
        <f t="shared" si="110"/>
        <v>6.02903583658901e-5</v>
      </c>
      <c r="O896" s="35">
        <f>SUM($M$2:M896)</f>
        <v>189127400</v>
      </c>
      <c r="P896" s="34">
        <f t="shared" si="111"/>
        <v>0.991526845461656</v>
      </c>
      <c r="Q896" s="37">
        <v>0.9</v>
      </c>
      <c r="R896" s="31">
        <v>5</v>
      </c>
      <c r="S896" s="31">
        <v>2</v>
      </c>
      <c r="T896" s="31">
        <v>0</v>
      </c>
      <c r="U896" s="37">
        <v>31.1</v>
      </c>
      <c r="V896" s="31">
        <v>28</v>
      </c>
      <c r="W896" s="31">
        <v>2</v>
      </c>
      <c r="X896" s="38">
        <v>101</v>
      </c>
      <c r="Y896" s="31">
        <v>1</v>
      </c>
      <c r="Z896" s="31">
        <v>1</v>
      </c>
      <c r="AA896" s="31" t="s">
        <v>185</v>
      </c>
      <c r="AB896" s="31" t="s">
        <v>220</v>
      </c>
      <c r="AC896" s="41">
        <f>IFERROR(LOOKUP(M896,打分卡!$F$7:$J$7,打分卡!$K$7:$O$7),1)</f>
        <v>1</v>
      </c>
      <c r="AD896" s="41">
        <f>IFERROR(LOOKUP(S896,打分卡!$F$8:$J$8,打分卡!$K$8:$O$8),1)</f>
        <v>2</v>
      </c>
      <c r="AE896" s="41">
        <f>IFERROR(LOOKUP(T896,打分卡!$F$9:$I$9,打分卡!$K$9:$N$9),1)</f>
        <v>1</v>
      </c>
      <c r="AF896" s="41">
        <f>IFERROR(LOOKUP(Q896,打分卡!$F$10:$J$10,打分卡!$K$10:$O$10),1)</f>
        <v>1</v>
      </c>
      <c r="AG896" s="41">
        <f>IFERROR(LOOKUP(R896,打分卡!$F$11:$J$11,打分卡!$K$11:$O$11),1)</f>
        <v>3</v>
      </c>
      <c r="AH896" s="41">
        <f>IFERROR(LOOKUP(U896,打分卡!$F$12:$J$12,打分卡!$K$12:$O$12),1)</f>
        <v>3</v>
      </c>
      <c r="AI896" s="41">
        <f>IFERROR(LOOKUP(X896,打分卡!$F$13:$J$13,打分卡!$K$13:$O$13),1)</f>
        <v>4</v>
      </c>
      <c r="AJ896" s="41">
        <f>IFERROR(LOOKUP(Y896,打分卡!$F$14:$J$14,打分卡!$K$14:$O$14),1)</f>
        <v>2</v>
      </c>
      <c r="AK896" s="41">
        <f>IFERROR(LOOKUP(W896,打分卡!$F$15:$J$15,打分卡!$K$15:$O$15),1)</f>
        <v>2</v>
      </c>
      <c r="AL896" s="43">
        <f t="shared" si="105"/>
        <v>3</v>
      </c>
      <c r="AM896" s="41">
        <f>IFERROR(LOOKUP(Z896,打分卡!$F$17:$H$17,打分卡!$K$17:$M$17),1)</f>
        <v>3</v>
      </c>
      <c r="AN896" s="44">
        <f>(打分卡!$D$7*AC896+打分卡!$D$8*AD896+打分卡!$D$9*AE896)/5</f>
        <v>9.6</v>
      </c>
      <c r="AO896" s="44">
        <f>(打分卡!$D$10*AF896+打分卡!$D$11*AG896)/5</f>
        <v>8</v>
      </c>
      <c r="AP896" s="44">
        <f>(打分卡!$D$12*AH896+打分卡!$D$13*AI896+打分卡!$D$14*AJ896+打分卡!$D$15*AK896)/5</f>
        <v>17.6</v>
      </c>
      <c r="AQ896" s="44">
        <f>(打分卡!$D$16*AL896+打分卡!$D$17*AM896)/5</f>
        <v>6</v>
      </c>
      <c r="AR896" s="47">
        <f t="shared" si="106"/>
        <v>41.2</v>
      </c>
      <c r="AS896" s="43" t="str">
        <f t="shared" si="107"/>
        <v>腰部</v>
      </c>
      <c r="AT896" s="43" t="str">
        <f t="shared" si="108"/>
        <v/>
      </c>
      <c r="AU896" s="43" t="str">
        <f t="shared" si="109"/>
        <v>拉·主攻：主推AI外呼+大促作战包</v>
      </c>
    </row>
    <row r="897" ht="15" customHeight="1" spans="1:47">
      <c r="A897" s="20" t="s">
        <v>2519</v>
      </c>
      <c r="B897" s="22" t="s">
        <v>2520</v>
      </c>
      <c r="C897" s="22" t="s">
        <v>218</v>
      </c>
      <c r="D897" s="22" t="s">
        <v>235</v>
      </c>
      <c r="E897" s="22" t="s">
        <v>181</v>
      </c>
      <c r="F897" s="20" t="s">
        <v>1605</v>
      </c>
      <c r="G897" s="22">
        <v>5</v>
      </c>
      <c r="H897" s="22" t="s">
        <v>301</v>
      </c>
      <c r="I897" s="22" t="s">
        <v>184</v>
      </c>
      <c r="J897" s="36">
        <v>5900</v>
      </c>
      <c r="K897" s="36">
        <v>3400</v>
      </c>
      <c r="L897" s="36">
        <v>2100</v>
      </c>
      <c r="M897" s="36">
        <f t="shared" si="104"/>
        <v>11400</v>
      </c>
      <c r="N897" s="34">
        <f t="shared" si="110"/>
        <v>5.97660943800998e-5</v>
      </c>
      <c r="O897" s="35">
        <f>SUM($M$2:M897)</f>
        <v>189138800</v>
      </c>
      <c r="P897" s="34">
        <f t="shared" si="111"/>
        <v>0.991586611556036</v>
      </c>
      <c r="Q897" s="39">
        <v>0.9</v>
      </c>
      <c r="R897" s="22">
        <v>2</v>
      </c>
      <c r="S897" s="22">
        <v>1</v>
      </c>
      <c r="T897" s="22">
        <v>2</v>
      </c>
      <c r="U897" s="39">
        <v>2</v>
      </c>
      <c r="V897" s="22">
        <v>10</v>
      </c>
      <c r="W897" s="22">
        <v>0</v>
      </c>
      <c r="X897" s="40">
        <v>22</v>
      </c>
      <c r="Y897" s="22">
        <v>1</v>
      </c>
      <c r="Z897" s="22">
        <v>1</v>
      </c>
      <c r="AA897" s="22" t="s">
        <v>315</v>
      </c>
      <c r="AB897" s="22" t="s">
        <v>220</v>
      </c>
      <c r="AC897" s="42">
        <f>IFERROR(LOOKUP(M897,打分卡!$F$7:$J$7,打分卡!$K$7:$O$7),1)</f>
        <v>1</v>
      </c>
      <c r="AD897" s="42">
        <f>IFERROR(LOOKUP(S897,打分卡!$F$8:$J$8,打分卡!$K$8:$O$8),1)</f>
        <v>1</v>
      </c>
      <c r="AE897" s="42">
        <f>IFERROR(LOOKUP(T897,打分卡!$F$9:$I$9,打分卡!$K$9:$N$9),1)</f>
        <v>3</v>
      </c>
      <c r="AF897" s="42">
        <f>IFERROR(LOOKUP(Q897,打分卡!$F$10:$J$10,打分卡!$K$10:$O$10),1)</f>
        <v>1</v>
      </c>
      <c r="AG897" s="42">
        <f>IFERROR(LOOKUP(R897,打分卡!$F$11:$J$11,打分卡!$K$11:$O$11),1)</f>
        <v>1</v>
      </c>
      <c r="AH897" s="42">
        <f>IFERROR(LOOKUP(U897,打分卡!$F$12:$J$12,打分卡!$K$12:$O$12),1)</f>
        <v>1</v>
      </c>
      <c r="AI897" s="42">
        <f>IFERROR(LOOKUP(X897,打分卡!$F$13:$J$13,打分卡!$K$13:$O$13),1)</f>
        <v>2</v>
      </c>
      <c r="AJ897" s="42">
        <f>IFERROR(LOOKUP(Y897,打分卡!$F$14:$J$14,打分卡!$K$14:$O$14),1)</f>
        <v>2</v>
      </c>
      <c r="AK897" s="42">
        <f>IFERROR(LOOKUP(W897,打分卡!$F$15:$J$15,打分卡!$K$15:$O$15),1)</f>
        <v>1</v>
      </c>
      <c r="AL897" s="45">
        <f t="shared" si="105"/>
        <v>2</v>
      </c>
      <c r="AM897" s="42">
        <f>IFERROR(LOOKUP(Z897,打分卡!$F$17:$H$17,打分卡!$K$17:$M$17),1)</f>
        <v>3</v>
      </c>
      <c r="AN897" s="46">
        <f>(打分卡!$D$7*AC897+打分卡!$D$8*AD897+打分卡!$D$9*AE897)/5</f>
        <v>10.8</v>
      </c>
      <c r="AO897" s="46">
        <f>(打分卡!$D$10*AF897+打分卡!$D$11*AG897)/5</f>
        <v>4</v>
      </c>
      <c r="AP897" s="46">
        <f>(打分卡!$D$12*AH897+打分卡!$D$13*AI897+打分卡!$D$14*AJ897+打分卡!$D$15*AK897)/5</f>
        <v>8.8</v>
      </c>
      <c r="AQ897" s="46">
        <f>(打分卡!$D$16*AL897+打分卡!$D$17*AM897)/5</f>
        <v>4.8</v>
      </c>
      <c r="AR897" s="48">
        <f t="shared" si="106"/>
        <v>28.4</v>
      </c>
      <c r="AS897" s="45" t="str">
        <f t="shared" si="107"/>
        <v>基础长尾</v>
      </c>
      <c r="AT897" s="45" t="str">
        <f t="shared" si="108"/>
        <v/>
      </c>
      <c r="AU897" s="45" t="str">
        <f t="shared" si="109"/>
        <v>激活：企微+Push低成本先跑</v>
      </c>
    </row>
    <row r="898" ht="15" customHeight="1" spans="1:47">
      <c r="A898" s="30" t="s">
        <v>2521</v>
      </c>
      <c r="B898" s="31" t="s">
        <v>2522</v>
      </c>
      <c r="C898" s="31" t="s">
        <v>189</v>
      </c>
      <c r="D898" s="31" t="s">
        <v>202</v>
      </c>
      <c r="E898" s="31" t="s">
        <v>197</v>
      </c>
      <c r="F898" s="30" t="s">
        <v>1214</v>
      </c>
      <c r="G898" s="31">
        <v>22</v>
      </c>
      <c r="H898" s="31" t="s">
        <v>301</v>
      </c>
      <c r="I898" s="31" t="s">
        <v>184</v>
      </c>
      <c r="J898" s="33">
        <v>7000</v>
      </c>
      <c r="K898" s="33">
        <v>2500</v>
      </c>
      <c r="L898" s="33">
        <v>1900</v>
      </c>
      <c r="M898" s="33">
        <f t="shared" ref="M898:M961" si="112">SUM(J898:L898)</f>
        <v>11400</v>
      </c>
      <c r="N898" s="34">
        <f t="shared" si="110"/>
        <v>5.97660943800998e-5</v>
      </c>
      <c r="O898" s="35">
        <f>SUM($M$2:M898)</f>
        <v>189150200</v>
      </c>
      <c r="P898" s="34">
        <f t="shared" si="111"/>
        <v>0.991646377650417</v>
      </c>
      <c r="Q898" s="37">
        <v>1.1</v>
      </c>
      <c r="R898" s="31">
        <v>8</v>
      </c>
      <c r="S898" s="31">
        <v>3</v>
      </c>
      <c r="T898" s="31">
        <v>2</v>
      </c>
      <c r="U898" s="37">
        <v>2.4</v>
      </c>
      <c r="V898" s="31">
        <v>21</v>
      </c>
      <c r="W898" s="31">
        <v>1</v>
      </c>
      <c r="X898" s="38">
        <v>22</v>
      </c>
      <c r="Y898" s="31">
        <v>0</v>
      </c>
      <c r="Z898" s="31">
        <v>0</v>
      </c>
      <c r="AA898" s="31" t="s">
        <v>315</v>
      </c>
      <c r="AB898" s="31" t="s">
        <v>220</v>
      </c>
      <c r="AC898" s="41">
        <f>IFERROR(LOOKUP(M898,打分卡!$F$7:$J$7,打分卡!$K$7:$O$7),1)</f>
        <v>1</v>
      </c>
      <c r="AD898" s="41">
        <f>IFERROR(LOOKUP(S898,打分卡!$F$8:$J$8,打分卡!$K$8:$O$8),1)</f>
        <v>3</v>
      </c>
      <c r="AE898" s="41">
        <f>IFERROR(LOOKUP(T898,打分卡!$F$9:$I$9,打分卡!$K$9:$N$9),1)</f>
        <v>3</v>
      </c>
      <c r="AF898" s="41">
        <f>IFERROR(LOOKUP(Q898,打分卡!$F$10:$J$10,打分卡!$K$10:$O$10),1)</f>
        <v>1</v>
      </c>
      <c r="AG898" s="41">
        <f>IFERROR(LOOKUP(R898,打分卡!$F$11:$J$11,打分卡!$K$11:$O$11),1)</f>
        <v>3</v>
      </c>
      <c r="AH898" s="41">
        <f>IFERROR(LOOKUP(U898,打分卡!$F$12:$J$12,打分卡!$K$12:$O$12),1)</f>
        <v>1</v>
      </c>
      <c r="AI898" s="41">
        <f>IFERROR(LOOKUP(X898,打分卡!$F$13:$J$13,打分卡!$K$13:$O$13),1)</f>
        <v>2</v>
      </c>
      <c r="AJ898" s="41">
        <f>IFERROR(LOOKUP(Y898,打分卡!$F$14:$J$14,打分卡!$K$14:$O$14),1)</f>
        <v>1</v>
      </c>
      <c r="AK898" s="41">
        <f>IFERROR(LOOKUP(W898,打分卡!$F$15:$J$15,打分卡!$K$15:$O$15),1)</f>
        <v>2</v>
      </c>
      <c r="AL898" s="43">
        <f t="shared" ref="AL898:AL961" si="113">IF(AA898="连续下降",1,IF(AA898="下降",2,IF(AA898="上升",5,3)))</f>
        <v>2</v>
      </c>
      <c r="AM898" s="41">
        <f>IFERROR(LOOKUP(Z898,打分卡!$F$17:$H$17,打分卡!$K$17:$M$17),1)</f>
        <v>1</v>
      </c>
      <c r="AN898" s="44">
        <f>(打分卡!$D$7*AC898+打分卡!$D$8*AD898+打分卡!$D$9*AE898)/5</f>
        <v>14</v>
      </c>
      <c r="AO898" s="44">
        <f>(打分卡!$D$10*AF898+打分卡!$D$11*AG898)/5</f>
        <v>8</v>
      </c>
      <c r="AP898" s="44">
        <f>(打分卡!$D$12*AH898+打分卡!$D$13*AI898+打分卡!$D$14*AJ898+打分卡!$D$15*AK898)/5</f>
        <v>8.4</v>
      </c>
      <c r="AQ898" s="44">
        <f>(打分卡!$D$16*AL898+打分卡!$D$17*AM898)/5</f>
        <v>3.2</v>
      </c>
      <c r="AR898" s="47">
        <f t="shared" ref="AR898:AR961" si="114">IF(G898&lt;3,AP898/30*40+AO898+AP898+AQ898,AN898+AO898+AP898+AQ898)</f>
        <v>33.6</v>
      </c>
      <c r="AS898" s="43" t="str">
        <f t="shared" ref="AS898:AS961" si="115">IF(M898=0,IF(G898&lt;3,"新客观察期","未激活"),IF(AR898&gt;=90,"SKA",IF(AR898&gt;=75,"KA",IF(AR898&gt;=40,"腰部","基础长尾"))))</f>
        <v>基础长尾</v>
      </c>
      <c r="AT898" s="43" t="str">
        <f t="shared" ref="AT898:AT961" si="116">IF(AA898="连续下降","连续下降-预警","")</f>
        <v/>
      </c>
      <c r="AU898" s="43" t="str">
        <f t="shared" ref="AU898:AU961" si="117">IF(AS898="SKA","守·共创：卡片短信/AI外呼新场景POC",IF(AS898="KA","扩·深化：AI外呼场景深化+Push/企微补全",IF(AS898="腰部","拉·主攻：主推AI外呼+大促作战包",IF(AS898="新客观察期","培育：入门包+1v1场景教育",IF(AS898="基础长尾","激活：企微+Push低成本先跑","唤醒：短信模板+首充补贴")))))</f>
        <v>激活：企微+Push低成本先跑</v>
      </c>
    </row>
    <row r="899" ht="15" customHeight="1" spans="1:47">
      <c r="A899" s="20" t="s">
        <v>2523</v>
      </c>
      <c r="B899" s="22" t="s">
        <v>2524</v>
      </c>
      <c r="C899" s="22" t="s">
        <v>179</v>
      </c>
      <c r="D899" s="22" t="s">
        <v>235</v>
      </c>
      <c r="E899" s="22" t="s">
        <v>197</v>
      </c>
      <c r="F899" s="20" t="s">
        <v>1698</v>
      </c>
      <c r="G899" s="22">
        <v>17</v>
      </c>
      <c r="H899" s="22" t="s">
        <v>301</v>
      </c>
      <c r="I899" s="22" t="s">
        <v>302</v>
      </c>
      <c r="J899" s="36">
        <v>5600</v>
      </c>
      <c r="K899" s="36">
        <v>3400</v>
      </c>
      <c r="L899" s="36">
        <v>2300</v>
      </c>
      <c r="M899" s="36">
        <f t="shared" si="112"/>
        <v>11300</v>
      </c>
      <c r="N899" s="34">
        <f t="shared" ref="N899:N962" si="118">M899/$M$2002</f>
        <v>5.92418303943094e-5</v>
      </c>
      <c r="O899" s="35">
        <f>SUM($M$2:M899)</f>
        <v>189161500</v>
      </c>
      <c r="P899" s="34">
        <f t="shared" ref="P899:P962" si="119">O899/$M$2002</f>
        <v>0.991705619480811</v>
      </c>
      <c r="Q899" s="39">
        <v>1.2</v>
      </c>
      <c r="R899" s="22">
        <v>5</v>
      </c>
      <c r="S899" s="22">
        <v>1</v>
      </c>
      <c r="T899" s="22">
        <v>2</v>
      </c>
      <c r="U899" s="39">
        <v>5.6</v>
      </c>
      <c r="V899" s="22">
        <v>20</v>
      </c>
      <c r="W899" s="22">
        <v>4</v>
      </c>
      <c r="X899" s="40">
        <v>18</v>
      </c>
      <c r="Y899" s="22">
        <v>3</v>
      </c>
      <c r="Z899" s="22">
        <v>0</v>
      </c>
      <c r="AA899" s="22" t="s">
        <v>199</v>
      </c>
      <c r="AB899" s="22" t="s">
        <v>220</v>
      </c>
      <c r="AC899" s="42">
        <f>IFERROR(LOOKUP(M899,打分卡!$F$7:$J$7,打分卡!$K$7:$O$7),1)</f>
        <v>1</v>
      </c>
      <c r="AD899" s="42">
        <f>IFERROR(LOOKUP(S899,打分卡!$F$8:$J$8,打分卡!$K$8:$O$8),1)</f>
        <v>1</v>
      </c>
      <c r="AE899" s="42">
        <f>IFERROR(LOOKUP(T899,打分卡!$F$9:$I$9,打分卡!$K$9:$N$9),1)</f>
        <v>3</v>
      </c>
      <c r="AF899" s="42">
        <f>IFERROR(LOOKUP(Q899,打分卡!$F$10:$J$10,打分卡!$K$10:$O$10),1)</f>
        <v>1</v>
      </c>
      <c r="AG899" s="42">
        <f>IFERROR(LOOKUP(R899,打分卡!$F$11:$J$11,打分卡!$K$11:$O$11),1)</f>
        <v>3</v>
      </c>
      <c r="AH899" s="42">
        <f>IFERROR(LOOKUP(U899,打分卡!$F$12:$J$12,打分卡!$K$12:$O$12),1)</f>
        <v>2</v>
      </c>
      <c r="AI899" s="42">
        <f>IFERROR(LOOKUP(X899,打分卡!$F$13:$J$13,打分卡!$K$13:$O$13),1)</f>
        <v>2</v>
      </c>
      <c r="AJ899" s="42">
        <f>IFERROR(LOOKUP(Y899,打分卡!$F$14:$J$14,打分卡!$K$14:$O$14),1)</f>
        <v>4</v>
      </c>
      <c r="AK899" s="42">
        <f>IFERROR(LOOKUP(W899,打分卡!$F$15:$J$15,打分卡!$K$15:$O$15),1)</f>
        <v>3</v>
      </c>
      <c r="AL899" s="45">
        <f t="shared" si="113"/>
        <v>5</v>
      </c>
      <c r="AM899" s="42">
        <f>IFERROR(LOOKUP(Z899,打分卡!$F$17:$H$17,打分卡!$K$17:$M$17),1)</f>
        <v>1</v>
      </c>
      <c r="AN899" s="46">
        <f>(打分卡!$D$7*AC899+打分卡!$D$8*AD899+打分卡!$D$9*AE899)/5</f>
        <v>10.8</v>
      </c>
      <c r="AO899" s="46">
        <f>(打分卡!$D$10*AF899+打分卡!$D$11*AG899)/5</f>
        <v>8</v>
      </c>
      <c r="AP899" s="46">
        <f>(打分卡!$D$12*AH899+打分卡!$D$13*AI899+打分卡!$D$14*AJ899+打分卡!$D$15*AK899)/5</f>
        <v>15.2</v>
      </c>
      <c r="AQ899" s="46">
        <f>(打分卡!$D$16*AL899+打分卡!$D$17*AM899)/5</f>
        <v>6.8</v>
      </c>
      <c r="AR899" s="48">
        <f t="shared" si="114"/>
        <v>40.8</v>
      </c>
      <c r="AS899" s="45" t="str">
        <f t="shared" si="115"/>
        <v>腰部</v>
      </c>
      <c r="AT899" s="45" t="str">
        <f t="shared" si="116"/>
        <v/>
      </c>
      <c r="AU899" s="45" t="str">
        <f t="shared" si="117"/>
        <v>拉·主攻：主推AI外呼+大促作战包</v>
      </c>
    </row>
    <row r="900" ht="15" customHeight="1" spans="1:47">
      <c r="A900" s="30" t="s">
        <v>2525</v>
      </c>
      <c r="B900" s="31" t="s">
        <v>2526</v>
      </c>
      <c r="C900" s="31" t="s">
        <v>239</v>
      </c>
      <c r="D900" s="31" t="s">
        <v>202</v>
      </c>
      <c r="E900" s="31" t="s">
        <v>181</v>
      </c>
      <c r="F900" s="30" t="s">
        <v>681</v>
      </c>
      <c r="G900" s="31">
        <v>19</v>
      </c>
      <c r="H900" s="31" t="s">
        <v>301</v>
      </c>
      <c r="I900" s="31" t="s">
        <v>302</v>
      </c>
      <c r="J900" s="33">
        <v>6800</v>
      </c>
      <c r="K900" s="33">
        <v>3100</v>
      </c>
      <c r="L900" s="33">
        <v>1400</v>
      </c>
      <c r="M900" s="33">
        <f t="shared" si="112"/>
        <v>11300</v>
      </c>
      <c r="N900" s="34">
        <f t="shared" si="118"/>
        <v>5.92418303943094e-5</v>
      </c>
      <c r="O900" s="35">
        <f>SUM($M$2:M900)</f>
        <v>189172800</v>
      </c>
      <c r="P900" s="34">
        <f t="shared" si="119"/>
        <v>0.991764861311205</v>
      </c>
      <c r="Q900" s="37">
        <v>1.3</v>
      </c>
      <c r="R900" s="31">
        <v>3</v>
      </c>
      <c r="S900" s="31">
        <v>1</v>
      </c>
      <c r="T900" s="31">
        <v>0</v>
      </c>
      <c r="U900" s="37">
        <v>2.3</v>
      </c>
      <c r="V900" s="31">
        <v>11</v>
      </c>
      <c r="W900" s="31">
        <v>3</v>
      </c>
      <c r="X900" s="38">
        <v>23</v>
      </c>
      <c r="Y900" s="31">
        <v>3</v>
      </c>
      <c r="Z900" s="31">
        <v>0</v>
      </c>
      <c r="AA900" s="31" t="s">
        <v>199</v>
      </c>
      <c r="AB900" s="31" t="s">
        <v>220</v>
      </c>
      <c r="AC900" s="41">
        <f>IFERROR(LOOKUP(M900,打分卡!$F$7:$J$7,打分卡!$K$7:$O$7),1)</f>
        <v>1</v>
      </c>
      <c r="AD900" s="41">
        <f>IFERROR(LOOKUP(S900,打分卡!$F$8:$J$8,打分卡!$K$8:$O$8),1)</f>
        <v>1</v>
      </c>
      <c r="AE900" s="41">
        <f>IFERROR(LOOKUP(T900,打分卡!$F$9:$I$9,打分卡!$K$9:$N$9),1)</f>
        <v>1</v>
      </c>
      <c r="AF900" s="41">
        <f>IFERROR(LOOKUP(Q900,打分卡!$F$10:$J$10,打分卡!$K$10:$O$10),1)</f>
        <v>1</v>
      </c>
      <c r="AG900" s="41">
        <f>IFERROR(LOOKUP(R900,打分卡!$F$11:$J$11,打分卡!$K$11:$O$11),1)</f>
        <v>2</v>
      </c>
      <c r="AH900" s="41">
        <f>IFERROR(LOOKUP(U900,打分卡!$F$12:$J$12,打分卡!$K$12:$O$12),1)</f>
        <v>1</v>
      </c>
      <c r="AI900" s="41">
        <f>IFERROR(LOOKUP(X900,打分卡!$F$13:$J$13,打分卡!$K$13:$O$13),1)</f>
        <v>2</v>
      </c>
      <c r="AJ900" s="41">
        <f>IFERROR(LOOKUP(Y900,打分卡!$F$14:$J$14,打分卡!$K$14:$O$14),1)</f>
        <v>4</v>
      </c>
      <c r="AK900" s="41">
        <f>IFERROR(LOOKUP(W900,打分卡!$F$15:$J$15,打分卡!$K$15:$O$15),1)</f>
        <v>3</v>
      </c>
      <c r="AL900" s="43">
        <f t="shared" si="113"/>
        <v>5</v>
      </c>
      <c r="AM900" s="41">
        <f>IFERROR(LOOKUP(Z900,打分卡!$F$17:$H$17,打分卡!$K$17:$M$17),1)</f>
        <v>1</v>
      </c>
      <c r="AN900" s="44">
        <f>(打分卡!$D$7*AC900+打分卡!$D$8*AD900+打分卡!$D$9*AE900)/5</f>
        <v>8</v>
      </c>
      <c r="AO900" s="44">
        <f>(打分卡!$D$10*AF900+打分卡!$D$11*AG900)/5</f>
        <v>6</v>
      </c>
      <c r="AP900" s="44">
        <f>(打分卡!$D$12*AH900+打分卡!$D$13*AI900+打分卡!$D$14*AJ900+打分卡!$D$15*AK900)/5</f>
        <v>12.8</v>
      </c>
      <c r="AQ900" s="44">
        <f>(打分卡!$D$16*AL900+打分卡!$D$17*AM900)/5</f>
        <v>6.8</v>
      </c>
      <c r="AR900" s="47">
        <f t="shared" si="114"/>
        <v>33.6</v>
      </c>
      <c r="AS900" s="43" t="str">
        <f t="shared" si="115"/>
        <v>基础长尾</v>
      </c>
      <c r="AT900" s="43" t="str">
        <f t="shared" si="116"/>
        <v/>
      </c>
      <c r="AU900" s="43" t="str">
        <f t="shared" si="117"/>
        <v>激活：企微+Push低成本先跑</v>
      </c>
    </row>
    <row r="901" ht="15" customHeight="1" spans="1:47">
      <c r="A901" s="20" t="s">
        <v>2527</v>
      </c>
      <c r="B901" s="22" t="s">
        <v>2528</v>
      </c>
      <c r="C901" s="22" t="s">
        <v>239</v>
      </c>
      <c r="D901" s="22" t="s">
        <v>227</v>
      </c>
      <c r="E901" s="22" t="s">
        <v>181</v>
      </c>
      <c r="F901" s="20" t="s">
        <v>956</v>
      </c>
      <c r="G901" s="22">
        <v>3</v>
      </c>
      <c r="H901" s="22" t="s">
        <v>301</v>
      </c>
      <c r="I901" s="22" t="s">
        <v>184</v>
      </c>
      <c r="J901" s="36">
        <v>5400</v>
      </c>
      <c r="K901" s="36">
        <v>3000</v>
      </c>
      <c r="L901" s="36">
        <v>2800</v>
      </c>
      <c r="M901" s="36">
        <f t="shared" si="112"/>
        <v>11200</v>
      </c>
      <c r="N901" s="34">
        <f t="shared" si="118"/>
        <v>5.87175664085191e-5</v>
      </c>
      <c r="O901" s="35">
        <f>SUM($M$2:M901)</f>
        <v>189184000</v>
      </c>
      <c r="P901" s="34">
        <f t="shared" si="119"/>
        <v>0.991823578877614</v>
      </c>
      <c r="Q901" s="39">
        <v>1.6</v>
      </c>
      <c r="R901" s="22">
        <v>7</v>
      </c>
      <c r="S901" s="22">
        <v>3</v>
      </c>
      <c r="T901" s="22">
        <v>0</v>
      </c>
      <c r="U901" s="39">
        <v>4.6</v>
      </c>
      <c r="V901" s="22">
        <v>3</v>
      </c>
      <c r="W901" s="22">
        <v>0</v>
      </c>
      <c r="X901" s="40">
        <v>65</v>
      </c>
      <c r="Y901" s="22">
        <v>3</v>
      </c>
      <c r="Z901" s="22">
        <v>0</v>
      </c>
      <c r="AA901" s="22" t="s">
        <v>199</v>
      </c>
      <c r="AB901" s="22" t="s">
        <v>220</v>
      </c>
      <c r="AC901" s="42">
        <f>IFERROR(LOOKUP(M901,打分卡!$F$7:$J$7,打分卡!$K$7:$O$7),1)</f>
        <v>1</v>
      </c>
      <c r="AD901" s="42">
        <f>IFERROR(LOOKUP(S901,打分卡!$F$8:$J$8,打分卡!$K$8:$O$8),1)</f>
        <v>3</v>
      </c>
      <c r="AE901" s="42">
        <f>IFERROR(LOOKUP(T901,打分卡!$F$9:$I$9,打分卡!$K$9:$N$9),1)</f>
        <v>1</v>
      </c>
      <c r="AF901" s="42">
        <f>IFERROR(LOOKUP(Q901,打分卡!$F$10:$J$10,打分卡!$K$10:$O$10),1)</f>
        <v>1</v>
      </c>
      <c r="AG901" s="42">
        <f>IFERROR(LOOKUP(R901,打分卡!$F$11:$J$11,打分卡!$K$11:$O$11),1)</f>
        <v>3</v>
      </c>
      <c r="AH901" s="42">
        <f>IFERROR(LOOKUP(U901,打分卡!$F$12:$J$12,打分卡!$K$12:$O$12),1)</f>
        <v>2</v>
      </c>
      <c r="AI901" s="42">
        <f>IFERROR(LOOKUP(X901,打分卡!$F$13:$J$13,打分卡!$K$13:$O$13),1)</f>
        <v>3</v>
      </c>
      <c r="AJ901" s="42">
        <f>IFERROR(LOOKUP(Y901,打分卡!$F$14:$J$14,打分卡!$K$14:$O$14),1)</f>
        <v>4</v>
      </c>
      <c r="AK901" s="42">
        <f>IFERROR(LOOKUP(W901,打分卡!$F$15:$J$15,打分卡!$K$15:$O$15),1)</f>
        <v>1</v>
      </c>
      <c r="AL901" s="45">
        <f t="shared" si="113"/>
        <v>5</v>
      </c>
      <c r="AM901" s="42">
        <f>IFERROR(LOOKUP(Z901,打分卡!$F$17:$H$17,打分卡!$K$17:$M$17),1)</f>
        <v>1</v>
      </c>
      <c r="AN901" s="46">
        <f>(打分卡!$D$7*AC901+打分卡!$D$8*AD901+打分卡!$D$9*AE901)/5</f>
        <v>11.2</v>
      </c>
      <c r="AO901" s="46">
        <f>(打分卡!$D$10*AF901+打分卡!$D$11*AG901)/5</f>
        <v>8</v>
      </c>
      <c r="AP901" s="46">
        <f>(打分卡!$D$12*AH901+打分卡!$D$13*AI901+打分卡!$D$14*AJ901+打分卡!$D$15*AK901)/5</f>
        <v>15.2</v>
      </c>
      <c r="AQ901" s="46">
        <f>(打分卡!$D$16*AL901+打分卡!$D$17*AM901)/5</f>
        <v>6.8</v>
      </c>
      <c r="AR901" s="48">
        <f t="shared" si="114"/>
        <v>41.2</v>
      </c>
      <c r="AS901" s="45" t="str">
        <f t="shared" si="115"/>
        <v>腰部</v>
      </c>
      <c r="AT901" s="45" t="str">
        <f t="shared" si="116"/>
        <v/>
      </c>
      <c r="AU901" s="45" t="str">
        <f t="shared" si="117"/>
        <v>拉·主攻：主推AI外呼+大促作战包</v>
      </c>
    </row>
    <row r="902" ht="15" customHeight="1" spans="1:47">
      <c r="A902" s="30" t="s">
        <v>2529</v>
      </c>
      <c r="B902" s="31" t="s">
        <v>2530</v>
      </c>
      <c r="C902" s="31" t="s">
        <v>189</v>
      </c>
      <c r="D902" s="31" t="s">
        <v>196</v>
      </c>
      <c r="E902" s="31" t="s">
        <v>197</v>
      </c>
      <c r="F902" s="30" t="s">
        <v>1683</v>
      </c>
      <c r="G902" s="31">
        <v>14</v>
      </c>
      <c r="H902" s="31" t="s">
        <v>301</v>
      </c>
      <c r="I902" s="31" t="s">
        <v>302</v>
      </c>
      <c r="J902" s="33">
        <v>7100</v>
      </c>
      <c r="K902" s="33">
        <v>3400</v>
      </c>
      <c r="L902" s="33">
        <v>600</v>
      </c>
      <c r="M902" s="33">
        <f t="shared" si="112"/>
        <v>11100</v>
      </c>
      <c r="N902" s="34">
        <f t="shared" si="118"/>
        <v>5.81933024227287e-5</v>
      </c>
      <c r="O902" s="35">
        <f>SUM($M$2:M902)</f>
        <v>189195100</v>
      </c>
      <c r="P902" s="34">
        <f t="shared" si="119"/>
        <v>0.991881772180036</v>
      </c>
      <c r="Q902" s="37">
        <v>1.7</v>
      </c>
      <c r="R902" s="31">
        <v>8</v>
      </c>
      <c r="S902" s="31">
        <v>3</v>
      </c>
      <c r="T902" s="31">
        <v>0</v>
      </c>
      <c r="U902" s="37">
        <v>50.1</v>
      </c>
      <c r="V902" s="31">
        <v>16</v>
      </c>
      <c r="W902" s="31">
        <v>0</v>
      </c>
      <c r="X902" s="38">
        <v>62</v>
      </c>
      <c r="Y902" s="31">
        <v>2</v>
      </c>
      <c r="Z902" s="31">
        <v>1</v>
      </c>
      <c r="AA902" s="31" t="s">
        <v>199</v>
      </c>
      <c r="AB902" s="31" t="s">
        <v>220</v>
      </c>
      <c r="AC902" s="41">
        <f>IFERROR(LOOKUP(M902,打分卡!$F$7:$J$7,打分卡!$K$7:$O$7),1)</f>
        <v>1</v>
      </c>
      <c r="AD902" s="41">
        <f>IFERROR(LOOKUP(S902,打分卡!$F$8:$J$8,打分卡!$K$8:$O$8),1)</f>
        <v>3</v>
      </c>
      <c r="AE902" s="41">
        <f>IFERROR(LOOKUP(T902,打分卡!$F$9:$I$9,打分卡!$K$9:$N$9),1)</f>
        <v>1</v>
      </c>
      <c r="AF902" s="41">
        <f>IFERROR(LOOKUP(Q902,打分卡!$F$10:$J$10,打分卡!$K$10:$O$10),1)</f>
        <v>1</v>
      </c>
      <c r="AG902" s="41">
        <f>IFERROR(LOOKUP(R902,打分卡!$F$11:$J$11,打分卡!$K$11:$O$11),1)</f>
        <v>3</v>
      </c>
      <c r="AH902" s="41">
        <f>IFERROR(LOOKUP(U902,打分卡!$F$12:$J$12,打分卡!$K$12:$O$12),1)</f>
        <v>4</v>
      </c>
      <c r="AI902" s="41">
        <f>IFERROR(LOOKUP(X902,打分卡!$F$13:$J$13,打分卡!$K$13:$O$13),1)</f>
        <v>3</v>
      </c>
      <c r="AJ902" s="41">
        <f>IFERROR(LOOKUP(Y902,打分卡!$F$14:$J$14,打分卡!$K$14:$O$14),1)</f>
        <v>3</v>
      </c>
      <c r="AK902" s="41">
        <f>IFERROR(LOOKUP(W902,打分卡!$F$15:$J$15,打分卡!$K$15:$O$15),1)</f>
        <v>1</v>
      </c>
      <c r="AL902" s="43">
        <f t="shared" si="113"/>
        <v>5</v>
      </c>
      <c r="AM902" s="41">
        <f>IFERROR(LOOKUP(Z902,打分卡!$F$17:$H$17,打分卡!$K$17:$M$17),1)</f>
        <v>3</v>
      </c>
      <c r="AN902" s="44">
        <f>(打分卡!$D$7*AC902+打分卡!$D$8*AD902+打分卡!$D$9*AE902)/5</f>
        <v>11.2</v>
      </c>
      <c r="AO902" s="44">
        <f>(打分卡!$D$10*AF902+打分卡!$D$11*AG902)/5</f>
        <v>8</v>
      </c>
      <c r="AP902" s="44">
        <f>(打分卡!$D$12*AH902+打分卡!$D$13*AI902+打分卡!$D$14*AJ902+打分卡!$D$15*AK902)/5</f>
        <v>18.8</v>
      </c>
      <c r="AQ902" s="44">
        <f>(打分卡!$D$16*AL902+打分卡!$D$17*AM902)/5</f>
        <v>8.4</v>
      </c>
      <c r="AR902" s="47">
        <f t="shared" si="114"/>
        <v>46.4</v>
      </c>
      <c r="AS902" s="43" t="str">
        <f t="shared" si="115"/>
        <v>腰部</v>
      </c>
      <c r="AT902" s="43" t="str">
        <f t="shared" si="116"/>
        <v/>
      </c>
      <c r="AU902" s="43" t="str">
        <f t="shared" si="117"/>
        <v>拉·主攻：主推AI外呼+大促作战包</v>
      </c>
    </row>
    <row r="903" ht="15" customHeight="1" spans="1:47">
      <c r="A903" s="20" t="s">
        <v>2531</v>
      </c>
      <c r="B903" s="22" t="s">
        <v>2532</v>
      </c>
      <c r="C903" s="22" t="s">
        <v>189</v>
      </c>
      <c r="D903" s="22" t="s">
        <v>202</v>
      </c>
      <c r="E903" s="22" t="s">
        <v>197</v>
      </c>
      <c r="F903" s="20" t="s">
        <v>2533</v>
      </c>
      <c r="G903" s="22">
        <v>19</v>
      </c>
      <c r="H903" s="22" t="s">
        <v>301</v>
      </c>
      <c r="I903" s="22" t="s">
        <v>302</v>
      </c>
      <c r="J903" s="36">
        <v>6400</v>
      </c>
      <c r="K903" s="36">
        <v>4000</v>
      </c>
      <c r="L903" s="36">
        <v>600</v>
      </c>
      <c r="M903" s="36">
        <f t="shared" si="112"/>
        <v>11000</v>
      </c>
      <c r="N903" s="34">
        <f t="shared" si="118"/>
        <v>5.76690384369384e-5</v>
      </c>
      <c r="O903" s="35">
        <f>SUM($M$2:M903)</f>
        <v>189206100</v>
      </c>
      <c r="P903" s="34">
        <f t="shared" si="119"/>
        <v>0.991939441218473</v>
      </c>
      <c r="Q903" s="39">
        <v>1</v>
      </c>
      <c r="R903" s="22">
        <v>9</v>
      </c>
      <c r="S903" s="22">
        <v>2</v>
      </c>
      <c r="T903" s="22">
        <v>2</v>
      </c>
      <c r="U903" s="39">
        <v>1.6</v>
      </c>
      <c r="V903" s="22">
        <v>25</v>
      </c>
      <c r="W903" s="22">
        <v>1</v>
      </c>
      <c r="X903" s="40">
        <v>52</v>
      </c>
      <c r="Y903" s="22">
        <v>2</v>
      </c>
      <c r="Z903" s="22">
        <v>1</v>
      </c>
      <c r="AA903" s="22" t="s">
        <v>199</v>
      </c>
      <c r="AB903" s="22" t="s">
        <v>220</v>
      </c>
      <c r="AC903" s="42">
        <f>IFERROR(LOOKUP(M903,打分卡!$F$7:$J$7,打分卡!$K$7:$O$7),1)</f>
        <v>1</v>
      </c>
      <c r="AD903" s="42">
        <f>IFERROR(LOOKUP(S903,打分卡!$F$8:$J$8,打分卡!$K$8:$O$8),1)</f>
        <v>2</v>
      </c>
      <c r="AE903" s="42">
        <f>IFERROR(LOOKUP(T903,打分卡!$F$9:$I$9,打分卡!$K$9:$N$9),1)</f>
        <v>3</v>
      </c>
      <c r="AF903" s="42">
        <f>IFERROR(LOOKUP(Q903,打分卡!$F$10:$J$10,打分卡!$K$10:$O$10),1)</f>
        <v>1</v>
      </c>
      <c r="AG903" s="42">
        <f>IFERROR(LOOKUP(R903,打分卡!$F$11:$J$11,打分卡!$K$11:$O$11),1)</f>
        <v>4</v>
      </c>
      <c r="AH903" s="42">
        <f>IFERROR(LOOKUP(U903,打分卡!$F$12:$J$12,打分卡!$K$12:$O$12),1)</f>
        <v>1</v>
      </c>
      <c r="AI903" s="42">
        <f>IFERROR(LOOKUP(X903,打分卡!$F$13:$J$13,打分卡!$K$13:$O$13),1)</f>
        <v>3</v>
      </c>
      <c r="AJ903" s="42">
        <f>IFERROR(LOOKUP(Y903,打分卡!$F$14:$J$14,打分卡!$K$14:$O$14),1)</f>
        <v>3</v>
      </c>
      <c r="AK903" s="42">
        <f>IFERROR(LOOKUP(W903,打分卡!$F$15:$J$15,打分卡!$K$15:$O$15),1)</f>
        <v>2</v>
      </c>
      <c r="AL903" s="45">
        <f t="shared" si="113"/>
        <v>5</v>
      </c>
      <c r="AM903" s="42">
        <f>IFERROR(LOOKUP(Z903,打分卡!$F$17:$H$17,打分卡!$K$17:$M$17),1)</f>
        <v>3</v>
      </c>
      <c r="AN903" s="46">
        <f>(打分卡!$D$7*AC903+打分卡!$D$8*AD903+打分卡!$D$9*AE903)/5</f>
        <v>12.4</v>
      </c>
      <c r="AO903" s="46">
        <f>(打分卡!$D$10*AF903+打分卡!$D$11*AG903)/5</f>
        <v>10</v>
      </c>
      <c r="AP903" s="46">
        <f>(打分卡!$D$12*AH903+打分卡!$D$13*AI903+打分卡!$D$14*AJ903+打分卡!$D$15*AK903)/5</f>
        <v>12.4</v>
      </c>
      <c r="AQ903" s="46">
        <f>(打分卡!$D$16*AL903+打分卡!$D$17*AM903)/5</f>
        <v>8.4</v>
      </c>
      <c r="AR903" s="48">
        <f t="shared" si="114"/>
        <v>43.2</v>
      </c>
      <c r="AS903" s="45" t="str">
        <f t="shared" si="115"/>
        <v>腰部</v>
      </c>
      <c r="AT903" s="45" t="str">
        <f t="shared" si="116"/>
        <v/>
      </c>
      <c r="AU903" s="45" t="str">
        <f t="shared" si="117"/>
        <v>拉·主攻：主推AI外呼+大促作战包</v>
      </c>
    </row>
    <row r="904" ht="15" customHeight="1" spans="1:47">
      <c r="A904" s="30" t="s">
        <v>2534</v>
      </c>
      <c r="B904" s="31" t="s">
        <v>2535</v>
      </c>
      <c r="C904" s="31" t="s">
        <v>179</v>
      </c>
      <c r="D904" s="31" t="s">
        <v>190</v>
      </c>
      <c r="E904" s="31" t="s">
        <v>181</v>
      </c>
      <c r="F904" s="30" t="s">
        <v>1791</v>
      </c>
      <c r="G904" s="31">
        <v>23</v>
      </c>
      <c r="H904" s="31" t="s">
        <v>183</v>
      </c>
      <c r="I904" s="31" t="s">
        <v>302</v>
      </c>
      <c r="J904" s="33">
        <v>7200</v>
      </c>
      <c r="K904" s="33">
        <v>2300</v>
      </c>
      <c r="L904" s="33">
        <v>1700</v>
      </c>
      <c r="M904" s="33">
        <f t="shared" si="112"/>
        <v>11200</v>
      </c>
      <c r="N904" s="34">
        <f t="shared" si="118"/>
        <v>5.87175664085191e-5</v>
      </c>
      <c r="O904" s="35">
        <f>SUM($M$2:M904)</f>
        <v>189217300</v>
      </c>
      <c r="P904" s="34">
        <f t="shared" si="119"/>
        <v>0.991998158784882</v>
      </c>
      <c r="Q904" s="37">
        <v>1.4</v>
      </c>
      <c r="R904" s="31">
        <v>9</v>
      </c>
      <c r="S904" s="31">
        <v>3</v>
      </c>
      <c r="T904" s="31">
        <v>0</v>
      </c>
      <c r="U904" s="37">
        <v>2.5</v>
      </c>
      <c r="V904" s="31">
        <v>18</v>
      </c>
      <c r="W904" s="31">
        <v>3</v>
      </c>
      <c r="X904" s="38">
        <v>28</v>
      </c>
      <c r="Y904" s="31">
        <v>3</v>
      </c>
      <c r="Z904" s="31">
        <v>0</v>
      </c>
      <c r="AA904" s="31" t="s">
        <v>185</v>
      </c>
      <c r="AB904" s="31" t="s">
        <v>220</v>
      </c>
      <c r="AC904" s="41">
        <f>IFERROR(LOOKUP(M904,打分卡!$F$7:$J$7,打分卡!$K$7:$O$7),1)</f>
        <v>1</v>
      </c>
      <c r="AD904" s="41">
        <f>IFERROR(LOOKUP(S904,打分卡!$F$8:$J$8,打分卡!$K$8:$O$8),1)</f>
        <v>3</v>
      </c>
      <c r="AE904" s="41">
        <f>IFERROR(LOOKUP(T904,打分卡!$F$9:$I$9,打分卡!$K$9:$N$9),1)</f>
        <v>1</v>
      </c>
      <c r="AF904" s="41">
        <f>IFERROR(LOOKUP(Q904,打分卡!$F$10:$J$10,打分卡!$K$10:$O$10),1)</f>
        <v>1</v>
      </c>
      <c r="AG904" s="41">
        <f>IFERROR(LOOKUP(R904,打分卡!$F$11:$J$11,打分卡!$K$11:$O$11),1)</f>
        <v>4</v>
      </c>
      <c r="AH904" s="41">
        <f>IFERROR(LOOKUP(U904,打分卡!$F$12:$J$12,打分卡!$K$12:$O$12),1)</f>
        <v>1</v>
      </c>
      <c r="AI904" s="41">
        <f>IFERROR(LOOKUP(X904,打分卡!$F$13:$J$13,打分卡!$K$13:$O$13),1)</f>
        <v>2</v>
      </c>
      <c r="AJ904" s="41">
        <f>IFERROR(LOOKUP(Y904,打分卡!$F$14:$J$14,打分卡!$K$14:$O$14),1)</f>
        <v>4</v>
      </c>
      <c r="AK904" s="41">
        <f>IFERROR(LOOKUP(W904,打分卡!$F$15:$J$15,打分卡!$K$15:$O$15),1)</f>
        <v>3</v>
      </c>
      <c r="AL904" s="43">
        <f t="shared" si="113"/>
        <v>3</v>
      </c>
      <c r="AM904" s="41">
        <f>IFERROR(LOOKUP(Z904,打分卡!$F$17:$H$17,打分卡!$K$17:$M$17),1)</f>
        <v>1</v>
      </c>
      <c r="AN904" s="44">
        <f>(打分卡!$D$7*AC904+打分卡!$D$8*AD904+打分卡!$D$9*AE904)/5</f>
        <v>11.2</v>
      </c>
      <c r="AO904" s="44">
        <f>(打分卡!$D$10*AF904+打分卡!$D$11*AG904)/5</f>
        <v>10</v>
      </c>
      <c r="AP904" s="44">
        <f>(打分卡!$D$12*AH904+打分卡!$D$13*AI904+打分卡!$D$14*AJ904+打分卡!$D$15*AK904)/5</f>
        <v>12.8</v>
      </c>
      <c r="AQ904" s="44">
        <f>(打分卡!$D$16*AL904+打分卡!$D$17*AM904)/5</f>
        <v>4.4</v>
      </c>
      <c r="AR904" s="47">
        <f t="shared" si="114"/>
        <v>38.4</v>
      </c>
      <c r="AS904" s="43" t="str">
        <f t="shared" si="115"/>
        <v>基础长尾</v>
      </c>
      <c r="AT904" s="43" t="str">
        <f t="shared" si="116"/>
        <v/>
      </c>
      <c r="AU904" s="43" t="str">
        <f t="shared" si="117"/>
        <v>激活：企微+Push低成本先跑</v>
      </c>
    </row>
    <row r="905" ht="15" customHeight="1" spans="1:47">
      <c r="A905" s="20" t="s">
        <v>2536</v>
      </c>
      <c r="B905" s="22" t="s">
        <v>2537</v>
      </c>
      <c r="C905" s="22" t="s">
        <v>218</v>
      </c>
      <c r="D905" s="22" t="s">
        <v>235</v>
      </c>
      <c r="E905" s="22" t="s">
        <v>197</v>
      </c>
      <c r="F905" s="20" t="s">
        <v>2538</v>
      </c>
      <c r="G905" s="22">
        <v>7</v>
      </c>
      <c r="H905" s="22" t="s">
        <v>301</v>
      </c>
      <c r="I905" s="22" t="s">
        <v>184</v>
      </c>
      <c r="J905" s="36">
        <v>5300</v>
      </c>
      <c r="K905" s="36">
        <v>2500</v>
      </c>
      <c r="L905" s="36">
        <v>3300</v>
      </c>
      <c r="M905" s="36">
        <f t="shared" si="112"/>
        <v>11100</v>
      </c>
      <c r="N905" s="34">
        <f t="shared" si="118"/>
        <v>5.81933024227287e-5</v>
      </c>
      <c r="O905" s="35">
        <f>SUM($M$2:M905)</f>
        <v>189228400</v>
      </c>
      <c r="P905" s="34">
        <f t="shared" si="119"/>
        <v>0.992056352087305</v>
      </c>
      <c r="Q905" s="39">
        <v>1.6</v>
      </c>
      <c r="R905" s="22">
        <v>3</v>
      </c>
      <c r="S905" s="22">
        <v>2</v>
      </c>
      <c r="T905" s="22">
        <v>2</v>
      </c>
      <c r="U905" s="39">
        <v>1.3</v>
      </c>
      <c r="V905" s="22">
        <v>27</v>
      </c>
      <c r="W905" s="22">
        <v>2</v>
      </c>
      <c r="X905" s="40">
        <v>97</v>
      </c>
      <c r="Y905" s="22">
        <v>2</v>
      </c>
      <c r="Z905" s="22">
        <v>0</v>
      </c>
      <c r="AA905" s="22" t="s">
        <v>199</v>
      </c>
      <c r="AB905" s="22" t="s">
        <v>220</v>
      </c>
      <c r="AC905" s="42">
        <f>IFERROR(LOOKUP(M905,打分卡!$F$7:$J$7,打分卡!$K$7:$O$7),1)</f>
        <v>1</v>
      </c>
      <c r="AD905" s="42">
        <f>IFERROR(LOOKUP(S905,打分卡!$F$8:$J$8,打分卡!$K$8:$O$8),1)</f>
        <v>2</v>
      </c>
      <c r="AE905" s="42">
        <f>IFERROR(LOOKUP(T905,打分卡!$F$9:$I$9,打分卡!$K$9:$N$9),1)</f>
        <v>3</v>
      </c>
      <c r="AF905" s="42">
        <f>IFERROR(LOOKUP(Q905,打分卡!$F$10:$J$10,打分卡!$K$10:$O$10),1)</f>
        <v>1</v>
      </c>
      <c r="AG905" s="42">
        <f>IFERROR(LOOKUP(R905,打分卡!$F$11:$J$11,打分卡!$K$11:$O$11),1)</f>
        <v>2</v>
      </c>
      <c r="AH905" s="42">
        <f>IFERROR(LOOKUP(U905,打分卡!$F$12:$J$12,打分卡!$K$12:$O$12),1)</f>
        <v>1</v>
      </c>
      <c r="AI905" s="42">
        <f>IFERROR(LOOKUP(X905,打分卡!$F$13:$J$13,打分卡!$K$13:$O$13),1)</f>
        <v>4</v>
      </c>
      <c r="AJ905" s="42">
        <f>IFERROR(LOOKUP(Y905,打分卡!$F$14:$J$14,打分卡!$K$14:$O$14),1)</f>
        <v>3</v>
      </c>
      <c r="AK905" s="42">
        <f>IFERROR(LOOKUP(W905,打分卡!$F$15:$J$15,打分卡!$K$15:$O$15),1)</f>
        <v>2</v>
      </c>
      <c r="AL905" s="45">
        <f t="shared" si="113"/>
        <v>5</v>
      </c>
      <c r="AM905" s="42">
        <f>IFERROR(LOOKUP(Z905,打分卡!$F$17:$H$17,打分卡!$K$17:$M$17),1)</f>
        <v>1</v>
      </c>
      <c r="AN905" s="46">
        <f>(打分卡!$D$7*AC905+打分卡!$D$8*AD905+打分卡!$D$9*AE905)/5</f>
        <v>12.4</v>
      </c>
      <c r="AO905" s="46">
        <f>(打分卡!$D$10*AF905+打分卡!$D$11*AG905)/5</f>
        <v>6</v>
      </c>
      <c r="AP905" s="46">
        <f>(打分卡!$D$12*AH905+打分卡!$D$13*AI905+打分卡!$D$14*AJ905+打分卡!$D$15*AK905)/5</f>
        <v>14</v>
      </c>
      <c r="AQ905" s="46">
        <f>(打分卡!$D$16*AL905+打分卡!$D$17*AM905)/5</f>
        <v>6.8</v>
      </c>
      <c r="AR905" s="48">
        <f t="shared" si="114"/>
        <v>39.2</v>
      </c>
      <c r="AS905" s="45" t="str">
        <f t="shared" si="115"/>
        <v>基础长尾</v>
      </c>
      <c r="AT905" s="45" t="str">
        <f t="shared" si="116"/>
        <v/>
      </c>
      <c r="AU905" s="45" t="str">
        <f t="shared" si="117"/>
        <v>激活：企微+Push低成本先跑</v>
      </c>
    </row>
    <row r="906" ht="15" customHeight="1" spans="1:47">
      <c r="A906" s="30" t="s">
        <v>2539</v>
      </c>
      <c r="B906" s="31" t="s">
        <v>2540</v>
      </c>
      <c r="C906" s="31" t="s">
        <v>179</v>
      </c>
      <c r="D906" s="31" t="s">
        <v>202</v>
      </c>
      <c r="E906" s="31" t="s">
        <v>181</v>
      </c>
      <c r="F906" s="30" t="s">
        <v>982</v>
      </c>
      <c r="G906" s="31">
        <v>22</v>
      </c>
      <c r="H906" s="31" t="s">
        <v>301</v>
      </c>
      <c r="I906" s="31" t="s">
        <v>302</v>
      </c>
      <c r="J906" s="33">
        <v>6100</v>
      </c>
      <c r="K906" s="33">
        <v>2700</v>
      </c>
      <c r="L906" s="33">
        <v>2200</v>
      </c>
      <c r="M906" s="33">
        <f t="shared" si="112"/>
        <v>11000</v>
      </c>
      <c r="N906" s="34">
        <f t="shared" si="118"/>
        <v>5.76690384369384e-5</v>
      </c>
      <c r="O906" s="35">
        <f>SUM($M$2:M906)</f>
        <v>189239400</v>
      </c>
      <c r="P906" s="34">
        <f t="shared" si="119"/>
        <v>0.992114021125742</v>
      </c>
      <c r="Q906" s="37">
        <v>0.9</v>
      </c>
      <c r="R906" s="31">
        <v>4</v>
      </c>
      <c r="S906" s="31">
        <v>3</v>
      </c>
      <c r="T906" s="31">
        <v>2</v>
      </c>
      <c r="U906" s="37">
        <v>2.9</v>
      </c>
      <c r="V906" s="31">
        <v>25</v>
      </c>
      <c r="W906" s="31">
        <v>4</v>
      </c>
      <c r="X906" s="38">
        <v>69</v>
      </c>
      <c r="Y906" s="31">
        <v>2</v>
      </c>
      <c r="Z906" s="31">
        <v>1</v>
      </c>
      <c r="AA906" s="31" t="s">
        <v>185</v>
      </c>
      <c r="AB906" s="31" t="s">
        <v>220</v>
      </c>
      <c r="AC906" s="41">
        <f>IFERROR(LOOKUP(M906,打分卡!$F$7:$J$7,打分卡!$K$7:$O$7),1)</f>
        <v>1</v>
      </c>
      <c r="AD906" s="41">
        <f>IFERROR(LOOKUP(S906,打分卡!$F$8:$J$8,打分卡!$K$8:$O$8),1)</f>
        <v>3</v>
      </c>
      <c r="AE906" s="41">
        <f>IFERROR(LOOKUP(T906,打分卡!$F$9:$I$9,打分卡!$K$9:$N$9),1)</f>
        <v>3</v>
      </c>
      <c r="AF906" s="41">
        <f>IFERROR(LOOKUP(Q906,打分卡!$F$10:$J$10,打分卡!$K$10:$O$10),1)</f>
        <v>1</v>
      </c>
      <c r="AG906" s="41">
        <f>IFERROR(LOOKUP(R906,打分卡!$F$11:$J$11,打分卡!$K$11:$O$11),1)</f>
        <v>2</v>
      </c>
      <c r="AH906" s="41">
        <f>IFERROR(LOOKUP(U906,打分卡!$F$12:$J$12,打分卡!$K$12:$O$12),1)</f>
        <v>2</v>
      </c>
      <c r="AI906" s="41">
        <f>IFERROR(LOOKUP(X906,打分卡!$F$13:$J$13,打分卡!$K$13:$O$13),1)</f>
        <v>3</v>
      </c>
      <c r="AJ906" s="41">
        <f>IFERROR(LOOKUP(Y906,打分卡!$F$14:$J$14,打分卡!$K$14:$O$14),1)</f>
        <v>3</v>
      </c>
      <c r="AK906" s="41">
        <f>IFERROR(LOOKUP(W906,打分卡!$F$15:$J$15,打分卡!$K$15:$O$15),1)</f>
        <v>3</v>
      </c>
      <c r="AL906" s="43">
        <f t="shared" si="113"/>
        <v>3</v>
      </c>
      <c r="AM906" s="41">
        <f>IFERROR(LOOKUP(Z906,打分卡!$F$17:$H$17,打分卡!$K$17:$M$17),1)</f>
        <v>3</v>
      </c>
      <c r="AN906" s="44">
        <f>(打分卡!$D$7*AC906+打分卡!$D$8*AD906+打分卡!$D$9*AE906)/5</f>
        <v>14</v>
      </c>
      <c r="AO906" s="44">
        <f>(打分卡!$D$10*AF906+打分卡!$D$11*AG906)/5</f>
        <v>6</v>
      </c>
      <c r="AP906" s="44">
        <f>(打分卡!$D$12*AH906+打分卡!$D$13*AI906+打分卡!$D$14*AJ906+打分卡!$D$15*AK906)/5</f>
        <v>15.6</v>
      </c>
      <c r="AQ906" s="44">
        <f>(打分卡!$D$16*AL906+打分卡!$D$17*AM906)/5</f>
        <v>6</v>
      </c>
      <c r="AR906" s="47">
        <f t="shared" si="114"/>
        <v>41.6</v>
      </c>
      <c r="AS906" s="43" t="str">
        <f t="shared" si="115"/>
        <v>腰部</v>
      </c>
      <c r="AT906" s="43" t="str">
        <f t="shared" si="116"/>
        <v/>
      </c>
      <c r="AU906" s="43" t="str">
        <f t="shared" si="117"/>
        <v>拉·主攻：主推AI外呼+大促作战包</v>
      </c>
    </row>
    <row r="907" ht="15" customHeight="1" spans="1:47">
      <c r="A907" s="20" t="s">
        <v>2541</v>
      </c>
      <c r="B907" s="22" t="s">
        <v>2542</v>
      </c>
      <c r="C907" s="22" t="s">
        <v>239</v>
      </c>
      <c r="D907" s="22" t="s">
        <v>202</v>
      </c>
      <c r="E907" s="22" t="s">
        <v>197</v>
      </c>
      <c r="F907" s="20" t="s">
        <v>693</v>
      </c>
      <c r="G907" s="22">
        <v>9</v>
      </c>
      <c r="H907" s="22" t="s">
        <v>301</v>
      </c>
      <c r="I907" s="22" t="s">
        <v>302</v>
      </c>
      <c r="J907" s="36">
        <v>5600</v>
      </c>
      <c r="K907" s="36">
        <v>3600</v>
      </c>
      <c r="L907" s="36">
        <v>1800</v>
      </c>
      <c r="M907" s="36">
        <f t="shared" si="112"/>
        <v>11000</v>
      </c>
      <c r="N907" s="34">
        <f t="shared" si="118"/>
        <v>5.76690384369384e-5</v>
      </c>
      <c r="O907" s="35">
        <f>SUM($M$2:M907)</f>
        <v>189250400</v>
      </c>
      <c r="P907" s="34">
        <f t="shared" si="119"/>
        <v>0.992171690164178</v>
      </c>
      <c r="Q907" s="39">
        <v>1.1</v>
      </c>
      <c r="R907" s="22">
        <v>10</v>
      </c>
      <c r="S907" s="22">
        <v>2</v>
      </c>
      <c r="T907" s="22">
        <v>0</v>
      </c>
      <c r="U907" s="39">
        <v>26.1</v>
      </c>
      <c r="V907" s="22">
        <v>3</v>
      </c>
      <c r="W907" s="22">
        <v>3</v>
      </c>
      <c r="X907" s="40">
        <v>20</v>
      </c>
      <c r="Y907" s="22">
        <v>2</v>
      </c>
      <c r="Z907" s="22">
        <v>0</v>
      </c>
      <c r="AA907" s="22" t="s">
        <v>199</v>
      </c>
      <c r="AB907" s="22" t="s">
        <v>220</v>
      </c>
      <c r="AC907" s="42">
        <f>IFERROR(LOOKUP(M907,打分卡!$F$7:$J$7,打分卡!$K$7:$O$7),1)</f>
        <v>1</v>
      </c>
      <c r="AD907" s="42">
        <f>IFERROR(LOOKUP(S907,打分卡!$F$8:$J$8,打分卡!$K$8:$O$8),1)</f>
        <v>2</v>
      </c>
      <c r="AE907" s="42">
        <f>IFERROR(LOOKUP(T907,打分卡!$F$9:$I$9,打分卡!$K$9:$N$9),1)</f>
        <v>1</v>
      </c>
      <c r="AF907" s="42">
        <f>IFERROR(LOOKUP(Q907,打分卡!$F$10:$J$10,打分卡!$K$10:$O$10),1)</f>
        <v>1</v>
      </c>
      <c r="AG907" s="42">
        <f>IFERROR(LOOKUP(R907,打分卡!$F$11:$J$11,打分卡!$K$11:$O$11),1)</f>
        <v>4</v>
      </c>
      <c r="AH907" s="42">
        <f>IFERROR(LOOKUP(U907,打分卡!$F$12:$J$12,打分卡!$K$12:$O$12),1)</f>
        <v>3</v>
      </c>
      <c r="AI907" s="42">
        <f>IFERROR(LOOKUP(X907,打分卡!$F$13:$J$13,打分卡!$K$13:$O$13),1)</f>
        <v>2</v>
      </c>
      <c r="AJ907" s="42">
        <f>IFERROR(LOOKUP(Y907,打分卡!$F$14:$J$14,打分卡!$K$14:$O$14),1)</f>
        <v>3</v>
      </c>
      <c r="AK907" s="42">
        <f>IFERROR(LOOKUP(W907,打分卡!$F$15:$J$15,打分卡!$K$15:$O$15),1)</f>
        <v>3</v>
      </c>
      <c r="AL907" s="45">
        <f t="shared" si="113"/>
        <v>5</v>
      </c>
      <c r="AM907" s="42">
        <f>IFERROR(LOOKUP(Z907,打分卡!$F$17:$H$17,打分卡!$K$17:$M$17),1)</f>
        <v>1</v>
      </c>
      <c r="AN907" s="46">
        <f>(打分卡!$D$7*AC907+打分卡!$D$8*AD907+打分卡!$D$9*AE907)/5</f>
        <v>9.6</v>
      </c>
      <c r="AO907" s="46">
        <f>(打分卡!$D$10*AF907+打分卡!$D$11*AG907)/5</f>
        <v>10</v>
      </c>
      <c r="AP907" s="46">
        <f>(打分卡!$D$12*AH907+打分卡!$D$13*AI907+打分卡!$D$14*AJ907+打分卡!$D$15*AK907)/5</f>
        <v>16.4</v>
      </c>
      <c r="AQ907" s="46">
        <f>(打分卡!$D$16*AL907+打分卡!$D$17*AM907)/5</f>
        <v>6.8</v>
      </c>
      <c r="AR907" s="48">
        <f t="shared" si="114"/>
        <v>42.8</v>
      </c>
      <c r="AS907" s="45" t="str">
        <f t="shared" si="115"/>
        <v>腰部</v>
      </c>
      <c r="AT907" s="45" t="str">
        <f t="shared" si="116"/>
        <v/>
      </c>
      <c r="AU907" s="45" t="str">
        <f t="shared" si="117"/>
        <v>拉·主攻：主推AI外呼+大促作战包</v>
      </c>
    </row>
    <row r="908" ht="15" customHeight="1" spans="1:47">
      <c r="A908" s="30" t="s">
        <v>2543</v>
      </c>
      <c r="B908" s="31" t="s">
        <v>2544</v>
      </c>
      <c r="C908" s="31" t="s">
        <v>189</v>
      </c>
      <c r="D908" s="31" t="s">
        <v>202</v>
      </c>
      <c r="E908" s="31" t="s">
        <v>181</v>
      </c>
      <c r="F908" s="30" t="s">
        <v>902</v>
      </c>
      <c r="G908" s="31">
        <v>23</v>
      </c>
      <c r="H908" s="31" t="s">
        <v>301</v>
      </c>
      <c r="I908" s="31" t="s">
        <v>302</v>
      </c>
      <c r="J908" s="33">
        <v>5800</v>
      </c>
      <c r="K908" s="33">
        <v>3300</v>
      </c>
      <c r="L908" s="33">
        <v>2000</v>
      </c>
      <c r="M908" s="33">
        <f t="shared" si="112"/>
        <v>11100</v>
      </c>
      <c r="N908" s="34">
        <f t="shared" si="118"/>
        <v>5.81933024227287e-5</v>
      </c>
      <c r="O908" s="35">
        <f>SUM($M$2:M908)</f>
        <v>189261500</v>
      </c>
      <c r="P908" s="34">
        <f t="shared" si="119"/>
        <v>0.992229883466601</v>
      </c>
      <c r="Q908" s="37">
        <v>1.6</v>
      </c>
      <c r="R908" s="31">
        <v>7</v>
      </c>
      <c r="S908" s="31">
        <v>1</v>
      </c>
      <c r="T908" s="31">
        <v>0</v>
      </c>
      <c r="U908" s="37">
        <v>1.6</v>
      </c>
      <c r="V908" s="31">
        <v>21</v>
      </c>
      <c r="W908" s="31">
        <v>4</v>
      </c>
      <c r="X908" s="38">
        <v>27</v>
      </c>
      <c r="Y908" s="31">
        <v>0</v>
      </c>
      <c r="Z908" s="31">
        <v>0</v>
      </c>
      <c r="AA908" s="31" t="s">
        <v>199</v>
      </c>
      <c r="AB908" s="31" t="s">
        <v>220</v>
      </c>
      <c r="AC908" s="41">
        <f>IFERROR(LOOKUP(M908,打分卡!$F$7:$J$7,打分卡!$K$7:$O$7),1)</f>
        <v>1</v>
      </c>
      <c r="AD908" s="41">
        <f>IFERROR(LOOKUP(S908,打分卡!$F$8:$J$8,打分卡!$K$8:$O$8),1)</f>
        <v>1</v>
      </c>
      <c r="AE908" s="41">
        <f>IFERROR(LOOKUP(T908,打分卡!$F$9:$I$9,打分卡!$K$9:$N$9),1)</f>
        <v>1</v>
      </c>
      <c r="AF908" s="41">
        <f>IFERROR(LOOKUP(Q908,打分卡!$F$10:$J$10,打分卡!$K$10:$O$10),1)</f>
        <v>1</v>
      </c>
      <c r="AG908" s="41">
        <f>IFERROR(LOOKUP(R908,打分卡!$F$11:$J$11,打分卡!$K$11:$O$11),1)</f>
        <v>3</v>
      </c>
      <c r="AH908" s="41">
        <f>IFERROR(LOOKUP(U908,打分卡!$F$12:$J$12,打分卡!$K$12:$O$12),1)</f>
        <v>1</v>
      </c>
      <c r="AI908" s="41">
        <f>IFERROR(LOOKUP(X908,打分卡!$F$13:$J$13,打分卡!$K$13:$O$13),1)</f>
        <v>2</v>
      </c>
      <c r="AJ908" s="41">
        <f>IFERROR(LOOKUP(Y908,打分卡!$F$14:$J$14,打分卡!$K$14:$O$14),1)</f>
        <v>1</v>
      </c>
      <c r="AK908" s="41">
        <f>IFERROR(LOOKUP(W908,打分卡!$F$15:$J$15,打分卡!$K$15:$O$15),1)</f>
        <v>3</v>
      </c>
      <c r="AL908" s="43">
        <f t="shared" si="113"/>
        <v>5</v>
      </c>
      <c r="AM908" s="41">
        <f>IFERROR(LOOKUP(Z908,打分卡!$F$17:$H$17,打分卡!$K$17:$M$17),1)</f>
        <v>1</v>
      </c>
      <c r="AN908" s="44">
        <f>(打分卡!$D$7*AC908+打分卡!$D$8*AD908+打分卡!$D$9*AE908)/5</f>
        <v>8</v>
      </c>
      <c r="AO908" s="44">
        <f>(打分卡!$D$10*AF908+打分卡!$D$11*AG908)/5</f>
        <v>8</v>
      </c>
      <c r="AP908" s="44">
        <f>(打分卡!$D$12*AH908+打分卡!$D$13*AI908+打分卡!$D$14*AJ908+打分卡!$D$15*AK908)/5</f>
        <v>9.2</v>
      </c>
      <c r="AQ908" s="44">
        <f>(打分卡!$D$16*AL908+打分卡!$D$17*AM908)/5</f>
        <v>6.8</v>
      </c>
      <c r="AR908" s="47">
        <f t="shared" si="114"/>
        <v>32</v>
      </c>
      <c r="AS908" s="43" t="str">
        <f t="shared" si="115"/>
        <v>基础长尾</v>
      </c>
      <c r="AT908" s="43" t="str">
        <f t="shared" si="116"/>
        <v/>
      </c>
      <c r="AU908" s="43" t="str">
        <f t="shared" si="117"/>
        <v>激活：企微+Push低成本先跑</v>
      </c>
    </row>
    <row r="909" ht="15" customHeight="1" spans="1:47">
      <c r="A909" s="20" t="s">
        <v>2545</v>
      </c>
      <c r="B909" s="22" t="s">
        <v>2546</v>
      </c>
      <c r="C909" s="22" t="s">
        <v>239</v>
      </c>
      <c r="D909" s="22" t="s">
        <v>227</v>
      </c>
      <c r="E909" s="22" t="s">
        <v>181</v>
      </c>
      <c r="F909" s="20" t="s">
        <v>2547</v>
      </c>
      <c r="G909" s="22">
        <v>14</v>
      </c>
      <c r="H909" s="22" t="s">
        <v>301</v>
      </c>
      <c r="I909" s="22" t="s">
        <v>302</v>
      </c>
      <c r="J909" s="36">
        <v>5400</v>
      </c>
      <c r="K909" s="36">
        <v>2200</v>
      </c>
      <c r="L909" s="36">
        <v>3400</v>
      </c>
      <c r="M909" s="36">
        <f t="shared" si="112"/>
        <v>11000</v>
      </c>
      <c r="N909" s="34">
        <f t="shared" si="118"/>
        <v>5.76690384369384e-5</v>
      </c>
      <c r="O909" s="35">
        <f>SUM($M$2:M909)</f>
        <v>189272500</v>
      </c>
      <c r="P909" s="34">
        <f t="shared" si="119"/>
        <v>0.992287552505038</v>
      </c>
      <c r="Q909" s="39">
        <v>0.9</v>
      </c>
      <c r="R909" s="22">
        <v>5</v>
      </c>
      <c r="S909" s="22">
        <v>2</v>
      </c>
      <c r="T909" s="22">
        <v>2</v>
      </c>
      <c r="U909" s="39">
        <v>65</v>
      </c>
      <c r="V909" s="22">
        <v>27</v>
      </c>
      <c r="W909" s="22">
        <v>2</v>
      </c>
      <c r="X909" s="40">
        <v>48</v>
      </c>
      <c r="Y909" s="22">
        <v>3</v>
      </c>
      <c r="Z909" s="22">
        <v>0</v>
      </c>
      <c r="AA909" s="22" t="s">
        <v>199</v>
      </c>
      <c r="AB909" s="22" t="s">
        <v>220</v>
      </c>
      <c r="AC909" s="42">
        <f>IFERROR(LOOKUP(M909,打分卡!$F$7:$J$7,打分卡!$K$7:$O$7),1)</f>
        <v>1</v>
      </c>
      <c r="AD909" s="42">
        <f>IFERROR(LOOKUP(S909,打分卡!$F$8:$J$8,打分卡!$K$8:$O$8),1)</f>
        <v>2</v>
      </c>
      <c r="AE909" s="42">
        <f>IFERROR(LOOKUP(T909,打分卡!$F$9:$I$9,打分卡!$K$9:$N$9),1)</f>
        <v>3</v>
      </c>
      <c r="AF909" s="42">
        <f>IFERROR(LOOKUP(Q909,打分卡!$F$10:$J$10,打分卡!$K$10:$O$10),1)</f>
        <v>1</v>
      </c>
      <c r="AG909" s="42">
        <f>IFERROR(LOOKUP(R909,打分卡!$F$11:$J$11,打分卡!$K$11:$O$11),1)</f>
        <v>3</v>
      </c>
      <c r="AH909" s="42">
        <f>IFERROR(LOOKUP(U909,打分卡!$F$12:$J$12,打分卡!$K$12:$O$12),1)</f>
        <v>4</v>
      </c>
      <c r="AI909" s="42">
        <f>IFERROR(LOOKUP(X909,打分卡!$F$13:$J$13,打分卡!$K$13:$O$13),1)</f>
        <v>3</v>
      </c>
      <c r="AJ909" s="42">
        <f>IFERROR(LOOKUP(Y909,打分卡!$F$14:$J$14,打分卡!$K$14:$O$14),1)</f>
        <v>4</v>
      </c>
      <c r="AK909" s="42">
        <f>IFERROR(LOOKUP(W909,打分卡!$F$15:$J$15,打分卡!$K$15:$O$15),1)</f>
        <v>2</v>
      </c>
      <c r="AL909" s="45">
        <f t="shared" si="113"/>
        <v>5</v>
      </c>
      <c r="AM909" s="42">
        <f>IFERROR(LOOKUP(Z909,打分卡!$F$17:$H$17,打分卡!$K$17:$M$17),1)</f>
        <v>1</v>
      </c>
      <c r="AN909" s="46">
        <f>(打分卡!$D$7*AC909+打分卡!$D$8*AD909+打分卡!$D$9*AE909)/5</f>
        <v>12.4</v>
      </c>
      <c r="AO909" s="46">
        <f>(打分卡!$D$10*AF909+打分卡!$D$11*AG909)/5</f>
        <v>8</v>
      </c>
      <c r="AP909" s="46">
        <f>(打分卡!$D$12*AH909+打分卡!$D$13*AI909+打分卡!$D$14*AJ909+打分卡!$D$15*AK909)/5</f>
        <v>20.8</v>
      </c>
      <c r="AQ909" s="46">
        <f>(打分卡!$D$16*AL909+打分卡!$D$17*AM909)/5</f>
        <v>6.8</v>
      </c>
      <c r="AR909" s="48">
        <f t="shared" si="114"/>
        <v>48</v>
      </c>
      <c r="AS909" s="45" t="str">
        <f t="shared" si="115"/>
        <v>腰部</v>
      </c>
      <c r="AT909" s="45" t="str">
        <f t="shared" si="116"/>
        <v/>
      </c>
      <c r="AU909" s="45" t="str">
        <f t="shared" si="117"/>
        <v>拉·主攻：主推AI外呼+大促作战包</v>
      </c>
    </row>
    <row r="910" ht="15" customHeight="1" spans="1:47">
      <c r="A910" s="30" t="s">
        <v>2548</v>
      </c>
      <c r="B910" s="31" t="s">
        <v>2549</v>
      </c>
      <c r="C910" s="31" t="s">
        <v>179</v>
      </c>
      <c r="D910" s="31" t="s">
        <v>202</v>
      </c>
      <c r="E910" s="31" t="s">
        <v>181</v>
      </c>
      <c r="F910" s="30" t="s">
        <v>505</v>
      </c>
      <c r="G910" s="31">
        <v>23</v>
      </c>
      <c r="H910" s="31" t="s">
        <v>301</v>
      </c>
      <c r="I910" s="31" t="s">
        <v>302</v>
      </c>
      <c r="J910" s="33">
        <v>6300</v>
      </c>
      <c r="K910" s="33">
        <v>3500</v>
      </c>
      <c r="L910" s="33">
        <v>1100</v>
      </c>
      <c r="M910" s="33">
        <f t="shared" si="112"/>
        <v>10900</v>
      </c>
      <c r="N910" s="34">
        <f t="shared" si="118"/>
        <v>5.7144774451148e-5</v>
      </c>
      <c r="O910" s="35">
        <f>SUM($M$2:M910)</f>
        <v>189283400</v>
      </c>
      <c r="P910" s="34">
        <f t="shared" si="119"/>
        <v>0.992344697279489</v>
      </c>
      <c r="Q910" s="37">
        <v>1.6</v>
      </c>
      <c r="R910" s="31">
        <v>1</v>
      </c>
      <c r="S910" s="31">
        <v>2</v>
      </c>
      <c r="T910" s="31">
        <v>1</v>
      </c>
      <c r="U910" s="37">
        <v>1.2</v>
      </c>
      <c r="V910" s="31">
        <v>10</v>
      </c>
      <c r="W910" s="31">
        <v>0</v>
      </c>
      <c r="X910" s="38">
        <v>125</v>
      </c>
      <c r="Y910" s="31">
        <v>0</v>
      </c>
      <c r="Z910" s="31">
        <v>1</v>
      </c>
      <c r="AA910" s="31" t="s">
        <v>199</v>
      </c>
      <c r="AB910" s="31" t="s">
        <v>220</v>
      </c>
      <c r="AC910" s="41">
        <f>IFERROR(LOOKUP(M910,打分卡!$F$7:$J$7,打分卡!$K$7:$O$7),1)</f>
        <v>1</v>
      </c>
      <c r="AD910" s="41">
        <f>IFERROR(LOOKUP(S910,打分卡!$F$8:$J$8,打分卡!$K$8:$O$8),1)</f>
        <v>2</v>
      </c>
      <c r="AE910" s="41">
        <f>IFERROR(LOOKUP(T910,打分卡!$F$9:$I$9,打分卡!$K$9:$N$9),1)</f>
        <v>2</v>
      </c>
      <c r="AF910" s="41">
        <f>IFERROR(LOOKUP(Q910,打分卡!$F$10:$J$10,打分卡!$K$10:$O$10),1)</f>
        <v>1</v>
      </c>
      <c r="AG910" s="41">
        <f>IFERROR(LOOKUP(R910,打分卡!$F$11:$J$11,打分卡!$K$11:$O$11),1)</f>
        <v>1</v>
      </c>
      <c r="AH910" s="41">
        <f>IFERROR(LOOKUP(U910,打分卡!$F$12:$J$12,打分卡!$K$12:$O$12),1)</f>
        <v>1</v>
      </c>
      <c r="AI910" s="41">
        <f>IFERROR(LOOKUP(X910,打分卡!$F$13:$J$13,打分卡!$K$13:$O$13),1)</f>
        <v>4</v>
      </c>
      <c r="AJ910" s="41">
        <f>IFERROR(LOOKUP(Y910,打分卡!$F$14:$J$14,打分卡!$K$14:$O$14),1)</f>
        <v>1</v>
      </c>
      <c r="AK910" s="41">
        <f>IFERROR(LOOKUP(W910,打分卡!$F$15:$J$15,打分卡!$K$15:$O$15),1)</f>
        <v>1</v>
      </c>
      <c r="AL910" s="43">
        <f t="shared" si="113"/>
        <v>5</v>
      </c>
      <c r="AM910" s="41">
        <f>IFERROR(LOOKUP(Z910,打分卡!$F$17:$H$17,打分卡!$K$17:$M$17),1)</f>
        <v>3</v>
      </c>
      <c r="AN910" s="44">
        <f>(打分卡!$D$7*AC910+打分卡!$D$8*AD910+打分卡!$D$9*AE910)/5</f>
        <v>11</v>
      </c>
      <c r="AO910" s="44">
        <f>(打分卡!$D$10*AF910+打分卡!$D$11*AG910)/5</f>
        <v>4</v>
      </c>
      <c r="AP910" s="44">
        <f>(打分卡!$D$12*AH910+打分卡!$D$13*AI910+打分卡!$D$14*AJ910+打分卡!$D$15*AK910)/5</f>
        <v>10.8</v>
      </c>
      <c r="AQ910" s="44">
        <f>(打分卡!$D$16*AL910+打分卡!$D$17*AM910)/5</f>
        <v>8.4</v>
      </c>
      <c r="AR910" s="47">
        <f t="shared" si="114"/>
        <v>34.2</v>
      </c>
      <c r="AS910" s="43" t="str">
        <f t="shared" si="115"/>
        <v>基础长尾</v>
      </c>
      <c r="AT910" s="43" t="str">
        <f t="shared" si="116"/>
        <v/>
      </c>
      <c r="AU910" s="43" t="str">
        <f t="shared" si="117"/>
        <v>激活：企微+Push低成本先跑</v>
      </c>
    </row>
    <row r="911" ht="15" customHeight="1" spans="1:47">
      <c r="A911" s="20" t="s">
        <v>2550</v>
      </c>
      <c r="B911" s="22" t="s">
        <v>2551</v>
      </c>
      <c r="C911" s="22" t="s">
        <v>179</v>
      </c>
      <c r="D911" s="22" t="s">
        <v>180</v>
      </c>
      <c r="E911" s="22" t="s">
        <v>197</v>
      </c>
      <c r="F911" s="20" t="s">
        <v>1605</v>
      </c>
      <c r="G911" s="22">
        <v>5</v>
      </c>
      <c r="H911" s="22" t="s">
        <v>301</v>
      </c>
      <c r="I911" s="22" t="s">
        <v>184</v>
      </c>
      <c r="J911" s="36">
        <v>5400</v>
      </c>
      <c r="K911" s="36">
        <v>3300</v>
      </c>
      <c r="L911" s="36">
        <v>2100</v>
      </c>
      <c r="M911" s="36">
        <f t="shared" si="112"/>
        <v>10800</v>
      </c>
      <c r="N911" s="34">
        <f t="shared" si="118"/>
        <v>5.66205104653577e-5</v>
      </c>
      <c r="O911" s="35">
        <f>SUM($M$2:M911)</f>
        <v>189294200</v>
      </c>
      <c r="P911" s="34">
        <f t="shared" si="119"/>
        <v>0.992401317789955</v>
      </c>
      <c r="Q911" s="39">
        <v>1.2</v>
      </c>
      <c r="R911" s="22">
        <v>1</v>
      </c>
      <c r="S911" s="22">
        <v>3</v>
      </c>
      <c r="T911" s="22">
        <v>2</v>
      </c>
      <c r="U911" s="39">
        <v>29.9</v>
      </c>
      <c r="V911" s="22">
        <v>16</v>
      </c>
      <c r="W911" s="22">
        <v>0</v>
      </c>
      <c r="X911" s="40">
        <v>41</v>
      </c>
      <c r="Y911" s="22">
        <v>2</v>
      </c>
      <c r="Z911" s="22">
        <v>0</v>
      </c>
      <c r="AA911" s="22" t="s">
        <v>315</v>
      </c>
      <c r="AB911" s="22" t="s">
        <v>220</v>
      </c>
      <c r="AC911" s="42">
        <f>IFERROR(LOOKUP(M911,打分卡!$F$7:$J$7,打分卡!$K$7:$O$7),1)</f>
        <v>1</v>
      </c>
      <c r="AD911" s="42">
        <f>IFERROR(LOOKUP(S911,打分卡!$F$8:$J$8,打分卡!$K$8:$O$8),1)</f>
        <v>3</v>
      </c>
      <c r="AE911" s="42">
        <f>IFERROR(LOOKUP(T911,打分卡!$F$9:$I$9,打分卡!$K$9:$N$9),1)</f>
        <v>3</v>
      </c>
      <c r="AF911" s="42">
        <f>IFERROR(LOOKUP(Q911,打分卡!$F$10:$J$10,打分卡!$K$10:$O$10),1)</f>
        <v>1</v>
      </c>
      <c r="AG911" s="42">
        <f>IFERROR(LOOKUP(R911,打分卡!$F$11:$J$11,打分卡!$K$11:$O$11),1)</f>
        <v>1</v>
      </c>
      <c r="AH911" s="42">
        <f>IFERROR(LOOKUP(U911,打分卡!$F$12:$J$12,打分卡!$K$12:$O$12),1)</f>
        <v>3</v>
      </c>
      <c r="AI911" s="42">
        <f>IFERROR(LOOKUP(X911,打分卡!$F$13:$J$13,打分卡!$K$13:$O$13),1)</f>
        <v>3</v>
      </c>
      <c r="AJ911" s="42">
        <f>IFERROR(LOOKUP(Y911,打分卡!$F$14:$J$14,打分卡!$K$14:$O$14),1)</f>
        <v>3</v>
      </c>
      <c r="AK911" s="42">
        <f>IFERROR(LOOKUP(W911,打分卡!$F$15:$J$15,打分卡!$K$15:$O$15),1)</f>
        <v>1</v>
      </c>
      <c r="AL911" s="45">
        <f t="shared" si="113"/>
        <v>2</v>
      </c>
      <c r="AM911" s="42">
        <f>IFERROR(LOOKUP(Z911,打分卡!$F$17:$H$17,打分卡!$K$17:$M$17),1)</f>
        <v>1</v>
      </c>
      <c r="AN911" s="46">
        <f>(打分卡!$D$7*AC911+打分卡!$D$8*AD911+打分卡!$D$9*AE911)/5</f>
        <v>14</v>
      </c>
      <c r="AO911" s="46">
        <f>(打分卡!$D$10*AF911+打分卡!$D$11*AG911)/5</f>
        <v>4</v>
      </c>
      <c r="AP911" s="46">
        <f>(打分卡!$D$12*AH911+打分卡!$D$13*AI911+打分卡!$D$14*AJ911+打分卡!$D$15*AK911)/5</f>
        <v>16.4</v>
      </c>
      <c r="AQ911" s="46">
        <f>(打分卡!$D$16*AL911+打分卡!$D$17*AM911)/5</f>
        <v>3.2</v>
      </c>
      <c r="AR911" s="48">
        <f t="shared" si="114"/>
        <v>37.6</v>
      </c>
      <c r="AS911" s="45" t="str">
        <f t="shared" si="115"/>
        <v>基础长尾</v>
      </c>
      <c r="AT911" s="45" t="str">
        <f t="shared" si="116"/>
        <v/>
      </c>
      <c r="AU911" s="45" t="str">
        <f t="shared" si="117"/>
        <v>激活：企微+Push低成本先跑</v>
      </c>
    </row>
    <row r="912" ht="15" customHeight="1" spans="1:47">
      <c r="A912" s="30" t="s">
        <v>2552</v>
      </c>
      <c r="B912" s="31" t="s">
        <v>2553</v>
      </c>
      <c r="C912" s="31" t="s">
        <v>179</v>
      </c>
      <c r="D912" s="31" t="s">
        <v>202</v>
      </c>
      <c r="E912" s="31" t="s">
        <v>197</v>
      </c>
      <c r="F912" s="30" t="s">
        <v>1577</v>
      </c>
      <c r="G912" s="31">
        <v>16</v>
      </c>
      <c r="H912" s="31" t="s">
        <v>183</v>
      </c>
      <c r="I912" s="31" t="s">
        <v>302</v>
      </c>
      <c r="J912" s="33">
        <v>5300</v>
      </c>
      <c r="K912" s="33">
        <v>3900</v>
      </c>
      <c r="L912" s="33">
        <v>1700</v>
      </c>
      <c r="M912" s="33">
        <f t="shared" si="112"/>
        <v>10900</v>
      </c>
      <c r="N912" s="34">
        <f t="shared" si="118"/>
        <v>5.7144774451148e-5</v>
      </c>
      <c r="O912" s="35">
        <f>SUM($M$2:M912)</f>
        <v>189305100</v>
      </c>
      <c r="P912" s="34">
        <f t="shared" si="119"/>
        <v>0.992458462564406</v>
      </c>
      <c r="Q912" s="37">
        <v>1.4</v>
      </c>
      <c r="R912" s="31">
        <v>3</v>
      </c>
      <c r="S912" s="31">
        <v>3</v>
      </c>
      <c r="T912" s="31">
        <v>1</v>
      </c>
      <c r="U912" s="37">
        <v>9.9</v>
      </c>
      <c r="V912" s="31">
        <v>3</v>
      </c>
      <c r="W912" s="31">
        <v>4</v>
      </c>
      <c r="X912" s="38">
        <v>83</v>
      </c>
      <c r="Y912" s="31">
        <v>0</v>
      </c>
      <c r="Z912" s="31">
        <v>0</v>
      </c>
      <c r="AA912" s="31" t="s">
        <v>185</v>
      </c>
      <c r="AB912" s="31" t="s">
        <v>220</v>
      </c>
      <c r="AC912" s="41">
        <f>IFERROR(LOOKUP(M912,打分卡!$F$7:$J$7,打分卡!$K$7:$O$7),1)</f>
        <v>1</v>
      </c>
      <c r="AD912" s="41">
        <f>IFERROR(LOOKUP(S912,打分卡!$F$8:$J$8,打分卡!$K$8:$O$8),1)</f>
        <v>3</v>
      </c>
      <c r="AE912" s="41">
        <f>IFERROR(LOOKUP(T912,打分卡!$F$9:$I$9,打分卡!$K$9:$N$9),1)</f>
        <v>2</v>
      </c>
      <c r="AF912" s="41">
        <f>IFERROR(LOOKUP(Q912,打分卡!$F$10:$J$10,打分卡!$K$10:$O$10),1)</f>
        <v>1</v>
      </c>
      <c r="AG912" s="41">
        <f>IFERROR(LOOKUP(R912,打分卡!$F$11:$J$11,打分卡!$K$11:$O$11),1)</f>
        <v>2</v>
      </c>
      <c r="AH912" s="41">
        <f>IFERROR(LOOKUP(U912,打分卡!$F$12:$J$12,打分卡!$K$12:$O$12),1)</f>
        <v>2</v>
      </c>
      <c r="AI912" s="41">
        <f>IFERROR(LOOKUP(X912,打分卡!$F$13:$J$13,打分卡!$K$13:$O$13),1)</f>
        <v>4</v>
      </c>
      <c r="AJ912" s="41">
        <f>IFERROR(LOOKUP(Y912,打分卡!$F$14:$J$14,打分卡!$K$14:$O$14),1)</f>
        <v>1</v>
      </c>
      <c r="AK912" s="41">
        <f>IFERROR(LOOKUP(W912,打分卡!$F$15:$J$15,打分卡!$K$15:$O$15),1)</f>
        <v>3</v>
      </c>
      <c r="AL912" s="43">
        <f t="shared" si="113"/>
        <v>3</v>
      </c>
      <c r="AM912" s="41">
        <f>IFERROR(LOOKUP(Z912,打分卡!$F$17:$H$17,打分卡!$K$17:$M$17),1)</f>
        <v>1</v>
      </c>
      <c r="AN912" s="44">
        <f>(打分卡!$D$7*AC912+打分卡!$D$8*AD912+打分卡!$D$9*AE912)/5</f>
        <v>12.6</v>
      </c>
      <c r="AO912" s="44">
        <f>(打分卡!$D$10*AF912+打分卡!$D$11*AG912)/5</f>
        <v>6</v>
      </c>
      <c r="AP912" s="44">
        <f>(打分卡!$D$12*AH912+打分卡!$D$13*AI912+打分卡!$D$14*AJ912+打分卡!$D$15*AK912)/5</f>
        <v>14.8</v>
      </c>
      <c r="AQ912" s="44">
        <f>(打分卡!$D$16*AL912+打分卡!$D$17*AM912)/5</f>
        <v>4.4</v>
      </c>
      <c r="AR912" s="47">
        <f t="shared" si="114"/>
        <v>37.8</v>
      </c>
      <c r="AS912" s="43" t="str">
        <f t="shared" si="115"/>
        <v>基础长尾</v>
      </c>
      <c r="AT912" s="43" t="str">
        <f t="shared" si="116"/>
        <v/>
      </c>
      <c r="AU912" s="43" t="str">
        <f t="shared" si="117"/>
        <v>激活：企微+Push低成本先跑</v>
      </c>
    </row>
    <row r="913" ht="15" customHeight="1" spans="1:47">
      <c r="A913" s="20" t="s">
        <v>2554</v>
      </c>
      <c r="B913" s="22" t="s">
        <v>2555</v>
      </c>
      <c r="C913" s="22" t="s">
        <v>223</v>
      </c>
      <c r="D913" s="22" t="s">
        <v>227</v>
      </c>
      <c r="E913" s="22" t="s">
        <v>197</v>
      </c>
      <c r="F913" s="20" t="s">
        <v>623</v>
      </c>
      <c r="G913" s="22">
        <v>10</v>
      </c>
      <c r="H913" s="22" t="s">
        <v>301</v>
      </c>
      <c r="I913" s="22" t="s">
        <v>302</v>
      </c>
      <c r="J913" s="36">
        <v>6700</v>
      </c>
      <c r="K913" s="36">
        <v>3000</v>
      </c>
      <c r="L913" s="36">
        <v>1100</v>
      </c>
      <c r="M913" s="36">
        <f t="shared" si="112"/>
        <v>10800</v>
      </c>
      <c r="N913" s="34">
        <f t="shared" si="118"/>
        <v>5.66205104653577e-5</v>
      </c>
      <c r="O913" s="35">
        <f>SUM($M$2:M913)</f>
        <v>189315900</v>
      </c>
      <c r="P913" s="34">
        <f t="shared" si="119"/>
        <v>0.992515083074871</v>
      </c>
      <c r="Q913" s="39">
        <v>0.8</v>
      </c>
      <c r="R913" s="22">
        <v>7</v>
      </c>
      <c r="S913" s="22">
        <v>1</v>
      </c>
      <c r="T913" s="22">
        <v>1</v>
      </c>
      <c r="U913" s="39">
        <v>13.4</v>
      </c>
      <c r="V913" s="22">
        <v>9</v>
      </c>
      <c r="W913" s="22">
        <v>1</v>
      </c>
      <c r="X913" s="40">
        <v>11</v>
      </c>
      <c r="Y913" s="22">
        <v>3</v>
      </c>
      <c r="Z913" s="22">
        <v>0</v>
      </c>
      <c r="AA913" s="22" t="s">
        <v>185</v>
      </c>
      <c r="AB913" s="22" t="s">
        <v>220</v>
      </c>
      <c r="AC913" s="42">
        <f>IFERROR(LOOKUP(M913,打分卡!$F$7:$J$7,打分卡!$K$7:$O$7),1)</f>
        <v>1</v>
      </c>
      <c r="AD913" s="42">
        <f>IFERROR(LOOKUP(S913,打分卡!$F$8:$J$8,打分卡!$K$8:$O$8),1)</f>
        <v>1</v>
      </c>
      <c r="AE913" s="42">
        <f>IFERROR(LOOKUP(T913,打分卡!$F$9:$I$9,打分卡!$K$9:$N$9),1)</f>
        <v>2</v>
      </c>
      <c r="AF913" s="42">
        <f>IFERROR(LOOKUP(Q913,打分卡!$F$10:$J$10,打分卡!$K$10:$O$10),1)</f>
        <v>1</v>
      </c>
      <c r="AG913" s="42">
        <f>IFERROR(LOOKUP(R913,打分卡!$F$11:$J$11,打分卡!$K$11:$O$11),1)</f>
        <v>3</v>
      </c>
      <c r="AH913" s="42">
        <f>IFERROR(LOOKUP(U913,打分卡!$F$12:$J$12,打分卡!$K$12:$O$12),1)</f>
        <v>3</v>
      </c>
      <c r="AI913" s="42">
        <f>IFERROR(LOOKUP(X913,打分卡!$F$13:$J$13,打分卡!$K$13:$O$13),1)</f>
        <v>1</v>
      </c>
      <c r="AJ913" s="42">
        <f>IFERROR(LOOKUP(Y913,打分卡!$F$14:$J$14,打分卡!$K$14:$O$14),1)</f>
        <v>4</v>
      </c>
      <c r="AK913" s="42">
        <f>IFERROR(LOOKUP(W913,打分卡!$F$15:$J$15,打分卡!$K$15:$O$15),1)</f>
        <v>2</v>
      </c>
      <c r="AL913" s="45">
        <f t="shared" si="113"/>
        <v>3</v>
      </c>
      <c r="AM913" s="42">
        <f>IFERROR(LOOKUP(Z913,打分卡!$F$17:$H$17,打分卡!$K$17:$M$17),1)</f>
        <v>1</v>
      </c>
      <c r="AN913" s="46">
        <f>(打分卡!$D$7*AC913+打分卡!$D$8*AD913+打分卡!$D$9*AE913)/5</f>
        <v>9.4</v>
      </c>
      <c r="AO913" s="46">
        <f>(打分卡!$D$10*AF913+打分卡!$D$11*AG913)/5</f>
        <v>8</v>
      </c>
      <c r="AP913" s="46">
        <f>(打分卡!$D$12*AH913+打分卡!$D$13*AI913+打分卡!$D$14*AJ913+打分卡!$D$15*AK913)/5</f>
        <v>15.2</v>
      </c>
      <c r="AQ913" s="46">
        <f>(打分卡!$D$16*AL913+打分卡!$D$17*AM913)/5</f>
        <v>4.4</v>
      </c>
      <c r="AR913" s="48">
        <f t="shared" si="114"/>
        <v>37</v>
      </c>
      <c r="AS913" s="45" t="str">
        <f t="shared" si="115"/>
        <v>基础长尾</v>
      </c>
      <c r="AT913" s="45" t="str">
        <f t="shared" si="116"/>
        <v/>
      </c>
      <c r="AU913" s="45" t="str">
        <f t="shared" si="117"/>
        <v>激活：企微+Push低成本先跑</v>
      </c>
    </row>
    <row r="914" ht="15" customHeight="1" spans="1:47">
      <c r="A914" s="30" t="s">
        <v>2556</v>
      </c>
      <c r="B914" s="31" t="s">
        <v>2557</v>
      </c>
      <c r="C914" s="31" t="s">
        <v>239</v>
      </c>
      <c r="D914" s="31" t="s">
        <v>190</v>
      </c>
      <c r="E914" s="31" t="s">
        <v>181</v>
      </c>
      <c r="F914" s="30" t="s">
        <v>2558</v>
      </c>
      <c r="G914" s="31">
        <v>9</v>
      </c>
      <c r="H914" s="31" t="s">
        <v>301</v>
      </c>
      <c r="I914" s="31" t="s">
        <v>184</v>
      </c>
      <c r="J914" s="33">
        <v>5300</v>
      </c>
      <c r="K914" s="33">
        <v>3700</v>
      </c>
      <c r="L914" s="33">
        <v>1700</v>
      </c>
      <c r="M914" s="33">
        <f t="shared" si="112"/>
        <v>10700</v>
      </c>
      <c r="N914" s="34">
        <f t="shared" si="118"/>
        <v>5.60962464795673e-5</v>
      </c>
      <c r="O914" s="35">
        <f>SUM($M$2:M914)</f>
        <v>189326600</v>
      </c>
      <c r="P914" s="34">
        <f t="shared" si="119"/>
        <v>0.992571179321351</v>
      </c>
      <c r="Q914" s="37">
        <v>0.7</v>
      </c>
      <c r="R914" s="31">
        <v>3</v>
      </c>
      <c r="S914" s="31">
        <v>3</v>
      </c>
      <c r="T914" s="31">
        <v>1</v>
      </c>
      <c r="U914" s="37">
        <v>28.5</v>
      </c>
      <c r="V914" s="31">
        <v>7</v>
      </c>
      <c r="W914" s="31">
        <v>4</v>
      </c>
      <c r="X914" s="38">
        <v>83</v>
      </c>
      <c r="Y914" s="31">
        <v>1</v>
      </c>
      <c r="Z914" s="31">
        <v>0</v>
      </c>
      <c r="AA914" s="31" t="s">
        <v>199</v>
      </c>
      <c r="AB914" s="31" t="s">
        <v>220</v>
      </c>
      <c r="AC914" s="41">
        <f>IFERROR(LOOKUP(M914,打分卡!$F$7:$J$7,打分卡!$K$7:$O$7),1)</f>
        <v>1</v>
      </c>
      <c r="AD914" s="41">
        <f>IFERROR(LOOKUP(S914,打分卡!$F$8:$J$8,打分卡!$K$8:$O$8),1)</f>
        <v>3</v>
      </c>
      <c r="AE914" s="41">
        <f>IFERROR(LOOKUP(T914,打分卡!$F$9:$I$9,打分卡!$K$9:$N$9),1)</f>
        <v>2</v>
      </c>
      <c r="AF914" s="41">
        <f>IFERROR(LOOKUP(Q914,打分卡!$F$10:$J$10,打分卡!$K$10:$O$10),1)</f>
        <v>1</v>
      </c>
      <c r="AG914" s="41">
        <f>IFERROR(LOOKUP(R914,打分卡!$F$11:$J$11,打分卡!$K$11:$O$11),1)</f>
        <v>2</v>
      </c>
      <c r="AH914" s="41">
        <f>IFERROR(LOOKUP(U914,打分卡!$F$12:$J$12,打分卡!$K$12:$O$12),1)</f>
        <v>3</v>
      </c>
      <c r="AI914" s="41">
        <f>IFERROR(LOOKUP(X914,打分卡!$F$13:$J$13,打分卡!$K$13:$O$13),1)</f>
        <v>4</v>
      </c>
      <c r="AJ914" s="41">
        <f>IFERROR(LOOKUP(Y914,打分卡!$F$14:$J$14,打分卡!$K$14:$O$14),1)</f>
        <v>2</v>
      </c>
      <c r="AK914" s="41">
        <f>IFERROR(LOOKUP(W914,打分卡!$F$15:$J$15,打分卡!$K$15:$O$15),1)</f>
        <v>3</v>
      </c>
      <c r="AL914" s="43">
        <f t="shared" si="113"/>
        <v>5</v>
      </c>
      <c r="AM914" s="41">
        <f>IFERROR(LOOKUP(Z914,打分卡!$F$17:$H$17,打分卡!$K$17:$M$17),1)</f>
        <v>1</v>
      </c>
      <c r="AN914" s="44">
        <f>(打分卡!$D$7*AC914+打分卡!$D$8*AD914+打分卡!$D$9*AE914)/5</f>
        <v>12.6</v>
      </c>
      <c r="AO914" s="44">
        <f>(打分卡!$D$10*AF914+打分卡!$D$11*AG914)/5</f>
        <v>6</v>
      </c>
      <c r="AP914" s="44">
        <f>(打分卡!$D$12*AH914+打分卡!$D$13*AI914+打分卡!$D$14*AJ914+打分卡!$D$15*AK914)/5</f>
        <v>18.4</v>
      </c>
      <c r="AQ914" s="44">
        <f>(打分卡!$D$16*AL914+打分卡!$D$17*AM914)/5</f>
        <v>6.8</v>
      </c>
      <c r="AR914" s="47">
        <f t="shared" si="114"/>
        <v>43.8</v>
      </c>
      <c r="AS914" s="43" t="str">
        <f t="shared" si="115"/>
        <v>腰部</v>
      </c>
      <c r="AT914" s="43" t="str">
        <f t="shared" si="116"/>
        <v/>
      </c>
      <c r="AU914" s="43" t="str">
        <f t="shared" si="117"/>
        <v>拉·主攻：主推AI外呼+大促作战包</v>
      </c>
    </row>
    <row r="915" ht="15" customHeight="1" spans="1:47">
      <c r="A915" s="20" t="s">
        <v>2559</v>
      </c>
      <c r="B915" s="22" t="s">
        <v>2560</v>
      </c>
      <c r="C915" s="22" t="s">
        <v>179</v>
      </c>
      <c r="D915" s="22" t="s">
        <v>227</v>
      </c>
      <c r="E915" s="22" t="s">
        <v>181</v>
      </c>
      <c r="F915" s="20" t="s">
        <v>1288</v>
      </c>
      <c r="G915" s="22">
        <v>24</v>
      </c>
      <c r="H915" s="22" t="s">
        <v>301</v>
      </c>
      <c r="I915" s="22" t="s">
        <v>184</v>
      </c>
      <c r="J915" s="36">
        <v>5700</v>
      </c>
      <c r="K915" s="36">
        <v>3700</v>
      </c>
      <c r="L915" s="36">
        <v>1200</v>
      </c>
      <c r="M915" s="36">
        <f t="shared" si="112"/>
        <v>10600</v>
      </c>
      <c r="N915" s="34">
        <f t="shared" si="118"/>
        <v>5.5571982493777e-5</v>
      </c>
      <c r="O915" s="35">
        <f>SUM($M$2:M915)</f>
        <v>189337200</v>
      </c>
      <c r="P915" s="34">
        <f t="shared" si="119"/>
        <v>0.992626751303844</v>
      </c>
      <c r="Q915" s="39">
        <v>1.5</v>
      </c>
      <c r="R915" s="22">
        <v>8</v>
      </c>
      <c r="S915" s="22">
        <v>1</v>
      </c>
      <c r="T915" s="22">
        <v>2</v>
      </c>
      <c r="U915" s="39">
        <v>4</v>
      </c>
      <c r="V915" s="22">
        <v>6</v>
      </c>
      <c r="W915" s="22">
        <v>1</v>
      </c>
      <c r="X915" s="40">
        <v>26</v>
      </c>
      <c r="Y915" s="22">
        <v>1</v>
      </c>
      <c r="Z915" s="22">
        <v>0</v>
      </c>
      <c r="AA915" s="22" t="s">
        <v>199</v>
      </c>
      <c r="AB915" s="22" t="s">
        <v>220</v>
      </c>
      <c r="AC915" s="42">
        <f>IFERROR(LOOKUP(M915,打分卡!$F$7:$J$7,打分卡!$K$7:$O$7),1)</f>
        <v>1</v>
      </c>
      <c r="AD915" s="42">
        <f>IFERROR(LOOKUP(S915,打分卡!$F$8:$J$8,打分卡!$K$8:$O$8),1)</f>
        <v>1</v>
      </c>
      <c r="AE915" s="42">
        <f>IFERROR(LOOKUP(T915,打分卡!$F$9:$I$9,打分卡!$K$9:$N$9),1)</f>
        <v>3</v>
      </c>
      <c r="AF915" s="42">
        <f>IFERROR(LOOKUP(Q915,打分卡!$F$10:$J$10,打分卡!$K$10:$O$10),1)</f>
        <v>1</v>
      </c>
      <c r="AG915" s="42">
        <f>IFERROR(LOOKUP(R915,打分卡!$F$11:$J$11,打分卡!$K$11:$O$11),1)</f>
        <v>3</v>
      </c>
      <c r="AH915" s="42">
        <f>IFERROR(LOOKUP(U915,打分卡!$F$12:$J$12,打分卡!$K$12:$O$12),1)</f>
        <v>2</v>
      </c>
      <c r="AI915" s="42">
        <f>IFERROR(LOOKUP(X915,打分卡!$F$13:$J$13,打分卡!$K$13:$O$13),1)</f>
        <v>2</v>
      </c>
      <c r="AJ915" s="42">
        <f>IFERROR(LOOKUP(Y915,打分卡!$F$14:$J$14,打分卡!$K$14:$O$14),1)</f>
        <v>2</v>
      </c>
      <c r="AK915" s="42">
        <f>IFERROR(LOOKUP(W915,打分卡!$F$15:$J$15,打分卡!$K$15:$O$15),1)</f>
        <v>2</v>
      </c>
      <c r="AL915" s="45">
        <f t="shared" si="113"/>
        <v>5</v>
      </c>
      <c r="AM915" s="42">
        <f>IFERROR(LOOKUP(Z915,打分卡!$F$17:$H$17,打分卡!$K$17:$M$17),1)</f>
        <v>1</v>
      </c>
      <c r="AN915" s="46">
        <f>(打分卡!$D$7*AC915+打分卡!$D$8*AD915+打分卡!$D$9*AE915)/5</f>
        <v>10.8</v>
      </c>
      <c r="AO915" s="46">
        <f>(打分卡!$D$10*AF915+打分卡!$D$11*AG915)/5</f>
        <v>8</v>
      </c>
      <c r="AP915" s="46">
        <f>(打分卡!$D$12*AH915+打分卡!$D$13*AI915+打分卡!$D$14*AJ915+打分卡!$D$15*AK915)/5</f>
        <v>12</v>
      </c>
      <c r="AQ915" s="46">
        <f>(打分卡!$D$16*AL915+打分卡!$D$17*AM915)/5</f>
        <v>6.8</v>
      </c>
      <c r="AR915" s="48">
        <f t="shared" si="114"/>
        <v>37.6</v>
      </c>
      <c r="AS915" s="45" t="str">
        <f t="shared" si="115"/>
        <v>基础长尾</v>
      </c>
      <c r="AT915" s="45" t="str">
        <f t="shared" si="116"/>
        <v/>
      </c>
      <c r="AU915" s="45" t="str">
        <f t="shared" si="117"/>
        <v>激活：企微+Push低成本先跑</v>
      </c>
    </row>
    <row r="916" ht="15" customHeight="1" spans="1:47">
      <c r="A916" s="30" t="s">
        <v>2561</v>
      </c>
      <c r="B916" s="31" t="s">
        <v>2562</v>
      </c>
      <c r="C916" s="31" t="s">
        <v>239</v>
      </c>
      <c r="D916" s="31" t="s">
        <v>202</v>
      </c>
      <c r="E916" s="31" t="s">
        <v>181</v>
      </c>
      <c r="F916" s="30" t="s">
        <v>2563</v>
      </c>
      <c r="G916" s="31">
        <v>6</v>
      </c>
      <c r="H916" s="31" t="s">
        <v>301</v>
      </c>
      <c r="I916" s="31" t="s">
        <v>302</v>
      </c>
      <c r="J916" s="33">
        <v>5800</v>
      </c>
      <c r="K916" s="33">
        <v>4000</v>
      </c>
      <c r="L916" s="33">
        <v>800</v>
      </c>
      <c r="M916" s="33">
        <f t="shared" si="112"/>
        <v>10600</v>
      </c>
      <c r="N916" s="34">
        <f t="shared" si="118"/>
        <v>5.5571982493777e-5</v>
      </c>
      <c r="O916" s="35">
        <f>SUM($M$2:M916)</f>
        <v>189347800</v>
      </c>
      <c r="P916" s="34">
        <f t="shared" si="119"/>
        <v>0.992682323286338</v>
      </c>
      <c r="Q916" s="37">
        <v>1.3</v>
      </c>
      <c r="R916" s="31">
        <v>8</v>
      </c>
      <c r="S916" s="31">
        <v>1</v>
      </c>
      <c r="T916" s="31">
        <v>2</v>
      </c>
      <c r="U916" s="37">
        <v>2.6</v>
      </c>
      <c r="V916" s="31">
        <v>30</v>
      </c>
      <c r="W916" s="31">
        <v>0</v>
      </c>
      <c r="X916" s="38">
        <v>23</v>
      </c>
      <c r="Y916" s="31">
        <v>1</v>
      </c>
      <c r="Z916" s="31">
        <v>1</v>
      </c>
      <c r="AA916" s="31" t="s">
        <v>315</v>
      </c>
      <c r="AB916" s="31" t="s">
        <v>220</v>
      </c>
      <c r="AC916" s="41">
        <f>IFERROR(LOOKUP(M916,打分卡!$F$7:$J$7,打分卡!$K$7:$O$7),1)</f>
        <v>1</v>
      </c>
      <c r="AD916" s="41">
        <f>IFERROR(LOOKUP(S916,打分卡!$F$8:$J$8,打分卡!$K$8:$O$8),1)</f>
        <v>1</v>
      </c>
      <c r="AE916" s="41">
        <f>IFERROR(LOOKUP(T916,打分卡!$F$9:$I$9,打分卡!$K$9:$N$9),1)</f>
        <v>3</v>
      </c>
      <c r="AF916" s="41">
        <f>IFERROR(LOOKUP(Q916,打分卡!$F$10:$J$10,打分卡!$K$10:$O$10),1)</f>
        <v>1</v>
      </c>
      <c r="AG916" s="41">
        <f>IFERROR(LOOKUP(R916,打分卡!$F$11:$J$11,打分卡!$K$11:$O$11),1)</f>
        <v>3</v>
      </c>
      <c r="AH916" s="41">
        <f>IFERROR(LOOKUP(U916,打分卡!$F$12:$J$12,打分卡!$K$12:$O$12),1)</f>
        <v>1</v>
      </c>
      <c r="AI916" s="41">
        <f>IFERROR(LOOKUP(X916,打分卡!$F$13:$J$13,打分卡!$K$13:$O$13),1)</f>
        <v>2</v>
      </c>
      <c r="AJ916" s="41">
        <f>IFERROR(LOOKUP(Y916,打分卡!$F$14:$J$14,打分卡!$K$14:$O$14),1)</f>
        <v>2</v>
      </c>
      <c r="AK916" s="41">
        <f>IFERROR(LOOKUP(W916,打分卡!$F$15:$J$15,打分卡!$K$15:$O$15),1)</f>
        <v>1</v>
      </c>
      <c r="AL916" s="43">
        <f t="shared" si="113"/>
        <v>2</v>
      </c>
      <c r="AM916" s="41">
        <f>IFERROR(LOOKUP(Z916,打分卡!$F$17:$H$17,打分卡!$K$17:$M$17),1)</f>
        <v>3</v>
      </c>
      <c r="AN916" s="44">
        <f>(打分卡!$D$7*AC916+打分卡!$D$8*AD916+打分卡!$D$9*AE916)/5</f>
        <v>10.8</v>
      </c>
      <c r="AO916" s="44">
        <f>(打分卡!$D$10*AF916+打分卡!$D$11*AG916)/5</f>
        <v>8</v>
      </c>
      <c r="AP916" s="44">
        <f>(打分卡!$D$12*AH916+打分卡!$D$13*AI916+打分卡!$D$14*AJ916+打分卡!$D$15*AK916)/5</f>
        <v>8.8</v>
      </c>
      <c r="AQ916" s="44">
        <f>(打分卡!$D$16*AL916+打分卡!$D$17*AM916)/5</f>
        <v>4.8</v>
      </c>
      <c r="AR916" s="47">
        <f t="shared" si="114"/>
        <v>32.4</v>
      </c>
      <c r="AS916" s="43" t="str">
        <f t="shared" si="115"/>
        <v>基础长尾</v>
      </c>
      <c r="AT916" s="43" t="str">
        <f t="shared" si="116"/>
        <v/>
      </c>
      <c r="AU916" s="43" t="str">
        <f t="shared" si="117"/>
        <v>激活：企微+Push低成本先跑</v>
      </c>
    </row>
    <row r="917" ht="15" customHeight="1" spans="1:47">
      <c r="A917" s="20" t="s">
        <v>2564</v>
      </c>
      <c r="B917" s="22" t="s">
        <v>2565</v>
      </c>
      <c r="C917" s="22" t="s">
        <v>189</v>
      </c>
      <c r="D917" s="22" t="s">
        <v>196</v>
      </c>
      <c r="E917" s="22" t="s">
        <v>181</v>
      </c>
      <c r="F917" s="20" t="s">
        <v>855</v>
      </c>
      <c r="G917" s="22">
        <v>20</v>
      </c>
      <c r="H917" s="22" t="s">
        <v>183</v>
      </c>
      <c r="I917" s="22" t="s">
        <v>184</v>
      </c>
      <c r="J917" s="36">
        <v>5300</v>
      </c>
      <c r="K917" s="36">
        <v>3400</v>
      </c>
      <c r="L917" s="36">
        <v>1900</v>
      </c>
      <c r="M917" s="36">
        <f t="shared" si="112"/>
        <v>10600</v>
      </c>
      <c r="N917" s="34">
        <f t="shared" si="118"/>
        <v>5.5571982493777e-5</v>
      </c>
      <c r="O917" s="35">
        <f>SUM($M$2:M917)</f>
        <v>189358400</v>
      </c>
      <c r="P917" s="34">
        <f t="shared" si="119"/>
        <v>0.992737895268832</v>
      </c>
      <c r="Q917" s="39">
        <v>0.9</v>
      </c>
      <c r="R917" s="22">
        <v>1</v>
      </c>
      <c r="S917" s="22">
        <v>2</v>
      </c>
      <c r="T917" s="22">
        <v>2</v>
      </c>
      <c r="U917" s="39">
        <v>1</v>
      </c>
      <c r="V917" s="22">
        <v>4</v>
      </c>
      <c r="W917" s="22">
        <v>3</v>
      </c>
      <c r="X917" s="40">
        <v>145</v>
      </c>
      <c r="Y917" s="22">
        <v>0</v>
      </c>
      <c r="Z917" s="22">
        <v>0</v>
      </c>
      <c r="AA917" s="22" t="s">
        <v>185</v>
      </c>
      <c r="AB917" s="22" t="s">
        <v>220</v>
      </c>
      <c r="AC917" s="42">
        <f>IFERROR(LOOKUP(M917,打分卡!$F$7:$J$7,打分卡!$K$7:$O$7),1)</f>
        <v>1</v>
      </c>
      <c r="AD917" s="42">
        <f>IFERROR(LOOKUP(S917,打分卡!$F$8:$J$8,打分卡!$K$8:$O$8),1)</f>
        <v>2</v>
      </c>
      <c r="AE917" s="42">
        <f>IFERROR(LOOKUP(T917,打分卡!$F$9:$I$9,打分卡!$K$9:$N$9),1)</f>
        <v>3</v>
      </c>
      <c r="AF917" s="42">
        <f>IFERROR(LOOKUP(Q917,打分卡!$F$10:$J$10,打分卡!$K$10:$O$10),1)</f>
        <v>1</v>
      </c>
      <c r="AG917" s="42">
        <f>IFERROR(LOOKUP(R917,打分卡!$F$11:$J$11,打分卡!$K$11:$O$11),1)</f>
        <v>1</v>
      </c>
      <c r="AH917" s="42">
        <f>IFERROR(LOOKUP(U917,打分卡!$F$12:$J$12,打分卡!$K$12:$O$12),1)</f>
        <v>1</v>
      </c>
      <c r="AI917" s="42">
        <f>IFERROR(LOOKUP(X917,打分卡!$F$13:$J$13,打分卡!$K$13:$O$13),1)</f>
        <v>4</v>
      </c>
      <c r="AJ917" s="42">
        <f>IFERROR(LOOKUP(Y917,打分卡!$F$14:$J$14,打分卡!$K$14:$O$14),1)</f>
        <v>1</v>
      </c>
      <c r="AK917" s="42">
        <f>IFERROR(LOOKUP(W917,打分卡!$F$15:$J$15,打分卡!$K$15:$O$15),1)</f>
        <v>3</v>
      </c>
      <c r="AL917" s="45">
        <f t="shared" si="113"/>
        <v>3</v>
      </c>
      <c r="AM917" s="42">
        <f>IFERROR(LOOKUP(Z917,打分卡!$F$17:$H$17,打分卡!$K$17:$M$17),1)</f>
        <v>1</v>
      </c>
      <c r="AN917" s="46">
        <f>(打分卡!$D$7*AC917+打分卡!$D$8*AD917+打分卡!$D$9*AE917)/5</f>
        <v>12.4</v>
      </c>
      <c r="AO917" s="46">
        <f>(打分卡!$D$10*AF917+打分卡!$D$11*AG917)/5</f>
        <v>4</v>
      </c>
      <c r="AP917" s="46">
        <f>(打分卡!$D$12*AH917+打分卡!$D$13*AI917+打分卡!$D$14*AJ917+打分卡!$D$15*AK917)/5</f>
        <v>12.4</v>
      </c>
      <c r="AQ917" s="46">
        <f>(打分卡!$D$16*AL917+打分卡!$D$17*AM917)/5</f>
        <v>4.4</v>
      </c>
      <c r="AR917" s="48">
        <f t="shared" si="114"/>
        <v>33.2</v>
      </c>
      <c r="AS917" s="45" t="str">
        <f t="shared" si="115"/>
        <v>基础长尾</v>
      </c>
      <c r="AT917" s="45" t="str">
        <f t="shared" si="116"/>
        <v/>
      </c>
      <c r="AU917" s="45" t="str">
        <f t="shared" si="117"/>
        <v>激活：企微+Push低成本先跑</v>
      </c>
    </row>
    <row r="918" ht="15" customHeight="1" spans="1:47">
      <c r="A918" s="30" t="s">
        <v>2566</v>
      </c>
      <c r="B918" s="31" t="s">
        <v>2567</v>
      </c>
      <c r="C918" s="31" t="s">
        <v>218</v>
      </c>
      <c r="D918" s="31" t="s">
        <v>202</v>
      </c>
      <c r="E918" s="31" t="s">
        <v>181</v>
      </c>
      <c r="F918" s="30" t="s">
        <v>1072</v>
      </c>
      <c r="G918" s="31">
        <v>13</v>
      </c>
      <c r="H918" s="31" t="s">
        <v>301</v>
      </c>
      <c r="I918" s="31" t="s">
        <v>302</v>
      </c>
      <c r="J918" s="33">
        <v>4900</v>
      </c>
      <c r="K918" s="33">
        <v>2400</v>
      </c>
      <c r="L918" s="33">
        <v>3000</v>
      </c>
      <c r="M918" s="33">
        <f t="shared" si="112"/>
        <v>10300</v>
      </c>
      <c r="N918" s="34">
        <f t="shared" si="118"/>
        <v>5.39991905364059e-5</v>
      </c>
      <c r="O918" s="35">
        <f>SUM($M$2:M918)</f>
        <v>189368700</v>
      </c>
      <c r="P918" s="34">
        <f t="shared" si="119"/>
        <v>0.992791894459368</v>
      </c>
      <c r="Q918" s="37">
        <v>1.6</v>
      </c>
      <c r="R918" s="31">
        <v>6</v>
      </c>
      <c r="S918" s="31">
        <v>1</v>
      </c>
      <c r="T918" s="31">
        <v>0</v>
      </c>
      <c r="U918" s="37">
        <v>1.2</v>
      </c>
      <c r="V918" s="31">
        <v>5</v>
      </c>
      <c r="W918" s="31">
        <v>4</v>
      </c>
      <c r="X918" s="38">
        <v>47</v>
      </c>
      <c r="Y918" s="31">
        <v>0</v>
      </c>
      <c r="Z918" s="31">
        <v>0</v>
      </c>
      <c r="AA918" s="31" t="s">
        <v>199</v>
      </c>
      <c r="AB918" s="31" t="s">
        <v>220</v>
      </c>
      <c r="AC918" s="41">
        <f>IFERROR(LOOKUP(M918,打分卡!$F$7:$J$7,打分卡!$K$7:$O$7),1)</f>
        <v>1</v>
      </c>
      <c r="AD918" s="41">
        <f>IFERROR(LOOKUP(S918,打分卡!$F$8:$J$8,打分卡!$K$8:$O$8),1)</f>
        <v>1</v>
      </c>
      <c r="AE918" s="41">
        <f>IFERROR(LOOKUP(T918,打分卡!$F$9:$I$9,打分卡!$K$9:$N$9),1)</f>
        <v>1</v>
      </c>
      <c r="AF918" s="41">
        <f>IFERROR(LOOKUP(Q918,打分卡!$F$10:$J$10,打分卡!$K$10:$O$10),1)</f>
        <v>1</v>
      </c>
      <c r="AG918" s="41">
        <f>IFERROR(LOOKUP(R918,打分卡!$F$11:$J$11,打分卡!$K$11:$O$11),1)</f>
        <v>3</v>
      </c>
      <c r="AH918" s="41">
        <f>IFERROR(LOOKUP(U918,打分卡!$F$12:$J$12,打分卡!$K$12:$O$12),1)</f>
        <v>1</v>
      </c>
      <c r="AI918" s="41">
        <f>IFERROR(LOOKUP(X918,打分卡!$F$13:$J$13,打分卡!$K$13:$O$13),1)</f>
        <v>3</v>
      </c>
      <c r="AJ918" s="41">
        <f>IFERROR(LOOKUP(Y918,打分卡!$F$14:$J$14,打分卡!$K$14:$O$14),1)</f>
        <v>1</v>
      </c>
      <c r="AK918" s="41">
        <f>IFERROR(LOOKUP(W918,打分卡!$F$15:$J$15,打分卡!$K$15:$O$15),1)</f>
        <v>3</v>
      </c>
      <c r="AL918" s="43">
        <f t="shared" si="113"/>
        <v>5</v>
      </c>
      <c r="AM918" s="41">
        <f>IFERROR(LOOKUP(Z918,打分卡!$F$17:$H$17,打分卡!$K$17:$M$17),1)</f>
        <v>1</v>
      </c>
      <c r="AN918" s="44">
        <f>(打分卡!$D$7*AC918+打分卡!$D$8*AD918+打分卡!$D$9*AE918)/5</f>
        <v>8</v>
      </c>
      <c r="AO918" s="44">
        <f>(打分卡!$D$10*AF918+打分卡!$D$11*AG918)/5</f>
        <v>8</v>
      </c>
      <c r="AP918" s="44">
        <f>(打分卡!$D$12*AH918+打分卡!$D$13*AI918+打分卡!$D$14*AJ918+打分卡!$D$15*AK918)/5</f>
        <v>10.8</v>
      </c>
      <c r="AQ918" s="44">
        <f>(打分卡!$D$16*AL918+打分卡!$D$17*AM918)/5</f>
        <v>6.8</v>
      </c>
      <c r="AR918" s="47">
        <f t="shared" si="114"/>
        <v>33.6</v>
      </c>
      <c r="AS918" s="43" t="str">
        <f t="shared" si="115"/>
        <v>基础长尾</v>
      </c>
      <c r="AT918" s="43" t="str">
        <f t="shared" si="116"/>
        <v/>
      </c>
      <c r="AU918" s="43" t="str">
        <f t="shared" si="117"/>
        <v>激活：企微+Push低成本先跑</v>
      </c>
    </row>
    <row r="919" ht="15" customHeight="1" spans="1:47">
      <c r="A919" s="20" t="s">
        <v>2568</v>
      </c>
      <c r="B919" s="22" t="s">
        <v>2569</v>
      </c>
      <c r="C919" s="22" t="s">
        <v>218</v>
      </c>
      <c r="D919" s="22" t="s">
        <v>235</v>
      </c>
      <c r="E919" s="22" t="s">
        <v>181</v>
      </c>
      <c r="F919" s="20" t="s">
        <v>2397</v>
      </c>
      <c r="G919" s="22">
        <v>13</v>
      </c>
      <c r="H919" s="22" t="s">
        <v>301</v>
      </c>
      <c r="I919" s="22" t="s">
        <v>184</v>
      </c>
      <c r="J919" s="36">
        <v>4700</v>
      </c>
      <c r="K919" s="36">
        <v>2300</v>
      </c>
      <c r="L919" s="36">
        <v>3300</v>
      </c>
      <c r="M919" s="36">
        <f t="shared" si="112"/>
        <v>10300</v>
      </c>
      <c r="N919" s="34">
        <f t="shared" si="118"/>
        <v>5.39991905364059e-5</v>
      </c>
      <c r="O919" s="35">
        <f>SUM($M$2:M919)</f>
        <v>189379000</v>
      </c>
      <c r="P919" s="34">
        <f t="shared" si="119"/>
        <v>0.992845893649905</v>
      </c>
      <c r="Q919" s="39">
        <v>1</v>
      </c>
      <c r="R919" s="22">
        <v>1</v>
      </c>
      <c r="S919" s="22">
        <v>2</v>
      </c>
      <c r="T919" s="22">
        <v>1</v>
      </c>
      <c r="U919" s="39">
        <v>55.8</v>
      </c>
      <c r="V919" s="22">
        <v>15</v>
      </c>
      <c r="W919" s="22">
        <v>1</v>
      </c>
      <c r="X919" s="40">
        <v>111</v>
      </c>
      <c r="Y919" s="22">
        <v>1</v>
      </c>
      <c r="Z919" s="22">
        <v>0</v>
      </c>
      <c r="AA919" s="22" t="s">
        <v>315</v>
      </c>
      <c r="AB919" s="22" t="s">
        <v>220</v>
      </c>
      <c r="AC919" s="42">
        <f>IFERROR(LOOKUP(M919,打分卡!$F$7:$J$7,打分卡!$K$7:$O$7),1)</f>
        <v>1</v>
      </c>
      <c r="AD919" s="42">
        <f>IFERROR(LOOKUP(S919,打分卡!$F$8:$J$8,打分卡!$K$8:$O$8),1)</f>
        <v>2</v>
      </c>
      <c r="AE919" s="42">
        <f>IFERROR(LOOKUP(T919,打分卡!$F$9:$I$9,打分卡!$K$9:$N$9),1)</f>
        <v>2</v>
      </c>
      <c r="AF919" s="42">
        <f>IFERROR(LOOKUP(Q919,打分卡!$F$10:$J$10,打分卡!$K$10:$O$10),1)</f>
        <v>1</v>
      </c>
      <c r="AG919" s="42">
        <f>IFERROR(LOOKUP(R919,打分卡!$F$11:$J$11,打分卡!$K$11:$O$11),1)</f>
        <v>1</v>
      </c>
      <c r="AH919" s="42">
        <f>IFERROR(LOOKUP(U919,打分卡!$F$12:$J$12,打分卡!$K$12:$O$12),1)</f>
        <v>4</v>
      </c>
      <c r="AI919" s="42">
        <f>IFERROR(LOOKUP(X919,打分卡!$F$13:$J$13,打分卡!$K$13:$O$13),1)</f>
        <v>4</v>
      </c>
      <c r="AJ919" s="42">
        <f>IFERROR(LOOKUP(Y919,打分卡!$F$14:$J$14,打分卡!$K$14:$O$14),1)</f>
        <v>2</v>
      </c>
      <c r="AK919" s="42">
        <f>IFERROR(LOOKUP(W919,打分卡!$F$15:$J$15,打分卡!$K$15:$O$15),1)</f>
        <v>2</v>
      </c>
      <c r="AL919" s="45">
        <f t="shared" si="113"/>
        <v>2</v>
      </c>
      <c r="AM919" s="42">
        <f>IFERROR(LOOKUP(Z919,打分卡!$F$17:$H$17,打分卡!$K$17:$M$17),1)</f>
        <v>1</v>
      </c>
      <c r="AN919" s="46">
        <f>(打分卡!$D$7*AC919+打分卡!$D$8*AD919+打分卡!$D$9*AE919)/5</f>
        <v>11</v>
      </c>
      <c r="AO919" s="46">
        <f>(打分卡!$D$10*AF919+打分卡!$D$11*AG919)/5</f>
        <v>4</v>
      </c>
      <c r="AP919" s="46">
        <f>(打分卡!$D$12*AH919+打分卡!$D$13*AI919+打分卡!$D$14*AJ919+打分卡!$D$15*AK919)/5</f>
        <v>20</v>
      </c>
      <c r="AQ919" s="46">
        <f>(打分卡!$D$16*AL919+打分卡!$D$17*AM919)/5</f>
        <v>3.2</v>
      </c>
      <c r="AR919" s="48">
        <f t="shared" si="114"/>
        <v>38.2</v>
      </c>
      <c r="AS919" s="45" t="str">
        <f t="shared" si="115"/>
        <v>基础长尾</v>
      </c>
      <c r="AT919" s="45" t="str">
        <f t="shared" si="116"/>
        <v/>
      </c>
      <c r="AU919" s="45" t="str">
        <f t="shared" si="117"/>
        <v>激活：企微+Push低成本先跑</v>
      </c>
    </row>
    <row r="920" ht="15" customHeight="1" spans="1:47">
      <c r="A920" s="30" t="s">
        <v>2570</v>
      </c>
      <c r="B920" s="31" t="s">
        <v>2571</v>
      </c>
      <c r="C920" s="31" t="s">
        <v>239</v>
      </c>
      <c r="D920" s="31" t="s">
        <v>235</v>
      </c>
      <c r="E920" s="31" t="s">
        <v>197</v>
      </c>
      <c r="F920" s="30" t="s">
        <v>1229</v>
      </c>
      <c r="G920" s="31">
        <v>11</v>
      </c>
      <c r="H920" s="31" t="s">
        <v>183</v>
      </c>
      <c r="I920" s="31" t="s">
        <v>302</v>
      </c>
      <c r="J920" s="33">
        <v>4800</v>
      </c>
      <c r="K920" s="33">
        <v>2900</v>
      </c>
      <c r="L920" s="33">
        <v>2600</v>
      </c>
      <c r="M920" s="33">
        <f t="shared" si="112"/>
        <v>10300</v>
      </c>
      <c r="N920" s="34">
        <f t="shared" si="118"/>
        <v>5.39991905364059e-5</v>
      </c>
      <c r="O920" s="35">
        <f>SUM($M$2:M920)</f>
        <v>189389300</v>
      </c>
      <c r="P920" s="34">
        <f t="shared" si="119"/>
        <v>0.992899892840441</v>
      </c>
      <c r="Q920" s="37">
        <v>0.7</v>
      </c>
      <c r="R920" s="31">
        <v>8</v>
      </c>
      <c r="S920" s="31">
        <v>2</v>
      </c>
      <c r="T920" s="31">
        <v>0</v>
      </c>
      <c r="U920" s="37">
        <v>4.7</v>
      </c>
      <c r="V920" s="31">
        <v>8</v>
      </c>
      <c r="W920" s="31">
        <v>0</v>
      </c>
      <c r="X920" s="38">
        <v>16</v>
      </c>
      <c r="Y920" s="31">
        <v>1</v>
      </c>
      <c r="Z920" s="31">
        <v>0</v>
      </c>
      <c r="AA920" s="31" t="s">
        <v>185</v>
      </c>
      <c r="AB920" s="31" t="s">
        <v>220</v>
      </c>
      <c r="AC920" s="41">
        <f>IFERROR(LOOKUP(M920,打分卡!$F$7:$J$7,打分卡!$K$7:$O$7),1)</f>
        <v>1</v>
      </c>
      <c r="AD920" s="41">
        <f>IFERROR(LOOKUP(S920,打分卡!$F$8:$J$8,打分卡!$K$8:$O$8),1)</f>
        <v>2</v>
      </c>
      <c r="AE920" s="41">
        <f>IFERROR(LOOKUP(T920,打分卡!$F$9:$I$9,打分卡!$K$9:$N$9),1)</f>
        <v>1</v>
      </c>
      <c r="AF920" s="41">
        <f>IFERROR(LOOKUP(Q920,打分卡!$F$10:$J$10,打分卡!$K$10:$O$10),1)</f>
        <v>1</v>
      </c>
      <c r="AG920" s="41">
        <f>IFERROR(LOOKUP(R920,打分卡!$F$11:$J$11,打分卡!$K$11:$O$11),1)</f>
        <v>3</v>
      </c>
      <c r="AH920" s="41">
        <f>IFERROR(LOOKUP(U920,打分卡!$F$12:$J$12,打分卡!$K$12:$O$12),1)</f>
        <v>2</v>
      </c>
      <c r="AI920" s="41">
        <f>IFERROR(LOOKUP(X920,打分卡!$F$13:$J$13,打分卡!$K$13:$O$13),1)</f>
        <v>1</v>
      </c>
      <c r="AJ920" s="41">
        <f>IFERROR(LOOKUP(Y920,打分卡!$F$14:$J$14,打分卡!$K$14:$O$14),1)</f>
        <v>2</v>
      </c>
      <c r="AK920" s="41">
        <f>IFERROR(LOOKUP(W920,打分卡!$F$15:$J$15,打分卡!$K$15:$O$15),1)</f>
        <v>1</v>
      </c>
      <c r="AL920" s="43">
        <f t="shared" si="113"/>
        <v>3</v>
      </c>
      <c r="AM920" s="41">
        <f>IFERROR(LOOKUP(Z920,打分卡!$F$17:$H$17,打分卡!$K$17:$M$17),1)</f>
        <v>1</v>
      </c>
      <c r="AN920" s="44">
        <f>(打分卡!$D$7*AC920+打分卡!$D$8*AD920+打分卡!$D$9*AE920)/5</f>
        <v>9.6</v>
      </c>
      <c r="AO920" s="44">
        <f>(打分卡!$D$10*AF920+打分卡!$D$11*AG920)/5</f>
        <v>8</v>
      </c>
      <c r="AP920" s="44">
        <f>(打分卡!$D$12*AH920+打分卡!$D$13*AI920+打分卡!$D$14*AJ920+打分卡!$D$15*AK920)/5</f>
        <v>9.6</v>
      </c>
      <c r="AQ920" s="44">
        <f>(打分卡!$D$16*AL920+打分卡!$D$17*AM920)/5</f>
        <v>4.4</v>
      </c>
      <c r="AR920" s="47">
        <f t="shared" si="114"/>
        <v>31.6</v>
      </c>
      <c r="AS920" s="43" t="str">
        <f t="shared" si="115"/>
        <v>基础长尾</v>
      </c>
      <c r="AT920" s="43" t="str">
        <f t="shared" si="116"/>
        <v/>
      </c>
      <c r="AU920" s="43" t="str">
        <f t="shared" si="117"/>
        <v>激活：企微+Push低成本先跑</v>
      </c>
    </row>
    <row r="921" ht="15" customHeight="1" spans="1:47">
      <c r="A921" s="20" t="s">
        <v>2572</v>
      </c>
      <c r="B921" s="22" t="s">
        <v>2573</v>
      </c>
      <c r="C921" s="22" t="s">
        <v>189</v>
      </c>
      <c r="D921" s="22" t="s">
        <v>202</v>
      </c>
      <c r="E921" s="22" t="s">
        <v>181</v>
      </c>
      <c r="F921" s="20" t="s">
        <v>314</v>
      </c>
      <c r="G921" s="22">
        <v>6</v>
      </c>
      <c r="H921" s="22" t="s">
        <v>301</v>
      </c>
      <c r="I921" s="22" t="s">
        <v>184</v>
      </c>
      <c r="J921" s="36">
        <v>5900</v>
      </c>
      <c r="K921" s="36">
        <v>2600</v>
      </c>
      <c r="L921" s="36">
        <v>1700</v>
      </c>
      <c r="M921" s="36">
        <f t="shared" si="112"/>
        <v>10200</v>
      </c>
      <c r="N921" s="34">
        <f t="shared" si="118"/>
        <v>5.34749265506156e-5</v>
      </c>
      <c r="O921" s="35">
        <f>SUM($M$2:M921)</f>
        <v>189399500</v>
      </c>
      <c r="P921" s="34">
        <f t="shared" si="119"/>
        <v>0.992953367766992</v>
      </c>
      <c r="Q921" s="39">
        <v>1.5</v>
      </c>
      <c r="R921" s="22">
        <v>3</v>
      </c>
      <c r="S921" s="22">
        <v>3</v>
      </c>
      <c r="T921" s="22">
        <v>1</v>
      </c>
      <c r="U921" s="39">
        <v>2.4</v>
      </c>
      <c r="V921" s="22">
        <v>6</v>
      </c>
      <c r="W921" s="22">
        <v>2</v>
      </c>
      <c r="X921" s="40">
        <v>20</v>
      </c>
      <c r="Y921" s="22">
        <v>3</v>
      </c>
      <c r="Z921" s="22">
        <v>0</v>
      </c>
      <c r="AA921" s="22" t="s">
        <v>185</v>
      </c>
      <c r="AB921" s="22" t="s">
        <v>220</v>
      </c>
      <c r="AC921" s="42">
        <f>IFERROR(LOOKUP(M921,打分卡!$F$7:$J$7,打分卡!$K$7:$O$7),1)</f>
        <v>1</v>
      </c>
      <c r="AD921" s="42">
        <f>IFERROR(LOOKUP(S921,打分卡!$F$8:$J$8,打分卡!$K$8:$O$8),1)</f>
        <v>3</v>
      </c>
      <c r="AE921" s="42">
        <f>IFERROR(LOOKUP(T921,打分卡!$F$9:$I$9,打分卡!$K$9:$N$9),1)</f>
        <v>2</v>
      </c>
      <c r="AF921" s="42">
        <f>IFERROR(LOOKUP(Q921,打分卡!$F$10:$J$10,打分卡!$K$10:$O$10),1)</f>
        <v>1</v>
      </c>
      <c r="AG921" s="42">
        <f>IFERROR(LOOKUP(R921,打分卡!$F$11:$J$11,打分卡!$K$11:$O$11),1)</f>
        <v>2</v>
      </c>
      <c r="AH921" s="42">
        <f>IFERROR(LOOKUP(U921,打分卡!$F$12:$J$12,打分卡!$K$12:$O$12),1)</f>
        <v>1</v>
      </c>
      <c r="AI921" s="42">
        <f>IFERROR(LOOKUP(X921,打分卡!$F$13:$J$13,打分卡!$K$13:$O$13),1)</f>
        <v>2</v>
      </c>
      <c r="AJ921" s="42">
        <f>IFERROR(LOOKUP(Y921,打分卡!$F$14:$J$14,打分卡!$K$14:$O$14),1)</f>
        <v>4</v>
      </c>
      <c r="AK921" s="42">
        <f>IFERROR(LOOKUP(W921,打分卡!$F$15:$J$15,打分卡!$K$15:$O$15),1)</f>
        <v>2</v>
      </c>
      <c r="AL921" s="45">
        <f t="shared" si="113"/>
        <v>3</v>
      </c>
      <c r="AM921" s="42">
        <f>IFERROR(LOOKUP(Z921,打分卡!$F$17:$H$17,打分卡!$K$17:$M$17),1)</f>
        <v>1</v>
      </c>
      <c r="AN921" s="46">
        <f>(打分卡!$D$7*AC921+打分卡!$D$8*AD921+打分卡!$D$9*AE921)/5</f>
        <v>12.6</v>
      </c>
      <c r="AO921" s="46">
        <f>(打分卡!$D$10*AF921+打分卡!$D$11*AG921)/5</f>
        <v>6</v>
      </c>
      <c r="AP921" s="46">
        <f>(打分卡!$D$12*AH921+打分卡!$D$13*AI921+打分卡!$D$14*AJ921+打分卡!$D$15*AK921)/5</f>
        <v>12</v>
      </c>
      <c r="AQ921" s="46">
        <f>(打分卡!$D$16*AL921+打分卡!$D$17*AM921)/5</f>
        <v>4.4</v>
      </c>
      <c r="AR921" s="48">
        <f t="shared" si="114"/>
        <v>35</v>
      </c>
      <c r="AS921" s="45" t="str">
        <f t="shared" si="115"/>
        <v>基础长尾</v>
      </c>
      <c r="AT921" s="45" t="str">
        <f t="shared" si="116"/>
        <v/>
      </c>
      <c r="AU921" s="45" t="str">
        <f t="shared" si="117"/>
        <v>激活：企微+Push低成本先跑</v>
      </c>
    </row>
    <row r="922" ht="15" customHeight="1" spans="1:47">
      <c r="A922" s="30" t="s">
        <v>2574</v>
      </c>
      <c r="B922" s="31" t="s">
        <v>2575</v>
      </c>
      <c r="C922" s="31" t="s">
        <v>223</v>
      </c>
      <c r="D922" s="31" t="s">
        <v>202</v>
      </c>
      <c r="E922" s="31" t="s">
        <v>181</v>
      </c>
      <c r="F922" s="30" t="s">
        <v>427</v>
      </c>
      <c r="G922" s="31">
        <v>20</v>
      </c>
      <c r="H922" s="31" t="s">
        <v>183</v>
      </c>
      <c r="I922" s="31" t="s">
        <v>302</v>
      </c>
      <c r="J922" s="33">
        <v>4600</v>
      </c>
      <c r="K922" s="33">
        <v>3100</v>
      </c>
      <c r="L922" s="33">
        <v>2500</v>
      </c>
      <c r="M922" s="33">
        <f t="shared" si="112"/>
        <v>10200</v>
      </c>
      <c r="N922" s="34">
        <f t="shared" si="118"/>
        <v>5.34749265506156e-5</v>
      </c>
      <c r="O922" s="35">
        <f>SUM($M$2:M922)</f>
        <v>189409700</v>
      </c>
      <c r="P922" s="34">
        <f t="shared" si="119"/>
        <v>0.993006842693543</v>
      </c>
      <c r="Q922" s="37">
        <v>1</v>
      </c>
      <c r="R922" s="31">
        <v>7</v>
      </c>
      <c r="S922" s="31">
        <v>2</v>
      </c>
      <c r="T922" s="31">
        <v>0</v>
      </c>
      <c r="U922" s="37">
        <v>19</v>
      </c>
      <c r="V922" s="31">
        <v>30</v>
      </c>
      <c r="W922" s="31">
        <v>0</v>
      </c>
      <c r="X922" s="38">
        <v>144</v>
      </c>
      <c r="Y922" s="31">
        <v>2</v>
      </c>
      <c r="Z922" s="31">
        <v>0</v>
      </c>
      <c r="AA922" s="31" t="s">
        <v>199</v>
      </c>
      <c r="AB922" s="31" t="s">
        <v>220</v>
      </c>
      <c r="AC922" s="41">
        <f>IFERROR(LOOKUP(M922,打分卡!$F$7:$J$7,打分卡!$K$7:$O$7),1)</f>
        <v>1</v>
      </c>
      <c r="AD922" s="41">
        <f>IFERROR(LOOKUP(S922,打分卡!$F$8:$J$8,打分卡!$K$8:$O$8),1)</f>
        <v>2</v>
      </c>
      <c r="AE922" s="41">
        <f>IFERROR(LOOKUP(T922,打分卡!$F$9:$I$9,打分卡!$K$9:$N$9),1)</f>
        <v>1</v>
      </c>
      <c r="AF922" s="41">
        <f>IFERROR(LOOKUP(Q922,打分卡!$F$10:$J$10,打分卡!$K$10:$O$10),1)</f>
        <v>1</v>
      </c>
      <c r="AG922" s="41">
        <f>IFERROR(LOOKUP(R922,打分卡!$F$11:$J$11,打分卡!$K$11:$O$11),1)</f>
        <v>3</v>
      </c>
      <c r="AH922" s="41">
        <f>IFERROR(LOOKUP(U922,打分卡!$F$12:$J$12,打分卡!$K$12:$O$12),1)</f>
        <v>3</v>
      </c>
      <c r="AI922" s="41">
        <f>IFERROR(LOOKUP(X922,打分卡!$F$13:$J$13,打分卡!$K$13:$O$13),1)</f>
        <v>4</v>
      </c>
      <c r="AJ922" s="41">
        <f>IFERROR(LOOKUP(Y922,打分卡!$F$14:$J$14,打分卡!$K$14:$O$14),1)</f>
        <v>3</v>
      </c>
      <c r="AK922" s="41">
        <f>IFERROR(LOOKUP(W922,打分卡!$F$15:$J$15,打分卡!$K$15:$O$15),1)</f>
        <v>1</v>
      </c>
      <c r="AL922" s="43">
        <f t="shared" si="113"/>
        <v>5</v>
      </c>
      <c r="AM922" s="41">
        <f>IFERROR(LOOKUP(Z922,打分卡!$F$17:$H$17,打分卡!$K$17:$M$17),1)</f>
        <v>1</v>
      </c>
      <c r="AN922" s="44">
        <f>(打分卡!$D$7*AC922+打分卡!$D$8*AD922+打分卡!$D$9*AE922)/5</f>
        <v>9.6</v>
      </c>
      <c r="AO922" s="44">
        <f>(打分卡!$D$10*AF922+打分卡!$D$11*AG922)/5</f>
        <v>8</v>
      </c>
      <c r="AP922" s="44">
        <f>(打分卡!$D$12*AH922+打分卡!$D$13*AI922+打分卡!$D$14*AJ922+打分卡!$D$15*AK922)/5</f>
        <v>18</v>
      </c>
      <c r="AQ922" s="44">
        <f>(打分卡!$D$16*AL922+打分卡!$D$17*AM922)/5</f>
        <v>6.8</v>
      </c>
      <c r="AR922" s="47">
        <f t="shared" si="114"/>
        <v>42.4</v>
      </c>
      <c r="AS922" s="43" t="str">
        <f t="shared" si="115"/>
        <v>腰部</v>
      </c>
      <c r="AT922" s="43" t="str">
        <f t="shared" si="116"/>
        <v/>
      </c>
      <c r="AU922" s="43" t="str">
        <f t="shared" si="117"/>
        <v>拉·主攻：主推AI外呼+大促作战包</v>
      </c>
    </row>
    <row r="923" ht="15" customHeight="1" spans="1:47">
      <c r="A923" s="20" t="s">
        <v>2576</v>
      </c>
      <c r="B923" s="22" t="s">
        <v>2577</v>
      </c>
      <c r="C923" s="22" t="s">
        <v>179</v>
      </c>
      <c r="D923" s="22" t="s">
        <v>190</v>
      </c>
      <c r="E923" s="22" t="s">
        <v>181</v>
      </c>
      <c r="F923" s="20" t="s">
        <v>1364</v>
      </c>
      <c r="G923" s="22">
        <v>8</v>
      </c>
      <c r="H923" s="22" t="s">
        <v>301</v>
      </c>
      <c r="I923" s="22" t="s">
        <v>302</v>
      </c>
      <c r="J923" s="36">
        <v>6300</v>
      </c>
      <c r="K923" s="36">
        <v>2700</v>
      </c>
      <c r="L923" s="36">
        <v>1200</v>
      </c>
      <c r="M923" s="36">
        <f t="shared" si="112"/>
        <v>10200</v>
      </c>
      <c r="N923" s="34">
        <f t="shared" si="118"/>
        <v>5.34749265506156e-5</v>
      </c>
      <c r="O923" s="35">
        <f>SUM($M$2:M923)</f>
        <v>189419900</v>
      </c>
      <c r="P923" s="34">
        <f t="shared" si="119"/>
        <v>0.993060317620093</v>
      </c>
      <c r="Q923" s="39">
        <v>1.6</v>
      </c>
      <c r="R923" s="22">
        <v>9</v>
      </c>
      <c r="S923" s="22">
        <v>2</v>
      </c>
      <c r="T923" s="22">
        <v>0</v>
      </c>
      <c r="U923" s="39">
        <v>43.4</v>
      </c>
      <c r="V923" s="22">
        <v>20</v>
      </c>
      <c r="W923" s="22">
        <v>3</v>
      </c>
      <c r="X923" s="40">
        <v>39</v>
      </c>
      <c r="Y923" s="22">
        <v>0</v>
      </c>
      <c r="Z923" s="22">
        <v>0</v>
      </c>
      <c r="AA923" s="22" t="s">
        <v>315</v>
      </c>
      <c r="AB923" s="22" t="s">
        <v>220</v>
      </c>
      <c r="AC923" s="42">
        <f>IFERROR(LOOKUP(M923,打分卡!$F$7:$J$7,打分卡!$K$7:$O$7),1)</f>
        <v>1</v>
      </c>
      <c r="AD923" s="42">
        <f>IFERROR(LOOKUP(S923,打分卡!$F$8:$J$8,打分卡!$K$8:$O$8),1)</f>
        <v>2</v>
      </c>
      <c r="AE923" s="42">
        <f>IFERROR(LOOKUP(T923,打分卡!$F$9:$I$9,打分卡!$K$9:$N$9),1)</f>
        <v>1</v>
      </c>
      <c r="AF923" s="42">
        <f>IFERROR(LOOKUP(Q923,打分卡!$F$10:$J$10,打分卡!$K$10:$O$10),1)</f>
        <v>1</v>
      </c>
      <c r="AG923" s="42">
        <f>IFERROR(LOOKUP(R923,打分卡!$F$11:$J$11,打分卡!$K$11:$O$11),1)</f>
        <v>4</v>
      </c>
      <c r="AH923" s="42">
        <f>IFERROR(LOOKUP(U923,打分卡!$F$12:$J$12,打分卡!$K$12:$O$12),1)</f>
        <v>4</v>
      </c>
      <c r="AI923" s="42">
        <f>IFERROR(LOOKUP(X923,打分卡!$F$13:$J$13,打分卡!$K$13:$O$13),1)</f>
        <v>3</v>
      </c>
      <c r="AJ923" s="42">
        <f>IFERROR(LOOKUP(Y923,打分卡!$F$14:$J$14,打分卡!$K$14:$O$14),1)</f>
        <v>1</v>
      </c>
      <c r="AK923" s="42">
        <f>IFERROR(LOOKUP(W923,打分卡!$F$15:$J$15,打分卡!$K$15:$O$15),1)</f>
        <v>3</v>
      </c>
      <c r="AL923" s="45">
        <f t="shared" si="113"/>
        <v>2</v>
      </c>
      <c r="AM923" s="42">
        <f>IFERROR(LOOKUP(Z923,打分卡!$F$17:$H$17,打分卡!$K$17:$M$17),1)</f>
        <v>1</v>
      </c>
      <c r="AN923" s="46">
        <f>(打分卡!$D$7*AC923+打分卡!$D$8*AD923+打分卡!$D$9*AE923)/5</f>
        <v>9.6</v>
      </c>
      <c r="AO923" s="46">
        <f>(打分卡!$D$10*AF923+打分卡!$D$11*AG923)/5</f>
        <v>10</v>
      </c>
      <c r="AP923" s="46">
        <f>(打分卡!$D$12*AH923+打分卡!$D$13*AI923+打分卡!$D$14*AJ923+打分卡!$D$15*AK923)/5</f>
        <v>18</v>
      </c>
      <c r="AQ923" s="46">
        <f>(打分卡!$D$16*AL923+打分卡!$D$17*AM923)/5</f>
        <v>3.2</v>
      </c>
      <c r="AR923" s="48">
        <f t="shared" si="114"/>
        <v>40.8</v>
      </c>
      <c r="AS923" s="45" t="str">
        <f t="shared" si="115"/>
        <v>腰部</v>
      </c>
      <c r="AT923" s="45" t="str">
        <f t="shared" si="116"/>
        <v/>
      </c>
      <c r="AU923" s="45" t="str">
        <f t="shared" si="117"/>
        <v>拉·主攻：主推AI外呼+大促作战包</v>
      </c>
    </row>
    <row r="924" ht="15" customHeight="1" spans="1:47">
      <c r="A924" s="30" t="s">
        <v>2578</v>
      </c>
      <c r="B924" s="31" t="s">
        <v>2579</v>
      </c>
      <c r="C924" s="31" t="s">
        <v>209</v>
      </c>
      <c r="D924" s="31" t="s">
        <v>196</v>
      </c>
      <c r="E924" s="31" t="s">
        <v>197</v>
      </c>
      <c r="F924" s="30" t="s">
        <v>699</v>
      </c>
      <c r="G924" s="31">
        <v>10</v>
      </c>
      <c r="H924" s="31" t="s">
        <v>183</v>
      </c>
      <c r="I924" s="31" t="s">
        <v>302</v>
      </c>
      <c r="J924" s="33">
        <v>5500</v>
      </c>
      <c r="K924" s="33">
        <v>2600</v>
      </c>
      <c r="L924" s="33">
        <v>1900</v>
      </c>
      <c r="M924" s="33">
        <f t="shared" si="112"/>
        <v>10000</v>
      </c>
      <c r="N924" s="34">
        <f t="shared" si="118"/>
        <v>5.24263985790349e-5</v>
      </c>
      <c r="O924" s="35">
        <f>SUM($M$2:M924)</f>
        <v>189429900</v>
      </c>
      <c r="P924" s="34">
        <f t="shared" si="119"/>
        <v>0.993112744018672</v>
      </c>
      <c r="Q924" s="37">
        <v>1.2</v>
      </c>
      <c r="R924" s="31">
        <v>7</v>
      </c>
      <c r="S924" s="31">
        <v>1</v>
      </c>
      <c r="T924" s="31">
        <v>0</v>
      </c>
      <c r="U924" s="37">
        <v>6.2</v>
      </c>
      <c r="V924" s="31">
        <v>11</v>
      </c>
      <c r="W924" s="31">
        <v>2</v>
      </c>
      <c r="X924" s="38">
        <v>44</v>
      </c>
      <c r="Y924" s="31">
        <v>1</v>
      </c>
      <c r="Z924" s="31">
        <v>1</v>
      </c>
      <c r="AA924" s="31" t="s">
        <v>199</v>
      </c>
      <c r="AB924" s="31" t="s">
        <v>220</v>
      </c>
      <c r="AC924" s="41">
        <f>IFERROR(LOOKUP(M924,打分卡!$F$7:$J$7,打分卡!$K$7:$O$7),1)</f>
        <v>1</v>
      </c>
      <c r="AD924" s="41">
        <f>IFERROR(LOOKUP(S924,打分卡!$F$8:$J$8,打分卡!$K$8:$O$8),1)</f>
        <v>1</v>
      </c>
      <c r="AE924" s="41">
        <f>IFERROR(LOOKUP(T924,打分卡!$F$9:$I$9,打分卡!$K$9:$N$9),1)</f>
        <v>1</v>
      </c>
      <c r="AF924" s="41">
        <f>IFERROR(LOOKUP(Q924,打分卡!$F$10:$J$10,打分卡!$K$10:$O$10),1)</f>
        <v>1</v>
      </c>
      <c r="AG924" s="41">
        <f>IFERROR(LOOKUP(R924,打分卡!$F$11:$J$11,打分卡!$K$11:$O$11),1)</f>
        <v>3</v>
      </c>
      <c r="AH924" s="41">
        <f>IFERROR(LOOKUP(U924,打分卡!$F$12:$J$12,打分卡!$K$12:$O$12),1)</f>
        <v>2</v>
      </c>
      <c r="AI924" s="41">
        <f>IFERROR(LOOKUP(X924,打分卡!$F$13:$J$13,打分卡!$K$13:$O$13),1)</f>
        <v>3</v>
      </c>
      <c r="AJ924" s="41">
        <f>IFERROR(LOOKUP(Y924,打分卡!$F$14:$J$14,打分卡!$K$14:$O$14),1)</f>
        <v>2</v>
      </c>
      <c r="AK924" s="41">
        <f>IFERROR(LOOKUP(W924,打分卡!$F$15:$J$15,打分卡!$K$15:$O$15),1)</f>
        <v>2</v>
      </c>
      <c r="AL924" s="43">
        <f t="shared" si="113"/>
        <v>5</v>
      </c>
      <c r="AM924" s="41">
        <f>IFERROR(LOOKUP(Z924,打分卡!$F$17:$H$17,打分卡!$K$17:$M$17),1)</f>
        <v>3</v>
      </c>
      <c r="AN924" s="44">
        <f>(打分卡!$D$7*AC924+打分卡!$D$8*AD924+打分卡!$D$9*AE924)/5</f>
        <v>8</v>
      </c>
      <c r="AO924" s="44">
        <f>(打分卡!$D$10*AF924+打分卡!$D$11*AG924)/5</f>
        <v>8</v>
      </c>
      <c r="AP924" s="44">
        <f>(打分卡!$D$12*AH924+打分卡!$D$13*AI924+打分卡!$D$14*AJ924+打分卡!$D$15*AK924)/5</f>
        <v>13.6</v>
      </c>
      <c r="AQ924" s="44">
        <f>(打分卡!$D$16*AL924+打分卡!$D$17*AM924)/5</f>
        <v>8.4</v>
      </c>
      <c r="AR924" s="47">
        <f t="shared" si="114"/>
        <v>38</v>
      </c>
      <c r="AS924" s="43" t="str">
        <f t="shared" si="115"/>
        <v>基础长尾</v>
      </c>
      <c r="AT924" s="43" t="str">
        <f t="shared" si="116"/>
        <v/>
      </c>
      <c r="AU924" s="43" t="str">
        <f t="shared" si="117"/>
        <v>激活：企微+Push低成本先跑</v>
      </c>
    </row>
    <row r="925" ht="15" customHeight="1" spans="1:47">
      <c r="A925" s="20" t="s">
        <v>2580</v>
      </c>
      <c r="B925" s="22" t="s">
        <v>2581</v>
      </c>
      <c r="C925" s="22" t="s">
        <v>195</v>
      </c>
      <c r="D925" s="22" t="s">
        <v>202</v>
      </c>
      <c r="E925" s="22" t="s">
        <v>181</v>
      </c>
      <c r="F925" s="20" t="s">
        <v>1072</v>
      </c>
      <c r="G925" s="22">
        <v>13</v>
      </c>
      <c r="H925" s="22" t="s">
        <v>301</v>
      </c>
      <c r="I925" s="22" t="s">
        <v>302</v>
      </c>
      <c r="J925" s="36">
        <v>4600</v>
      </c>
      <c r="K925" s="36">
        <v>2700</v>
      </c>
      <c r="L925" s="36">
        <v>2700</v>
      </c>
      <c r="M925" s="36">
        <f t="shared" si="112"/>
        <v>10000</v>
      </c>
      <c r="N925" s="34">
        <f t="shared" si="118"/>
        <v>5.24263985790349e-5</v>
      </c>
      <c r="O925" s="35">
        <f>SUM($M$2:M925)</f>
        <v>189439900</v>
      </c>
      <c r="P925" s="34">
        <f t="shared" si="119"/>
        <v>0.993165170417251</v>
      </c>
      <c r="Q925" s="39">
        <v>0.8</v>
      </c>
      <c r="R925" s="22">
        <v>10</v>
      </c>
      <c r="S925" s="22">
        <v>3</v>
      </c>
      <c r="T925" s="22">
        <v>0</v>
      </c>
      <c r="U925" s="39">
        <v>2.4</v>
      </c>
      <c r="V925" s="22">
        <v>8</v>
      </c>
      <c r="W925" s="22">
        <v>4</v>
      </c>
      <c r="X925" s="40">
        <v>23</v>
      </c>
      <c r="Y925" s="22">
        <v>0</v>
      </c>
      <c r="Z925" s="22">
        <v>0</v>
      </c>
      <c r="AA925" s="22" t="s">
        <v>185</v>
      </c>
      <c r="AB925" s="22" t="s">
        <v>220</v>
      </c>
      <c r="AC925" s="42">
        <f>IFERROR(LOOKUP(M925,打分卡!$F$7:$J$7,打分卡!$K$7:$O$7),1)</f>
        <v>1</v>
      </c>
      <c r="AD925" s="42">
        <f>IFERROR(LOOKUP(S925,打分卡!$F$8:$J$8,打分卡!$K$8:$O$8),1)</f>
        <v>3</v>
      </c>
      <c r="AE925" s="42">
        <f>IFERROR(LOOKUP(T925,打分卡!$F$9:$I$9,打分卡!$K$9:$N$9),1)</f>
        <v>1</v>
      </c>
      <c r="AF925" s="42">
        <f>IFERROR(LOOKUP(Q925,打分卡!$F$10:$J$10,打分卡!$K$10:$O$10),1)</f>
        <v>1</v>
      </c>
      <c r="AG925" s="42">
        <f>IFERROR(LOOKUP(R925,打分卡!$F$11:$J$11,打分卡!$K$11:$O$11),1)</f>
        <v>4</v>
      </c>
      <c r="AH925" s="42">
        <f>IFERROR(LOOKUP(U925,打分卡!$F$12:$J$12,打分卡!$K$12:$O$12),1)</f>
        <v>1</v>
      </c>
      <c r="AI925" s="42">
        <f>IFERROR(LOOKUP(X925,打分卡!$F$13:$J$13,打分卡!$K$13:$O$13),1)</f>
        <v>2</v>
      </c>
      <c r="AJ925" s="42">
        <f>IFERROR(LOOKUP(Y925,打分卡!$F$14:$J$14,打分卡!$K$14:$O$14),1)</f>
        <v>1</v>
      </c>
      <c r="AK925" s="42">
        <f>IFERROR(LOOKUP(W925,打分卡!$F$15:$J$15,打分卡!$K$15:$O$15),1)</f>
        <v>3</v>
      </c>
      <c r="AL925" s="45">
        <f t="shared" si="113"/>
        <v>3</v>
      </c>
      <c r="AM925" s="42">
        <f>IFERROR(LOOKUP(Z925,打分卡!$F$17:$H$17,打分卡!$K$17:$M$17),1)</f>
        <v>1</v>
      </c>
      <c r="AN925" s="46">
        <f>(打分卡!$D$7*AC925+打分卡!$D$8*AD925+打分卡!$D$9*AE925)/5</f>
        <v>11.2</v>
      </c>
      <c r="AO925" s="46">
        <f>(打分卡!$D$10*AF925+打分卡!$D$11*AG925)/5</f>
        <v>10</v>
      </c>
      <c r="AP925" s="46">
        <f>(打分卡!$D$12*AH925+打分卡!$D$13*AI925+打分卡!$D$14*AJ925+打分卡!$D$15*AK925)/5</f>
        <v>9.2</v>
      </c>
      <c r="AQ925" s="46">
        <f>(打分卡!$D$16*AL925+打分卡!$D$17*AM925)/5</f>
        <v>4.4</v>
      </c>
      <c r="AR925" s="48">
        <f t="shared" si="114"/>
        <v>34.8</v>
      </c>
      <c r="AS925" s="45" t="str">
        <f t="shared" si="115"/>
        <v>基础长尾</v>
      </c>
      <c r="AT925" s="45" t="str">
        <f t="shared" si="116"/>
        <v/>
      </c>
      <c r="AU925" s="45" t="str">
        <f t="shared" si="117"/>
        <v>激活：企微+Push低成本先跑</v>
      </c>
    </row>
    <row r="926" ht="15" customHeight="1" spans="1:47">
      <c r="A926" s="30" t="s">
        <v>2582</v>
      </c>
      <c r="B926" s="31" t="s">
        <v>2583</v>
      </c>
      <c r="C926" s="31" t="s">
        <v>179</v>
      </c>
      <c r="D926" s="31" t="s">
        <v>235</v>
      </c>
      <c r="E926" s="31" t="s">
        <v>181</v>
      </c>
      <c r="F926" s="30" t="s">
        <v>2584</v>
      </c>
      <c r="G926" s="31">
        <v>18</v>
      </c>
      <c r="H926" s="31" t="s">
        <v>301</v>
      </c>
      <c r="I926" s="31" t="s">
        <v>302</v>
      </c>
      <c r="J926" s="33">
        <v>5700</v>
      </c>
      <c r="K926" s="33">
        <v>3000</v>
      </c>
      <c r="L926" s="33">
        <v>1400</v>
      </c>
      <c r="M926" s="33">
        <f t="shared" si="112"/>
        <v>10100</v>
      </c>
      <c r="N926" s="34">
        <f t="shared" si="118"/>
        <v>5.29506625648252e-5</v>
      </c>
      <c r="O926" s="35">
        <f>SUM($M$2:M926)</f>
        <v>189450000</v>
      </c>
      <c r="P926" s="34">
        <f t="shared" si="119"/>
        <v>0.993218121079816</v>
      </c>
      <c r="Q926" s="37">
        <v>1.4</v>
      </c>
      <c r="R926" s="31">
        <v>5</v>
      </c>
      <c r="S926" s="31">
        <v>2</v>
      </c>
      <c r="T926" s="31">
        <v>1</v>
      </c>
      <c r="U926" s="37">
        <v>1.6</v>
      </c>
      <c r="V926" s="31">
        <v>3</v>
      </c>
      <c r="W926" s="31">
        <v>1</v>
      </c>
      <c r="X926" s="38">
        <v>39</v>
      </c>
      <c r="Y926" s="31">
        <v>3</v>
      </c>
      <c r="Z926" s="31">
        <v>0</v>
      </c>
      <c r="AA926" s="31" t="s">
        <v>185</v>
      </c>
      <c r="AB926" s="31" t="s">
        <v>220</v>
      </c>
      <c r="AC926" s="41">
        <f>IFERROR(LOOKUP(M926,打分卡!$F$7:$J$7,打分卡!$K$7:$O$7),1)</f>
        <v>1</v>
      </c>
      <c r="AD926" s="41">
        <f>IFERROR(LOOKUP(S926,打分卡!$F$8:$J$8,打分卡!$K$8:$O$8),1)</f>
        <v>2</v>
      </c>
      <c r="AE926" s="41">
        <f>IFERROR(LOOKUP(T926,打分卡!$F$9:$I$9,打分卡!$K$9:$N$9),1)</f>
        <v>2</v>
      </c>
      <c r="AF926" s="41">
        <f>IFERROR(LOOKUP(Q926,打分卡!$F$10:$J$10,打分卡!$K$10:$O$10),1)</f>
        <v>1</v>
      </c>
      <c r="AG926" s="41">
        <f>IFERROR(LOOKUP(R926,打分卡!$F$11:$J$11,打分卡!$K$11:$O$11),1)</f>
        <v>3</v>
      </c>
      <c r="AH926" s="41">
        <f>IFERROR(LOOKUP(U926,打分卡!$F$12:$J$12,打分卡!$K$12:$O$12),1)</f>
        <v>1</v>
      </c>
      <c r="AI926" s="41">
        <f>IFERROR(LOOKUP(X926,打分卡!$F$13:$J$13,打分卡!$K$13:$O$13),1)</f>
        <v>3</v>
      </c>
      <c r="AJ926" s="41">
        <f>IFERROR(LOOKUP(Y926,打分卡!$F$14:$J$14,打分卡!$K$14:$O$14),1)</f>
        <v>4</v>
      </c>
      <c r="AK926" s="41">
        <f>IFERROR(LOOKUP(W926,打分卡!$F$15:$J$15,打分卡!$K$15:$O$15),1)</f>
        <v>2</v>
      </c>
      <c r="AL926" s="43">
        <f t="shared" si="113"/>
        <v>3</v>
      </c>
      <c r="AM926" s="41">
        <f>IFERROR(LOOKUP(Z926,打分卡!$F$17:$H$17,打分卡!$K$17:$M$17),1)</f>
        <v>1</v>
      </c>
      <c r="AN926" s="44">
        <f>(打分卡!$D$7*AC926+打分卡!$D$8*AD926+打分卡!$D$9*AE926)/5</f>
        <v>11</v>
      </c>
      <c r="AO926" s="44">
        <f>(打分卡!$D$10*AF926+打分卡!$D$11*AG926)/5</f>
        <v>8</v>
      </c>
      <c r="AP926" s="44">
        <f>(打分卡!$D$12*AH926+打分卡!$D$13*AI926+打分卡!$D$14*AJ926+打分卡!$D$15*AK926)/5</f>
        <v>13.6</v>
      </c>
      <c r="AQ926" s="44">
        <f>(打分卡!$D$16*AL926+打分卡!$D$17*AM926)/5</f>
        <v>4.4</v>
      </c>
      <c r="AR926" s="47">
        <f t="shared" si="114"/>
        <v>37</v>
      </c>
      <c r="AS926" s="43" t="str">
        <f t="shared" si="115"/>
        <v>基础长尾</v>
      </c>
      <c r="AT926" s="43" t="str">
        <f t="shared" si="116"/>
        <v/>
      </c>
      <c r="AU926" s="43" t="str">
        <f t="shared" si="117"/>
        <v>激活：企微+Push低成本先跑</v>
      </c>
    </row>
    <row r="927" ht="15" customHeight="1" spans="1:47">
      <c r="A927" s="20" t="s">
        <v>2585</v>
      </c>
      <c r="B927" s="22" t="s">
        <v>2586</v>
      </c>
      <c r="C927" s="22" t="s">
        <v>234</v>
      </c>
      <c r="D927" s="22" t="s">
        <v>252</v>
      </c>
      <c r="E927" s="22" t="s">
        <v>197</v>
      </c>
      <c r="F927" s="20" t="s">
        <v>2587</v>
      </c>
      <c r="G927" s="22">
        <v>5</v>
      </c>
      <c r="H927" s="22" t="s">
        <v>301</v>
      </c>
      <c r="I927" s="22" t="s">
        <v>302</v>
      </c>
      <c r="J927" s="36">
        <v>5200</v>
      </c>
      <c r="K927" s="36">
        <v>2200</v>
      </c>
      <c r="L927" s="36">
        <v>2600</v>
      </c>
      <c r="M927" s="36">
        <f t="shared" si="112"/>
        <v>10000</v>
      </c>
      <c r="N927" s="34">
        <f t="shared" si="118"/>
        <v>5.24263985790349e-5</v>
      </c>
      <c r="O927" s="35">
        <f>SUM($M$2:M927)</f>
        <v>189460000</v>
      </c>
      <c r="P927" s="34">
        <f t="shared" si="119"/>
        <v>0.993270547478395</v>
      </c>
      <c r="Q927" s="39">
        <v>0.9</v>
      </c>
      <c r="R927" s="22">
        <v>4</v>
      </c>
      <c r="S927" s="22">
        <v>1</v>
      </c>
      <c r="T927" s="22">
        <v>1</v>
      </c>
      <c r="U927" s="39">
        <v>76.3</v>
      </c>
      <c r="V927" s="22">
        <v>6</v>
      </c>
      <c r="W927" s="22">
        <v>4</v>
      </c>
      <c r="X927" s="40">
        <v>13</v>
      </c>
      <c r="Y927" s="22">
        <v>0</v>
      </c>
      <c r="Z927" s="22">
        <v>0</v>
      </c>
      <c r="AA927" s="22" t="s">
        <v>199</v>
      </c>
      <c r="AB927" s="22" t="s">
        <v>220</v>
      </c>
      <c r="AC927" s="42">
        <f>IFERROR(LOOKUP(M927,打分卡!$F$7:$J$7,打分卡!$K$7:$O$7),1)</f>
        <v>1</v>
      </c>
      <c r="AD927" s="42">
        <f>IFERROR(LOOKUP(S927,打分卡!$F$8:$J$8,打分卡!$K$8:$O$8),1)</f>
        <v>1</v>
      </c>
      <c r="AE927" s="42">
        <f>IFERROR(LOOKUP(T927,打分卡!$F$9:$I$9,打分卡!$K$9:$N$9),1)</f>
        <v>2</v>
      </c>
      <c r="AF927" s="42">
        <f>IFERROR(LOOKUP(Q927,打分卡!$F$10:$J$10,打分卡!$K$10:$O$10),1)</f>
        <v>1</v>
      </c>
      <c r="AG927" s="42">
        <f>IFERROR(LOOKUP(R927,打分卡!$F$11:$J$11,打分卡!$K$11:$O$11),1)</f>
        <v>2</v>
      </c>
      <c r="AH927" s="42">
        <f>IFERROR(LOOKUP(U927,打分卡!$F$12:$J$12,打分卡!$K$12:$O$12),1)</f>
        <v>5</v>
      </c>
      <c r="AI927" s="42">
        <f>IFERROR(LOOKUP(X927,打分卡!$F$13:$J$13,打分卡!$K$13:$O$13),1)</f>
        <v>1</v>
      </c>
      <c r="AJ927" s="42">
        <f>IFERROR(LOOKUP(Y927,打分卡!$F$14:$J$14,打分卡!$K$14:$O$14),1)</f>
        <v>1</v>
      </c>
      <c r="AK927" s="42">
        <f>IFERROR(LOOKUP(W927,打分卡!$F$15:$J$15,打分卡!$K$15:$O$15),1)</f>
        <v>3</v>
      </c>
      <c r="AL927" s="45">
        <f t="shared" si="113"/>
        <v>5</v>
      </c>
      <c r="AM927" s="42">
        <f>IFERROR(LOOKUP(Z927,打分卡!$F$17:$H$17,打分卡!$K$17:$M$17),1)</f>
        <v>1</v>
      </c>
      <c r="AN927" s="46">
        <f>(打分卡!$D$7*AC927+打分卡!$D$8*AD927+打分卡!$D$9*AE927)/5</f>
        <v>9.4</v>
      </c>
      <c r="AO927" s="46">
        <f>(打分卡!$D$10*AF927+打分卡!$D$11*AG927)/5</f>
        <v>6</v>
      </c>
      <c r="AP927" s="46">
        <f>(打分卡!$D$12*AH927+打分卡!$D$13*AI927+打分卡!$D$14*AJ927+打分卡!$D$15*AK927)/5</f>
        <v>17.2</v>
      </c>
      <c r="AQ927" s="46">
        <f>(打分卡!$D$16*AL927+打分卡!$D$17*AM927)/5</f>
        <v>6.8</v>
      </c>
      <c r="AR927" s="48">
        <f t="shared" si="114"/>
        <v>39.4</v>
      </c>
      <c r="AS927" s="45" t="str">
        <f t="shared" si="115"/>
        <v>基础长尾</v>
      </c>
      <c r="AT927" s="45" t="str">
        <f t="shared" si="116"/>
        <v/>
      </c>
      <c r="AU927" s="45" t="str">
        <f t="shared" si="117"/>
        <v>激活：企微+Push低成本先跑</v>
      </c>
    </row>
    <row r="928" ht="15" customHeight="1" spans="1:47">
      <c r="A928" s="30" t="s">
        <v>2588</v>
      </c>
      <c r="B928" s="31" t="s">
        <v>2589</v>
      </c>
      <c r="C928" s="31" t="s">
        <v>239</v>
      </c>
      <c r="D928" s="31" t="s">
        <v>202</v>
      </c>
      <c r="E928" s="31" t="s">
        <v>197</v>
      </c>
      <c r="F928" s="30" t="s">
        <v>982</v>
      </c>
      <c r="G928" s="31">
        <v>22</v>
      </c>
      <c r="H928" s="31" t="s">
        <v>301</v>
      </c>
      <c r="I928" s="31" t="s">
        <v>184</v>
      </c>
      <c r="J928" s="33">
        <v>6200</v>
      </c>
      <c r="K928" s="33">
        <v>3300</v>
      </c>
      <c r="L928" s="33">
        <v>500</v>
      </c>
      <c r="M928" s="33">
        <f t="shared" si="112"/>
        <v>10000</v>
      </c>
      <c r="N928" s="34">
        <f t="shared" si="118"/>
        <v>5.24263985790349e-5</v>
      </c>
      <c r="O928" s="35">
        <f>SUM($M$2:M928)</f>
        <v>189470000</v>
      </c>
      <c r="P928" s="34">
        <f t="shared" si="119"/>
        <v>0.993322973876974</v>
      </c>
      <c r="Q928" s="37">
        <v>1</v>
      </c>
      <c r="R928" s="31">
        <v>10</v>
      </c>
      <c r="S928" s="31">
        <v>1</v>
      </c>
      <c r="T928" s="31">
        <v>1</v>
      </c>
      <c r="U928" s="37">
        <v>1.3</v>
      </c>
      <c r="V928" s="31">
        <v>25</v>
      </c>
      <c r="W928" s="31">
        <v>2</v>
      </c>
      <c r="X928" s="38">
        <v>64</v>
      </c>
      <c r="Y928" s="31">
        <v>3</v>
      </c>
      <c r="Z928" s="31">
        <v>0</v>
      </c>
      <c r="AA928" s="31" t="s">
        <v>199</v>
      </c>
      <c r="AB928" s="31" t="s">
        <v>220</v>
      </c>
      <c r="AC928" s="41">
        <f>IFERROR(LOOKUP(M928,打分卡!$F$7:$J$7,打分卡!$K$7:$O$7),1)</f>
        <v>1</v>
      </c>
      <c r="AD928" s="41">
        <f>IFERROR(LOOKUP(S928,打分卡!$F$8:$J$8,打分卡!$K$8:$O$8),1)</f>
        <v>1</v>
      </c>
      <c r="AE928" s="41">
        <f>IFERROR(LOOKUP(T928,打分卡!$F$9:$I$9,打分卡!$K$9:$N$9),1)</f>
        <v>2</v>
      </c>
      <c r="AF928" s="41">
        <f>IFERROR(LOOKUP(Q928,打分卡!$F$10:$J$10,打分卡!$K$10:$O$10),1)</f>
        <v>1</v>
      </c>
      <c r="AG928" s="41">
        <f>IFERROR(LOOKUP(R928,打分卡!$F$11:$J$11,打分卡!$K$11:$O$11),1)</f>
        <v>4</v>
      </c>
      <c r="AH928" s="41">
        <f>IFERROR(LOOKUP(U928,打分卡!$F$12:$J$12,打分卡!$K$12:$O$12),1)</f>
        <v>1</v>
      </c>
      <c r="AI928" s="41">
        <f>IFERROR(LOOKUP(X928,打分卡!$F$13:$J$13,打分卡!$K$13:$O$13),1)</f>
        <v>3</v>
      </c>
      <c r="AJ928" s="41">
        <f>IFERROR(LOOKUP(Y928,打分卡!$F$14:$J$14,打分卡!$K$14:$O$14),1)</f>
        <v>4</v>
      </c>
      <c r="AK928" s="41">
        <f>IFERROR(LOOKUP(W928,打分卡!$F$15:$J$15,打分卡!$K$15:$O$15),1)</f>
        <v>2</v>
      </c>
      <c r="AL928" s="43">
        <f t="shared" si="113"/>
        <v>5</v>
      </c>
      <c r="AM928" s="41">
        <f>IFERROR(LOOKUP(Z928,打分卡!$F$17:$H$17,打分卡!$K$17:$M$17),1)</f>
        <v>1</v>
      </c>
      <c r="AN928" s="44">
        <f>(打分卡!$D$7*AC928+打分卡!$D$8*AD928+打分卡!$D$9*AE928)/5</f>
        <v>9.4</v>
      </c>
      <c r="AO928" s="44">
        <f>(打分卡!$D$10*AF928+打分卡!$D$11*AG928)/5</f>
        <v>10</v>
      </c>
      <c r="AP928" s="44">
        <f>(打分卡!$D$12*AH928+打分卡!$D$13*AI928+打分卡!$D$14*AJ928+打分卡!$D$15*AK928)/5</f>
        <v>13.6</v>
      </c>
      <c r="AQ928" s="44">
        <f>(打分卡!$D$16*AL928+打分卡!$D$17*AM928)/5</f>
        <v>6.8</v>
      </c>
      <c r="AR928" s="47">
        <f t="shared" si="114"/>
        <v>39.8</v>
      </c>
      <c r="AS928" s="43" t="str">
        <f t="shared" si="115"/>
        <v>基础长尾</v>
      </c>
      <c r="AT928" s="43" t="str">
        <f t="shared" si="116"/>
        <v/>
      </c>
      <c r="AU928" s="43" t="str">
        <f t="shared" si="117"/>
        <v>激活：企微+Push低成本先跑</v>
      </c>
    </row>
    <row r="929" ht="15" customHeight="1" spans="1:47">
      <c r="A929" s="20" t="s">
        <v>2590</v>
      </c>
      <c r="B929" s="22" t="s">
        <v>2591</v>
      </c>
      <c r="C929" s="22" t="s">
        <v>234</v>
      </c>
      <c r="D929" s="22" t="s">
        <v>202</v>
      </c>
      <c r="E929" s="22" t="s">
        <v>197</v>
      </c>
      <c r="F929" s="20" t="s">
        <v>2288</v>
      </c>
      <c r="G929" s="22">
        <v>7</v>
      </c>
      <c r="H929" s="22" t="s">
        <v>301</v>
      </c>
      <c r="I929" s="22" t="s">
        <v>302</v>
      </c>
      <c r="J929" s="36">
        <v>4500</v>
      </c>
      <c r="K929" s="36">
        <v>2900</v>
      </c>
      <c r="L929" s="36">
        <v>2500</v>
      </c>
      <c r="M929" s="36">
        <f t="shared" si="112"/>
        <v>9900</v>
      </c>
      <c r="N929" s="34">
        <f t="shared" si="118"/>
        <v>5.19021345932445e-5</v>
      </c>
      <c r="O929" s="35">
        <f>SUM($M$2:M929)</f>
        <v>189479900</v>
      </c>
      <c r="P929" s="34">
        <f t="shared" si="119"/>
        <v>0.993374876011567</v>
      </c>
      <c r="Q929" s="39">
        <v>0.7</v>
      </c>
      <c r="R929" s="22">
        <v>2</v>
      </c>
      <c r="S929" s="22">
        <v>1</v>
      </c>
      <c r="T929" s="22">
        <v>2</v>
      </c>
      <c r="U929" s="39">
        <v>3.1</v>
      </c>
      <c r="V929" s="22">
        <v>10</v>
      </c>
      <c r="W929" s="22">
        <v>1</v>
      </c>
      <c r="X929" s="40">
        <v>35</v>
      </c>
      <c r="Y929" s="22">
        <v>3</v>
      </c>
      <c r="Z929" s="22">
        <v>1</v>
      </c>
      <c r="AA929" s="22" t="s">
        <v>315</v>
      </c>
      <c r="AB929" s="22" t="s">
        <v>220</v>
      </c>
      <c r="AC929" s="42">
        <f>IFERROR(LOOKUP(M929,打分卡!$F$7:$J$7,打分卡!$K$7:$O$7),1)</f>
        <v>1</v>
      </c>
      <c r="AD929" s="42">
        <f>IFERROR(LOOKUP(S929,打分卡!$F$8:$J$8,打分卡!$K$8:$O$8),1)</f>
        <v>1</v>
      </c>
      <c r="AE929" s="42">
        <f>IFERROR(LOOKUP(T929,打分卡!$F$9:$I$9,打分卡!$K$9:$N$9),1)</f>
        <v>3</v>
      </c>
      <c r="AF929" s="42">
        <f>IFERROR(LOOKUP(Q929,打分卡!$F$10:$J$10,打分卡!$K$10:$O$10),1)</f>
        <v>1</v>
      </c>
      <c r="AG929" s="42">
        <f>IFERROR(LOOKUP(R929,打分卡!$F$11:$J$11,打分卡!$K$11:$O$11),1)</f>
        <v>1</v>
      </c>
      <c r="AH929" s="42">
        <f>IFERROR(LOOKUP(U929,打分卡!$F$12:$J$12,打分卡!$K$12:$O$12),1)</f>
        <v>2</v>
      </c>
      <c r="AI929" s="42">
        <f>IFERROR(LOOKUP(X929,打分卡!$F$13:$J$13,打分卡!$K$13:$O$13),1)</f>
        <v>2</v>
      </c>
      <c r="AJ929" s="42">
        <f>IFERROR(LOOKUP(Y929,打分卡!$F$14:$J$14,打分卡!$K$14:$O$14),1)</f>
        <v>4</v>
      </c>
      <c r="AK929" s="42">
        <f>IFERROR(LOOKUP(W929,打分卡!$F$15:$J$15,打分卡!$K$15:$O$15),1)</f>
        <v>2</v>
      </c>
      <c r="AL929" s="45">
        <f t="shared" si="113"/>
        <v>2</v>
      </c>
      <c r="AM929" s="42">
        <f>IFERROR(LOOKUP(Z929,打分卡!$F$17:$H$17,打分卡!$K$17:$M$17),1)</f>
        <v>3</v>
      </c>
      <c r="AN929" s="46">
        <f>(打分卡!$D$7*AC929+打分卡!$D$8*AD929+打分卡!$D$9*AE929)/5</f>
        <v>10.8</v>
      </c>
      <c r="AO929" s="46">
        <f>(打分卡!$D$10*AF929+打分卡!$D$11*AG929)/5</f>
        <v>4</v>
      </c>
      <c r="AP929" s="46">
        <f>(打分卡!$D$12*AH929+打分卡!$D$13*AI929+打分卡!$D$14*AJ929+打分卡!$D$15*AK929)/5</f>
        <v>14.4</v>
      </c>
      <c r="AQ929" s="46">
        <f>(打分卡!$D$16*AL929+打分卡!$D$17*AM929)/5</f>
        <v>4.8</v>
      </c>
      <c r="AR929" s="48">
        <f t="shared" si="114"/>
        <v>34</v>
      </c>
      <c r="AS929" s="45" t="str">
        <f t="shared" si="115"/>
        <v>基础长尾</v>
      </c>
      <c r="AT929" s="45" t="str">
        <f t="shared" si="116"/>
        <v/>
      </c>
      <c r="AU929" s="45" t="str">
        <f t="shared" si="117"/>
        <v>激活：企微+Push低成本先跑</v>
      </c>
    </row>
    <row r="930" ht="15" customHeight="1" spans="1:47">
      <c r="A930" s="30" t="s">
        <v>2592</v>
      </c>
      <c r="B930" s="31" t="s">
        <v>2593</v>
      </c>
      <c r="C930" s="31" t="s">
        <v>239</v>
      </c>
      <c r="D930" s="31" t="s">
        <v>196</v>
      </c>
      <c r="E930" s="31" t="s">
        <v>181</v>
      </c>
      <c r="F930" s="30" t="s">
        <v>1135</v>
      </c>
      <c r="G930" s="31">
        <v>5</v>
      </c>
      <c r="H930" s="31" t="s">
        <v>301</v>
      </c>
      <c r="I930" s="31" t="s">
        <v>184</v>
      </c>
      <c r="J930" s="33">
        <v>6100</v>
      </c>
      <c r="K930" s="33">
        <v>3300</v>
      </c>
      <c r="L930" s="33">
        <v>600</v>
      </c>
      <c r="M930" s="33">
        <f t="shared" si="112"/>
        <v>10000</v>
      </c>
      <c r="N930" s="34">
        <f t="shared" si="118"/>
        <v>5.24263985790349e-5</v>
      </c>
      <c r="O930" s="35">
        <f>SUM($M$2:M930)</f>
        <v>189489900</v>
      </c>
      <c r="P930" s="34">
        <f t="shared" si="119"/>
        <v>0.993427302410146</v>
      </c>
      <c r="Q930" s="37">
        <v>0.7</v>
      </c>
      <c r="R930" s="31">
        <v>1</v>
      </c>
      <c r="S930" s="31">
        <v>3</v>
      </c>
      <c r="T930" s="31">
        <v>1</v>
      </c>
      <c r="U930" s="37">
        <v>2.7</v>
      </c>
      <c r="V930" s="31">
        <v>23</v>
      </c>
      <c r="W930" s="31">
        <v>3</v>
      </c>
      <c r="X930" s="38">
        <v>11</v>
      </c>
      <c r="Y930" s="31">
        <v>2</v>
      </c>
      <c r="Z930" s="31">
        <v>1</v>
      </c>
      <c r="AA930" s="31" t="s">
        <v>315</v>
      </c>
      <c r="AB930" s="31" t="s">
        <v>220</v>
      </c>
      <c r="AC930" s="41">
        <f>IFERROR(LOOKUP(M930,打分卡!$F$7:$J$7,打分卡!$K$7:$O$7),1)</f>
        <v>1</v>
      </c>
      <c r="AD930" s="41">
        <f>IFERROR(LOOKUP(S930,打分卡!$F$8:$J$8,打分卡!$K$8:$O$8),1)</f>
        <v>3</v>
      </c>
      <c r="AE930" s="41">
        <f>IFERROR(LOOKUP(T930,打分卡!$F$9:$I$9,打分卡!$K$9:$N$9),1)</f>
        <v>2</v>
      </c>
      <c r="AF930" s="41">
        <f>IFERROR(LOOKUP(Q930,打分卡!$F$10:$J$10,打分卡!$K$10:$O$10),1)</f>
        <v>1</v>
      </c>
      <c r="AG930" s="41">
        <f>IFERROR(LOOKUP(R930,打分卡!$F$11:$J$11,打分卡!$K$11:$O$11),1)</f>
        <v>1</v>
      </c>
      <c r="AH930" s="41">
        <f>IFERROR(LOOKUP(U930,打分卡!$F$12:$J$12,打分卡!$K$12:$O$12),1)</f>
        <v>1</v>
      </c>
      <c r="AI930" s="41">
        <f>IFERROR(LOOKUP(X930,打分卡!$F$13:$J$13,打分卡!$K$13:$O$13),1)</f>
        <v>1</v>
      </c>
      <c r="AJ930" s="41">
        <f>IFERROR(LOOKUP(Y930,打分卡!$F$14:$J$14,打分卡!$K$14:$O$14),1)</f>
        <v>3</v>
      </c>
      <c r="AK930" s="41">
        <f>IFERROR(LOOKUP(W930,打分卡!$F$15:$J$15,打分卡!$K$15:$O$15),1)</f>
        <v>3</v>
      </c>
      <c r="AL930" s="43">
        <f t="shared" si="113"/>
        <v>2</v>
      </c>
      <c r="AM930" s="41">
        <f>IFERROR(LOOKUP(Z930,打分卡!$F$17:$H$17,打分卡!$K$17:$M$17),1)</f>
        <v>3</v>
      </c>
      <c r="AN930" s="44">
        <f>(打分卡!$D$7*AC930+打分卡!$D$8*AD930+打分卡!$D$9*AE930)/5</f>
        <v>12.6</v>
      </c>
      <c r="AO930" s="44">
        <f>(打分卡!$D$10*AF930+打分卡!$D$11*AG930)/5</f>
        <v>4</v>
      </c>
      <c r="AP930" s="44">
        <f>(打分卡!$D$12*AH930+打分卡!$D$13*AI930+打分卡!$D$14*AJ930+打分卡!$D$15*AK930)/5</f>
        <v>10</v>
      </c>
      <c r="AQ930" s="44">
        <f>(打分卡!$D$16*AL930+打分卡!$D$17*AM930)/5</f>
        <v>4.8</v>
      </c>
      <c r="AR930" s="47">
        <f t="shared" si="114"/>
        <v>31.4</v>
      </c>
      <c r="AS930" s="43" t="str">
        <f t="shared" si="115"/>
        <v>基础长尾</v>
      </c>
      <c r="AT930" s="43" t="str">
        <f t="shared" si="116"/>
        <v/>
      </c>
      <c r="AU930" s="43" t="str">
        <f t="shared" si="117"/>
        <v>激活：企微+Push低成本先跑</v>
      </c>
    </row>
    <row r="931" ht="15" customHeight="1" spans="1:47">
      <c r="A931" s="20" t="s">
        <v>2594</v>
      </c>
      <c r="B931" s="22" t="s">
        <v>2595</v>
      </c>
      <c r="C931" s="22" t="s">
        <v>189</v>
      </c>
      <c r="D931" s="22" t="s">
        <v>196</v>
      </c>
      <c r="E931" s="22" t="s">
        <v>181</v>
      </c>
      <c r="F931" s="20" t="s">
        <v>1149</v>
      </c>
      <c r="G931" s="22">
        <v>24</v>
      </c>
      <c r="H931" s="22" t="s">
        <v>301</v>
      </c>
      <c r="I931" s="22" t="s">
        <v>302</v>
      </c>
      <c r="J931" s="36">
        <v>4600</v>
      </c>
      <c r="K931" s="36">
        <v>2200</v>
      </c>
      <c r="L931" s="36">
        <v>3000</v>
      </c>
      <c r="M931" s="36">
        <f t="shared" si="112"/>
        <v>9800</v>
      </c>
      <c r="N931" s="34">
        <f t="shared" si="118"/>
        <v>5.13778706074542e-5</v>
      </c>
      <c r="O931" s="35">
        <f>SUM($M$2:M931)</f>
        <v>189499700</v>
      </c>
      <c r="P931" s="34">
        <f t="shared" si="119"/>
        <v>0.993478680280754</v>
      </c>
      <c r="Q931" s="39">
        <v>0.9</v>
      </c>
      <c r="R931" s="22">
        <v>7</v>
      </c>
      <c r="S931" s="22">
        <v>3</v>
      </c>
      <c r="T931" s="22">
        <v>2</v>
      </c>
      <c r="U931" s="39">
        <v>4.2</v>
      </c>
      <c r="V931" s="22">
        <v>15</v>
      </c>
      <c r="W931" s="22">
        <v>2</v>
      </c>
      <c r="X931" s="40">
        <v>13</v>
      </c>
      <c r="Y931" s="22">
        <v>1</v>
      </c>
      <c r="Z931" s="22">
        <v>1</v>
      </c>
      <c r="AA931" s="22" t="s">
        <v>185</v>
      </c>
      <c r="AB931" s="22" t="s">
        <v>220</v>
      </c>
      <c r="AC931" s="42">
        <f>IFERROR(LOOKUP(M931,打分卡!$F$7:$J$7,打分卡!$K$7:$O$7),1)</f>
        <v>1</v>
      </c>
      <c r="AD931" s="42">
        <f>IFERROR(LOOKUP(S931,打分卡!$F$8:$J$8,打分卡!$K$8:$O$8),1)</f>
        <v>3</v>
      </c>
      <c r="AE931" s="42">
        <f>IFERROR(LOOKUP(T931,打分卡!$F$9:$I$9,打分卡!$K$9:$N$9),1)</f>
        <v>3</v>
      </c>
      <c r="AF931" s="42">
        <f>IFERROR(LOOKUP(Q931,打分卡!$F$10:$J$10,打分卡!$K$10:$O$10),1)</f>
        <v>1</v>
      </c>
      <c r="AG931" s="42">
        <f>IFERROR(LOOKUP(R931,打分卡!$F$11:$J$11,打分卡!$K$11:$O$11),1)</f>
        <v>3</v>
      </c>
      <c r="AH931" s="42">
        <f>IFERROR(LOOKUP(U931,打分卡!$F$12:$J$12,打分卡!$K$12:$O$12),1)</f>
        <v>2</v>
      </c>
      <c r="AI931" s="42">
        <f>IFERROR(LOOKUP(X931,打分卡!$F$13:$J$13,打分卡!$K$13:$O$13),1)</f>
        <v>1</v>
      </c>
      <c r="AJ931" s="42">
        <f>IFERROR(LOOKUP(Y931,打分卡!$F$14:$J$14,打分卡!$K$14:$O$14),1)</f>
        <v>2</v>
      </c>
      <c r="AK931" s="42">
        <f>IFERROR(LOOKUP(W931,打分卡!$F$15:$J$15,打分卡!$K$15:$O$15),1)</f>
        <v>2</v>
      </c>
      <c r="AL931" s="45">
        <f t="shared" si="113"/>
        <v>3</v>
      </c>
      <c r="AM931" s="42">
        <f>IFERROR(LOOKUP(Z931,打分卡!$F$17:$H$17,打分卡!$K$17:$M$17),1)</f>
        <v>3</v>
      </c>
      <c r="AN931" s="46">
        <f>(打分卡!$D$7*AC931+打分卡!$D$8*AD931+打分卡!$D$9*AE931)/5</f>
        <v>14</v>
      </c>
      <c r="AO931" s="46">
        <f>(打分卡!$D$10*AF931+打分卡!$D$11*AG931)/5</f>
        <v>8</v>
      </c>
      <c r="AP931" s="46">
        <f>(打分卡!$D$12*AH931+打分卡!$D$13*AI931+打分卡!$D$14*AJ931+打分卡!$D$15*AK931)/5</f>
        <v>10.4</v>
      </c>
      <c r="AQ931" s="46">
        <f>(打分卡!$D$16*AL931+打分卡!$D$17*AM931)/5</f>
        <v>6</v>
      </c>
      <c r="AR931" s="48">
        <f t="shared" si="114"/>
        <v>38.4</v>
      </c>
      <c r="AS931" s="45" t="str">
        <f t="shared" si="115"/>
        <v>基础长尾</v>
      </c>
      <c r="AT931" s="45" t="str">
        <f t="shared" si="116"/>
        <v/>
      </c>
      <c r="AU931" s="45" t="str">
        <f t="shared" si="117"/>
        <v>激活：企微+Push低成本先跑</v>
      </c>
    </row>
    <row r="932" ht="15" customHeight="1" spans="1:47">
      <c r="A932" s="30" t="s">
        <v>2596</v>
      </c>
      <c r="B932" s="31" t="s">
        <v>2597</v>
      </c>
      <c r="C932" s="31" t="s">
        <v>189</v>
      </c>
      <c r="D932" s="31" t="s">
        <v>190</v>
      </c>
      <c r="E932" s="31" t="s">
        <v>181</v>
      </c>
      <c r="F932" s="30" t="s">
        <v>1525</v>
      </c>
      <c r="G932" s="31">
        <v>11</v>
      </c>
      <c r="H932" s="31" t="s">
        <v>301</v>
      </c>
      <c r="I932" s="31" t="s">
        <v>184</v>
      </c>
      <c r="J932" s="33">
        <v>5400</v>
      </c>
      <c r="K932" s="33">
        <v>3800</v>
      </c>
      <c r="L932" s="33">
        <v>600</v>
      </c>
      <c r="M932" s="33">
        <f t="shared" si="112"/>
        <v>9800</v>
      </c>
      <c r="N932" s="34">
        <f t="shared" si="118"/>
        <v>5.13778706074542e-5</v>
      </c>
      <c r="O932" s="35">
        <f>SUM($M$2:M932)</f>
        <v>189509500</v>
      </c>
      <c r="P932" s="34">
        <f t="shared" si="119"/>
        <v>0.993530058151361</v>
      </c>
      <c r="Q932" s="37">
        <v>1.4</v>
      </c>
      <c r="R932" s="31">
        <v>4</v>
      </c>
      <c r="S932" s="31">
        <v>1</v>
      </c>
      <c r="T932" s="31">
        <v>0</v>
      </c>
      <c r="U932" s="37">
        <v>39.3</v>
      </c>
      <c r="V932" s="31">
        <v>5</v>
      </c>
      <c r="W932" s="31">
        <v>1</v>
      </c>
      <c r="X932" s="38">
        <v>56</v>
      </c>
      <c r="Y932" s="31">
        <v>3</v>
      </c>
      <c r="Z932" s="31">
        <v>0</v>
      </c>
      <c r="AA932" s="31" t="s">
        <v>315</v>
      </c>
      <c r="AB932" s="31" t="s">
        <v>220</v>
      </c>
      <c r="AC932" s="41">
        <f>IFERROR(LOOKUP(M932,打分卡!$F$7:$J$7,打分卡!$K$7:$O$7),1)</f>
        <v>1</v>
      </c>
      <c r="AD932" s="41">
        <f>IFERROR(LOOKUP(S932,打分卡!$F$8:$J$8,打分卡!$K$8:$O$8),1)</f>
        <v>1</v>
      </c>
      <c r="AE932" s="41">
        <f>IFERROR(LOOKUP(T932,打分卡!$F$9:$I$9,打分卡!$K$9:$N$9),1)</f>
        <v>1</v>
      </c>
      <c r="AF932" s="41">
        <f>IFERROR(LOOKUP(Q932,打分卡!$F$10:$J$10,打分卡!$K$10:$O$10),1)</f>
        <v>1</v>
      </c>
      <c r="AG932" s="41">
        <f>IFERROR(LOOKUP(R932,打分卡!$F$11:$J$11,打分卡!$K$11:$O$11),1)</f>
        <v>2</v>
      </c>
      <c r="AH932" s="41">
        <f>IFERROR(LOOKUP(U932,打分卡!$F$12:$J$12,打分卡!$K$12:$O$12),1)</f>
        <v>4</v>
      </c>
      <c r="AI932" s="41">
        <f>IFERROR(LOOKUP(X932,打分卡!$F$13:$J$13,打分卡!$K$13:$O$13),1)</f>
        <v>3</v>
      </c>
      <c r="AJ932" s="41">
        <f>IFERROR(LOOKUP(Y932,打分卡!$F$14:$J$14,打分卡!$K$14:$O$14),1)</f>
        <v>4</v>
      </c>
      <c r="AK932" s="41">
        <f>IFERROR(LOOKUP(W932,打分卡!$F$15:$J$15,打分卡!$K$15:$O$15),1)</f>
        <v>2</v>
      </c>
      <c r="AL932" s="43">
        <f t="shared" si="113"/>
        <v>2</v>
      </c>
      <c r="AM932" s="41">
        <f>IFERROR(LOOKUP(Z932,打分卡!$F$17:$H$17,打分卡!$K$17:$M$17),1)</f>
        <v>1</v>
      </c>
      <c r="AN932" s="44">
        <f>(打分卡!$D$7*AC932+打分卡!$D$8*AD932+打分卡!$D$9*AE932)/5</f>
        <v>8</v>
      </c>
      <c r="AO932" s="44">
        <f>(打分卡!$D$10*AF932+打分卡!$D$11*AG932)/5</f>
        <v>6</v>
      </c>
      <c r="AP932" s="44">
        <f>(打分卡!$D$12*AH932+打分卡!$D$13*AI932+打分卡!$D$14*AJ932+打分卡!$D$15*AK932)/5</f>
        <v>20.8</v>
      </c>
      <c r="AQ932" s="44">
        <f>(打分卡!$D$16*AL932+打分卡!$D$17*AM932)/5</f>
        <v>3.2</v>
      </c>
      <c r="AR932" s="47">
        <f t="shared" si="114"/>
        <v>38</v>
      </c>
      <c r="AS932" s="43" t="str">
        <f t="shared" si="115"/>
        <v>基础长尾</v>
      </c>
      <c r="AT932" s="43" t="str">
        <f t="shared" si="116"/>
        <v/>
      </c>
      <c r="AU932" s="43" t="str">
        <f t="shared" si="117"/>
        <v>激活：企微+Push低成本先跑</v>
      </c>
    </row>
    <row r="933" ht="15" customHeight="1" spans="1:47">
      <c r="A933" s="20" t="s">
        <v>2598</v>
      </c>
      <c r="B933" s="22" t="s">
        <v>2599</v>
      </c>
      <c r="C933" s="22" t="s">
        <v>189</v>
      </c>
      <c r="D933" s="22" t="s">
        <v>227</v>
      </c>
      <c r="E933" s="22" t="s">
        <v>181</v>
      </c>
      <c r="F933" s="20" t="s">
        <v>2600</v>
      </c>
      <c r="G933" s="22">
        <v>19</v>
      </c>
      <c r="H933" s="22" t="s">
        <v>301</v>
      </c>
      <c r="I933" s="22" t="s">
        <v>302</v>
      </c>
      <c r="J933" s="36">
        <v>4900</v>
      </c>
      <c r="K933" s="36">
        <v>2200</v>
      </c>
      <c r="L933" s="36">
        <v>2700</v>
      </c>
      <c r="M933" s="36">
        <f t="shared" si="112"/>
        <v>9800</v>
      </c>
      <c r="N933" s="34">
        <f t="shared" si="118"/>
        <v>5.13778706074542e-5</v>
      </c>
      <c r="O933" s="35">
        <f>SUM($M$2:M933)</f>
        <v>189519300</v>
      </c>
      <c r="P933" s="34">
        <f t="shared" si="119"/>
        <v>0.993581436021969</v>
      </c>
      <c r="Q933" s="39">
        <v>1.2</v>
      </c>
      <c r="R933" s="22">
        <v>6</v>
      </c>
      <c r="S933" s="22">
        <v>3</v>
      </c>
      <c r="T933" s="22">
        <v>1</v>
      </c>
      <c r="U933" s="39">
        <v>14.7</v>
      </c>
      <c r="V933" s="22">
        <v>29</v>
      </c>
      <c r="W933" s="22">
        <v>3</v>
      </c>
      <c r="X933" s="40">
        <v>91</v>
      </c>
      <c r="Y933" s="22">
        <v>3</v>
      </c>
      <c r="Z933" s="22">
        <v>0</v>
      </c>
      <c r="AA933" s="22" t="s">
        <v>185</v>
      </c>
      <c r="AB933" s="22" t="s">
        <v>220</v>
      </c>
      <c r="AC933" s="42">
        <f>IFERROR(LOOKUP(M933,打分卡!$F$7:$J$7,打分卡!$K$7:$O$7),1)</f>
        <v>1</v>
      </c>
      <c r="AD933" s="42">
        <f>IFERROR(LOOKUP(S933,打分卡!$F$8:$J$8,打分卡!$K$8:$O$8),1)</f>
        <v>3</v>
      </c>
      <c r="AE933" s="42">
        <f>IFERROR(LOOKUP(T933,打分卡!$F$9:$I$9,打分卡!$K$9:$N$9),1)</f>
        <v>2</v>
      </c>
      <c r="AF933" s="42">
        <f>IFERROR(LOOKUP(Q933,打分卡!$F$10:$J$10,打分卡!$K$10:$O$10),1)</f>
        <v>1</v>
      </c>
      <c r="AG933" s="42">
        <f>IFERROR(LOOKUP(R933,打分卡!$F$11:$J$11,打分卡!$K$11:$O$11),1)</f>
        <v>3</v>
      </c>
      <c r="AH933" s="42">
        <f>IFERROR(LOOKUP(U933,打分卡!$F$12:$J$12,打分卡!$K$12:$O$12),1)</f>
        <v>3</v>
      </c>
      <c r="AI933" s="42">
        <f>IFERROR(LOOKUP(X933,打分卡!$F$13:$J$13,打分卡!$K$13:$O$13),1)</f>
        <v>4</v>
      </c>
      <c r="AJ933" s="42">
        <f>IFERROR(LOOKUP(Y933,打分卡!$F$14:$J$14,打分卡!$K$14:$O$14),1)</f>
        <v>4</v>
      </c>
      <c r="AK933" s="42">
        <f>IFERROR(LOOKUP(W933,打分卡!$F$15:$J$15,打分卡!$K$15:$O$15),1)</f>
        <v>3</v>
      </c>
      <c r="AL933" s="45">
        <f t="shared" si="113"/>
        <v>3</v>
      </c>
      <c r="AM933" s="42">
        <f>IFERROR(LOOKUP(Z933,打分卡!$F$17:$H$17,打分卡!$K$17:$M$17),1)</f>
        <v>1</v>
      </c>
      <c r="AN933" s="46">
        <f>(打分卡!$D$7*AC933+打分卡!$D$8*AD933+打分卡!$D$9*AE933)/5</f>
        <v>12.6</v>
      </c>
      <c r="AO933" s="46">
        <f>(打分卡!$D$10*AF933+打分卡!$D$11*AG933)/5</f>
        <v>8</v>
      </c>
      <c r="AP933" s="46">
        <f>(打分卡!$D$12*AH933+打分卡!$D$13*AI933+打分卡!$D$14*AJ933+打分卡!$D$15*AK933)/5</f>
        <v>20.8</v>
      </c>
      <c r="AQ933" s="46">
        <f>(打分卡!$D$16*AL933+打分卡!$D$17*AM933)/5</f>
        <v>4.4</v>
      </c>
      <c r="AR933" s="48">
        <f t="shared" si="114"/>
        <v>45.8</v>
      </c>
      <c r="AS933" s="45" t="str">
        <f t="shared" si="115"/>
        <v>腰部</v>
      </c>
      <c r="AT933" s="45" t="str">
        <f t="shared" si="116"/>
        <v/>
      </c>
      <c r="AU933" s="45" t="str">
        <f t="shared" si="117"/>
        <v>拉·主攻：主推AI外呼+大促作战包</v>
      </c>
    </row>
    <row r="934" ht="15" customHeight="1" spans="1:47">
      <c r="A934" s="30" t="s">
        <v>2601</v>
      </c>
      <c r="B934" s="31" t="s">
        <v>2602</v>
      </c>
      <c r="C934" s="31" t="s">
        <v>179</v>
      </c>
      <c r="D934" s="31" t="s">
        <v>202</v>
      </c>
      <c r="E934" s="31" t="s">
        <v>197</v>
      </c>
      <c r="F934" s="30" t="s">
        <v>2237</v>
      </c>
      <c r="G934" s="31">
        <v>9</v>
      </c>
      <c r="H934" s="31" t="s">
        <v>301</v>
      </c>
      <c r="I934" s="31" t="s">
        <v>302</v>
      </c>
      <c r="J934" s="33">
        <v>4800</v>
      </c>
      <c r="K934" s="33">
        <v>3200</v>
      </c>
      <c r="L934" s="33">
        <v>1700</v>
      </c>
      <c r="M934" s="33">
        <f t="shared" si="112"/>
        <v>9700</v>
      </c>
      <c r="N934" s="34">
        <f t="shared" si="118"/>
        <v>5.08536066216638e-5</v>
      </c>
      <c r="O934" s="35">
        <f>SUM($M$2:M934)</f>
        <v>189529000</v>
      </c>
      <c r="P934" s="34">
        <f t="shared" si="119"/>
        <v>0.99363228962859</v>
      </c>
      <c r="Q934" s="37">
        <v>1.5</v>
      </c>
      <c r="R934" s="31">
        <v>6</v>
      </c>
      <c r="S934" s="31">
        <v>2</v>
      </c>
      <c r="T934" s="31">
        <v>0</v>
      </c>
      <c r="U934" s="37">
        <v>56.7</v>
      </c>
      <c r="V934" s="31">
        <v>26</v>
      </c>
      <c r="W934" s="31">
        <v>3</v>
      </c>
      <c r="X934" s="38">
        <v>48</v>
      </c>
      <c r="Y934" s="31">
        <v>3</v>
      </c>
      <c r="Z934" s="31">
        <v>1</v>
      </c>
      <c r="AA934" s="31" t="s">
        <v>315</v>
      </c>
      <c r="AB934" s="31" t="s">
        <v>220</v>
      </c>
      <c r="AC934" s="41">
        <f>IFERROR(LOOKUP(M934,打分卡!$F$7:$J$7,打分卡!$K$7:$O$7),1)</f>
        <v>1</v>
      </c>
      <c r="AD934" s="41">
        <f>IFERROR(LOOKUP(S934,打分卡!$F$8:$J$8,打分卡!$K$8:$O$8),1)</f>
        <v>2</v>
      </c>
      <c r="AE934" s="41">
        <f>IFERROR(LOOKUP(T934,打分卡!$F$9:$I$9,打分卡!$K$9:$N$9),1)</f>
        <v>1</v>
      </c>
      <c r="AF934" s="41">
        <f>IFERROR(LOOKUP(Q934,打分卡!$F$10:$J$10,打分卡!$K$10:$O$10),1)</f>
        <v>1</v>
      </c>
      <c r="AG934" s="41">
        <f>IFERROR(LOOKUP(R934,打分卡!$F$11:$J$11,打分卡!$K$11:$O$11),1)</f>
        <v>3</v>
      </c>
      <c r="AH934" s="41">
        <f>IFERROR(LOOKUP(U934,打分卡!$F$12:$J$12,打分卡!$K$12:$O$12),1)</f>
        <v>4</v>
      </c>
      <c r="AI934" s="41">
        <f>IFERROR(LOOKUP(X934,打分卡!$F$13:$J$13,打分卡!$K$13:$O$13),1)</f>
        <v>3</v>
      </c>
      <c r="AJ934" s="41">
        <f>IFERROR(LOOKUP(Y934,打分卡!$F$14:$J$14,打分卡!$K$14:$O$14),1)</f>
        <v>4</v>
      </c>
      <c r="AK934" s="41">
        <f>IFERROR(LOOKUP(W934,打分卡!$F$15:$J$15,打分卡!$K$15:$O$15),1)</f>
        <v>3</v>
      </c>
      <c r="AL934" s="43">
        <f t="shared" si="113"/>
        <v>2</v>
      </c>
      <c r="AM934" s="41">
        <f>IFERROR(LOOKUP(Z934,打分卡!$F$17:$H$17,打分卡!$K$17:$M$17),1)</f>
        <v>3</v>
      </c>
      <c r="AN934" s="44">
        <f>(打分卡!$D$7*AC934+打分卡!$D$8*AD934+打分卡!$D$9*AE934)/5</f>
        <v>9.6</v>
      </c>
      <c r="AO934" s="44">
        <f>(打分卡!$D$10*AF934+打分卡!$D$11*AG934)/5</f>
        <v>8</v>
      </c>
      <c r="AP934" s="44">
        <f>(打分卡!$D$12*AH934+打分卡!$D$13*AI934+打分卡!$D$14*AJ934+打分卡!$D$15*AK934)/5</f>
        <v>21.6</v>
      </c>
      <c r="AQ934" s="44">
        <f>(打分卡!$D$16*AL934+打分卡!$D$17*AM934)/5</f>
        <v>4.8</v>
      </c>
      <c r="AR934" s="47">
        <f t="shared" si="114"/>
        <v>44</v>
      </c>
      <c r="AS934" s="43" t="str">
        <f t="shared" si="115"/>
        <v>腰部</v>
      </c>
      <c r="AT934" s="43" t="str">
        <f t="shared" si="116"/>
        <v/>
      </c>
      <c r="AU934" s="43" t="str">
        <f t="shared" si="117"/>
        <v>拉·主攻：主推AI外呼+大促作战包</v>
      </c>
    </row>
    <row r="935" ht="15" customHeight="1" spans="1:47">
      <c r="A935" s="20" t="s">
        <v>2603</v>
      </c>
      <c r="B935" s="22" t="s">
        <v>2604</v>
      </c>
      <c r="C935" s="22" t="s">
        <v>209</v>
      </c>
      <c r="D935" s="22" t="s">
        <v>196</v>
      </c>
      <c r="E935" s="22" t="s">
        <v>181</v>
      </c>
      <c r="F935" s="20" t="s">
        <v>357</v>
      </c>
      <c r="G935" s="22">
        <v>24</v>
      </c>
      <c r="H935" s="22" t="s">
        <v>301</v>
      </c>
      <c r="I935" s="22" t="s">
        <v>184</v>
      </c>
      <c r="J935" s="36">
        <v>5800</v>
      </c>
      <c r="K935" s="36">
        <v>3400</v>
      </c>
      <c r="L935" s="36">
        <v>500</v>
      </c>
      <c r="M935" s="36">
        <f t="shared" si="112"/>
        <v>9700</v>
      </c>
      <c r="N935" s="34">
        <f t="shared" si="118"/>
        <v>5.08536066216638e-5</v>
      </c>
      <c r="O935" s="35">
        <f>SUM($M$2:M935)</f>
        <v>189538700</v>
      </c>
      <c r="P935" s="34">
        <f t="shared" si="119"/>
        <v>0.993683143235212</v>
      </c>
      <c r="Q935" s="39">
        <v>1.3</v>
      </c>
      <c r="R935" s="22">
        <v>3</v>
      </c>
      <c r="S935" s="22">
        <v>1</v>
      </c>
      <c r="T935" s="22">
        <v>0</v>
      </c>
      <c r="U935" s="39">
        <v>4.7</v>
      </c>
      <c r="V935" s="22">
        <v>13</v>
      </c>
      <c r="W935" s="22">
        <v>2</v>
      </c>
      <c r="X935" s="40">
        <v>43</v>
      </c>
      <c r="Y935" s="22">
        <v>3</v>
      </c>
      <c r="Z935" s="22">
        <v>1</v>
      </c>
      <c r="AA935" s="22" t="s">
        <v>315</v>
      </c>
      <c r="AB935" s="22" t="s">
        <v>220</v>
      </c>
      <c r="AC935" s="42">
        <f>IFERROR(LOOKUP(M935,打分卡!$F$7:$J$7,打分卡!$K$7:$O$7),1)</f>
        <v>1</v>
      </c>
      <c r="AD935" s="42">
        <f>IFERROR(LOOKUP(S935,打分卡!$F$8:$J$8,打分卡!$K$8:$O$8),1)</f>
        <v>1</v>
      </c>
      <c r="AE935" s="42">
        <f>IFERROR(LOOKUP(T935,打分卡!$F$9:$I$9,打分卡!$K$9:$N$9),1)</f>
        <v>1</v>
      </c>
      <c r="AF935" s="42">
        <f>IFERROR(LOOKUP(Q935,打分卡!$F$10:$J$10,打分卡!$K$10:$O$10),1)</f>
        <v>1</v>
      </c>
      <c r="AG935" s="42">
        <f>IFERROR(LOOKUP(R935,打分卡!$F$11:$J$11,打分卡!$K$11:$O$11),1)</f>
        <v>2</v>
      </c>
      <c r="AH935" s="42">
        <f>IFERROR(LOOKUP(U935,打分卡!$F$12:$J$12,打分卡!$K$12:$O$12),1)</f>
        <v>2</v>
      </c>
      <c r="AI935" s="42">
        <f>IFERROR(LOOKUP(X935,打分卡!$F$13:$J$13,打分卡!$K$13:$O$13),1)</f>
        <v>3</v>
      </c>
      <c r="AJ935" s="42">
        <f>IFERROR(LOOKUP(Y935,打分卡!$F$14:$J$14,打分卡!$K$14:$O$14),1)</f>
        <v>4</v>
      </c>
      <c r="AK935" s="42">
        <f>IFERROR(LOOKUP(W935,打分卡!$F$15:$J$15,打分卡!$K$15:$O$15),1)</f>
        <v>2</v>
      </c>
      <c r="AL935" s="45">
        <f t="shared" si="113"/>
        <v>2</v>
      </c>
      <c r="AM935" s="42">
        <f>IFERROR(LOOKUP(Z935,打分卡!$F$17:$H$17,打分卡!$K$17:$M$17),1)</f>
        <v>3</v>
      </c>
      <c r="AN935" s="46">
        <f>(打分卡!$D$7*AC935+打分卡!$D$8*AD935+打分卡!$D$9*AE935)/5</f>
        <v>8</v>
      </c>
      <c r="AO935" s="46">
        <f>(打分卡!$D$10*AF935+打分卡!$D$11*AG935)/5</f>
        <v>6</v>
      </c>
      <c r="AP935" s="46">
        <f>(打分卡!$D$12*AH935+打分卡!$D$13*AI935+打分卡!$D$14*AJ935+打分卡!$D$15*AK935)/5</f>
        <v>16</v>
      </c>
      <c r="AQ935" s="46">
        <f>(打分卡!$D$16*AL935+打分卡!$D$17*AM935)/5</f>
        <v>4.8</v>
      </c>
      <c r="AR935" s="48">
        <f t="shared" si="114"/>
        <v>34.8</v>
      </c>
      <c r="AS935" s="45" t="str">
        <f t="shared" si="115"/>
        <v>基础长尾</v>
      </c>
      <c r="AT935" s="45" t="str">
        <f t="shared" si="116"/>
        <v/>
      </c>
      <c r="AU935" s="45" t="str">
        <f t="shared" si="117"/>
        <v>激活：企微+Push低成本先跑</v>
      </c>
    </row>
    <row r="936" ht="15" customHeight="1" spans="1:47">
      <c r="A936" s="30" t="s">
        <v>2605</v>
      </c>
      <c r="B936" s="31" t="s">
        <v>2606</v>
      </c>
      <c r="C936" s="31" t="s">
        <v>239</v>
      </c>
      <c r="D936" s="31" t="s">
        <v>196</v>
      </c>
      <c r="E936" s="31" t="s">
        <v>181</v>
      </c>
      <c r="F936" s="30" t="s">
        <v>1987</v>
      </c>
      <c r="G936" s="31">
        <v>20</v>
      </c>
      <c r="H936" s="31" t="s">
        <v>301</v>
      </c>
      <c r="I936" s="31" t="s">
        <v>184</v>
      </c>
      <c r="J936" s="33">
        <v>4900</v>
      </c>
      <c r="K936" s="33">
        <v>3100</v>
      </c>
      <c r="L936" s="33">
        <v>1600</v>
      </c>
      <c r="M936" s="33">
        <f t="shared" si="112"/>
        <v>9600</v>
      </c>
      <c r="N936" s="34">
        <f t="shared" si="118"/>
        <v>5.03293426358735e-5</v>
      </c>
      <c r="O936" s="35">
        <f>SUM($M$2:M936)</f>
        <v>189548300</v>
      </c>
      <c r="P936" s="34">
        <f t="shared" si="119"/>
        <v>0.993733472577848</v>
      </c>
      <c r="Q936" s="37">
        <v>0.6</v>
      </c>
      <c r="R936" s="31">
        <v>5</v>
      </c>
      <c r="S936" s="31">
        <v>2</v>
      </c>
      <c r="T936" s="31">
        <v>1</v>
      </c>
      <c r="U936" s="37">
        <v>62.9</v>
      </c>
      <c r="V936" s="31">
        <v>22</v>
      </c>
      <c r="W936" s="31">
        <v>3</v>
      </c>
      <c r="X936" s="38">
        <v>35</v>
      </c>
      <c r="Y936" s="31">
        <v>1</v>
      </c>
      <c r="Z936" s="31">
        <v>1</v>
      </c>
      <c r="AA936" s="31" t="s">
        <v>199</v>
      </c>
      <c r="AB936" s="31" t="s">
        <v>220</v>
      </c>
      <c r="AC936" s="41">
        <f>IFERROR(LOOKUP(M936,打分卡!$F$7:$J$7,打分卡!$K$7:$O$7),1)</f>
        <v>1</v>
      </c>
      <c r="AD936" s="41">
        <f>IFERROR(LOOKUP(S936,打分卡!$F$8:$J$8,打分卡!$K$8:$O$8),1)</f>
        <v>2</v>
      </c>
      <c r="AE936" s="41">
        <f>IFERROR(LOOKUP(T936,打分卡!$F$9:$I$9,打分卡!$K$9:$N$9),1)</f>
        <v>2</v>
      </c>
      <c r="AF936" s="41">
        <f>IFERROR(LOOKUP(Q936,打分卡!$F$10:$J$10,打分卡!$K$10:$O$10),1)</f>
        <v>1</v>
      </c>
      <c r="AG936" s="41">
        <f>IFERROR(LOOKUP(R936,打分卡!$F$11:$J$11,打分卡!$K$11:$O$11),1)</f>
        <v>3</v>
      </c>
      <c r="AH936" s="41">
        <f>IFERROR(LOOKUP(U936,打分卡!$F$12:$J$12,打分卡!$K$12:$O$12),1)</f>
        <v>4</v>
      </c>
      <c r="AI936" s="41">
        <f>IFERROR(LOOKUP(X936,打分卡!$F$13:$J$13,打分卡!$K$13:$O$13),1)</f>
        <v>2</v>
      </c>
      <c r="AJ936" s="41">
        <f>IFERROR(LOOKUP(Y936,打分卡!$F$14:$J$14,打分卡!$K$14:$O$14),1)</f>
        <v>2</v>
      </c>
      <c r="AK936" s="41">
        <f>IFERROR(LOOKUP(W936,打分卡!$F$15:$J$15,打分卡!$K$15:$O$15),1)</f>
        <v>3</v>
      </c>
      <c r="AL936" s="43">
        <f t="shared" si="113"/>
        <v>5</v>
      </c>
      <c r="AM936" s="41">
        <f>IFERROR(LOOKUP(Z936,打分卡!$F$17:$H$17,打分卡!$K$17:$M$17),1)</f>
        <v>3</v>
      </c>
      <c r="AN936" s="44">
        <f>(打分卡!$D$7*AC936+打分卡!$D$8*AD936+打分卡!$D$9*AE936)/5</f>
        <v>11</v>
      </c>
      <c r="AO936" s="44">
        <f>(打分卡!$D$10*AF936+打分卡!$D$11*AG936)/5</f>
        <v>8</v>
      </c>
      <c r="AP936" s="44">
        <f>(打分卡!$D$12*AH936+打分卡!$D$13*AI936+打分卡!$D$14*AJ936+打分卡!$D$15*AK936)/5</f>
        <v>17.6</v>
      </c>
      <c r="AQ936" s="44">
        <f>(打分卡!$D$16*AL936+打分卡!$D$17*AM936)/5</f>
        <v>8.4</v>
      </c>
      <c r="AR936" s="47">
        <f t="shared" si="114"/>
        <v>45</v>
      </c>
      <c r="AS936" s="43" t="str">
        <f t="shared" si="115"/>
        <v>腰部</v>
      </c>
      <c r="AT936" s="43" t="str">
        <f t="shared" si="116"/>
        <v/>
      </c>
      <c r="AU936" s="43" t="str">
        <f t="shared" si="117"/>
        <v>拉·主攻：主推AI外呼+大促作战包</v>
      </c>
    </row>
    <row r="937" ht="15" customHeight="1" spans="1:47">
      <c r="A937" s="20" t="s">
        <v>2607</v>
      </c>
      <c r="B937" s="22" t="s">
        <v>2608</v>
      </c>
      <c r="C937" s="22" t="s">
        <v>223</v>
      </c>
      <c r="D937" s="22" t="s">
        <v>227</v>
      </c>
      <c r="E937" s="22" t="s">
        <v>197</v>
      </c>
      <c r="F937" s="20" t="s">
        <v>1046</v>
      </c>
      <c r="G937" s="22">
        <v>23</v>
      </c>
      <c r="H937" s="22" t="s">
        <v>301</v>
      </c>
      <c r="I937" s="22" t="s">
        <v>184</v>
      </c>
      <c r="J937" s="36">
        <v>5700</v>
      </c>
      <c r="K937" s="36">
        <v>2200</v>
      </c>
      <c r="L937" s="36">
        <v>1700</v>
      </c>
      <c r="M937" s="36">
        <f t="shared" si="112"/>
        <v>9600</v>
      </c>
      <c r="N937" s="34">
        <f t="shared" si="118"/>
        <v>5.03293426358735e-5</v>
      </c>
      <c r="O937" s="35">
        <f>SUM($M$2:M937)</f>
        <v>189557900</v>
      </c>
      <c r="P937" s="34">
        <f t="shared" si="119"/>
        <v>0.993783801920484</v>
      </c>
      <c r="Q937" s="39">
        <v>1.2</v>
      </c>
      <c r="R937" s="22">
        <v>4</v>
      </c>
      <c r="S937" s="22">
        <v>2</v>
      </c>
      <c r="T937" s="22">
        <v>2</v>
      </c>
      <c r="U937" s="39">
        <v>19.5</v>
      </c>
      <c r="V937" s="22">
        <v>13</v>
      </c>
      <c r="W937" s="22">
        <v>1</v>
      </c>
      <c r="X937" s="40">
        <v>20</v>
      </c>
      <c r="Y937" s="22">
        <v>1</v>
      </c>
      <c r="Z937" s="22">
        <v>0</v>
      </c>
      <c r="AA937" s="22" t="s">
        <v>199</v>
      </c>
      <c r="AB937" s="22" t="s">
        <v>220</v>
      </c>
      <c r="AC937" s="42">
        <f>IFERROR(LOOKUP(M937,打分卡!$F$7:$J$7,打分卡!$K$7:$O$7),1)</f>
        <v>1</v>
      </c>
      <c r="AD937" s="42">
        <f>IFERROR(LOOKUP(S937,打分卡!$F$8:$J$8,打分卡!$K$8:$O$8),1)</f>
        <v>2</v>
      </c>
      <c r="AE937" s="42">
        <f>IFERROR(LOOKUP(T937,打分卡!$F$9:$I$9,打分卡!$K$9:$N$9),1)</f>
        <v>3</v>
      </c>
      <c r="AF937" s="42">
        <f>IFERROR(LOOKUP(Q937,打分卡!$F$10:$J$10,打分卡!$K$10:$O$10),1)</f>
        <v>1</v>
      </c>
      <c r="AG937" s="42">
        <f>IFERROR(LOOKUP(R937,打分卡!$F$11:$J$11,打分卡!$K$11:$O$11),1)</f>
        <v>2</v>
      </c>
      <c r="AH937" s="42">
        <f>IFERROR(LOOKUP(U937,打分卡!$F$12:$J$12,打分卡!$K$12:$O$12),1)</f>
        <v>3</v>
      </c>
      <c r="AI937" s="42">
        <f>IFERROR(LOOKUP(X937,打分卡!$F$13:$J$13,打分卡!$K$13:$O$13),1)</f>
        <v>2</v>
      </c>
      <c r="AJ937" s="42">
        <f>IFERROR(LOOKUP(Y937,打分卡!$F$14:$J$14,打分卡!$K$14:$O$14),1)</f>
        <v>2</v>
      </c>
      <c r="AK937" s="42">
        <f>IFERROR(LOOKUP(W937,打分卡!$F$15:$J$15,打分卡!$K$15:$O$15),1)</f>
        <v>2</v>
      </c>
      <c r="AL937" s="45">
        <f t="shared" si="113"/>
        <v>5</v>
      </c>
      <c r="AM937" s="42">
        <f>IFERROR(LOOKUP(Z937,打分卡!$F$17:$H$17,打分卡!$K$17:$M$17),1)</f>
        <v>1</v>
      </c>
      <c r="AN937" s="46">
        <f>(打分卡!$D$7*AC937+打分卡!$D$8*AD937+打分卡!$D$9*AE937)/5</f>
        <v>12.4</v>
      </c>
      <c r="AO937" s="46">
        <f>(打分卡!$D$10*AF937+打分卡!$D$11*AG937)/5</f>
        <v>6</v>
      </c>
      <c r="AP937" s="46">
        <f>(打分卡!$D$12*AH937+打分卡!$D$13*AI937+打分卡!$D$14*AJ937+打分卡!$D$15*AK937)/5</f>
        <v>14.4</v>
      </c>
      <c r="AQ937" s="46">
        <f>(打分卡!$D$16*AL937+打分卡!$D$17*AM937)/5</f>
        <v>6.8</v>
      </c>
      <c r="AR937" s="48">
        <f t="shared" si="114"/>
        <v>39.6</v>
      </c>
      <c r="AS937" s="45" t="str">
        <f t="shared" si="115"/>
        <v>基础长尾</v>
      </c>
      <c r="AT937" s="45" t="str">
        <f t="shared" si="116"/>
        <v/>
      </c>
      <c r="AU937" s="45" t="str">
        <f t="shared" si="117"/>
        <v>激活：企微+Push低成本先跑</v>
      </c>
    </row>
    <row r="938" ht="15" customHeight="1" spans="1:47">
      <c r="A938" s="30" t="s">
        <v>2609</v>
      </c>
      <c r="B938" s="31" t="s">
        <v>2610</v>
      </c>
      <c r="C938" s="31" t="s">
        <v>239</v>
      </c>
      <c r="D938" s="31" t="s">
        <v>202</v>
      </c>
      <c r="E938" s="31" t="s">
        <v>181</v>
      </c>
      <c r="F938" s="30" t="s">
        <v>2611</v>
      </c>
      <c r="G938" s="31">
        <v>23</v>
      </c>
      <c r="H938" s="31" t="s">
        <v>301</v>
      </c>
      <c r="I938" s="31" t="s">
        <v>302</v>
      </c>
      <c r="J938" s="33">
        <v>5800</v>
      </c>
      <c r="K938" s="33">
        <v>3400</v>
      </c>
      <c r="L938" s="33">
        <v>500</v>
      </c>
      <c r="M938" s="33">
        <f t="shared" si="112"/>
        <v>9700</v>
      </c>
      <c r="N938" s="34">
        <f t="shared" si="118"/>
        <v>5.08536066216638e-5</v>
      </c>
      <c r="O938" s="35">
        <f>SUM($M$2:M938)</f>
        <v>189567600</v>
      </c>
      <c r="P938" s="34">
        <f t="shared" si="119"/>
        <v>0.993834655527105</v>
      </c>
      <c r="Q938" s="37">
        <v>1.4</v>
      </c>
      <c r="R938" s="31">
        <v>9</v>
      </c>
      <c r="S938" s="31">
        <v>1</v>
      </c>
      <c r="T938" s="31">
        <v>0</v>
      </c>
      <c r="U938" s="37">
        <v>53.2</v>
      </c>
      <c r="V938" s="31">
        <v>10</v>
      </c>
      <c r="W938" s="31">
        <v>1</v>
      </c>
      <c r="X938" s="38">
        <v>87</v>
      </c>
      <c r="Y938" s="31">
        <v>2</v>
      </c>
      <c r="Z938" s="31">
        <v>0</v>
      </c>
      <c r="AA938" s="31" t="s">
        <v>185</v>
      </c>
      <c r="AB938" s="31" t="s">
        <v>220</v>
      </c>
      <c r="AC938" s="41">
        <f>IFERROR(LOOKUP(M938,打分卡!$F$7:$J$7,打分卡!$K$7:$O$7),1)</f>
        <v>1</v>
      </c>
      <c r="AD938" s="41">
        <f>IFERROR(LOOKUP(S938,打分卡!$F$8:$J$8,打分卡!$K$8:$O$8),1)</f>
        <v>1</v>
      </c>
      <c r="AE938" s="41">
        <f>IFERROR(LOOKUP(T938,打分卡!$F$9:$I$9,打分卡!$K$9:$N$9),1)</f>
        <v>1</v>
      </c>
      <c r="AF938" s="41">
        <f>IFERROR(LOOKUP(Q938,打分卡!$F$10:$J$10,打分卡!$K$10:$O$10),1)</f>
        <v>1</v>
      </c>
      <c r="AG938" s="41">
        <f>IFERROR(LOOKUP(R938,打分卡!$F$11:$J$11,打分卡!$K$11:$O$11),1)</f>
        <v>4</v>
      </c>
      <c r="AH938" s="41">
        <f>IFERROR(LOOKUP(U938,打分卡!$F$12:$J$12,打分卡!$K$12:$O$12),1)</f>
        <v>4</v>
      </c>
      <c r="AI938" s="41">
        <f>IFERROR(LOOKUP(X938,打分卡!$F$13:$J$13,打分卡!$K$13:$O$13),1)</f>
        <v>4</v>
      </c>
      <c r="AJ938" s="41">
        <f>IFERROR(LOOKUP(Y938,打分卡!$F$14:$J$14,打分卡!$K$14:$O$14),1)</f>
        <v>3</v>
      </c>
      <c r="AK938" s="41">
        <f>IFERROR(LOOKUP(W938,打分卡!$F$15:$J$15,打分卡!$K$15:$O$15),1)</f>
        <v>2</v>
      </c>
      <c r="AL938" s="43">
        <f t="shared" si="113"/>
        <v>3</v>
      </c>
      <c r="AM938" s="41">
        <f>IFERROR(LOOKUP(Z938,打分卡!$F$17:$H$17,打分卡!$K$17:$M$17),1)</f>
        <v>1</v>
      </c>
      <c r="AN938" s="44">
        <f>(打分卡!$D$7*AC938+打分卡!$D$8*AD938+打分卡!$D$9*AE938)/5</f>
        <v>8</v>
      </c>
      <c r="AO938" s="44">
        <f>(打分卡!$D$10*AF938+打分卡!$D$11*AG938)/5</f>
        <v>10</v>
      </c>
      <c r="AP938" s="44">
        <f>(打分卡!$D$12*AH938+打分卡!$D$13*AI938+打分卡!$D$14*AJ938+打分卡!$D$15*AK938)/5</f>
        <v>21.2</v>
      </c>
      <c r="AQ938" s="44">
        <f>(打分卡!$D$16*AL938+打分卡!$D$17*AM938)/5</f>
        <v>4.4</v>
      </c>
      <c r="AR938" s="47">
        <f t="shared" si="114"/>
        <v>43.6</v>
      </c>
      <c r="AS938" s="43" t="str">
        <f t="shared" si="115"/>
        <v>腰部</v>
      </c>
      <c r="AT938" s="43" t="str">
        <f t="shared" si="116"/>
        <v/>
      </c>
      <c r="AU938" s="43" t="str">
        <f t="shared" si="117"/>
        <v>拉·主攻：主推AI外呼+大促作战包</v>
      </c>
    </row>
    <row r="939" ht="15" customHeight="1" spans="1:47">
      <c r="A939" s="20" t="s">
        <v>2612</v>
      </c>
      <c r="B939" s="22" t="s">
        <v>2613</v>
      </c>
      <c r="C939" s="22" t="s">
        <v>179</v>
      </c>
      <c r="D939" s="22" t="s">
        <v>227</v>
      </c>
      <c r="E939" s="22" t="s">
        <v>181</v>
      </c>
      <c r="F939" s="20" t="s">
        <v>2397</v>
      </c>
      <c r="G939" s="22">
        <v>13</v>
      </c>
      <c r="H939" s="22" t="s">
        <v>301</v>
      </c>
      <c r="I939" s="22" t="s">
        <v>302</v>
      </c>
      <c r="J939" s="36">
        <v>5800</v>
      </c>
      <c r="K939" s="36">
        <v>2500</v>
      </c>
      <c r="L939" s="36">
        <v>1200</v>
      </c>
      <c r="M939" s="36">
        <f t="shared" si="112"/>
        <v>9500</v>
      </c>
      <c r="N939" s="34">
        <f t="shared" si="118"/>
        <v>4.98050786500831e-5</v>
      </c>
      <c r="O939" s="35">
        <f>SUM($M$2:M939)</f>
        <v>189577100</v>
      </c>
      <c r="P939" s="34">
        <f t="shared" si="119"/>
        <v>0.993884460605756</v>
      </c>
      <c r="Q939" s="39">
        <v>1</v>
      </c>
      <c r="R939" s="22">
        <v>5</v>
      </c>
      <c r="S939" s="22">
        <v>2</v>
      </c>
      <c r="T939" s="22">
        <v>2</v>
      </c>
      <c r="U939" s="39">
        <v>2.2</v>
      </c>
      <c r="V939" s="22">
        <v>28</v>
      </c>
      <c r="W939" s="22">
        <v>1</v>
      </c>
      <c r="X939" s="40">
        <v>39</v>
      </c>
      <c r="Y939" s="22">
        <v>1</v>
      </c>
      <c r="Z939" s="22">
        <v>0</v>
      </c>
      <c r="AA939" s="22" t="s">
        <v>199</v>
      </c>
      <c r="AB939" s="22" t="s">
        <v>220</v>
      </c>
      <c r="AC939" s="42">
        <f>IFERROR(LOOKUP(M939,打分卡!$F$7:$J$7,打分卡!$K$7:$O$7),1)</f>
        <v>1</v>
      </c>
      <c r="AD939" s="42">
        <f>IFERROR(LOOKUP(S939,打分卡!$F$8:$J$8,打分卡!$K$8:$O$8),1)</f>
        <v>2</v>
      </c>
      <c r="AE939" s="42">
        <f>IFERROR(LOOKUP(T939,打分卡!$F$9:$I$9,打分卡!$K$9:$N$9),1)</f>
        <v>3</v>
      </c>
      <c r="AF939" s="42">
        <f>IFERROR(LOOKUP(Q939,打分卡!$F$10:$J$10,打分卡!$K$10:$O$10),1)</f>
        <v>1</v>
      </c>
      <c r="AG939" s="42">
        <f>IFERROR(LOOKUP(R939,打分卡!$F$11:$J$11,打分卡!$K$11:$O$11),1)</f>
        <v>3</v>
      </c>
      <c r="AH939" s="42">
        <f>IFERROR(LOOKUP(U939,打分卡!$F$12:$J$12,打分卡!$K$12:$O$12),1)</f>
        <v>1</v>
      </c>
      <c r="AI939" s="42">
        <f>IFERROR(LOOKUP(X939,打分卡!$F$13:$J$13,打分卡!$K$13:$O$13),1)</f>
        <v>3</v>
      </c>
      <c r="AJ939" s="42">
        <f>IFERROR(LOOKUP(Y939,打分卡!$F$14:$J$14,打分卡!$K$14:$O$14),1)</f>
        <v>2</v>
      </c>
      <c r="AK939" s="42">
        <f>IFERROR(LOOKUP(W939,打分卡!$F$15:$J$15,打分卡!$K$15:$O$15),1)</f>
        <v>2</v>
      </c>
      <c r="AL939" s="45">
        <f t="shared" si="113"/>
        <v>5</v>
      </c>
      <c r="AM939" s="42">
        <f>IFERROR(LOOKUP(Z939,打分卡!$F$17:$H$17,打分卡!$K$17:$M$17),1)</f>
        <v>1</v>
      </c>
      <c r="AN939" s="46">
        <f>(打分卡!$D$7*AC939+打分卡!$D$8*AD939+打分卡!$D$9*AE939)/5</f>
        <v>12.4</v>
      </c>
      <c r="AO939" s="46">
        <f>(打分卡!$D$10*AF939+打分卡!$D$11*AG939)/5</f>
        <v>8</v>
      </c>
      <c r="AP939" s="46">
        <f>(打分卡!$D$12*AH939+打分卡!$D$13*AI939+打分卡!$D$14*AJ939+打分卡!$D$15*AK939)/5</f>
        <v>11.2</v>
      </c>
      <c r="AQ939" s="46">
        <f>(打分卡!$D$16*AL939+打分卡!$D$17*AM939)/5</f>
        <v>6.8</v>
      </c>
      <c r="AR939" s="48">
        <f t="shared" si="114"/>
        <v>38.4</v>
      </c>
      <c r="AS939" s="45" t="str">
        <f t="shared" si="115"/>
        <v>基础长尾</v>
      </c>
      <c r="AT939" s="45" t="str">
        <f t="shared" si="116"/>
        <v/>
      </c>
      <c r="AU939" s="45" t="str">
        <f t="shared" si="117"/>
        <v>激活：企微+Push低成本先跑</v>
      </c>
    </row>
    <row r="940" ht="15" customHeight="1" spans="1:47">
      <c r="A940" s="30" t="s">
        <v>2614</v>
      </c>
      <c r="B940" s="31" t="s">
        <v>2615</v>
      </c>
      <c r="C940" s="31" t="s">
        <v>239</v>
      </c>
      <c r="D940" s="31" t="s">
        <v>235</v>
      </c>
      <c r="E940" s="31" t="s">
        <v>181</v>
      </c>
      <c r="F940" s="30" t="s">
        <v>817</v>
      </c>
      <c r="G940" s="31">
        <v>14</v>
      </c>
      <c r="H940" s="31" t="s">
        <v>301</v>
      </c>
      <c r="I940" s="31" t="s">
        <v>184</v>
      </c>
      <c r="J940" s="33">
        <v>4800</v>
      </c>
      <c r="K940" s="33">
        <v>2500</v>
      </c>
      <c r="L940" s="33">
        <v>2200</v>
      </c>
      <c r="M940" s="33">
        <f t="shared" si="112"/>
        <v>9500</v>
      </c>
      <c r="N940" s="34">
        <f t="shared" si="118"/>
        <v>4.98050786500831e-5</v>
      </c>
      <c r="O940" s="35">
        <f>SUM($M$2:M940)</f>
        <v>189586600</v>
      </c>
      <c r="P940" s="34">
        <f t="shared" si="119"/>
        <v>0.993934265684406</v>
      </c>
      <c r="Q940" s="37">
        <v>1.3</v>
      </c>
      <c r="R940" s="31">
        <v>4</v>
      </c>
      <c r="S940" s="31">
        <v>2</v>
      </c>
      <c r="T940" s="31">
        <v>2</v>
      </c>
      <c r="U940" s="37">
        <v>10</v>
      </c>
      <c r="V940" s="31">
        <v>8</v>
      </c>
      <c r="W940" s="31">
        <v>4</v>
      </c>
      <c r="X940" s="38">
        <v>29</v>
      </c>
      <c r="Y940" s="31">
        <v>3</v>
      </c>
      <c r="Z940" s="31">
        <v>1</v>
      </c>
      <c r="AA940" s="31" t="s">
        <v>185</v>
      </c>
      <c r="AB940" s="31" t="s">
        <v>220</v>
      </c>
      <c r="AC940" s="41">
        <f>IFERROR(LOOKUP(M940,打分卡!$F$7:$J$7,打分卡!$K$7:$O$7),1)</f>
        <v>1</v>
      </c>
      <c r="AD940" s="41">
        <f>IFERROR(LOOKUP(S940,打分卡!$F$8:$J$8,打分卡!$K$8:$O$8),1)</f>
        <v>2</v>
      </c>
      <c r="AE940" s="41">
        <f>IFERROR(LOOKUP(T940,打分卡!$F$9:$I$9,打分卡!$K$9:$N$9),1)</f>
        <v>3</v>
      </c>
      <c r="AF940" s="41">
        <f>IFERROR(LOOKUP(Q940,打分卡!$F$10:$J$10,打分卡!$K$10:$O$10),1)</f>
        <v>1</v>
      </c>
      <c r="AG940" s="41">
        <f>IFERROR(LOOKUP(R940,打分卡!$F$11:$J$11,打分卡!$K$11:$O$11),1)</f>
        <v>2</v>
      </c>
      <c r="AH940" s="41">
        <f>IFERROR(LOOKUP(U940,打分卡!$F$12:$J$12,打分卡!$K$12:$O$12),1)</f>
        <v>2</v>
      </c>
      <c r="AI940" s="41">
        <f>IFERROR(LOOKUP(X940,打分卡!$F$13:$J$13,打分卡!$K$13:$O$13),1)</f>
        <v>2</v>
      </c>
      <c r="AJ940" s="41">
        <f>IFERROR(LOOKUP(Y940,打分卡!$F$14:$J$14,打分卡!$K$14:$O$14),1)</f>
        <v>4</v>
      </c>
      <c r="AK940" s="41">
        <f>IFERROR(LOOKUP(W940,打分卡!$F$15:$J$15,打分卡!$K$15:$O$15),1)</f>
        <v>3</v>
      </c>
      <c r="AL940" s="43">
        <f t="shared" si="113"/>
        <v>3</v>
      </c>
      <c r="AM940" s="41">
        <f>IFERROR(LOOKUP(Z940,打分卡!$F$17:$H$17,打分卡!$K$17:$M$17),1)</f>
        <v>3</v>
      </c>
      <c r="AN940" s="44">
        <f>(打分卡!$D$7*AC940+打分卡!$D$8*AD940+打分卡!$D$9*AE940)/5</f>
        <v>12.4</v>
      </c>
      <c r="AO940" s="44">
        <f>(打分卡!$D$10*AF940+打分卡!$D$11*AG940)/5</f>
        <v>6</v>
      </c>
      <c r="AP940" s="44">
        <f>(打分卡!$D$12*AH940+打分卡!$D$13*AI940+打分卡!$D$14*AJ940+打分卡!$D$15*AK940)/5</f>
        <v>15.2</v>
      </c>
      <c r="AQ940" s="44">
        <f>(打分卡!$D$16*AL940+打分卡!$D$17*AM940)/5</f>
        <v>6</v>
      </c>
      <c r="AR940" s="47">
        <f t="shared" si="114"/>
        <v>39.6</v>
      </c>
      <c r="AS940" s="43" t="str">
        <f t="shared" si="115"/>
        <v>基础长尾</v>
      </c>
      <c r="AT940" s="43" t="str">
        <f t="shared" si="116"/>
        <v/>
      </c>
      <c r="AU940" s="43" t="str">
        <f t="shared" si="117"/>
        <v>激活：企微+Push低成本先跑</v>
      </c>
    </row>
    <row r="941" ht="15" customHeight="1" spans="1:47">
      <c r="A941" s="20" t="s">
        <v>2616</v>
      </c>
      <c r="B941" s="22" t="s">
        <v>2617</v>
      </c>
      <c r="C941" s="22" t="s">
        <v>223</v>
      </c>
      <c r="D941" s="22" t="s">
        <v>235</v>
      </c>
      <c r="E941" s="22" t="s">
        <v>197</v>
      </c>
      <c r="F941" s="20" t="s">
        <v>1843</v>
      </c>
      <c r="G941" s="22">
        <v>12</v>
      </c>
      <c r="H941" s="22" t="s">
        <v>301</v>
      </c>
      <c r="I941" s="22" t="s">
        <v>302</v>
      </c>
      <c r="J941" s="36">
        <v>4600</v>
      </c>
      <c r="K941" s="36">
        <v>3500</v>
      </c>
      <c r="L941" s="36">
        <v>1500</v>
      </c>
      <c r="M941" s="36">
        <f t="shared" si="112"/>
        <v>9600</v>
      </c>
      <c r="N941" s="34">
        <f t="shared" si="118"/>
        <v>5.03293426358735e-5</v>
      </c>
      <c r="O941" s="35">
        <f>SUM($M$2:M941)</f>
        <v>189596200</v>
      </c>
      <c r="P941" s="34">
        <f t="shared" si="119"/>
        <v>0.993984595027042</v>
      </c>
      <c r="Q941" s="39">
        <v>0.6</v>
      </c>
      <c r="R941" s="22">
        <v>2</v>
      </c>
      <c r="S941" s="22">
        <v>1</v>
      </c>
      <c r="T941" s="22">
        <v>1</v>
      </c>
      <c r="U941" s="39">
        <v>35.3</v>
      </c>
      <c r="V941" s="22">
        <v>21</v>
      </c>
      <c r="W941" s="22">
        <v>0</v>
      </c>
      <c r="X941" s="40">
        <v>44</v>
      </c>
      <c r="Y941" s="22">
        <v>3</v>
      </c>
      <c r="Z941" s="22">
        <v>1</v>
      </c>
      <c r="AA941" s="22" t="s">
        <v>185</v>
      </c>
      <c r="AB941" s="22" t="s">
        <v>220</v>
      </c>
      <c r="AC941" s="42">
        <f>IFERROR(LOOKUP(M941,打分卡!$F$7:$J$7,打分卡!$K$7:$O$7),1)</f>
        <v>1</v>
      </c>
      <c r="AD941" s="42">
        <f>IFERROR(LOOKUP(S941,打分卡!$F$8:$J$8,打分卡!$K$8:$O$8),1)</f>
        <v>1</v>
      </c>
      <c r="AE941" s="42">
        <f>IFERROR(LOOKUP(T941,打分卡!$F$9:$I$9,打分卡!$K$9:$N$9),1)</f>
        <v>2</v>
      </c>
      <c r="AF941" s="42">
        <f>IFERROR(LOOKUP(Q941,打分卡!$F$10:$J$10,打分卡!$K$10:$O$10),1)</f>
        <v>1</v>
      </c>
      <c r="AG941" s="42">
        <f>IFERROR(LOOKUP(R941,打分卡!$F$11:$J$11,打分卡!$K$11:$O$11),1)</f>
        <v>1</v>
      </c>
      <c r="AH941" s="42">
        <f>IFERROR(LOOKUP(U941,打分卡!$F$12:$J$12,打分卡!$K$12:$O$12),1)</f>
        <v>4</v>
      </c>
      <c r="AI941" s="42">
        <f>IFERROR(LOOKUP(X941,打分卡!$F$13:$J$13,打分卡!$K$13:$O$13),1)</f>
        <v>3</v>
      </c>
      <c r="AJ941" s="42">
        <f>IFERROR(LOOKUP(Y941,打分卡!$F$14:$J$14,打分卡!$K$14:$O$14),1)</f>
        <v>4</v>
      </c>
      <c r="AK941" s="42">
        <f>IFERROR(LOOKUP(W941,打分卡!$F$15:$J$15,打分卡!$K$15:$O$15),1)</f>
        <v>1</v>
      </c>
      <c r="AL941" s="45">
        <f t="shared" si="113"/>
        <v>3</v>
      </c>
      <c r="AM941" s="42">
        <f>IFERROR(LOOKUP(Z941,打分卡!$F$17:$H$17,打分卡!$K$17:$M$17),1)</f>
        <v>3</v>
      </c>
      <c r="AN941" s="46">
        <f>(打分卡!$D$7*AC941+打分卡!$D$8*AD941+打分卡!$D$9*AE941)/5</f>
        <v>9.4</v>
      </c>
      <c r="AO941" s="46">
        <f>(打分卡!$D$10*AF941+打分卡!$D$11*AG941)/5</f>
        <v>4</v>
      </c>
      <c r="AP941" s="46">
        <f>(打分卡!$D$12*AH941+打分卡!$D$13*AI941+打分卡!$D$14*AJ941+打分卡!$D$15*AK941)/5</f>
        <v>20</v>
      </c>
      <c r="AQ941" s="46">
        <f>(打分卡!$D$16*AL941+打分卡!$D$17*AM941)/5</f>
        <v>6</v>
      </c>
      <c r="AR941" s="48">
        <f t="shared" si="114"/>
        <v>39.4</v>
      </c>
      <c r="AS941" s="45" t="str">
        <f t="shared" si="115"/>
        <v>基础长尾</v>
      </c>
      <c r="AT941" s="45" t="str">
        <f t="shared" si="116"/>
        <v/>
      </c>
      <c r="AU941" s="45" t="str">
        <f t="shared" si="117"/>
        <v>激活：企微+Push低成本先跑</v>
      </c>
    </row>
    <row r="942" ht="15" customHeight="1" spans="1:47">
      <c r="A942" s="30" t="s">
        <v>2618</v>
      </c>
      <c r="B942" s="31" t="s">
        <v>2619</v>
      </c>
      <c r="C942" s="31" t="s">
        <v>223</v>
      </c>
      <c r="D942" s="31" t="s">
        <v>202</v>
      </c>
      <c r="E942" s="31" t="s">
        <v>181</v>
      </c>
      <c r="F942" s="30" t="s">
        <v>1129</v>
      </c>
      <c r="G942" s="31">
        <v>8</v>
      </c>
      <c r="H942" s="31" t="s">
        <v>301</v>
      </c>
      <c r="I942" s="31" t="s">
        <v>302</v>
      </c>
      <c r="J942" s="33">
        <v>6000</v>
      </c>
      <c r="K942" s="33">
        <v>1900</v>
      </c>
      <c r="L942" s="33">
        <v>1600</v>
      </c>
      <c r="M942" s="33">
        <f t="shared" si="112"/>
        <v>9500</v>
      </c>
      <c r="N942" s="34">
        <f t="shared" si="118"/>
        <v>4.98050786500831e-5</v>
      </c>
      <c r="O942" s="35">
        <f>SUM($M$2:M942)</f>
        <v>189605700</v>
      </c>
      <c r="P942" s="34">
        <f t="shared" si="119"/>
        <v>0.994034400105692</v>
      </c>
      <c r="Q942" s="37">
        <v>1.3</v>
      </c>
      <c r="R942" s="31">
        <v>3</v>
      </c>
      <c r="S942" s="31">
        <v>3</v>
      </c>
      <c r="T942" s="31">
        <v>1</v>
      </c>
      <c r="U942" s="37">
        <v>1.1</v>
      </c>
      <c r="V942" s="31">
        <v>3</v>
      </c>
      <c r="W942" s="31">
        <v>4</v>
      </c>
      <c r="X942" s="38">
        <v>15</v>
      </c>
      <c r="Y942" s="31">
        <v>2</v>
      </c>
      <c r="Z942" s="31">
        <v>1</v>
      </c>
      <c r="AA942" s="31" t="s">
        <v>185</v>
      </c>
      <c r="AB942" s="31" t="s">
        <v>220</v>
      </c>
      <c r="AC942" s="41">
        <f>IFERROR(LOOKUP(M942,打分卡!$F$7:$J$7,打分卡!$K$7:$O$7),1)</f>
        <v>1</v>
      </c>
      <c r="AD942" s="41">
        <f>IFERROR(LOOKUP(S942,打分卡!$F$8:$J$8,打分卡!$K$8:$O$8),1)</f>
        <v>3</v>
      </c>
      <c r="AE942" s="41">
        <f>IFERROR(LOOKUP(T942,打分卡!$F$9:$I$9,打分卡!$K$9:$N$9),1)</f>
        <v>2</v>
      </c>
      <c r="AF942" s="41">
        <f>IFERROR(LOOKUP(Q942,打分卡!$F$10:$J$10,打分卡!$K$10:$O$10),1)</f>
        <v>1</v>
      </c>
      <c r="AG942" s="41">
        <f>IFERROR(LOOKUP(R942,打分卡!$F$11:$J$11,打分卡!$K$11:$O$11),1)</f>
        <v>2</v>
      </c>
      <c r="AH942" s="41">
        <f>IFERROR(LOOKUP(U942,打分卡!$F$12:$J$12,打分卡!$K$12:$O$12),1)</f>
        <v>1</v>
      </c>
      <c r="AI942" s="41">
        <f>IFERROR(LOOKUP(X942,打分卡!$F$13:$J$13,打分卡!$K$13:$O$13),1)</f>
        <v>1</v>
      </c>
      <c r="AJ942" s="41">
        <f>IFERROR(LOOKUP(Y942,打分卡!$F$14:$J$14,打分卡!$K$14:$O$14),1)</f>
        <v>3</v>
      </c>
      <c r="AK942" s="41">
        <f>IFERROR(LOOKUP(W942,打分卡!$F$15:$J$15,打分卡!$K$15:$O$15),1)</f>
        <v>3</v>
      </c>
      <c r="AL942" s="43">
        <f t="shared" si="113"/>
        <v>3</v>
      </c>
      <c r="AM942" s="41">
        <f>IFERROR(LOOKUP(Z942,打分卡!$F$17:$H$17,打分卡!$K$17:$M$17),1)</f>
        <v>3</v>
      </c>
      <c r="AN942" s="44">
        <f>(打分卡!$D$7*AC942+打分卡!$D$8*AD942+打分卡!$D$9*AE942)/5</f>
        <v>12.6</v>
      </c>
      <c r="AO942" s="44">
        <f>(打分卡!$D$10*AF942+打分卡!$D$11*AG942)/5</f>
        <v>6</v>
      </c>
      <c r="AP942" s="44">
        <f>(打分卡!$D$12*AH942+打分卡!$D$13*AI942+打分卡!$D$14*AJ942+打分卡!$D$15*AK942)/5</f>
        <v>10</v>
      </c>
      <c r="AQ942" s="44">
        <f>(打分卡!$D$16*AL942+打分卡!$D$17*AM942)/5</f>
        <v>6</v>
      </c>
      <c r="AR942" s="47">
        <f t="shared" si="114"/>
        <v>34.6</v>
      </c>
      <c r="AS942" s="43" t="str">
        <f t="shared" si="115"/>
        <v>基础长尾</v>
      </c>
      <c r="AT942" s="43" t="str">
        <f t="shared" si="116"/>
        <v/>
      </c>
      <c r="AU942" s="43" t="str">
        <f t="shared" si="117"/>
        <v>激活：企微+Push低成本先跑</v>
      </c>
    </row>
    <row r="943" ht="15" customHeight="1" spans="1:47">
      <c r="A943" s="20" t="s">
        <v>2620</v>
      </c>
      <c r="B943" s="22" t="s">
        <v>2621</v>
      </c>
      <c r="C943" s="22" t="s">
        <v>189</v>
      </c>
      <c r="D943" s="22" t="s">
        <v>190</v>
      </c>
      <c r="E943" s="22" t="s">
        <v>181</v>
      </c>
      <c r="F943" s="20" t="s">
        <v>2260</v>
      </c>
      <c r="G943" s="22">
        <v>16</v>
      </c>
      <c r="H943" s="22" t="s">
        <v>301</v>
      </c>
      <c r="I943" s="22" t="s">
        <v>184</v>
      </c>
      <c r="J943" s="36">
        <v>5000</v>
      </c>
      <c r="K943" s="36">
        <v>3500</v>
      </c>
      <c r="L943" s="36">
        <v>1100</v>
      </c>
      <c r="M943" s="36">
        <f t="shared" si="112"/>
        <v>9600</v>
      </c>
      <c r="N943" s="34">
        <f t="shared" si="118"/>
        <v>5.03293426358735e-5</v>
      </c>
      <c r="O943" s="35">
        <f>SUM($M$2:M943)</f>
        <v>189615300</v>
      </c>
      <c r="P943" s="34">
        <f t="shared" si="119"/>
        <v>0.994084729448327</v>
      </c>
      <c r="Q943" s="39">
        <v>0.9</v>
      </c>
      <c r="R943" s="22">
        <v>8</v>
      </c>
      <c r="S943" s="22">
        <v>1</v>
      </c>
      <c r="T943" s="22">
        <v>2</v>
      </c>
      <c r="U943" s="39">
        <v>44.3</v>
      </c>
      <c r="V943" s="22">
        <v>22</v>
      </c>
      <c r="W943" s="22">
        <v>1</v>
      </c>
      <c r="X943" s="40">
        <v>64</v>
      </c>
      <c r="Y943" s="22">
        <v>0</v>
      </c>
      <c r="Z943" s="22">
        <v>0</v>
      </c>
      <c r="AA943" s="22" t="s">
        <v>185</v>
      </c>
      <c r="AB943" s="22" t="s">
        <v>220</v>
      </c>
      <c r="AC943" s="42">
        <f>IFERROR(LOOKUP(M943,打分卡!$F$7:$J$7,打分卡!$K$7:$O$7),1)</f>
        <v>1</v>
      </c>
      <c r="AD943" s="42">
        <f>IFERROR(LOOKUP(S943,打分卡!$F$8:$J$8,打分卡!$K$8:$O$8),1)</f>
        <v>1</v>
      </c>
      <c r="AE943" s="42">
        <f>IFERROR(LOOKUP(T943,打分卡!$F$9:$I$9,打分卡!$K$9:$N$9),1)</f>
        <v>3</v>
      </c>
      <c r="AF943" s="42">
        <f>IFERROR(LOOKUP(Q943,打分卡!$F$10:$J$10,打分卡!$K$10:$O$10),1)</f>
        <v>1</v>
      </c>
      <c r="AG943" s="42">
        <f>IFERROR(LOOKUP(R943,打分卡!$F$11:$J$11,打分卡!$K$11:$O$11),1)</f>
        <v>3</v>
      </c>
      <c r="AH943" s="42">
        <f>IFERROR(LOOKUP(U943,打分卡!$F$12:$J$12,打分卡!$K$12:$O$12),1)</f>
        <v>4</v>
      </c>
      <c r="AI943" s="42">
        <f>IFERROR(LOOKUP(X943,打分卡!$F$13:$J$13,打分卡!$K$13:$O$13),1)</f>
        <v>3</v>
      </c>
      <c r="AJ943" s="42">
        <f>IFERROR(LOOKUP(Y943,打分卡!$F$14:$J$14,打分卡!$K$14:$O$14),1)</f>
        <v>1</v>
      </c>
      <c r="AK943" s="42">
        <f>IFERROR(LOOKUP(W943,打分卡!$F$15:$J$15,打分卡!$K$15:$O$15),1)</f>
        <v>2</v>
      </c>
      <c r="AL943" s="45">
        <f t="shared" si="113"/>
        <v>3</v>
      </c>
      <c r="AM943" s="42">
        <f>IFERROR(LOOKUP(Z943,打分卡!$F$17:$H$17,打分卡!$K$17:$M$17),1)</f>
        <v>1</v>
      </c>
      <c r="AN943" s="46">
        <f>(打分卡!$D$7*AC943+打分卡!$D$8*AD943+打分卡!$D$9*AE943)/5</f>
        <v>10.8</v>
      </c>
      <c r="AO943" s="46">
        <f>(打分卡!$D$10*AF943+打分卡!$D$11*AG943)/5</f>
        <v>8</v>
      </c>
      <c r="AP943" s="46">
        <f>(打分卡!$D$12*AH943+打分卡!$D$13*AI943+打分卡!$D$14*AJ943+打分卡!$D$15*AK943)/5</f>
        <v>17.2</v>
      </c>
      <c r="AQ943" s="46">
        <f>(打分卡!$D$16*AL943+打分卡!$D$17*AM943)/5</f>
        <v>4.4</v>
      </c>
      <c r="AR943" s="48">
        <f t="shared" si="114"/>
        <v>40.4</v>
      </c>
      <c r="AS943" s="45" t="str">
        <f t="shared" si="115"/>
        <v>腰部</v>
      </c>
      <c r="AT943" s="45" t="str">
        <f t="shared" si="116"/>
        <v/>
      </c>
      <c r="AU943" s="45" t="str">
        <f t="shared" si="117"/>
        <v>拉·主攻：主推AI外呼+大促作战包</v>
      </c>
    </row>
    <row r="944" ht="15" customHeight="1" spans="1:47">
      <c r="A944" s="30" t="s">
        <v>2622</v>
      </c>
      <c r="B944" s="31" t="s">
        <v>2623</v>
      </c>
      <c r="C944" s="31" t="s">
        <v>218</v>
      </c>
      <c r="D944" s="31" t="s">
        <v>190</v>
      </c>
      <c r="E944" s="31" t="s">
        <v>181</v>
      </c>
      <c r="F944" s="30" t="s">
        <v>1997</v>
      </c>
      <c r="G944" s="31">
        <v>3</v>
      </c>
      <c r="H944" s="31" t="s">
        <v>301</v>
      </c>
      <c r="I944" s="31" t="s">
        <v>302</v>
      </c>
      <c r="J944" s="33">
        <v>5500</v>
      </c>
      <c r="K944" s="33">
        <v>3100</v>
      </c>
      <c r="L944" s="33">
        <v>800</v>
      </c>
      <c r="M944" s="33">
        <f t="shared" si="112"/>
        <v>9400</v>
      </c>
      <c r="N944" s="34">
        <f t="shared" si="118"/>
        <v>4.92808146642928e-5</v>
      </c>
      <c r="O944" s="35">
        <f>SUM($M$2:M944)</f>
        <v>189624700</v>
      </c>
      <c r="P944" s="34">
        <f t="shared" si="119"/>
        <v>0.994134010262992</v>
      </c>
      <c r="Q944" s="37">
        <v>0.9</v>
      </c>
      <c r="R944" s="31">
        <v>5</v>
      </c>
      <c r="S944" s="31">
        <v>3</v>
      </c>
      <c r="T944" s="31">
        <v>2</v>
      </c>
      <c r="U944" s="37">
        <v>7.1</v>
      </c>
      <c r="V944" s="31">
        <v>15</v>
      </c>
      <c r="W944" s="31">
        <v>0</v>
      </c>
      <c r="X944" s="38">
        <v>22</v>
      </c>
      <c r="Y944" s="31">
        <v>0</v>
      </c>
      <c r="Z944" s="31">
        <v>1</v>
      </c>
      <c r="AA944" s="31" t="s">
        <v>315</v>
      </c>
      <c r="AB944" s="31" t="s">
        <v>220</v>
      </c>
      <c r="AC944" s="41">
        <f>IFERROR(LOOKUP(M944,打分卡!$F$7:$J$7,打分卡!$K$7:$O$7),1)</f>
        <v>1</v>
      </c>
      <c r="AD944" s="41">
        <f>IFERROR(LOOKUP(S944,打分卡!$F$8:$J$8,打分卡!$K$8:$O$8),1)</f>
        <v>3</v>
      </c>
      <c r="AE944" s="41">
        <f>IFERROR(LOOKUP(T944,打分卡!$F$9:$I$9,打分卡!$K$9:$N$9),1)</f>
        <v>3</v>
      </c>
      <c r="AF944" s="41">
        <f>IFERROR(LOOKUP(Q944,打分卡!$F$10:$J$10,打分卡!$K$10:$O$10),1)</f>
        <v>1</v>
      </c>
      <c r="AG944" s="41">
        <f>IFERROR(LOOKUP(R944,打分卡!$F$11:$J$11,打分卡!$K$11:$O$11),1)</f>
        <v>3</v>
      </c>
      <c r="AH944" s="41">
        <f>IFERROR(LOOKUP(U944,打分卡!$F$12:$J$12,打分卡!$K$12:$O$12),1)</f>
        <v>2</v>
      </c>
      <c r="AI944" s="41">
        <f>IFERROR(LOOKUP(X944,打分卡!$F$13:$J$13,打分卡!$K$13:$O$13),1)</f>
        <v>2</v>
      </c>
      <c r="AJ944" s="41">
        <f>IFERROR(LOOKUP(Y944,打分卡!$F$14:$J$14,打分卡!$K$14:$O$14),1)</f>
        <v>1</v>
      </c>
      <c r="AK944" s="41">
        <f>IFERROR(LOOKUP(W944,打分卡!$F$15:$J$15,打分卡!$K$15:$O$15),1)</f>
        <v>1</v>
      </c>
      <c r="AL944" s="43">
        <f t="shared" si="113"/>
        <v>2</v>
      </c>
      <c r="AM944" s="41">
        <f>IFERROR(LOOKUP(Z944,打分卡!$F$17:$H$17,打分卡!$K$17:$M$17),1)</f>
        <v>3</v>
      </c>
      <c r="AN944" s="44">
        <f>(打分卡!$D$7*AC944+打分卡!$D$8*AD944+打分卡!$D$9*AE944)/5</f>
        <v>14</v>
      </c>
      <c r="AO944" s="44">
        <f>(打分卡!$D$10*AF944+打分卡!$D$11*AG944)/5</f>
        <v>8</v>
      </c>
      <c r="AP944" s="44">
        <f>(打分卡!$D$12*AH944+打分卡!$D$13*AI944+打分卡!$D$14*AJ944+打分卡!$D$15*AK944)/5</f>
        <v>10</v>
      </c>
      <c r="AQ944" s="44">
        <f>(打分卡!$D$16*AL944+打分卡!$D$17*AM944)/5</f>
        <v>4.8</v>
      </c>
      <c r="AR944" s="47">
        <f t="shared" si="114"/>
        <v>36.8</v>
      </c>
      <c r="AS944" s="43" t="str">
        <f t="shared" si="115"/>
        <v>基础长尾</v>
      </c>
      <c r="AT944" s="43" t="str">
        <f t="shared" si="116"/>
        <v/>
      </c>
      <c r="AU944" s="43" t="str">
        <f t="shared" si="117"/>
        <v>激活：企微+Push低成本先跑</v>
      </c>
    </row>
    <row r="945" ht="15" customHeight="1" spans="1:47">
      <c r="A945" s="20" t="s">
        <v>2624</v>
      </c>
      <c r="B945" s="22" t="s">
        <v>2625</v>
      </c>
      <c r="C945" s="22" t="s">
        <v>189</v>
      </c>
      <c r="D945" s="22" t="s">
        <v>235</v>
      </c>
      <c r="E945" s="22" t="s">
        <v>197</v>
      </c>
      <c r="F945" s="20" t="s">
        <v>681</v>
      </c>
      <c r="G945" s="22">
        <v>19</v>
      </c>
      <c r="H945" s="22" t="s">
        <v>301</v>
      </c>
      <c r="I945" s="22" t="s">
        <v>302</v>
      </c>
      <c r="J945" s="36">
        <v>5100</v>
      </c>
      <c r="K945" s="36">
        <v>3700</v>
      </c>
      <c r="L945" s="36">
        <v>700</v>
      </c>
      <c r="M945" s="36">
        <f t="shared" si="112"/>
        <v>9500</v>
      </c>
      <c r="N945" s="34">
        <f t="shared" si="118"/>
        <v>4.98050786500831e-5</v>
      </c>
      <c r="O945" s="35">
        <f>SUM($M$2:M945)</f>
        <v>189634200</v>
      </c>
      <c r="P945" s="34">
        <f t="shared" si="119"/>
        <v>0.994183815341642</v>
      </c>
      <c r="Q945" s="39">
        <v>0.8</v>
      </c>
      <c r="R945" s="22">
        <v>3</v>
      </c>
      <c r="S945" s="22">
        <v>2</v>
      </c>
      <c r="T945" s="22">
        <v>2</v>
      </c>
      <c r="U945" s="39">
        <v>16.9</v>
      </c>
      <c r="V945" s="22">
        <v>25</v>
      </c>
      <c r="W945" s="22">
        <v>1</v>
      </c>
      <c r="X945" s="40">
        <v>56</v>
      </c>
      <c r="Y945" s="22">
        <v>0</v>
      </c>
      <c r="Z945" s="22">
        <v>0</v>
      </c>
      <c r="AA945" s="22" t="s">
        <v>315</v>
      </c>
      <c r="AB945" s="22" t="s">
        <v>220</v>
      </c>
      <c r="AC945" s="42">
        <f>IFERROR(LOOKUP(M945,打分卡!$F$7:$J$7,打分卡!$K$7:$O$7),1)</f>
        <v>1</v>
      </c>
      <c r="AD945" s="42">
        <f>IFERROR(LOOKUP(S945,打分卡!$F$8:$J$8,打分卡!$K$8:$O$8),1)</f>
        <v>2</v>
      </c>
      <c r="AE945" s="42">
        <f>IFERROR(LOOKUP(T945,打分卡!$F$9:$I$9,打分卡!$K$9:$N$9),1)</f>
        <v>3</v>
      </c>
      <c r="AF945" s="42">
        <f>IFERROR(LOOKUP(Q945,打分卡!$F$10:$J$10,打分卡!$K$10:$O$10),1)</f>
        <v>1</v>
      </c>
      <c r="AG945" s="42">
        <f>IFERROR(LOOKUP(R945,打分卡!$F$11:$J$11,打分卡!$K$11:$O$11),1)</f>
        <v>2</v>
      </c>
      <c r="AH945" s="42">
        <f>IFERROR(LOOKUP(U945,打分卡!$F$12:$J$12,打分卡!$K$12:$O$12),1)</f>
        <v>3</v>
      </c>
      <c r="AI945" s="42">
        <f>IFERROR(LOOKUP(X945,打分卡!$F$13:$J$13,打分卡!$K$13:$O$13),1)</f>
        <v>3</v>
      </c>
      <c r="AJ945" s="42">
        <f>IFERROR(LOOKUP(Y945,打分卡!$F$14:$J$14,打分卡!$K$14:$O$14),1)</f>
        <v>1</v>
      </c>
      <c r="AK945" s="42">
        <f>IFERROR(LOOKUP(W945,打分卡!$F$15:$J$15,打分卡!$K$15:$O$15),1)</f>
        <v>2</v>
      </c>
      <c r="AL945" s="45">
        <f t="shared" si="113"/>
        <v>2</v>
      </c>
      <c r="AM945" s="42">
        <f>IFERROR(LOOKUP(Z945,打分卡!$F$17:$H$17,打分卡!$K$17:$M$17),1)</f>
        <v>1</v>
      </c>
      <c r="AN945" s="46">
        <f>(打分卡!$D$7*AC945+打分卡!$D$8*AD945+打分卡!$D$9*AE945)/5</f>
        <v>12.4</v>
      </c>
      <c r="AO945" s="46">
        <f>(打分卡!$D$10*AF945+打分卡!$D$11*AG945)/5</f>
        <v>6</v>
      </c>
      <c r="AP945" s="46">
        <f>(打分卡!$D$12*AH945+打分卡!$D$13*AI945+打分卡!$D$14*AJ945+打分卡!$D$15*AK945)/5</f>
        <v>14.8</v>
      </c>
      <c r="AQ945" s="46">
        <f>(打分卡!$D$16*AL945+打分卡!$D$17*AM945)/5</f>
        <v>3.2</v>
      </c>
      <c r="AR945" s="48">
        <f t="shared" si="114"/>
        <v>36.4</v>
      </c>
      <c r="AS945" s="45" t="str">
        <f t="shared" si="115"/>
        <v>基础长尾</v>
      </c>
      <c r="AT945" s="45" t="str">
        <f t="shared" si="116"/>
        <v/>
      </c>
      <c r="AU945" s="45" t="str">
        <f t="shared" si="117"/>
        <v>激活：企微+Push低成本先跑</v>
      </c>
    </row>
    <row r="946" ht="15" customHeight="1" spans="1:47">
      <c r="A946" s="30" t="s">
        <v>2626</v>
      </c>
      <c r="B946" s="31" t="s">
        <v>2627</v>
      </c>
      <c r="C946" s="31" t="s">
        <v>218</v>
      </c>
      <c r="D946" s="31" t="s">
        <v>196</v>
      </c>
      <c r="E946" s="31" t="s">
        <v>181</v>
      </c>
      <c r="F946" s="30" t="s">
        <v>2538</v>
      </c>
      <c r="G946" s="31">
        <v>7</v>
      </c>
      <c r="H946" s="31" t="s">
        <v>301</v>
      </c>
      <c r="I946" s="31" t="s">
        <v>302</v>
      </c>
      <c r="J946" s="33">
        <v>5500</v>
      </c>
      <c r="K946" s="33">
        <v>3300</v>
      </c>
      <c r="L946" s="33">
        <v>600</v>
      </c>
      <c r="M946" s="33">
        <f t="shared" si="112"/>
        <v>9400</v>
      </c>
      <c r="N946" s="34">
        <f t="shared" si="118"/>
        <v>4.92808146642928e-5</v>
      </c>
      <c r="O946" s="35">
        <f>SUM($M$2:M946)</f>
        <v>189643600</v>
      </c>
      <c r="P946" s="34">
        <f t="shared" si="119"/>
        <v>0.994233096156306</v>
      </c>
      <c r="Q946" s="37">
        <v>1.3</v>
      </c>
      <c r="R946" s="31">
        <v>1</v>
      </c>
      <c r="S946" s="31">
        <v>1</v>
      </c>
      <c r="T946" s="31">
        <v>2</v>
      </c>
      <c r="U946" s="37">
        <v>16.5</v>
      </c>
      <c r="V946" s="31">
        <v>16</v>
      </c>
      <c r="W946" s="31">
        <v>1</v>
      </c>
      <c r="X946" s="38">
        <v>69</v>
      </c>
      <c r="Y946" s="31">
        <v>2</v>
      </c>
      <c r="Z946" s="31">
        <v>1</v>
      </c>
      <c r="AA946" s="31" t="s">
        <v>199</v>
      </c>
      <c r="AB946" s="31" t="s">
        <v>220</v>
      </c>
      <c r="AC946" s="41">
        <f>IFERROR(LOOKUP(M946,打分卡!$F$7:$J$7,打分卡!$K$7:$O$7),1)</f>
        <v>1</v>
      </c>
      <c r="AD946" s="41">
        <f>IFERROR(LOOKUP(S946,打分卡!$F$8:$J$8,打分卡!$K$8:$O$8),1)</f>
        <v>1</v>
      </c>
      <c r="AE946" s="41">
        <f>IFERROR(LOOKUP(T946,打分卡!$F$9:$I$9,打分卡!$K$9:$N$9),1)</f>
        <v>3</v>
      </c>
      <c r="AF946" s="41">
        <f>IFERROR(LOOKUP(Q946,打分卡!$F$10:$J$10,打分卡!$K$10:$O$10),1)</f>
        <v>1</v>
      </c>
      <c r="AG946" s="41">
        <f>IFERROR(LOOKUP(R946,打分卡!$F$11:$J$11,打分卡!$K$11:$O$11),1)</f>
        <v>1</v>
      </c>
      <c r="AH946" s="41">
        <f>IFERROR(LOOKUP(U946,打分卡!$F$12:$J$12,打分卡!$K$12:$O$12),1)</f>
        <v>3</v>
      </c>
      <c r="AI946" s="41">
        <f>IFERROR(LOOKUP(X946,打分卡!$F$13:$J$13,打分卡!$K$13:$O$13),1)</f>
        <v>3</v>
      </c>
      <c r="AJ946" s="41">
        <f>IFERROR(LOOKUP(Y946,打分卡!$F$14:$J$14,打分卡!$K$14:$O$14),1)</f>
        <v>3</v>
      </c>
      <c r="AK946" s="41">
        <f>IFERROR(LOOKUP(W946,打分卡!$F$15:$J$15,打分卡!$K$15:$O$15),1)</f>
        <v>2</v>
      </c>
      <c r="AL946" s="43">
        <f t="shared" si="113"/>
        <v>5</v>
      </c>
      <c r="AM946" s="41">
        <f>IFERROR(LOOKUP(Z946,打分卡!$F$17:$H$17,打分卡!$K$17:$M$17),1)</f>
        <v>3</v>
      </c>
      <c r="AN946" s="44">
        <f>(打分卡!$D$7*AC946+打分卡!$D$8*AD946+打分卡!$D$9*AE946)/5</f>
        <v>10.8</v>
      </c>
      <c r="AO946" s="44">
        <f>(打分卡!$D$10*AF946+打分卡!$D$11*AG946)/5</f>
        <v>4</v>
      </c>
      <c r="AP946" s="44">
        <f>(打分卡!$D$12*AH946+打分卡!$D$13*AI946+打分卡!$D$14*AJ946+打分卡!$D$15*AK946)/5</f>
        <v>17.2</v>
      </c>
      <c r="AQ946" s="44">
        <f>(打分卡!$D$16*AL946+打分卡!$D$17*AM946)/5</f>
        <v>8.4</v>
      </c>
      <c r="AR946" s="47">
        <f t="shared" si="114"/>
        <v>40.4</v>
      </c>
      <c r="AS946" s="43" t="str">
        <f t="shared" si="115"/>
        <v>腰部</v>
      </c>
      <c r="AT946" s="43" t="str">
        <f t="shared" si="116"/>
        <v/>
      </c>
      <c r="AU946" s="43" t="str">
        <f t="shared" si="117"/>
        <v>拉·主攻：主推AI外呼+大促作战包</v>
      </c>
    </row>
    <row r="947" ht="15" customHeight="1" spans="1:47">
      <c r="A947" s="20" t="s">
        <v>2628</v>
      </c>
      <c r="B947" s="22" t="s">
        <v>2629</v>
      </c>
      <c r="C947" s="22" t="s">
        <v>239</v>
      </c>
      <c r="D947" s="22" t="s">
        <v>196</v>
      </c>
      <c r="E947" s="22" t="s">
        <v>181</v>
      </c>
      <c r="F947" s="20" t="s">
        <v>1383</v>
      </c>
      <c r="G947" s="22">
        <v>13</v>
      </c>
      <c r="H947" s="22" t="s">
        <v>301</v>
      </c>
      <c r="I947" s="22" t="s">
        <v>184</v>
      </c>
      <c r="J947" s="36">
        <v>5300</v>
      </c>
      <c r="K947" s="36">
        <v>2100</v>
      </c>
      <c r="L947" s="36">
        <v>2000</v>
      </c>
      <c r="M947" s="36">
        <f t="shared" si="112"/>
        <v>9400</v>
      </c>
      <c r="N947" s="34">
        <f t="shared" si="118"/>
        <v>4.92808146642928e-5</v>
      </c>
      <c r="O947" s="35">
        <f>SUM($M$2:M947)</f>
        <v>189653000</v>
      </c>
      <c r="P947" s="34">
        <f t="shared" si="119"/>
        <v>0.99428237697097</v>
      </c>
      <c r="Q947" s="39">
        <v>1.1</v>
      </c>
      <c r="R947" s="22">
        <v>7</v>
      </c>
      <c r="S947" s="22">
        <v>2</v>
      </c>
      <c r="T947" s="22">
        <v>2</v>
      </c>
      <c r="U947" s="39">
        <v>13</v>
      </c>
      <c r="V947" s="22">
        <v>19</v>
      </c>
      <c r="W947" s="22">
        <v>1</v>
      </c>
      <c r="X947" s="40">
        <v>70</v>
      </c>
      <c r="Y947" s="22">
        <v>2</v>
      </c>
      <c r="Z947" s="22">
        <v>0</v>
      </c>
      <c r="AA947" s="22" t="s">
        <v>315</v>
      </c>
      <c r="AB947" s="22" t="s">
        <v>220</v>
      </c>
      <c r="AC947" s="42">
        <f>IFERROR(LOOKUP(M947,打分卡!$F$7:$J$7,打分卡!$K$7:$O$7),1)</f>
        <v>1</v>
      </c>
      <c r="AD947" s="42">
        <f>IFERROR(LOOKUP(S947,打分卡!$F$8:$J$8,打分卡!$K$8:$O$8),1)</f>
        <v>2</v>
      </c>
      <c r="AE947" s="42">
        <f>IFERROR(LOOKUP(T947,打分卡!$F$9:$I$9,打分卡!$K$9:$N$9),1)</f>
        <v>3</v>
      </c>
      <c r="AF947" s="42">
        <f>IFERROR(LOOKUP(Q947,打分卡!$F$10:$J$10,打分卡!$K$10:$O$10),1)</f>
        <v>1</v>
      </c>
      <c r="AG947" s="42">
        <f>IFERROR(LOOKUP(R947,打分卡!$F$11:$J$11,打分卡!$K$11:$O$11),1)</f>
        <v>3</v>
      </c>
      <c r="AH947" s="42">
        <f>IFERROR(LOOKUP(U947,打分卡!$F$12:$J$12,打分卡!$K$12:$O$12),1)</f>
        <v>3</v>
      </c>
      <c r="AI947" s="42">
        <f>IFERROR(LOOKUP(X947,打分卡!$F$13:$J$13,打分卡!$K$13:$O$13),1)</f>
        <v>3</v>
      </c>
      <c r="AJ947" s="42">
        <f>IFERROR(LOOKUP(Y947,打分卡!$F$14:$J$14,打分卡!$K$14:$O$14),1)</f>
        <v>3</v>
      </c>
      <c r="AK947" s="42">
        <f>IFERROR(LOOKUP(W947,打分卡!$F$15:$J$15,打分卡!$K$15:$O$15),1)</f>
        <v>2</v>
      </c>
      <c r="AL947" s="45">
        <f t="shared" si="113"/>
        <v>2</v>
      </c>
      <c r="AM947" s="42">
        <f>IFERROR(LOOKUP(Z947,打分卡!$F$17:$H$17,打分卡!$K$17:$M$17),1)</f>
        <v>1</v>
      </c>
      <c r="AN947" s="46">
        <f>(打分卡!$D$7*AC947+打分卡!$D$8*AD947+打分卡!$D$9*AE947)/5</f>
        <v>12.4</v>
      </c>
      <c r="AO947" s="46">
        <f>(打分卡!$D$10*AF947+打分卡!$D$11*AG947)/5</f>
        <v>8</v>
      </c>
      <c r="AP947" s="46">
        <f>(打分卡!$D$12*AH947+打分卡!$D$13*AI947+打分卡!$D$14*AJ947+打分卡!$D$15*AK947)/5</f>
        <v>17.2</v>
      </c>
      <c r="AQ947" s="46">
        <f>(打分卡!$D$16*AL947+打分卡!$D$17*AM947)/5</f>
        <v>3.2</v>
      </c>
      <c r="AR947" s="48">
        <f t="shared" si="114"/>
        <v>40.8</v>
      </c>
      <c r="AS947" s="45" t="str">
        <f t="shared" si="115"/>
        <v>腰部</v>
      </c>
      <c r="AT947" s="45" t="str">
        <f t="shared" si="116"/>
        <v/>
      </c>
      <c r="AU947" s="45" t="str">
        <f t="shared" si="117"/>
        <v>拉·主攻：主推AI外呼+大促作战包</v>
      </c>
    </row>
    <row r="948" ht="15" customHeight="1" spans="1:47">
      <c r="A948" s="30" t="s">
        <v>2630</v>
      </c>
      <c r="B948" s="31" t="s">
        <v>2631</v>
      </c>
      <c r="C948" s="31" t="s">
        <v>223</v>
      </c>
      <c r="D948" s="31" t="s">
        <v>202</v>
      </c>
      <c r="E948" s="31" t="s">
        <v>181</v>
      </c>
      <c r="F948" s="30" t="s">
        <v>1608</v>
      </c>
      <c r="G948" s="31">
        <v>18</v>
      </c>
      <c r="H948" s="31" t="s">
        <v>183</v>
      </c>
      <c r="I948" s="31" t="s">
        <v>302</v>
      </c>
      <c r="J948" s="33">
        <v>5500</v>
      </c>
      <c r="K948" s="33">
        <v>2300</v>
      </c>
      <c r="L948" s="33">
        <v>1600</v>
      </c>
      <c r="M948" s="33">
        <f t="shared" si="112"/>
        <v>9400</v>
      </c>
      <c r="N948" s="34">
        <f t="shared" si="118"/>
        <v>4.92808146642928e-5</v>
      </c>
      <c r="O948" s="35">
        <f>SUM($M$2:M948)</f>
        <v>189662400</v>
      </c>
      <c r="P948" s="34">
        <f t="shared" si="119"/>
        <v>0.994331657785635</v>
      </c>
      <c r="Q948" s="37">
        <v>0.6</v>
      </c>
      <c r="R948" s="31">
        <v>9</v>
      </c>
      <c r="S948" s="31">
        <v>2</v>
      </c>
      <c r="T948" s="31">
        <v>1</v>
      </c>
      <c r="U948" s="37">
        <v>26.5</v>
      </c>
      <c r="V948" s="31">
        <v>20</v>
      </c>
      <c r="W948" s="31">
        <v>0</v>
      </c>
      <c r="X948" s="38">
        <v>69</v>
      </c>
      <c r="Y948" s="31">
        <v>0</v>
      </c>
      <c r="Z948" s="31">
        <v>1</v>
      </c>
      <c r="AA948" s="31" t="s">
        <v>315</v>
      </c>
      <c r="AB948" s="31" t="s">
        <v>220</v>
      </c>
      <c r="AC948" s="41">
        <f>IFERROR(LOOKUP(M948,打分卡!$F$7:$J$7,打分卡!$K$7:$O$7),1)</f>
        <v>1</v>
      </c>
      <c r="AD948" s="41">
        <f>IFERROR(LOOKUP(S948,打分卡!$F$8:$J$8,打分卡!$K$8:$O$8),1)</f>
        <v>2</v>
      </c>
      <c r="AE948" s="41">
        <f>IFERROR(LOOKUP(T948,打分卡!$F$9:$I$9,打分卡!$K$9:$N$9),1)</f>
        <v>2</v>
      </c>
      <c r="AF948" s="41">
        <f>IFERROR(LOOKUP(Q948,打分卡!$F$10:$J$10,打分卡!$K$10:$O$10),1)</f>
        <v>1</v>
      </c>
      <c r="AG948" s="41">
        <f>IFERROR(LOOKUP(R948,打分卡!$F$11:$J$11,打分卡!$K$11:$O$11),1)</f>
        <v>4</v>
      </c>
      <c r="AH948" s="41">
        <f>IFERROR(LOOKUP(U948,打分卡!$F$12:$J$12,打分卡!$K$12:$O$12),1)</f>
        <v>3</v>
      </c>
      <c r="AI948" s="41">
        <f>IFERROR(LOOKUP(X948,打分卡!$F$13:$J$13,打分卡!$K$13:$O$13),1)</f>
        <v>3</v>
      </c>
      <c r="AJ948" s="41">
        <f>IFERROR(LOOKUP(Y948,打分卡!$F$14:$J$14,打分卡!$K$14:$O$14),1)</f>
        <v>1</v>
      </c>
      <c r="AK948" s="41">
        <f>IFERROR(LOOKUP(W948,打分卡!$F$15:$J$15,打分卡!$K$15:$O$15),1)</f>
        <v>1</v>
      </c>
      <c r="AL948" s="43">
        <f t="shared" si="113"/>
        <v>2</v>
      </c>
      <c r="AM948" s="41">
        <f>IFERROR(LOOKUP(Z948,打分卡!$F$17:$H$17,打分卡!$K$17:$M$17),1)</f>
        <v>3</v>
      </c>
      <c r="AN948" s="44">
        <f>(打分卡!$D$7*AC948+打分卡!$D$8*AD948+打分卡!$D$9*AE948)/5</f>
        <v>11</v>
      </c>
      <c r="AO948" s="44">
        <f>(打分卡!$D$10*AF948+打分卡!$D$11*AG948)/5</f>
        <v>10</v>
      </c>
      <c r="AP948" s="44">
        <f>(打分卡!$D$12*AH948+打分卡!$D$13*AI948+打分卡!$D$14*AJ948+打分卡!$D$15*AK948)/5</f>
        <v>14</v>
      </c>
      <c r="AQ948" s="44">
        <f>(打分卡!$D$16*AL948+打分卡!$D$17*AM948)/5</f>
        <v>4.8</v>
      </c>
      <c r="AR948" s="47">
        <f t="shared" si="114"/>
        <v>39.8</v>
      </c>
      <c r="AS948" s="43" t="str">
        <f t="shared" si="115"/>
        <v>基础长尾</v>
      </c>
      <c r="AT948" s="43" t="str">
        <f t="shared" si="116"/>
        <v/>
      </c>
      <c r="AU948" s="43" t="str">
        <f t="shared" si="117"/>
        <v>激活：企微+Push低成本先跑</v>
      </c>
    </row>
    <row r="949" ht="15" customHeight="1" spans="1:47">
      <c r="A949" s="20" t="s">
        <v>2632</v>
      </c>
      <c r="B949" s="22" t="s">
        <v>2633</v>
      </c>
      <c r="C949" s="22" t="s">
        <v>223</v>
      </c>
      <c r="D949" s="22" t="s">
        <v>202</v>
      </c>
      <c r="E949" s="22" t="s">
        <v>181</v>
      </c>
      <c r="F949" s="20" t="s">
        <v>2634</v>
      </c>
      <c r="G949" s="22">
        <v>19</v>
      </c>
      <c r="H949" s="22" t="s">
        <v>301</v>
      </c>
      <c r="I949" s="22" t="s">
        <v>184</v>
      </c>
      <c r="J949" s="36">
        <v>4300</v>
      </c>
      <c r="K949" s="36">
        <v>2400</v>
      </c>
      <c r="L949" s="36">
        <v>2600</v>
      </c>
      <c r="M949" s="36">
        <f t="shared" si="112"/>
        <v>9300</v>
      </c>
      <c r="N949" s="34">
        <f t="shared" si="118"/>
        <v>4.87565506785025e-5</v>
      </c>
      <c r="O949" s="35">
        <f>SUM($M$2:M949)</f>
        <v>189671700</v>
      </c>
      <c r="P949" s="34">
        <f t="shared" si="119"/>
        <v>0.994380414336313</v>
      </c>
      <c r="Q949" s="39">
        <v>0.6</v>
      </c>
      <c r="R949" s="22">
        <v>2</v>
      </c>
      <c r="S949" s="22">
        <v>2</v>
      </c>
      <c r="T949" s="22">
        <v>1</v>
      </c>
      <c r="U949" s="39">
        <v>14.2</v>
      </c>
      <c r="V949" s="22">
        <v>7</v>
      </c>
      <c r="W949" s="22">
        <v>0</v>
      </c>
      <c r="X949" s="40">
        <v>81</v>
      </c>
      <c r="Y949" s="22">
        <v>1</v>
      </c>
      <c r="Z949" s="22">
        <v>0</v>
      </c>
      <c r="AA949" s="22" t="s">
        <v>185</v>
      </c>
      <c r="AB949" s="22" t="s">
        <v>220</v>
      </c>
      <c r="AC949" s="42">
        <f>IFERROR(LOOKUP(M949,打分卡!$F$7:$J$7,打分卡!$K$7:$O$7),1)</f>
        <v>1</v>
      </c>
      <c r="AD949" s="42">
        <f>IFERROR(LOOKUP(S949,打分卡!$F$8:$J$8,打分卡!$K$8:$O$8),1)</f>
        <v>2</v>
      </c>
      <c r="AE949" s="42">
        <f>IFERROR(LOOKUP(T949,打分卡!$F$9:$I$9,打分卡!$K$9:$N$9),1)</f>
        <v>2</v>
      </c>
      <c r="AF949" s="42">
        <f>IFERROR(LOOKUP(Q949,打分卡!$F$10:$J$10,打分卡!$K$10:$O$10),1)</f>
        <v>1</v>
      </c>
      <c r="AG949" s="42">
        <f>IFERROR(LOOKUP(R949,打分卡!$F$11:$J$11,打分卡!$K$11:$O$11),1)</f>
        <v>1</v>
      </c>
      <c r="AH949" s="42">
        <f>IFERROR(LOOKUP(U949,打分卡!$F$12:$J$12,打分卡!$K$12:$O$12),1)</f>
        <v>3</v>
      </c>
      <c r="AI949" s="42">
        <f>IFERROR(LOOKUP(X949,打分卡!$F$13:$J$13,打分卡!$K$13:$O$13),1)</f>
        <v>3</v>
      </c>
      <c r="AJ949" s="42">
        <f>IFERROR(LOOKUP(Y949,打分卡!$F$14:$J$14,打分卡!$K$14:$O$14),1)</f>
        <v>2</v>
      </c>
      <c r="AK949" s="42">
        <f>IFERROR(LOOKUP(W949,打分卡!$F$15:$J$15,打分卡!$K$15:$O$15),1)</f>
        <v>1</v>
      </c>
      <c r="AL949" s="45">
        <f t="shared" si="113"/>
        <v>3</v>
      </c>
      <c r="AM949" s="42">
        <f>IFERROR(LOOKUP(Z949,打分卡!$F$17:$H$17,打分卡!$K$17:$M$17),1)</f>
        <v>1</v>
      </c>
      <c r="AN949" s="46">
        <f>(打分卡!$D$7*AC949+打分卡!$D$8*AD949+打分卡!$D$9*AE949)/5</f>
        <v>11</v>
      </c>
      <c r="AO949" s="46">
        <f>(打分卡!$D$10*AF949+打分卡!$D$11*AG949)/5</f>
        <v>4</v>
      </c>
      <c r="AP949" s="46">
        <f>(打分卡!$D$12*AH949+打分卡!$D$13*AI949+打分卡!$D$14*AJ949+打分卡!$D$15*AK949)/5</f>
        <v>15.2</v>
      </c>
      <c r="AQ949" s="46">
        <f>(打分卡!$D$16*AL949+打分卡!$D$17*AM949)/5</f>
        <v>4.4</v>
      </c>
      <c r="AR949" s="48">
        <f t="shared" si="114"/>
        <v>34.6</v>
      </c>
      <c r="AS949" s="45" t="str">
        <f t="shared" si="115"/>
        <v>基础长尾</v>
      </c>
      <c r="AT949" s="45" t="str">
        <f t="shared" si="116"/>
        <v/>
      </c>
      <c r="AU949" s="45" t="str">
        <f t="shared" si="117"/>
        <v>激活：企微+Push低成本先跑</v>
      </c>
    </row>
    <row r="950" ht="15" customHeight="1" spans="1:47">
      <c r="A950" s="30" t="s">
        <v>2635</v>
      </c>
      <c r="B950" s="31" t="s">
        <v>2636</v>
      </c>
      <c r="C950" s="31" t="s">
        <v>189</v>
      </c>
      <c r="D950" s="31" t="s">
        <v>202</v>
      </c>
      <c r="E950" s="31" t="s">
        <v>197</v>
      </c>
      <c r="F950" s="30" t="s">
        <v>759</v>
      </c>
      <c r="G950" s="31">
        <v>16</v>
      </c>
      <c r="H950" s="31" t="s">
        <v>301</v>
      </c>
      <c r="I950" s="31" t="s">
        <v>302</v>
      </c>
      <c r="J950" s="33">
        <v>4800</v>
      </c>
      <c r="K950" s="33">
        <v>2600</v>
      </c>
      <c r="L950" s="33">
        <v>1900</v>
      </c>
      <c r="M950" s="33">
        <f t="shared" si="112"/>
        <v>9300</v>
      </c>
      <c r="N950" s="34">
        <f t="shared" si="118"/>
        <v>4.87565506785025e-5</v>
      </c>
      <c r="O950" s="35">
        <f>SUM($M$2:M950)</f>
        <v>189681000</v>
      </c>
      <c r="P950" s="34">
        <f t="shared" si="119"/>
        <v>0.994429170886992</v>
      </c>
      <c r="Q950" s="37">
        <v>0.7</v>
      </c>
      <c r="R950" s="31">
        <v>6</v>
      </c>
      <c r="S950" s="31">
        <v>3</v>
      </c>
      <c r="T950" s="31">
        <v>1</v>
      </c>
      <c r="U950" s="37">
        <v>14.8</v>
      </c>
      <c r="V950" s="31">
        <v>9</v>
      </c>
      <c r="W950" s="31">
        <v>0</v>
      </c>
      <c r="X950" s="38">
        <v>113</v>
      </c>
      <c r="Y950" s="31">
        <v>3</v>
      </c>
      <c r="Z950" s="31">
        <v>0</v>
      </c>
      <c r="AA950" s="31" t="s">
        <v>315</v>
      </c>
      <c r="AB950" s="31" t="s">
        <v>220</v>
      </c>
      <c r="AC950" s="41">
        <f>IFERROR(LOOKUP(M950,打分卡!$F$7:$J$7,打分卡!$K$7:$O$7),1)</f>
        <v>1</v>
      </c>
      <c r="AD950" s="41">
        <f>IFERROR(LOOKUP(S950,打分卡!$F$8:$J$8,打分卡!$K$8:$O$8),1)</f>
        <v>3</v>
      </c>
      <c r="AE950" s="41">
        <f>IFERROR(LOOKUP(T950,打分卡!$F$9:$I$9,打分卡!$K$9:$N$9),1)</f>
        <v>2</v>
      </c>
      <c r="AF950" s="41">
        <f>IFERROR(LOOKUP(Q950,打分卡!$F$10:$J$10,打分卡!$K$10:$O$10),1)</f>
        <v>1</v>
      </c>
      <c r="AG950" s="41">
        <f>IFERROR(LOOKUP(R950,打分卡!$F$11:$J$11,打分卡!$K$11:$O$11),1)</f>
        <v>3</v>
      </c>
      <c r="AH950" s="41">
        <f>IFERROR(LOOKUP(U950,打分卡!$F$12:$J$12,打分卡!$K$12:$O$12),1)</f>
        <v>3</v>
      </c>
      <c r="AI950" s="41">
        <f>IFERROR(LOOKUP(X950,打分卡!$F$13:$J$13,打分卡!$K$13:$O$13),1)</f>
        <v>4</v>
      </c>
      <c r="AJ950" s="41">
        <f>IFERROR(LOOKUP(Y950,打分卡!$F$14:$J$14,打分卡!$K$14:$O$14),1)</f>
        <v>4</v>
      </c>
      <c r="AK950" s="41">
        <f>IFERROR(LOOKUP(W950,打分卡!$F$15:$J$15,打分卡!$K$15:$O$15),1)</f>
        <v>1</v>
      </c>
      <c r="AL950" s="43">
        <f t="shared" si="113"/>
        <v>2</v>
      </c>
      <c r="AM950" s="41">
        <f>IFERROR(LOOKUP(Z950,打分卡!$F$17:$H$17,打分卡!$K$17:$M$17),1)</f>
        <v>1</v>
      </c>
      <c r="AN950" s="44">
        <f>(打分卡!$D$7*AC950+打分卡!$D$8*AD950+打分卡!$D$9*AE950)/5</f>
        <v>12.6</v>
      </c>
      <c r="AO950" s="44">
        <f>(打分卡!$D$10*AF950+打分卡!$D$11*AG950)/5</f>
        <v>8</v>
      </c>
      <c r="AP950" s="44">
        <f>(打分卡!$D$12*AH950+打分卡!$D$13*AI950+打分卡!$D$14*AJ950+打分卡!$D$15*AK950)/5</f>
        <v>19.2</v>
      </c>
      <c r="AQ950" s="44">
        <f>(打分卡!$D$16*AL950+打分卡!$D$17*AM950)/5</f>
        <v>3.2</v>
      </c>
      <c r="AR950" s="47">
        <f t="shared" si="114"/>
        <v>43</v>
      </c>
      <c r="AS950" s="43" t="str">
        <f t="shared" si="115"/>
        <v>腰部</v>
      </c>
      <c r="AT950" s="43" t="str">
        <f t="shared" si="116"/>
        <v/>
      </c>
      <c r="AU950" s="43" t="str">
        <f t="shared" si="117"/>
        <v>拉·主攻：主推AI外呼+大促作战包</v>
      </c>
    </row>
    <row r="951" ht="15" customHeight="1" spans="1:47">
      <c r="A951" s="20" t="s">
        <v>2637</v>
      </c>
      <c r="B951" s="22" t="s">
        <v>2638</v>
      </c>
      <c r="C951" s="22" t="s">
        <v>223</v>
      </c>
      <c r="D951" s="22" t="s">
        <v>227</v>
      </c>
      <c r="E951" s="22" t="s">
        <v>181</v>
      </c>
      <c r="F951" s="20" t="s">
        <v>2558</v>
      </c>
      <c r="G951" s="22">
        <v>9</v>
      </c>
      <c r="H951" s="22" t="s">
        <v>301</v>
      </c>
      <c r="I951" s="22" t="s">
        <v>184</v>
      </c>
      <c r="J951" s="36">
        <v>4700</v>
      </c>
      <c r="K951" s="36">
        <v>3200</v>
      </c>
      <c r="L951" s="36">
        <v>1400</v>
      </c>
      <c r="M951" s="36">
        <f t="shared" si="112"/>
        <v>9300</v>
      </c>
      <c r="N951" s="34">
        <f t="shared" si="118"/>
        <v>4.87565506785025e-5</v>
      </c>
      <c r="O951" s="35">
        <f>SUM($M$2:M951)</f>
        <v>189690300</v>
      </c>
      <c r="P951" s="34">
        <f t="shared" si="119"/>
        <v>0.99447792743767</v>
      </c>
      <c r="Q951" s="39">
        <v>1.5</v>
      </c>
      <c r="R951" s="22">
        <v>3</v>
      </c>
      <c r="S951" s="22">
        <v>1</v>
      </c>
      <c r="T951" s="22">
        <v>2</v>
      </c>
      <c r="U951" s="39">
        <v>2.6</v>
      </c>
      <c r="V951" s="22">
        <v>8</v>
      </c>
      <c r="W951" s="22">
        <v>1</v>
      </c>
      <c r="X951" s="40">
        <v>34</v>
      </c>
      <c r="Y951" s="22">
        <v>3</v>
      </c>
      <c r="Z951" s="22">
        <v>1</v>
      </c>
      <c r="AA951" s="22" t="s">
        <v>315</v>
      </c>
      <c r="AB951" s="22" t="s">
        <v>220</v>
      </c>
      <c r="AC951" s="42">
        <f>IFERROR(LOOKUP(M951,打分卡!$F$7:$J$7,打分卡!$K$7:$O$7),1)</f>
        <v>1</v>
      </c>
      <c r="AD951" s="42">
        <f>IFERROR(LOOKUP(S951,打分卡!$F$8:$J$8,打分卡!$K$8:$O$8),1)</f>
        <v>1</v>
      </c>
      <c r="AE951" s="42">
        <f>IFERROR(LOOKUP(T951,打分卡!$F$9:$I$9,打分卡!$K$9:$N$9),1)</f>
        <v>3</v>
      </c>
      <c r="AF951" s="42">
        <f>IFERROR(LOOKUP(Q951,打分卡!$F$10:$J$10,打分卡!$K$10:$O$10),1)</f>
        <v>1</v>
      </c>
      <c r="AG951" s="42">
        <f>IFERROR(LOOKUP(R951,打分卡!$F$11:$J$11,打分卡!$K$11:$O$11),1)</f>
        <v>2</v>
      </c>
      <c r="AH951" s="42">
        <f>IFERROR(LOOKUP(U951,打分卡!$F$12:$J$12,打分卡!$K$12:$O$12),1)</f>
        <v>1</v>
      </c>
      <c r="AI951" s="42">
        <f>IFERROR(LOOKUP(X951,打分卡!$F$13:$J$13,打分卡!$K$13:$O$13),1)</f>
        <v>2</v>
      </c>
      <c r="AJ951" s="42">
        <f>IFERROR(LOOKUP(Y951,打分卡!$F$14:$J$14,打分卡!$K$14:$O$14),1)</f>
        <v>4</v>
      </c>
      <c r="AK951" s="42">
        <f>IFERROR(LOOKUP(W951,打分卡!$F$15:$J$15,打分卡!$K$15:$O$15),1)</f>
        <v>2</v>
      </c>
      <c r="AL951" s="45">
        <f t="shared" si="113"/>
        <v>2</v>
      </c>
      <c r="AM951" s="42">
        <f>IFERROR(LOOKUP(Z951,打分卡!$F$17:$H$17,打分卡!$K$17:$M$17),1)</f>
        <v>3</v>
      </c>
      <c r="AN951" s="46">
        <f>(打分卡!$D$7*AC951+打分卡!$D$8*AD951+打分卡!$D$9*AE951)/5</f>
        <v>10.8</v>
      </c>
      <c r="AO951" s="46">
        <f>(打分卡!$D$10*AF951+打分卡!$D$11*AG951)/5</f>
        <v>6</v>
      </c>
      <c r="AP951" s="46">
        <f>(打分卡!$D$12*AH951+打分卡!$D$13*AI951+打分卡!$D$14*AJ951+打分卡!$D$15*AK951)/5</f>
        <v>12</v>
      </c>
      <c r="AQ951" s="46">
        <f>(打分卡!$D$16*AL951+打分卡!$D$17*AM951)/5</f>
        <v>4.8</v>
      </c>
      <c r="AR951" s="48">
        <f t="shared" si="114"/>
        <v>33.6</v>
      </c>
      <c r="AS951" s="45" t="str">
        <f t="shared" si="115"/>
        <v>基础长尾</v>
      </c>
      <c r="AT951" s="45" t="str">
        <f t="shared" si="116"/>
        <v/>
      </c>
      <c r="AU951" s="45" t="str">
        <f t="shared" si="117"/>
        <v>激活：企微+Push低成本先跑</v>
      </c>
    </row>
    <row r="952" ht="15" customHeight="1" spans="1:47">
      <c r="A952" s="30" t="s">
        <v>2639</v>
      </c>
      <c r="B952" s="31" t="s">
        <v>2640</v>
      </c>
      <c r="C952" s="31" t="s">
        <v>179</v>
      </c>
      <c r="D952" s="31" t="s">
        <v>196</v>
      </c>
      <c r="E952" s="31" t="s">
        <v>181</v>
      </c>
      <c r="F952" s="30" t="s">
        <v>941</v>
      </c>
      <c r="G952" s="31">
        <v>16</v>
      </c>
      <c r="H952" s="31" t="s">
        <v>301</v>
      </c>
      <c r="I952" s="31" t="s">
        <v>302</v>
      </c>
      <c r="J952" s="33">
        <v>4500</v>
      </c>
      <c r="K952" s="33">
        <v>3400</v>
      </c>
      <c r="L952" s="33">
        <v>1300</v>
      </c>
      <c r="M952" s="33">
        <f t="shared" si="112"/>
        <v>9200</v>
      </c>
      <c r="N952" s="34">
        <f t="shared" si="118"/>
        <v>4.82322866927121e-5</v>
      </c>
      <c r="O952" s="35">
        <f>SUM($M$2:M952)</f>
        <v>189699500</v>
      </c>
      <c r="P952" s="34">
        <f t="shared" si="119"/>
        <v>0.994526159724363</v>
      </c>
      <c r="Q952" s="37">
        <v>0.8</v>
      </c>
      <c r="R952" s="31">
        <v>7</v>
      </c>
      <c r="S952" s="31">
        <v>2</v>
      </c>
      <c r="T952" s="31">
        <v>2</v>
      </c>
      <c r="U952" s="37">
        <v>4.1</v>
      </c>
      <c r="V952" s="31">
        <v>7</v>
      </c>
      <c r="W952" s="31">
        <v>1</v>
      </c>
      <c r="X952" s="38">
        <v>20</v>
      </c>
      <c r="Y952" s="31">
        <v>1</v>
      </c>
      <c r="Z952" s="31">
        <v>0</v>
      </c>
      <c r="AA952" s="31" t="s">
        <v>185</v>
      </c>
      <c r="AB952" s="31" t="s">
        <v>220</v>
      </c>
      <c r="AC952" s="41">
        <f>IFERROR(LOOKUP(M952,打分卡!$F$7:$J$7,打分卡!$K$7:$O$7),1)</f>
        <v>1</v>
      </c>
      <c r="AD952" s="41">
        <f>IFERROR(LOOKUP(S952,打分卡!$F$8:$J$8,打分卡!$K$8:$O$8),1)</f>
        <v>2</v>
      </c>
      <c r="AE952" s="41">
        <f>IFERROR(LOOKUP(T952,打分卡!$F$9:$I$9,打分卡!$K$9:$N$9),1)</f>
        <v>3</v>
      </c>
      <c r="AF952" s="41">
        <f>IFERROR(LOOKUP(Q952,打分卡!$F$10:$J$10,打分卡!$K$10:$O$10),1)</f>
        <v>1</v>
      </c>
      <c r="AG952" s="41">
        <f>IFERROR(LOOKUP(R952,打分卡!$F$11:$J$11,打分卡!$K$11:$O$11),1)</f>
        <v>3</v>
      </c>
      <c r="AH952" s="41">
        <f>IFERROR(LOOKUP(U952,打分卡!$F$12:$J$12,打分卡!$K$12:$O$12),1)</f>
        <v>2</v>
      </c>
      <c r="AI952" s="41">
        <f>IFERROR(LOOKUP(X952,打分卡!$F$13:$J$13,打分卡!$K$13:$O$13),1)</f>
        <v>2</v>
      </c>
      <c r="AJ952" s="41">
        <f>IFERROR(LOOKUP(Y952,打分卡!$F$14:$J$14,打分卡!$K$14:$O$14),1)</f>
        <v>2</v>
      </c>
      <c r="AK952" s="41">
        <f>IFERROR(LOOKUP(W952,打分卡!$F$15:$J$15,打分卡!$K$15:$O$15),1)</f>
        <v>2</v>
      </c>
      <c r="AL952" s="43">
        <f t="shared" si="113"/>
        <v>3</v>
      </c>
      <c r="AM952" s="41">
        <f>IFERROR(LOOKUP(Z952,打分卡!$F$17:$H$17,打分卡!$K$17:$M$17),1)</f>
        <v>1</v>
      </c>
      <c r="AN952" s="44">
        <f>(打分卡!$D$7*AC952+打分卡!$D$8*AD952+打分卡!$D$9*AE952)/5</f>
        <v>12.4</v>
      </c>
      <c r="AO952" s="44">
        <f>(打分卡!$D$10*AF952+打分卡!$D$11*AG952)/5</f>
        <v>8</v>
      </c>
      <c r="AP952" s="44">
        <f>(打分卡!$D$12*AH952+打分卡!$D$13*AI952+打分卡!$D$14*AJ952+打分卡!$D$15*AK952)/5</f>
        <v>12</v>
      </c>
      <c r="AQ952" s="44">
        <f>(打分卡!$D$16*AL952+打分卡!$D$17*AM952)/5</f>
        <v>4.4</v>
      </c>
      <c r="AR952" s="47">
        <f t="shared" si="114"/>
        <v>36.8</v>
      </c>
      <c r="AS952" s="43" t="str">
        <f t="shared" si="115"/>
        <v>基础长尾</v>
      </c>
      <c r="AT952" s="43" t="str">
        <f t="shared" si="116"/>
        <v/>
      </c>
      <c r="AU952" s="43" t="str">
        <f t="shared" si="117"/>
        <v>激活：企微+Push低成本先跑</v>
      </c>
    </row>
    <row r="953" ht="15" customHeight="1" spans="1:47">
      <c r="A953" s="20" t="s">
        <v>2641</v>
      </c>
      <c r="B953" s="22" t="s">
        <v>2642</v>
      </c>
      <c r="C953" s="22" t="s">
        <v>179</v>
      </c>
      <c r="D953" s="22" t="s">
        <v>252</v>
      </c>
      <c r="E953" s="22" t="s">
        <v>181</v>
      </c>
      <c r="F953" s="20" t="s">
        <v>339</v>
      </c>
      <c r="G953" s="22">
        <v>9</v>
      </c>
      <c r="H953" s="22" t="s">
        <v>301</v>
      </c>
      <c r="I953" s="22" t="s">
        <v>184</v>
      </c>
      <c r="J953" s="36">
        <v>4200</v>
      </c>
      <c r="K953" s="36">
        <v>3400</v>
      </c>
      <c r="L953" s="36">
        <v>1600</v>
      </c>
      <c r="M953" s="36">
        <f t="shared" si="112"/>
        <v>9200</v>
      </c>
      <c r="N953" s="34">
        <f t="shared" si="118"/>
        <v>4.82322866927121e-5</v>
      </c>
      <c r="O953" s="35">
        <f>SUM($M$2:M953)</f>
        <v>189708700</v>
      </c>
      <c r="P953" s="34">
        <f t="shared" si="119"/>
        <v>0.994574392011056</v>
      </c>
      <c r="Q953" s="39">
        <v>1.5</v>
      </c>
      <c r="R953" s="22">
        <v>4</v>
      </c>
      <c r="S953" s="22">
        <v>3</v>
      </c>
      <c r="T953" s="22">
        <v>1</v>
      </c>
      <c r="U953" s="39">
        <v>40.2</v>
      </c>
      <c r="V953" s="22">
        <v>24</v>
      </c>
      <c r="W953" s="22">
        <v>2</v>
      </c>
      <c r="X953" s="40">
        <v>82</v>
      </c>
      <c r="Y953" s="22">
        <v>0</v>
      </c>
      <c r="Z953" s="22">
        <v>0</v>
      </c>
      <c r="AA953" s="22" t="s">
        <v>199</v>
      </c>
      <c r="AB953" s="22" t="s">
        <v>220</v>
      </c>
      <c r="AC953" s="42">
        <f>IFERROR(LOOKUP(M953,打分卡!$F$7:$J$7,打分卡!$K$7:$O$7),1)</f>
        <v>1</v>
      </c>
      <c r="AD953" s="42">
        <f>IFERROR(LOOKUP(S953,打分卡!$F$8:$J$8,打分卡!$K$8:$O$8),1)</f>
        <v>3</v>
      </c>
      <c r="AE953" s="42">
        <f>IFERROR(LOOKUP(T953,打分卡!$F$9:$I$9,打分卡!$K$9:$N$9),1)</f>
        <v>2</v>
      </c>
      <c r="AF953" s="42">
        <f>IFERROR(LOOKUP(Q953,打分卡!$F$10:$J$10,打分卡!$K$10:$O$10),1)</f>
        <v>1</v>
      </c>
      <c r="AG953" s="42">
        <f>IFERROR(LOOKUP(R953,打分卡!$F$11:$J$11,打分卡!$K$11:$O$11),1)</f>
        <v>2</v>
      </c>
      <c r="AH953" s="42">
        <f>IFERROR(LOOKUP(U953,打分卡!$F$12:$J$12,打分卡!$K$12:$O$12),1)</f>
        <v>4</v>
      </c>
      <c r="AI953" s="42">
        <f>IFERROR(LOOKUP(X953,打分卡!$F$13:$J$13,打分卡!$K$13:$O$13),1)</f>
        <v>4</v>
      </c>
      <c r="AJ953" s="42">
        <f>IFERROR(LOOKUP(Y953,打分卡!$F$14:$J$14,打分卡!$K$14:$O$14),1)</f>
        <v>1</v>
      </c>
      <c r="AK953" s="42">
        <f>IFERROR(LOOKUP(W953,打分卡!$F$15:$J$15,打分卡!$K$15:$O$15),1)</f>
        <v>2</v>
      </c>
      <c r="AL953" s="45">
        <f t="shared" si="113"/>
        <v>5</v>
      </c>
      <c r="AM953" s="42">
        <f>IFERROR(LOOKUP(Z953,打分卡!$F$17:$H$17,打分卡!$K$17:$M$17),1)</f>
        <v>1</v>
      </c>
      <c r="AN953" s="46">
        <f>(打分卡!$D$7*AC953+打分卡!$D$8*AD953+打分卡!$D$9*AE953)/5</f>
        <v>12.6</v>
      </c>
      <c r="AO953" s="46">
        <f>(打分卡!$D$10*AF953+打分卡!$D$11*AG953)/5</f>
        <v>6</v>
      </c>
      <c r="AP953" s="46">
        <f>(打分卡!$D$12*AH953+打分卡!$D$13*AI953+打分卡!$D$14*AJ953+打分卡!$D$15*AK953)/5</f>
        <v>18.8</v>
      </c>
      <c r="AQ953" s="46">
        <f>(打分卡!$D$16*AL953+打分卡!$D$17*AM953)/5</f>
        <v>6.8</v>
      </c>
      <c r="AR953" s="48">
        <f t="shared" si="114"/>
        <v>44.2</v>
      </c>
      <c r="AS953" s="45" t="str">
        <f t="shared" si="115"/>
        <v>腰部</v>
      </c>
      <c r="AT953" s="45" t="str">
        <f t="shared" si="116"/>
        <v/>
      </c>
      <c r="AU953" s="45" t="str">
        <f t="shared" si="117"/>
        <v>拉·主攻：主推AI外呼+大促作战包</v>
      </c>
    </row>
    <row r="954" ht="15" customHeight="1" spans="1:47">
      <c r="A954" s="30" t="s">
        <v>2643</v>
      </c>
      <c r="B954" s="31" t="s">
        <v>2644</v>
      </c>
      <c r="C954" s="31" t="s">
        <v>179</v>
      </c>
      <c r="D954" s="31" t="s">
        <v>235</v>
      </c>
      <c r="E954" s="31" t="s">
        <v>181</v>
      </c>
      <c r="F954" s="30" t="s">
        <v>1502</v>
      </c>
      <c r="G954" s="31">
        <v>12</v>
      </c>
      <c r="H954" s="31" t="s">
        <v>183</v>
      </c>
      <c r="I954" s="31" t="s">
        <v>302</v>
      </c>
      <c r="J954" s="33">
        <v>5400</v>
      </c>
      <c r="K954" s="33">
        <v>2500</v>
      </c>
      <c r="L954" s="33">
        <v>1200</v>
      </c>
      <c r="M954" s="33">
        <f t="shared" si="112"/>
        <v>9100</v>
      </c>
      <c r="N954" s="34">
        <f t="shared" si="118"/>
        <v>4.77080227069217e-5</v>
      </c>
      <c r="O954" s="35">
        <f>SUM($M$2:M954)</f>
        <v>189717800</v>
      </c>
      <c r="P954" s="34">
        <f t="shared" si="119"/>
        <v>0.994622100033763</v>
      </c>
      <c r="Q954" s="37">
        <v>0.9</v>
      </c>
      <c r="R954" s="31">
        <v>7</v>
      </c>
      <c r="S954" s="31">
        <v>3</v>
      </c>
      <c r="T954" s="31">
        <v>2</v>
      </c>
      <c r="U954" s="37">
        <v>30.6</v>
      </c>
      <c r="V954" s="31">
        <v>21</v>
      </c>
      <c r="W954" s="31">
        <v>1</v>
      </c>
      <c r="X954" s="38">
        <v>21</v>
      </c>
      <c r="Y954" s="31">
        <v>0</v>
      </c>
      <c r="Z954" s="31">
        <v>1</v>
      </c>
      <c r="AA954" s="31" t="s">
        <v>199</v>
      </c>
      <c r="AB954" s="31" t="s">
        <v>220</v>
      </c>
      <c r="AC954" s="41">
        <f>IFERROR(LOOKUP(M954,打分卡!$F$7:$J$7,打分卡!$K$7:$O$7),1)</f>
        <v>1</v>
      </c>
      <c r="AD954" s="41">
        <f>IFERROR(LOOKUP(S954,打分卡!$F$8:$J$8,打分卡!$K$8:$O$8),1)</f>
        <v>3</v>
      </c>
      <c r="AE954" s="41">
        <f>IFERROR(LOOKUP(T954,打分卡!$F$9:$I$9,打分卡!$K$9:$N$9),1)</f>
        <v>3</v>
      </c>
      <c r="AF954" s="41">
        <f>IFERROR(LOOKUP(Q954,打分卡!$F$10:$J$10,打分卡!$K$10:$O$10),1)</f>
        <v>1</v>
      </c>
      <c r="AG954" s="41">
        <f>IFERROR(LOOKUP(R954,打分卡!$F$11:$J$11,打分卡!$K$11:$O$11),1)</f>
        <v>3</v>
      </c>
      <c r="AH954" s="41">
        <f>IFERROR(LOOKUP(U954,打分卡!$F$12:$J$12,打分卡!$K$12:$O$12),1)</f>
        <v>3</v>
      </c>
      <c r="AI954" s="41">
        <f>IFERROR(LOOKUP(X954,打分卡!$F$13:$J$13,打分卡!$K$13:$O$13),1)</f>
        <v>2</v>
      </c>
      <c r="AJ954" s="41">
        <f>IFERROR(LOOKUP(Y954,打分卡!$F$14:$J$14,打分卡!$K$14:$O$14),1)</f>
        <v>1</v>
      </c>
      <c r="AK954" s="41">
        <f>IFERROR(LOOKUP(W954,打分卡!$F$15:$J$15,打分卡!$K$15:$O$15),1)</f>
        <v>2</v>
      </c>
      <c r="AL954" s="43">
        <f t="shared" si="113"/>
        <v>5</v>
      </c>
      <c r="AM954" s="41">
        <f>IFERROR(LOOKUP(Z954,打分卡!$F$17:$H$17,打分卡!$K$17:$M$17),1)</f>
        <v>3</v>
      </c>
      <c r="AN954" s="44">
        <f>(打分卡!$D$7*AC954+打分卡!$D$8*AD954+打分卡!$D$9*AE954)/5</f>
        <v>14</v>
      </c>
      <c r="AO954" s="44">
        <f>(打分卡!$D$10*AF954+打分卡!$D$11*AG954)/5</f>
        <v>8</v>
      </c>
      <c r="AP954" s="44">
        <f>(打分卡!$D$12*AH954+打分卡!$D$13*AI954+打分卡!$D$14*AJ954+打分卡!$D$15*AK954)/5</f>
        <v>13.2</v>
      </c>
      <c r="AQ954" s="44">
        <f>(打分卡!$D$16*AL954+打分卡!$D$17*AM954)/5</f>
        <v>8.4</v>
      </c>
      <c r="AR954" s="47">
        <f t="shared" si="114"/>
        <v>43.6</v>
      </c>
      <c r="AS954" s="43" t="str">
        <f t="shared" si="115"/>
        <v>腰部</v>
      </c>
      <c r="AT954" s="43" t="str">
        <f t="shared" si="116"/>
        <v/>
      </c>
      <c r="AU954" s="43" t="str">
        <f t="shared" si="117"/>
        <v>拉·主攻：主推AI外呼+大促作战包</v>
      </c>
    </row>
    <row r="955" ht="15" customHeight="1" spans="1:47">
      <c r="A955" s="20" t="s">
        <v>2645</v>
      </c>
      <c r="B955" s="22" t="s">
        <v>2646</v>
      </c>
      <c r="C955" s="22" t="s">
        <v>179</v>
      </c>
      <c r="D955" s="22" t="s">
        <v>227</v>
      </c>
      <c r="E955" s="22" t="s">
        <v>181</v>
      </c>
      <c r="F955" s="20" t="s">
        <v>1773</v>
      </c>
      <c r="G955" s="22">
        <v>14</v>
      </c>
      <c r="H955" s="22" t="s">
        <v>301</v>
      </c>
      <c r="I955" s="22" t="s">
        <v>302</v>
      </c>
      <c r="J955" s="36">
        <v>5200</v>
      </c>
      <c r="K955" s="36">
        <v>3300</v>
      </c>
      <c r="L955" s="36">
        <v>600</v>
      </c>
      <c r="M955" s="36">
        <f t="shared" si="112"/>
        <v>9100</v>
      </c>
      <c r="N955" s="34">
        <f t="shared" si="118"/>
        <v>4.77080227069217e-5</v>
      </c>
      <c r="O955" s="35">
        <f>SUM($M$2:M955)</f>
        <v>189726900</v>
      </c>
      <c r="P955" s="34">
        <f t="shared" si="119"/>
        <v>0.99466980805647</v>
      </c>
      <c r="Q955" s="39">
        <v>0.9</v>
      </c>
      <c r="R955" s="22">
        <v>7</v>
      </c>
      <c r="S955" s="22">
        <v>2</v>
      </c>
      <c r="T955" s="22">
        <v>1</v>
      </c>
      <c r="U955" s="39">
        <v>64.3</v>
      </c>
      <c r="V955" s="22">
        <v>29</v>
      </c>
      <c r="W955" s="22">
        <v>2</v>
      </c>
      <c r="X955" s="40">
        <v>13</v>
      </c>
      <c r="Y955" s="22">
        <v>1</v>
      </c>
      <c r="Z955" s="22">
        <v>1</v>
      </c>
      <c r="AA955" s="22" t="s">
        <v>315</v>
      </c>
      <c r="AB955" s="22" t="s">
        <v>220</v>
      </c>
      <c r="AC955" s="42">
        <f>IFERROR(LOOKUP(M955,打分卡!$F$7:$J$7,打分卡!$K$7:$O$7),1)</f>
        <v>1</v>
      </c>
      <c r="AD955" s="42">
        <f>IFERROR(LOOKUP(S955,打分卡!$F$8:$J$8,打分卡!$K$8:$O$8),1)</f>
        <v>2</v>
      </c>
      <c r="AE955" s="42">
        <f>IFERROR(LOOKUP(T955,打分卡!$F$9:$I$9,打分卡!$K$9:$N$9),1)</f>
        <v>2</v>
      </c>
      <c r="AF955" s="42">
        <f>IFERROR(LOOKUP(Q955,打分卡!$F$10:$J$10,打分卡!$K$10:$O$10),1)</f>
        <v>1</v>
      </c>
      <c r="AG955" s="42">
        <f>IFERROR(LOOKUP(R955,打分卡!$F$11:$J$11,打分卡!$K$11:$O$11),1)</f>
        <v>3</v>
      </c>
      <c r="AH955" s="42">
        <f>IFERROR(LOOKUP(U955,打分卡!$F$12:$J$12,打分卡!$K$12:$O$12),1)</f>
        <v>4</v>
      </c>
      <c r="AI955" s="42">
        <f>IFERROR(LOOKUP(X955,打分卡!$F$13:$J$13,打分卡!$K$13:$O$13),1)</f>
        <v>1</v>
      </c>
      <c r="AJ955" s="42">
        <f>IFERROR(LOOKUP(Y955,打分卡!$F$14:$J$14,打分卡!$K$14:$O$14),1)</f>
        <v>2</v>
      </c>
      <c r="AK955" s="42">
        <f>IFERROR(LOOKUP(W955,打分卡!$F$15:$J$15,打分卡!$K$15:$O$15),1)</f>
        <v>2</v>
      </c>
      <c r="AL955" s="45">
        <f t="shared" si="113"/>
        <v>2</v>
      </c>
      <c r="AM955" s="42">
        <f>IFERROR(LOOKUP(Z955,打分卡!$F$17:$H$17,打分卡!$K$17:$M$17),1)</f>
        <v>3</v>
      </c>
      <c r="AN955" s="46">
        <f>(打分卡!$D$7*AC955+打分卡!$D$8*AD955+打分卡!$D$9*AE955)/5</f>
        <v>11</v>
      </c>
      <c r="AO955" s="46">
        <f>(打分卡!$D$10*AF955+打分卡!$D$11*AG955)/5</f>
        <v>8</v>
      </c>
      <c r="AP955" s="46">
        <f>(打分卡!$D$12*AH955+打分卡!$D$13*AI955+打分卡!$D$14*AJ955+打分卡!$D$15*AK955)/5</f>
        <v>15.2</v>
      </c>
      <c r="AQ955" s="46">
        <f>(打分卡!$D$16*AL955+打分卡!$D$17*AM955)/5</f>
        <v>4.8</v>
      </c>
      <c r="AR955" s="48">
        <f t="shared" si="114"/>
        <v>39</v>
      </c>
      <c r="AS955" s="45" t="str">
        <f t="shared" si="115"/>
        <v>基础长尾</v>
      </c>
      <c r="AT955" s="45" t="str">
        <f t="shared" si="116"/>
        <v/>
      </c>
      <c r="AU955" s="45" t="str">
        <f t="shared" si="117"/>
        <v>激活：企微+Push低成本先跑</v>
      </c>
    </row>
    <row r="956" ht="15" customHeight="1" spans="1:47">
      <c r="A956" s="30" t="s">
        <v>2647</v>
      </c>
      <c r="B956" s="31" t="s">
        <v>2648</v>
      </c>
      <c r="C956" s="31" t="s">
        <v>223</v>
      </c>
      <c r="D956" s="31" t="s">
        <v>196</v>
      </c>
      <c r="E956" s="31" t="s">
        <v>181</v>
      </c>
      <c r="F956" s="30" t="s">
        <v>647</v>
      </c>
      <c r="G956" s="31">
        <v>6</v>
      </c>
      <c r="H956" s="31" t="s">
        <v>183</v>
      </c>
      <c r="I956" s="31" t="s">
        <v>302</v>
      </c>
      <c r="J956" s="33">
        <v>5400</v>
      </c>
      <c r="K956" s="33">
        <v>3100</v>
      </c>
      <c r="L956" s="33">
        <v>600</v>
      </c>
      <c r="M956" s="33">
        <f t="shared" si="112"/>
        <v>9100</v>
      </c>
      <c r="N956" s="34">
        <f t="shared" si="118"/>
        <v>4.77080227069217e-5</v>
      </c>
      <c r="O956" s="35">
        <f>SUM($M$2:M956)</f>
        <v>189736000</v>
      </c>
      <c r="P956" s="34">
        <f t="shared" si="119"/>
        <v>0.994717516079176</v>
      </c>
      <c r="Q956" s="37">
        <v>0.9</v>
      </c>
      <c r="R956" s="31">
        <v>3</v>
      </c>
      <c r="S956" s="31">
        <v>3</v>
      </c>
      <c r="T956" s="31">
        <v>2</v>
      </c>
      <c r="U956" s="37">
        <v>66.1</v>
      </c>
      <c r="V956" s="31">
        <v>18</v>
      </c>
      <c r="W956" s="31">
        <v>1</v>
      </c>
      <c r="X956" s="38">
        <v>55</v>
      </c>
      <c r="Y956" s="31">
        <v>0</v>
      </c>
      <c r="Z956" s="31">
        <v>0</v>
      </c>
      <c r="AA956" s="31" t="s">
        <v>315</v>
      </c>
      <c r="AB956" s="31" t="s">
        <v>220</v>
      </c>
      <c r="AC956" s="41">
        <f>IFERROR(LOOKUP(M956,打分卡!$F$7:$J$7,打分卡!$K$7:$O$7),1)</f>
        <v>1</v>
      </c>
      <c r="AD956" s="41">
        <f>IFERROR(LOOKUP(S956,打分卡!$F$8:$J$8,打分卡!$K$8:$O$8),1)</f>
        <v>3</v>
      </c>
      <c r="AE956" s="41">
        <f>IFERROR(LOOKUP(T956,打分卡!$F$9:$I$9,打分卡!$K$9:$N$9),1)</f>
        <v>3</v>
      </c>
      <c r="AF956" s="41">
        <f>IFERROR(LOOKUP(Q956,打分卡!$F$10:$J$10,打分卡!$K$10:$O$10),1)</f>
        <v>1</v>
      </c>
      <c r="AG956" s="41">
        <f>IFERROR(LOOKUP(R956,打分卡!$F$11:$J$11,打分卡!$K$11:$O$11),1)</f>
        <v>2</v>
      </c>
      <c r="AH956" s="41">
        <f>IFERROR(LOOKUP(U956,打分卡!$F$12:$J$12,打分卡!$K$12:$O$12),1)</f>
        <v>4</v>
      </c>
      <c r="AI956" s="41">
        <f>IFERROR(LOOKUP(X956,打分卡!$F$13:$J$13,打分卡!$K$13:$O$13),1)</f>
        <v>3</v>
      </c>
      <c r="AJ956" s="41">
        <f>IFERROR(LOOKUP(Y956,打分卡!$F$14:$J$14,打分卡!$K$14:$O$14),1)</f>
        <v>1</v>
      </c>
      <c r="AK956" s="41">
        <f>IFERROR(LOOKUP(W956,打分卡!$F$15:$J$15,打分卡!$K$15:$O$15),1)</f>
        <v>2</v>
      </c>
      <c r="AL956" s="43">
        <f t="shared" si="113"/>
        <v>2</v>
      </c>
      <c r="AM956" s="41">
        <f>IFERROR(LOOKUP(Z956,打分卡!$F$17:$H$17,打分卡!$K$17:$M$17),1)</f>
        <v>1</v>
      </c>
      <c r="AN956" s="44">
        <f>(打分卡!$D$7*AC956+打分卡!$D$8*AD956+打分卡!$D$9*AE956)/5</f>
        <v>14</v>
      </c>
      <c r="AO956" s="44">
        <f>(打分卡!$D$10*AF956+打分卡!$D$11*AG956)/5</f>
        <v>6</v>
      </c>
      <c r="AP956" s="44">
        <f>(打分卡!$D$12*AH956+打分卡!$D$13*AI956+打分卡!$D$14*AJ956+打分卡!$D$15*AK956)/5</f>
        <v>17.2</v>
      </c>
      <c r="AQ956" s="44">
        <f>(打分卡!$D$16*AL956+打分卡!$D$17*AM956)/5</f>
        <v>3.2</v>
      </c>
      <c r="AR956" s="47">
        <f t="shared" si="114"/>
        <v>40.4</v>
      </c>
      <c r="AS956" s="43" t="str">
        <f t="shared" si="115"/>
        <v>腰部</v>
      </c>
      <c r="AT956" s="43" t="str">
        <f t="shared" si="116"/>
        <v/>
      </c>
      <c r="AU956" s="43" t="str">
        <f t="shared" si="117"/>
        <v>拉·主攻：主推AI外呼+大促作战包</v>
      </c>
    </row>
    <row r="957" ht="15" customHeight="1" spans="1:47">
      <c r="A957" s="20" t="s">
        <v>2649</v>
      </c>
      <c r="B957" s="22" t="s">
        <v>2650</v>
      </c>
      <c r="C957" s="22" t="s">
        <v>189</v>
      </c>
      <c r="D957" s="22" t="s">
        <v>252</v>
      </c>
      <c r="E957" s="22" t="s">
        <v>181</v>
      </c>
      <c r="F957" s="20" t="s">
        <v>451</v>
      </c>
      <c r="G957" s="22">
        <v>8</v>
      </c>
      <c r="H957" s="22" t="s">
        <v>301</v>
      </c>
      <c r="I957" s="22" t="s">
        <v>302</v>
      </c>
      <c r="J957" s="36">
        <v>4500</v>
      </c>
      <c r="K957" s="36">
        <v>3000</v>
      </c>
      <c r="L957" s="36">
        <v>1500</v>
      </c>
      <c r="M957" s="36">
        <f t="shared" si="112"/>
        <v>9000</v>
      </c>
      <c r="N957" s="34">
        <f t="shared" si="118"/>
        <v>4.71837587211314e-5</v>
      </c>
      <c r="O957" s="35">
        <f>SUM($M$2:M957)</f>
        <v>189745000</v>
      </c>
      <c r="P957" s="34">
        <f t="shared" si="119"/>
        <v>0.994764699837898</v>
      </c>
      <c r="Q957" s="39">
        <v>1.3</v>
      </c>
      <c r="R957" s="22">
        <v>3</v>
      </c>
      <c r="S957" s="22">
        <v>1</v>
      </c>
      <c r="T957" s="22">
        <v>2</v>
      </c>
      <c r="U957" s="39">
        <v>12</v>
      </c>
      <c r="V957" s="22">
        <v>24</v>
      </c>
      <c r="W957" s="22">
        <v>1</v>
      </c>
      <c r="X957" s="40">
        <v>108</v>
      </c>
      <c r="Y957" s="22">
        <v>2</v>
      </c>
      <c r="Z957" s="22">
        <v>1</v>
      </c>
      <c r="AA957" s="22" t="s">
        <v>199</v>
      </c>
      <c r="AB957" s="22" t="s">
        <v>220</v>
      </c>
      <c r="AC957" s="42">
        <f>IFERROR(LOOKUP(M957,打分卡!$F$7:$J$7,打分卡!$K$7:$O$7),1)</f>
        <v>1</v>
      </c>
      <c r="AD957" s="42">
        <f>IFERROR(LOOKUP(S957,打分卡!$F$8:$J$8,打分卡!$K$8:$O$8),1)</f>
        <v>1</v>
      </c>
      <c r="AE957" s="42">
        <f>IFERROR(LOOKUP(T957,打分卡!$F$9:$I$9,打分卡!$K$9:$N$9),1)</f>
        <v>3</v>
      </c>
      <c r="AF957" s="42">
        <f>IFERROR(LOOKUP(Q957,打分卡!$F$10:$J$10,打分卡!$K$10:$O$10),1)</f>
        <v>1</v>
      </c>
      <c r="AG957" s="42">
        <f>IFERROR(LOOKUP(R957,打分卡!$F$11:$J$11,打分卡!$K$11:$O$11),1)</f>
        <v>2</v>
      </c>
      <c r="AH957" s="42">
        <f>IFERROR(LOOKUP(U957,打分卡!$F$12:$J$12,打分卡!$K$12:$O$12),1)</f>
        <v>3</v>
      </c>
      <c r="AI957" s="42">
        <f>IFERROR(LOOKUP(X957,打分卡!$F$13:$J$13,打分卡!$K$13:$O$13),1)</f>
        <v>4</v>
      </c>
      <c r="AJ957" s="42">
        <f>IFERROR(LOOKUP(Y957,打分卡!$F$14:$J$14,打分卡!$K$14:$O$14),1)</f>
        <v>3</v>
      </c>
      <c r="AK957" s="42">
        <f>IFERROR(LOOKUP(W957,打分卡!$F$15:$J$15,打分卡!$K$15:$O$15),1)</f>
        <v>2</v>
      </c>
      <c r="AL957" s="45">
        <f t="shared" si="113"/>
        <v>5</v>
      </c>
      <c r="AM957" s="42">
        <f>IFERROR(LOOKUP(Z957,打分卡!$F$17:$H$17,打分卡!$K$17:$M$17),1)</f>
        <v>3</v>
      </c>
      <c r="AN957" s="46">
        <f>(打分卡!$D$7*AC957+打分卡!$D$8*AD957+打分卡!$D$9*AE957)/5</f>
        <v>10.8</v>
      </c>
      <c r="AO957" s="46">
        <f>(打分卡!$D$10*AF957+打分卡!$D$11*AG957)/5</f>
        <v>6</v>
      </c>
      <c r="AP957" s="46">
        <f>(打分卡!$D$12*AH957+打分卡!$D$13*AI957+打分卡!$D$14*AJ957+打分卡!$D$15*AK957)/5</f>
        <v>18.8</v>
      </c>
      <c r="AQ957" s="46">
        <f>(打分卡!$D$16*AL957+打分卡!$D$17*AM957)/5</f>
        <v>8.4</v>
      </c>
      <c r="AR957" s="48">
        <f t="shared" si="114"/>
        <v>44</v>
      </c>
      <c r="AS957" s="45" t="str">
        <f t="shared" si="115"/>
        <v>腰部</v>
      </c>
      <c r="AT957" s="45" t="str">
        <f t="shared" si="116"/>
        <v/>
      </c>
      <c r="AU957" s="45" t="str">
        <f t="shared" si="117"/>
        <v>拉·主攻：主推AI外呼+大促作战包</v>
      </c>
    </row>
    <row r="958" ht="15" customHeight="1" spans="1:47">
      <c r="A958" s="30" t="s">
        <v>2651</v>
      </c>
      <c r="B958" s="31" t="s">
        <v>2652</v>
      </c>
      <c r="C958" s="31" t="s">
        <v>218</v>
      </c>
      <c r="D958" s="31" t="s">
        <v>202</v>
      </c>
      <c r="E958" s="31" t="s">
        <v>181</v>
      </c>
      <c r="F958" s="30" t="s">
        <v>2653</v>
      </c>
      <c r="G958" s="31">
        <v>24</v>
      </c>
      <c r="H958" s="31" t="s">
        <v>301</v>
      </c>
      <c r="I958" s="31" t="s">
        <v>184</v>
      </c>
      <c r="J958" s="33">
        <v>4100</v>
      </c>
      <c r="K958" s="33">
        <v>2400</v>
      </c>
      <c r="L958" s="33">
        <v>2600</v>
      </c>
      <c r="M958" s="33">
        <f t="shared" si="112"/>
        <v>9100</v>
      </c>
      <c r="N958" s="34">
        <f t="shared" si="118"/>
        <v>4.77080227069217e-5</v>
      </c>
      <c r="O958" s="35">
        <f>SUM($M$2:M958)</f>
        <v>189754100</v>
      </c>
      <c r="P958" s="34">
        <f t="shared" si="119"/>
        <v>0.994812407860605</v>
      </c>
      <c r="Q958" s="37">
        <v>0.7</v>
      </c>
      <c r="R958" s="31">
        <v>3</v>
      </c>
      <c r="S958" s="31">
        <v>3</v>
      </c>
      <c r="T958" s="31">
        <v>0</v>
      </c>
      <c r="U958" s="37">
        <v>59.5</v>
      </c>
      <c r="V958" s="31">
        <v>3</v>
      </c>
      <c r="W958" s="31">
        <v>3</v>
      </c>
      <c r="X958" s="38">
        <v>19</v>
      </c>
      <c r="Y958" s="31">
        <v>3</v>
      </c>
      <c r="Z958" s="31">
        <v>0</v>
      </c>
      <c r="AA958" s="31" t="s">
        <v>199</v>
      </c>
      <c r="AB958" s="31" t="s">
        <v>220</v>
      </c>
      <c r="AC958" s="41">
        <f>IFERROR(LOOKUP(M958,打分卡!$F$7:$J$7,打分卡!$K$7:$O$7),1)</f>
        <v>1</v>
      </c>
      <c r="AD958" s="41">
        <f>IFERROR(LOOKUP(S958,打分卡!$F$8:$J$8,打分卡!$K$8:$O$8),1)</f>
        <v>3</v>
      </c>
      <c r="AE958" s="41">
        <f>IFERROR(LOOKUP(T958,打分卡!$F$9:$I$9,打分卡!$K$9:$N$9),1)</f>
        <v>1</v>
      </c>
      <c r="AF958" s="41">
        <f>IFERROR(LOOKUP(Q958,打分卡!$F$10:$J$10,打分卡!$K$10:$O$10),1)</f>
        <v>1</v>
      </c>
      <c r="AG958" s="41">
        <f>IFERROR(LOOKUP(R958,打分卡!$F$11:$J$11,打分卡!$K$11:$O$11),1)</f>
        <v>2</v>
      </c>
      <c r="AH958" s="41">
        <f>IFERROR(LOOKUP(U958,打分卡!$F$12:$J$12,打分卡!$K$12:$O$12),1)</f>
        <v>4</v>
      </c>
      <c r="AI958" s="41">
        <f>IFERROR(LOOKUP(X958,打分卡!$F$13:$J$13,打分卡!$K$13:$O$13),1)</f>
        <v>2</v>
      </c>
      <c r="AJ958" s="41">
        <f>IFERROR(LOOKUP(Y958,打分卡!$F$14:$J$14,打分卡!$K$14:$O$14),1)</f>
        <v>4</v>
      </c>
      <c r="AK958" s="41">
        <f>IFERROR(LOOKUP(W958,打分卡!$F$15:$J$15,打分卡!$K$15:$O$15),1)</f>
        <v>3</v>
      </c>
      <c r="AL958" s="43">
        <f t="shared" si="113"/>
        <v>5</v>
      </c>
      <c r="AM958" s="41">
        <f>IFERROR(LOOKUP(Z958,打分卡!$F$17:$H$17,打分卡!$K$17:$M$17),1)</f>
        <v>1</v>
      </c>
      <c r="AN958" s="44">
        <f>(打分卡!$D$7*AC958+打分卡!$D$8*AD958+打分卡!$D$9*AE958)/5</f>
        <v>11.2</v>
      </c>
      <c r="AO958" s="44">
        <f>(打分卡!$D$10*AF958+打分卡!$D$11*AG958)/5</f>
        <v>6</v>
      </c>
      <c r="AP958" s="44">
        <f>(打分卡!$D$12*AH958+打分卡!$D$13*AI958+打分卡!$D$14*AJ958+打分卡!$D$15*AK958)/5</f>
        <v>20</v>
      </c>
      <c r="AQ958" s="44">
        <f>(打分卡!$D$16*AL958+打分卡!$D$17*AM958)/5</f>
        <v>6.8</v>
      </c>
      <c r="AR958" s="47">
        <f t="shared" si="114"/>
        <v>44</v>
      </c>
      <c r="AS958" s="43" t="str">
        <f t="shared" si="115"/>
        <v>腰部</v>
      </c>
      <c r="AT958" s="43" t="str">
        <f t="shared" si="116"/>
        <v/>
      </c>
      <c r="AU958" s="43" t="str">
        <f t="shared" si="117"/>
        <v>拉·主攻：主推AI外呼+大促作战包</v>
      </c>
    </row>
    <row r="959" ht="15" customHeight="1" spans="1:47">
      <c r="A959" s="20" t="s">
        <v>2654</v>
      </c>
      <c r="B959" s="22" t="s">
        <v>2655</v>
      </c>
      <c r="C959" s="22" t="s">
        <v>239</v>
      </c>
      <c r="D959" s="22" t="s">
        <v>202</v>
      </c>
      <c r="E959" s="22" t="s">
        <v>181</v>
      </c>
      <c r="F959" s="20" t="s">
        <v>1910</v>
      </c>
      <c r="G959" s="22">
        <v>13</v>
      </c>
      <c r="H959" s="22" t="s">
        <v>301</v>
      </c>
      <c r="I959" s="22" t="s">
        <v>302</v>
      </c>
      <c r="J959" s="36">
        <v>5600</v>
      </c>
      <c r="K959" s="36">
        <v>2400</v>
      </c>
      <c r="L959" s="36">
        <v>900</v>
      </c>
      <c r="M959" s="36">
        <f t="shared" si="112"/>
        <v>8900</v>
      </c>
      <c r="N959" s="34">
        <f t="shared" si="118"/>
        <v>4.66594947353411e-5</v>
      </c>
      <c r="O959" s="35">
        <f>SUM($M$2:M959)</f>
        <v>189763000</v>
      </c>
      <c r="P959" s="34">
        <f t="shared" si="119"/>
        <v>0.99485906735534</v>
      </c>
      <c r="Q959" s="39">
        <v>0.7</v>
      </c>
      <c r="R959" s="22">
        <v>5</v>
      </c>
      <c r="S959" s="22">
        <v>2</v>
      </c>
      <c r="T959" s="22">
        <v>2</v>
      </c>
      <c r="U959" s="39">
        <v>24.6</v>
      </c>
      <c r="V959" s="22">
        <v>29</v>
      </c>
      <c r="W959" s="22">
        <v>2</v>
      </c>
      <c r="X959" s="40">
        <v>138</v>
      </c>
      <c r="Y959" s="22">
        <v>1</v>
      </c>
      <c r="Z959" s="22">
        <v>0</v>
      </c>
      <c r="AA959" s="22" t="s">
        <v>199</v>
      </c>
      <c r="AB959" s="22" t="s">
        <v>220</v>
      </c>
      <c r="AC959" s="42">
        <f>IFERROR(LOOKUP(M959,打分卡!$F$7:$J$7,打分卡!$K$7:$O$7),1)</f>
        <v>1</v>
      </c>
      <c r="AD959" s="42">
        <f>IFERROR(LOOKUP(S959,打分卡!$F$8:$J$8,打分卡!$K$8:$O$8),1)</f>
        <v>2</v>
      </c>
      <c r="AE959" s="42">
        <f>IFERROR(LOOKUP(T959,打分卡!$F$9:$I$9,打分卡!$K$9:$N$9),1)</f>
        <v>3</v>
      </c>
      <c r="AF959" s="42">
        <f>IFERROR(LOOKUP(Q959,打分卡!$F$10:$J$10,打分卡!$K$10:$O$10),1)</f>
        <v>1</v>
      </c>
      <c r="AG959" s="42">
        <f>IFERROR(LOOKUP(R959,打分卡!$F$11:$J$11,打分卡!$K$11:$O$11),1)</f>
        <v>3</v>
      </c>
      <c r="AH959" s="42">
        <f>IFERROR(LOOKUP(U959,打分卡!$F$12:$J$12,打分卡!$K$12:$O$12),1)</f>
        <v>3</v>
      </c>
      <c r="AI959" s="42">
        <f>IFERROR(LOOKUP(X959,打分卡!$F$13:$J$13,打分卡!$K$13:$O$13),1)</f>
        <v>4</v>
      </c>
      <c r="AJ959" s="42">
        <f>IFERROR(LOOKUP(Y959,打分卡!$F$14:$J$14,打分卡!$K$14:$O$14),1)</f>
        <v>2</v>
      </c>
      <c r="AK959" s="42">
        <f>IFERROR(LOOKUP(W959,打分卡!$F$15:$J$15,打分卡!$K$15:$O$15),1)</f>
        <v>2</v>
      </c>
      <c r="AL959" s="45">
        <f t="shared" si="113"/>
        <v>5</v>
      </c>
      <c r="AM959" s="42">
        <f>IFERROR(LOOKUP(Z959,打分卡!$F$17:$H$17,打分卡!$K$17:$M$17),1)</f>
        <v>1</v>
      </c>
      <c r="AN959" s="46">
        <f>(打分卡!$D$7*AC959+打分卡!$D$8*AD959+打分卡!$D$9*AE959)/5</f>
        <v>12.4</v>
      </c>
      <c r="AO959" s="46">
        <f>(打分卡!$D$10*AF959+打分卡!$D$11*AG959)/5</f>
        <v>8</v>
      </c>
      <c r="AP959" s="46">
        <f>(打分卡!$D$12*AH959+打分卡!$D$13*AI959+打分卡!$D$14*AJ959+打分卡!$D$15*AK959)/5</f>
        <v>17.6</v>
      </c>
      <c r="AQ959" s="46">
        <f>(打分卡!$D$16*AL959+打分卡!$D$17*AM959)/5</f>
        <v>6.8</v>
      </c>
      <c r="AR959" s="48">
        <f t="shared" si="114"/>
        <v>44.8</v>
      </c>
      <c r="AS959" s="45" t="str">
        <f t="shared" si="115"/>
        <v>腰部</v>
      </c>
      <c r="AT959" s="45" t="str">
        <f t="shared" si="116"/>
        <v/>
      </c>
      <c r="AU959" s="45" t="str">
        <f t="shared" si="117"/>
        <v>拉·主攻：主推AI外呼+大促作战包</v>
      </c>
    </row>
    <row r="960" ht="15" customHeight="1" spans="1:47">
      <c r="A960" s="30" t="s">
        <v>2656</v>
      </c>
      <c r="B960" s="31" t="s">
        <v>2657</v>
      </c>
      <c r="C960" s="31" t="s">
        <v>179</v>
      </c>
      <c r="D960" s="31" t="s">
        <v>202</v>
      </c>
      <c r="E960" s="31" t="s">
        <v>197</v>
      </c>
      <c r="F960" s="30" t="s">
        <v>1782</v>
      </c>
      <c r="G960" s="31">
        <v>10</v>
      </c>
      <c r="H960" s="31" t="s">
        <v>301</v>
      </c>
      <c r="I960" s="31" t="s">
        <v>184</v>
      </c>
      <c r="J960" s="33">
        <v>5700</v>
      </c>
      <c r="K960" s="33">
        <v>1800</v>
      </c>
      <c r="L960" s="33">
        <v>1500</v>
      </c>
      <c r="M960" s="33">
        <f t="shared" si="112"/>
        <v>9000</v>
      </c>
      <c r="N960" s="34">
        <f t="shared" si="118"/>
        <v>4.71837587211314e-5</v>
      </c>
      <c r="O960" s="35">
        <f>SUM($M$2:M960)</f>
        <v>189772000</v>
      </c>
      <c r="P960" s="34">
        <f t="shared" si="119"/>
        <v>0.994906251114061</v>
      </c>
      <c r="Q960" s="37">
        <v>1.4</v>
      </c>
      <c r="R960" s="31">
        <v>7</v>
      </c>
      <c r="S960" s="31">
        <v>2</v>
      </c>
      <c r="T960" s="31">
        <v>1</v>
      </c>
      <c r="U960" s="37">
        <v>53</v>
      </c>
      <c r="V960" s="31">
        <v>14</v>
      </c>
      <c r="W960" s="31">
        <v>4</v>
      </c>
      <c r="X960" s="38">
        <v>58</v>
      </c>
      <c r="Y960" s="31">
        <v>0</v>
      </c>
      <c r="Z960" s="31">
        <v>1</v>
      </c>
      <c r="AA960" s="31" t="s">
        <v>185</v>
      </c>
      <c r="AB960" s="31" t="s">
        <v>220</v>
      </c>
      <c r="AC960" s="41">
        <f>IFERROR(LOOKUP(M960,打分卡!$F$7:$J$7,打分卡!$K$7:$O$7),1)</f>
        <v>1</v>
      </c>
      <c r="AD960" s="41">
        <f>IFERROR(LOOKUP(S960,打分卡!$F$8:$J$8,打分卡!$K$8:$O$8),1)</f>
        <v>2</v>
      </c>
      <c r="AE960" s="41">
        <f>IFERROR(LOOKUP(T960,打分卡!$F$9:$I$9,打分卡!$K$9:$N$9),1)</f>
        <v>2</v>
      </c>
      <c r="AF960" s="41">
        <f>IFERROR(LOOKUP(Q960,打分卡!$F$10:$J$10,打分卡!$K$10:$O$10),1)</f>
        <v>1</v>
      </c>
      <c r="AG960" s="41">
        <f>IFERROR(LOOKUP(R960,打分卡!$F$11:$J$11,打分卡!$K$11:$O$11),1)</f>
        <v>3</v>
      </c>
      <c r="AH960" s="41">
        <f>IFERROR(LOOKUP(U960,打分卡!$F$12:$J$12,打分卡!$K$12:$O$12),1)</f>
        <v>4</v>
      </c>
      <c r="AI960" s="41">
        <f>IFERROR(LOOKUP(X960,打分卡!$F$13:$J$13,打分卡!$K$13:$O$13),1)</f>
        <v>3</v>
      </c>
      <c r="AJ960" s="41">
        <f>IFERROR(LOOKUP(Y960,打分卡!$F$14:$J$14,打分卡!$K$14:$O$14),1)</f>
        <v>1</v>
      </c>
      <c r="AK960" s="41">
        <f>IFERROR(LOOKUP(W960,打分卡!$F$15:$J$15,打分卡!$K$15:$O$15),1)</f>
        <v>3</v>
      </c>
      <c r="AL960" s="43">
        <f t="shared" si="113"/>
        <v>3</v>
      </c>
      <c r="AM960" s="41">
        <f>IFERROR(LOOKUP(Z960,打分卡!$F$17:$H$17,打分卡!$K$17:$M$17),1)</f>
        <v>3</v>
      </c>
      <c r="AN960" s="44">
        <f>(打分卡!$D$7*AC960+打分卡!$D$8*AD960+打分卡!$D$9*AE960)/5</f>
        <v>11</v>
      </c>
      <c r="AO960" s="44">
        <f>(打分卡!$D$10*AF960+打分卡!$D$11*AG960)/5</f>
        <v>8</v>
      </c>
      <c r="AP960" s="44">
        <f>(打分卡!$D$12*AH960+打分卡!$D$13*AI960+打分卡!$D$14*AJ960+打分卡!$D$15*AK960)/5</f>
        <v>18</v>
      </c>
      <c r="AQ960" s="44">
        <f>(打分卡!$D$16*AL960+打分卡!$D$17*AM960)/5</f>
        <v>6</v>
      </c>
      <c r="AR960" s="47">
        <f t="shared" si="114"/>
        <v>43</v>
      </c>
      <c r="AS960" s="43" t="str">
        <f t="shared" si="115"/>
        <v>腰部</v>
      </c>
      <c r="AT960" s="43" t="str">
        <f t="shared" si="116"/>
        <v/>
      </c>
      <c r="AU960" s="43" t="str">
        <f t="shared" si="117"/>
        <v>拉·主攻：主推AI外呼+大促作战包</v>
      </c>
    </row>
    <row r="961" ht="15" customHeight="1" spans="1:47">
      <c r="A961" s="20" t="s">
        <v>2658</v>
      </c>
      <c r="B961" s="22" t="s">
        <v>2659</v>
      </c>
      <c r="C961" s="22" t="s">
        <v>179</v>
      </c>
      <c r="D961" s="22" t="s">
        <v>202</v>
      </c>
      <c r="E961" s="22" t="s">
        <v>181</v>
      </c>
      <c r="F961" s="20" t="s">
        <v>427</v>
      </c>
      <c r="G961" s="22">
        <v>20</v>
      </c>
      <c r="H961" s="22" t="s">
        <v>183</v>
      </c>
      <c r="I961" s="22" t="s">
        <v>302</v>
      </c>
      <c r="J961" s="36">
        <v>5400</v>
      </c>
      <c r="K961" s="36">
        <v>3100</v>
      </c>
      <c r="L961" s="36">
        <v>500</v>
      </c>
      <c r="M961" s="36">
        <f t="shared" si="112"/>
        <v>9000</v>
      </c>
      <c r="N961" s="34">
        <f t="shared" si="118"/>
        <v>4.71837587211314e-5</v>
      </c>
      <c r="O961" s="35">
        <f>SUM($M$2:M961)</f>
        <v>189781000</v>
      </c>
      <c r="P961" s="34">
        <f t="shared" si="119"/>
        <v>0.994953434872782</v>
      </c>
      <c r="Q961" s="39">
        <v>0.6</v>
      </c>
      <c r="R961" s="22">
        <v>8</v>
      </c>
      <c r="S961" s="22">
        <v>3</v>
      </c>
      <c r="T961" s="22">
        <v>0</v>
      </c>
      <c r="U961" s="39">
        <v>18</v>
      </c>
      <c r="V961" s="22">
        <v>21</v>
      </c>
      <c r="W961" s="22">
        <v>0</v>
      </c>
      <c r="X961" s="40">
        <v>14</v>
      </c>
      <c r="Y961" s="22">
        <v>1</v>
      </c>
      <c r="Z961" s="22">
        <v>0</v>
      </c>
      <c r="AA961" s="22" t="s">
        <v>315</v>
      </c>
      <c r="AB961" s="22" t="s">
        <v>220</v>
      </c>
      <c r="AC961" s="42">
        <f>IFERROR(LOOKUP(M961,打分卡!$F$7:$J$7,打分卡!$K$7:$O$7),1)</f>
        <v>1</v>
      </c>
      <c r="AD961" s="42">
        <f>IFERROR(LOOKUP(S961,打分卡!$F$8:$J$8,打分卡!$K$8:$O$8),1)</f>
        <v>3</v>
      </c>
      <c r="AE961" s="42">
        <f>IFERROR(LOOKUP(T961,打分卡!$F$9:$I$9,打分卡!$K$9:$N$9),1)</f>
        <v>1</v>
      </c>
      <c r="AF961" s="42">
        <f>IFERROR(LOOKUP(Q961,打分卡!$F$10:$J$10,打分卡!$K$10:$O$10),1)</f>
        <v>1</v>
      </c>
      <c r="AG961" s="42">
        <f>IFERROR(LOOKUP(R961,打分卡!$F$11:$J$11,打分卡!$K$11:$O$11),1)</f>
        <v>3</v>
      </c>
      <c r="AH961" s="42">
        <f>IFERROR(LOOKUP(U961,打分卡!$F$12:$J$12,打分卡!$K$12:$O$12),1)</f>
        <v>3</v>
      </c>
      <c r="AI961" s="42">
        <f>IFERROR(LOOKUP(X961,打分卡!$F$13:$J$13,打分卡!$K$13:$O$13),1)</f>
        <v>1</v>
      </c>
      <c r="AJ961" s="42">
        <f>IFERROR(LOOKUP(Y961,打分卡!$F$14:$J$14,打分卡!$K$14:$O$14),1)</f>
        <v>2</v>
      </c>
      <c r="AK961" s="42">
        <f>IFERROR(LOOKUP(W961,打分卡!$F$15:$J$15,打分卡!$K$15:$O$15),1)</f>
        <v>1</v>
      </c>
      <c r="AL961" s="45">
        <f t="shared" si="113"/>
        <v>2</v>
      </c>
      <c r="AM961" s="42">
        <f>IFERROR(LOOKUP(Z961,打分卡!$F$17:$H$17,打分卡!$K$17:$M$17),1)</f>
        <v>1</v>
      </c>
      <c r="AN961" s="46">
        <f>(打分卡!$D$7*AC961+打分卡!$D$8*AD961+打分卡!$D$9*AE961)/5</f>
        <v>11.2</v>
      </c>
      <c r="AO961" s="46">
        <f>(打分卡!$D$10*AF961+打分卡!$D$11*AG961)/5</f>
        <v>8</v>
      </c>
      <c r="AP961" s="46">
        <f>(打分卡!$D$12*AH961+打分卡!$D$13*AI961+打分卡!$D$14*AJ961+打分卡!$D$15*AK961)/5</f>
        <v>12</v>
      </c>
      <c r="AQ961" s="46">
        <f>(打分卡!$D$16*AL961+打分卡!$D$17*AM961)/5</f>
        <v>3.2</v>
      </c>
      <c r="AR961" s="48">
        <f t="shared" si="114"/>
        <v>34.4</v>
      </c>
      <c r="AS961" s="45" t="str">
        <f t="shared" si="115"/>
        <v>基础长尾</v>
      </c>
      <c r="AT961" s="45" t="str">
        <f t="shared" si="116"/>
        <v/>
      </c>
      <c r="AU961" s="45" t="str">
        <f t="shared" si="117"/>
        <v>激活：企微+Push低成本先跑</v>
      </c>
    </row>
    <row r="962" ht="15" customHeight="1" spans="1:47">
      <c r="A962" s="30" t="s">
        <v>2660</v>
      </c>
      <c r="B962" s="31" t="s">
        <v>2661</v>
      </c>
      <c r="C962" s="31" t="s">
        <v>239</v>
      </c>
      <c r="D962" s="31" t="s">
        <v>180</v>
      </c>
      <c r="E962" s="31" t="s">
        <v>181</v>
      </c>
      <c r="F962" s="30" t="s">
        <v>1358</v>
      </c>
      <c r="G962" s="31">
        <v>10</v>
      </c>
      <c r="H962" s="31" t="s">
        <v>183</v>
      </c>
      <c r="I962" s="31" t="s">
        <v>302</v>
      </c>
      <c r="J962" s="33">
        <v>4400</v>
      </c>
      <c r="K962" s="33">
        <v>2800</v>
      </c>
      <c r="L962" s="33">
        <v>1700</v>
      </c>
      <c r="M962" s="33">
        <f t="shared" ref="M962:M1025" si="120">SUM(J962:L962)</f>
        <v>8900</v>
      </c>
      <c r="N962" s="34">
        <f t="shared" si="118"/>
        <v>4.66594947353411e-5</v>
      </c>
      <c r="O962" s="35">
        <f>SUM($M$2:M962)</f>
        <v>189789900</v>
      </c>
      <c r="P962" s="34">
        <f t="shared" si="119"/>
        <v>0.995000094367517</v>
      </c>
      <c r="Q962" s="37">
        <v>1</v>
      </c>
      <c r="R962" s="31">
        <v>5</v>
      </c>
      <c r="S962" s="31">
        <v>2</v>
      </c>
      <c r="T962" s="31">
        <v>1</v>
      </c>
      <c r="U962" s="37">
        <v>14.1</v>
      </c>
      <c r="V962" s="31">
        <v>8</v>
      </c>
      <c r="W962" s="31">
        <v>4</v>
      </c>
      <c r="X962" s="38">
        <v>15</v>
      </c>
      <c r="Y962" s="31">
        <v>3</v>
      </c>
      <c r="Z962" s="31">
        <v>0</v>
      </c>
      <c r="AA962" s="31" t="s">
        <v>185</v>
      </c>
      <c r="AB962" s="31" t="s">
        <v>220</v>
      </c>
      <c r="AC962" s="41">
        <f>IFERROR(LOOKUP(M962,打分卡!$F$7:$J$7,打分卡!$K$7:$O$7),1)</f>
        <v>1</v>
      </c>
      <c r="AD962" s="41">
        <f>IFERROR(LOOKUP(S962,打分卡!$F$8:$J$8,打分卡!$K$8:$O$8),1)</f>
        <v>2</v>
      </c>
      <c r="AE962" s="41">
        <f>IFERROR(LOOKUP(T962,打分卡!$F$9:$I$9,打分卡!$K$9:$N$9),1)</f>
        <v>2</v>
      </c>
      <c r="AF962" s="41">
        <f>IFERROR(LOOKUP(Q962,打分卡!$F$10:$J$10,打分卡!$K$10:$O$10),1)</f>
        <v>1</v>
      </c>
      <c r="AG962" s="41">
        <f>IFERROR(LOOKUP(R962,打分卡!$F$11:$J$11,打分卡!$K$11:$O$11),1)</f>
        <v>3</v>
      </c>
      <c r="AH962" s="41">
        <f>IFERROR(LOOKUP(U962,打分卡!$F$12:$J$12,打分卡!$K$12:$O$12),1)</f>
        <v>3</v>
      </c>
      <c r="AI962" s="41">
        <f>IFERROR(LOOKUP(X962,打分卡!$F$13:$J$13,打分卡!$K$13:$O$13),1)</f>
        <v>1</v>
      </c>
      <c r="AJ962" s="41">
        <f>IFERROR(LOOKUP(Y962,打分卡!$F$14:$J$14,打分卡!$K$14:$O$14),1)</f>
        <v>4</v>
      </c>
      <c r="AK962" s="41">
        <f>IFERROR(LOOKUP(W962,打分卡!$F$15:$J$15,打分卡!$K$15:$O$15),1)</f>
        <v>3</v>
      </c>
      <c r="AL962" s="43">
        <f t="shared" ref="AL962:AL1025" si="121">IF(AA962="连续下降",1,IF(AA962="下降",2,IF(AA962="上升",5,3)))</f>
        <v>3</v>
      </c>
      <c r="AM962" s="41">
        <f>IFERROR(LOOKUP(Z962,打分卡!$F$17:$H$17,打分卡!$K$17:$M$17),1)</f>
        <v>1</v>
      </c>
      <c r="AN962" s="44">
        <f>(打分卡!$D$7*AC962+打分卡!$D$8*AD962+打分卡!$D$9*AE962)/5</f>
        <v>11</v>
      </c>
      <c r="AO962" s="44">
        <f>(打分卡!$D$10*AF962+打分卡!$D$11*AG962)/5</f>
        <v>8</v>
      </c>
      <c r="AP962" s="44">
        <f>(打分卡!$D$12*AH962+打分卡!$D$13*AI962+打分卡!$D$14*AJ962+打分卡!$D$15*AK962)/5</f>
        <v>16</v>
      </c>
      <c r="AQ962" s="44">
        <f>(打分卡!$D$16*AL962+打分卡!$D$17*AM962)/5</f>
        <v>4.4</v>
      </c>
      <c r="AR962" s="47">
        <f t="shared" ref="AR962:AR1025" si="122">IF(G962&lt;3,AP962/30*40+AO962+AP962+AQ962,AN962+AO962+AP962+AQ962)</f>
        <v>39.4</v>
      </c>
      <c r="AS962" s="43" t="str">
        <f t="shared" ref="AS962:AS1025" si="123">IF(M962=0,IF(G962&lt;3,"新客观察期","未激活"),IF(AR962&gt;=90,"SKA",IF(AR962&gt;=75,"KA",IF(AR962&gt;=40,"腰部","基础长尾"))))</f>
        <v>基础长尾</v>
      </c>
      <c r="AT962" s="43" t="str">
        <f t="shared" ref="AT962:AT1025" si="124">IF(AA962="连续下降","连续下降-预警","")</f>
        <v/>
      </c>
      <c r="AU962" s="43" t="str">
        <f t="shared" ref="AU962:AU1025" si="125">IF(AS962="SKA","守·共创：卡片短信/AI外呼新场景POC",IF(AS962="KA","扩·深化：AI外呼场景深化+Push/企微补全",IF(AS962="腰部","拉·主攻：主推AI外呼+大促作战包",IF(AS962="新客观察期","培育：入门包+1v1场景教育",IF(AS962="基础长尾","激活：企微+Push低成本先跑","唤醒：短信模板+首充补贴")))))</f>
        <v>激活：企微+Push低成本先跑</v>
      </c>
    </row>
    <row r="963" ht="15" customHeight="1" spans="1:47">
      <c r="A963" s="20" t="s">
        <v>2662</v>
      </c>
      <c r="B963" s="22" t="s">
        <v>2663</v>
      </c>
      <c r="C963" s="22" t="s">
        <v>218</v>
      </c>
      <c r="D963" s="22" t="s">
        <v>202</v>
      </c>
      <c r="E963" s="22" t="s">
        <v>181</v>
      </c>
      <c r="F963" s="20" t="s">
        <v>522</v>
      </c>
      <c r="G963" s="22">
        <v>21</v>
      </c>
      <c r="H963" s="22" t="s">
        <v>301</v>
      </c>
      <c r="I963" s="22" t="s">
        <v>302</v>
      </c>
      <c r="J963" s="36">
        <v>5400</v>
      </c>
      <c r="K963" s="36">
        <v>2800</v>
      </c>
      <c r="L963" s="36">
        <v>600</v>
      </c>
      <c r="M963" s="36">
        <f t="shared" si="120"/>
        <v>8800</v>
      </c>
      <c r="N963" s="34">
        <f t="shared" ref="N963:N1026" si="126">M963/$M$2002</f>
        <v>4.61352307495507e-5</v>
      </c>
      <c r="O963" s="35">
        <f>SUM($M$2:M963)</f>
        <v>189798700</v>
      </c>
      <c r="P963" s="34">
        <f t="shared" ref="P963:P1026" si="127">O963/$M$2002</f>
        <v>0.995046229598267</v>
      </c>
      <c r="Q963" s="39">
        <v>0.6</v>
      </c>
      <c r="R963" s="22">
        <v>4</v>
      </c>
      <c r="S963" s="22">
        <v>2</v>
      </c>
      <c r="T963" s="22">
        <v>1</v>
      </c>
      <c r="U963" s="39">
        <v>20.5</v>
      </c>
      <c r="V963" s="22">
        <v>13</v>
      </c>
      <c r="W963" s="22">
        <v>3</v>
      </c>
      <c r="X963" s="40">
        <v>47</v>
      </c>
      <c r="Y963" s="22">
        <v>3</v>
      </c>
      <c r="Z963" s="22">
        <v>1</v>
      </c>
      <c r="AA963" s="22" t="s">
        <v>315</v>
      </c>
      <c r="AB963" s="22" t="s">
        <v>220</v>
      </c>
      <c r="AC963" s="42">
        <f>IFERROR(LOOKUP(M963,打分卡!$F$7:$J$7,打分卡!$K$7:$O$7),1)</f>
        <v>1</v>
      </c>
      <c r="AD963" s="42">
        <f>IFERROR(LOOKUP(S963,打分卡!$F$8:$J$8,打分卡!$K$8:$O$8),1)</f>
        <v>2</v>
      </c>
      <c r="AE963" s="42">
        <f>IFERROR(LOOKUP(T963,打分卡!$F$9:$I$9,打分卡!$K$9:$N$9),1)</f>
        <v>2</v>
      </c>
      <c r="AF963" s="42">
        <f>IFERROR(LOOKUP(Q963,打分卡!$F$10:$J$10,打分卡!$K$10:$O$10),1)</f>
        <v>1</v>
      </c>
      <c r="AG963" s="42">
        <f>IFERROR(LOOKUP(R963,打分卡!$F$11:$J$11,打分卡!$K$11:$O$11),1)</f>
        <v>2</v>
      </c>
      <c r="AH963" s="42">
        <f>IFERROR(LOOKUP(U963,打分卡!$F$12:$J$12,打分卡!$K$12:$O$12),1)</f>
        <v>3</v>
      </c>
      <c r="AI963" s="42">
        <f>IFERROR(LOOKUP(X963,打分卡!$F$13:$J$13,打分卡!$K$13:$O$13),1)</f>
        <v>3</v>
      </c>
      <c r="AJ963" s="42">
        <f>IFERROR(LOOKUP(Y963,打分卡!$F$14:$J$14,打分卡!$K$14:$O$14),1)</f>
        <v>4</v>
      </c>
      <c r="AK963" s="42">
        <f>IFERROR(LOOKUP(W963,打分卡!$F$15:$J$15,打分卡!$K$15:$O$15),1)</f>
        <v>3</v>
      </c>
      <c r="AL963" s="45">
        <f t="shared" si="121"/>
        <v>2</v>
      </c>
      <c r="AM963" s="42">
        <f>IFERROR(LOOKUP(Z963,打分卡!$F$17:$H$17,打分卡!$K$17:$M$17),1)</f>
        <v>3</v>
      </c>
      <c r="AN963" s="46">
        <f>(打分卡!$D$7*AC963+打分卡!$D$8*AD963+打分卡!$D$9*AE963)/5</f>
        <v>11</v>
      </c>
      <c r="AO963" s="46">
        <f>(打分卡!$D$10*AF963+打分卡!$D$11*AG963)/5</f>
        <v>6</v>
      </c>
      <c r="AP963" s="46">
        <f>(打分卡!$D$12*AH963+打分卡!$D$13*AI963+打分卡!$D$14*AJ963+打分卡!$D$15*AK963)/5</f>
        <v>19.2</v>
      </c>
      <c r="AQ963" s="46">
        <f>(打分卡!$D$16*AL963+打分卡!$D$17*AM963)/5</f>
        <v>4.8</v>
      </c>
      <c r="AR963" s="48">
        <f t="shared" si="122"/>
        <v>41</v>
      </c>
      <c r="AS963" s="45" t="str">
        <f t="shared" si="123"/>
        <v>腰部</v>
      </c>
      <c r="AT963" s="45" t="str">
        <f t="shared" si="124"/>
        <v/>
      </c>
      <c r="AU963" s="45" t="str">
        <f t="shared" si="125"/>
        <v>拉·主攻：主推AI外呼+大促作战包</v>
      </c>
    </row>
    <row r="964" ht="15" customHeight="1" spans="1:47">
      <c r="A964" s="30" t="s">
        <v>2664</v>
      </c>
      <c r="B964" s="31" t="s">
        <v>2665</v>
      </c>
      <c r="C964" s="31" t="s">
        <v>223</v>
      </c>
      <c r="D964" s="31" t="s">
        <v>202</v>
      </c>
      <c r="E964" s="31" t="s">
        <v>181</v>
      </c>
      <c r="F964" s="30" t="s">
        <v>1248</v>
      </c>
      <c r="G964" s="31">
        <v>7</v>
      </c>
      <c r="H964" s="31" t="s">
        <v>301</v>
      </c>
      <c r="I964" s="31" t="s">
        <v>302</v>
      </c>
      <c r="J964" s="33">
        <v>5700</v>
      </c>
      <c r="K964" s="33">
        <v>2700</v>
      </c>
      <c r="L964" s="33">
        <v>400</v>
      </c>
      <c r="M964" s="33">
        <f t="shared" si="120"/>
        <v>8800</v>
      </c>
      <c r="N964" s="34">
        <f t="shared" si="126"/>
        <v>4.61352307495507e-5</v>
      </c>
      <c r="O964" s="35">
        <f>SUM($M$2:M964)</f>
        <v>189807500</v>
      </c>
      <c r="P964" s="34">
        <f t="shared" si="127"/>
        <v>0.995092364829017</v>
      </c>
      <c r="Q964" s="37">
        <v>0.7</v>
      </c>
      <c r="R964" s="31">
        <v>1</v>
      </c>
      <c r="S964" s="31">
        <v>1</v>
      </c>
      <c r="T964" s="31">
        <v>1</v>
      </c>
      <c r="U964" s="37">
        <v>24.7</v>
      </c>
      <c r="V964" s="31">
        <v>9</v>
      </c>
      <c r="W964" s="31">
        <v>1</v>
      </c>
      <c r="X964" s="38">
        <v>86</v>
      </c>
      <c r="Y964" s="31">
        <v>2</v>
      </c>
      <c r="Z964" s="31">
        <v>1</v>
      </c>
      <c r="AA964" s="31" t="s">
        <v>199</v>
      </c>
      <c r="AB964" s="31" t="s">
        <v>220</v>
      </c>
      <c r="AC964" s="41">
        <f>IFERROR(LOOKUP(M964,打分卡!$F$7:$J$7,打分卡!$K$7:$O$7),1)</f>
        <v>1</v>
      </c>
      <c r="AD964" s="41">
        <f>IFERROR(LOOKUP(S964,打分卡!$F$8:$J$8,打分卡!$K$8:$O$8),1)</f>
        <v>1</v>
      </c>
      <c r="AE964" s="41">
        <f>IFERROR(LOOKUP(T964,打分卡!$F$9:$I$9,打分卡!$K$9:$N$9),1)</f>
        <v>2</v>
      </c>
      <c r="AF964" s="41">
        <f>IFERROR(LOOKUP(Q964,打分卡!$F$10:$J$10,打分卡!$K$10:$O$10),1)</f>
        <v>1</v>
      </c>
      <c r="AG964" s="41">
        <f>IFERROR(LOOKUP(R964,打分卡!$F$11:$J$11,打分卡!$K$11:$O$11),1)</f>
        <v>1</v>
      </c>
      <c r="AH964" s="41">
        <f>IFERROR(LOOKUP(U964,打分卡!$F$12:$J$12,打分卡!$K$12:$O$12),1)</f>
        <v>3</v>
      </c>
      <c r="AI964" s="41">
        <f>IFERROR(LOOKUP(X964,打分卡!$F$13:$J$13,打分卡!$K$13:$O$13),1)</f>
        <v>4</v>
      </c>
      <c r="AJ964" s="41">
        <f>IFERROR(LOOKUP(Y964,打分卡!$F$14:$J$14,打分卡!$K$14:$O$14),1)</f>
        <v>3</v>
      </c>
      <c r="AK964" s="41">
        <f>IFERROR(LOOKUP(W964,打分卡!$F$15:$J$15,打分卡!$K$15:$O$15),1)</f>
        <v>2</v>
      </c>
      <c r="AL964" s="43">
        <f t="shared" si="121"/>
        <v>5</v>
      </c>
      <c r="AM964" s="41">
        <f>IFERROR(LOOKUP(Z964,打分卡!$F$17:$H$17,打分卡!$K$17:$M$17),1)</f>
        <v>3</v>
      </c>
      <c r="AN964" s="44">
        <f>(打分卡!$D$7*AC964+打分卡!$D$8*AD964+打分卡!$D$9*AE964)/5</f>
        <v>9.4</v>
      </c>
      <c r="AO964" s="44">
        <f>(打分卡!$D$10*AF964+打分卡!$D$11*AG964)/5</f>
        <v>4</v>
      </c>
      <c r="AP964" s="44">
        <f>(打分卡!$D$12*AH964+打分卡!$D$13*AI964+打分卡!$D$14*AJ964+打分卡!$D$15*AK964)/5</f>
        <v>18.8</v>
      </c>
      <c r="AQ964" s="44">
        <f>(打分卡!$D$16*AL964+打分卡!$D$17*AM964)/5</f>
        <v>8.4</v>
      </c>
      <c r="AR964" s="47">
        <f t="shared" si="122"/>
        <v>40.6</v>
      </c>
      <c r="AS964" s="43" t="str">
        <f t="shared" si="123"/>
        <v>腰部</v>
      </c>
      <c r="AT964" s="43" t="str">
        <f t="shared" si="124"/>
        <v/>
      </c>
      <c r="AU964" s="43" t="str">
        <f t="shared" si="125"/>
        <v>拉·主攻：主推AI外呼+大促作战包</v>
      </c>
    </row>
    <row r="965" ht="15" customHeight="1" spans="1:47">
      <c r="A965" s="20" t="s">
        <v>2666</v>
      </c>
      <c r="B965" s="22" t="s">
        <v>2667</v>
      </c>
      <c r="C965" s="22" t="s">
        <v>189</v>
      </c>
      <c r="D965" s="22" t="s">
        <v>227</v>
      </c>
      <c r="E965" s="22" t="s">
        <v>181</v>
      </c>
      <c r="F965" s="20" t="s">
        <v>2397</v>
      </c>
      <c r="G965" s="22">
        <v>13</v>
      </c>
      <c r="H965" s="22" t="s">
        <v>301</v>
      </c>
      <c r="I965" s="22" t="s">
        <v>302</v>
      </c>
      <c r="J965" s="36">
        <v>5300</v>
      </c>
      <c r="K965" s="36">
        <v>1900</v>
      </c>
      <c r="L965" s="36">
        <v>1600</v>
      </c>
      <c r="M965" s="36">
        <f t="shared" si="120"/>
        <v>8800</v>
      </c>
      <c r="N965" s="34">
        <f t="shared" si="126"/>
        <v>4.61352307495507e-5</v>
      </c>
      <c r="O965" s="35">
        <f>SUM($M$2:M965)</f>
        <v>189816300</v>
      </c>
      <c r="P965" s="34">
        <f t="shared" si="127"/>
        <v>0.995138500059766</v>
      </c>
      <c r="Q965" s="39">
        <v>1</v>
      </c>
      <c r="R965" s="22">
        <v>1</v>
      </c>
      <c r="S965" s="22">
        <v>1</v>
      </c>
      <c r="T965" s="22">
        <v>0</v>
      </c>
      <c r="U965" s="39">
        <v>1.6</v>
      </c>
      <c r="V965" s="22">
        <v>25</v>
      </c>
      <c r="W965" s="22">
        <v>0</v>
      </c>
      <c r="X965" s="40">
        <v>86</v>
      </c>
      <c r="Y965" s="22">
        <v>3</v>
      </c>
      <c r="Z965" s="22">
        <v>0</v>
      </c>
      <c r="AA965" s="22" t="s">
        <v>315</v>
      </c>
      <c r="AB965" s="22" t="s">
        <v>220</v>
      </c>
      <c r="AC965" s="42">
        <f>IFERROR(LOOKUP(M965,打分卡!$F$7:$J$7,打分卡!$K$7:$O$7),1)</f>
        <v>1</v>
      </c>
      <c r="AD965" s="42">
        <f>IFERROR(LOOKUP(S965,打分卡!$F$8:$J$8,打分卡!$K$8:$O$8),1)</f>
        <v>1</v>
      </c>
      <c r="AE965" s="42">
        <f>IFERROR(LOOKUP(T965,打分卡!$F$9:$I$9,打分卡!$K$9:$N$9),1)</f>
        <v>1</v>
      </c>
      <c r="AF965" s="42">
        <f>IFERROR(LOOKUP(Q965,打分卡!$F$10:$J$10,打分卡!$K$10:$O$10),1)</f>
        <v>1</v>
      </c>
      <c r="AG965" s="42">
        <f>IFERROR(LOOKUP(R965,打分卡!$F$11:$J$11,打分卡!$K$11:$O$11),1)</f>
        <v>1</v>
      </c>
      <c r="AH965" s="42">
        <f>IFERROR(LOOKUP(U965,打分卡!$F$12:$J$12,打分卡!$K$12:$O$12),1)</f>
        <v>1</v>
      </c>
      <c r="AI965" s="42">
        <f>IFERROR(LOOKUP(X965,打分卡!$F$13:$J$13,打分卡!$K$13:$O$13),1)</f>
        <v>4</v>
      </c>
      <c r="AJ965" s="42">
        <f>IFERROR(LOOKUP(Y965,打分卡!$F$14:$J$14,打分卡!$K$14:$O$14),1)</f>
        <v>4</v>
      </c>
      <c r="AK965" s="42">
        <f>IFERROR(LOOKUP(W965,打分卡!$F$15:$J$15,打分卡!$K$15:$O$15),1)</f>
        <v>1</v>
      </c>
      <c r="AL965" s="45">
        <f t="shared" si="121"/>
        <v>2</v>
      </c>
      <c r="AM965" s="42">
        <f>IFERROR(LOOKUP(Z965,打分卡!$F$17:$H$17,打分卡!$K$17:$M$17),1)</f>
        <v>1</v>
      </c>
      <c r="AN965" s="46">
        <f>(打分卡!$D$7*AC965+打分卡!$D$8*AD965+打分卡!$D$9*AE965)/5</f>
        <v>8</v>
      </c>
      <c r="AO965" s="46">
        <f>(打分卡!$D$10*AF965+打分卡!$D$11*AG965)/5</f>
        <v>4</v>
      </c>
      <c r="AP965" s="46">
        <f>(打分卡!$D$12*AH965+打分卡!$D$13*AI965+打分卡!$D$14*AJ965+打分卡!$D$15*AK965)/5</f>
        <v>14.4</v>
      </c>
      <c r="AQ965" s="46">
        <f>(打分卡!$D$16*AL965+打分卡!$D$17*AM965)/5</f>
        <v>3.2</v>
      </c>
      <c r="AR965" s="48">
        <f t="shared" si="122"/>
        <v>29.6</v>
      </c>
      <c r="AS965" s="45" t="str">
        <f t="shared" si="123"/>
        <v>基础长尾</v>
      </c>
      <c r="AT965" s="45" t="str">
        <f t="shared" si="124"/>
        <v/>
      </c>
      <c r="AU965" s="45" t="str">
        <f t="shared" si="125"/>
        <v>激活：企微+Push低成本先跑</v>
      </c>
    </row>
    <row r="966" ht="15" customHeight="1" spans="1:47">
      <c r="A966" s="30" t="s">
        <v>2668</v>
      </c>
      <c r="B966" s="31" t="s">
        <v>2669</v>
      </c>
      <c r="C966" s="31" t="s">
        <v>189</v>
      </c>
      <c r="D966" s="31" t="s">
        <v>180</v>
      </c>
      <c r="E966" s="31" t="s">
        <v>181</v>
      </c>
      <c r="F966" s="30" t="s">
        <v>1659</v>
      </c>
      <c r="G966" s="31">
        <v>18</v>
      </c>
      <c r="H966" s="31" t="s">
        <v>301</v>
      </c>
      <c r="I966" s="31" t="s">
        <v>302</v>
      </c>
      <c r="J966" s="33">
        <v>5000</v>
      </c>
      <c r="K966" s="33">
        <v>3100</v>
      </c>
      <c r="L966" s="33">
        <v>600</v>
      </c>
      <c r="M966" s="33">
        <f t="shared" si="120"/>
        <v>8700</v>
      </c>
      <c r="N966" s="34">
        <f t="shared" si="126"/>
        <v>4.56109667637604e-5</v>
      </c>
      <c r="O966" s="35">
        <f>SUM($M$2:M966)</f>
        <v>189825000</v>
      </c>
      <c r="P966" s="34">
        <f t="shared" si="127"/>
        <v>0.99518411102653</v>
      </c>
      <c r="Q966" s="37">
        <v>1.3</v>
      </c>
      <c r="R966" s="31">
        <v>10</v>
      </c>
      <c r="S966" s="31">
        <v>1</v>
      </c>
      <c r="T966" s="31">
        <v>2</v>
      </c>
      <c r="U966" s="37">
        <v>5</v>
      </c>
      <c r="V966" s="31">
        <v>3</v>
      </c>
      <c r="W966" s="31">
        <v>1</v>
      </c>
      <c r="X966" s="38">
        <v>14</v>
      </c>
      <c r="Y966" s="31">
        <v>2</v>
      </c>
      <c r="Z966" s="31">
        <v>1</v>
      </c>
      <c r="AA966" s="31" t="s">
        <v>315</v>
      </c>
      <c r="AB966" s="31" t="s">
        <v>220</v>
      </c>
      <c r="AC966" s="41">
        <f>IFERROR(LOOKUP(M966,打分卡!$F$7:$J$7,打分卡!$K$7:$O$7),1)</f>
        <v>1</v>
      </c>
      <c r="AD966" s="41">
        <f>IFERROR(LOOKUP(S966,打分卡!$F$8:$J$8,打分卡!$K$8:$O$8),1)</f>
        <v>1</v>
      </c>
      <c r="AE966" s="41">
        <f>IFERROR(LOOKUP(T966,打分卡!$F$9:$I$9,打分卡!$K$9:$N$9),1)</f>
        <v>3</v>
      </c>
      <c r="AF966" s="41">
        <f>IFERROR(LOOKUP(Q966,打分卡!$F$10:$J$10,打分卡!$K$10:$O$10),1)</f>
        <v>1</v>
      </c>
      <c r="AG966" s="41">
        <f>IFERROR(LOOKUP(R966,打分卡!$F$11:$J$11,打分卡!$K$11:$O$11),1)</f>
        <v>4</v>
      </c>
      <c r="AH966" s="41">
        <f>IFERROR(LOOKUP(U966,打分卡!$F$12:$J$12,打分卡!$K$12:$O$12),1)</f>
        <v>2</v>
      </c>
      <c r="AI966" s="41">
        <f>IFERROR(LOOKUP(X966,打分卡!$F$13:$J$13,打分卡!$K$13:$O$13),1)</f>
        <v>1</v>
      </c>
      <c r="AJ966" s="41">
        <f>IFERROR(LOOKUP(Y966,打分卡!$F$14:$J$14,打分卡!$K$14:$O$14),1)</f>
        <v>3</v>
      </c>
      <c r="AK966" s="41">
        <f>IFERROR(LOOKUP(W966,打分卡!$F$15:$J$15,打分卡!$K$15:$O$15),1)</f>
        <v>2</v>
      </c>
      <c r="AL966" s="43">
        <f t="shared" si="121"/>
        <v>2</v>
      </c>
      <c r="AM966" s="41">
        <f>IFERROR(LOOKUP(Z966,打分卡!$F$17:$H$17,打分卡!$K$17:$M$17),1)</f>
        <v>3</v>
      </c>
      <c r="AN966" s="44">
        <f>(打分卡!$D$7*AC966+打分卡!$D$8*AD966+打分卡!$D$9*AE966)/5</f>
        <v>10.8</v>
      </c>
      <c r="AO966" s="44">
        <f>(打分卡!$D$10*AF966+打分卡!$D$11*AG966)/5</f>
        <v>10</v>
      </c>
      <c r="AP966" s="44">
        <f>(打分卡!$D$12*AH966+打分卡!$D$13*AI966+打分卡!$D$14*AJ966+打分卡!$D$15*AK966)/5</f>
        <v>11.6</v>
      </c>
      <c r="AQ966" s="44">
        <f>(打分卡!$D$16*AL966+打分卡!$D$17*AM966)/5</f>
        <v>4.8</v>
      </c>
      <c r="AR966" s="47">
        <f t="shared" si="122"/>
        <v>37.2</v>
      </c>
      <c r="AS966" s="43" t="str">
        <f t="shared" si="123"/>
        <v>基础长尾</v>
      </c>
      <c r="AT966" s="43" t="str">
        <f t="shared" si="124"/>
        <v/>
      </c>
      <c r="AU966" s="43" t="str">
        <f t="shared" si="125"/>
        <v>激活：企微+Push低成本先跑</v>
      </c>
    </row>
    <row r="967" ht="15" customHeight="1" spans="1:47">
      <c r="A967" s="20" t="s">
        <v>2670</v>
      </c>
      <c r="B967" s="22" t="s">
        <v>2671</v>
      </c>
      <c r="C967" s="22" t="s">
        <v>234</v>
      </c>
      <c r="D967" s="22" t="s">
        <v>202</v>
      </c>
      <c r="E967" s="22" t="s">
        <v>181</v>
      </c>
      <c r="F967" s="20" t="s">
        <v>1126</v>
      </c>
      <c r="G967" s="22">
        <v>7</v>
      </c>
      <c r="H967" s="22" t="s">
        <v>301</v>
      </c>
      <c r="I967" s="22" t="s">
        <v>302</v>
      </c>
      <c r="J967" s="36">
        <v>4500</v>
      </c>
      <c r="K967" s="36">
        <v>2600</v>
      </c>
      <c r="L967" s="36">
        <v>1500</v>
      </c>
      <c r="M967" s="36">
        <f t="shared" si="120"/>
        <v>8600</v>
      </c>
      <c r="N967" s="34">
        <f t="shared" si="126"/>
        <v>4.508670277797e-5</v>
      </c>
      <c r="O967" s="35">
        <f>SUM($M$2:M967)</f>
        <v>189833600</v>
      </c>
      <c r="P967" s="34">
        <f t="shared" si="127"/>
        <v>0.995229197729308</v>
      </c>
      <c r="Q967" s="39">
        <v>0.6</v>
      </c>
      <c r="R967" s="22">
        <v>3</v>
      </c>
      <c r="S967" s="22">
        <v>1</v>
      </c>
      <c r="T967" s="22">
        <v>1</v>
      </c>
      <c r="U967" s="39">
        <v>1.6</v>
      </c>
      <c r="V967" s="22">
        <v>30</v>
      </c>
      <c r="W967" s="22">
        <v>3</v>
      </c>
      <c r="X967" s="40">
        <v>12</v>
      </c>
      <c r="Y967" s="22">
        <v>2</v>
      </c>
      <c r="Z967" s="22">
        <v>1</v>
      </c>
      <c r="AA967" s="22" t="s">
        <v>185</v>
      </c>
      <c r="AB967" s="22" t="s">
        <v>220</v>
      </c>
      <c r="AC967" s="42">
        <f>IFERROR(LOOKUP(M967,打分卡!$F$7:$J$7,打分卡!$K$7:$O$7),1)</f>
        <v>1</v>
      </c>
      <c r="AD967" s="42">
        <f>IFERROR(LOOKUP(S967,打分卡!$F$8:$J$8,打分卡!$K$8:$O$8),1)</f>
        <v>1</v>
      </c>
      <c r="AE967" s="42">
        <f>IFERROR(LOOKUP(T967,打分卡!$F$9:$I$9,打分卡!$K$9:$N$9),1)</f>
        <v>2</v>
      </c>
      <c r="AF967" s="42">
        <f>IFERROR(LOOKUP(Q967,打分卡!$F$10:$J$10,打分卡!$K$10:$O$10),1)</f>
        <v>1</v>
      </c>
      <c r="AG967" s="42">
        <f>IFERROR(LOOKUP(R967,打分卡!$F$11:$J$11,打分卡!$K$11:$O$11),1)</f>
        <v>2</v>
      </c>
      <c r="AH967" s="42">
        <f>IFERROR(LOOKUP(U967,打分卡!$F$12:$J$12,打分卡!$K$12:$O$12),1)</f>
        <v>1</v>
      </c>
      <c r="AI967" s="42">
        <f>IFERROR(LOOKUP(X967,打分卡!$F$13:$J$13,打分卡!$K$13:$O$13),1)</f>
        <v>1</v>
      </c>
      <c r="AJ967" s="42">
        <f>IFERROR(LOOKUP(Y967,打分卡!$F$14:$J$14,打分卡!$K$14:$O$14),1)</f>
        <v>3</v>
      </c>
      <c r="AK967" s="42">
        <f>IFERROR(LOOKUP(W967,打分卡!$F$15:$J$15,打分卡!$K$15:$O$15),1)</f>
        <v>3</v>
      </c>
      <c r="AL967" s="45">
        <f t="shared" si="121"/>
        <v>3</v>
      </c>
      <c r="AM967" s="42">
        <f>IFERROR(LOOKUP(Z967,打分卡!$F$17:$H$17,打分卡!$K$17:$M$17),1)</f>
        <v>3</v>
      </c>
      <c r="AN967" s="46">
        <f>(打分卡!$D$7*AC967+打分卡!$D$8*AD967+打分卡!$D$9*AE967)/5</f>
        <v>9.4</v>
      </c>
      <c r="AO967" s="46">
        <f>(打分卡!$D$10*AF967+打分卡!$D$11*AG967)/5</f>
        <v>6</v>
      </c>
      <c r="AP967" s="46">
        <f>(打分卡!$D$12*AH967+打分卡!$D$13*AI967+打分卡!$D$14*AJ967+打分卡!$D$15*AK967)/5</f>
        <v>10</v>
      </c>
      <c r="AQ967" s="46">
        <f>(打分卡!$D$16*AL967+打分卡!$D$17*AM967)/5</f>
        <v>6</v>
      </c>
      <c r="AR967" s="48">
        <f t="shared" si="122"/>
        <v>31.4</v>
      </c>
      <c r="AS967" s="45" t="str">
        <f t="shared" si="123"/>
        <v>基础长尾</v>
      </c>
      <c r="AT967" s="45" t="str">
        <f t="shared" si="124"/>
        <v/>
      </c>
      <c r="AU967" s="45" t="str">
        <f t="shared" si="125"/>
        <v>激活：企微+Push低成本先跑</v>
      </c>
    </row>
    <row r="968" ht="15" customHeight="1" spans="1:47">
      <c r="A968" s="30" t="s">
        <v>2672</v>
      </c>
      <c r="B968" s="31" t="s">
        <v>2673</v>
      </c>
      <c r="C968" s="31" t="s">
        <v>223</v>
      </c>
      <c r="D968" s="31" t="s">
        <v>202</v>
      </c>
      <c r="E968" s="31" t="s">
        <v>181</v>
      </c>
      <c r="F968" s="30" t="s">
        <v>1669</v>
      </c>
      <c r="G968" s="31">
        <v>18</v>
      </c>
      <c r="H968" s="31" t="s">
        <v>301</v>
      </c>
      <c r="I968" s="31" t="s">
        <v>302</v>
      </c>
      <c r="J968" s="33">
        <v>4800</v>
      </c>
      <c r="K968" s="33">
        <v>2100</v>
      </c>
      <c r="L968" s="33">
        <v>1600</v>
      </c>
      <c r="M968" s="33">
        <f t="shared" si="120"/>
        <v>8500</v>
      </c>
      <c r="N968" s="34">
        <f t="shared" si="126"/>
        <v>4.45624387921797e-5</v>
      </c>
      <c r="O968" s="35">
        <f>SUM($M$2:M968)</f>
        <v>189842100</v>
      </c>
      <c r="P968" s="34">
        <f t="shared" si="127"/>
        <v>0.9952737601681</v>
      </c>
      <c r="Q968" s="37">
        <v>1.1</v>
      </c>
      <c r="R968" s="31">
        <v>2</v>
      </c>
      <c r="S968" s="31">
        <v>2</v>
      </c>
      <c r="T968" s="31">
        <v>0</v>
      </c>
      <c r="U968" s="37">
        <v>9.8</v>
      </c>
      <c r="V968" s="31">
        <v>20</v>
      </c>
      <c r="W968" s="31">
        <v>2</v>
      </c>
      <c r="X968" s="38">
        <v>62</v>
      </c>
      <c r="Y968" s="31">
        <v>2</v>
      </c>
      <c r="Z968" s="31">
        <v>0</v>
      </c>
      <c r="AA968" s="31" t="s">
        <v>199</v>
      </c>
      <c r="AB968" s="31" t="s">
        <v>220</v>
      </c>
      <c r="AC968" s="41">
        <f>IFERROR(LOOKUP(M968,打分卡!$F$7:$J$7,打分卡!$K$7:$O$7),1)</f>
        <v>1</v>
      </c>
      <c r="AD968" s="41">
        <f>IFERROR(LOOKUP(S968,打分卡!$F$8:$J$8,打分卡!$K$8:$O$8),1)</f>
        <v>2</v>
      </c>
      <c r="AE968" s="41">
        <f>IFERROR(LOOKUP(T968,打分卡!$F$9:$I$9,打分卡!$K$9:$N$9),1)</f>
        <v>1</v>
      </c>
      <c r="AF968" s="41">
        <f>IFERROR(LOOKUP(Q968,打分卡!$F$10:$J$10,打分卡!$K$10:$O$10),1)</f>
        <v>1</v>
      </c>
      <c r="AG968" s="41">
        <f>IFERROR(LOOKUP(R968,打分卡!$F$11:$J$11,打分卡!$K$11:$O$11),1)</f>
        <v>1</v>
      </c>
      <c r="AH968" s="41">
        <f>IFERROR(LOOKUP(U968,打分卡!$F$12:$J$12,打分卡!$K$12:$O$12),1)</f>
        <v>2</v>
      </c>
      <c r="AI968" s="41">
        <f>IFERROR(LOOKUP(X968,打分卡!$F$13:$J$13,打分卡!$K$13:$O$13),1)</f>
        <v>3</v>
      </c>
      <c r="AJ968" s="41">
        <f>IFERROR(LOOKUP(Y968,打分卡!$F$14:$J$14,打分卡!$K$14:$O$14),1)</f>
        <v>3</v>
      </c>
      <c r="AK968" s="41">
        <f>IFERROR(LOOKUP(W968,打分卡!$F$15:$J$15,打分卡!$K$15:$O$15),1)</f>
        <v>2</v>
      </c>
      <c r="AL968" s="43">
        <f t="shared" si="121"/>
        <v>5</v>
      </c>
      <c r="AM968" s="41">
        <f>IFERROR(LOOKUP(Z968,打分卡!$F$17:$H$17,打分卡!$K$17:$M$17),1)</f>
        <v>1</v>
      </c>
      <c r="AN968" s="44">
        <f>(打分卡!$D$7*AC968+打分卡!$D$8*AD968+打分卡!$D$9*AE968)/5</f>
        <v>9.6</v>
      </c>
      <c r="AO968" s="44">
        <f>(打分卡!$D$10*AF968+打分卡!$D$11*AG968)/5</f>
        <v>4</v>
      </c>
      <c r="AP968" s="44">
        <f>(打分卡!$D$12*AH968+打分卡!$D$13*AI968+打分卡!$D$14*AJ968+打分卡!$D$15*AK968)/5</f>
        <v>14.8</v>
      </c>
      <c r="AQ968" s="44">
        <f>(打分卡!$D$16*AL968+打分卡!$D$17*AM968)/5</f>
        <v>6.8</v>
      </c>
      <c r="AR968" s="47">
        <f t="shared" si="122"/>
        <v>35.2</v>
      </c>
      <c r="AS968" s="43" t="str">
        <f t="shared" si="123"/>
        <v>基础长尾</v>
      </c>
      <c r="AT968" s="43" t="str">
        <f t="shared" si="124"/>
        <v/>
      </c>
      <c r="AU968" s="43" t="str">
        <f t="shared" si="125"/>
        <v>激活：企微+Push低成本先跑</v>
      </c>
    </row>
    <row r="969" ht="15" customHeight="1" spans="1:47">
      <c r="A969" s="20" t="s">
        <v>2674</v>
      </c>
      <c r="B969" s="22" t="s">
        <v>2675</v>
      </c>
      <c r="C969" s="22" t="s">
        <v>195</v>
      </c>
      <c r="D969" s="22" t="s">
        <v>252</v>
      </c>
      <c r="E969" s="22" t="s">
        <v>197</v>
      </c>
      <c r="F969" s="20" t="s">
        <v>2676</v>
      </c>
      <c r="G969" s="22">
        <v>3</v>
      </c>
      <c r="H969" s="22" t="s">
        <v>301</v>
      </c>
      <c r="I969" s="22" t="s">
        <v>302</v>
      </c>
      <c r="J969" s="36">
        <v>4500</v>
      </c>
      <c r="K969" s="36">
        <v>2000</v>
      </c>
      <c r="L969" s="36">
        <v>2000</v>
      </c>
      <c r="M969" s="36">
        <f t="shared" si="120"/>
        <v>8500</v>
      </c>
      <c r="N969" s="34">
        <f t="shared" si="126"/>
        <v>4.45624387921797e-5</v>
      </c>
      <c r="O969" s="35">
        <f>SUM($M$2:M969)</f>
        <v>189850600</v>
      </c>
      <c r="P969" s="34">
        <f t="shared" si="127"/>
        <v>0.995318322606892</v>
      </c>
      <c r="Q969" s="39">
        <v>1.1</v>
      </c>
      <c r="R969" s="22">
        <v>3</v>
      </c>
      <c r="S969" s="22">
        <v>2</v>
      </c>
      <c r="T969" s="22">
        <v>1</v>
      </c>
      <c r="U969" s="39">
        <v>37.8</v>
      </c>
      <c r="V969" s="22">
        <v>30</v>
      </c>
      <c r="W969" s="22">
        <v>2</v>
      </c>
      <c r="X969" s="40">
        <v>27</v>
      </c>
      <c r="Y969" s="22">
        <v>0</v>
      </c>
      <c r="Z969" s="22">
        <v>0</v>
      </c>
      <c r="AA969" s="22" t="s">
        <v>185</v>
      </c>
      <c r="AB969" s="22" t="s">
        <v>220</v>
      </c>
      <c r="AC969" s="42">
        <f>IFERROR(LOOKUP(M969,打分卡!$F$7:$J$7,打分卡!$K$7:$O$7),1)</f>
        <v>1</v>
      </c>
      <c r="AD969" s="42">
        <f>IFERROR(LOOKUP(S969,打分卡!$F$8:$J$8,打分卡!$K$8:$O$8),1)</f>
        <v>2</v>
      </c>
      <c r="AE969" s="42">
        <f>IFERROR(LOOKUP(T969,打分卡!$F$9:$I$9,打分卡!$K$9:$N$9),1)</f>
        <v>2</v>
      </c>
      <c r="AF969" s="42">
        <f>IFERROR(LOOKUP(Q969,打分卡!$F$10:$J$10,打分卡!$K$10:$O$10),1)</f>
        <v>1</v>
      </c>
      <c r="AG969" s="42">
        <f>IFERROR(LOOKUP(R969,打分卡!$F$11:$J$11,打分卡!$K$11:$O$11),1)</f>
        <v>2</v>
      </c>
      <c r="AH969" s="42">
        <f>IFERROR(LOOKUP(U969,打分卡!$F$12:$J$12,打分卡!$K$12:$O$12),1)</f>
        <v>4</v>
      </c>
      <c r="AI969" s="42">
        <f>IFERROR(LOOKUP(X969,打分卡!$F$13:$J$13,打分卡!$K$13:$O$13),1)</f>
        <v>2</v>
      </c>
      <c r="AJ969" s="42">
        <f>IFERROR(LOOKUP(Y969,打分卡!$F$14:$J$14,打分卡!$K$14:$O$14),1)</f>
        <v>1</v>
      </c>
      <c r="AK969" s="42">
        <f>IFERROR(LOOKUP(W969,打分卡!$F$15:$J$15,打分卡!$K$15:$O$15),1)</f>
        <v>2</v>
      </c>
      <c r="AL969" s="45">
        <f t="shared" si="121"/>
        <v>3</v>
      </c>
      <c r="AM969" s="42">
        <f>IFERROR(LOOKUP(Z969,打分卡!$F$17:$H$17,打分卡!$K$17:$M$17),1)</f>
        <v>1</v>
      </c>
      <c r="AN969" s="46">
        <f>(打分卡!$D$7*AC969+打分卡!$D$8*AD969+打分卡!$D$9*AE969)/5</f>
        <v>11</v>
      </c>
      <c r="AO969" s="46">
        <f>(打分卡!$D$10*AF969+打分卡!$D$11*AG969)/5</f>
        <v>6</v>
      </c>
      <c r="AP969" s="46">
        <f>(打分卡!$D$12*AH969+打分卡!$D$13*AI969+打分卡!$D$14*AJ969+打分卡!$D$15*AK969)/5</f>
        <v>15.6</v>
      </c>
      <c r="AQ969" s="46">
        <f>(打分卡!$D$16*AL969+打分卡!$D$17*AM969)/5</f>
        <v>4.4</v>
      </c>
      <c r="AR969" s="48">
        <f t="shared" si="122"/>
        <v>37</v>
      </c>
      <c r="AS969" s="45" t="str">
        <f t="shared" si="123"/>
        <v>基础长尾</v>
      </c>
      <c r="AT969" s="45" t="str">
        <f t="shared" si="124"/>
        <v/>
      </c>
      <c r="AU969" s="45" t="str">
        <f t="shared" si="125"/>
        <v>激活：企微+Push低成本先跑</v>
      </c>
    </row>
    <row r="970" ht="15" customHeight="1" spans="1:47">
      <c r="A970" s="30" t="s">
        <v>2677</v>
      </c>
      <c r="B970" s="31" t="s">
        <v>2678</v>
      </c>
      <c r="C970" s="31" t="s">
        <v>234</v>
      </c>
      <c r="D970" s="31" t="s">
        <v>196</v>
      </c>
      <c r="E970" s="31" t="s">
        <v>181</v>
      </c>
      <c r="F970" s="30" t="s">
        <v>1135</v>
      </c>
      <c r="G970" s="31">
        <v>5</v>
      </c>
      <c r="H970" s="31" t="s">
        <v>301</v>
      </c>
      <c r="I970" s="31" t="s">
        <v>302</v>
      </c>
      <c r="J970" s="33">
        <v>4500</v>
      </c>
      <c r="K970" s="33">
        <v>2700</v>
      </c>
      <c r="L970" s="33">
        <v>1200</v>
      </c>
      <c r="M970" s="33">
        <f t="shared" si="120"/>
        <v>8400</v>
      </c>
      <c r="N970" s="34">
        <f t="shared" si="126"/>
        <v>4.40381748063893e-5</v>
      </c>
      <c r="O970" s="35">
        <f>SUM($M$2:M970)</f>
        <v>189859000</v>
      </c>
      <c r="P970" s="34">
        <f t="shared" si="127"/>
        <v>0.995362360781699</v>
      </c>
      <c r="Q970" s="37">
        <v>1.2</v>
      </c>
      <c r="R970" s="31">
        <v>10</v>
      </c>
      <c r="S970" s="31">
        <v>2</v>
      </c>
      <c r="T970" s="31">
        <v>2</v>
      </c>
      <c r="U970" s="37">
        <v>2.1</v>
      </c>
      <c r="V970" s="31">
        <v>21</v>
      </c>
      <c r="W970" s="31">
        <v>0</v>
      </c>
      <c r="X970" s="38">
        <v>32</v>
      </c>
      <c r="Y970" s="31">
        <v>2</v>
      </c>
      <c r="Z970" s="31">
        <v>0</v>
      </c>
      <c r="AA970" s="31" t="s">
        <v>185</v>
      </c>
      <c r="AB970" s="31" t="s">
        <v>220</v>
      </c>
      <c r="AC970" s="41">
        <f>IFERROR(LOOKUP(M970,打分卡!$F$7:$J$7,打分卡!$K$7:$O$7),1)</f>
        <v>1</v>
      </c>
      <c r="AD970" s="41">
        <f>IFERROR(LOOKUP(S970,打分卡!$F$8:$J$8,打分卡!$K$8:$O$8),1)</f>
        <v>2</v>
      </c>
      <c r="AE970" s="41">
        <f>IFERROR(LOOKUP(T970,打分卡!$F$9:$I$9,打分卡!$K$9:$N$9),1)</f>
        <v>3</v>
      </c>
      <c r="AF970" s="41">
        <f>IFERROR(LOOKUP(Q970,打分卡!$F$10:$J$10,打分卡!$K$10:$O$10),1)</f>
        <v>1</v>
      </c>
      <c r="AG970" s="41">
        <f>IFERROR(LOOKUP(R970,打分卡!$F$11:$J$11,打分卡!$K$11:$O$11),1)</f>
        <v>4</v>
      </c>
      <c r="AH970" s="41">
        <f>IFERROR(LOOKUP(U970,打分卡!$F$12:$J$12,打分卡!$K$12:$O$12),1)</f>
        <v>1</v>
      </c>
      <c r="AI970" s="41">
        <f>IFERROR(LOOKUP(X970,打分卡!$F$13:$J$13,打分卡!$K$13:$O$13),1)</f>
        <v>2</v>
      </c>
      <c r="AJ970" s="41">
        <f>IFERROR(LOOKUP(Y970,打分卡!$F$14:$J$14,打分卡!$K$14:$O$14),1)</f>
        <v>3</v>
      </c>
      <c r="AK970" s="41">
        <f>IFERROR(LOOKUP(W970,打分卡!$F$15:$J$15,打分卡!$K$15:$O$15),1)</f>
        <v>1</v>
      </c>
      <c r="AL970" s="43">
        <f t="shared" si="121"/>
        <v>3</v>
      </c>
      <c r="AM970" s="41">
        <f>IFERROR(LOOKUP(Z970,打分卡!$F$17:$H$17,打分卡!$K$17:$M$17),1)</f>
        <v>1</v>
      </c>
      <c r="AN970" s="44">
        <f>(打分卡!$D$7*AC970+打分卡!$D$8*AD970+打分卡!$D$9*AE970)/5</f>
        <v>12.4</v>
      </c>
      <c r="AO970" s="44">
        <f>(打分卡!$D$10*AF970+打分卡!$D$11*AG970)/5</f>
        <v>10</v>
      </c>
      <c r="AP970" s="44">
        <f>(打分卡!$D$12*AH970+打分卡!$D$13*AI970+打分卡!$D$14*AJ970+打分卡!$D$15*AK970)/5</f>
        <v>10</v>
      </c>
      <c r="AQ970" s="44">
        <f>(打分卡!$D$16*AL970+打分卡!$D$17*AM970)/5</f>
        <v>4.4</v>
      </c>
      <c r="AR970" s="47">
        <f t="shared" si="122"/>
        <v>36.8</v>
      </c>
      <c r="AS970" s="43" t="str">
        <f t="shared" si="123"/>
        <v>基础长尾</v>
      </c>
      <c r="AT970" s="43" t="str">
        <f t="shared" si="124"/>
        <v/>
      </c>
      <c r="AU970" s="43" t="str">
        <f t="shared" si="125"/>
        <v>激活：企微+Push低成本先跑</v>
      </c>
    </row>
    <row r="971" ht="15" customHeight="1" spans="1:47">
      <c r="A971" s="20" t="s">
        <v>2679</v>
      </c>
      <c r="B971" s="22" t="s">
        <v>2680</v>
      </c>
      <c r="C971" s="22" t="s">
        <v>209</v>
      </c>
      <c r="D971" s="22" t="s">
        <v>227</v>
      </c>
      <c r="E971" s="22" t="s">
        <v>181</v>
      </c>
      <c r="F971" s="20" t="s">
        <v>2681</v>
      </c>
      <c r="G971" s="22">
        <v>14</v>
      </c>
      <c r="H971" s="22" t="s">
        <v>301</v>
      </c>
      <c r="I971" s="22" t="s">
        <v>302</v>
      </c>
      <c r="J971" s="36">
        <v>4000</v>
      </c>
      <c r="K971" s="36">
        <v>2800</v>
      </c>
      <c r="L971" s="36">
        <v>1600</v>
      </c>
      <c r="M971" s="36">
        <f t="shared" si="120"/>
        <v>8400</v>
      </c>
      <c r="N971" s="34">
        <f t="shared" si="126"/>
        <v>4.40381748063893e-5</v>
      </c>
      <c r="O971" s="35">
        <f>SUM($M$2:M971)</f>
        <v>189867400</v>
      </c>
      <c r="P971" s="34">
        <f t="shared" si="127"/>
        <v>0.995406398956505</v>
      </c>
      <c r="Q971" s="39">
        <v>0.9</v>
      </c>
      <c r="R971" s="22">
        <v>4</v>
      </c>
      <c r="S971" s="22">
        <v>2</v>
      </c>
      <c r="T971" s="22">
        <v>1</v>
      </c>
      <c r="U971" s="39">
        <v>44.2</v>
      </c>
      <c r="V971" s="22">
        <v>17</v>
      </c>
      <c r="W971" s="22">
        <v>0</v>
      </c>
      <c r="X971" s="40">
        <v>29</v>
      </c>
      <c r="Y971" s="22">
        <v>0</v>
      </c>
      <c r="Z971" s="22">
        <v>1</v>
      </c>
      <c r="AA971" s="22" t="s">
        <v>199</v>
      </c>
      <c r="AB971" s="22" t="s">
        <v>220</v>
      </c>
      <c r="AC971" s="42">
        <f>IFERROR(LOOKUP(M971,打分卡!$F$7:$J$7,打分卡!$K$7:$O$7),1)</f>
        <v>1</v>
      </c>
      <c r="AD971" s="42">
        <f>IFERROR(LOOKUP(S971,打分卡!$F$8:$J$8,打分卡!$K$8:$O$8),1)</f>
        <v>2</v>
      </c>
      <c r="AE971" s="42">
        <f>IFERROR(LOOKUP(T971,打分卡!$F$9:$I$9,打分卡!$K$9:$N$9),1)</f>
        <v>2</v>
      </c>
      <c r="AF971" s="42">
        <f>IFERROR(LOOKUP(Q971,打分卡!$F$10:$J$10,打分卡!$K$10:$O$10),1)</f>
        <v>1</v>
      </c>
      <c r="AG971" s="42">
        <f>IFERROR(LOOKUP(R971,打分卡!$F$11:$J$11,打分卡!$K$11:$O$11),1)</f>
        <v>2</v>
      </c>
      <c r="AH971" s="42">
        <f>IFERROR(LOOKUP(U971,打分卡!$F$12:$J$12,打分卡!$K$12:$O$12),1)</f>
        <v>4</v>
      </c>
      <c r="AI971" s="42">
        <f>IFERROR(LOOKUP(X971,打分卡!$F$13:$J$13,打分卡!$K$13:$O$13),1)</f>
        <v>2</v>
      </c>
      <c r="AJ971" s="42">
        <f>IFERROR(LOOKUP(Y971,打分卡!$F$14:$J$14,打分卡!$K$14:$O$14),1)</f>
        <v>1</v>
      </c>
      <c r="AK971" s="42">
        <f>IFERROR(LOOKUP(W971,打分卡!$F$15:$J$15,打分卡!$K$15:$O$15),1)</f>
        <v>1</v>
      </c>
      <c r="AL971" s="45">
        <f t="shared" si="121"/>
        <v>5</v>
      </c>
      <c r="AM971" s="42">
        <f>IFERROR(LOOKUP(Z971,打分卡!$F$17:$H$17,打分卡!$K$17:$M$17),1)</f>
        <v>3</v>
      </c>
      <c r="AN971" s="46">
        <f>(打分卡!$D$7*AC971+打分卡!$D$8*AD971+打分卡!$D$9*AE971)/5</f>
        <v>11</v>
      </c>
      <c r="AO971" s="46">
        <f>(打分卡!$D$10*AF971+打分卡!$D$11*AG971)/5</f>
        <v>6</v>
      </c>
      <c r="AP971" s="46">
        <f>(打分卡!$D$12*AH971+打分卡!$D$13*AI971+打分卡!$D$14*AJ971+打分卡!$D$15*AK971)/5</f>
        <v>14.8</v>
      </c>
      <c r="AQ971" s="46">
        <f>(打分卡!$D$16*AL971+打分卡!$D$17*AM971)/5</f>
        <v>8.4</v>
      </c>
      <c r="AR971" s="48">
        <f t="shared" si="122"/>
        <v>40.2</v>
      </c>
      <c r="AS971" s="45" t="str">
        <f t="shared" si="123"/>
        <v>腰部</v>
      </c>
      <c r="AT971" s="45" t="str">
        <f t="shared" si="124"/>
        <v/>
      </c>
      <c r="AU971" s="45" t="str">
        <f t="shared" si="125"/>
        <v>拉·主攻：主推AI外呼+大促作战包</v>
      </c>
    </row>
    <row r="972" ht="15" customHeight="1" spans="1:47">
      <c r="A972" s="30" t="s">
        <v>2682</v>
      </c>
      <c r="B972" s="31" t="s">
        <v>2683</v>
      </c>
      <c r="C972" s="31" t="s">
        <v>179</v>
      </c>
      <c r="D972" s="31" t="s">
        <v>202</v>
      </c>
      <c r="E972" s="31" t="s">
        <v>181</v>
      </c>
      <c r="F972" s="30" t="s">
        <v>2684</v>
      </c>
      <c r="G972" s="31">
        <v>5</v>
      </c>
      <c r="H972" s="31" t="s">
        <v>183</v>
      </c>
      <c r="I972" s="31" t="s">
        <v>184</v>
      </c>
      <c r="J972" s="33">
        <v>4500</v>
      </c>
      <c r="K972" s="33">
        <v>2100</v>
      </c>
      <c r="L972" s="33">
        <v>1800</v>
      </c>
      <c r="M972" s="33">
        <f t="shared" si="120"/>
        <v>8400</v>
      </c>
      <c r="N972" s="34">
        <f t="shared" si="126"/>
        <v>4.40381748063893e-5</v>
      </c>
      <c r="O972" s="35">
        <f>SUM($M$2:M972)</f>
        <v>189875800</v>
      </c>
      <c r="P972" s="34">
        <f t="shared" si="127"/>
        <v>0.995450437131311</v>
      </c>
      <c r="Q972" s="37">
        <v>0.9</v>
      </c>
      <c r="R972" s="31">
        <v>1</v>
      </c>
      <c r="S972" s="31">
        <v>2</v>
      </c>
      <c r="T972" s="31">
        <v>2</v>
      </c>
      <c r="U972" s="37">
        <v>3.7</v>
      </c>
      <c r="V972" s="31">
        <v>29</v>
      </c>
      <c r="W972" s="31">
        <v>2</v>
      </c>
      <c r="X972" s="38">
        <v>42</v>
      </c>
      <c r="Y972" s="31">
        <v>1</v>
      </c>
      <c r="Z972" s="31">
        <v>0</v>
      </c>
      <c r="AA972" s="31" t="s">
        <v>185</v>
      </c>
      <c r="AB972" s="31" t="s">
        <v>220</v>
      </c>
      <c r="AC972" s="41">
        <f>IFERROR(LOOKUP(M972,打分卡!$F$7:$J$7,打分卡!$K$7:$O$7),1)</f>
        <v>1</v>
      </c>
      <c r="AD972" s="41">
        <f>IFERROR(LOOKUP(S972,打分卡!$F$8:$J$8,打分卡!$K$8:$O$8),1)</f>
        <v>2</v>
      </c>
      <c r="AE972" s="41">
        <f>IFERROR(LOOKUP(T972,打分卡!$F$9:$I$9,打分卡!$K$9:$N$9),1)</f>
        <v>3</v>
      </c>
      <c r="AF972" s="41">
        <f>IFERROR(LOOKUP(Q972,打分卡!$F$10:$J$10,打分卡!$K$10:$O$10),1)</f>
        <v>1</v>
      </c>
      <c r="AG972" s="41">
        <f>IFERROR(LOOKUP(R972,打分卡!$F$11:$J$11,打分卡!$K$11:$O$11),1)</f>
        <v>1</v>
      </c>
      <c r="AH972" s="41">
        <f>IFERROR(LOOKUP(U972,打分卡!$F$12:$J$12,打分卡!$K$12:$O$12),1)</f>
        <v>2</v>
      </c>
      <c r="AI972" s="41">
        <f>IFERROR(LOOKUP(X972,打分卡!$F$13:$J$13,打分卡!$K$13:$O$13),1)</f>
        <v>3</v>
      </c>
      <c r="AJ972" s="41">
        <f>IFERROR(LOOKUP(Y972,打分卡!$F$14:$J$14,打分卡!$K$14:$O$14),1)</f>
        <v>2</v>
      </c>
      <c r="AK972" s="41">
        <f>IFERROR(LOOKUP(W972,打分卡!$F$15:$J$15,打分卡!$K$15:$O$15),1)</f>
        <v>2</v>
      </c>
      <c r="AL972" s="43">
        <f t="shared" si="121"/>
        <v>3</v>
      </c>
      <c r="AM972" s="41">
        <f>IFERROR(LOOKUP(Z972,打分卡!$F$17:$H$17,打分卡!$K$17:$M$17),1)</f>
        <v>1</v>
      </c>
      <c r="AN972" s="44">
        <f>(打分卡!$D$7*AC972+打分卡!$D$8*AD972+打分卡!$D$9*AE972)/5</f>
        <v>12.4</v>
      </c>
      <c r="AO972" s="44">
        <f>(打分卡!$D$10*AF972+打分卡!$D$11*AG972)/5</f>
        <v>4</v>
      </c>
      <c r="AP972" s="44">
        <f>(打分卡!$D$12*AH972+打分卡!$D$13*AI972+打分卡!$D$14*AJ972+打分卡!$D$15*AK972)/5</f>
        <v>13.6</v>
      </c>
      <c r="AQ972" s="44">
        <f>(打分卡!$D$16*AL972+打分卡!$D$17*AM972)/5</f>
        <v>4.4</v>
      </c>
      <c r="AR972" s="47">
        <f t="shared" si="122"/>
        <v>34.4</v>
      </c>
      <c r="AS972" s="43" t="str">
        <f t="shared" si="123"/>
        <v>基础长尾</v>
      </c>
      <c r="AT972" s="43" t="str">
        <f t="shared" si="124"/>
        <v/>
      </c>
      <c r="AU972" s="43" t="str">
        <f t="shared" si="125"/>
        <v>激活：企微+Push低成本先跑</v>
      </c>
    </row>
    <row r="973" ht="15" customHeight="1" spans="1:47">
      <c r="A973" s="20" t="s">
        <v>2685</v>
      </c>
      <c r="B973" s="22" t="s">
        <v>2686</v>
      </c>
      <c r="C973" s="22" t="s">
        <v>223</v>
      </c>
      <c r="D973" s="22" t="s">
        <v>252</v>
      </c>
      <c r="E973" s="22" t="s">
        <v>181</v>
      </c>
      <c r="F973" s="20" t="s">
        <v>345</v>
      </c>
      <c r="G973" s="22">
        <v>17</v>
      </c>
      <c r="H973" s="22" t="s">
        <v>301</v>
      </c>
      <c r="I973" s="22" t="s">
        <v>184</v>
      </c>
      <c r="J973" s="36">
        <v>4900</v>
      </c>
      <c r="K973" s="36">
        <v>2500</v>
      </c>
      <c r="L973" s="36">
        <v>1000</v>
      </c>
      <c r="M973" s="36">
        <f t="shared" si="120"/>
        <v>8400</v>
      </c>
      <c r="N973" s="34">
        <f t="shared" si="126"/>
        <v>4.40381748063893e-5</v>
      </c>
      <c r="O973" s="35">
        <f>SUM($M$2:M973)</f>
        <v>189884200</v>
      </c>
      <c r="P973" s="34">
        <f t="shared" si="127"/>
        <v>0.995494475306118</v>
      </c>
      <c r="Q973" s="39">
        <v>0.8</v>
      </c>
      <c r="R973" s="22">
        <v>10</v>
      </c>
      <c r="S973" s="22">
        <v>1</v>
      </c>
      <c r="T973" s="22">
        <v>1</v>
      </c>
      <c r="U973" s="39">
        <v>52.5</v>
      </c>
      <c r="V973" s="22">
        <v>21</v>
      </c>
      <c r="W973" s="22">
        <v>1</v>
      </c>
      <c r="X973" s="40">
        <v>13</v>
      </c>
      <c r="Y973" s="22">
        <v>0</v>
      </c>
      <c r="Z973" s="22">
        <v>1</v>
      </c>
      <c r="AA973" s="22" t="s">
        <v>199</v>
      </c>
      <c r="AB973" s="22" t="s">
        <v>220</v>
      </c>
      <c r="AC973" s="42">
        <f>IFERROR(LOOKUP(M973,打分卡!$F$7:$J$7,打分卡!$K$7:$O$7),1)</f>
        <v>1</v>
      </c>
      <c r="AD973" s="42">
        <f>IFERROR(LOOKUP(S973,打分卡!$F$8:$J$8,打分卡!$K$8:$O$8),1)</f>
        <v>1</v>
      </c>
      <c r="AE973" s="42">
        <f>IFERROR(LOOKUP(T973,打分卡!$F$9:$I$9,打分卡!$K$9:$N$9),1)</f>
        <v>2</v>
      </c>
      <c r="AF973" s="42">
        <f>IFERROR(LOOKUP(Q973,打分卡!$F$10:$J$10,打分卡!$K$10:$O$10),1)</f>
        <v>1</v>
      </c>
      <c r="AG973" s="42">
        <f>IFERROR(LOOKUP(R973,打分卡!$F$11:$J$11,打分卡!$K$11:$O$11),1)</f>
        <v>4</v>
      </c>
      <c r="AH973" s="42">
        <f>IFERROR(LOOKUP(U973,打分卡!$F$12:$J$12,打分卡!$K$12:$O$12),1)</f>
        <v>4</v>
      </c>
      <c r="AI973" s="42">
        <f>IFERROR(LOOKUP(X973,打分卡!$F$13:$J$13,打分卡!$K$13:$O$13),1)</f>
        <v>1</v>
      </c>
      <c r="AJ973" s="42">
        <f>IFERROR(LOOKUP(Y973,打分卡!$F$14:$J$14,打分卡!$K$14:$O$14),1)</f>
        <v>1</v>
      </c>
      <c r="AK973" s="42">
        <f>IFERROR(LOOKUP(W973,打分卡!$F$15:$J$15,打分卡!$K$15:$O$15),1)</f>
        <v>2</v>
      </c>
      <c r="AL973" s="45">
        <f t="shared" si="121"/>
        <v>5</v>
      </c>
      <c r="AM973" s="42">
        <f>IFERROR(LOOKUP(Z973,打分卡!$F$17:$H$17,打分卡!$K$17:$M$17),1)</f>
        <v>3</v>
      </c>
      <c r="AN973" s="46">
        <f>(打分卡!$D$7*AC973+打分卡!$D$8*AD973+打分卡!$D$9*AE973)/5</f>
        <v>9.4</v>
      </c>
      <c r="AO973" s="46">
        <f>(打分卡!$D$10*AF973+打分卡!$D$11*AG973)/5</f>
        <v>10</v>
      </c>
      <c r="AP973" s="46">
        <f>(打分卡!$D$12*AH973+打分卡!$D$13*AI973+打分卡!$D$14*AJ973+打分卡!$D$15*AK973)/5</f>
        <v>14</v>
      </c>
      <c r="AQ973" s="46">
        <f>(打分卡!$D$16*AL973+打分卡!$D$17*AM973)/5</f>
        <v>8.4</v>
      </c>
      <c r="AR973" s="48">
        <f t="shared" si="122"/>
        <v>41.8</v>
      </c>
      <c r="AS973" s="45" t="str">
        <f t="shared" si="123"/>
        <v>腰部</v>
      </c>
      <c r="AT973" s="45" t="str">
        <f t="shared" si="124"/>
        <v/>
      </c>
      <c r="AU973" s="45" t="str">
        <f t="shared" si="125"/>
        <v>拉·主攻：主推AI外呼+大促作战包</v>
      </c>
    </row>
    <row r="974" ht="15" customHeight="1" spans="1:47">
      <c r="A974" s="30" t="s">
        <v>2687</v>
      </c>
      <c r="B974" s="31" t="s">
        <v>2688</v>
      </c>
      <c r="C974" s="31" t="s">
        <v>239</v>
      </c>
      <c r="D974" s="31" t="s">
        <v>227</v>
      </c>
      <c r="E974" s="31" t="s">
        <v>181</v>
      </c>
      <c r="F974" s="30" t="s">
        <v>369</v>
      </c>
      <c r="G974" s="31">
        <v>14</v>
      </c>
      <c r="H974" s="31" t="s">
        <v>301</v>
      </c>
      <c r="I974" s="31" t="s">
        <v>302</v>
      </c>
      <c r="J974" s="33">
        <v>4700</v>
      </c>
      <c r="K974" s="33">
        <v>2800</v>
      </c>
      <c r="L974" s="33">
        <v>1000</v>
      </c>
      <c r="M974" s="33">
        <f t="shared" si="120"/>
        <v>8500</v>
      </c>
      <c r="N974" s="34">
        <f t="shared" si="126"/>
        <v>4.45624387921797e-5</v>
      </c>
      <c r="O974" s="35">
        <f>SUM($M$2:M974)</f>
        <v>189892700</v>
      </c>
      <c r="P974" s="34">
        <f t="shared" si="127"/>
        <v>0.99553903774491</v>
      </c>
      <c r="Q974" s="37">
        <v>0.6</v>
      </c>
      <c r="R974" s="31">
        <v>9</v>
      </c>
      <c r="S974" s="31">
        <v>1</v>
      </c>
      <c r="T974" s="31">
        <v>0</v>
      </c>
      <c r="U974" s="37">
        <v>2.1</v>
      </c>
      <c r="V974" s="31">
        <v>9</v>
      </c>
      <c r="W974" s="31">
        <v>0</v>
      </c>
      <c r="X974" s="38">
        <v>73</v>
      </c>
      <c r="Y974" s="31">
        <v>0</v>
      </c>
      <c r="Z974" s="31">
        <v>0</v>
      </c>
      <c r="AA974" s="31" t="s">
        <v>199</v>
      </c>
      <c r="AB974" s="31" t="s">
        <v>220</v>
      </c>
      <c r="AC974" s="41">
        <f>IFERROR(LOOKUP(M974,打分卡!$F$7:$J$7,打分卡!$K$7:$O$7),1)</f>
        <v>1</v>
      </c>
      <c r="AD974" s="41">
        <f>IFERROR(LOOKUP(S974,打分卡!$F$8:$J$8,打分卡!$K$8:$O$8),1)</f>
        <v>1</v>
      </c>
      <c r="AE974" s="41">
        <f>IFERROR(LOOKUP(T974,打分卡!$F$9:$I$9,打分卡!$K$9:$N$9),1)</f>
        <v>1</v>
      </c>
      <c r="AF974" s="41">
        <f>IFERROR(LOOKUP(Q974,打分卡!$F$10:$J$10,打分卡!$K$10:$O$10),1)</f>
        <v>1</v>
      </c>
      <c r="AG974" s="41">
        <f>IFERROR(LOOKUP(R974,打分卡!$F$11:$J$11,打分卡!$K$11:$O$11),1)</f>
        <v>4</v>
      </c>
      <c r="AH974" s="41">
        <f>IFERROR(LOOKUP(U974,打分卡!$F$12:$J$12,打分卡!$K$12:$O$12),1)</f>
        <v>1</v>
      </c>
      <c r="AI974" s="41">
        <f>IFERROR(LOOKUP(X974,打分卡!$F$13:$J$13,打分卡!$K$13:$O$13),1)</f>
        <v>3</v>
      </c>
      <c r="AJ974" s="41">
        <f>IFERROR(LOOKUP(Y974,打分卡!$F$14:$J$14,打分卡!$K$14:$O$14),1)</f>
        <v>1</v>
      </c>
      <c r="AK974" s="41">
        <f>IFERROR(LOOKUP(W974,打分卡!$F$15:$J$15,打分卡!$K$15:$O$15),1)</f>
        <v>1</v>
      </c>
      <c r="AL974" s="43">
        <f t="shared" si="121"/>
        <v>5</v>
      </c>
      <c r="AM974" s="41">
        <f>IFERROR(LOOKUP(Z974,打分卡!$F$17:$H$17,打分卡!$K$17:$M$17),1)</f>
        <v>1</v>
      </c>
      <c r="AN974" s="44">
        <f>(打分卡!$D$7*AC974+打分卡!$D$8*AD974+打分卡!$D$9*AE974)/5</f>
        <v>8</v>
      </c>
      <c r="AO974" s="44">
        <f>(打分卡!$D$10*AF974+打分卡!$D$11*AG974)/5</f>
        <v>10</v>
      </c>
      <c r="AP974" s="44">
        <f>(打分卡!$D$12*AH974+打分卡!$D$13*AI974+打分卡!$D$14*AJ974+打分卡!$D$15*AK974)/5</f>
        <v>9.2</v>
      </c>
      <c r="AQ974" s="44">
        <f>(打分卡!$D$16*AL974+打分卡!$D$17*AM974)/5</f>
        <v>6.8</v>
      </c>
      <c r="AR974" s="47">
        <f t="shared" si="122"/>
        <v>34</v>
      </c>
      <c r="AS974" s="43" t="str">
        <f t="shared" si="123"/>
        <v>基础长尾</v>
      </c>
      <c r="AT974" s="43" t="str">
        <f t="shared" si="124"/>
        <v/>
      </c>
      <c r="AU974" s="43" t="str">
        <f t="shared" si="125"/>
        <v>激活：企微+Push低成本先跑</v>
      </c>
    </row>
    <row r="975" ht="15" customHeight="1" spans="1:47">
      <c r="A975" s="20" t="s">
        <v>2689</v>
      </c>
      <c r="B975" s="22" t="s">
        <v>2690</v>
      </c>
      <c r="C975" s="22" t="s">
        <v>218</v>
      </c>
      <c r="D975" s="22" t="s">
        <v>196</v>
      </c>
      <c r="E975" s="22" t="s">
        <v>181</v>
      </c>
      <c r="F975" s="20" t="s">
        <v>598</v>
      </c>
      <c r="G975" s="22">
        <v>24</v>
      </c>
      <c r="H975" s="22" t="s">
        <v>301</v>
      </c>
      <c r="I975" s="22" t="s">
        <v>302</v>
      </c>
      <c r="J975" s="36">
        <v>5200</v>
      </c>
      <c r="K975" s="36">
        <v>2800</v>
      </c>
      <c r="L975" s="36">
        <v>400</v>
      </c>
      <c r="M975" s="36">
        <f t="shared" si="120"/>
        <v>8400</v>
      </c>
      <c r="N975" s="34">
        <f t="shared" si="126"/>
        <v>4.40381748063893e-5</v>
      </c>
      <c r="O975" s="35">
        <f>SUM($M$2:M975)</f>
        <v>189901100</v>
      </c>
      <c r="P975" s="34">
        <f t="shared" si="127"/>
        <v>0.995583075919716</v>
      </c>
      <c r="Q975" s="39">
        <v>1.2</v>
      </c>
      <c r="R975" s="22">
        <v>7</v>
      </c>
      <c r="S975" s="22">
        <v>2</v>
      </c>
      <c r="T975" s="22">
        <v>1</v>
      </c>
      <c r="U975" s="39">
        <v>8.7</v>
      </c>
      <c r="V975" s="22">
        <v>16</v>
      </c>
      <c r="W975" s="22">
        <v>2</v>
      </c>
      <c r="X975" s="40">
        <v>47</v>
      </c>
      <c r="Y975" s="22">
        <v>3</v>
      </c>
      <c r="Z975" s="22">
        <v>1</v>
      </c>
      <c r="AA975" s="22" t="s">
        <v>199</v>
      </c>
      <c r="AB975" s="22" t="s">
        <v>220</v>
      </c>
      <c r="AC975" s="42">
        <f>IFERROR(LOOKUP(M975,打分卡!$F$7:$J$7,打分卡!$K$7:$O$7),1)</f>
        <v>1</v>
      </c>
      <c r="AD975" s="42">
        <f>IFERROR(LOOKUP(S975,打分卡!$F$8:$J$8,打分卡!$K$8:$O$8),1)</f>
        <v>2</v>
      </c>
      <c r="AE975" s="42">
        <f>IFERROR(LOOKUP(T975,打分卡!$F$9:$I$9,打分卡!$K$9:$N$9),1)</f>
        <v>2</v>
      </c>
      <c r="AF975" s="42">
        <f>IFERROR(LOOKUP(Q975,打分卡!$F$10:$J$10,打分卡!$K$10:$O$10),1)</f>
        <v>1</v>
      </c>
      <c r="AG975" s="42">
        <f>IFERROR(LOOKUP(R975,打分卡!$F$11:$J$11,打分卡!$K$11:$O$11),1)</f>
        <v>3</v>
      </c>
      <c r="AH975" s="42">
        <f>IFERROR(LOOKUP(U975,打分卡!$F$12:$J$12,打分卡!$K$12:$O$12),1)</f>
        <v>2</v>
      </c>
      <c r="AI975" s="42">
        <f>IFERROR(LOOKUP(X975,打分卡!$F$13:$J$13,打分卡!$K$13:$O$13),1)</f>
        <v>3</v>
      </c>
      <c r="AJ975" s="42">
        <f>IFERROR(LOOKUP(Y975,打分卡!$F$14:$J$14,打分卡!$K$14:$O$14),1)</f>
        <v>4</v>
      </c>
      <c r="AK975" s="42">
        <f>IFERROR(LOOKUP(W975,打分卡!$F$15:$J$15,打分卡!$K$15:$O$15),1)</f>
        <v>2</v>
      </c>
      <c r="AL975" s="45">
        <f t="shared" si="121"/>
        <v>5</v>
      </c>
      <c r="AM975" s="42">
        <f>IFERROR(LOOKUP(Z975,打分卡!$F$17:$H$17,打分卡!$K$17:$M$17),1)</f>
        <v>3</v>
      </c>
      <c r="AN975" s="46">
        <f>(打分卡!$D$7*AC975+打分卡!$D$8*AD975+打分卡!$D$9*AE975)/5</f>
        <v>11</v>
      </c>
      <c r="AO975" s="46">
        <f>(打分卡!$D$10*AF975+打分卡!$D$11*AG975)/5</f>
        <v>8</v>
      </c>
      <c r="AP975" s="46">
        <f>(打分卡!$D$12*AH975+打分卡!$D$13*AI975+打分卡!$D$14*AJ975+打分卡!$D$15*AK975)/5</f>
        <v>16</v>
      </c>
      <c r="AQ975" s="46">
        <f>(打分卡!$D$16*AL975+打分卡!$D$17*AM975)/5</f>
        <v>8.4</v>
      </c>
      <c r="AR975" s="48">
        <f t="shared" si="122"/>
        <v>43.4</v>
      </c>
      <c r="AS975" s="45" t="str">
        <f t="shared" si="123"/>
        <v>腰部</v>
      </c>
      <c r="AT975" s="45" t="str">
        <f t="shared" si="124"/>
        <v/>
      </c>
      <c r="AU975" s="45" t="str">
        <f t="shared" si="125"/>
        <v>拉·主攻：主推AI外呼+大促作战包</v>
      </c>
    </row>
    <row r="976" ht="15" customHeight="1" spans="1:47">
      <c r="A976" s="30" t="s">
        <v>2691</v>
      </c>
      <c r="B976" s="31" t="s">
        <v>2692</v>
      </c>
      <c r="C976" s="31" t="s">
        <v>179</v>
      </c>
      <c r="D976" s="31" t="s">
        <v>235</v>
      </c>
      <c r="E976" s="31" t="s">
        <v>181</v>
      </c>
      <c r="F976" s="30" t="s">
        <v>1345</v>
      </c>
      <c r="G976" s="31">
        <v>3</v>
      </c>
      <c r="H976" s="31" t="s">
        <v>301</v>
      </c>
      <c r="I976" s="31" t="s">
        <v>302</v>
      </c>
      <c r="J976" s="33">
        <v>4400</v>
      </c>
      <c r="K976" s="33">
        <v>3300</v>
      </c>
      <c r="L976" s="33">
        <v>700</v>
      </c>
      <c r="M976" s="33">
        <f t="shared" si="120"/>
        <v>8400</v>
      </c>
      <c r="N976" s="34">
        <f t="shared" si="126"/>
        <v>4.40381748063893e-5</v>
      </c>
      <c r="O976" s="35">
        <f>SUM($M$2:M976)</f>
        <v>189909500</v>
      </c>
      <c r="P976" s="34">
        <f t="shared" si="127"/>
        <v>0.995627114094523</v>
      </c>
      <c r="Q976" s="37">
        <v>1.3</v>
      </c>
      <c r="R976" s="31">
        <v>10</v>
      </c>
      <c r="S976" s="31">
        <v>3</v>
      </c>
      <c r="T976" s="31">
        <v>1</v>
      </c>
      <c r="U976" s="37">
        <v>25.2</v>
      </c>
      <c r="V976" s="31">
        <v>16</v>
      </c>
      <c r="W976" s="31">
        <v>4</v>
      </c>
      <c r="X976" s="38">
        <v>109</v>
      </c>
      <c r="Y976" s="31">
        <v>0</v>
      </c>
      <c r="Z976" s="31">
        <v>0</v>
      </c>
      <c r="AA976" s="31" t="s">
        <v>199</v>
      </c>
      <c r="AB976" s="31" t="s">
        <v>220</v>
      </c>
      <c r="AC976" s="41">
        <f>IFERROR(LOOKUP(M976,打分卡!$F$7:$J$7,打分卡!$K$7:$O$7),1)</f>
        <v>1</v>
      </c>
      <c r="AD976" s="41">
        <f>IFERROR(LOOKUP(S976,打分卡!$F$8:$J$8,打分卡!$K$8:$O$8),1)</f>
        <v>3</v>
      </c>
      <c r="AE976" s="41">
        <f>IFERROR(LOOKUP(T976,打分卡!$F$9:$I$9,打分卡!$K$9:$N$9),1)</f>
        <v>2</v>
      </c>
      <c r="AF976" s="41">
        <f>IFERROR(LOOKUP(Q976,打分卡!$F$10:$J$10,打分卡!$K$10:$O$10),1)</f>
        <v>1</v>
      </c>
      <c r="AG976" s="41">
        <f>IFERROR(LOOKUP(R976,打分卡!$F$11:$J$11,打分卡!$K$11:$O$11),1)</f>
        <v>4</v>
      </c>
      <c r="AH976" s="41">
        <f>IFERROR(LOOKUP(U976,打分卡!$F$12:$J$12,打分卡!$K$12:$O$12),1)</f>
        <v>3</v>
      </c>
      <c r="AI976" s="41">
        <f>IFERROR(LOOKUP(X976,打分卡!$F$13:$J$13,打分卡!$K$13:$O$13),1)</f>
        <v>4</v>
      </c>
      <c r="AJ976" s="41">
        <f>IFERROR(LOOKUP(Y976,打分卡!$F$14:$J$14,打分卡!$K$14:$O$14),1)</f>
        <v>1</v>
      </c>
      <c r="AK976" s="41">
        <f>IFERROR(LOOKUP(W976,打分卡!$F$15:$J$15,打分卡!$K$15:$O$15),1)</f>
        <v>3</v>
      </c>
      <c r="AL976" s="43">
        <f t="shared" si="121"/>
        <v>5</v>
      </c>
      <c r="AM976" s="41">
        <f>IFERROR(LOOKUP(Z976,打分卡!$F$17:$H$17,打分卡!$K$17:$M$17),1)</f>
        <v>1</v>
      </c>
      <c r="AN976" s="44">
        <f>(打分卡!$D$7*AC976+打分卡!$D$8*AD976+打分卡!$D$9*AE976)/5</f>
        <v>12.6</v>
      </c>
      <c r="AO976" s="44">
        <f>(打分卡!$D$10*AF976+打分卡!$D$11*AG976)/5</f>
        <v>10</v>
      </c>
      <c r="AP976" s="44">
        <f>(打分卡!$D$12*AH976+打分卡!$D$13*AI976+打分卡!$D$14*AJ976+打分卡!$D$15*AK976)/5</f>
        <v>17.2</v>
      </c>
      <c r="AQ976" s="44">
        <f>(打分卡!$D$16*AL976+打分卡!$D$17*AM976)/5</f>
        <v>6.8</v>
      </c>
      <c r="AR976" s="47">
        <f t="shared" si="122"/>
        <v>46.6</v>
      </c>
      <c r="AS976" s="43" t="str">
        <f t="shared" si="123"/>
        <v>腰部</v>
      </c>
      <c r="AT976" s="43" t="str">
        <f t="shared" si="124"/>
        <v/>
      </c>
      <c r="AU976" s="43" t="str">
        <f t="shared" si="125"/>
        <v>拉·主攻：主推AI外呼+大促作战包</v>
      </c>
    </row>
    <row r="977" ht="15" customHeight="1" spans="1:47">
      <c r="A977" s="20" t="s">
        <v>2693</v>
      </c>
      <c r="B977" s="22" t="s">
        <v>2694</v>
      </c>
      <c r="C977" s="22" t="s">
        <v>195</v>
      </c>
      <c r="D977" s="22" t="s">
        <v>202</v>
      </c>
      <c r="E977" s="22" t="s">
        <v>181</v>
      </c>
      <c r="F977" s="20" t="s">
        <v>2695</v>
      </c>
      <c r="G977" s="22">
        <v>22</v>
      </c>
      <c r="H977" s="22" t="s">
        <v>301</v>
      </c>
      <c r="I977" s="22" t="s">
        <v>302</v>
      </c>
      <c r="J977" s="36">
        <v>5000</v>
      </c>
      <c r="K977" s="36">
        <v>2800</v>
      </c>
      <c r="L977" s="36">
        <v>400</v>
      </c>
      <c r="M977" s="36">
        <f t="shared" si="120"/>
        <v>8200</v>
      </c>
      <c r="N977" s="34">
        <f t="shared" si="126"/>
        <v>4.29896468348086e-5</v>
      </c>
      <c r="O977" s="35">
        <f>SUM($M$2:M977)</f>
        <v>189917700</v>
      </c>
      <c r="P977" s="34">
        <f t="shared" si="127"/>
        <v>0.995670103741358</v>
      </c>
      <c r="Q977" s="39">
        <v>1.3</v>
      </c>
      <c r="R977" s="22">
        <v>5</v>
      </c>
      <c r="S977" s="22">
        <v>3</v>
      </c>
      <c r="T977" s="22">
        <v>2</v>
      </c>
      <c r="U977" s="39">
        <v>20.3</v>
      </c>
      <c r="V977" s="22">
        <v>7</v>
      </c>
      <c r="W977" s="22">
        <v>1</v>
      </c>
      <c r="X977" s="40">
        <v>14</v>
      </c>
      <c r="Y977" s="22">
        <v>2</v>
      </c>
      <c r="Z977" s="22">
        <v>0</v>
      </c>
      <c r="AA977" s="22" t="s">
        <v>199</v>
      </c>
      <c r="AB977" s="22" t="s">
        <v>220</v>
      </c>
      <c r="AC977" s="42">
        <f>IFERROR(LOOKUP(M977,打分卡!$F$7:$J$7,打分卡!$K$7:$O$7),1)</f>
        <v>1</v>
      </c>
      <c r="AD977" s="42">
        <f>IFERROR(LOOKUP(S977,打分卡!$F$8:$J$8,打分卡!$K$8:$O$8),1)</f>
        <v>3</v>
      </c>
      <c r="AE977" s="42">
        <f>IFERROR(LOOKUP(T977,打分卡!$F$9:$I$9,打分卡!$K$9:$N$9),1)</f>
        <v>3</v>
      </c>
      <c r="AF977" s="42">
        <f>IFERROR(LOOKUP(Q977,打分卡!$F$10:$J$10,打分卡!$K$10:$O$10),1)</f>
        <v>1</v>
      </c>
      <c r="AG977" s="42">
        <f>IFERROR(LOOKUP(R977,打分卡!$F$11:$J$11,打分卡!$K$11:$O$11),1)</f>
        <v>3</v>
      </c>
      <c r="AH977" s="42">
        <f>IFERROR(LOOKUP(U977,打分卡!$F$12:$J$12,打分卡!$K$12:$O$12),1)</f>
        <v>3</v>
      </c>
      <c r="AI977" s="42">
        <f>IFERROR(LOOKUP(X977,打分卡!$F$13:$J$13,打分卡!$K$13:$O$13),1)</f>
        <v>1</v>
      </c>
      <c r="AJ977" s="42">
        <f>IFERROR(LOOKUP(Y977,打分卡!$F$14:$J$14,打分卡!$K$14:$O$14),1)</f>
        <v>3</v>
      </c>
      <c r="AK977" s="42">
        <f>IFERROR(LOOKUP(W977,打分卡!$F$15:$J$15,打分卡!$K$15:$O$15),1)</f>
        <v>2</v>
      </c>
      <c r="AL977" s="45">
        <f t="shared" si="121"/>
        <v>5</v>
      </c>
      <c r="AM977" s="42">
        <f>IFERROR(LOOKUP(Z977,打分卡!$F$17:$H$17,打分卡!$K$17:$M$17),1)</f>
        <v>1</v>
      </c>
      <c r="AN977" s="46">
        <f>(打分卡!$D$7*AC977+打分卡!$D$8*AD977+打分卡!$D$9*AE977)/5</f>
        <v>14</v>
      </c>
      <c r="AO977" s="46">
        <f>(打分卡!$D$10*AF977+打分卡!$D$11*AG977)/5</f>
        <v>8</v>
      </c>
      <c r="AP977" s="46">
        <f>(打分卡!$D$12*AH977+打分卡!$D$13*AI977+打分卡!$D$14*AJ977+打分卡!$D$15*AK977)/5</f>
        <v>14</v>
      </c>
      <c r="AQ977" s="46">
        <f>(打分卡!$D$16*AL977+打分卡!$D$17*AM977)/5</f>
        <v>6.8</v>
      </c>
      <c r="AR977" s="48">
        <f t="shared" si="122"/>
        <v>42.8</v>
      </c>
      <c r="AS977" s="45" t="str">
        <f t="shared" si="123"/>
        <v>腰部</v>
      </c>
      <c r="AT977" s="45" t="str">
        <f t="shared" si="124"/>
        <v/>
      </c>
      <c r="AU977" s="45" t="str">
        <f t="shared" si="125"/>
        <v>拉·主攻：主推AI外呼+大促作战包</v>
      </c>
    </row>
    <row r="978" ht="15" customHeight="1" spans="1:47">
      <c r="A978" s="30" t="s">
        <v>2696</v>
      </c>
      <c r="B978" s="31" t="s">
        <v>2697</v>
      </c>
      <c r="C978" s="31" t="s">
        <v>189</v>
      </c>
      <c r="D978" s="31" t="s">
        <v>196</v>
      </c>
      <c r="E978" s="31" t="s">
        <v>181</v>
      </c>
      <c r="F978" s="30" t="s">
        <v>2190</v>
      </c>
      <c r="G978" s="31">
        <v>13</v>
      </c>
      <c r="H978" s="31" t="s">
        <v>183</v>
      </c>
      <c r="I978" s="31" t="s">
        <v>302</v>
      </c>
      <c r="J978" s="33">
        <v>5300</v>
      </c>
      <c r="K978" s="33">
        <v>2500</v>
      </c>
      <c r="L978" s="33">
        <v>400</v>
      </c>
      <c r="M978" s="33">
        <f t="shared" si="120"/>
        <v>8200</v>
      </c>
      <c r="N978" s="34">
        <f t="shared" si="126"/>
        <v>4.29896468348086e-5</v>
      </c>
      <c r="O978" s="35">
        <f>SUM($M$2:M978)</f>
        <v>189925900</v>
      </c>
      <c r="P978" s="34">
        <f t="shared" si="127"/>
        <v>0.995713093388192</v>
      </c>
      <c r="Q978" s="37">
        <v>0.7</v>
      </c>
      <c r="R978" s="31">
        <v>7</v>
      </c>
      <c r="S978" s="31">
        <v>3</v>
      </c>
      <c r="T978" s="31">
        <v>2</v>
      </c>
      <c r="U978" s="37">
        <v>1.7</v>
      </c>
      <c r="V978" s="31">
        <v>27</v>
      </c>
      <c r="W978" s="31">
        <v>2</v>
      </c>
      <c r="X978" s="38">
        <v>66</v>
      </c>
      <c r="Y978" s="31">
        <v>2</v>
      </c>
      <c r="Z978" s="31">
        <v>0</v>
      </c>
      <c r="AA978" s="31" t="s">
        <v>185</v>
      </c>
      <c r="AB978" s="31" t="s">
        <v>220</v>
      </c>
      <c r="AC978" s="41">
        <f>IFERROR(LOOKUP(M978,打分卡!$F$7:$J$7,打分卡!$K$7:$O$7),1)</f>
        <v>1</v>
      </c>
      <c r="AD978" s="41">
        <f>IFERROR(LOOKUP(S978,打分卡!$F$8:$J$8,打分卡!$K$8:$O$8),1)</f>
        <v>3</v>
      </c>
      <c r="AE978" s="41">
        <f>IFERROR(LOOKUP(T978,打分卡!$F$9:$I$9,打分卡!$K$9:$N$9),1)</f>
        <v>3</v>
      </c>
      <c r="AF978" s="41">
        <f>IFERROR(LOOKUP(Q978,打分卡!$F$10:$J$10,打分卡!$K$10:$O$10),1)</f>
        <v>1</v>
      </c>
      <c r="AG978" s="41">
        <f>IFERROR(LOOKUP(R978,打分卡!$F$11:$J$11,打分卡!$K$11:$O$11),1)</f>
        <v>3</v>
      </c>
      <c r="AH978" s="41">
        <f>IFERROR(LOOKUP(U978,打分卡!$F$12:$J$12,打分卡!$K$12:$O$12),1)</f>
        <v>1</v>
      </c>
      <c r="AI978" s="41">
        <f>IFERROR(LOOKUP(X978,打分卡!$F$13:$J$13,打分卡!$K$13:$O$13),1)</f>
        <v>3</v>
      </c>
      <c r="AJ978" s="41">
        <f>IFERROR(LOOKUP(Y978,打分卡!$F$14:$J$14,打分卡!$K$14:$O$14),1)</f>
        <v>3</v>
      </c>
      <c r="AK978" s="41">
        <f>IFERROR(LOOKUP(W978,打分卡!$F$15:$J$15,打分卡!$K$15:$O$15),1)</f>
        <v>2</v>
      </c>
      <c r="AL978" s="43">
        <f t="shared" si="121"/>
        <v>3</v>
      </c>
      <c r="AM978" s="41">
        <f>IFERROR(LOOKUP(Z978,打分卡!$F$17:$H$17,打分卡!$K$17:$M$17),1)</f>
        <v>1</v>
      </c>
      <c r="AN978" s="44">
        <f>(打分卡!$D$7*AC978+打分卡!$D$8*AD978+打分卡!$D$9*AE978)/5</f>
        <v>14</v>
      </c>
      <c r="AO978" s="44">
        <f>(打分卡!$D$10*AF978+打分卡!$D$11*AG978)/5</f>
        <v>8</v>
      </c>
      <c r="AP978" s="44">
        <f>(打分卡!$D$12*AH978+打分卡!$D$13*AI978+打分卡!$D$14*AJ978+打分卡!$D$15*AK978)/5</f>
        <v>12.4</v>
      </c>
      <c r="AQ978" s="44">
        <f>(打分卡!$D$16*AL978+打分卡!$D$17*AM978)/5</f>
        <v>4.4</v>
      </c>
      <c r="AR978" s="47">
        <f t="shared" si="122"/>
        <v>38.8</v>
      </c>
      <c r="AS978" s="43" t="str">
        <f t="shared" si="123"/>
        <v>基础长尾</v>
      </c>
      <c r="AT978" s="43" t="str">
        <f t="shared" si="124"/>
        <v/>
      </c>
      <c r="AU978" s="43" t="str">
        <f t="shared" si="125"/>
        <v>激活：企微+Push低成本先跑</v>
      </c>
    </row>
    <row r="979" ht="15" customHeight="1" spans="1:47">
      <c r="A979" s="20" t="s">
        <v>2698</v>
      </c>
      <c r="B979" s="22" t="s">
        <v>2699</v>
      </c>
      <c r="C979" s="22" t="s">
        <v>223</v>
      </c>
      <c r="D979" s="22" t="s">
        <v>190</v>
      </c>
      <c r="E979" s="22" t="s">
        <v>181</v>
      </c>
      <c r="F979" s="20" t="s">
        <v>536</v>
      </c>
      <c r="G979" s="22">
        <v>20</v>
      </c>
      <c r="H979" s="22" t="s">
        <v>301</v>
      </c>
      <c r="I979" s="22" t="s">
        <v>302</v>
      </c>
      <c r="J979" s="36">
        <v>5200</v>
      </c>
      <c r="K979" s="36">
        <v>2500</v>
      </c>
      <c r="L979" s="36">
        <v>500</v>
      </c>
      <c r="M979" s="36">
        <f t="shared" si="120"/>
        <v>8200</v>
      </c>
      <c r="N979" s="34">
        <f t="shared" si="126"/>
        <v>4.29896468348086e-5</v>
      </c>
      <c r="O979" s="35">
        <f>SUM($M$2:M979)</f>
        <v>189934100</v>
      </c>
      <c r="P979" s="34">
        <f t="shared" si="127"/>
        <v>0.995756083035027</v>
      </c>
      <c r="Q979" s="39">
        <v>1.1</v>
      </c>
      <c r="R979" s="22">
        <v>1</v>
      </c>
      <c r="S979" s="22">
        <v>2</v>
      </c>
      <c r="T979" s="22">
        <v>1</v>
      </c>
      <c r="U979" s="39">
        <v>57.9</v>
      </c>
      <c r="V979" s="22">
        <v>3</v>
      </c>
      <c r="W979" s="22">
        <v>2</v>
      </c>
      <c r="X979" s="40">
        <v>106</v>
      </c>
      <c r="Y979" s="22">
        <v>1</v>
      </c>
      <c r="Z979" s="22">
        <v>1</v>
      </c>
      <c r="AA979" s="22" t="s">
        <v>199</v>
      </c>
      <c r="AB979" s="22" t="s">
        <v>220</v>
      </c>
      <c r="AC979" s="42">
        <f>IFERROR(LOOKUP(M979,打分卡!$F$7:$J$7,打分卡!$K$7:$O$7),1)</f>
        <v>1</v>
      </c>
      <c r="AD979" s="42">
        <f>IFERROR(LOOKUP(S979,打分卡!$F$8:$J$8,打分卡!$K$8:$O$8),1)</f>
        <v>2</v>
      </c>
      <c r="AE979" s="42">
        <f>IFERROR(LOOKUP(T979,打分卡!$F$9:$I$9,打分卡!$K$9:$N$9),1)</f>
        <v>2</v>
      </c>
      <c r="AF979" s="42">
        <f>IFERROR(LOOKUP(Q979,打分卡!$F$10:$J$10,打分卡!$K$10:$O$10),1)</f>
        <v>1</v>
      </c>
      <c r="AG979" s="42">
        <f>IFERROR(LOOKUP(R979,打分卡!$F$11:$J$11,打分卡!$K$11:$O$11),1)</f>
        <v>1</v>
      </c>
      <c r="AH979" s="42">
        <f>IFERROR(LOOKUP(U979,打分卡!$F$12:$J$12,打分卡!$K$12:$O$12),1)</f>
        <v>4</v>
      </c>
      <c r="AI979" s="42">
        <f>IFERROR(LOOKUP(X979,打分卡!$F$13:$J$13,打分卡!$K$13:$O$13),1)</f>
        <v>4</v>
      </c>
      <c r="AJ979" s="42">
        <f>IFERROR(LOOKUP(Y979,打分卡!$F$14:$J$14,打分卡!$K$14:$O$14),1)</f>
        <v>2</v>
      </c>
      <c r="AK979" s="42">
        <f>IFERROR(LOOKUP(W979,打分卡!$F$15:$J$15,打分卡!$K$15:$O$15),1)</f>
        <v>2</v>
      </c>
      <c r="AL979" s="45">
        <f t="shared" si="121"/>
        <v>5</v>
      </c>
      <c r="AM979" s="42">
        <f>IFERROR(LOOKUP(Z979,打分卡!$F$17:$H$17,打分卡!$K$17:$M$17),1)</f>
        <v>3</v>
      </c>
      <c r="AN979" s="46">
        <f>(打分卡!$D$7*AC979+打分卡!$D$8*AD979+打分卡!$D$9*AE979)/5</f>
        <v>11</v>
      </c>
      <c r="AO979" s="46">
        <f>(打分卡!$D$10*AF979+打分卡!$D$11*AG979)/5</f>
        <v>4</v>
      </c>
      <c r="AP979" s="46">
        <f>(打分卡!$D$12*AH979+打分卡!$D$13*AI979+打分卡!$D$14*AJ979+打分卡!$D$15*AK979)/5</f>
        <v>20</v>
      </c>
      <c r="AQ979" s="46">
        <f>(打分卡!$D$16*AL979+打分卡!$D$17*AM979)/5</f>
        <v>8.4</v>
      </c>
      <c r="AR979" s="48">
        <f t="shared" si="122"/>
        <v>43.4</v>
      </c>
      <c r="AS979" s="45" t="str">
        <f t="shared" si="123"/>
        <v>腰部</v>
      </c>
      <c r="AT979" s="45" t="str">
        <f t="shared" si="124"/>
        <v/>
      </c>
      <c r="AU979" s="45" t="str">
        <f t="shared" si="125"/>
        <v>拉·主攻：主推AI外呼+大促作战包</v>
      </c>
    </row>
    <row r="980" ht="15" customHeight="1" spans="1:47">
      <c r="A980" s="30" t="s">
        <v>2700</v>
      </c>
      <c r="B980" s="31" t="s">
        <v>2701</v>
      </c>
      <c r="C980" s="31" t="s">
        <v>234</v>
      </c>
      <c r="D980" s="31" t="s">
        <v>202</v>
      </c>
      <c r="E980" s="31" t="s">
        <v>181</v>
      </c>
      <c r="F980" s="30" t="s">
        <v>2163</v>
      </c>
      <c r="G980" s="31">
        <v>12</v>
      </c>
      <c r="H980" s="31" t="s">
        <v>301</v>
      </c>
      <c r="I980" s="31" t="s">
        <v>302</v>
      </c>
      <c r="J980" s="33">
        <v>4500</v>
      </c>
      <c r="K980" s="33">
        <v>2400</v>
      </c>
      <c r="L980" s="33">
        <v>1300</v>
      </c>
      <c r="M980" s="33">
        <f t="shared" si="120"/>
        <v>8200</v>
      </c>
      <c r="N980" s="34">
        <f t="shared" si="126"/>
        <v>4.29896468348086e-5</v>
      </c>
      <c r="O980" s="35">
        <f>SUM($M$2:M980)</f>
        <v>189942300</v>
      </c>
      <c r="P980" s="34">
        <f t="shared" si="127"/>
        <v>0.995799072681862</v>
      </c>
      <c r="Q980" s="37">
        <v>1.2</v>
      </c>
      <c r="R980" s="31">
        <v>7</v>
      </c>
      <c r="S980" s="31">
        <v>2</v>
      </c>
      <c r="T980" s="31">
        <v>1</v>
      </c>
      <c r="U980" s="37">
        <v>48.2</v>
      </c>
      <c r="V980" s="31">
        <v>23</v>
      </c>
      <c r="W980" s="31">
        <v>4</v>
      </c>
      <c r="X980" s="38">
        <v>118</v>
      </c>
      <c r="Y980" s="31">
        <v>2</v>
      </c>
      <c r="Z980" s="31">
        <v>1</v>
      </c>
      <c r="AA980" s="31" t="s">
        <v>185</v>
      </c>
      <c r="AB980" s="31" t="s">
        <v>220</v>
      </c>
      <c r="AC980" s="41">
        <f>IFERROR(LOOKUP(M980,打分卡!$F$7:$J$7,打分卡!$K$7:$O$7),1)</f>
        <v>1</v>
      </c>
      <c r="AD980" s="41">
        <f>IFERROR(LOOKUP(S980,打分卡!$F$8:$J$8,打分卡!$K$8:$O$8),1)</f>
        <v>2</v>
      </c>
      <c r="AE980" s="41">
        <f>IFERROR(LOOKUP(T980,打分卡!$F$9:$I$9,打分卡!$K$9:$N$9),1)</f>
        <v>2</v>
      </c>
      <c r="AF980" s="41">
        <f>IFERROR(LOOKUP(Q980,打分卡!$F$10:$J$10,打分卡!$K$10:$O$10),1)</f>
        <v>1</v>
      </c>
      <c r="AG980" s="41">
        <f>IFERROR(LOOKUP(R980,打分卡!$F$11:$J$11,打分卡!$K$11:$O$11),1)</f>
        <v>3</v>
      </c>
      <c r="AH980" s="41">
        <f>IFERROR(LOOKUP(U980,打分卡!$F$12:$J$12,打分卡!$K$12:$O$12),1)</f>
        <v>4</v>
      </c>
      <c r="AI980" s="41">
        <f>IFERROR(LOOKUP(X980,打分卡!$F$13:$J$13,打分卡!$K$13:$O$13),1)</f>
        <v>4</v>
      </c>
      <c r="AJ980" s="41">
        <f>IFERROR(LOOKUP(Y980,打分卡!$F$14:$J$14,打分卡!$K$14:$O$14),1)</f>
        <v>3</v>
      </c>
      <c r="AK980" s="41">
        <f>IFERROR(LOOKUP(W980,打分卡!$F$15:$J$15,打分卡!$K$15:$O$15),1)</f>
        <v>3</v>
      </c>
      <c r="AL980" s="43">
        <f t="shared" si="121"/>
        <v>3</v>
      </c>
      <c r="AM980" s="41">
        <f>IFERROR(LOOKUP(Z980,打分卡!$F$17:$H$17,打分卡!$K$17:$M$17),1)</f>
        <v>3</v>
      </c>
      <c r="AN980" s="44">
        <f>(打分卡!$D$7*AC980+打分卡!$D$8*AD980+打分卡!$D$9*AE980)/5</f>
        <v>11</v>
      </c>
      <c r="AO980" s="44">
        <f>(打分卡!$D$10*AF980+打分卡!$D$11*AG980)/5</f>
        <v>8</v>
      </c>
      <c r="AP980" s="44">
        <f>(打分卡!$D$12*AH980+打分卡!$D$13*AI980+打分卡!$D$14*AJ980+打分卡!$D$15*AK980)/5</f>
        <v>22</v>
      </c>
      <c r="AQ980" s="44">
        <f>(打分卡!$D$16*AL980+打分卡!$D$17*AM980)/5</f>
        <v>6</v>
      </c>
      <c r="AR980" s="47">
        <f t="shared" si="122"/>
        <v>47</v>
      </c>
      <c r="AS980" s="43" t="str">
        <f t="shared" si="123"/>
        <v>腰部</v>
      </c>
      <c r="AT980" s="43" t="str">
        <f t="shared" si="124"/>
        <v/>
      </c>
      <c r="AU980" s="43" t="str">
        <f t="shared" si="125"/>
        <v>拉·主攻：主推AI外呼+大促作战包</v>
      </c>
    </row>
    <row r="981" ht="15" customHeight="1" spans="1:47">
      <c r="A981" s="20" t="s">
        <v>2702</v>
      </c>
      <c r="B981" s="22" t="s">
        <v>2703</v>
      </c>
      <c r="C981" s="22" t="s">
        <v>179</v>
      </c>
      <c r="D981" s="22" t="s">
        <v>196</v>
      </c>
      <c r="E981" s="22" t="s">
        <v>181</v>
      </c>
      <c r="F981" s="20" t="s">
        <v>539</v>
      </c>
      <c r="G981" s="22">
        <v>15</v>
      </c>
      <c r="H981" s="22" t="s">
        <v>301</v>
      </c>
      <c r="I981" s="22" t="s">
        <v>184</v>
      </c>
      <c r="J981" s="36">
        <v>5100</v>
      </c>
      <c r="K981" s="36">
        <v>2100</v>
      </c>
      <c r="L981" s="36">
        <v>900</v>
      </c>
      <c r="M981" s="36">
        <f t="shared" si="120"/>
        <v>8100</v>
      </c>
      <c r="N981" s="34">
        <f t="shared" si="126"/>
        <v>4.24653828490183e-5</v>
      </c>
      <c r="O981" s="35">
        <f>SUM($M$2:M981)</f>
        <v>189950400</v>
      </c>
      <c r="P981" s="34">
        <f t="shared" si="127"/>
        <v>0.995841538064711</v>
      </c>
      <c r="Q981" s="39">
        <v>0.5</v>
      </c>
      <c r="R981" s="22">
        <v>2</v>
      </c>
      <c r="S981" s="22">
        <v>3</v>
      </c>
      <c r="T981" s="22">
        <v>0</v>
      </c>
      <c r="U981" s="39">
        <v>2.6</v>
      </c>
      <c r="V981" s="22">
        <v>6</v>
      </c>
      <c r="W981" s="22">
        <v>4</v>
      </c>
      <c r="X981" s="40">
        <v>25</v>
      </c>
      <c r="Y981" s="22">
        <v>0</v>
      </c>
      <c r="Z981" s="22">
        <v>0</v>
      </c>
      <c r="AA981" s="22" t="s">
        <v>199</v>
      </c>
      <c r="AB981" s="22" t="s">
        <v>220</v>
      </c>
      <c r="AC981" s="42">
        <f>IFERROR(LOOKUP(M981,打分卡!$F$7:$J$7,打分卡!$K$7:$O$7),1)</f>
        <v>1</v>
      </c>
      <c r="AD981" s="42">
        <f>IFERROR(LOOKUP(S981,打分卡!$F$8:$J$8,打分卡!$K$8:$O$8),1)</f>
        <v>3</v>
      </c>
      <c r="AE981" s="42">
        <f>IFERROR(LOOKUP(T981,打分卡!$F$9:$I$9,打分卡!$K$9:$N$9),1)</f>
        <v>1</v>
      </c>
      <c r="AF981" s="42">
        <f>IFERROR(LOOKUP(Q981,打分卡!$F$10:$J$10,打分卡!$K$10:$O$10),1)</f>
        <v>1</v>
      </c>
      <c r="AG981" s="42">
        <f>IFERROR(LOOKUP(R981,打分卡!$F$11:$J$11,打分卡!$K$11:$O$11),1)</f>
        <v>1</v>
      </c>
      <c r="AH981" s="42">
        <f>IFERROR(LOOKUP(U981,打分卡!$F$12:$J$12,打分卡!$K$12:$O$12),1)</f>
        <v>1</v>
      </c>
      <c r="AI981" s="42">
        <f>IFERROR(LOOKUP(X981,打分卡!$F$13:$J$13,打分卡!$K$13:$O$13),1)</f>
        <v>2</v>
      </c>
      <c r="AJ981" s="42">
        <f>IFERROR(LOOKUP(Y981,打分卡!$F$14:$J$14,打分卡!$K$14:$O$14),1)</f>
        <v>1</v>
      </c>
      <c r="AK981" s="42">
        <f>IFERROR(LOOKUP(W981,打分卡!$F$15:$J$15,打分卡!$K$15:$O$15),1)</f>
        <v>3</v>
      </c>
      <c r="AL981" s="45">
        <f t="shared" si="121"/>
        <v>5</v>
      </c>
      <c r="AM981" s="42">
        <f>IFERROR(LOOKUP(Z981,打分卡!$F$17:$H$17,打分卡!$K$17:$M$17),1)</f>
        <v>1</v>
      </c>
      <c r="AN981" s="46">
        <f>(打分卡!$D$7*AC981+打分卡!$D$8*AD981+打分卡!$D$9*AE981)/5</f>
        <v>11.2</v>
      </c>
      <c r="AO981" s="46">
        <f>(打分卡!$D$10*AF981+打分卡!$D$11*AG981)/5</f>
        <v>4</v>
      </c>
      <c r="AP981" s="46">
        <f>(打分卡!$D$12*AH981+打分卡!$D$13*AI981+打分卡!$D$14*AJ981+打分卡!$D$15*AK981)/5</f>
        <v>9.2</v>
      </c>
      <c r="AQ981" s="46">
        <f>(打分卡!$D$16*AL981+打分卡!$D$17*AM981)/5</f>
        <v>6.8</v>
      </c>
      <c r="AR981" s="48">
        <f t="shared" si="122"/>
        <v>31.2</v>
      </c>
      <c r="AS981" s="45" t="str">
        <f t="shared" si="123"/>
        <v>基础长尾</v>
      </c>
      <c r="AT981" s="45" t="str">
        <f t="shared" si="124"/>
        <v/>
      </c>
      <c r="AU981" s="45" t="str">
        <f t="shared" si="125"/>
        <v>激活：企微+Push低成本先跑</v>
      </c>
    </row>
    <row r="982" ht="15" customHeight="1" spans="1:47">
      <c r="A982" s="30" t="s">
        <v>2704</v>
      </c>
      <c r="B982" s="31" t="s">
        <v>2705</v>
      </c>
      <c r="C982" s="31" t="s">
        <v>223</v>
      </c>
      <c r="D982" s="31" t="s">
        <v>196</v>
      </c>
      <c r="E982" s="31" t="s">
        <v>181</v>
      </c>
      <c r="F982" s="30" t="s">
        <v>2706</v>
      </c>
      <c r="G982" s="31">
        <v>3</v>
      </c>
      <c r="H982" s="31" t="s">
        <v>642</v>
      </c>
      <c r="I982" s="31" t="s">
        <v>302</v>
      </c>
      <c r="J982" s="33">
        <v>3200</v>
      </c>
      <c r="K982" s="33">
        <v>1600</v>
      </c>
      <c r="L982" s="33">
        <v>200</v>
      </c>
      <c r="M982" s="33">
        <f t="shared" si="120"/>
        <v>5000</v>
      </c>
      <c r="N982" s="34">
        <f t="shared" si="126"/>
        <v>2.62131992895174e-5</v>
      </c>
      <c r="O982" s="35">
        <f>SUM($M$2:M982)</f>
        <v>189955400</v>
      </c>
      <c r="P982" s="34">
        <f t="shared" si="127"/>
        <v>0.995867751264001</v>
      </c>
      <c r="Q982" s="37">
        <v>0.3</v>
      </c>
      <c r="R982" s="31">
        <v>3</v>
      </c>
      <c r="S982" s="31">
        <v>1</v>
      </c>
      <c r="T982" s="31">
        <v>0</v>
      </c>
      <c r="U982" s="37">
        <v>27.8</v>
      </c>
      <c r="V982" s="31">
        <v>7</v>
      </c>
      <c r="W982" s="31">
        <v>0</v>
      </c>
      <c r="X982" s="38">
        <v>65</v>
      </c>
      <c r="Y982" s="31">
        <v>0</v>
      </c>
      <c r="Z982" s="31">
        <v>0</v>
      </c>
      <c r="AA982" s="31" t="s">
        <v>199</v>
      </c>
      <c r="AB982" s="31" t="s">
        <v>220</v>
      </c>
      <c r="AC982" s="41">
        <f>IFERROR(LOOKUP(M982,打分卡!$F$7:$J$7,打分卡!$K$7:$O$7),1)</f>
        <v>1</v>
      </c>
      <c r="AD982" s="41">
        <f>IFERROR(LOOKUP(S982,打分卡!$F$8:$J$8,打分卡!$K$8:$O$8),1)</f>
        <v>1</v>
      </c>
      <c r="AE982" s="41">
        <f>IFERROR(LOOKUP(T982,打分卡!$F$9:$I$9,打分卡!$K$9:$N$9),1)</f>
        <v>1</v>
      </c>
      <c r="AF982" s="41">
        <f>IFERROR(LOOKUP(Q982,打分卡!$F$10:$J$10,打分卡!$K$10:$O$10),1)</f>
        <v>1</v>
      </c>
      <c r="AG982" s="41">
        <f>IFERROR(LOOKUP(R982,打分卡!$F$11:$J$11,打分卡!$K$11:$O$11),1)</f>
        <v>2</v>
      </c>
      <c r="AH982" s="41">
        <f>IFERROR(LOOKUP(U982,打分卡!$F$12:$J$12,打分卡!$K$12:$O$12),1)</f>
        <v>3</v>
      </c>
      <c r="AI982" s="41">
        <f>IFERROR(LOOKUP(X982,打分卡!$F$13:$J$13,打分卡!$K$13:$O$13),1)</f>
        <v>3</v>
      </c>
      <c r="AJ982" s="41">
        <f>IFERROR(LOOKUP(Y982,打分卡!$F$14:$J$14,打分卡!$K$14:$O$14),1)</f>
        <v>1</v>
      </c>
      <c r="AK982" s="41">
        <f>IFERROR(LOOKUP(W982,打分卡!$F$15:$J$15,打分卡!$K$15:$O$15),1)</f>
        <v>1</v>
      </c>
      <c r="AL982" s="43">
        <f t="shared" si="121"/>
        <v>5</v>
      </c>
      <c r="AM982" s="41">
        <f>IFERROR(LOOKUP(Z982,打分卡!$F$17:$H$17,打分卡!$K$17:$M$17),1)</f>
        <v>1</v>
      </c>
      <c r="AN982" s="44">
        <f>(打分卡!$D$7*AC982+打分卡!$D$8*AD982+打分卡!$D$9*AE982)/5</f>
        <v>8</v>
      </c>
      <c r="AO982" s="44">
        <f>(打分卡!$D$10*AF982+打分卡!$D$11*AG982)/5</f>
        <v>6</v>
      </c>
      <c r="AP982" s="44">
        <f>(打分卡!$D$12*AH982+打分卡!$D$13*AI982+打分卡!$D$14*AJ982+打分卡!$D$15*AK982)/5</f>
        <v>14</v>
      </c>
      <c r="AQ982" s="44">
        <f>(打分卡!$D$16*AL982+打分卡!$D$17*AM982)/5</f>
        <v>6.8</v>
      </c>
      <c r="AR982" s="47">
        <f t="shared" si="122"/>
        <v>34.8</v>
      </c>
      <c r="AS982" s="43" t="str">
        <f t="shared" si="123"/>
        <v>基础长尾</v>
      </c>
      <c r="AT982" s="43" t="str">
        <f t="shared" si="124"/>
        <v/>
      </c>
      <c r="AU982" s="43" t="str">
        <f t="shared" si="125"/>
        <v>激活：企微+Push低成本先跑</v>
      </c>
    </row>
    <row r="983" ht="15" customHeight="1" spans="1:47">
      <c r="A983" s="20" t="s">
        <v>2707</v>
      </c>
      <c r="B983" s="22" t="s">
        <v>2708</v>
      </c>
      <c r="C983" s="22" t="s">
        <v>218</v>
      </c>
      <c r="D983" s="22" t="s">
        <v>235</v>
      </c>
      <c r="E983" s="22" t="s">
        <v>181</v>
      </c>
      <c r="F983" s="20" t="s">
        <v>1725</v>
      </c>
      <c r="G983" s="22">
        <v>3</v>
      </c>
      <c r="H983" s="22" t="s">
        <v>642</v>
      </c>
      <c r="I983" s="22" t="s">
        <v>302</v>
      </c>
      <c r="J983" s="36">
        <v>2400</v>
      </c>
      <c r="K983" s="36">
        <v>1800</v>
      </c>
      <c r="L983" s="36">
        <v>700</v>
      </c>
      <c r="M983" s="36">
        <f t="shared" si="120"/>
        <v>4900</v>
      </c>
      <c r="N983" s="34">
        <f t="shared" si="126"/>
        <v>2.56889353037271e-5</v>
      </c>
      <c r="O983" s="35">
        <f>SUM($M$2:M983)</f>
        <v>189960300</v>
      </c>
      <c r="P983" s="34">
        <f t="shared" si="127"/>
        <v>0.995893440199304</v>
      </c>
      <c r="Q983" s="39">
        <v>0.6</v>
      </c>
      <c r="R983" s="22">
        <v>1</v>
      </c>
      <c r="S983" s="22">
        <v>0</v>
      </c>
      <c r="T983" s="22">
        <v>0</v>
      </c>
      <c r="U983" s="39">
        <v>7.8</v>
      </c>
      <c r="V983" s="22">
        <v>1</v>
      </c>
      <c r="W983" s="22">
        <v>1</v>
      </c>
      <c r="X983" s="40">
        <v>33</v>
      </c>
      <c r="Y983" s="22">
        <v>0</v>
      </c>
      <c r="Z983" s="22">
        <v>0</v>
      </c>
      <c r="AA983" s="22" t="s">
        <v>199</v>
      </c>
      <c r="AB983" s="22" t="s">
        <v>220</v>
      </c>
      <c r="AC983" s="42">
        <f>IFERROR(LOOKUP(M983,打分卡!$F$7:$J$7,打分卡!$K$7:$O$7),1)</f>
        <v>1</v>
      </c>
      <c r="AD983" s="42">
        <f>IFERROR(LOOKUP(S983,打分卡!$F$8:$J$8,打分卡!$K$8:$O$8),1)</f>
        <v>1</v>
      </c>
      <c r="AE983" s="42">
        <f>IFERROR(LOOKUP(T983,打分卡!$F$9:$I$9,打分卡!$K$9:$N$9),1)</f>
        <v>1</v>
      </c>
      <c r="AF983" s="42">
        <f>IFERROR(LOOKUP(Q983,打分卡!$F$10:$J$10,打分卡!$K$10:$O$10),1)</f>
        <v>1</v>
      </c>
      <c r="AG983" s="42">
        <f>IFERROR(LOOKUP(R983,打分卡!$F$11:$J$11,打分卡!$K$11:$O$11),1)</f>
        <v>1</v>
      </c>
      <c r="AH983" s="42">
        <f>IFERROR(LOOKUP(U983,打分卡!$F$12:$J$12,打分卡!$K$12:$O$12),1)</f>
        <v>2</v>
      </c>
      <c r="AI983" s="42">
        <f>IFERROR(LOOKUP(X983,打分卡!$F$13:$J$13,打分卡!$K$13:$O$13),1)</f>
        <v>2</v>
      </c>
      <c r="AJ983" s="42">
        <f>IFERROR(LOOKUP(Y983,打分卡!$F$14:$J$14,打分卡!$K$14:$O$14),1)</f>
        <v>1</v>
      </c>
      <c r="AK983" s="42">
        <f>IFERROR(LOOKUP(W983,打分卡!$F$15:$J$15,打分卡!$K$15:$O$15),1)</f>
        <v>2</v>
      </c>
      <c r="AL983" s="45">
        <f t="shared" si="121"/>
        <v>5</v>
      </c>
      <c r="AM983" s="42">
        <f>IFERROR(LOOKUP(Z983,打分卡!$F$17:$H$17,打分卡!$K$17:$M$17),1)</f>
        <v>1</v>
      </c>
      <c r="AN983" s="46">
        <f>(打分卡!$D$7*AC983+打分卡!$D$8*AD983+打分卡!$D$9*AE983)/5</f>
        <v>8</v>
      </c>
      <c r="AO983" s="46">
        <f>(打分卡!$D$10*AF983+打分卡!$D$11*AG983)/5</f>
        <v>4</v>
      </c>
      <c r="AP983" s="46">
        <f>(打分卡!$D$12*AH983+打分卡!$D$13*AI983+打分卡!$D$14*AJ983+打分卡!$D$15*AK983)/5</f>
        <v>10.8</v>
      </c>
      <c r="AQ983" s="46">
        <f>(打分卡!$D$16*AL983+打分卡!$D$17*AM983)/5</f>
        <v>6.8</v>
      </c>
      <c r="AR983" s="48">
        <f t="shared" si="122"/>
        <v>29.6</v>
      </c>
      <c r="AS983" s="45" t="str">
        <f t="shared" si="123"/>
        <v>基础长尾</v>
      </c>
      <c r="AT983" s="45" t="str">
        <f t="shared" si="124"/>
        <v/>
      </c>
      <c r="AU983" s="45" t="str">
        <f t="shared" si="125"/>
        <v>激活：企微+Push低成本先跑</v>
      </c>
    </row>
    <row r="984" ht="15" customHeight="1" spans="1:47">
      <c r="A984" s="30" t="s">
        <v>2709</v>
      </c>
      <c r="B984" s="31" t="s">
        <v>2710</v>
      </c>
      <c r="C984" s="31" t="s">
        <v>189</v>
      </c>
      <c r="D984" s="31" t="s">
        <v>227</v>
      </c>
      <c r="E984" s="31" t="s">
        <v>181</v>
      </c>
      <c r="F984" s="30" t="s">
        <v>2711</v>
      </c>
      <c r="G984" s="31">
        <v>1</v>
      </c>
      <c r="H984" s="31" t="s">
        <v>642</v>
      </c>
      <c r="I984" s="31" t="s">
        <v>302</v>
      </c>
      <c r="J984" s="33">
        <v>2700</v>
      </c>
      <c r="K984" s="33">
        <v>1300</v>
      </c>
      <c r="L984" s="33">
        <v>1000</v>
      </c>
      <c r="M984" s="33">
        <f t="shared" si="120"/>
        <v>5000</v>
      </c>
      <c r="N984" s="34">
        <f t="shared" si="126"/>
        <v>2.62131992895174e-5</v>
      </c>
      <c r="O984" s="35">
        <f>SUM($M$2:M984)</f>
        <v>189965300</v>
      </c>
      <c r="P984" s="34">
        <f t="shared" si="127"/>
        <v>0.995919653398594</v>
      </c>
      <c r="Q984" s="37">
        <v>0.3</v>
      </c>
      <c r="R984" s="31">
        <v>1</v>
      </c>
      <c r="S984" s="31">
        <v>0</v>
      </c>
      <c r="T984" s="31">
        <v>0</v>
      </c>
      <c r="U984" s="37">
        <v>4.7</v>
      </c>
      <c r="V984" s="31">
        <v>13</v>
      </c>
      <c r="W984" s="31">
        <v>0</v>
      </c>
      <c r="X984" s="38">
        <v>19</v>
      </c>
      <c r="Y984" s="31">
        <v>1</v>
      </c>
      <c r="Z984" s="31">
        <v>0</v>
      </c>
      <c r="AA984" s="31" t="s">
        <v>199</v>
      </c>
      <c r="AB984" s="31" t="s">
        <v>220</v>
      </c>
      <c r="AC984" s="41">
        <f>IFERROR(LOOKUP(M984,打分卡!$F$7:$J$7,打分卡!$K$7:$O$7),1)</f>
        <v>1</v>
      </c>
      <c r="AD984" s="41">
        <f>IFERROR(LOOKUP(S984,打分卡!$F$8:$J$8,打分卡!$K$8:$O$8),1)</f>
        <v>1</v>
      </c>
      <c r="AE984" s="41">
        <f>IFERROR(LOOKUP(T984,打分卡!$F$9:$I$9,打分卡!$K$9:$N$9),1)</f>
        <v>1</v>
      </c>
      <c r="AF984" s="41">
        <f>IFERROR(LOOKUP(Q984,打分卡!$F$10:$J$10,打分卡!$K$10:$O$10),1)</f>
        <v>1</v>
      </c>
      <c r="AG984" s="41">
        <f>IFERROR(LOOKUP(R984,打分卡!$F$11:$J$11,打分卡!$K$11:$O$11),1)</f>
        <v>1</v>
      </c>
      <c r="AH984" s="41">
        <f>IFERROR(LOOKUP(U984,打分卡!$F$12:$J$12,打分卡!$K$12:$O$12),1)</f>
        <v>2</v>
      </c>
      <c r="AI984" s="41">
        <f>IFERROR(LOOKUP(X984,打分卡!$F$13:$J$13,打分卡!$K$13:$O$13),1)</f>
        <v>2</v>
      </c>
      <c r="AJ984" s="41">
        <f>IFERROR(LOOKUP(Y984,打分卡!$F$14:$J$14,打分卡!$K$14:$O$14),1)</f>
        <v>2</v>
      </c>
      <c r="AK984" s="41">
        <f>IFERROR(LOOKUP(W984,打分卡!$F$15:$J$15,打分卡!$K$15:$O$15),1)</f>
        <v>1</v>
      </c>
      <c r="AL984" s="43">
        <f t="shared" si="121"/>
        <v>5</v>
      </c>
      <c r="AM984" s="41">
        <f>IFERROR(LOOKUP(Z984,打分卡!$F$17:$H$17,打分卡!$K$17:$M$17),1)</f>
        <v>1</v>
      </c>
      <c r="AN984" s="44">
        <f>(打分卡!$D$7*AC984+打分卡!$D$8*AD984+打分卡!$D$9*AE984)/5</f>
        <v>8</v>
      </c>
      <c r="AO984" s="44">
        <f>(打分卡!$D$10*AF984+打分卡!$D$11*AG984)/5</f>
        <v>4</v>
      </c>
      <c r="AP984" s="44">
        <f>(打分卡!$D$12*AH984+打分卡!$D$13*AI984+打分卡!$D$14*AJ984+打分卡!$D$15*AK984)/5</f>
        <v>11.2</v>
      </c>
      <c r="AQ984" s="44">
        <f>(打分卡!$D$16*AL984+打分卡!$D$17*AM984)/5</f>
        <v>6.8</v>
      </c>
      <c r="AR984" s="47">
        <f t="shared" si="122"/>
        <v>36.9333333333333</v>
      </c>
      <c r="AS984" s="43" t="str">
        <f t="shared" si="123"/>
        <v>基础长尾</v>
      </c>
      <c r="AT984" s="43" t="str">
        <f t="shared" si="124"/>
        <v/>
      </c>
      <c r="AU984" s="43" t="str">
        <f t="shared" si="125"/>
        <v>激活：企微+Push低成本先跑</v>
      </c>
    </row>
    <row r="985" ht="15" customHeight="1" spans="1:47">
      <c r="A985" s="20" t="s">
        <v>2712</v>
      </c>
      <c r="B985" s="22" t="s">
        <v>2713</v>
      </c>
      <c r="C985" s="22" t="s">
        <v>195</v>
      </c>
      <c r="D985" s="22" t="s">
        <v>202</v>
      </c>
      <c r="E985" s="22" t="s">
        <v>197</v>
      </c>
      <c r="F985" s="20" t="s">
        <v>2714</v>
      </c>
      <c r="G985" s="22">
        <v>2</v>
      </c>
      <c r="H985" s="22" t="s">
        <v>642</v>
      </c>
      <c r="I985" s="22" t="s">
        <v>302</v>
      </c>
      <c r="J985" s="36">
        <v>2600</v>
      </c>
      <c r="K985" s="36">
        <v>1400</v>
      </c>
      <c r="L985" s="36">
        <v>900</v>
      </c>
      <c r="M985" s="36">
        <f t="shared" si="120"/>
        <v>4900</v>
      </c>
      <c r="N985" s="34">
        <f t="shared" si="126"/>
        <v>2.56889353037271e-5</v>
      </c>
      <c r="O985" s="35">
        <f>SUM($M$2:M985)</f>
        <v>189970200</v>
      </c>
      <c r="P985" s="34">
        <f t="shared" si="127"/>
        <v>0.995945342333897</v>
      </c>
      <c r="Q985" s="39">
        <v>0.6</v>
      </c>
      <c r="R985" s="22">
        <v>3</v>
      </c>
      <c r="S985" s="22">
        <v>1</v>
      </c>
      <c r="T985" s="22">
        <v>0</v>
      </c>
      <c r="U985" s="39">
        <v>0.7</v>
      </c>
      <c r="V985" s="22">
        <v>9</v>
      </c>
      <c r="W985" s="22">
        <v>0</v>
      </c>
      <c r="X985" s="40">
        <v>6</v>
      </c>
      <c r="Y985" s="22">
        <v>0</v>
      </c>
      <c r="Z985" s="22">
        <v>0</v>
      </c>
      <c r="AA985" s="22" t="s">
        <v>199</v>
      </c>
      <c r="AB985" s="22" t="s">
        <v>220</v>
      </c>
      <c r="AC985" s="42">
        <f>IFERROR(LOOKUP(M985,打分卡!$F$7:$J$7,打分卡!$K$7:$O$7),1)</f>
        <v>1</v>
      </c>
      <c r="AD985" s="42">
        <f>IFERROR(LOOKUP(S985,打分卡!$F$8:$J$8,打分卡!$K$8:$O$8),1)</f>
        <v>1</v>
      </c>
      <c r="AE985" s="42">
        <f>IFERROR(LOOKUP(T985,打分卡!$F$9:$I$9,打分卡!$K$9:$N$9),1)</f>
        <v>1</v>
      </c>
      <c r="AF985" s="42">
        <f>IFERROR(LOOKUP(Q985,打分卡!$F$10:$J$10,打分卡!$K$10:$O$10),1)</f>
        <v>1</v>
      </c>
      <c r="AG985" s="42">
        <f>IFERROR(LOOKUP(R985,打分卡!$F$11:$J$11,打分卡!$K$11:$O$11),1)</f>
        <v>2</v>
      </c>
      <c r="AH985" s="42">
        <f>IFERROR(LOOKUP(U985,打分卡!$F$12:$J$12,打分卡!$K$12:$O$12),1)</f>
        <v>1</v>
      </c>
      <c r="AI985" s="42">
        <f>IFERROR(LOOKUP(X985,打分卡!$F$13:$J$13,打分卡!$K$13:$O$13),1)</f>
        <v>1</v>
      </c>
      <c r="AJ985" s="42">
        <f>IFERROR(LOOKUP(Y985,打分卡!$F$14:$J$14,打分卡!$K$14:$O$14),1)</f>
        <v>1</v>
      </c>
      <c r="AK985" s="42">
        <f>IFERROR(LOOKUP(W985,打分卡!$F$15:$J$15,打分卡!$K$15:$O$15),1)</f>
        <v>1</v>
      </c>
      <c r="AL985" s="45">
        <f t="shared" si="121"/>
        <v>5</v>
      </c>
      <c r="AM985" s="42">
        <f>IFERROR(LOOKUP(Z985,打分卡!$F$17:$H$17,打分卡!$K$17:$M$17),1)</f>
        <v>1</v>
      </c>
      <c r="AN985" s="46">
        <f>(打分卡!$D$7*AC985+打分卡!$D$8*AD985+打分卡!$D$9*AE985)/5</f>
        <v>8</v>
      </c>
      <c r="AO985" s="46">
        <f>(打分卡!$D$10*AF985+打分卡!$D$11*AG985)/5</f>
        <v>6</v>
      </c>
      <c r="AP985" s="46">
        <f>(打分卡!$D$12*AH985+打分卡!$D$13*AI985+打分卡!$D$14*AJ985+打分卡!$D$15*AK985)/5</f>
        <v>6</v>
      </c>
      <c r="AQ985" s="46">
        <f>(打分卡!$D$16*AL985+打分卡!$D$17*AM985)/5</f>
        <v>6.8</v>
      </c>
      <c r="AR985" s="48">
        <f t="shared" si="122"/>
        <v>26.8</v>
      </c>
      <c r="AS985" s="45" t="str">
        <f t="shared" si="123"/>
        <v>基础长尾</v>
      </c>
      <c r="AT985" s="45" t="str">
        <f t="shared" si="124"/>
        <v/>
      </c>
      <c r="AU985" s="45" t="str">
        <f t="shared" si="125"/>
        <v>激活：企微+Push低成本先跑</v>
      </c>
    </row>
    <row r="986" ht="15" customHeight="1" spans="1:47">
      <c r="A986" s="30" t="s">
        <v>2715</v>
      </c>
      <c r="B986" s="31" t="s">
        <v>2716</v>
      </c>
      <c r="C986" s="31" t="s">
        <v>179</v>
      </c>
      <c r="D986" s="31" t="s">
        <v>202</v>
      </c>
      <c r="E986" s="31" t="s">
        <v>197</v>
      </c>
      <c r="F986" s="30" t="s">
        <v>2714</v>
      </c>
      <c r="G986" s="31">
        <v>2</v>
      </c>
      <c r="H986" s="31" t="s">
        <v>642</v>
      </c>
      <c r="I986" s="31" t="s">
        <v>302</v>
      </c>
      <c r="J986" s="33">
        <v>2500</v>
      </c>
      <c r="K986" s="33">
        <v>1600</v>
      </c>
      <c r="L986" s="33">
        <v>700</v>
      </c>
      <c r="M986" s="33">
        <f t="shared" si="120"/>
        <v>4800</v>
      </c>
      <c r="N986" s="34">
        <f t="shared" si="126"/>
        <v>2.51646713179367e-5</v>
      </c>
      <c r="O986" s="35">
        <f>SUM($M$2:M986)</f>
        <v>189975000</v>
      </c>
      <c r="P986" s="34">
        <f t="shared" si="127"/>
        <v>0.995970507005215</v>
      </c>
      <c r="Q986" s="37">
        <v>0.5</v>
      </c>
      <c r="R986" s="31">
        <v>3</v>
      </c>
      <c r="S986" s="31">
        <v>0</v>
      </c>
      <c r="T986" s="31">
        <v>0</v>
      </c>
      <c r="U986" s="37">
        <v>0.8</v>
      </c>
      <c r="V986" s="31">
        <v>5</v>
      </c>
      <c r="W986" s="31">
        <v>0</v>
      </c>
      <c r="X986" s="38">
        <v>6</v>
      </c>
      <c r="Y986" s="31">
        <v>0</v>
      </c>
      <c r="Z986" s="31">
        <v>0</v>
      </c>
      <c r="AA986" s="31" t="s">
        <v>199</v>
      </c>
      <c r="AB986" s="31" t="s">
        <v>220</v>
      </c>
      <c r="AC986" s="41">
        <f>IFERROR(LOOKUP(M986,打分卡!$F$7:$J$7,打分卡!$K$7:$O$7),1)</f>
        <v>1</v>
      </c>
      <c r="AD986" s="41">
        <f>IFERROR(LOOKUP(S986,打分卡!$F$8:$J$8,打分卡!$K$8:$O$8),1)</f>
        <v>1</v>
      </c>
      <c r="AE986" s="41">
        <f>IFERROR(LOOKUP(T986,打分卡!$F$9:$I$9,打分卡!$K$9:$N$9),1)</f>
        <v>1</v>
      </c>
      <c r="AF986" s="41">
        <f>IFERROR(LOOKUP(Q986,打分卡!$F$10:$J$10,打分卡!$K$10:$O$10),1)</f>
        <v>1</v>
      </c>
      <c r="AG986" s="41">
        <f>IFERROR(LOOKUP(R986,打分卡!$F$11:$J$11,打分卡!$K$11:$O$11),1)</f>
        <v>2</v>
      </c>
      <c r="AH986" s="41">
        <f>IFERROR(LOOKUP(U986,打分卡!$F$12:$J$12,打分卡!$K$12:$O$12),1)</f>
        <v>1</v>
      </c>
      <c r="AI986" s="41">
        <f>IFERROR(LOOKUP(X986,打分卡!$F$13:$J$13,打分卡!$K$13:$O$13),1)</f>
        <v>1</v>
      </c>
      <c r="AJ986" s="41">
        <f>IFERROR(LOOKUP(Y986,打分卡!$F$14:$J$14,打分卡!$K$14:$O$14),1)</f>
        <v>1</v>
      </c>
      <c r="AK986" s="41">
        <f>IFERROR(LOOKUP(W986,打分卡!$F$15:$J$15,打分卡!$K$15:$O$15),1)</f>
        <v>1</v>
      </c>
      <c r="AL986" s="43">
        <f t="shared" si="121"/>
        <v>5</v>
      </c>
      <c r="AM986" s="41">
        <f>IFERROR(LOOKUP(Z986,打分卡!$F$17:$H$17,打分卡!$K$17:$M$17),1)</f>
        <v>1</v>
      </c>
      <c r="AN986" s="44">
        <f>(打分卡!$D$7*AC986+打分卡!$D$8*AD986+打分卡!$D$9*AE986)/5</f>
        <v>8</v>
      </c>
      <c r="AO986" s="44">
        <f>(打分卡!$D$10*AF986+打分卡!$D$11*AG986)/5</f>
        <v>6</v>
      </c>
      <c r="AP986" s="44">
        <f>(打分卡!$D$12*AH986+打分卡!$D$13*AI986+打分卡!$D$14*AJ986+打分卡!$D$15*AK986)/5</f>
        <v>6</v>
      </c>
      <c r="AQ986" s="44">
        <f>(打分卡!$D$16*AL986+打分卡!$D$17*AM986)/5</f>
        <v>6.8</v>
      </c>
      <c r="AR986" s="47">
        <f t="shared" si="122"/>
        <v>26.8</v>
      </c>
      <c r="AS986" s="43" t="str">
        <f t="shared" si="123"/>
        <v>基础长尾</v>
      </c>
      <c r="AT986" s="43" t="str">
        <f t="shared" si="124"/>
        <v/>
      </c>
      <c r="AU986" s="43" t="str">
        <f t="shared" si="125"/>
        <v>激活：企微+Push低成本先跑</v>
      </c>
    </row>
    <row r="987" ht="15" customHeight="1" spans="1:47">
      <c r="A987" s="20" t="s">
        <v>2717</v>
      </c>
      <c r="B987" s="22" t="s">
        <v>2718</v>
      </c>
      <c r="C987" s="22" t="s">
        <v>189</v>
      </c>
      <c r="D987" s="22" t="s">
        <v>202</v>
      </c>
      <c r="E987" s="22" t="s">
        <v>181</v>
      </c>
      <c r="F987" s="20" t="s">
        <v>2076</v>
      </c>
      <c r="G987" s="22">
        <v>1</v>
      </c>
      <c r="H987" s="22" t="s">
        <v>642</v>
      </c>
      <c r="I987" s="22" t="s">
        <v>302</v>
      </c>
      <c r="J987" s="36">
        <v>3100</v>
      </c>
      <c r="K987" s="36">
        <v>1000</v>
      </c>
      <c r="L987" s="36">
        <v>700</v>
      </c>
      <c r="M987" s="36">
        <f t="shared" si="120"/>
        <v>4800</v>
      </c>
      <c r="N987" s="34">
        <f t="shared" si="126"/>
        <v>2.51646713179367e-5</v>
      </c>
      <c r="O987" s="35">
        <f>SUM($M$2:M987)</f>
        <v>189979800</v>
      </c>
      <c r="P987" s="34">
        <f t="shared" si="127"/>
        <v>0.995995671676533</v>
      </c>
      <c r="Q987" s="39">
        <v>0.6</v>
      </c>
      <c r="R987" s="22">
        <v>3</v>
      </c>
      <c r="S987" s="22">
        <v>0</v>
      </c>
      <c r="T987" s="22">
        <v>0</v>
      </c>
      <c r="U987" s="39">
        <v>5.8</v>
      </c>
      <c r="V987" s="22">
        <v>8</v>
      </c>
      <c r="W987" s="22">
        <v>0</v>
      </c>
      <c r="X987" s="40">
        <v>5</v>
      </c>
      <c r="Y987" s="22">
        <v>1</v>
      </c>
      <c r="Z987" s="22">
        <v>0</v>
      </c>
      <c r="AA987" s="22" t="s">
        <v>199</v>
      </c>
      <c r="AB987" s="22" t="s">
        <v>220</v>
      </c>
      <c r="AC987" s="42">
        <f>IFERROR(LOOKUP(M987,打分卡!$F$7:$J$7,打分卡!$K$7:$O$7),1)</f>
        <v>1</v>
      </c>
      <c r="AD987" s="42">
        <f>IFERROR(LOOKUP(S987,打分卡!$F$8:$J$8,打分卡!$K$8:$O$8),1)</f>
        <v>1</v>
      </c>
      <c r="AE987" s="42">
        <f>IFERROR(LOOKUP(T987,打分卡!$F$9:$I$9,打分卡!$K$9:$N$9),1)</f>
        <v>1</v>
      </c>
      <c r="AF987" s="42">
        <f>IFERROR(LOOKUP(Q987,打分卡!$F$10:$J$10,打分卡!$K$10:$O$10),1)</f>
        <v>1</v>
      </c>
      <c r="AG987" s="42">
        <f>IFERROR(LOOKUP(R987,打分卡!$F$11:$J$11,打分卡!$K$11:$O$11),1)</f>
        <v>2</v>
      </c>
      <c r="AH987" s="42">
        <f>IFERROR(LOOKUP(U987,打分卡!$F$12:$J$12,打分卡!$K$12:$O$12),1)</f>
        <v>2</v>
      </c>
      <c r="AI987" s="42">
        <f>IFERROR(LOOKUP(X987,打分卡!$F$13:$J$13,打分卡!$K$13:$O$13),1)</f>
        <v>1</v>
      </c>
      <c r="AJ987" s="42">
        <f>IFERROR(LOOKUP(Y987,打分卡!$F$14:$J$14,打分卡!$K$14:$O$14),1)</f>
        <v>2</v>
      </c>
      <c r="AK987" s="42">
        <f>IFERROR(LOOKUP(W987,打分卡!$F$15:$J$15,打分卡!$K$15:$O$15),1)</f>
        <v>1</v>
      </c>
      <c r="AL987" s="45">
        <f t="shared" si="121"/>
        <v>5</v>
      </c>
      <c r="AM987" s="42">
        <f>IFERROR(LOOKUP(Z987,打分卡!$F$17:$H$17,打分卡!$K$17:$M$17),1)</f>
        <v>1</v>
      </c>
      <c r="AN987" s="46">
        <f>(打分卡!$D$7*AC987+打分卡!$D$8*AD987+打分卡!$D$9*AE987)/5</f>
        <v>8</v>
      </c>
      <c r="AO987" s="46">
        <f>(打分卡!$D$10*AF987+打分卡!$D$11*AG987)/5</f>
        <v>6</v>
      </c>
      <c r="AP987" s="46">
        <f>(打分卡!$D$12*AH987+打分卡!$D$13*AI987+打分卡!$D$14*AJ987+打分卡!$D$15*AK987)/5</f>
        <v>9.6</v>
      </c>
      <c r="AQ987" s="46">
        <f>(打分卡!$D$16*AL987+打分卡!$D$17*AM987)/5</f>
        <v>6.8</v>
      </c>
      <c r="AR987" s="48">
        <f t="shared" si="122"/>
        <v>35.2</v>
      </c>
      <c r="AS987" s="45" t="str">
        <f t="shared" si="123"/>
        <v>基础长尾</v>
      </c>
      <c r="AT987" s="45" t="str">
        <f t="shared" si="124"/>
        <v/>
      </c>
      <c r="AU987" s="45" t="str">
        <f t="shared" si="125"/>
        <v>激活：企微+Push低成本先跑</v>
      </c>
    </row>
    <row r="988" ht="15" customHeight="1" spans="1:47">
      <c r="A988" s="30" t="s">
        <v>2719</v>
      </c>
      <c r="B988" s="31" t="s">
        <v>2720</v>
      </c>
      <c r="C988" s="31" t="s">
        <v>239</v>
      </c>
      <c r="D988" s="31" t="s">
        <v>202</v>
      </c>
      <c r="E988" s="31" t="s">
        <v>181</v>
      </c>
      <c r="F988" s="30" t="s">
        <v>2721</v>
      </c>
      <c r="G988" s="31">
        <v>2</v>
      </c>
      <c r="H988" s="31" t="s">
        <v>642</v>
      </c>
      <c r="I988" s="31" t="s">
        <v>302</v>
      </c>
      <c r="J988" s="33">
        <v>2200</v>
      </c>
      <c r="K988" s="33">
        <v>1200</v>
      </c>
      <c r="L988" s="33">
        <v>1400</v>
      </c>
      <c r="M988" s="33">
        <f t="shared" si="120"/>
        <v>4800</v>
      </c>
      <c r="N988" s="34">
        <f t="shared" si="126"/>
        <v>2.51646713179367e-5</v>
      </c>
      <c r="O988" s="35">
        <f>SUM($M$2:M988)</f>
        <v>189984600</v>
      </c>
      <c r="P988" s="34">
        <f t="shared" si="127"/>
        <v>0.996020836347851</v>
      </c>
      <c r="Q988" s="37">
        <v>0.5</v>
      </c>
      <c r="R988" s="31">
        <v>3</v>
      </c>
      <c r="S988" s="31">
        <v>0</v>
      </c>
      <c r="T988" s="31">
        <v>0</v>
      </c>
      <c r="U988" s="37">
        <v>1.1</v>
      </c>
      <c r="V988" s="31">
        <v>10</v>
      </c>
      <c r="W988" s="31">
        <v>2</v>
      </c>
      <c r="X988" s="38">
        <v>27</v>
      </c>
      <c r="Y988" s="31">
        <v>1</v>
      </c>
      <c r="Z988" s="31">
        <v>0</v>
      </c>
      <c r="AA988" s="31" t="s">
        <v>199</v>
      </c>
      <c r="AB988" s="31" t="s">
        <v>220</v>
      </c>
      <c r="AC988" s="41">
        <f>IFERROR(LOOKUP(M988,打分卡!$F$7:$J$7,打分卡!$K$7:$O$7),1)</f>
        <v>1</v>
      </c>
      <c r="AD988" s="41">
        <f>IFERROR(LOOKUP(S988,打分卡!$F$8:$J$8,打分卡!$K$8:$O$8),1)</f>
        <v>1</v>
      </c>
      <c r="AE988" s="41">
        <f>IFERROR(LOOKUP(T988,打分卡!$F$9:$I$9,打分卡!$K$9:$N$9),1)</f>
        <v>1</v>
      </c>
      <c r="AF988" s="41">
        <f>IFERROR(LOOKUP(Q988,打分卡!$F$10:$J$10,打分卡!$K$10:$O$10),1)</f>
        <v>1</v>
      </c>
      <c r="AG988" s="41">
        <f>IFERROR(LOOKUP(R988,打分卡!$F$11:$J$11,打分卡!$K$11:$O$11),1)</f>
        <v>2</v>
      </c>
      <c r="AH988" s="41">
        <f>IFERROR(LOOKUP(U988,打分卡!$F$12:$J$12,打分卡!$K$12:$O$12),1)</f>
        <v>1</v>
      </c>
      <c r="AI988" s="41">
        <f>IFERROR(LOOKUP(X988,打分卡!$F$13:$J$13,打分卡!$K$13:$O$13),1)</f>
        <v>2</v>
      </c>
      <c r="AJ988" s="41">
        <f>IFERROR(LOOKUP(Y988,打分卡!$F$14:$J$14,打分卡!$K$14:$O$14),1)</f>
        <v>2</v>
      </c>
      <c r="AK988" s="41">
        <f>IFERROR(LOOKUP(W988,打分卡!$F$15:$J$15,打分卡!$K$15:$O$15),1)</f>
        <v>2</v>
      </c>
      <c r="AL988" s="43">
        <f t="shared" si="121"/>
        <v>5</v>
      </c>
      <c r="AM988" s="41">
        <f>IFERROR(LOOKUP(Z988,打分卡!$F$17:$H$17,打分卡!$K$17:$M$17),1)</f>
        <v>1</v>
      </c>
      <c r="AN988" s="44">
        <f>(打分卡!$D$7*AC988+打分卡!$D$8*AD988+打分卡!$D$9*AE988)/5</f>
        <v>8</v>
      </c>
      <c r="AO988" s="44">
        <f>(打分卡!$D$10*AF988+打分卡!$D$11*AG988)/5</f>
        <v>6</v>
      </c>
      <c r="AP988" s="44">
        <f>(打分卡!$D$12*AH988+打分卡!$D$13*AI988+打分卡!$D$14*AJ988+打分卡!$D$15*AK988)/5</f>
        <v>9.6</v>
      </c>
      <c r="AQ988" s="44">
        <f>(打分卡!$D$16*AL988+打分卡!$D$17*AM988)/5</f>
        <v>6.8</v>
      </c>
      <c r="AR988" s="47">
        <f t="shared" si="122"/>
        <v>35.2</v>
      </c>
      <c r="AS988" s="43" t="str">
        <f t="shared" si="123"/>
        <v>基础长尾</v>
      </c>
      <c r="AT988" s="43" t="str">
        <f t="shared" si="124"/>
        <v/>
      </c>
      <c r="AU988" s="43" t="str">
        <f t="shared" si="125"/>
        <v>激活：企微+Push低成本先跑</v>
      </c>
    </row>
    <row r="989" ht="15" customHeight="1" spans="1:47">
      <c r="A989" s="20" t="s">
        <v>2722</v>
      </c>
      <c r="B989" s="22" t="s">
        <v>2723</v>
      </c>
      <c r="C989" s="22" t="s">
        <v>239</v>
      </c>
      <c r="D989" s="22" t="s">
        <v>227</v>
      </c>
      <c r="E989" s="22" t="s">
        <v>181</v>
      </c>
      <c r="F989" s="20" t="s">
        <v>2706</v>
      </c>
      <c r="G989" s="22">
        <v>3</v>
      </c>
      <c r="H989" s="22" t="s">
        <v>642</v>
      </c>
      <c r="I989" s="22" t="s">
        <v>302</v>
      </c>
      <c r="J989" s="36">
        <v>2300</v>
      </c>
      <c r="K989" s="36">
        <v>1100</v>
      </c>
      <c r="L989" s="36">
        <v>1500</v>
      </c>
      <c r="M989" s="36">
        <f t="shared" si="120"/>
        <v>4900</v>
      </c>
      <c r="N989" s="34">
        <f t="shared" si="126"/>
        <v>2.56889353037271e-5</v>
      </c>
      <c r="O989" s="35">
        <f>SUM($M$2:M989)</f>
        <v>189989500</v>
      </c>
      <c r="P989" s="34">
        <f t="shared" si="127"/>
        <v>0.996046525283155</v>
      </c>
      <c r="Q989" s="39">
        <v>0.4</v>
      </c>
      <c r="R989" s="22">
        <v>2</v>
      </c>
      <c r="S989" s="22">
        <v>1</v>
      </c>
      <c r="T989" s="22">
        <v>0</v>
      </c>
      <c r="U989" s="39">
        <v>8.2</v>
      </c>
      <c r="V989" s="22">
        <v>11</v>
      </c>
      <c r="W989" s="22">
        <v>1</v>
      </c>
      <c r="X989" s="40">
        <v>36</v>
      </c>
      <c r="Y989" s="22">
        <v>0</v>
      </c>
      <c r="Z989" s="22">
        <v>0</v>
      </c>
      <c r="AA989" s="22" t="s">
        <v>199</v>
      </c>
      <c r="AB989" s="22" t="s">
        <v>220</v>
      </c>
      <c r="AC989" s="42">
        <f>IFERROR(LOOKUP(M989,打分卡!$F$7:$J$7,打分卡!$K$7:$O$7),1)</f>
        <v>1</v>
      </c>
      <c r="AD989" s="42">
        <f>IFERROR(LOOKUP(S989,打分卡!$F$8:$J$8,打分卡!$K$8:$O$8),1)</f>
        <v>1</v>
      </c>
      <c r="AE989" s="42">
        <f>IFERROR(LOOKUP(T989,打分卡!$F$9:$I$9,打分卡!$K$9:$N$9),1)</f>
        <v>1</v>
      </c>
      <c r="AF989" s="42">
        <f>IFERROR(LOOKUP(Q989,打分卡!$F$10:$J$10,打分卡!$K$10:$O$10),1)</f>
        <v>1</v>
      </c>
      <c r="AG989" s="42">
        <f>IFERROR(LOOKUP(R989,打分卡!$F$11:$J$11,打分卡!$K$11:$O$11),1)</f>
        <v>1</v>
      </c>
      <c r="AH989" s="42">
        <f>IFERROR(LOOKUP(U989,打分卡!$F$12:$J$12,打分卡!$K$12:$O$12),1)</f>
        <v>2</v>
      </c>
      <c r="AI989" s="42">
        <f>IFERROR(LOOKUP(X989,打分卡!$F$13:$J$13,打分卡!$K$13:$O$13),1)</f>
        <v>2</v>
      </c>
      <c r="AJ989" s="42">
        <f>IFERROR(LOOKUP(Y989,打分卡!$F$14:$J$14,打分卡!$K$14:$O$14),1)</f>
        <v>1</v>
      </c>
      <c r="AK989" s="42">
        <f>IFERROR(LOOKUP(W989,打分卡!$F$15:$J$15,打分卡!$K$15:$O$15),1)</f>
        <v>2</v>
      </c>
      <c r="AL989" s="45">
        <f t="shared" si="121"/>
        <v>5</v>
      </c>
      <c r="AM989" s="42">
        <f>IFERROR(LOOKUP(Z989,打分卡!$F$17:$H$17,打分卡!$K$17:$M$17),1)</f>
        <v>1</v>
      </c>
      <c r="AN989" s="46">
        <f>(打分卡!$D$7*AC989+打分卡!$D$8*AD989+打分卡!$D$9*AE989)/5</f>
        <v>8</v>
      </c>
      <c r="AO989" s="46">
        <f>(打分卡!$D$10*AF989+打分卡!$D$11*AG989)/5</f>
        <v>4</v>
      </c>
      <c r="AP989" s="46">
        <f>(打分卡!$D$12*AH989+打分卡!$D$13*AI989+打分卡!$D$14*AJ989+打分卡!$D$15*AK989)/5</f>
        <v>10.8</v>
      </c>
      <c r="AQ989" s="46">
        <f>(打分卡!$D$16*AL989+打分卡!$D$17*AM989)/5</f>
        <v>6.8</v>
      </c>
      <c r="AR989" s="48">
        <f t="shared" si="122"/>
        <v>29.6</v>
      </c>
      <c r="AS989" s="45" t="str">
        <f t="shared" si="123"/>
        <v>基础长尾</v>
      </c>
      <c r="AT989" s="45" t="str">
        <f t="shared" si="124"/>
        <v/>
      </c>
      <c r="AU989" s="45" t="str">
        <f t="shared" si="125"/>
        <v>激活：企微+Push低成本先跑</v>
      </c>
    </row>
    <row r="990" ht="15" customHeight="1" spans="1:47">
      <c r="A990" s="30" t="s">
        <v>2724</v>
      </c>
      <c r="B990" s="31" t="s">
        <v>2725</v>
      </c>
      <c r="C990" s="31" t="s">
        <v>179</v>
      </c>
      <c r="D990" s="31" t="s">
        <v>202</v>
      </c>
      <c r="E990" s="31" t="s">
        <v>181</v>
      </c>
      <c r="F990" s="30" t="s">
        <v>2711</v>
      </c>
      <c r="G990" s="31">
        <v>1</v>
      </c>
      <c r="H990" s="31" t="s">
        <v>642</v>
      </c>
      <c r="I990" s="31" t="s">
        <v>302</v>
      </c>
      <c r="J990" s="33">
        <v>2300</v>
      </c>
      <c r="K990" s="33">
        <v>1500</v>
      </c>
      <c r="L990" s="33">
        <v>1000</v>
      </c>
      <c r="M990" s="33">
        <f t="shared" si="120"/>
        <v>4800</v>
      </c>
      <c r="N990" s="34">
        <f t="shared" si="126"/>
        <v>2.51646713179367e-5</v>
      </c>
      <c r="O990" s="35">
        <f>SUM($M$2:M990)</f>
        <v>189994300</v>
      </c>
      <c r="P990" s="34">
        <f t="shared" si="127"/>
        <v>0.996071689954473</v>
      </c>
      <c r="Q990" s="37">
        <v>0.6</v>
      </c>
      <c r="R990" s="31">
        <v>2</v>
      </c>
      <c r="S990" s="31">
        <v>0</v>
      </c>
      <c r="T990" s="31">
        <v>0</v>
      </c>
      <c r="U990" s="37">
        <v>2.7</v>
      </c>
      <c r="V990" s="31">
        <v>15</v>
      </c>
      <c r="W990" s="31">
        <v>1</v>
      </c>
      <c r="X990" s="38">
        <v>7</v>
      </c>
      <c r="Y990" s="31">
        <v>0</v>
      </c>
      <c r="Z990" s="31">
        <v>0</v>
      </c>
      <c r="AA990" s="31" t="s">
        <v>199</v>
      </c>
      <c r="AB990" s="31" t="s">
        <v>220</v>
      </c>
      <c r="AC990" s="41">
        <f>IFERROR(LOOKUP(M990,打分卡!$F$7:$J$7,打分卡!$K$7:$O$7),1)</f>
        <v>1</v>
      </c>
      <c r="AD990" s="41">
        <f>IFERROR(LOOKUP(S990,打分卡!$F$8:$J$8,打分卡!$K$8:$O$8),1)</f>
        <v>1</v>
      </c>
      <c r="AE990" s="41">
        <f>IFERROR(LOOKUP(T990,打分卡!$F$9:$I$9,打分卡!$K$9:$N$9),1)</f>
        <v>1</v>
      </c>
      <c r="AF990" s="41">
        <f>IFERROR(LOOKUP(Q990,打分卡!$F$10:$J$10,打分卡!$K$10:$O$10),1)</f>
        <v>1</v>
      </c>
      <c r="AG990" s="41">
        <f>IFERROR(LOOKUP(R990,打分卡!$F$11:$J$11,打分卡!$K$11:$O$11),1)</f>
        <v>1</v>
      </c>
      <c r="AH990" s="41">
        <f>IFERROR(LOOKUP(U990,打分卡!$F$12:$J$12,打分卡!$K$12:$O$12),1)</f>
        <v>1</v>
      </c>
      <c r="AI990" s="41">
        <f>IFERROR(LOOKUP(X990,打分卡!$F$13:$J$13,打分卡!$K$13:$O$13),1)</f>
        <v>1</v>
      </c>
      <c r="AJ990" s="41">
        <f>IFERROR(LOOKUP(Y990,打分卡!$F$14:$J$14,打分卡!$K$14:$O$14),1)</f>
        <v>1</v>
      </c>
      <c r="AK990" s="41">
        <f>IFERROR(LOOKUP(W990,打分卡!$F$15:$J$15,打分卡!$K$15:$O$15),1)</f>
        <v>2</v>
      </c>
      <c r="AL990" s="43">
        <f t="shared" si="121"/>
        <v>5</v>
      </c>
      <c r="AM990" s="41">
        <f>IFERROR(LOOKUP(Z990,打分卡!$F$17:$H$17,打分卡!$K$17:$M$17),1)</f>
        <v>1</v>
      </c>
      <c r="AN990" s="44">
        <f>(打分卡!$D$7*AC990+打分卡!$D$8*AD990+打分卡!$D$9*AE990)/5</f>
        <v>8</v>
      </c>
      <c r="AO990" s="44">
        <f>(打分卡!$D$10*AF990+打分卡!$D$11*AG990)/5</f>
        <v>4</v>
      </c>
      <c r="AP990" s="44">
        <f>(打分卡!$D$12*AH990+打分卡!$D$13*AI990+打分卡!$D$14*AJ990+打分卡!$D$15*AK990)/5</f>
        <v>6.8</v>
      </c>
      <c r="AQ990" s="44">
        <f>(打分卡!$D$16*AL990+打分卡!$D$17*AM990)/5</f>
        <v>6.8</v>
      </c>
      <c r="AR990" s="47">
        <f t="shared" si="122"/>
        <v>26.6666666666667</v>
      </c>
      <c r="AS990" s="43" t="str">
        <f t="shared" si="123"/>
        <v>基础长尾</v>
      </c>
      <c r="AT990" s="43" t="str">
        <f t="shared" si="124"/>
        <v/>
      </c>
      <c r="AU990" s="43" t="str">
        <f t="shared" si="125"/>
        <v>激活：企微+Push低成本先跑</v>
      </c>
    </row>
    <row r="991" ht="15" customHeight="1" spans="1:47">
      <c r="A991" s="20" t="s">
        <v>2726</v>
      </c>
      <c r="B991" s="22" t="s">
        <v>2727</v>
      </c>
      <c r="C991" s="22" t="s">
        <v>209</v>
      </c>
      <c r="D991" s="22" t="s">
        <v>202</v>
      </c>
      <c r="E991" s="22" t="s">
        <v>197</v>
      </c>
      <c r="F991" s="20" t="s">
        <v>2728</v>
      </c>
      <c r="G991" s="22">
        <v>2</v>
      </c>
      <c r="H991" s="22" t="s">
        <v>642</v>
      </c>
      <c r="I991" s="22" t="s">
        <v>302</v>
      </c>
      <c r="J991" s="36">
        <v>2400</v>
      </c>
      <c r="K991" s="36">
        <v>1200</v>
      </c>
      <c r="L991" s="36">
        <v>1100</v>
      </c>
      <c r="M991" s="36">
        <f t="shared" si="120"/>
        <v>4700</v>
      </c>
      <c r="N991" s="34">
        <f t="shared" si="126"/>
        <v>2.46404073321464e-5</v>
      </c>
      <c r="O991" s="35">
        <f>SUM($M$2:M991)</f>
        <v>189999000</v>
      </c>
      <c r="P991" s="34">
        <f t="shared" si="127"/>
        <v>0.996096330361805</v>
      </c>
      <c r="Q991" s="39">
        <v>0.4</v>
      </c>
      <c r="R991" s="22">
        <v>3</v>
      </c>
      <c r="S991" s="22">
        <v>0</v>
      </c>
      <c r="T991" s="22">
        <v>0</v>
      </c>
      <c r="U991" s="39">
        <v>668</v>
      </c>
      <c r="V991" s="22">
        <v>10</v>
      </c>
      <c r="W991" s="22">
        <v>8</v>
      </c>
      <c r="X991" s="40">
        <v>549</v>
      </c>
      <c r="Y991" s="22">
        <v>4</v>
      </c>
      <c r="Z991" s="22">
        <v>0</v>
      </c>
      <c r="AA991" s="22" t="s">
        <v>199</v>
      </c>
      <c r="AB991" s="22" t="s">
        <v>220</v>
      </c>
      <c r="AC991" s="42">
        <f>IFERROR(LOOKUP(M991,打分卡!$F$7:$J$7,打分卡!$K$7:$O$7),1)</f>
        <v>1</v>
      </c>
      <c r="AD991" s="42">
        <f>IFERROR(LOOKUP(S991,打分卡!$F$8:$J$8,打分卡!$K$8:$O$8),1)</f>
        <v>1</v>
      </c>
      <c r="AE991" s="42">
        <f>IFERROR(LOOKUP(T991,打分卡!$F$9:$I$9,打分卡!$K$9:$N$9),1)</f>
        <v>1</v>
      </c>
      <c r="AF991" s="42">
        <f>IFERROR(LOOKUP(Q991,打分卡!$F$10:$J$10,打分卡!$K$10:$O$10),1)</f>
        <v>1</v>
      </c>
      <c r="AG991" s="42">
        <f>IFERROR(LOOKUP(R991,打分卡!$F$11:$J$11,打分卡!$K$11:$O$11),1)</f>
        <v>2</v>
      </c>
      <c r="AH991" s="42">
        <f>IFERROR(LOOKUP(U991,打分卡!$F$12:$J$12,打分卡!$K$12:$O$12),1)</f>
        <v>5</v>
      </c>
      <c r="AI991" s="42">
        <f>IFERROR(LOOKUP(X991,打分卡!$F$13:$J$13,打分卡!$K$13:$O$13),1)</f>
        <v>5</v>
      </c>
      <c r="AJ991" s="42">
        <f>IFERROR(LOOKUP(Y991,打分卡!$F$14:$J$14,打分卡!$K$14:$O$14),1)</f>
        <v>4</v>
      </c>
      <c r="AK991" s="42">
        <f>IFERROR(LOOKUP(W991,打分卡!$F$15:$J$15,打分卡!$K$15:$O$15),1)</f>
        <v>4</v>
      </c>
      <c r="AL991" s="45">
        <f t="shared" si="121"/>
        <v>5</v>
      </c>
      <c r="AM991" s="42">
        <f>IFERROR(LOOKUP(Z991,打分卡!$F$17:$H$17,打分卡!$K$17:$M$17),1)</f>
        <v>1</v>
      </c>
      <c r="AN991" s="46">
        <f>(打分卡!$D$7*AC991+打分卡!$D$8*AD991+打分卡!$D$9*AE991)/5</f>
        <v>8</v>
      </c>
      <c r="AO991" s="46">
        <f>(打分卡!$D$10*AF991+打分卡!$D$11*AG991)/5</f>
        <v>6</v>
      </c>
      <c r="AP991" s="46">
        <f>(打分卡!$D$12*AH991+打分卡!$D$13*AI991+打分卡!$D$14*AJ991+打分卡!$D$15*AK991)/5</f>
        <v>28</v>
      </c>
      <c r="AQ991" s="46">
        <f>(打分卡!$D$16*AL991+打分卡!$D$17*AM991)/5</f>
        <v>6.8</v>
      </c>
      <c r="AR991" s="48">
        <f t="shared" si="122"/>
        <v>78.1333333333333</v>
      </c>
      <c r="AS991" s="45" t="str">
        <f t="shared" si="123"/>
        <v>KA</v>
      </c>
      <c r="AT991" s="45" t="str">
        <f t="shared" si="124"/>
        <v/>
      </c>
      <c r="AU991" s="45" t="str">
        <f t="shared" si="125"/>
        <v>扩·深化：AI外呼场景深化+Push/企微补全</v>
      </c>
    </row>
    <row r="992" ht="15" customHeight="1" spans="1:47">
      <c r="A992" s="30" t="s">
        <v>2729</v>
      </c>
      <c r="B992" s="31" t="s">
        <v>2730</v>
      </c>
      <c r="C992" s="31" t="s">
        <v>189</v>
      </c>
      <c r="D992" s="31" t="s">
        <v>227</v>
      </c>
      <c r="E992" s="31" t="s">
        <v>181</v>
      </c>
      <c r="F992" s="30" t="s">
        <v>2706</v>
      </c>
      <c r="G992" s="31">
        <v>3</v>
      </c>
      <c r="H992" s="31" t="s">
        <v>642</v>
      </c>
      <c r="I992" s="31" t="s">
        <v>302</v>
      </c>
      <c r="J992" s="33">
        <v>2900</v>
      </c>
      <c r="K992" s="33">
        <v>1400</v>
      </c>
      <c r="L992" s="33">
        <v>300</v>
      </c>
      <c r="M992" s="33">
        <f t="shared" si="120"/>
        <v>4600</v>
      </c>
      <c r="N992" s="34">
        <f t="shared" si="126"/>
        <v>2.41161433463561e-5</v>
      </c>
      <c r="O992" s="35">
        <f>SUM($M$2:M992)</f>
        <v>190003600</v>
      </c>
      <c r="P992" s="34">
        <f t="shared" si="127"/>
        <v>0.996120446505151</v>
      </c>
      <c r="Q992" s="37">
        <v>0.5</v>
      </c>
      <c r="R992" s="31">
        <v>1</v>
      </c>
      <c r="S992" s="31">
        <v>0</v>
      </c>
      <c r="T992" s="31">
        <v>0</v>
      </c>
      <c r="U992" s="37">
        <v>33.2</v>
      </c>
      <c r="V992" s="31">
        <v>3</v>
      </c>
      <c r="W992" s="31">
        <v>1</v>
      </c>
      <c r="X992" s="38">
        <v>5</v>
      </c>
      <c r="Y992" s="31">
        <v>0</v>
      </c>
      <c r="Z992" s="31">
        <v>0</v>
      </c>
      <c r="AA992" s="31" t="s">
        <v>199</v>
      </c>
      <c r="AB992" s="31" t="s">
        <v>220</v>
      </c>
      <c r="AC992" s="41">
        <f>IFERROR(LOOKUP(M992,打分卡!$F$7:$J$7,打分卡!$K$7:$O$7),1)</f>
        <v>1</v>
      </c>
      <c r="AD992" s="41">
        <f>IFERROR(LOOKUP(S992,打分卡!$F$8:$J$8,打分卡!$K$8:$O$8),1)</f>
        <v>1</v>
      </c>
      <c r="AE992" s="41">
        <f>IFERROR(LOOKUP(T992,打分卡!$F$9:$I$9,打分卡!$K$9:$N$9),1)</f>
        <v>1</v>
      </c>
      <c r="AF992" s="41">
        <f>IFERROR(LOOKUP(Q992,打分卡!$F$10:$J$10,打分卡!$K$10:$O$10),1)</f>
        <v>1</v>
      </c>
      <c r="AG992" s="41">
        <f>IFERROR(LOOKUP(R992,打分卡!$F$11:$J$11,打分卡!$K$11:$O$11),1)</f>
        <v>1</v>
      </c>
      <c r="AH992" s="41">
        <f>IFERROR(LOOKUP(U992,打分卡!$F$12:$J$12,打分卡!$K$12:$O$12),1)</f>
        <v>4</v>
      </c>
      <c r="AI992" s="41">
        <f>IFERROR(LOOKUP(X992,打分卡!$F$13:$J$13,打分卡!$K$13:$O$13),1)</f>
        <v>1</v>
      </c>
      <c r="AJ992" s="41">
        <f>IFERROR(LOOKUP(Y992,打分卡!$F$14:$J$14,打分卡!$K$14:$O$14),1)</f>
        <v>1</v>
      </c>
      <c r="AK992" s="41">
        <f>IFERROR(LOOKUP(W992,打分卡!$F$15:$J$15,打分卡!$K$15:$O$15),1)</f>
        <v>2</v>
      </c>
      <c r="AL992" s="43">
        <f t="shared" si="121"/>
        <v>5</v>
      </c>
      <c r="AM992" s="41">
        <f>IFERROR(LOOKUP(Z992,打分卡!$F$17:$H$17,打分卡!$K$17:$M$17),1)</f>
        <v>1</v>
      </c>
      <c r="AN992" s="44">
        <f>(打分卡!$D$7*AC992+打分卡!$D$8*AD992+打分卡!$D$9*AE992)/5</f>
        <v>8</v>
      </c>
      <c r="AO992" s="44">
        <f>(打分卡!$D$10*AF992+打分卡!$D$11*AG992)/5</f>
        <v>4</v>
      </c>
      <c r="AP992" s="44">
        <f>(打分卡!$D$12*AH992+打分卡!$D$13*AI992+打分卡!$D$14*AJ992+打分卡!$D$15*AK992)/5</f>
        <v>14</v>
      </c>
      <c r="AQ992" s="44">
        <f>(打分卡!$D$16*AL992+打分卡!$D$17*AM992)/5</f>
        <v>6.8</v>
      </c>
      <c r="AR992" s="47">
        <f t="shared" si="122"/>
        <v>32.8</v>
      </c>
      <c r="AS992" s="43" t="str">
        <f t="shared" si="123"/>
        <v>基础长尾</v>
      </c>
      <c r="AT992" s="43" t="str">
        <f t="shared" si="124"/>
        <v/>
      </c>
      <c r="AU992" s="43" t="str">
        <f t="shared" si="125"/>
        <v>激活：企微+Push低成本先跑</v>
      </c>
    </row>
    <row r="993" ht="15" customHeight="1" spans="1:47">
      <c r="A993" s="20" t="s">
        <v>2731</v>
      </c>
      <c r="B993" s="22" t="s">
        <v>2732</v>
      </c>
      <c r="C993" s="22" t="s">
        <v>189</v>
      </c>
      <c r="D993" s="22" t="s">
        <v>202</v>
      </c>
      <c r="E993" s="22" t="s">
        <v>181</v>
      </c>
      <c r="F993" s="20" t="s">
        <v>1166</v>
      </c>
      <c r="G993" s="22">
        <v>3</v>
      </c>
      <c r="H993" s="22" t="s">
        <v>642</v>
      </c>
      <c r="I993" s="22" t="s">
        <v>302</v>
      </c>
      <c r="J993" s="36">
        <v>2900</v>
      </c>
      <c r="K993" s="36">
        <v>1100</v>
      </c>
      <c r="L993" s="36">
        <v>700</v>
      </c>
      <c r="M993" s="36">
        <f t="shared" si="120"/>
        <v>4700</v>
      </c>
      <c r="N993" s="34">
        <f t="shared" si="126"/>
        <v>2.46404073321464e-5</v>
      </c>
      <c r="O993" s="35">
        <f>SUM($M$2:M993)</f>
        <v>190008300</v>
      </c>
      <c r="P993" s="34">
        <f t="shared" si="127"/>
        <v>0.996145086912484</v>
      </c>
      <c r="Q993" s="39">
        <v>0.6</v>
      </c>
      <c r="R993" s="22">
        <v>2</v>
      </c>
      <c r="S993" s="22">
        <v>0</v>
      </c>
      <c r="T993" s="22">
        <v>0</v>
      </c>
      <c r="U993" s="39">
        <v>2</v>
      </c>
      <c r="V993" s="22">
        <v>14</v>
      </c>
      <c r="W993" s="22">
        <v>2</v>
      </c>
      <c r="X993" s="40">
        <v>19</v>
      </c>
      <c r="Y993" s="22">
        <v>0</v>
      </c>
      <c r="Z993" s="22">
        <v>0</v>
      </c>
      <c r="AA993" s="22" t="s">
        <v>199</v>
      </c>
      <c r="AB993" s="22" t="s">
        <v>220</v>
      </c>
      <c r="AC993" s="42">
        <f>IFERROR(LOOKUP(M993,打分卡!$F$7:$J$7,打分卡!$K$7:$O$7),1)</f>
        <v>1</v>
      </c>
      <c r="AD993" s="42">
        <f>IFERROR(LOOKUP(S993,打分卡!$F$8:$J$8,打分卡!$K$8:$O$8),1)</f>
        <v>1</v>
      </c>
      <c r="AE993" s="42">
        <f>IFERROR(LOOKUP(T993,打分卡!$F$9:$I$9,打分卡!$K$9:$N$9),1)</f>
        <v>1</v>
      </c>
      <c r="AF993" s="42">
        <f>IFERROR(LOOKUP(Q993,打分卡!$F$10:$J$10,打分卡!$K$10:$O$10),1)</f>
        <v>1</v>
      </c>
      <c r="AG993" s="42">
        <f>IFERROR(LOOKUP(R993,打分卡!$F$11:$J$11,打分卡!$K$11:$O$11),1)</f>
        <v>1</v>
      </c>
      <c r="AH993" s="42">
        <f>IFERROR(LOOKUP(U993,打分卡!$F$12:$J$12,打分卡!$K$12:$O$12),1)</f>
        <v>1</v>
      </c>
      <c r="AI993" s="42">
        <f>IFERROR(LOOKUP(X993,打分卡!$F$13:$J$13,打分卡!$K$13:$O$13),1)</f>
        <v>2</v>
      </c>
      <c r="AJ993" s="42">
        <f>IFERROR(LOOKUP(Y993,打分卡!$F$14:$J$14,打分卡!$K$14:$O$14),1)</f>
        <v>1</v>
      </c>
      <c r="AK993" s="42">
        <f>IFERROR(LOOKUP(W993,打分卡!$F$15:$J$15,打分卡!$K$15:$O$15),1)</f>
        <v>2</v>
      </c>
      <c r="AL993" s="45">
        <f t="shared" si="121"/>
        <v>5</v>
      </c>
      <c r="AM993" s="42">
        <f>IFERROR(LOOKUP(Z993,打分卡!$F$17:$H$17,打分卡!$K$17:$M$17),1)</f>
        <v>1</v>
      </c>
      <c r="AN993" s="46">
        <f>(打分卡!$D$7*AC993+打分卡!$D$8*AD993+打分卡!$D$9*AE993)/5</f>
        <v>8</v>
      </c>
      <c r="AO993" s="46">
        <f>(打分卡!$D$10*AF993+打分卡!$D$11*AG993)/5</f>
        <v>4</v>
      </c>
      <c r="AP993" s="46">
        <f>(打分卡!$D$12*AH993+打分卡!$D$13*AI993+打分卡!$D$14*AJ993+打分卡!$D$15*AK993)/5</f>
        <v>8.4</v>
      </c>
      <c r="AQ993" s="46">
        <f>(打分卡!$D$16*AL993+打分卡!$D$17*AM993)/5</f>
        <v>6.8</v>
      </c>
      <c r="AR993" s="48">
        <f t="shared" si="122"/>
        <v>27.2</v>
      </c>
      <c r="AS993" s="45" t="str">
        <f t="shared" si="123"/>
        <v>基础长尾</v>
      </c>
      <c r="AT993" s="45" t="str">
        <f t="shared" si="124"/>
        <v/>
      </c>
      <c r="AU993" s="45" t="str">
        <f t="shared" si="125"/>
        <v>激活：企微+Push低成本先跑</v>
      </c>
    </row>
    <row r="994" ht="15" customHeight="1" spans="1:47">
      <c r="A994" s="30" t="s">
        <v>2733</v>
      </c>
      <c r="B994" s="31" t="s">
        <v>2734</v>
      </c>
      <c r="C994" s="31" t="s">
        <v>234</v>
      </c>
      <c r="D994" s="31" t="s">
        <v>190</v>
      </c>
      <c r="E994" s="31" t="s">
        <v>181</v>
      </c>
      <c r="F994" s="30" t="s">
        <v>1725</v>
      </c>
      <c r="G994" s="31">
        <v>3</v>
      </c>
      <c r="H994" s="31" t="s">
        <v>642</v>
      </c>
      <c r="I994" s="31" t="s">
        <v>302</v>
      </c>
      <c r="J994" s="33">
        <v>2900</v>
      </c>
      <c r="K994" s="33">
        <v>1300</v>
      </c>
      <c r="L994" s="33">
        <v>400</v>
      </c>
      <c r="M994" s="33">
        <f t="shared" si="120"/>
        <v>4600</v>
      </c>
      <c r="N994" s="34">
        <f t="shared" si="126"/>
        <v>2.41161433463561e-5</v>
      </c>
      <c r="O994" s="35">
        <f>SUM($M$2:M994)</f>
        <v>190012900</v>
      </c>
      <c r="P994" s="34">
        <f t="shared" si="127"/>
        <v>0.99616920305583</v>
      </c>
      <c r="Q994" s="37">
        <v>0.7</v>
      </c>
      <c r="R994" s="31">
        <v>2</v>
      </c>
      <c r="S994" s="31">
        <v>1</v>
      </c>
      <c r="T994" s="31">
        <v>0</v>
      </c>
      <c r="U994" s="37">
        <v>21.1</v>
      </c>
      <c r="V994" s="31">
        <v>11</v>
      </c>
      <c r="W994" s="31">
        <v>0</v>
      </c>
      <c r="X994" s="38">
        <v>38</v>
      </c>
      <c r="Y994" s="31">
        <v>1</v>
      </c>
      <c r="Z994" s="31">
        <v>0</v>
      </c>
      <c r="AA994" s="31" t="s">
        <v>199</v>
      </c>
      <c r="AB994" s="31" t="s">
        <v>220</v>
      </c>
      <c r="AC994" s="41">
        <f>IFERROR(LOOKUP(M994,打分卡!$F$7:$J$7,打分卡!$K$7:$O$7),1)</f>
        <v>1</v>
      </c>
      <c r="AD994" s="41">
        <f>IFERROR(LOOKUP(S994,打分卡!$F$8:$J$8,打分卡!$K$8:$O$8),1)</f>
        <v>1</v>
      </c>
      <c r="AE994" s="41">
        <f>IFERROR(LOOKUP(T994,打分卡!$F$9:$I$9,打分卡!$K$9:$N$9),1)</f>
        <v>1</v>
      </c>
      <c r="AF994" s="41">
        <f>IFERROR(LOOKUP(Q994,打分卡!$F$10:$J$10,打分卡!$K$10:$O$10),1)</f>
        <v>1</v>
      </c>
      <c r="AG994" s="41">
        <f>IFERROR(LOOKUP(R994,打分卡!$F$11:$J$11,打分卡!$K$11:$O$11),1)</f>
        <v>1</v>
      </c>
      <c r="AH994" s="41">
        <f>IFERROR(LOOKUP(U994,打分卡!$F$12:$J$12,打分卡!$K$12:$O$12),1)</f>
        <v>3</v>
      </c>
      <c r="AI994" s="41">
        <f>IFERROR(LOOKUP(X994,打分卡!$F$13:$J$13,打分卡!$K$13:$O$13),1)</f>
        <v>2</v>
      </c>
      <c r="AJ994" s="41">
        <f>IFERROR(LOOKUP(Y994,打分卡!$F$14:$J$14,打分卡!$K$14:$O$14),1)</f>
        <v>2</v>
      </c>
      <c r="AK994" s="41">
        <f>IFERROR(LOOKUP(W994,打分卡!$F$15:$J$15,打分卡!$K$15:$O$15),1)</f>
        <v>1</v>
      </c>
      <c r="AL994" s="43">
        <f t="shared" si="121"/>
        <v>5</v>
      </c>
      <c r="AM994" s="41">
        <f>IFERROR(LOOKUP(Z994,打分卡!$F$17:$H$17,打分卡!$K$17:$M$17),1)</f>
        <v>1</v>
      </c>
      <c r="AN994" s="44">
        <f>(打分卡!$D$7*AC994+打分卡!$D$8*AD994+打分卡!$D$9*AE994)/5</f>
        <v>8</v>
      </c>
      <c r="AO994" s="44">
        <f>(打分卡!$D$10*AF994+打分卡!$D$11*AG994)/5</f>
        <v>4</v>
      </c>
      <c r="AP994" s="44">
        <f>(打分卡!$D$12*AH994+打分卡!$D$13*AI994+打分卡!$D$14*AJ994+打分卡!$D$15*AK994)/5</f>
        <v>13.6</v>
      </c>
      <c r="AQ994" s="44">
        <f>(打分卡!$D$16*AL994+打分卡!$D$17*AM994)/5</f>
        <v>6.8</v>
      </c>
      <c r="AR994" s="47">
        <f t="shared" si="122"/>
        <v>32.4</v>
      </c>
      <c r="AS994" s="43" t="str">
        <f t="shared" si="123"/>
        <v>基础长尾</v>
      </c>
      <c r="AT994" s="43" t="str">
        <f t="shared" si="124"/>
        <v/>
      </c>
      <c r="AU994" s="43" t="str">
        <f t="shared" si="125"/>
        <v>激活：企微+Push低成本先跑</v>
      </c>
    </row>
    <row r="995" ht="15" customHeight="1" spans="1:47">
      <c r="A995" s="20" t="s">
        <v>2735</v>
      </c>
      <c r="B995" s="22" t="s">
        <v>2736</v>
      </c>
      <c r="C995" s="22" t="s">
        <v>189</v>
      </c>
      <c r="D995" s="22" t="s">
        <v>190</v>
      </c>
      <c r="E995" s="22" t="s">
        <v>181</v>
      </c>
      <c r="F995" s="20" t="s">
        <v>2737</v>
      </c>
      <c r="G995" s="22">
        <v>1</v>
      </c>
      <c r="H995" s="22" t="s">
        <v>642</v>
      </c>
      <c r="I995" s="22" t="s">
        <v>302</v>
      </c>
      <c r="J995" s="36">
        <v>2700</v>
      </c>
      <c r="K995" s="36">
        <v>1700</v>
      </c>
      <c r="L995" s="36">
        <v>200</v>
      </c>
      <c r="M995" s="36">
        <f t="shared" si="120"/>
        <v>4600</v>
      </c>
      <c r="N995" s="34">
        <f t="shared" si="126"/>
        <v>2.41161433463561e-5</v>
      </c>
      <c r="O995" s="35">
        <f>SUM($M$2:M995)</f>
        <v>190017500</v>
      </c>
      <c r="P995" s="34">
        <f t="shared" si="127"/>
        <v>0.996193319199176</v>
      </c>
      <c r="Q995" s="39">
        <v>0.4</v>
      </c>
      <c r="R995" s="22">
        <v>2</v>
      </c>
      <c r="S995" s="22">
        <v>0</v>
      </c>
      <c r="T995" s="22">
        <v>0</v>
      </c>
      <c r="U995" s="39">
        <v>5.2</v>
      </c>
      <c r="V995" s="22">
        <v>2</v>
      </c>
      <c r="W995" s="22">
        <v>1</v>
      </c>
      <c r="X995" s="40">
        <v>39</v>
      </c>
      <c r="Y995" s="22">
        <v>0</v>
      </c>
      <c r="Z995" s="22">
        <v>0</v>
      </c>
      <c r="AA995" s="22" t="s">
        <v>199</v>
      </c>
      <c r="AB995" s="22" t="s">
        <v>220</v>
      </c>
      <c r="AC995" s="42">
        <f>IFERROR(LOOKUP(M995,打分卡!$F$7:$J$7,打分卡!$K$7:$O$7),1)</f>
        <v>1</v>
      </c>
      <c r="AD995" s="42">
        <f>IFERROR(LOOKUP(S995,打分卡!$F$8:$J$8,打分卡!$K$8:$O$8),1)</f>
        <v>1</v>
      </c>
      <c r="AE995" s="42">
        <f>IFERROR(LOOKUP(T995,打分卡!$F$9:$I$9,打分卡!$K$9:$N$9),1)</f>
        <v>1</v>
      </c>
      <c r="AF995" s="42">
        <f>IFERROR(LOOKUP(Q995,打分卡!$F$10:$J$10,打分卡!$K$10:$O$10),1)</f>
        <v>1</v>
      </c>
      <c r="AG995" s="42">
        <f>IFERROR(LOOKUP(R995,打分卡!$F$11:$J$11,打分卡!$K$11:$O$11),1)</f>
        <v>1</v>
      </c>
      <c r="AH995" s="42">
        <f>IFERROR(LOOKUP(U995,打分卡!$F$12:$J$12,打分卡!$K$12:$O$12),1)</f>
        <v>2</v>
      </c>
      <c r="AI995" s="42">
        <f>IFERROR(LOOKUP(X995,打分卡!$F$13:$J$13,打分卡!$K$13:$O$13),1)</f>
        <v>3</v>
      </c>
      <c r="AJ995" s="42">
        <f>IFERROR(LOOKUP(Y995,打分卡!$F$14:$J$14,打分卡!$K$14:$O$14),1)</f>
        <v>1</v>
      </c>
      <c r="AK995" s="42">
        <f>IFERROR(LOOKUP(W995,打分卡!$F$15:$J$15,打分卡!$K$15:$O$15),1)</f>
        <v>2</v>
      </c>
      <c r="AL995" s="45">
        <f t="shared" si="121"/>
        <v>5</v>
      </c>
      <c r="AM995" s="42">
        <f>IFERROR(LOOKUP(Z995,打分卡!$F$17:$H$17,打分卡!$K$17:$M$17),1)</f>
        <v>1</v>
      </c>
      <c r="AN995" s="46">
        <f>(打分卡!$D$7*AC995+打分卡!$D$8*AD995+打分卡!$D$9*AE995)/5</f>
        <v>8</v>
      </c>
      <c r="AO995" s="46">
        <f>(打分卡!$D$10*AF995+打分卡!$D$11*AG995)/5</f>
        <v>4</v>
      </c>
      <c r="AP995" s="46">
        <f>(打分卡!$D$12*AH995+打分卡!$D$13*AI995+打分卡!$D$14*AJ995+打分卡!$D$15*AK995)/5</f>
        <v>12.4</v>
      </c>
      <c r="AQ995" s="46">
        <f>(打分卡!$D$16*AL995+打分卡!$D$17*AM995)/5</f>
        <v>6.8</v>
      </c>
      <c r="AR995" s="48">
        <f t="shared" si="122"/>
        <v>39.7333333333333</v>
      </c>
      <c r="AS995" s="45" t="str">
        <f t="shared" si="123"/>
        <v>基础长尾</v>
      </c>
      <c r="AT995" s="45" t="str">
        <f t="shared" si="124"/>
        <v/>
      </c>
      <c r="AU995" s="45" t="str">
        <f t="shared" si="125"/>
        <v>激活：企微+Push低成本先跑</v>
      </c>
    </row>
    <row r="996" ht="15" customHeight="1" spans="1:47">
      <c r="A996" s="30" t="s">
        <v>2738</v>
      </c>
      <c r="B996" s="31" t="s">
        <v>2739</v>
      </c>
      <c r="C996" s="31" t="s">
        <v>239</v>
      </c>
      <c r="D996" s="31" t="s">
        <v>235</v>
      </c>
      <c r="E996" s="31" t="s">
        <v>181</v>
      </c>
      <c r="F996" s="30" t="s">
        <v>2325</v>
      </c>
      <c r="G996" s="31">
        <v>2</v>
      </c>
      <c r="H996" s="31" t="s">
        <v>642</v>
      </c>
      <c r="I996" s="31" t="s">
        <v>302</v>
      </c>
      <c r="J996" s="33">
        <v>2200</v>
      </c>
      <c r="K996" s="33">
        <v>1400</v>
      </c>
      <c r="L996" s="33">
        <v>900</v>
      </c>
      <c r="M996" s="33">
        <f t="shared" si="120"/>
        <v>4500</v>
      </c>
      <c r="N996" s="34">
        <f t="shared" si="126"/>
        <v>2.35918793605657e-5</v>
      </c>
      <c r="O996" s="35">
        <f>SUM($M$2:M996)</f>
        <v>190022000</v>
      </c>
      <c r="P996" s="34">
        <f t="shared" si="127"/>
        <v>0.996216911078537</v>
      </c>
      <c r="Q996" s="37">
        <v>0.5</v>
      </c>
      <c r="R996" s="31">
        <v>3</v>
      </c>
      <c r="S996" s="31">
        <v>1</v>
      </c>
      <c r="T996" s="31">
        <v>0</v>
      </c>
      <c r="U996" s="37">
        <v>47.3</v>
      </c>
      <c r="V996" s="31">
        <v>3</v>
      </c>
      <c r="W996" s="31">
        <v>2</v>
      </c>
      <c r="X996" s="38">
        <v>64</v>
      </c>
      <c r="Y996" s="31">
        <v>1</v>
      </c>
      <c r="Z996" s="31">
        <v>0</v>
      </c>
      <c r="AA996" s="31" t="s">
        <v>199</v>
      </c>
      <c r="AB996" s="31" t="s">
        <v>220</v>
      </c>
      <c r="AC996" s="41">
        <f>IFERROR(LOOKUP(M996,打分卡!$F$7:$J$7,打分卡!$K$7:$O$7),1)</f>
        <v>1</v>
      </c>
      <c r="AD996" s="41">
        <f>IFERROR(LOOKUP(S996,打分卡!$F$8:$J$8,打分卡!$K$8:$O$8),1)</f>
        <v>1</v>
      </c>
      <c r="AE996" s="41">
        <f>IFERROR(LOOKUP(T996,打分卡!$F$9:$I$9,打分卡!$K$9:$N$9),1)</f>
        <v>1</v>
      </c>
      <c r="AF996" s="41">
        <f>IFERROR(LOOKUP(Q996,打分卡!$F$10:$J$10,打分卡!$K$10:$O$10),1)</f>
        <v>1</v>
      </c>
      <c r="AG996" s="41">
        <f>IFERROR(LOOKUP(R996,打分卡!$F$11:$J$11,打分卡!$K$11:$O$11),1)</f>
        <v>2</v>
      </c>
      <c r="AH996" s="41">
        <f>IFERROR(LOOKUP(U996,打分卡!$F$12:$J$12,打分卡!$K$12:$O$12),1)</f>
        <v>4</v>
      </c>
      <c r="AI996" s="41">
        <f>IFERROR(LOOKUP(X996,打分卡!$F$13:$J$13,打分卡!$K$13:$O$13),1)</f>
        <v>3</v>
      </c>
      <c r="AJ996" s="41">
        <f>IFERROR(LOOKUP(Y996,打分卡!$F$14:$J$14,打分卡!$K$14:$O$14),1)</f>
        <v>2</v>
      </c>
      <c r="AK996" s="41">
        <f>IFERROR(LOOKUP(W996,打分卡!$F$15:$J$15,打分卡!$K$15:$O$15),1)</f>
        <v>2</v>
      </c>
      <c r="AL996" s="43">
        <f t="shared" si="121"/>
        <v>5</v>
      </c>
      <c r="AM996" s="41">
        <f>IFERROR(LOOKUP(Z996,打分卡!$F$17:$H$17,打分卡!$K$17:$M$17),1)</f>
        <v>1</v>
      </c>
      <c r="AN996" s="44">
        <f>(打分卡!$D$7*AC996+打分卡!$D$8*AD996+打分卡!$D$9*AE996)/5</f>
        <v>8</v>
      </c>
      <c r="AO996" s="44">
        <f>(打分卡!$D$10*AF996+打分卡!$D$11*AG996)/5</f>
        <v>6</v>
      </c>
      <c r="AP996" s="44">
        <f>(打分卡!$D$12*AH996+打分卡!$D$13*AI996+打分卡!$D$14*AJ996+打分卡!$D$15*AK996)/5</f>
        <v>18.4</v>
      </c>
      <c r="AQ996" s="44">
        <f>(打分卡!$D$16*AL996+打分卡!$D$17*AM996)/5</f>
        <v>6.8</v>
      </c>
      <c r="AR996" s="47">
        <f t="shared" si="122"/>
        <v>55.7333333333333</v>
      </c>
      <c r="AS996" s="43" t="str">
        <f t="shared" si="123"/>
        <v>腰部</v>
      </c>
      <c r="AT996" s="43" t="str">
        <f t="shared" si="124"/>
        <v/>
      </c>
      <c r="AU996" s="43" t="str">
        <f t="shared" si="125"/>
        <v>拉·主攻：主推AI外呼+大促作战包</v>
      </c>
    </row>
    <row r="997" ht="15" customHeight="1" spans="1:47">
      <c r="A997" s="20" t="s">
        <v>2740</v>
      </c>
      <c r="B997" s="22" t="s">
        <v>2741</v>
      </c>
      <c r="C997" s="22" t="s">
        <v>195</v>
      </c>
      <c r="D997" s="22" t="s">
        <v>180</v>
      </c>
      <c r="E997" s="22" t="s">
        <v>181</v>
      </c>
      <c r="F997" s="20" t="s">
        <v>2742</v>
      </c>
      <c r="G997" s="22">
        <v>2</v>
      </c>
      <c r="H997" s="22" t="s">
        <v>642</v>
      </c>
      <c r="I997" s="22" t="s">
        <v>302</v>
      </c>
      <c r="J997" s="36">
        <v>2900</v>
      </c>
      <c r="K997" s="36">
        <v>1100</v>
      </c>
      <c r="L997" s="36">
        <v>600</v>
      </c>
      <c r="M997" s="36">
        <f t="shared" si="120"/>
        <v>4600</v>
      </c>
      <c r="N997" s="34">
        <f t="shared" si="126"/>
        <v>2.41161433463561e-5</v>
      </c>
      <c r="O997" s="35">
        <f>SUM($M$2:M997)</f>
        <v>190026600</v>
      </c>
      <c r="P997" s="34">
        <f t="shared" si="127"/>
        <v>0.996241027221883</v>
      </c>
      <c r="Q997" s="39">
        <v>0.4</v>
      </c>
      <c r="R997" s="22">
        <v>3</v>
      </c>
      <c r="S997" s="22">
        <v>0</v>
      </c>
      <c r="T997" s="22">
        <v>0</v>
      </c>
      <c r="U997" s="39">
        <v>17.5</v>
      </c>
      <c r="V997" s="22">
        <v>2</v>
      </c>
      <c r="W997" s="22">
        <v>1</v>
      </c>
      <c r="X997" s="40">
        <v>10</v>
      </c>
      <c r="Y997" s="22">
        <v>0</v>
      </c>
      <c r="Z997" s="22">
        <v>0</v>
      </c>
      <c r="AA997" s="22" t="s">
        <v>199</v>
      </c>
      <c r="AB997" s="22" t="s">
        <v>220</v>
      </c>
      <c r="AC997" s="42">
        <f>IFERROR(LOOKUP(M997,打分卡!$F$7:$J$7,打分卡!$K$7:$O$7),1)</f>
        <v>1</v>
      </c>
      <c r="AD997" s="42">
        <f>IFERROR(LOOKUP(S997,打分卡!$F$8:$J$8,打分卡!$K$8:$O$8),1)</f>
        <v>1</v>
      </c>
      <c r="AE997" s="42">
        <f>IFERROR(LOOKUP(T997,打分卡!$F$9:$I$9,打分卡!$K$9:$N$9),1)</f>
        <v>1</v>
      </c>
      <c r="AF997" s="42">
        <f>IFERROR(LOOKUP(Q997,打分卡!$F$10:$J$10,打分卡!$K$10:$O$10),1)</f>
        <v>1</v>
      </c>
      <c r="AG997" s="42">
        <f>IFERROR(LOOKUP(R997,打分卡!$F$11:$J$11,打分卡!$K$11:$O$11),1)</f>
        <v>2</v>
      </c>
      <c r="AH997" s="42">
        <f>IFERROR(LOOKUP(U997,打分卡!$F$12:$J$12,打分卡!$K$12:$O$12),1)</f>
        <v>3</v>
      </c>
      <c r="AI997" s="42">
        <f>IFERROR(LOOKUP(X997,打分卡!$F$13:$J$13,打分卡!$K$13:$O$13),1)</f>
        <v>1</v>
      </c>
      <c r="AJ997" s="42">
        <f>IFERROR(LOOKUP(Y997,打分卡!$F$14:$J$14,打分卡!$K$14:$O$14),1)</f>
        <v>1</v>
      </c>
      <c r="AK997" s="42">
        <f>IFERROR(LOOKUP(W997,打分卡!$F$15:$J$15,打分卡!$K$15:$O$15),1)</f>
        <v>2</v>
      </c>
      <c r="AL997" s="45">
        <f t="shared" si="121"/>
        <v>5</v>
      </c>
      <c r="AM997" s="42">
        <f>IFERROR(LOOKUP(Z997,打分卡!$F$17:$H$17,打分卡!$K$17:$M$17),1)</f>
        <v>1</v>
      </c>
      <c r="AN997" s="46">
        <f>(打分卡!$D$7*AC997+打分卡!$D$8*AD997+打分卡!$D$9*AE997)/5</f>
        <v>8</v>
      </c>
      <c r="AO997" s="46">
        <f>(打分卡!$D$10*AF997+打分卡!$D$11*AG997)/5</f>
        <v>6</v>
      </c>
      <c r="AP997" s="46">
        <f>(打分卡!$D$12*AH997+打分卡!$D$13*AI997+打分卡!$D$14*AJ997+打分卡!$D$15*AK997)/5</f>
        <v>11.6</v>
      </c>
      <c r="AQ997" s="46">
        <f>(打分卡!$D$16*AL997+打分卡!$D$17*AM997)/5</f>
        <v>6.8</v>
      </c>
      <c r="AR997" s="48">
        <f t="shared" si="122"/>
        <v>39.8666666666667</v>
      </c>
      <c r="AS997" s="45" t="str">
        <f t="shared" si="123"/>
        <v>基础长尾</v>
      </c>
      <c r="AT997" s="45" t="str">
        <f t="shared" si="124"/>
        <v/>
      </c>
      <c r="AU997" s="45" t="str">
        <f t="shared" si="125"/>
        <v>激活：企微+Push低成本先跑</v>
      </c>
    </row>
    <row r="998" ht="15" customHeight="1" spans="1:47">
      <c r="A998" s="30" t="s">
        <v>2743</v>
      </c>
      <c r="B998" s="31" t="s">
        <v>2744</v>
      </c>
      <c r="C998" s="31" t="s">
        <v>239</v>
      </c>
      <c r="D998" s="31" t="s">
        <v>202</v>
      </c>
      <c r="E998" s="31" t="s">
        <v>181</v>
      </c>
      <c r="F998" s="30" t="s">
        <v>1560</v>
      </c>
      <c r="G998" s="31">
        <v>1</v>
      </c>
      <c r="H998" s="31" t="s">
        <v>642</v>
      </c>
      <c r="I998" s="31" t="s">
        <v>302</v>
      </c>
      <c r="J998" s="33">
        <v>2100</v>
      </c>
      <c r="K998" s="33">
        <v>1300</v>
      </c>
      <c r="L998" s="33">
        <v>1000</v>
      </c>
      <c r="M998" s="33">
        <f t="shared" si="120"/>
        <v>4400</v>
      </c>
      <c r="N998" s="34">
        <f t="shared" si="126"/>
        <v>2.30676153747754e-5</v>
      </c>
      <c r="O998" s="35">
        <f>SUM($M$2:M998)</f>
        <v>190031000</v>
      </c>
      <c r="P998" s="34">
        <f t="shared" si="127"/>
        <v>0.996264094837258</v>
      </c>
      <c r="Q998" s="37">
        <v>0.2</v>
      </c>
      <c r="R998" s="31">
        <v>2</v>
      </c>
      <c r="S998" s="31">
        <v>1</v>
      </c>
      <c r="T998" s="31">
        <v>0</v>
      </c>
      <c r="U998" s="37">
        <v>5.5</v>
      </c>
      <c r="V998" s="31">
        <v>2</v>
      </c>
      <c r="W998" s="31">
        <v>2</v>
      </c>
      <c r="X998" s="38">
        <v>6</v>
      </c>
      <c r="Y998" s="31">
        <v>0</v>
      </c>
      <c r="Z998" s="31">
        <v>0</v>
      </c>
      <c r="AA998" s="31" t="s">
        <v>199</v>
      </c>
      <c r="AB998" s="31" t="s">
        <v>220</v>
      </c>
      <c r="AC998" s="41">
        <f>IFERROR(LOOKUP(M998,打分卡!$F$7:$J$7,打分卡!$K$7:$O$7),1)</f>
        <v>1</v>
      </c>
      <c r="AD998" s="41">
        <f>IFERROR(LOOKUP(S998,打分卡!$F$8:$J$8,打分卡!$K$8:$O$8),1)</f>
        <v>1</v>
      </c>
      <c r="AE998" s="41">
        <f>IFERROR(LOOKUP(T998,打分卡!$F$9:$I$9,打分卡!$K$9:$N$9),1)</f>
        <v>1</v>
      </c>
      <c r="AF998" s="41">
        <f>IFERROR(LOOKUP(Q998,打分卡!$F$10:$J$10,打分卡!$K$10:$O$10),1)</f>
        <v>1</v>
      </c>
      <c r="AG998" s="41">
        <f>IFERROR(LOOKUP(R998,打分卡!$F$11:$J$11,打分卡!$K$11:$O$11),1)</f>
        <v>1</v>
      </c>
      <c r="AH998" s="41">
        <f>IFERROR(LOOKUP(U998,打分卡!$F$12:$J$12,打分卡!$K$12:$O$12),1)</f>
        <v>2</v>
      </c>
      <c r="AI998" s="41">
        <f>IFERROR(LOOKUP(X998,打分卡!$F$13:$J$13,打分卡!$K$13:$O$13),1)</f>
        <v>1</v>
      </c>
      <c r="AJ998" s="41">
        <f>IFERROR(LOOKUP(Y998,打分卡!$F$14:$J$14,打分卡!$K$14:$O$14),1)</f>
        <v>1</v>
      </c>
      <c r="AK998" s="41">
        <f>IFERROR(LOOKUP(W998,打分卡!$F$15:$J$15,打分卡!$K$15:$O$15),1)</f>
        <v>2</v>
      </c>
      <c r="AL998" s="43">
        <f t="shared" si="121"/>
        <v>5</v>
      </c>
      <c r="AM998" s="41">
        <f>IFERROR(LOOKUP(Z998,打分卡!$F$17:$H$17,打分卡!$K$17:$M$17),1)</f>
        <v>1</v>
      </c>
      <c r="AN998" s="44">
        <f>(打分卡!$D$7*AC998+打分卡!$D$8*AD998+打分卡!$D$9*AE998)/5</f>
        <v>8</v>
      </c>
      <c r="AO998" s="44">
        <f>(打分卡!$D$10*AF998+打分卡!$D$11*AG998)/5</f>
        <v>4</v>
      </c>
      <c r="AP998" s="44">
        <f>(打分卡!$D$12*AH998+打分卡!$D$13*AI998+打分卡!$D$14*AJ998+打分卡!$D$15*AK998)/5</f>
        <v>9.2</v>
      </c>
      <c r="AQ998" s="44">
        <f>(打分卡!$D$16*AL998+打分卡!$D$17*AM998)/5</f>
        <v>6.8</v>
      </c>
      <c r="AR998" s="47">
        <f t="shared" si="122"/>
        <v>32.2666666666667</v>
      </c>
      <c r="AS998" s="43" t="str">
        <f t="shared" si="123"/>
        <v>基础长尾</v>
      </c>
      <c r="AT998" s="43" t="str">
        <f t="shared" si="124"/>
        <v/>
      </c>
      <c r="AU998" s="43" t="str">
        <f t="shared" si="125"/>
        <v>激活：企微+Push低成本先跑</v>
      </c>
    </row>
    <row r="999" ht="15" customHeight="1" spans="1:47">
      <c r="A999" s="20" t="s">
        <v>2745</v>
      </c>
      <c r="B999" s="22" t="s">
        <v>2746</v>
      </c>
      <c r="C999" s="22" t="s">
        <v>189</v>
      </c>
      <c r="D999" s="22" t="s">
        <v>202</v>
      </c>
      <c r="E999" s="22" t="s">
        <v>181</v>
      </c>
      <c r="F999" s="20" t="s">
        <v>2747</v>
      </c>
      <c r="G999" s="22">
        <v>2</v>
      </c>
      <c r="H999" s="22" t="s">
        <v>642</v>
      </c>
      <c r="I999" s="22" t="s">
        <v>302</v>
      </c>
      <c r="J999" s="36">
        <v>2500</v>
      </c>
      <c r="K999" s="36">
        <v>1100</v>
      </c>
      <c r="L999" s="36">
        <v>900</v>
      </c>
      <c r="M999" s="36">
        <f t="shared" si="120"/>
        <v>4500</v>
      </c>
      <c r="N999" s="34">
        <f t="shared" si="126"/>
        <v>2.35918793605657e-5</v>
      </c>
      <c r="O999" s="35">
        <f>SUM($M$2:M999)</f>
        <v>190035500</v>
      </c>
      <c r="P999" s="34">
        <f t="shared" si="127"/>
        <v>0.996287686716618</v>
      </c>
      <c r="Q999" s="39">
        <v>0.6</v>
      </c>
      <c r="R999" s="22">
        <v>2</v>
      </c>
      <c r="S999" s="22">
        <v>1</v>
      </c>
      <c r="T999" s="22">
        <v>0</v>
      </c>
      <c r="U999" s="39">
        <v>2.9</v>
      </c>
      <c r="V999" s="22">
        <v>1</v>
      </c>
      <c r="W999" s="22">
        <v>2</v>
      </c>
      <c r="X999" s="40">
        <v>7</v>
      </c>
      <c r="Y999" s="22">
        <v>1</v>
      </c>
      <c r="Z999" s="22">
        <v>0</v>
      </c>
      <c r="AA999" s="22" t="s">
        <v>199</v>
      </c>
      <c r="AB999" s="22" t="s">
        <v>220</v>
      </c>
      <c r="AC999" s="42">
        <f>IFERROR(LOOKUP(M999,打分卡!$F$7:$J$7,打分卡!$K$7:$O$7),1)</f>
        <v>1</v>
      </c>
      <c r="AD999" s="42">
        <f>IFERROR(LOOKUP(S999,打分卡!$F$8:$J$8,打分卡!$K$8:$O$8),1)</f>
        <v>1</v>
      </c>
      <c r="AE999" s="42">
        <f>IFERROR(LOOKUP(T999,打分卡!$F$9:$I$9,打分卡!$K$9:$N$9),1)</f>
        <v>1</v>
      </c>
      <c r="AF999" s="42">
        <f>IFERROR(LOOKUP(Q999,打分卡!$F$10:$J$10,打分卡!$K$10:$O$10),1)</f>
        <v>1</v>
      </c>
      <c r="AG999" s="42">
        <f>IFERROR(LOOKUP(R999,打分卡!$F$11:$J$11,打分卡!$K$11:$O$11),1)</f>
        <v>1</v>
      </c>
      <c r="AH999" s="42">
        <f>IFERROR(LOOKUP(U999,打分卡!$F$12:$J$12,打分卡!$K$12:$O$12),1)</f>
        <v>2</v>
      </c>
      <c r="AI999" s="42">
        <f>IFERROR(LOOKUP(X999,打分卡!$F$13:$J$13,打分卡!$K$13:$O$13),1)</f>
        <v>1</v>
      </c>
      <c r="AJ999" s="42">
        <f>IFERROR(LOOKUP(Y999,打分卡!$F$14:$J$14,打分卡!$K$14:$O$14),1)</f>
        <v>2</v>
      </c>
      <c r="AK999" s="42">
        <f>IFERROR(LOOKUP(W999,打分卡!$F$15:$J$15,打分卡!$K$15:$O$15),1)</f>
        <v>2</v>
      </c>
      <c r="AL999" s="45">
        <f t="shared" si="121"/>
        <v>5</v>
      </c>
      <c r="AM999" s="42">
        <f>IFERROR(LOOKUP(Z999,打分卡!$F$17:$H$17,打分卡!$K$17:$M$17),1)</f>
        <v>1</v>
      </c>
      <c r="AN999" s="46">
        <f>(打分卡!$D$7*AC999+打分卡!$D$8*AD999+打分卡!$D$9*AE999)/5</f>
        <v>8</v>
      </c>
      <c r="AO999" s="46">
        <f>(打分卡!$D$10*AF999+打分卡!$D$11*AG999)/5</f>
        <v>4</v>
      </c>
      <c r="AP999" s="46">
        <f>(打分卡!$D$12*AH999+打分卡!$D$13*AI999+打分卡!$D$14*AJ999+打分卡!$D$15*AK999)/5</f>
        <v>10.4</v>
      </c>
      <c r="AQ999" s="46">
        <f>(打分卡!$D$16*AL999+打分卡!$D$17*AM999)/5</f>
        <v>6.8</v>
      </c>
      <c r="AR999" s="48">
        <f t="shared" si="122"/>
        <v>35.0666666666667</v>
      </c>
      <c r="AS999" s="45" t="str">
        <f t="shared" si="123"/>
        <v>基础长尾</v>
      </c>
      <c r="AT999" s="45" t="str">
        <f t="shared" si="124"/>
        <v/>
      </c>
      <c r="AU999" s="45" t="str">
        <f t="shared" si="125"/>
        <v>激活：企微+Push低成本先跑</v>
      </c>
    </row>
    <row r="1000" ht="15" customHeight="1" spans="1:47">
      <c r="A1000" s="30" t="s">
        <v>2748</v>
      </c>
      <c r="B1000" s="31" t="s">
        <v>2749</v>
      </c>
      <c r="C1000" s="31" t="s">
        <v>218</v>
      </c>
      <c r="D1000" s="31" t="s">
        <v>196</v>
      </c>
      <c r="E1000" s="31" t="s">
        <v>181</v>
      </c>
      <c r="F1000" s="30" t="s">
        <v>931</v>
      </c>
      <c r="G1000" s="31">
        <v>3</v>
      </c>
      <c r="H1000" s="31" t="s">
        <v>642</v>
      </c>
      <c r="I1000" s="31" t="s">
        <v>302</v>
      </c>
      <c r="J1000" s="33">
        <v>2500</v>
      </c>
      <c r="K1000" s="33">
        <v>1200</v>
      </c>
      <c r="L1000" s="33">
        <v>700</v>
      </c>
      <c r="M1000" s="33">
        <f t="shared" si="120"/>
        <v>4400</v>
      </c>
      <c r="N1000" s="34">
        <f t="shared" si="126"/>
        <v>2.30676153747754e-5</v>
      </c>
      <c r="O1000" s="35">
        <f>SUM($M$2:M1000)</f>
        <v>190039900</v>
      </c>
      <c r="P1000" s="34">
        <f t="shared" si="127"/>
        <v>0.996310754331993</v>
      </c>
      <c r="Q1000" s="37">
        <v>0.4</v>
      </c>
      <c r="R1000" s="31">
        <v>2</v>
      </c>
      <c r="S1000" s="31">
        <v>0</v>
      </c>
      <c r="T1000" s="31">
        <v>0</v>
      </c>
      <c r="U1000" s="37">
        <v>1.7</v>
      </c>
      <c r="V1000" s="31">
        <v>10</v>
      </c>
      <c r="W1000" s="31">
        <v>0</v>
      </c>
      <c r="X1000" s="38">
        <v>7</v>
      </c>
      <c r="Y1000" s="31">
        <v>1</v>
      </c>
      <c r="Z1000" s="31">
        <v>0</v>
      </c>
      <c r="AA1000" s="31" t="s">
        <v>199</v>
      </c>
      <c r="AB1000" s="31" t="s">
        <v>220</v>
      </c>
      <c r="AC1000" s="41">
        <f>IFERROR(LOOKUP(M1000,打分卡!$F$7:$J$7,打分卡!$K$7:$O$7),1)</f>
        <v>1</v>
      </c>
      <c r="AD1000" s="41">
        <f>IFERROR(LOOKUP(S1000,打分卡!$F$8:$J$8,打分卡!$K$8:$O$8),1)</f>
        <v>1</v>
      </c>
      <c r="AE1000" s="41">
        <f>IFERROR(LOOKUP(T1000,打分卡!$F$9:$I$9,打分卡!$K$9:$N$9),1)</f>
        <v>1</v>
      </c>
      <c r="AF1000" s="41">
        <f>IFERROR(LOOKUP(Q1000,打分卡!$F$10:$J$10,打分卡!$K$10:$O$10),1)</f>
        <v>1</v>
      </c>
      <c r="AG1000" s="41">
        <f>IFERROR(LOOKUP(R1000,打分卡!$F$11:$J$11,打分卡!$K$11:$O$11),1)</f>
        <v>1</v>
      </c>
      <c r="AH1000" s="41">
        <f>IFERROR(LOOKUP(U1000,打分卡!$F$12:$J$12,打分卡!$K$12:$O$12),1)</f>
        <v>1</v>
      </c>
      <c r="AI1000" s="41">
        <f>IFERROR(LOOKUP(X1000,打分卡!$F$13:$J$13,打分卡!$K$13:$O$13),1)</f>
        <v>1</v>
      </c>
      <c r="AJ1000" s="41">
        <f>IFERROR(LOOKUP(Y1000,打分卡!$F$14:$J$14,打分卡!$K$14:$O$14),1)</f>
        <v>2</v>
      </c>
      <c r="AK1000" s="41">
        <f>IFERROR(LOOKUP(W1000,打分卡!$F$15:$J$15,打分卡!$K$15:$O$15),1)</f>
        <v>1</v>
      </c>
      <c r="AL1000" s="43">
        <f t="shared" si="121"/>
        <v>5</v>
      </c>
      <c r="AM1000" s="41">
        <f>IFERROR(LOOKUP(Z1000,打分卡!$F$17:$H$17,打分卡!$K$17:$M$17),1)</f>
        <v>1</v>
      </c>
      <c r="AN1000" s="44">
        <f>(打分卡!$D$7*AC1000+打分卡!$D$8*AD1000+打分卡!$D$9*AE1000)/5</f>
        <v>8</v>
      </c>
      <c r="AO1000" s="44">
        <f>(打分卡!$D$10*AF1000+打分卡!$D$11*AG1000)/5</f>
        <v>4</v>
      </c>
      <c r="AP1000" s="44">
        <f>(打分卡!$D$12*AH1000+打分卡!$D$13*AI1000+打分卡!$D$14*AJ1000+打分卡!$D$15*AK1000)/5</f>
        <v>7.2</v>
      </c>
      <c r="AQ1000" s="44">
        <f>(打分卡!$D$16*AL1000+打分卡!$D$17*AM1000)/5</f>
        <v>6.8</v>
      </c>
      <c r="AR1000" s="47">
        <f t="shared" si="122"/>
        <v>26</v>
      </c>
      <c r="AS1000" s="43" t="str">
        <f t="shared" si="123"/>
        <v>基础长尾</v>
      </c>
      <c r="AT1000" s="43" t="str">
        <f t="shared" si="124"/>
        <v/>
      </c>
      <c r="AU1000" s="43" t="str">
        <f t="shared" si="125"/>
        <v>激活：企微+Push低成本先跑</v>
      </c>
    </row>
    <row r="1001" ht="15" customHeight="1" spans="1:47">
      <c r="A1001" s="20" t="s">
        <v>2750</v>
      </c>
      <c r="B1001" s="22" t="s">
        <v>2751</v>
      </c>
      <c r="C1001" s="22" t="s">
        <v>218</v>
      </c>
      <c r="D1001" s="22" t="s">
        <v>202</v>
      </c>
      <c r="E1001" s="22" t="s">
        <v>181</v>
      </c>
      <c r="F1001" s="20" t="s">
        <v>2752</v>
      </c>
      <c r="G1001" s="22">
        <v>2</v>
      </c>
      <c r="H1001" s="22" t="s">
        <v>642</v>
      </c>
      <c r="I1001" s="22" t="s">
        <v>302</v>
      </c>
      <c r="J1001" s="36">
        <v>2500</v>
      </c>
      <c r="K1001" s="36">
        <v>1300</v>
      </c>
      <c r="L1001" s="36">
        <v>600</v>
      </c>
      <c r="M1001" s="36">
        <f t="shared" si="120"/>
        <v>4400</v>
      </c>
      <c r="N1001" s="34">
        <f t="shared" si="126"/>
        <v>2.30676153747754e-5</v>
      </c>
      <c r="O1001" s="35">
        <f>SUM($M$2:M1001)</f>
        <v>190044300</v>
      </c>
      <c r="P1001" s="34">
        <f t="shared" si="127"/>
        <v>0.996333821947368</v>
      </c>
      <c r="Q1001" s="39">
        <v>0.4</v>
      </c>
      <c r="R1001" s="22">
        <v>2</v>
      </c>
      <c r="S1001" s="22">
        <v>0</v>
      </c>
      <c r="T1001" s="22">
        <v>0</v>
      </c>
      <c r="U1001" s="39">
        <v>5.2</v>
      </c>
      <c r="V1001" s="22">
        <v>8</v>
      </c>
      <c r="W1001" s="22">
        <v>1</v>
      </c>
      <c r="X1001" s="40">
        <v>14</v>
      </c>
      <c r="Y1001" s="22">
        <v>1</v>
      </c>
      <c r="Z1001" s="22">
        <v>0</v>
      </c>
      <c r="AA1001" s="22" t="s">
        <v>199</v>
      </c>
      <c r="AB1001" s="22" t="s">
        <v>220</v>
      </c>
      <c r="AC1001" s="42">
        <f>IFERROR(LOOKUP(M1001,打分卡!$F$7:$J$7,打分卡!$K$7:$O$7),1)</f>
        <v>1</v>
      </c>
      <c r="AD1001" s="42">
        <f>IFERROR(LOOKUP(S1001,打分卡!$F$8:$J$8,打分卡!$K$8:$O$8),1)</f>
        <v>1</v>
      </c>
      <c r="AE1001" s="42">
        <f>IFERROR(LOOKUP(T1001,打分卡!$F$9:$I$9,打分卡!$K$9:$N$9),1)</f>
        <v>1</v>
      </c>
      <c r="AF1001" s="42">
        <f>IFERROR(LOOKUP(Q1001,打分卡!$F$10:$J$10,打分卡!$K$10:$O$10),1)</f>
        <v>1</v>
      </c>
      <c r="AG1001" s="42">
        <f>IFERROR(LOOKUP(R1001,打分卡!$F$11:$J$11,打分卡!$K$11:$O$11),1)</f>
        <v>1</v>
      </c>
      <c r="AH1001" s="42">
        <f>IFERROR(LOOKUP(U1001,打分卡!$F$12:$J$12,打分卡!$K$12:$O$12),1)</f>
        <v>2</v>
      </c>
      <c r="AI1001" s="42">
        <f>IFERROR(LOOKUP(X1001,打分卡!$F$13:$J$13,打分卡!$K$13:$O$13),1)</f>
        <v>1</v>
      </c>
      <c r="AJ1001" s="42">
        <f>IFERROR(LOOKUP(Y1001,打分卡!$F$14:$J$14,打分卡!$K$14:$O$14),1)</f>
        <v>2</v>
      </c>
      <c r="AK1001" s="42">
        <f>IFERROR(LOOKUP(W1001,打分卡!$F$15:$J$15,打分卡!$K$15:$O$15),1)</f>
        <v>2</v>
      </c>
      <c r="AL1001" s="45">
        <f t="shared" si="121"/>
        <v>5</v>
      </c>
      <c r="AM1001" s="42">
        <f>IFERROR(LOOKUP(Z1001,打分卡!$F$17:$H$17,打分卡!$K$17:$M$17),1)</f>
        <v>1</v>
      </c>
      <c r="AN1001" s="46">
        <f>(打分卡!$D$7*AC1001+打分卡!$D$8*AD1001+打分卡!$D$9*AE1001)/5</f>
        <v>8</v>
      </c>
      <c r="AO1001" s="46">
        <f>(打分卡!$D$10*AF1001+打分卡!$D$11*AG1001)/5</f>
        <v>4</v>
      </c>
      <c r="AP1001" s="46">
        <f>(打分卡!$D$12*AH1001+打分卡!$D$13*AI1001+打分卡!$D$14*AJ1001+打分卡!$D$15*AK1001)/5</f>
        <v>10.4</v>
      </c>
      <c r="AQ1001" s="46">
        <f>(打分卡!$D$16*AL1001+打分卡!$D$17*AM1001)/5</f>
        <v>6.8</v>
      </c>
      <c r="AR1001" s="48">
        <f t="shared" si="122"/>
        <v>35.0666666666667</v>
      </c>
      <c r="AS1001" s="45" t="str">
        <f t="shared" si="123"/>
        <v>基础长尾</v>
      </c>
      <c r="AT1001" s="45" t="str">
        <f t="shared" si="124"/>
        <v/>
      </c>
      <c r="AU1001" s="45" t="str">
        <f t="shared" si="125"/>
        <v>激活：企微+Push低成本先跑</v>
      </c>
    </row>
    <row r="1002" ht="15" customHeight="1" spans="1:47">
      <c r="A1002" s="30" t="s">
        <v>2753</v>
      </c>
      <c r="B1002" s="31" t="s">
        <v>2754</v>
      </c>
      <c r="C1002" s="31" t="s">
        <v>223</v>
      </c>
      <c r="D1002" s="31" t="s">
        <v>235</v>
      </c>
      <c r="E1002" s="31" t="s">
        <v>181</v>
      </c>
      <c r="F1002" s="30" t="s">
        <v>2755</v>
      </c>
      <c r="G1002" s="31">
        <v>3</v>
      </c>
      <c r="H1002" s="31" t="s">
        <v>642</v>
      </c>
      <c r="I1002" s="31" t="s">
        <v>302</v>
      </c>
      <c r="J1002" s="33">
        <v>2000</v>
      </c>
      <c r="K1002" s="33">
        <v>1200</v>
      </c>
      <c r="L1002" s="33">
        <v>1100</v>
      </c>
      <c r="M1002" s="33">
        <f t="shared" si="120"/>
        <v>4300</v>
      </c>
      <c r="N1002" s="34">
        <f t="shared" si="126"/>
        <v>2.2543351388985e-5</v>
      </c>
      <c r="O1002" s="35">
        <f>SUM($M$2:M1002)</f>
        <v>190048600</v>
      </c>
      <c r="P1002" s="34">
        <f t="shared" si="127"/>
        <v>0.996356365298757</v>
      </c>
      <c r="Q1002" s="37">
        <v>0.6</v>
      </c>
      <c r="R1002" s="31">
        <v>2</v>
      </c>
      <c r="S1002" s="31">
        <v>0</v>
      </c>
      <c r="T1002" s="31">
        <v>0</v>
      </c>
      <c r="U1002" s="37">
        <v>27.5</v>
      </c>
      <c r="V1002" s="31">
        <v>10</v>
      </c>
      <c r="W1002" s="31">
        <v>1</v>
      </c>
      <c r="X1002" s="38">
        <v>19</v>
      </c>
      <c r="Y1002" s="31">
        <v>0</v>
      </c>
      <c r="Z1002" s="31">
        <v>0</v>
      </c>
      <c r="AA1002" s="31" t="s">
        <v>199</v>
      </c>
      <c r="AB1002" s="31" t="s">
        <v>220</v>
      </c>
      <c r="AC1002" s="41">
        <f>IFERROR(LOOKUP(M1002,打分卡!$F$7:$J$7,打分卡!$K$7:$O$7),1)</f>
        <v>1</v>
      </c>
      <c r="AD1002" s="41">
        <f>IFERROR(LOOKUP(S1002,打分卡!$F$8:$J$8,打分卡!$K$8:$O$8),1)</f>
        <v>1</v>
      </c>
      <c r="AE1002" s="41">
        <f>IFERROR(LOOKUP(T1002,打分卡!$F$9:$I$9,打分卡!$K$9:$N$9),1)</f>
        <v>1</v>
      </c>
      <c r="AF1002" s="41">
        <f>IFERROR(LOOKUP(Q1002,打分卡!$F$10:$J$10,打分卡!$K$10:$O$10),1)</f>
        <v>1</v>
      </c>
      <c r="AG1002" s="41">
        <f>IFERROR(LOOKUP(R1002,打分卡!$F$11:$J$11,打分卡!$K$11:$O$11),1)</f>
        <v>1</v>
      </c>
      <c r="AH1002" s="41">
        <f>IFERROR(LOOKUP(U1002,打分卡!$F$12:$J$12,打分卡!$K$12:$O$12),1)</f>
        <v>3</v>
      </c>
      <c r="AI1002" s="41">
        <f>IFERROR(LOOKUP(X1002,打分卡!$F$13:$J$13,打分卡!$K$13:$O$13),1)</f>
        <v>2</v>
      </c>
      <c r="AJ1002" s="41">
        <f>IFERROR(LOOKUP(Y1002,打分卡!$F$14:$J$14,打分卡!$K$14:$O$14),1)</f>
        <v>1</v>
      </c>
      <c r="AK1002" s="41">
        <f>IFERROR(LOOKUP(W1002,打分卡!$F$15:$J$15,打分卡!$K$15:$O$15),1)</f>
        <v>2</v>
      </c>
      <c r="AL1002" s="43">
        <f t="shared" si="121"/>
        <v>5</v>
      </c>
      <c r="AM1002" s="41">
        <f>IFERROR(LOOKUP(Z1002,打分卡!$F$17:$H$17,打分卡!$K$17:$M$17),1)</f>
        <v>1</v>
      </c>
      <c r="AN1002" s="44">
        <f>(打分卡!$D$7*AC1002+打分卡!$D$8*AD1002+打分卡!$D$9*AE1002)/5</f>
        <v>8</v>
      </c>
      <c r="AO1002" s="44">
        <f>(打分卡!$D$10*AF1002+打分卡!$D$11*AG1002)/5</f>
        <v>4</v>
      </c>
      <c r="AP1002" s="44">
        <f>(打分卡!$D$12*AH1002+打分卡!$D$13*AI1002+打分卡!$D$14*AJ1002+打分卡!$D$15*AK1002)/5</f>
        <v>13.2</v>
      </c>
      <c r="AQ1002" s="44">
        <f>(打分卡!$D$16*AL1002+打分卡!$D$17*AM1002)/5</f>
        <v>6.8</v>
      </c>
      <c r="AR1002" s="47">
        <f t="shared" si="122"/>
        <v>32</v>
      </c>
      <c r="AS1002" s="43" t="str">
        <f t="shared" si="123"/>
        <v>基础长尾</v>
      </c>
      <c r="AT1002" s="43" t="str">
        <f t="shared" si="124"/>
        <v/>
      </c>
      <c r="AU1002" s="43" t="str">
        <f t="shared" si="125"/>
        <v>激活：企微+Push低成本先跑</v>
      </c>
    </row>
    <row r="1003" ht="15" customHeight="1" spans="1:47">
      <c r="A1003" s="20" t="s">
        <v>2756</v>
      </c>
      <c r="B1003" s="22" t="s">
        <v>2757</v>
      </c>
      <c r="C1003" s="22" t="s">
        <v>239</v>
      </c>
      <c r="D1003" s="22" t="s">
        <v>196</v>
      </c>
      <c r="E1003" s="22" t="s">
        <v>181</v>
      </c>
      <c r="F1003" s="20" t="s">
        <v>2758</v>
      </c>
      <c r="G1003" s="22">
        <v>1</v>
      </c>
      <c r="H1003" s="22" t="s">
        <v>642</v>
      </c>
      <c r="I1003" s="22" t="s">
        <v>302</v>
      </c>
      <c r="J1003" s="36">
        <v>2100</v>
      </c>
      <c r="K1003" s="36">
        <v>1400</v>
      </c>
      <c r="L1003" s="36">
        <v>900</v>
      </c>
      <c r="M1003" s="36">
        <f t="shared" si="120"/>
        <v>4400</v>
      </c>
      <c r="N1003" s="34">
        <f t="shared" si="126"/>
        <v>2.30676153747754e-5</v>
      </c>
      <c r="O1003" s="35">
        <f>SUM($M$2:M1003)</f>
        <v>190053000</v>
      </c>
      <c r="P1003" s="34">
        <f t="shared" si="127"/>
        <v>0.996379432914132</v>
      </c>
      <c r="Q1003" s="39">
        <v>0.3</v>
      </c>
      <c r="R1003" s="22">
        <v>1</v>
      </c>
      <c r="S1003" s="22">
        <v>0</v>
      </c>
      <c r="T1003" s="22">
        <v>0</v>
      </c>
      <c r="U1003" s="39">
        <v>20</v>
      </c>
      <c r="V1003" s="22">
        <v>7</v>
      </c>
      <c r="W1003" s="22">
        <v>2</v>
      </c>
      <c r="X1003" s="40">
        <v>22</v>
      </c>
      <c r="Y1003" s="22">
        <v>0</v>
      </c>
      <c r="Z1003" s="22">
        <v>0</v>
      </c>
      <c r="AA1003" s="22" t="s">
        <v>199</v>
      </c>
      <c r="AB1003" s="22" t="s">
        <v>220</v>
      </c>
      <c r="AC1003" s="42">
        <f>IFERROR(LOOKUP(M1003,打分卡!$F$7:$J$7,打分卡!$K$7:$O$7),1)</f>
        <v>1</v>
      </c>
      <c r="AD1003" s="42">
        <f>IFERROR(LOOKUP(S1003,打分卡!$F$8:$J$8,打分卡!$K$8:$O$8),1)</f>
        <v>1</v>
      </c>
      <c r="AE1003" s="42">
        <f>IFERROR(LOOKUP(T1003,打分卡!$F$9:$I$9,打分卡!$K$9:$N$9),1)</f>
        <v>1</v>
      </c>
      <c r="AF1003" s="42">
        <f>IFERROR(LOOKUP(Q1003,打分卡!$F$10:$J$10,打分卡!$K$10:$O$10),1)</f>
        <v>1</v>
      </c>
      <c r="AG1003" s="42">
        <f>IFERROR(LOOKUP(R1003,打分卡!$F$11:$J$11,打分卡!$K$11:$O$11),1)</f>
        <v>1</v>
      </c>
      <c r="AH1003" s="42">
        <f>IFERROR(LOOKUP(U1003,打分卡!$F$12:$J$12,打分卡!$K$12:$O$12),1)</f>
        <v>3</v>
      </c>
      <c r="AI1003" s="42">
        <f>IFERROR(LOOKUP(X1003,打分卡!$F$13:$J$13,打分卡!$K$13:$O$13),1)</f>
        <v>2</v>
      </c>
      <c r="AJ1003" s="42">
        <f>IFERROR(LOOKUP(Y1003,打分卡!$F$14:$J$14,打分卡!$K$14:$O$14),1)</f>
        <v>1</v>
      </c>
      <c r="AK1003" s="42">
        <f>IFERROR(LOOKUP(W1003,打分卡!$F$15:$J$15,打分卡!$K$15:$O$15),1)</f>
        <v>2</v>
      </c>
      <c r="AL1003" s="45">
        <f t="shared" si="121"/>
        <v>5</v>
      </c>
      <c r="AM1003" s="42">
        <f>IFERROR(LOOKUP(Z1003,打分卡!$F$17:$H$17,打分卡!$K$17:$M$17),1)</f>
        <v>1</v>
      </c>
      <c r="AN1003" s="46">
        <f>(打分卡!$D$7*AC1003+打分卡!$D$8*AD1003+打分卡!$D$9*AE1003)/5</f>
        <v>8</v>
      </c>
      <c r="AO1003" s="46">
        <f>(打分卡!$D$10*AF1003+打分卡!$D$11*AG1003)/5</f>
        <v>4</v>
      </c>
      <c r="AP1003" s="46">
        <f>(打分卡!$D$12*AH1003+打分卡!$D$13*AI1003+打分卡!$D$14*AJ1003+打分卡!$D$15*AK1003)/5</f>
        <v>13.2</v>
      </c>
      <c r="AQ1003" s="46">
        <f>(打分卡!$D$16*AL1003+打分卡!$D$17*AM1003)/5</f>
        <v>6.8</v>
      </c>
      <c r="AR1003" s="48">
        <f t="shared" si="122"/>
        <v>41.6</v>
      </c>
      <c r="AS1003" s="45" t="str">
        <f t="shared" si="123"/>
        <v>腰部</v>
      </c>
      <c r="AT1003" s="45" t="str">
        <f t="shared" si="124"/>
        <v/>
      </c>
      <c r="AU1003" s="45" t="str">
        <f t="shared" si="125"/>
        <v>拉·主攻：主推AI外呼+大促作战包</v>
      </c>
    </row>
    <row r="1004" ht="15" customHeight="1" spans="1:47">
      <c r="A1004" s="30" t="s">
        <v>2759</v>
      </c>
      <c r="B1004" s="31" t="s">
        <v>2760</v>
      </c>
      <c r="C1004" s="31" t="s">
        <v>189</v>
      </c>
      <c r="D1004" s="31" t="s">
        <v>202</v>
      </c>
      <c r="E1004" s="31" t="s">
        <v>181</v>
      </c>
      <c r="F1004" s="30" t="s">
        <v>1489</v>
      </c>
      <c r="G1004" s="31">
        <v>1</v>
      </c>
      <c r="H1004" s="31" t="s">
        <v>642</v>
      </c>
      <c r="I1004" s="31" t="s">
        <v>302</v>
      </c>
      <c r="J1004" s="33">
        <v>2700</v>
      </c>
      <c r="K1004" s="33">
        <v>1300</v>
      </c>
      <c r="L1004" s="33">
        <v>300</v>
      </c>
      <c r="M1004" s="33">
        <f t="shared" si="120"/>
        <v>4300</v>
      </c>
      <c r="N1004" s="34">
        <f t="shared" si="126"/>
        <v>2.2543351388985e-5</v>
      </c>
      <c r="O1004" s="35">
        <f>SUM($M$2:M1004)</f>
        <v>190057300</v>
      </c>
      <c r="P1004" s="34">
        <f t="shared" si="127"/>
        <v>0.996401976265521</v>
      </c>
      <c r="Q1004" s="37">
        <v>0.2</v>
      </c>
      <c r="R1004" s="31">
        <v>2</v>
      </c>
      <c r="S1004" s="31">
        <v>1</v>
      </c>
      <c r="T1004" s="31">
        <v>0</v>
      </c>
      <c r="U1004" s="37">
        <v>17.9</v>
      </c>
      <c r="V1004" s="31">
        <v>6</v>
      </c>
      <c r="W1004" s="31">
        <v>0</v>
      </c>
      <c r="X1004" s="38">
        <v>17</v>
      </c>
      <c r="Y1004" s="31">
        <v>0</v>
      </c>
      <c r="Z1004" s="31">
        <v>0</v>
      </c>
      <c r="AA1004" s="31" t="s">
        <v>199</v>
      </c>
      <c r="AB1004" s="31" t="s">
        <v>220</v>
      </c>
      <c r="AC1004" s="41">
        <f>IFERROR(LOOKUP(M1004,打分卡!$F$7:$J$7,打分卡!$K$7:$O$7),1)</f>
        <v>1</v>
      </c>
      <c r="AD1004" s="41">
        <f>IFERROR(LOOKUP(S1004,打分卡!$F$8:$J$8,打分卡!$K$8:$O$8),1)</f>
        <v>1</v>
      </c>
      <c r="AE1004" s="41">
        <f>IFERROR(LOOKUP(T1004,打分卡!$F$9:$I$9,打分卡!$K$9:$N$9),1)</f>
        <v>1</v>
      </c>
      <c r="AF1004" s="41">
        <f>IFERROR(LOOKUP(Q1004,打分卡!$F$10:$J$10,打分卡!$K$10:$O$10),1)</f>
        <v>1</v>
      </c>
      <c r="AG1004" s="41">
        <f>IFERROR(LOOKUP(R1004,打分卡!$F$11:$J$11,打分卡!$K$11:$O$11),1)</f>
        <v>1</v>
      </c>
      <c r="AH1004" s="41">
        <f>IFERROR(LOOKUP(U1004,打分卡!$F$12:$J$12,打分卡!$K$12:$O$12),1)</f>
        <v>3</v>
      </c>
      <c r="AI1004" s="41">
        <f>IFERROR(LOOKUP(X1004,打分卡!$F$13:$J$13,打分卡!$K$13:$O$13),1)</f>
        <v>1</v>
      </c>
      <c r="AJ1004" s="41">
        <f>IFERROR(LOOKUP(Y1004,打分卡!$F$14:$J$14,打分卡!$K$14:$O$14),1)</f>
        <v>1</v>
      </c>
      <c r="AK1004" s="41">
        <f>IFERROR(LOOKUP(W1004,打分卡!$F$15:$J$15,打分卡!$K$15:$O$15),1)</f>
        <v>1</v>
      </c>
      <c r="AL1004" s="43">
        <f t="shared" si="121"/>
        <v>5</v>
      </c>
      <c r="AM1004" s="41">
        <f>IFERROR(LOOKUP(Z1004,打分卡!$F$17:$H$17,打分卡!$K$17:$M$17),1)</f>
        <v>1</v>
      </c>
      <c r="AN1004" s="44">
        <f>(打分卡!$D$7*AC1004+打分卡!$D$8*AD1004+打分卡!$D$9*AE1004)/5</f>
        <v>8</v>
      </c>
      <c r="AO1004" s="44">
        <f>(打分卡!$D$10*AF1004+打分卡!$D$11*AG1004)/5</f>
        <v>4</v>
      </c>
      <c r="AP1004" s="44">
        <f>(打分卡!$D$12*AH1004+打分卡!$D$13*AI1004+打分卡!$D$14*AJ1004+打分卡!$D$15*AK1004)/5</f>
        <v>10.8</v>
      </c>
      <c r="AQ1004" s="44">
        <f>(打分卡!$D$16*AL1004+打分卡!$D$17*AM1004)/5</f>
        <v>6.8</v>
      </c>
      <c r="AR1004" s="47">
        <f t="shared" si="122"/>
        <v>36</v>
      </c>
      <c r="AS1004" s="43" t="str">
        <f t="shared" si="123"/>
        <v>基础长尾</v>
      </c>
      <c r="AT1004" s="43" t="str">
        <f t="shared" si="124"/>
        <v/>
      </c>
      <c r="AU1004" s="43" t="str">
        <f t="shared" si="125"/>
        <v>激活：企微+Push低成本先跑</v>
      </c>
    </row>
    <row r="1005" ht="15" customHeight="1" spans="1:47">
      <c r="A1005" s="20" t="s">
        <v>2761</v>
      </c>
      <c r="B1005" s="22" t="s">
        <v>2762</v>
      </c>
      <c r="C1005" s="22" t="s">
        <v>179</v>
      </c>
      <c r="D1005" s="22" t="s">
        <v>190</v>
      </c>
      <c r="E1005" s="22" t="s">
        <v>181</v>
      </c>
      <c r="F1005" s="20" t="s">
        <v>2763</v>
      </c>
      <c r="G1005" s="22">
        <v>2</v>
      </c>
      <c r="H1005" s="22" t="s">
        <v>642</v>
      </c>
      <c r="I1005" s="22" t="s">
        <v>302</v>
      </c>
      <c r="J1005" s="36">
        <v>2200</v>
      </c>
      <c r="K1005" s="36">
        <v>1600</v>
      </c>
      <c r="L1005" s="36">
        <v>400</v>
      </c>
      <c r="M1005" s="36">
        <f t="shared" si="120"/>
        <v>4200</v>
      </c>
      <c r="N1005" s="34">
        <f t="shared" si="126"/>
        <v>2.20190874031947e-5</v>
      </c>
      <c r="O1005" s="35">
        <f>SUM($M$2:M1005)</f>
        <v>190061500</v>
      </c>
      <c r="P1005" s="34">
        <f t="shared" si="127"/>
        <v>0.996423995352924</v>
      </c>
      <c r="Q1005" s="39">
        <v>0.3</v>
      </c>
      <c r="R1005" s="22">
        <v>2</v>
      </c>
      <c r="S1005" s="22">
        <v>0</v>
      </c>
      <c r="T1005" s="22">
        <v>0</v>
      </c>
      <c r="U1005" s="39">
        <v>3.4</v>
      </c>
      <c r="V1005" s="22">
        <v>1</v>
      </c>
      <c r="W1005" s="22">
        <v>0</v>
      </c>
      <c r="X1005" s="40">
        <v>9</v>
      </c>
      <c r="Y1005" s="22">
        <v>1</v>
      </c>
      <c r="Z1005" s="22">
        <v>0</v>
      </c>
      <c r="AA1005" s="22" t="s">
        <v>199</v>
      </c>
      <c r="AB1005" s="22" t="s">
        <v>220</v>
      </c>
      <c r="AC1005" s="42">
        <f>IFERROR(LOOKUP(M1005,打分卡!$F$7:$J$7,打分卡!$K$7:$O$7),1)</f>
        <v>1</v>
      </c>
      <c r="AD1005" s="42">
        <f>IFERROR(LOOKUP(S1005,打分卡!$F$8:$J$8,打分卡!$K$8:$O$8),1)</f>
        <v>1</v>
      </c>
      <c r="AE1005" s="42">
        <f>IFERROR(LOOKUP(T1005,打分卡!$F$9:$I$9,打分卡!$K$9:$N$9),1)</f>
        <v>1</v>
      </c>
      <c r="AF1005" s="42">
        <f>IFERROR(LOOKUP(Q1005,打分卡!$F$10:$J$10,打分卡!$K$10:$O$10),1)</f>
        <v>1</v>
      </c>
      <c r="AG1005" s="42">
        <f>IFERROR(LOOKUP(R1005,打分卡!$F$11:$J$11,打分卡!$K$11:$O$11),1)</f>
        <v>1</v>
      </c>
      <c r="AH1005" s="42">
        <f>IFERROR(LOOKUP(U1005,打分卡!$F$12:$J$12,打分卡!$K$12:$O$12),1)</f>
        <v>2</v>
      </c>
      <c r="AI1005" s="42">
        <f>IFERROR(LOOKUP(X1005,打分卡!$F$13:$J$13,打分卡!$K$13:$O$13),1)</f>
        <v>1</v>
      </c>
      <c r="AJ1005" s="42">
        <f>IFERROR(LOOKUP(Y1005,打分卡!$F$14:$J$14,打分卡!$K$14:$O$14),1)</f>
        <v>2</v>
      </c>
      <c r="AK1005" s="42">
        <f>IFERROR(LOOKUP(W1005,打分卡!$F$15:$J$15,打分卡!$K$15:$O$15),1)</f>
        <v>1</v>
      </c>
      <c r="AL1005" s="45">
        <f t="shared" si="121"/>
        <v>5</v>
      </c>
      <c r="AM1005" s="42">
        <f>IFERROR(LOOKUP(Z1005,打分卡!$F$17:$H$17,打分卡!$K$17:$M$17),1)</f>
        <v>1</v>
      </c>
      <c r="AN1005" s="46">
        <f>(打分卡!$D$7*AC1005+打分卡!$D$8*AD1005+打分卡!$D$9*AE1005)/5</f>
        <v>8</v>
      </c>
      <c r="AO1005" s="46">
        <f>(打分卡!$D$10*AF1005+打分卡!$D$11*AG1005)/5</f>
        <v>4</v>
      </c>
      <c r="AP1005" s="46">
        <f>(打分卡!$D$12*AH1005+打分卡!$D$13*AI1005+打分卡!$D$14*AJ1005+打分卡!$D$15*AK1005)/5</f>
        <v>9.6</v>
      </c>
      <c r="AQ1005" s="46">
        <f>(打分卡!$D$16*AL1005+打分卡!$D$17*AM1005)/5</f>
        <v>6.8</v>
      </c>
      <c r="AR1005" s="48">
        <f t="shared" si="122"/>
        <v>33.2</v>
      </c>
      <c r="AS1005" s="45" t="str">
        <f t="shared" si="123"/>
        <v>基础长尾</v>
      </c>
      <c r="AT1005" s="45" t="str">
        <f t="shared" si="124"/>
        <v/>
      </c>
      <c r="AU1005" s="45" t="str">
        <f t="shared" si="125"/>
        <v>激活：企微+Push低成本先跑</v>
      </c>
    </row>
    <row r="1006" ht="15" customHeight="1" spans="1:47">
      <c r="A1006" s="30" t="s">
        <v>2764</v>
      </c>
      <c r="B1006" s="31" t="s">
        <v>2765</v>
      </c>
      <c r="C1006" s="31" t="s">
        <v>195</v>
      </c>
      <c r="D1006" s="31" t="s">
        <v>196</v>
      </c>
      <c r="E1006" s="31" t="s">
        <v>181</v>
      </c>
      <c r="F1006" s="30" t="s">
        <v>1647</v>
      </c>
      <c r="G1006" s="31">
        <v>3</v>
      </c>
      <c r="H1006" s="31" t="s">
        <v>642</v>
      </c>
      <c r="I1006" s="31" t="s">
        <v>302</v>
      </c>
      <c r="J1006" s="33">
        <v>2500</v>
      </c>
      <c r="K1006" s="33">
        <v>1500</v>
      </c>
      <c r="L1006" s="33">
        <v>200</v>
      </c>
      <c r="M1006" s="33">
        <f t="shared" si="120"/>
        <v>4200</v>
      </c>
      <c r="N1006" s="34">
        <f t="shared" si="126"/>
        <v>2.20190874031947e-5</v>
      </c>
      <c r="O1006" s="35">
        <f>SUM($M$2:M1006)</f>
        <v>190065700</v>
      </c>
      <c r="P1006" s="34">
        <f t="shared" si="127"/>
        <v>0.996446014440327</v>
      </c>
      <c r="Q1006" s="37">
        <v>0.4</v>
      </c>
      <c r="R1006" s="31">
        <v>1</v>
      </c>
      <c r="S1006" s="31">
        <v>0</v>
      </c>
      <c r="T1006" s="31">
        <v>0</v>
      </c>
      <c r="U1006" s="37">
        <v>13.7</v>
      </c>
      <c r="V1006" s="31">
        <v>9</v>
      </c>
      <c r="W1006" s="31">
        <v>0</v>
      </c>
      <c r="X1006" s="38">
        <v>29</v>
      </c>
      <c r="Y1006" s="31">
        <v>0</v>
      </c>
      <c r="Z1006" s="31">
        <v>0</v>
      </c>
      <c r="AA1006" s="31" t="s">
        <v>199</v>
      </c>
      <c r="AB1006" s="31" t="s">
        <v>220</v>
      </c>
      <c r="AC1006" s="41">
        <f>IFERROR(LOOKUP(M1006,打分卡!$F$7:$J$7,打分卡!$K$7:$O$7),1)</f>
        <v>1</v>
      </c>
      <c r="AD1006" s="41">
        <f>IFERROR(LOOKUP(S1006,打分卡!$F$8:$J$8,打分卡!$K$8:$O$8),1)</f>
        <v>1</v>
      </c>
      <c r="AE1006" s="41">
        <f>IFERROR(LOOKUP(T1006,打分卡!$F$9:$I$9,打分卡!$K$9:$N$9),1)</f>
        <v>1</v>
      </c>
      <c r="AF1006" s="41">
        <f>IFERROR(LOOKUP(Q1006,打分卡!$F$10:$J$10,打分卡!$K$10:$O$10),1)</f>
        <v>1</v>
      </c>
      <c r="AG1006" s="41">
        <f>IFERROR(LOOKUP(R1006,打分卡!$F$11:$J$11,打分卡!$K$11:$O$11),1)</f>
        <v>1</v>
      </c>
      <c r="AH1006" s="41">
        <f>IFERROR(LOOKUP(U1006,打分卡!$F$12:$J$12,打分卡!$K$12:$O$12),1)</f>
        <v>3</v>
      </c>
      <c r="AI1006" s="41">
        <f>IFERROR(LOOKUP(X1006,打分卡!$F$13:$J$13,打分卡!$K$13:$O$13),1)</f>
        <v>2</v>
      </c>
      <c r="AJ1006" s="41">
        <f>IFERROR(LOOKUP(Y1006,打分卡!$F$14:$J$14,打分卡!$K$14:$O$14),1)</f>
        <v>1</v>
      </c>
      <c r="AK1006" s="41">
        <f>IFERROR(LOOKUP(W1006,打分卡!$F$15:$J$15,打分卡!$K$15:$O$15),1)</f>
        <v>1</v>
      </c>
      <c r="AL1006" s="43">
        <f t="shared" si="121"/>
        <v>5</v>
      </c>
      <c r="AM1006" s="41">
        <f>IFERROR(LOOKUP(Z1006,打分卡!$F$17:$H$17,打分卡!$K$17:$M$17),1)</f>
        <v>1</v>
      </c>
      <c r="AN1006" s="44">
        <f>(打分卡!$D$7*AC1006+打分卡!$D$8*AD1006+打分卡!$D$9*AE1006)/5</f>
        <v>8</v>
      </c>
      <c r="AO1006" s="44">
        <f>(打分卡!$D$10*AF1006+打分卡!$D$11*AG1006)/5</f>
        <v>4</v>
      </c>
      <c r="AP1006" s="44">
        <f>(打分卡!$D$12*AH1006+打分卡!$D$13*AI1006+打分卡!$D$14*AJ1006+打分卡!$D$15*AK1006)/5</f>
        <v>12.4</v>
      </c>
      <c r="AQ1006" s="44">
        <f>(打分卡!$D$16*AL1006+打分卡!$D$17*AM1006)/5</f>
        <v>6.8</v>
      </c>
      <c r="AR1006" s="47">
        <f t="shared" si="122"/>
        <v>31.2</v>
      </c>
      <c r="AS1006" s="43" t="str">
        <f t="shared" si="123"/>
        <v>基础长尾</v>
      </c>
      <c r="AT1006" s="43" t="str">
        <f t="shared" si="124"/>
        <v/>
      </c>
      <c r="AU1006" s="43" t="str">
        <f t="shared" si="125"/>
        <v>激活：企微+Push低成本先跑</v>
      </c>
    </row>
    <row r="1007" ht="15" customHeight="1" spans="1:47">
      <c r="A1007" s="20" t="s">
        <v>2766</v>
      </c>
      <c r="B1007" s="22" t="s">
        <v>2767</v>
      </c>
      <c r="C1007" s="22" t="s">
        <v>189</v>
      </c>
      <c r="D1007" s="22" t="s">
        <v>190</v>
      </c>
      <c r="E1007" s="22" t="s">
        <v>181</v>
      </c>
      <c r="F1007" s="20" t="s">
        <v>2714</v>
      </c>
      <c r="G1007" s="22">
        <v>2</v>
      </c>
      <c r="H1007" s="22" t="s">
        <v>642</v>
      </c>
      <c r="I1007" s="22" t="s">
        <v>302</v>
      </c>
      <c r="J1007" s="36">
        <v>2000</v>
      </c>
      <c r="K1007" s="36">
        <v>1500</v>
      </c>
      <c r="L1007" s="36">
        <v>800</v>
      </c>
      <c r="M1007" s="36">
        <f t="shared" si="120"/>
        <v>4300</v>
      </c>
      <c r="N1007" s="34">
        <f t="shared" si="126"/>
        <v>2.2543351388985e-5</v>
      </c>
      <c r="O1007" s="35">
        <f>SUM($M$2:M1007)</f>
        <v>190070000</v>
      </c>
      <c r="P1007" s="34">
        <f t="shared" si="127"/>
        <v>0.996468557791716</v>
      </c>
      <c r="Q1007" s="39">
        <v>0.6</v>
      </c>
      <c r="R1007" s="22">
        <v>3</v>
      </c>
      <c r="S1007" s="22">
        <v>0</v>
      </c>
      <c r="T1007" s="22">
        <v>0</v>
      </c>
      <c r="U1007" s="39">
        <v>0.8</v>
      </c>
      <c r="V1007" s="22">
        <v>12</v>
      </c>
      <c r="W1007" s="22">
        <v>0</v>
      </c>
      <c r="X1007" s="40">
        <v>53</v>
      </c>
      <c r="Y1007" s="22">
        <v>0</v>
      </c>
      <c r="Z1007" s="22">
        <v>0</v>
      </c>
      <c r="AA1007" s="22" t="s">
        <v>199</v>
      </c>
      <c r="AB1007" s="22" t="s">
        <v>220</v>
      </c>
      <c r="AC1007" s="42">
        <f>IFERROR(LOOKUP(M1007,打分卡!$F$7:$J$7,打分卡!$K$7:$O$7),1)</f>
        <v>1</v>
      </c>
      <c r="AD1007" s="42">
        <f>IFERROR(LOOKUP(S1007,打分卡!$F$8:$J$8,打分卡!$K$8:$O$8),1)</f>
        <v>1</v>
      </c>
      <c r="AE1007" s="42">
        <f>IFERROR(LOOKUP(T1007,打分卡!$F$9:$I$9,打分卡!$K$9:$N$9),1)</f>
        <v>1</v>
      </c>
      <c r="AF1007" s="42">
        <f>IFERROR(LOOKUP(Q1007,打分卡!$F$10:$J$10,打分卡!$K$10:$O$10),1)</f>
        <v>1</v>
      </c>
      <c r="AG1007" s="42">
        <f>IFERROR(LOOKUP(R1007,打分卡!$F$11:$J$11,打分卡!$K$11:$O$11),1)</f>
        <v>2</v>
      </c>
      <c r="AH1007" s="42">
        <f>IFERROR(LOOKUP(U1007,打分卡!$F$12:$J$12,打分卡!$K$12:$O$12),1)</f>
        <v>1</v>
      </c>
      <c r="AI1007" s="42">
        <f>IFERROR(LOOKUP(X1007,打分卡!$F$13:$J$13,打分卡!$K$13:$O$13),1)</f>
        <v>3</v>
      </c>
      <c r="AJ1007" s="42">
        <f>IFERROR(LOOKUP(Y1007,打分卡!$F$14:$J$14,打分卡!$K$14:$O$14),1)</f>
        <v>1</v>
      </c>
      <c r="AK1007" s="42">
        <f>IFERROR(LOOKUP(W1007,打分卡!$F$15:$J$15,打分卡!$K$15:$O$15),1)</f>
        <v>1</v>
      </c>
      <c r="AL1007" s="45">
        <f t="shared" si="121"/>
        <v>5</v>
      </c>
      <c r="AM1007" s="42">
        <f>IFERROR(LOOKUP(Z1007,打分卡!$F$17:$H$17,打分卡!$K$17:$M$17),1)</f>
        <v>1</v>
      </c>
      <c r="AN1007" s="46">
        <f>(打分卡!$D$7*AC1007+打分卡!$D$8*AD1007+打分卡!$D$9*AE1007)/5</f>
        <v>8</v>
      </c>
      <c r="AO1007" s="46">
        <f>(打分卡!$D$10*AF1007+打分卡!$D$11*AG1007)/5</f>
        <v>6</v>
      </c>
      <c r="AP1007" s="46">
        <f>(打分卡!$D$12*AH1007+打分卡!$D$13*AI1007+打分卡!$D$14*AJ1007+打分卡!$D$15*AK1007)/5</f>
        <v>9.2</v>
      </c>
      <c r="AQ1007" s="46">
        <f>(打分卡!$D$16*AL1007+打分卡!$D$17*AM1007)/5</f>
        <v>6.8</v>
      </c>
      <c r="AR1007" s="48">
        <f t="shared" si="122"/>
        <v>34.2666666666667</v>
      </c>
      <c r="AS1007" s="45" t="str">
        <f t="shared" si="123"/>
        <v>基础长尾</v>
      </c>
      <c r="AT1007" s="45" t="str">
        <f t="shared" si="124"/>
        <v/>
      </c>
      <c r="AU1007" s="45" t="str">
        <f t="shared" si="125"/>
        <v>激活：企微+Push低成本先跑</v>
      </c>
    </row>
    <row r="1008" ht="15" customHeight="1" spans="1:47">
      <c r="A1008" s="30" t="s">
        <v>2768</v>
      </c>
      <c r="B1008" s="31" t="s">
        <v>2769</v>
      </c>
      <c r="C1008" s="31" t="s">
        <v>195</v>
      </c>
      <c r="D1008" s="31" t="s">
        <v>227</v>
      </c>
      <c r="E1008" s="31" t="s">
        <v>181</v>
      </c>
      <c r="F1008" s="30" t="s">
        <v>2770</v>
      </c>
      <c r="G1008" s="31">
        <v>1</v>
      </c>
      <c r="H1008" s="31" t="s">
        <v>642</v>
      </c>
      <c r="I1008" s="31" t="s">
        <v>302</v>
      </c>
      <c r="J1008" s="33">
        <v>2500</v>
      </c>
      <c r="K1008" s="33">
        <v>900</v>
      </c>
      <c r="L1008" s="33">
        <v>900</v>
      </c>
      <c r="M1008" s="33">
        <f t="shared" si="120"/>
        <v>4300</v>
      </c>
      <c r="N1008" s="34">
        <f t="shared" si="126"/>
        <v>2.2543351388985e-5</v>
      </c>
      <c r="O1008" s="35">
        <f>SUM($M$2:M1008)</f>
        <v>190074300</v>
      </c>
      <c r="P1008" s="34">
        <f t="shared" si="127"/>
        <v>0.996491101143105</v>
      </c>
      <c r="Q1008" s="37">
        <v>0.3</v>
      </c>
      <c r="R1008" s="31">
        <v>3</v>
      </c>
      <c r="S1008" s="31">
        <v>0</v>
      </c>
      <c r="T1008" s="31">
        <v>0</v>
      </c>
      <c r="U1008" s="37">
        <v>23.4</v>
      </c>
      <c r="V1008" s="31">
        <v>1</v>
      </c>
      <c r="W1008" s="31">
        <v>2</v>
      </c>
      <c r="X1008" s="38">
        <v>19</v>
      </c>
      <c r="Y1008" s="31">
        <v>1</v>
      </c>
      <c r="Z1008" s="31">
        <v>0</v>
      </c>
      <c r="AA1008" s="31" t="s">
        <v>199</v>
      </c>
      <c r="AB1008" s="31" t="s">
        <v>220</v>
      </c>
      <c r="AC1008" s="41">
        <f>IFERROR(LOOKUP(M1008,打分卡!$F$7:$J$7,打分卡!$K$7:$O$7),1)</f>
        <v>1</v>
      </c>
      <c r="AD1008" s="41">
        <f>IFERROR(LOOKUP(S1008,打分卡!$F$8:$J$8,打分卡!$K$8:$O$8),1)</f>
        <v>1</v>
      </c>
      <c r="AE1008" s="41">
        <f>IFERROR(LOOKUP(T1008,打分卡!$F$9:$I$9,打分卡!$K$9:$N$9),1)</f>
        <v>1</v>
      </c>
      <c r="AF1008" s="41">
        <f>IFERROR(LOOKUP(Q1008,打分卡!$F$10:$J$10,打分卡!$K$10:$O$10),1)</f>
        <v>1</v>
      </c>
      <c r="AG1008" s="41">
        <f>IFERROR(LOOKUP(R1008,打分卡!$F$11:$J$11,打分卡!$K$11:$O$11),1)</f>
        <v>2</v>
      </c>
      <c r="AH1008" s="41">
        <f>IFERROR(LOOKUP(U1008,打分卡!$F$12:$J$12,打分卡!$K$12:$O$12),1)</f>
        <v>3</v>
      </c>
      <c r="AI1008" s="41">
        <f>IFERROR(LOOKUP(X1008,打分卡!$F$13:$J$13,打分卡!$K$13:$O$13),1)</f>
        <v>2</v>
      </c>
      <c r="AJ1008" s="41">
        <f>IFERROR(LOOKUP(Y1008,打分卡!$F$14:$J$14,打分卡!$K$14:$O$14),1)</f>
        <v>2</v>
      </c>
      <c r="AK1008" s="41">
        <f>IFERROR(LOOKUP(W1008,打分卡!$F$15:$J$15,打分卡!$K$15:$O$15),1)</f>
        <v>2</v>
      </c>
      <c r="AL1008" s="43">
        <f t="shared" si="121"/>
        <v>5</v>
      </c>
      <c r="AM1008" s="41">
        <f>IFERROR(LOOKUP(Z1008,打分卡!$F$17:$H$17,打分卡!$K$17:$M$17),1)</f>
        <v>1</v>
      </c>
      <c r="AN1008" s="44">
        <f>(打分卡!$D$7*AC1008+打分卡!$D$8*AD1008+打分卡!$D$9*AE1008)/5</f>
        <v>8</v>
      </c>
      <c r="AO1008" s="44">
        <f>(打分卡!$D$10*AF1008+打分卡!$D$11*AG1008)/5</f>
        <v>6</v>
      </c>
      <c r="AP1008" s="44">
        <f>(打分卡!$D$12*AH1008+打分卡!$D$13*AI1008+打分卡!$D$14*AJ1008+打分卡!$D$15*AK1008)/5</f>
        <v>14.4</v>
      </c>
      <c r="AQ1008" s="44">
        <f>(打分卡!$D$16*AL1008+打分卡!$D$17*AM1008)/5</f>
        <v>6.8</v>
      </c>
      <c r="AR1008" s="47">
        <f t="shared" si="122"/>
        <v>46.4</v>
      </c>
      <c r="AS1008" s="43" t="str">
        <f t="shared" si="123"/>
        <v>腰部</v>
      </c>
      <c r="AT1008" s="43" t="str">
        <f t="shared" si="124"/>
        <v/>
      </c>
      <c r="AU1008" s="43" t="str">
        <f t="shared" si="125"/>
        <v>拉·主攻：主推AI外呼+大促作战包</v>
      </c>
    </row>
    <row r="1009" ht="15" customHeight="1" spans="1:47">
      <c r="A1009" s="20" t="s">
        <v>2771</v>
      </c>
      <c r="B1009" s="22" t="s">
        <v>2772</v>
      </c>
      <c r="C1009" s="22" t="s">
        <v>189</v>
      </c>
      <c r="D1009" s="22" t="s">
        <v>235</v>
      </c>
      <c r="E1009" s="22" t="s">
        <v>197</v>
      </c>
      <c r="F1009" s="20" t="s">
        <v>2773</v>
      </c>
      <c r="G1009" s="22">
        <v>2</v>
      </c>
      <c r="H1009" s="22" t="s">
        <v>642</v>
      </c>
      <c r="I1009" s="22" t="s">
        <v>302</v>
      </c>
      <c r="J1009" s="36">
        <v>2000</v>
      </c>
      <c r="K1009" s="36">
        <v>1200</v>
      </c>
      <c r="L1009" s="36">
        <v>1000</v>
      </c>
      <c r="M1009" s="36">
        <f t="shared" si="120"/>
        <v>4200</v>
      </c>
      <c r="N1009" s="34">
        <f t="shared" si="126"/>
        <v>2.20190874031947e-5</v>
      </c>
      <c r="O1009" s="35">
        <f>SUM($M$2:M1009)</f>
        <v>190078500</v>
      </c>
      <c r="P1009" s="34">
        <f t="shared" si="127"/>
        <v>0.996513120230508</v>
      </c>
      <c r="Q1009" s="39">
        <v>0.3</v>
      </c>
      <c r="R1009" s="22">
        <v>2</v>
      </c>
      <c r="S1009" s="22">
        <v>1</v>
      </c>
      <c r="T1009" s="22">
        <v>0</v>
      </c>
      <c r="U1009" s="39">
        <v>18.1</v>
      </c>
      <c r="V1009" s="22">
        <v>13</v>
      </c>
      <c r="W1009" s="22">
        <v>0</v>
      </c>
      <c r="X1009" s="40">
        <v>7</v>
      </c>
      <c r="Y1009" s="22">
        <v>0</v>
      </c>
      <c r="Z1009" s="22">
        <v>0</v>
      </c>
      <c r="AA1009" s="22" t="s">
        <v>199</v>
      </c>
      <c r="AB1009" s="22" t="s">
        <v>220</v>
      </c>
      <c r="AC1009" s="42">
        <f>IFERROR(LOOKUP(M1009,打分卡!$F$7:$J$7,打分卡!$K$7:$O$7),1)</f>
        <v>1</v>
      </c>
      <c r="AD1009" s="42">
        <f>IFERROR(LOOKUP(S1009,打分卡!$F$8:$J$8,打分卡!$K$8:$O$8),1)</f>
        <v>1</v>
      </c>
      <c r="AE1009" s="42">
        <f>IFERROR(LOOKUP(T1009,打分卡!$F$9:$I$9,打分卡!$K$9:$N$9),1)</f>
        <v>1</v>
      </c>
      <c r="AF1009" s="42">
        <f>IFERROR(LOOKUP(Q1009,打分卡!$F$10:$J$10,打分卡!$K$10:$O$10),1)</f>
        <v>1</v>
      </c>
      <c r="AG1009" s="42">
        <f>IFERROR(LOOKUP(R1009,打分卡!$F$11:$J$11,打分卡!$K$11:$O$11),1)</f>
        <v>1</v>
      </c>
      <c r="AH1009" s="42">
        <f>IFERROR(LOOKUP(U1009,打分卡!$F$12:$J$12,打分卡!$K$12:$O$12),1)</f>
        <v>3</v>
      </c>
      <c r="AI1009" s="42">
        <f>IFERROR(LOOKUP(X1009,打分卡!$F$13:$J$13,打分卡!$K$13:$O$13),1)</f>
        <v>1</v>
      </c>
      <c r="AJ1009" s="42">
        <f>IFERROR(LOOKUP(Y1009,打分卡!$F$14:$J$14,打分卡!$K$14:$O$14),1)</f>
        <v>1</v>
      </c>
      <c r="AK1009" s="42">
        <f>IFERROR(LOOKUP(W1009,打分卡!$F$15:$J$15,打分卡!$K$15:$O$15),1)</f>
        <v>1</v>
      </c>
      <c r="AL1009" s="45">
        <f t="shared" si="121"/>
        <v>5</v>
      </c>
      <c r="AM1009" s="42">
        <f>IFERROR(LOOKUP(Z1009,打分卡!$F$17:$H$17,打分卡!$K$17:$M$17),1)</f>
        <v>1</v>
      </c>
      <c r="AN1009" s="46">
        <f>(打分卡!$D$7*AC1009+打分卡!$D$8*AD1009+打分卡!$D$9*AE1009)/5</f>
        <v>8</v>
      </c>
      <c r="AO1009" s="46">
        <f>(打分卡!$D$10*AF1009+打分卡!$D$11*AG1009)/5</f>
        <v>4</v>
      </c>
      <c r="AP1009" s="46">
        <f>(打分卡!$D$12*AH1009+打分卡!$D$13*AI1009+打分卡!$D$14*AJ1009+打分卡!$D$15*AK1009)/5</f>
        <v>10.8</v>
      </c>
      <c r="AQ1009" s="46">
        <f>(打分卡!$D$16*AL1009+打分卡!$D$17*AM1009)/5</f>
        <v>6.8</v>
      </c>
      <c r="AR1009" s="48">
        <f t="shared" si="122"/>
        <v>36</v>
      </c>
      <c r="AS1009" s="45" t="str">
        <f t="shared" si="123"/>
        <v>基础长尾</v>
      </c>
      <c r="AT1009" s="45" t="str">
        <f t="shared" si="124"/>
        <v/>
      </c>
      <c r="AU1009" s="45" t="str">
        <f t="shared" si="125"/>
        <v>激活：企微+Push低成本先跑</v>
      </c>
    </row>
    <row r="1010" ht="15" customHeight="1" spans="1:47">
      <c r="A1010" s="30" t="s">
        <v>2774</v>
      </c>
      <c r="B1010" s="31" t="s">
        <v>2775</v>
      </c>
      <c r="C1010" s="31" t="s">
        <v>223</v>
      </c>
      <c r="D1010" s="31" t="s">
        <v>190</v>
      </c>
      <c r="E1010" s="31" t="s">
        <v>197</v>
      </c>
      <c r="F1010" s="30" t="s">
        <v>2770</v>
      </c>
      <c r="G1010" s="31">
        <v>1</v>
      </c>
      <c r="H1010" s="31" t="s">
        <v>642</v>
      </c>
      <c r="I1010" s="31" t="s">
        <v>302</v>
      </c>
      <c r="J1010" s="33">
        <v>2300</v>
      </c>
      <c r="K1010" s="33">
        <v>1300</v>
      </c>
      <c r="L1010" s="33">
        <v>600</v>
      </c>
      <c r="M1010" s="33">
        <f t="shared" si="120"/>
        <v>4200</v>
      </c>
      <c r="N1010" s="34">
        <f t="shared" si="126"/>
        <v>2.20190874031947e-5</v>
      </c>
      <c r="O1010" s="35">
        <f>SUM($M$2:M1010)</f>
        <v>190082700</v>
      </c>
      <c r="P1010" s="34">
        <f t="shared" si="127"/>
        <v>0.996535139317912</v>
      </c>
      <c r="Q1010" s="37">
        <v>0.3</v>
      </c>
      <c r="R1010" s="31">
        <v>2</v>
      </c>
      <c r="S1010" s="31">
        <v>1</v>
      </c>
      <c r="T1010" s="31">
        <v>0</v>
      </c>
      <c r="U1010" s="37">
        <v>17.1</v>
      </c>
      <c r="V1010" s="31">
        <v>15</v>
      </c>
      <c r="W1010" s="31">
        <v>0</v>
      </c>
      <c r="X1010" s="38">
        <v>20</v>
      </c>
      <c r="Y1010" s="31">
        <v>1</v>
      </c>
      <c r="Z1010" s="31">
        <v>0</v>
      </c>
      <c r="AA1010" s="31" t="s">
        <v>199</v>
      </c>
      <c r="AB1010" s="31" t="s">
        <v>220</v>
      </c>
      <c r="AC1010" s="41">
        <f>IFERROR(LOOKUP(M1010,打分卡!$F$7:$J$7,打分卡!$K$7:$O$7),1)</f>
        <v>1</v>
      </c>
      <c r="AD1010" s="41">
        <f>IFERROR(LOOKUP(S1010,打分卡!$F$8:$J$8,打分卡!$K$8:$O$8),1)</f>
        <v>1</v>
      </c>
      <c r="AE1010" s="41">
        <f>IFERROR(LOOKUP(T1010,打分卡!$F$9:$I$9,打分卡!$K$9:$N$9),1)</f>
        <v>1</v>
      </c>
      <c r="AF1010" s="41">
        <f>IFERROR(LOOKUP(Q1010,打分卡!$F$10:$J$10,打分卡!$K$10:$O$10),1)</f>
        <v>1</v>
      </c>
      <c r="AG1010" s="41">
        <f>IFERROR(LOOKUP(R1010,打分卡!$F$11:$J$11,打分卡!$K$11:$O$11),1)</f>
        <v>1</v>
      </c>
      <c r="AH1010" s="41">
        <f>IFERROR(LOOKUP(U1010,打分卡!$F$12:$J$12,打分卡!$K$12:$O$12),1)</f>
        <v>3</v>
      </c>
      <c r="AI1010" s="41">
        <f>IFERROR(LOOKUP(X1010,打分卡!$F$13:$J$13,打分卡!$K$13:$O$13),1)</f>
        <v>2</v>
      </c>
      <c r="AJ1010" s="41">
        <f>IFERROR(LOOKUP(Y1010,打分卡!$F$14:$J$14,打分卡!$K$14:$O$14),1)</f>
        <v>2</v>
      </c>
      <c r="AK1010" s="41">
        <f>IFERROR(LOOKUP(W1010,打分卡!$F$15:$J$15,打分卡!$K$15:$O$15),1)</f>
        <v>1</v>
      </c>
      <c r="AL1010" s="43">
        <f t="shared" si="121"/>
        <v>5</v>
      </c>
      <c r="AM1010" s="41">
        <f>IFERROR(LOOKUP(Z1010,打分卡!$F$17:$H$17,打分卡!$K$17:$M$17),1)</f>
        <v>1</v>
      </c>
      <c r="AN1010" s="44">
        <f>(打分卡!$D$7*AC1010+打分卡!$D$8*AD1010+打分卡!$D$9*AE1010)/5</f>
        <v>8</v>
      </c>
      <c r="AO1010" s="44">
        <f>(打分卡!$D$10*AF1010+打分卡!$D$11*AG1010)/5</f>
        <v>4</v>
      </c>
      <c r="AP1010" s="44">
        <f>(打分卡!$D$12*AH1010+打分卡!$D$13*AI1010+打分卡!$D$14*AJ1010+打分卡!$D$15*AK1010)/5</f>
        <v>13.6</v>
      </c>
      <c r="AQ1010" s="44">
        <f>(打分卡!$D$16*AL1010+打分卡!$D$17*AM1010)/5</f>
        <v>6.8</v>
      </c>
      <c r="AR1010" s="47">
        <f t="shared" si="122"/>
        <v>42.5333333333333</v>
      </c>
      <c r="AS1010" s="43" t="str">
        <f t="shared" si="123"/>
        <v>腰部</v>
      </c>
      <c r="AT1010" s="43" t="str">
        <f t="shared" si="124"/>
        <v/>
      </c>
      <c r="AU1010" s="43" t="str">
        <f t="shared" si="125"/>
        <v>拉·主攻：主推AI外呼+大促作战包</v>
      </c>
    </row>
    <row r="1011" ht="15" customHeight="1" spans="1:47">
      <c r="A1011" s="20" t="s">
        <v>2776</v>
      </c>
      <c r="B1011" s="22" t="s">
        <v>2777</v>
      </c>
      <c r="C1011" s="22" t="s">
        <v>239</v>
      </c>
      <c r="D1011" s="22" t="s">
        <v>202</v>
      </c>
      <c r="E1011" s="22" t="s">
        <v>181</v>
      </c>
      <c r="F1011" s="20" t="s">
        <v>2778</v>
      </c>
      <c r="G1011" s="22">
        <v>1</v>
      </c>
      <c r="H1011" s="22" t="s">
        <v>642</v>
      </c>
      <c r="I1011" s="22" t="s">
        <v>302</v>
      </c>
      <c r="J1011" s="36">
        <v>1900</v>
      </c>
      <c r="K1011" s="36">
        <v>1500</v>
      </c>
      <c r="L1011" s="36">
        <v>700</v>
      </c>
      <c r="M1011" s="36">
        <f t="shared" si="120"/>
        <v>4100</v>
      </c>
      <c r="N1011" s="34">
        <f t="shared" si="126"/>
        <v>2.14948234174043e-5</v>
      </c>
      <c r="O1011" s="35">
        <f>SUM($M$2:M1011)</f>
        <v>190086800</v>
      </c>
      <c r="P1011" s="34">
        <f t="shared" si="127"/>
        <v>0.996556634141329</v>
      </c>
      <c r="Q1011" s="39">
        <v>0.6</v>
      </c>
      <c r="R1011" s="22">
        <v>1</v>
      </c>
      <c r="S1011" s="22">
        <v>1</v>
      </c>
      <c r="T1011" s="22">
        <v>0</v>
      </c>
      <c r="U1011" s="39">
        <v>3.5</v>
      </c>
      <c r="V1011" s="22">
        <v>0</v>
      </c>
      <c r="W1011" s="22">
        <v>1</v>
      </c>
      <c r="X1011" s="40">
        <v>44</v>
      </c>
      <c r="Y1011" s="22">
        <v>0</v>
      </c>
      <c r="Z1011" s="22">
        <v>0</v>
      </c>
      <c r="AA1011" s="22" t="s">
        <v>199</v>
      </c>
      <c r="AB1011" s="22" t="s">
        <v>220</v>
      </c>
      <c r="AC1011" s="42">
        <f>IFERROR(LOOKUP(M1011,打分卡!$F$7:$J$7,打分卡!$K$7:$O$7),1)</f>
        <v>1</v>
      </c>
      <c r="AD1011" s="42">
        <f>IFERROR(LOOKUP(S1011,打分卡!$F$8:$J$8,打分卡!$K$8:$O$8),1)</f>
        <v>1</v>
      </c>
      <c r="AE1011" s="42">
        <f>IFERROR(LOOKUP(T1011,打分卡!$F$9:$I$9,打分卡!$K$9:$N$9),1)</f>
        <v>1</v>
      </c>
      <c r="AF1011" s="42">
        <f>IFERROR(LOOKUP(Q1011,打分卡!$F$10:$J$10,打分卡!$K$10:$O$10),1)</f>
        <v>1</v>
      </c>
      <c r="AG1011" s="42">
        <f>IFERROR(LOOKUP(R1011,打分卡!$F$11:$J$11,打分卡!$K$11:$O$11),1)</f>
        <v>1</v>
      </c>
      <c r="AH1011" s="42">
        <f>IFERROR(LOOKUP(U1011,打分卡!$F$12:$J$12,打分卡!$K$12:$O$12),1)</f>
        <v>2</v>
      </c>
      <c r="AI1011" s="42">
        <f>IFERROR(LOOKUP(X1011,打分卡!$F$13:$J$13,打分卡!$K$13:$O$13),1)</f>
        <v>3</v>
      </c>
      <c r="AJ1011" s="42">
        <f>IFERROR(LOOKUP(Y1011,打分卡!$F$14:$J$14,打分卡!$K$14:$O$14),1)</f>
        <v>1</v>
      </c>
      <c r="AK1011" s="42">
        <f>IFERROR(LOOKUP(W1011,打分卡!$F$15:$J$15,打分卡!$K$15:$O$15),1)</f>
        <v>2</v>
      </c>
      <c r="AL1011" s="45">
        <f t="shared" si="121"/>
        <v>5</v>
      </c>
      <c r="AM1011" s="42">
        <f>IFERROR(LOOKUP(Z1011,打分卡!$F$17:$H$17,打分卡!$K$17:$M$17),1)</f>
        <v>1</v>
      </c>
      <c r="AN1011" s="46">
        <f>(打分卡!$D$7*AC1011+打分卡!$D$8*AD1011+打分卡!$D$9*AE1011)/5</f>
        <v>8</v>
      </c>
      <c r="AO1011" s="46">
        <f>(打分卡!$D$10*AF1011+打分卡!$D$11*AG1011)/5</f>
        <v>4</v>
      </c>
      <c r="AP1011" s="46">
        <f>(打分卡!$D$12*AH1011+打分卡!$D$13*AI1011+打分卡!$D$14*AJ1011+打分卡!$D$15*AK1011)/5</f>
        <v>12.4</v>
      </c>
      <c r="AQ1011" s="46">
        <f>(打分卡!$D$16*AL1011+打分卡!$D$17*AM1011)/5</f>
        <v>6.8</v>
      </c>
      <c r="AR1011" s="48">
        <f t="shared" si="122"/>
        <v>39.7333333333333</v>
      </c>
      <c r="AS1011" s="45" t="str">
        <f t="shared" si="123"/>
        <v>基础长尾</v>
      </c>
      <c r="AT1011" s="45" t="str">
        <f t="shared" si="124"/>
        <v/>
      </c>
      <c r="AU1011" s="45" t="str">
        <f t="shared" si="125"/>
        <v>激活：企微+Push低成本先跑</v>
      </c>
    </row>
    <row r="1012" ht="15" customHeight="1" spans="1:47">
      <c r="A1012" s="30" t="s">
        <v>2779</v>
      </c>
      <c r="B1012" s="31" t="s">
        <v>2780</v>
      </c>
      <c r="C1012" s="31" t="s">
        <v>218</v>
      </c>
      <c r="D1012" s="31" t="s">
        <v>227</v>
      </c>
      <c r="E1012" s="31" t="s">
        <v>181</v>
      </c>
      <c r="F1012" s="30" t="s">
        <v>1146</v>
      </c>
      <c r="G1012" s="31">
        <v>3</v>
      </c>
      <c r="H1012" s="31" t="s">
        <v>642</v>
      </c>
      <c r="I1012" s="31" t="s">
        <v>302</v>
      </c>
      <c r="J1012" s="33">
        <v>2500</v>
      </c>
      <c r="K1012" s="33">
        <v>800</v>
      </c>
      <c r="L1012" s="33">
        <v>900</v>
      </c>
      <c r="M1012" s="33">
        <f t="shared" si="120"/>
        <v>4200</v>
      </c>
      <c r="N1012" s="34">
        <f t="shared" si="126"/>
        <v>2.20190874031947e-5</v>
      </c>
      <c r="O1012" s="35">
        <f>SUM($M$2:M1012)</f>
        <v>190091000</v>
      </c>
      <c r="P1012" s="34">
        <f t="shared" si="127"/>
        <v>0.996578653228732</v>
      </c>
      <c r="Q1012" s="37">
        <v>0.6</v>
      </c>
      <c r="R1012" s="31">
        <v>1</v>
      </c>
      <c r="S1012" s="31">
        <v>0</v>
      </c>
      <c r="T1012" s="31">
        <v>0</v>
      </c>
      <c r="U1012" s="37">
        <v>1.8</v>
      </c>
      <c r="V1012" s="31">
        <v>13</v>
      </c>
      <c r="W1012" s="31">
        <v>0</v>
      </c>
      <c r="X1012" s="38">
        <v>25</v>
      </c>
      <c r="Y1012" s="31">
        <v>1</v>
      </c>
      <c r="Z1012" s="31">
        <v>0</v>
      </c>
      <c r="AA1012" s="31" t="s">
        <v>199</v>
      </c>
      <c r="AB1012" s="31" t="s">
        <v>220</v>
      </c>
      <c r="AC1012" s="41">
        <f>IFERROR(LOOKUP(M1012,打分卡!$F$7:$J$7,打分卡!$K$7:$O$7),1)</f>
        <v>1</v>
      </c>
      <c r="AD1012" s="41">
        <f>IFERROR(LOOKUP(S1012,打分卡!$F$8:$J$8,打分卡!$K$8:$O$8),1)</f>
        <v>1</v>
      </c>
      <c r="AE1012" s="41">
        <f>IFERROR(LOOKUP(T1012,打分卡!$F$9:$I$9,打分卡!$K$9:$N$9),1)</f>
        <v>1</v>
      </c>
      <c r="AF1012" s="41">
        <f>IFERROR(LOOKUP(Q1012,打分卡!$F$10:$J$10,打分卡!$K$10:$O$10),1)</f>
        <v>1</v>
      </c>
      <c r="AG1012" s="41">
        <f>IFERROR(LOOKUP(R1012,打分卡!$F$11:$J$11,打分卡!$K$11:$O$11),1)</f>
        <v>1</v>
      </c>
      <c r="AH1012" s="41">
        <f>IFERROR(LOOKUP(U1012,打分卡!$F$12:$J$12,打分卡!$K$12:$O$12),1)</f>
        <v>1</v>
      </c>
      <c r="AI1012" s="41">
        <f>IFERROR(LOOKUP(X1012,打分卡!$F$13:$J$13,打分卡!$K$13:$O$13),1)</f>
        <v>2</v>
      </c>
      <c r="AJ1012" s="41">
        <f>IFERROR(LOOKUP(Y1012,打分卡!$F$14:$J$14,打分卡!$K$14:$O$14),1)</f>
        <v>2</v>
      </c>
      <c r="AK1012" s="41">
        <f>IFERROR(LOOKUP(W1012,打分卡!$F$15:$J$15,打分卡!$K$15:$O$15),1)</f>
        <v>1</v>
      </c>
      <c r="AL1012" s="43">
        <f t="shared" si="121"/>
        <v>5</v>
      </c>
      <c r="AM1012" s="41">
        <f>IFERROR(LOOKUP(Z1012,打分卡!$F$17:$H$17,打分卡!$K$17:$M$17),1)</f>
        <v>1</v>
      </c>
      <c r="AN1012" s="44">
        <f>(打分卡!$D$7*AC1012+打分卡!$D$8*AD1012+打分卡!$D$9*AE1012)/5</f>
        <v>8</v>
      </c>
      <c r="AO1012" s="44">
        <f>(打分卡!$D$10*AF1012+打分卡!$D$11*AG1012)/5</f>
        <v>4</v>
      </c>
      <c r="AP1012" s="44">
        <f>(打分卡!$D$12*AH1012+打分卡!$D$13*AI1012+打分卡!$D$14*AJ1012+打分卡!$D$15*AK1012)/5</f>
        <v>8.8</v>
      </c>
      <c r="AQ1012" s="44">
        <f>(打分卡!$D$16*AL1012+打分卡!$D$17*AM1012)/5</f>
        <v>6.8</v>
      </c>
      <c r="AR1012" s="47">
        <f t="shared" si="122"/>
        <v>27.6</v>
      </c>
      <c r="AS1012" s="43" t="str">
        <f t="shared" si="123"/>
        <v>基础长尾</v>
      </c>
      <c r="AT1012" s="43" t="str">
        <f t="shared" si="124"/>
        <v/>
      </c>
      <c r="AU1012" s="43" t="str">
        <f t="shared" si="125"/>
        <v>激活：企微+Push低成本先跑</v>
      </c>
    </row>
    <row r="1013" ht="15" customHeight="1" spans="1:47">
      <c r="A1013" s="20" t="s">
        <v>2781</v>
      </c>
      <c r="B1013" s="22" t="s">
        <v>2782</v>
      </c>
      <c r="C1013" s="22" t="s">
        <v>223</v>
      </c>
      <c r="D1013" s="22" t="s">
        <v>196</v>
      </c>
      <c r="E1013" s="22" t="s">
        <v>181</v>
      </c>
      <c r="F1013" s="20" t="s">
        <v>2778</v>
      </c>
      <c r="G1013" s="22">
        <v>1</v>
      </c>
      <c r="H1013" s="22" t="s">
        <v>642</v>
      </c>
      <c r="I1013" s="22" t="s">
        <v>302</v>
      </c>
      <c r="J1013" s="36">
        <v>2100</v>
      </c>
      <c r="K1013" s="36">
        <v>1000</v>
      </c>
      <c r="L1013" s="36">
        <v>1100</v>
      </c>
      <c r="M1013" s="36">
        <f t="shared" si="120"/>
        <v>4200</v>
      </c>
      <c r="N1013" s="34">
        <f t="shared" si="126"/>
        <v>2.20190874031947e-5</v>
      </c>
      <c r="O1013" s="35">
        <f>SUM($M$2:M1013)</f>
        <v>190095200</v>
      </c>
      <c r="P1013" s="34">
        <f t="shared" si="127"/>
        <v>0.996600672316135</v>
      </c>
      <c r="Q1013" s="39">
        <v>0.5</v>
      </c>
      <c r="R1013" s="22">
        <v>2</v>
      </c>
      <c r="S1013" s="22">
        <v>1</v>
      </c>
      <c r="T1013" s="22">
        <v>0</v>
      </c>
      <c r="U1013" s="39">
        <v>497</v>
      </c>
      <c r="V1013" s="22">
        <v>1</v>
      </c>
      <c r="W1013" s="22">
        <v>25</v>
      </c>
      <c r="X1013" s="40">
        <v>1351</v>
      </c>
      <c r="Y1013" s="22">
        <v>4</v>
      </c>
      <c r="Z1013" s="22">
        <v>0</v>
      </c>
      <c r="AA1013" s="22" t="s">
        <v>199</v>
      </c>
      <c r="AB1013" s="22" t="s">
        <v>220</v>
      </c>
      <c r="AC1013" s="42">
        <f>IFERROR(LOOKUP(M1013,打分卡!$F$7:$J$7,打分卡!$K$7:$O$7),1)</f>
        <v>1</v>
      </c>
      <c r="AD1013" s="42">
        <f>IFERROR(LOOKUP(S1013,打分卡!$F$8:$J$8,打分卡!$K$8:$O$8),1)</f>
        <v>1</v>
      </c>
      <c r="AE1013" s="42">
        <f>IFERROR(LOOKUP(T1013,打分卡!$F$9:$I$9,打分卡!$K$9:$N$9),1)</f>
        <v>1</v>
      </c>
      <c r="AF1013" s="42">
        <f>IFERROR(LOOKUP(Q1013,打分卡!$F$10:$J$10,打分卡!$K$10:$O$10),1)</f>
        <v>1</v>
      </c>
      <c r="AG1013" s="42">
        <f>IFERROR(LOOKUP(R1013,打分卡!$F$11:$J$11,打分卡!$K$11:$O$11),1)</f>
        <v>1</v>
      </c>
      <c r="AH1013" s="42">
        <f>IFERROR(LOOKUP(U1013,打分卡!$F$12:$J$12,打分卡!$K$12:$O$12),1)</f>
        <v>5</v>
      </c>
      <c r="AI1013" s="42">
        <f>IFERROR(LOOKUP(X1013,打分卡!$F$13:$J$13,打分卡!$K$13:$O$13),1)</f>
        <v>5</v>
      </c>
      <c r="AJ1013" s="42">
        <f>IFERROR(LOOKUP(Y1013,打分卡!$F$14:$J$14,打分卡!$K$14:$O$14),1)</f>
        <v>4</v>
      </c>
      <c r="AK1013" s="42">
        <f>IFERROR(LOOKUP(W1013,打分卡!$F$15:$J$15,打分卡!$K$15:$O$15),1)</f>
        <v>5</v>
      </c>
      <c r="AL1013" s="45">
        <f t="shared" si="121"/>
        <v>5</v>
      </c>
      <c r="AM1013" s="42">
        <f>IFERROR(LOOKUP(Z1013,打分卡!$F$17:$H$17,打分卡!$K$17:$M$17),1)</f>
        <v>1</v>
      </c>
      <c r="AN1013" s="46">
        <f>(打分卡!$D$7*AC1013+打分卡!$D$8*AD1013+打分卡!$D$9*AE1013)/5</f>
        <v>8</v>
      </c>
      <c r="AO1013" s="46">
        <f>(打分卡!$D$10*AF1013+打分卡!$D$11*AG1013)/5</f>
        <v>4</v>
      </c>
      <c r="AP1013" s="46">
        <f>(打分卡!$D$12*AH1013+打分卡!$D$13*AI1013+打分卡!$D$14*AJ1013+打分卡!$D$15*AK1013)/5</f>
        <v>28.8</v>
      </c>
      <c r="AQ1013" s="46">
        <f>(打分卡!$D$16*AL1013+打分卡!$D$17*AM1013)/5</f>
        <v>6.8</v>
      </c>
      <c r="AR1013" s="48">
        <f t="shared" si="122"/>
        <v>78</v>
      </c>
      <c r="AS1013" s="45" t="str">
        <f t="shared" si="123"/>
        <v>KA</v>
      </c>
      <c r="AT1013" s="45" t="str">
        <f t="shared" si="124"/>
        <v/>
      </c>
      <c r="AU1013" s="45" t="str">
        <f t="shared" si="125"/>
        <v>扩·深化：AI外呼场景深化+Push/企微补全</v>
      </c>
    </row>
    <row r="1014" ht="15" customHeight="1" spans="1:47">
      <c r="A1014" s="30" t="s">
        <v>2783</v>
      </c>
      <c r="B1014" s="31" t="s">
        <v>2784</v>
      </c>
      <c r="C1014" s="31" t="s">
        <v>239</v>
      </c>
      <c r="D1014" s="31" t="s">
        <v>202</v>
      </c>
      <c r="E1014" s="31" t="s">
        <v>181</v>
      </c>
      <c r="F1014" s="30" t="s">
        <v>2785</v>
      </c>
      <c r="G1014" s="31">
        <v>1</v>
      </c>
      <c r="H1014" s="31" t="s">
        <v>642</v>
      </c>
      <c r="I1014" s="31" t="s">
        <v>302</v>
      </c>
      <c r="J1014" s="33">
        <v>2200</v>
      </c>
      <c r="K1014" s="33">
        <v>900</v>
      </c>
      <c r="L1014" s="33">
        <v>1100</v>
      </c>
      <c r="M1014" s="33">
        <f t="shared" si="120"/>
        <v>4200</v>
      </c>
      <c r="N1014" s="34">
        <f t="shared" si="126"/>
        <v>2.20190874031947e-5</v>
      </c>
      <c r="O1014" s="35">
        <f>SUM($M$2:M1014)</f>
        <v>190099400</v>
      </c>
      <c r="P1014" s="34">
        <f t="shared" si="127"/>
        <v>0.996622691403539</v>
      </c>
      <c r="Q1014" s="37">
        <v>0.5</v>
      </c>
      <c r="R1014" s="31">
        <v>1</v>
      </c>
      <c r="S1014" s="31">
        <v>0</v>
      </c>
      <c r="T1014" s="31">
        <v>0</v>
      </c>
      <c r="U1014" s="37">
        <v>0.5</v>
      </c>
      <c r="V1014" s="31">
        <v>0</v>
      </c>
      <c r="W1014" s="31">
        <v>0</v>
      </c>
      <c r="X1014" s="38">
        <v>47</v>
      </c>
      <c r="Y1014" s="31">
        <v>0</v>
      </c>
      <c r="Z1014" s="31">
        <v>0</v>
      </c>
      <c r="AA1014" s="31" t="s">
        <v>199</v>
      </c>
      <c r="AB1014" s="31" t="s">
        <v>220</v>
      </c>
      <c r="AC1014" s="41">
        <f>IFERROR(LOOKUP(M1014,打分卡!$F$7:$J$7,打分卡!$K$7:$O$7),1)</f>
        <v>1</v>
      </c>
      <c r="AD1014" s="41">
        <f>IFERROR(LOOKUP(S1014,打分卡!$F$8:$J$8,打分卡!$K$8:$O$8),1)</f>
        <v>1</v>
      </c>
      <c r="AE1014" s="41">
        <f>IFERROR(LOOKUP(T1014,打分卡!$F$9:$I$9,打分卡!$K$9:$N$9),1)</f>
        <v>1</v>
      </c>
      <c r="AF1014" s="41">
        <f>IFERROR(LOOKUP(Q1014,打分卡!$F$10:$J$10,打分卡!$K$10:$O$10),1)</f>
        <v>1</v>
      </c>
      <c r="AG1014" s="41">
        <f>IFERROR(LOOKUP(R1014,打分卡!$F$11:$J$11,打分卡!$K$11:$O$11),1)</f>
        <v>1</v>
      </c>
      <c r="AH1014" s="41">
        <f>IFERROR(LOOKUP(U1014,打分卡!$F$12:$J$12,打分卡!$K$12:$O$12),1)</f>
        <v>1</v>
      </c>
      <c r="AI1014" s="41">
        <f>IFERROR(LOOKUP(X1014,打分卡!$F$13:$J$13,打分卡!$K$13:$O$13),1)</f>
        <v>3</v>
      </c>
      <c r="AJ1014" s="41">
        <f>IFERROR(LOOKUP(Y1014,打分卡!$F$14:$J$14,打分卡!$K$14:$O$14),1)</f>
        <v>1</v>
      </c>
      <c r="AK1014" s="41">
        <f>IFERROR(LOOKUP(W1014,打分卡!$F$15:$J$15,打分卡!$K$15:$O$15),1)</f>
        <v>1</v>
      </c>
      <c r="AL1014" s="43">
        <f t="shared" si="121"/>
        <v>5</v>
      </c>
      <c r="AM1014" s="41">
        <f>IFERROR(LOOKUP(Z1014,打分卡!$F$17:$H$17,打分卡!$K$17:$M$17),1)</f>
        <v>1</v>
      </c>
      <c r="AN1014" s="44">
        <f>(打分卡!$D$7*AC1014+打分卡!$D$8*AD1014+打分卡!$D$9*AE1014)/5</f>
        <v>8</v>
      </c>
      <c r="AO1014" s="44">
        <f>(打分卡!$D$10*AF1014+打分卡!$D$11*AG1014)/5</f>
        <v>4</v>
      </c>
      <c r="AP1014" s="44">
        <f>(打分卡!$D$12*AH1014+打分卡!$D$13*AI1014+打分卡!$D$14*AJ1014+打分卡!$D$15*AK1014)/5</f>
        <v>9.2</v>
      </c>
      <c r="AQ1014" s="44">
        <f>(打分卡!$D$16*AL1014+打分卡!$D$17*AM1014)/5</f>
        <v>6.8</v>
      </c>
      <c r="AR1014" s="47">
        <f t="shared" si="122"/>
        <v>32.2666666666667</v>
      </c>
      <c r="AS1014" s="43" t="str">
        <f t="shared" si="123"/>
        <v>基础长尾</v>
      </c>
      <c r="AT1014" s="43" t="str">
        <f t="shared" si="124"/>
        <v/>
      </c>
      <c r="AU1014" s="43" t="str">
        <f t="shared" si="125"/>
        <v>激活：企微+Push低成本先跑</v>
      </c>
    </row>
    <row r="1015" ht="15" customHeight="1" spans="1:47">
      <c r="A1015" s="20" t="s">
        <v>2786</v>
      </c>
      <c r="B1015" s="22" t="s">
        <v>2787</v>
      </c>
      <c r="C1015" s="22" t="s">
        <v>189</v>
      </c>
      <c r="D1015" s="22" t="s">
        <v>196</v>
      </c>
      <c r="E1015" s="22" t="s">
        <v>181</v>
      </c>
      <c r="F1015" s="20" t="s">
        <v>2788</v>
      </c>
      <c r="G1015" s="22">
        <v>2</v>
      </c>
      <c r="H1015" s="22" t="s">
        <v>642</v>
      </c>
      <c r="I1015" s="22" t="s">
        <v>302</v>
      </c>
      <c r="J1015" s="36">
        <v>2400</v>
      </c>
      <c r="K1015" s="36">
        <v>1500</v>
      </c>
      <c r="L1015" s="36">
        <v>200</v>
      </c>
      <c r="M1015" s="36">
        <f t="shared" si="120"/>
        <v>4100</v>
      </c>
      <c r="N1015" s="34">
        <f t="shared" si="126"/>
        <v>2.14948234174043e-5</v>
      </c>
      <c r="O1015" s="35">
        <f>SUM($M$2:M1015)</f>
        <v>190103500</v>
      </c>
      <c r="P1015" s="34">
        <f t="shared" si="127"/>
        <v>0.996644186226956</v>
      </c>
      <c r="Q1015" s="39">
        <v>0.6</v>
      </c>
      <c r="R1015" s="22">
        <v>3</v>
      </c>
      <c r="S1015" s="22">
        <v>0</v>
      </c>
      <c r="T1015" s="22">
        <v>0</v>
      </c>
      <c r="U1015" s="39">
        <v>1.4</v>
      </c>
      <c r="V1015" s="22">
        <v>10</v>
      </c>
      <c r="W1015" s="22">
        <v>2</v>
      </c>
      <c r="X1015" s="40">
        <v>7</v>
      </c>
      <c r="Y1015" s="22">
        <v>0</v>
      </c>
      <c r="Z1015" s="22">
        <v>0</v>
      </c>
      <c r="AA1015" s="22" t="s">
        <v>199</v>
      </c>
      <c r="AB1015" s="22" t="s">
        <v>220</v>
      </c>
      <c r="AC1015" s="42">
        <f>IFERROR(LOOKUP(M1015,打分卡!$F$7:$J$7,打分卡!$K$7:$O$7),1)</f>
        <v>1</v>
      </c>
      <c r="AD1015" s="42">
        <f>IFERROR(LOOKUP(S1015,打分卡!$F$8:$J$8,打分卡!$K$8:$O$8),1)</f>
        <v>1</v>
      </c>
      <c r="AE1015" s="42">
        <f>IFERROR(LOOKUP(T1015,打分卡!$F$9:$I$9,打分卡!$K$9:$N$9),1)</f>
        <v>1</v>
      </c>
      <c r="AF1015" s="42">
        <f>IFERROR(LOOKUP(Q1015,打分卡!$F$10:$J$10,打分卡!$K$10:$O$10),1)</f>
        <v>1</v>
      </c>
      <c r="AG1015" s="42">
        <f>IFERROR(LOOKUP(R1015,打分卡!$F$11:$J$11,打分卡!$K$11:$O$11),1)</f>
        <v>2</v>
      </c>
      <c r="AH1015" s="42">
        <f>IFERROR(LOOKUP(U1015,打分卡!$F$12:$J$12,打分卡!$K$12:$O$12),1)</f>
        <v>1</v>
      </c>
      <c r="AI1015" s="42">
        <f>IFERROR(LOOKUP(X1015,打分卡!$F$13:$J$13,打分卡!$K$13:$O$13),1)</f>
        <v>1</v>
      </c>
      <c r="AJ1015" s="42">
        <f>IFERROR(LOOKUP(Y1015,打分卡!$F$14:$J$14,打分卡!$K$14:$O$14),1)</f>
        <v>1</v>
      </c>
      <c r="AK1015" s="42">
        <f>IFERROR(LOOKUP(W1015,打分卡!$F$15:$J$15,打分卡!$K$15:$O$15),1)</f>
        <v>2</v>
      </c>
      <c r="AL1015" s="45">
        <f t="shared" si="121"/>
        <v>5</v>
      </c>
      <c r="AM1015" s="42">
        <f>IFERROR(LOOKUP(Z1015,打分卡!$F$17:$H$17,打分卡!$K$17:$M$17),1)</f>
        <v>1</v>
      </c>
      <c r="AN1015" s="46">
        <f>(打分卡!$D$7*AC1015+打分卡!$D$8*AD1015+打分卡!$D$9*AE1015)/5</f>
        <v>8</v>
      </c>
      <c r="AO1015" s="46">
        <f>(打分卡!$D$10*AF1015+打分卡!$D$11*AG1015)/5</f>
        <v>6</v>
      </c>
      <c r="AP1015" s="46">
        <f>(打分卡!$D$12*AH1015+打分卡!$D$13*AI1015+打分卡!$D$14*AJ1015+打分卡!$D$15*AK1015)/5</f>
        <v>6.8</v>
      </c>
      <c r="AQ1015" s="46">
        <f>(打分卡!$D$16*AL1015+打分卡!$D$17*AM1015)/5</f>
        <v>6.8</v>
      </c>
      <c r="AR1015" s="48">
        <f t="shared" si="122"/>
        <v>28.6666666666667</v>
      </c>
      <c r="AS1015" s="45" t="str">
        <f t="shared" si="123"/>
        <v>基础长尾</v>
      </c>
      <c r="AT1015" s="45" t="str">
        <f t="shared" si="124"/>
        <v/>
      </c>
      <c r="AU1015" s="45" t="str">
        <f t="shared" si="125"/>
        <v>激活：企微+Push低成本先跑</v>
      </c>
    </row>
    <row r="1016" ht="15" customHeight="1" spans="1:47">
      <c r="A1016" s="30" t="s">
        <v>2789</v>
      </c>
      <c r="B1016" s="31" t="s">
        <v>2790</v>
      </c>
      <c r="C1016" s="31" t="s">
        <v>179</v>
      </c>
      <c r="D1016" s="31" t="s">
        <v>227</v>
      </c>
      <c r="E1016" s="31" t="s">
        <v>181</v>
      </c>
      <c r="F1016" s="30" t="s">
        <v>2791</v>
      </c>
      <c r="G1016" s="31">
        <v>2</v>
      </c>
      <c r="H1016" s="31" t="s">
        <v>642</v>
      </c>
      <c r="I1016" s="31" t="s">
        <v>302</v>
      </c>
      <c r="J1016" s="33">
        <v>2000</v>
      </c>
      <c r="K1016" s="33">
        <v>1400</v>
      </c>
      <c r="L1016" s="33">
        <v>800</v>
      </c>
      <c r="M1016" s="33">
        <f t="shared" si="120"/>
        <v>4200</v>
      </c>
      <c r="N1016" s="34">
        <f t="shared" si="126"/>
        <v>2.20190874031947e-5</v>
      </c>
      <c r="O1016" s="35">
        <f>SUM($M$2:M1016)</f>
        <v>190107700</v>
      </c>
      <c r="P1016" s="34">
        <f t="shared" si="127"/>
        <v>0.996666205314359</v>
      </c>
      <c r="Q1016" s="37">
        <v>0.2</v>
      </c>
      <c r="R1016" s="31">
        <v>3</v>
      </c>
      <c r="S1016" s="31">
        <v>0</v>
      </c>
      <c r="T1016" s="31">
        <v>0</v>
      </c>
      <c r="U1016" s="37">
        <v>1.5</v>
      </c>
      <c r="V1016" s="31">
        <v>5</v>
      </c>
      <c r="W1016" s="31">
        <v>2</v>
      </c>
      <c r="X1016" s="38">
        <v>40</v>
      </c>
      <c r="Y1016" s="31">
        <v>1</v>
      </c>
      <c r="Z1016" s="31">
        <v>0</v>
      </c>
      <c r="AA1016" s="31" t="s">
        <v>199</v>
      </c>
      <c r="AB1016" s="31" t="s">
        <v>220</v>
      </c>
      <c r="AC1016" s="41">
        <f>IFERROR(LOOKUP(M1016,打分卡!$F$7:$J$7,打分卡!$K$7:$O$7),1)</f>
        <v>1</v>
      </c>
      <c r="AD1016" s="41">
        <f>IFERROR(LOOKUP(S1016,打分卡!$F$8:$J$8,打分卡!$K$8:$O$8),1)</f>
        <v>1</v>
      </c>
      <c r="AE1016" s="41">
        <f>IFERROR(LOOKUP(T1016,打分卡!$F$9:$I$9,打分卡!$K$9:$N$9),1)</f>
        <v>1</v>
      </c>
      <c r="AF1016" s="41">
        <f>IFERROR(LOOKUP(Q1016,打分卡!$F$10:$J$10,打分卡!$K$10:$O$10),1)</f>
        <v>1</v>
      </c>
      <c r="AG1016" s="41">
        <f>IFERROR(LOOKUP(R1016,打分卡!$F$11:$J$11,打分卡!$K$11:$O$11),1)</f>
        <v>2</v>
      </c>
      <c r="AH1016" s="41">
        <f>IFERROR(LOOKUP(U1016,打分卡!$F$12:$J$12,打分卡!$K$12:$O$12),1)</f>
        <v>1</v>
      </c>
      <c r="AI1016" s="41">
        <f>IFERROR(LOOKUP(X1016,打分卡!$F$13:$J$13,打分卡!$K$13:$O$13),1)</f>
        <v>3</v>
      </c>
      <c r="AJ1016" s="41">
        <f>IFERROR(LOOKUP(Y1016,打分卡!$F$14:$J$14,打分卡!$K$14:$O$14),1)</f>
        <v>2</v>
      </c>
      <c r="AK1016" s="41">
        <f>IFERROR(LOOKUP(W1016,打分卡!$F$15:$J$15,打分卡!$K$15:$O$15),1)</f>
        <v>2</v>
      </c>
      <c r="AL1016" s="43">
        <f t="shared" si="121"/>
        <v>5</v>
      </c>
      <c r="AM1016" s="41">
        <f>IFERROR(LOOKUP(Z1016,打分卡!$F$17:$H$17,打分卡!$K$17:$M$17),1)</f>
        <v>1</v>
      </c>
      <c r="AN1016" s="44">
        <f>(打分卡!$D$7*AC1016+打分卡!$D$8*AD1016+打分卡!$D$9*AE1016)/5</f>
        <v>8</v>
      </c>
      <c r="AO1016" s="44">
        <f>(打分卡!$D$10*AF1016+打分卡!$D$11*AG1016)/5</f>
        <v>6</v>
      </c>
      <c r="AP1016" s="44">
        <f>(打分卡!$D$12*AH1016+打分卡!$D$13*AI1016+打分卡!$D$14*AJ1016+打分卡!$D$15*AK1016)/5</f>
        <v>11.2</v>
      </c>
      <c r="AQ1016" s="44">
        <f>(打分卡!$D$16*AL1016+打分卡!$D$17*AM1016)/5</f>
        <v>6.8</v>
      </c>
      <c r="AR1016" s="47">
        <f t="shared" si="122"/>
        <v>38.9333333333333</v>
      </c>
      <c r="AS1016" s="43" t="str">
        <f t="shared" si="123"/>
        <v>基础长尾</v>
      </c>
      <c r="AT1016" s="43" t="str">
        <f t="shared" si="124"/>
        <v/>
      </c>
      <c r="AU1016" s="43" t="str">
        <f t="shared" si="125"/>
        <v>激活：企微+Push低成本先跑</v>
      </c>
    </row>
    <row r="1017" ht="15" customHeight="1" spans="1:47">
      <c r="A1017" s="20" t="s">
        <v>2792</v>
      </c>
      <c r="B1017" s="22" t="s">
        <v>2793</v>
      </c>
      <c r="C1017" s="22" t="s">
        <v>223</v>
      </c>
      <c r="D1017" s="22" t="s">
        <v>202</v>
      </c>
      <c r="E1017" s="22" t="s">
        <v>197</v>
      </c>
      <c r="F1017" s="20" t="s">
        <v>2773</v>
      </c>
      <c r="G1017" s="22">
        <v>2</v>
      </c>
      <c r="H1017" s="22" t="s">
        <v>642</v>
      </c>
      <c r="I1017" s="22" t="s">
        <v>302</v>
      </c>
      <c r="J1017" s="36">
        <v>2500</v>
      </c>
      <c r="K1017" s="36">
        <v>800</v>
      </c>
      <c r="L1017" s="36">
        <v>700</v>
      </c>
      <c r="M1017" s="36">
        <f t="shared" si="120"/>
        <v>4000</v>
      </c>
      <c r="N1017" s="34">
        <f t="shared" si="126"/>
        <v>2.0970559431614e-5</v>
      </c>
      <c r="O1017" s="35">
        <f>SUM($M$2:M1017)</f>
        <v>190111700</v>
      </c>
      <c r="P1017" s="34">
        <f t="shared" si="127"/>
        <v>0.996687175873791</v>
      </c>
      <c r="Q1017" s="39">
        <v>0.5</v>
      </c>
      <c r="R1017" s="22">
        <v>3</v>
      </c>
      <c r="S1017" s="22">
        <v>1</v>
      </c>
      <c r="T1017" s="22">
        <v>0</v>
      </c>
      <c r="U1017" s="39">
        <v>6.8</v>
      </c>
      <c r="V1017" s="22">
        <v>4</v>
      </c>
      <c r="W1017" s="22">
        <v>1</v>
      </c>
      <c r="X1017" s="40">
        <v>77</v>
      </c>
      <c r="Y1017" s="22">
        <v>1</v>
      </c>
      <c r="Z1017" s="22">
        <v>0</v>
      </c>
      <c r="AA1017" s="22" t="s">
        <v>199</v>
      </c>
      <c r="AB1017" s="22" t="s">
        <v>220</v>
      </c>
      <c r="AC1017" s="42">
        <f>IFERROR(LOOKUP(M1017,打分卡!$F$7:$J$7,打分卡!$K$7:$O$7),1)</f>
        <v>1</v>
      </c>
      <c r="AD1017" s="42">
        <f>IFERROR(LOOKUP(S1017,打分卡!$F$8:$J$8,打分卡!$K$8:$O$8),1)</f>
        <v>1</v>
      </c>
      <c r="AE1017" s="42">
        <f>IFERROR(LOOKUP(T1017,打分卡!$F$9:$I$9,打分卡!$K$9:$N$9),1)</f>
        <v>1</v>
      </c>
      <c r="AF1017" s="42">
        <f>IFERROR(LOOKUP(Q1017,打分卡!$F$10:$J$10,打分卡!$K$10:$O$10),1)</f>
        <v>1</v>
      </c>
      <c r="AG1017" s="42">
        <f>IFERROR(LOOKUP(R1017,打分卡!$F$11:$J$11,打分卡!$K$11:$O$11),1)</f>
        <v>2</v>
      </c>
      <c r="AH1017" s="42">
        <f>IFERROR(LOOKUP(U1017,打分卡!$F$12:$J$12,打分卡!$K$12:$O$12),1)</f>
        <v>2</v>
      </c>
      <c r="AI1017" s="42">
        <f>IFERROR(LOOKUP(X1017,打分卡!$F$13:$J$13,打分卡!$K$13:$O$13),1)</f>
        <v>3</v>
      </c>
      <c r="AJ1017" s="42">
        <f>IFERROR(LOOKUP(Y1017,打分卡!$F$14:$J$14,打分卡!$K$14:$O$14),1)</f>
        <v>2</v>
      </c>
      <c r="AK1017" s="42">
        <f>IFERROR(LOOKUP(W1017,打分卡!$F$15:$J$15,打分卡!$K$15:$O$15),1)</f>
        <v>2</v>
      </c>
      <c r="AL1017" s="45">
        <f t="shared" si="121"/>
        <v>5</v>
      </c>
      <c r="AM1017" s="42">
        <f>IFERROR(LOOKUP(Z1017,打分卡!$F$17:$H$17,打分卡!$K$17:$M$17),1)</f>
        <v>1</v>
      </c>
      <c r="AN1017" s="46">
        <f>(打分卡!$D$7*AC1017+打分卡!$D$8*AD1017+打分卡!$D$9*AE1017)/5</f>
        <v>8</v>
      </c>
      <c r="AO1017" s="46">
        <f>(打分卡!$D$10*AF1017+打分卡!$D$11*AG1017)/5</f>
        <v>6</v>
      </c>
      <c r="AP1017" s="46">
        <f>(打分卡!$D$12*AH1017+打分卡!$D$13*AI1017+打分卡!$D$14*AJ1017+打分卡!$D$15*AK1017)/5</f>
        <v>13.6</v>
      </c>
      <c r="AQ1017" s="46">
        <f>(打分卡!$D$16*AL1017+打分卡!$D$17*AM1017)/5</f>
        <v>6.8</v>
      </c>
      <c r="AR1017" s="48">
        <f t="shared" si="122"/>
        <v>44.5333333333333</v>
      </c>
      <c r="AS1017" s="45" t="str">
        <f t="shared" si="123"/>
        <v>腰部</v>
      </c>
      <c r="AT1017" s="45" t="str">
        <f t="shared" si="124"/>
        <v/>
      </c>
      <c r="AU1017" s="45" t="str">
        <f t="shared" si="125"/>
        <v>拉·主攻：主推AI外呼+大促作战包</v>
      </c>
    </row>
    <row r="1018" ht="15" customHeight="1" spans="1:47">
      <c r="A1018" s="30" t="s">
        <v>2794</v>
      </c>
      <c r="B1018" s="31" t="s">
        <v>2795</v>
      </c>
      <c r="C1018" s="31" t="s">
        <v>239</v>
      </c>
      <c r="D1018" s="31" t="s">
        <v>196</v>
      </c>
      <c r="E1018" s="31" t="s">
        <v>197</v>
      </c>
      <c r="F1018" s="30" t="s">
        <v>1623</v>
      </c>
      <c r="G1018" s="31">
        <v>3</v>
      </c>
      <c r="H1018" s="31" t="s">
        <v>642</v>
      </c>
      <c r="I1018" s="31" t="s">
        <v>302</v>
      </c>
      <c r="J1018" s="33">
        <v>2100</v>
      </c>
      <c r="K1018" s="33">
        <v>1300</v>
      </c>
      <c r="L1018" s="33">
        <v>600</v>
      </c>
      <c r="M1018" s="33">
        <f t="shared" si="120"/>
        <v>4000</v>
      </c>
      <c r="N1018" s="34">
        <f t="shared" si="126"/>
        <v>2.0970559431614e-5</v>
      </c>
      <c r="O1018" s="35">
        <f>SUM($M$2:M1018)</f>
        <v>190115700</v>
      </c>
      <c r="P1018" s="34">
        <f t="shared" si="127"/>
        <v>0.996708146433222</v>
      </c>
      <c r="Q1018" s="37">
        <v>0.3</v>
      </c>
      <c r="R1018" s="31">
        <v>2</v>
      </c>
      <c r="S1018" s="31">
        <v>1</v>
      </c>
      <c r="T1018" s="31">
        <v>0</v>
      </c>
      <c r="U1018" s="37">
        <v>7.4</v>
      </c>
      <c r="V1018" s="31">
        <v>8</v>
      </c>
      <c r="W1018" s="31">
        <v>0</v>
      </c>
      <c r="X1018" s="38">
        <v>6</v>
      </c>
      <c r="Y1018" s="31">
        <v>1</v>
      </c>
      <c r="Z1018" s="31">
        <v>0</v>
      </c>
      <c r="AA1018" s="31" t="s">
        <v>199</v>
      </c>
      <c r="AB1018" s="31" t="s">
        <v>220</v>
      </c>
      <c r="AC1018" s="41">
        <f>IFERROR(LOOKUP(M1018,打分卡!$F$7:$J$7,打分卡!$K$7:$O$7),1)</f>
        <v>1</v>
      </c>
      <c r="AD1018" s="41">
        <f>IFERROR(LOOKUP(S1018,打分卡!$F$8:$J$8,打分卡!$K$8:$O$8),1)</f>
        <v>1</v>
      </c>
      <c r="AE1018" s="41">
        <f>IFERROR(LOOKUP(T1018,打分卡!$F$9:$I$9,打分卡!$K$9:$N$9),1)</f>
        <v>1</v>
      </c>
      <c r="AF1018" s="41">
        <f>IFERROR(LOOKUP(Q1018,打分卡!$F$10:$J$10,打分卡!$K$10:$O$10),1)</f>
        <v>1</v>
      </c>
      <c r="AG1018" s="41">
        <f>IFERROR(LOOKUP(R1018,打分卡!$F$11:$J$11,打分卡!$K$11:$O$11),1)</f>
        <v>1</v>
      </c>
      <c r="AH1018" s="41">
        <f>IFERROR(LOOKUP(U1018,打分卡!$F$12:$J$12,打分卡!$K$12:$O$12),1)</f>
        <v>2</v>
      </c>
      <c r="AI1018" s="41">
        <f>IFERROR(LOOKUP(X1018,打分卡!$F$13:$J$13,打分卡!$K$13:$O$13),1)</f>
        <v>1</v>
      </c>
      <c r="AJ1018" s="41">
        <f>IFERROR(LOOKUP(Y1018,打分卡!$F$14:$J$14,打分卡!$K$14:$O$14),1)</f>
        <v>2</v>
      </c>
      <c r="AK1018" s="41">
        <f>IFERROR(LOOKUP(W1018,打分卡!$F$15:$J$15,打分卡!$K$15:$O$15),1)</f>
        <v>1</v>
      </c>
      <c r="AL1018" s="43">
        <f t="shared" si="121"/>
        <v>5</v>
      </c>
      <c r="AM1018" s="41">
        <f>IFERROR(LOOKUP(Z1018,打分卡!$F$17:$H$17,打分卡!$K$17:$M$17),1)</f>
        <v>1</v>
      </c>
      <c r="AN1018" s="44">
        <f>(打分卡!$D$7*AC1018+打分卡!$D$8*AD1018+打分卡!$D$9*AE1018)/5</f>
        <v>8</v>
      </c>
      <c r="AO1018" s="44">
        <f>(打分卡!$D$10*AF1018+打分卡!$D$11*AG1018)/5</f>
        <v>4</v>
      </c>
      <c r="AP1018" s="44">
        <f>(打分卡!$D$12*AH1018+打分卡!$D$13*AI1018+打分卡!$D$14*AJ1018+打分卡!$D$15*AK1018)/5</f>
        <v>9.6</v>
      </c>
      <c r="AQ1018" s="44">
        <f>(打分卡!$D$16*AL1018+打分卡!$D$17*AM1018)/5</f>
        <v>6.8</v>
      </c>
      <c r="AR1018" s="47">
        <f t="shared" si="122"/>
        <v>28.4</v>
      </c>
      <c r="AS1018" s="43" t="str">
        <f t="shared" si="123"/>
        <v>基础长尾</v>
      </c>
      <c r="AT1018" s="43" t="str">
        <f t="shared" si="124"/>
        <v/>
      </c>
      <c r="AU1018" s="43" t="str">
        <f t="shared" si="125"/>
        <v>激活：企微+Push低成本先跑</v>
      </c>
    </row>
    <row r="1019" ht="15" customHeight="1" spans="1:47">
      <c r="A1019" s="20" t="s">
        <v>2796</v>
      </c>
      <c r="B1019" s="22" t="s">
        <v>2797</v>
      </c>
      <c r="C1019" s="22" t="s">
        <v>195</v>
      </c>
      <c r="D1019" s="22" t="s">
        <v>227</v>
      </c>
      <c r="E1019" s="22" t="s">
        <v>181</v>
      </c>
      <c r="F1019" s="20" t="s">
        <v>2325</v>
      </c>
      <c r="G1019" s="22">
        <v>2</v>
      </c>
      <c r="H1019" s="22" t="s">
        <v>642</v>
      </c>
      <c r="I1019" s="22" t="s">
        <v>302</v>
      </c>
      <c r="J1019" s="36">
        <v>1900</v>
      </c>
      <c r="K1019" s="36">
        <v>1500</v>
      </c>
      <c r="L1019" s="36">
        <v>700</v>
      </c>
      <c r="M1019" s="36">
        <f t="shared" si="120"/>
        <v>4100</v>
      </c>
      <c r="N1019" s="34">
        <f t="shared" si="126"/>
        <v>2.14948234174043e-5</v>
      </c>
      <c r="O1019" s="35">
        <f>SUM($M$2:M1019)</f>
        <v>190119800</v>
      </c>
      <c r="P1019" s="34">
        <f t="shared" si="127"/>
        <v>0.99672964125664</v>
      </c>
      <c r="Q1019" s="39">
        <v>0.4</v>
      </c>
      <c r="R1019" s="22">
        <v>3</v>
      </c>
      <c r="S1019" s="22">
        <v>1</v>
      </c>
      <c r="T1019" s="22">
        <v>0</v>
      </c>
      <c r="U1019" s="39">
        <v>20.2</v>
      </c>
      <c r="V1019" s="22">
        <v>7</v>
      </c>
      <c r="W1019" s="22">
        <v>2</v>
      </c>
      <c r="X1019" s="40">
        <v>12</v>
      </c>
      <c r="Y1019" s="22">
        <v>0</v>
      </c>
      <c r="Z1019" s="22">
        <v>0</v>
      </c>
      <c r="AA1019" s="22" t="s">
        <v>199</v>
      </c>
      <c r="AB1019" s="22" t="s">
        <v>220</v>
      </c>
      <c r="AC1019" s="42">
        <f>IFERROR(LOOKUP(M1019,打分卡!$F$7:$J$7,打分卡!$K$7:$O$7),1)</f>
        <v>1</v>
      </c>
      <c r="AD1019" s="42">
        <f>IFERROR(LOOKUP(S1019,打分卡!$F$8:$J$8,打分卡!$K$8:$O$8),1)</f>
        <v>1</v>
      </c>
      <c r="AE1019" s="42">
        <f>IFERROR(LOOKUP(T1019,打分卡!$F$9:$I$9,打分卡!$K$9:$N$9),1)</f>
        <v>1</v>
      </c>
      <c r="AF1019" s="42">
        <f>IFERROR(LOOKUP(Q1019,打分卡!$F$10:$J$10,打分卡!$K$10:$O$10),1)</f>
        <v>1</v>
      </c>
      <c r="AG1019" s="42">
        <f>IFERROR(LOOKUP(R1019,打分卡!$F$11:$J$11,打分卡!$K$11:$O$11),1)</f>
        <v>2</v>
      </c>
      <c r="AH1019" s="42">
        <f>IFERROR(LOOKUP(U1019,打分卡!$F$12:$J$12,打分卡!$K$12:$O$12),1)</f>
        <v>3</v>
      </c>
      <c r="AI1019" s="42">
        <f>IFERROR(LOOKUP(X1019,打分卡!$F$13:$J$13,打分卡!$K$13:$O$13),1)</f>
        <v>1</v>
      </c>
      <c r="AJ1019" s="42">
        <f>IFERROR(LOOKUP(Y1019,打分卡!$F$14:$J$14,打分卡!$K$14:$O$14),1)</f>
        <v>1</v>
      </c>
      <c r="AK1019" s="42">
        <f>IFERROR(LOOKUP(W1019,打分卡!$F$15:$J$15,打分卡!$K$15:$O$15),1)</f>
        <v>2</v>
      </c>
      <c r="AL1019" s="45">
        <f t="shared" si="121"/>
        <v>5</v>
      </c>
      <c r="AM1019" s="42">
        <f>IFERROR(LOOKUP(Z1019,打分卡!$F$17:$H$17,打分卡!$K$17:$M$17),1)</f>
        <v>1</v>
      </c>
      <c r="AN1019" s="46">
        <f>(打分卡!$D$7*AC1019+打分卡!$D$8*AD1019+打分卡!$D$9*AE1019)/5</f>
        <v>8</v>
      </c>
      <c r="AO1019" s="46">
        <f>(打分卡!$D$10*AF1019+打分卡!$D$11*AG1019)/5</f>
        <v>6</v>
      </c>
      <c r="AP1019" s="46">
        <f>(打分卡!$D$12*AH1019+打分卡!$D$13*AI1019+打分卡!$D$14*AJ1019+打分卡!$D$15*AK1019)/5</f>
        <v>11.6</v>
      </c>
      <c r="AQ1019" s="46">
        <f>(打分卡!$D$16*AL1019+打分卡!$D$17*AM1019)/5</f>
        <v>6.8</v>
      </c>
      <c r="AR1019" s="48">
        <f t="shared" si="122"/>
        <v>39.8666666666667</v>
      </c>
      <c r="AS1019" s="45" t="str">
        <f t="shared" si="123"/>
        <v>基础长尾</v>
      </c>
      <c r="AT1019" s="45" t="str">
        <f t="shared" si="124"/>
        <v/>
      </c>
      <c r="AU1019" s="45" t="str">
        <f t="shared" si="125"/>
        <v>激活：企微+Push低成本先跑</v>
      </c>
    </row>
    <row r="1020" ht="15" customHeight="1" spans="1:47">
      <c r="A1020" s="30" t="s">
        <v>2798</v>
      </c>
      <c r="B1020" s="31" t="s">
        <v>2799</v>
      </c>
      <c r="C1020" s="31" t="s">
        <v>189</v>
      </c>
      <c r="D1020" s="31" t="s">
        <v>252</v>
      </c>
      <c r="E1020" s="31" t="s">
        <v>197</v>
      </c>
      <c r="F1020" s="30" t="s">
        <v>2770</v>
      </c>
      <c r="G1020" s="31">
        <v>1</v>
      </c>
      <c r="H1020" s="31" t="s">
        <v>642</v>
      </c>
      <c r="I1020" s="31" t="s">
        <v>302</v>
      </c>
      <c r="J1020" s="33">
        <v>2300</v>
      </c>
      <c r="K1020" s="33">
        <v>1200</v>
      </c>
      <c r="L1020" s="33">
        <v>500</v>
      </c>
      <c r="M1020" s="33">
        <f t="shared" si="120"/>
        <v>4000</v>
      </c>
      <c r="N1020" s="34">
        <f t="shared" si="126"/>
        <v>2.0970559431614e-5</v>
      </c>
      <c r="O1020" s="35">
        <f>SUM($M$2:M1020)</f>
        <v>190123800</v>
      </c>
      <c r="P1020" s="34">
        <f t="shared" si="127"/>
        <v>0.996750611816071</v>
      </c>
      <c r="Q1020" s="37">
        <v>0.5</v>
      </c>
      <c r="R1020" s="31">
        <v>1</v>
      </c>
      <c r="S1020" s="31">
        <v>0</v>
      </c>
      <c r="T1020" s="31">
        <v>0</v>
      </c>
      <c r="U1020" s="37">
        <v>0.8</v>
      </c>
      <c r="V1020" s="31">
        <v>2</v>
      </c>
      <c r="W1020" s="31">
        <v>2</v>
      </c>
      <c r="X1020" s="38">
        <v>66</v>
      </c>
      <c r="Y1020" s="31">
        <v>0</v>
      </c>
      <c r="Z1020" s="31">
        <v>0</v>
      </c>
      <c r="AA1020" s="31" t="s">
        <v>199</v>
      </c>
      <c r="AB1020" s="31" t="s">
        <v>220</v>
      </c>
      <c r="AC1020" s="41">
        <f>IFERROR(LOOKUP(M1020,打分卡!$F$7:$J$7,打分卡!$K$7:$O$7),1)</f>
        <v>1</v>
      </c>
      <c r="AD1020" s="41">
        <f>IFERROR(LOOKUP(S1020,打分卡!$F$8:$J$8,打分卡!$K$8:$O$8),1)</f>
        <v>1</v>
      </c>
      <c r="AE1020" s="41">
        <f>IFERROR(LOOKUP(T1020,打分卡!$F$9:$I$9,打分卡!$K$9:$N$9),1)</f>
        <v>1</v>
      </c>
      <c r="AF1020" s="41">
        <f>IFERROR(LOOKUP(Q1020,打分卡!$F$10:$J$10,打分卡!$K$10:$O$10),1)</f>
        <v>1</v>
      </c>
      <c r="AG1020" s="41">
        <f>IFERROR(LOOKUP(R1020,打分卡!$F$11:$J$11,打分卡!$K$11:$O$11),1)</f>
        <v>1</v>
      </c>
      <c r="AH1020" s="41">
        <f>IFERROR(LOOKUP(U1020,打分卡!$F$12:$J$12,打分卡!$K$12:$O$12),1)</f>
        <v>1</v>
      </c>
      <c r="AI1020" s="41">
        <f>IFERROR(LOOKUP(X1020,打分卡!$F$13:$J$13,打分卡!$K$13:$O$13),1)</f>
        <v>3</v>
      </c>
      <c r="AJ1020" s="41">
        <f>IFERROR(LOOKUP(Y1020,打分卡!$F$14:$J$14,打分卡!$K$14:$O$14),1)</f>
        <v>1</v>
      </c>
      <c r="AK1020" s="41">
        <f>IFERROR(LOOKUP(W1020,打分卡!$F$15:$J$15,打分卡!$K$15:$O$15),1)</f>
        <v>2</v>
      </c>
      <c r="AL1020" s="43">
        <f t="shared" si="121"/>
        <v>5</v>
      </c>
      <c r="AM1020" s="41">
        <f>IFERROR(LOOKUP(Z1020,打分卡!$F$17:$H$17,打分卡!$K$17:$M$17),1)</f>
        <v>1</v>
      </c>
      <c r="AN1020" s="44">
        <f>(打分卡!$D$7*AC1020+打分卡!$D$8*AD1020+打分卡!$D$9*AE1020)/5</f>
        <v>8</v>
      </c>
      <c r="AO1020" s="44">
        <f>(打分卡!$D$10*AF1020+打分卡!$D$11*AG1020)/5</f>
        <v>4</v>
      </c>
      <c r="AP1020" s="44">
        <f>(打分卡!$D$12*AH1020+打分卡!$D$13*AI1020+打分卡!$D$14*AJ1020+打分卡!$D$15*AK1020)/5</f>
        <v>10</v>
      </c>
      <c r="AQ1020" s="44">
        <f>(打分卡!$D$16*AL1020+打分卡!$D$17*AM1020)/5</f>
        <v>6.8</v>
      </c>
      <c r="AR1020" s="47">
        <f t="shared" si="122"/>
        <v>34.1333333333333</v>
      </c>
      <c r="AS1020" s="43" t="str">
        <f t="shared" si="123"/>
        <v>基础长尾</v>
      </c>
      <c r="AT1020" s="43" t="str">
        <f t="shared" si="124"/>
        <v/>
      </c>
      <c r="AU1020" s="43" t="str">
        <f t="shared" si="125"/>
        <v>激活：企微+Push低成本先跑</v>
      </c>
    </row>
    <row r="1021" ht="15" customHeight="1" spans="1:47">
      <c r="A1021" s="20" t="s">
        <v>2800</v>
      </c>
      <c r="B1021" s="22" t="s">
        <v>2801</v>
      </c>
      <c r="C1021" s="22" t="s">
        <v>234</v>
      </c>
      <c r="D1021" s="22" t="s">
        <v>196</v>
      </c>
      <c r="E1021" s="22" t="s">
        <v>181</v>
      </c>
      <c r="F1021" s="20" t="s">
        <v>2747</v>
      </c>
      <c r="G1021" s="22">
        <v>2</v>
      </c>
      <c r="H1021" s="22" t="s">
        <v>642</v>
      </c>
      <c r="I1021" s="22" t="s">
        <v>302</v>
      </c>
      <c r="J1021" s="36">
        <v>2200</v>
      </c>
      <c r="K1021" s="36">
        <v>1100</v>
      </c>
      <c r="L1021" s="36">
        <v>700</v>
      </c>
      <c r="M1021" s="36">
        <f t="shared" si="120"/>
        <v>4000</v>
      </c>
      <c r="N1021" s="34">
        <f t="shared" si="126"/>
        <v>2.0970559431614e-5</v>
      </c>
      <c r="O1021" s="35">
        <f>SUM($M$2:M1021)</f>
        <v>190127800</v>
      </c>
      <c r="P1021" s="34">
        <f t="shared" si="127"/>
        <v>0.996771582375503</v>
      </c>
      <c r="Q1021" s="39">
        <v>0.5</v>
      </c>
      <c r="R1021" s="22">
        <v>3</v>
      </c>
      <c r="S1021" s="22">
        <v>1</v>
      </c>
      <c r="T1021" s="22">
        <v>0</v>
      </c>
      <c r="U1021" s="39">
        <v>514</v>
      </c>
      <c r="V1021" s="22">
        <v>6</v>
      </c>
      <c r="W1021" s="22">
        <v>17</v>
      </c>
      <c r="X1021" s="40">
        <v>718</v>
      </c>
      <c r="Y1021" s="22">
        <v>3</v>
      </c>
      <c r="Z1021" s="22">
        <v>0</v>
      </c>
      <c r="AA1021" s="22" t="s">
        <v>199</v>
      </c>
      <c r="AB1021" s="22" t="s">
        <v>220</v>
      </c>
      <c r="AC1021" s="42">
        <f>IFERROR(LOOKUP(M1021,打分卡!$F$7:$J$7,打分卡!$K$7:$O$7),1)</f>
        <v>1</v>
      </c>
      <c r="AD1021" s="42">
        <f>IFERROR(LOOKUP(S1021,打分卡!$F$8:$J$8,打分卡!$K$8:$O$8),1)</f>
        <v>1</v>
      </c>
      <c r="AE1021" s="42">
        <f>IFERROR(LOOKUP(T1021,打分卡!$F$9:$I$9,打分卡!$K$9:$N$9),1)</f>
        <v>1</v>
      </c>
      <c r="AF1021" s="42">
        <f>IFERROR(LOOKUP(Q1021,打分卡!$F$10:$J$10,打分卡!$K$10:$O$10),1)</f>
        <v>1</v>
      </c>
      <c r="AG1021" s="42">
        <f>IFERROR(LOOKUP(R1021,打分卡!$F$11:$J$11,打分卡!$K$11:$O$11),1)</f>
        <v>2</v>
      </c>
      <c r="AH1021" s="42">
        <f>IFERROR(LOOKUP(U1021,打分卡!$F$12:$J$12,打分卡!$K$12:$O$12),1)</f>
        <v>5</v>
      </c>
      <c r="AI1021" s="42">
        <f>IFERROR(LOOKUP(X1021,打分卡!$F$13:$J$13,打分卡!$K$13:$O$13),1)</f>
        <v>5</v>
      </c>
      <c r="AJ1021" s="42">
        <f>IFERROR(LOOKUP(Y1021,打分卡!$F$14:$J$14,打分卡!$K$14:$O$14),1)</f>
        <v>4</v>
      </c>
      <c r="AK1021" s="42">
        <f>IFERROR(LOOKUP(W1021,打分卡!$F$15:$J$15,打分卡!$K$15:$O$15),1)</f>
        <v>5</v>
      </c>
      <c r="AL1021" s="45">
        <f t="shared" si="121"/>
        <v>5</v>
      </c>
      <c r="AM1021" s="42">
        <f>IFERROR(LOOKUP(Z1021,打分卡!$F$17:$H$17,打分卡!$K$17:$M$17),1)</f>
        <v>1</v>
      </c>
      <c r="AN1021" s="46">
        <f>(打分卡!$D$7*AC1021+打分卡!$D$8*AD1021+打分卡!$D$9*AE1021)/5</f>
        <v>8</v>
      </c>
      <c r="AO1021" s="46">
        <f>(打分卡!$D$10*AF1021+打分卡!$D$11*AG1021)/5</f>
        <v>6</v>
      </c>
      <c r="AP1021" s="46">
        <f>(打分卡!$D$12*AH1021+打分卡!$D$13*AI1021+打分卡!$D$14*AJ1021+打分卡!$D$15*AK1021)/5</f>
        <v>28.8</v>
      </c>
      <c r="AQ1021" s="46">
        <f>(打分卡!$D$16*AL1021+打分卡!$D$17*AM1021)/5</f>
        <v>6.8</v>
      </c>
      <c r="AR1021" s="48">
        <f t="shared" si="122"/>
        <v>80</v>
      </c>
      <c r="AS1021" s="45" t="str">
        <f t="shared" si="123"/>
        <v>KA</v>
      </c>
      <c r="AT1021" s="45" t="str">
        <f t="shared" si="124"/>
        <v/>
      </c>
      <c r="AU1021" s="45" t="str">
        <f t="shared" si="125"/>
        <v>扩·深化：AI外呼场景深化+Push/企微补全</v>
      </c>
    </row>
    <row r="1022" ht="15" customHeight="1" spans="1:47">
      <c r="A1022" s="30" t="s">
        <v>2802</v>
      </c>
      <c r="B1022" s="31" t="s">
        <v>2803</v>
      </c>
      <c r="C1022" s="31" t="s">
        <v>189</v>
      </c>
      <c r="D1022" s="31" t="s">
        <v>202</v>
      </c>
      <c r="E1022" s="31" t="s">
        <v>197</v>
      </c>
      <c r="F1022" s="30" t="s">
        <v>1725</v>
      </c>
      <c r="G1022" s="31">
        <v>3</v>
      </c>
      <c r="H1022" s="31" t="s">
        <v>642</v>
      </c>
      <c r="I1022" s="31" t="s">
        <v>302</v>
      </c>
      <c r="J1022" s="33">
        <v>2400</v>
      </c>
      <c r="K1022" s="33">
        <v>1300</v>
      </c>
      <c r="L1022" s="33">
        <v>400</v>
      </c>
      <c r="M1022" s="33">
        <f t="shared" si="120"/>
        <v>4100</v>
      </c>
      <c r="N1022" s="34">
        <f t="shared" si="126"/>
        <v>2.14948234174043e-5</v>
      </c>
      <c r="O1022" s="35">
        <f>SUM($M$2:M1022)</f>
        <v>190131900</v>
      </c>
      <c r="P1022" s="34">
        <f t="shared" si="127"/>
        <v>0.99679307719892</v>
      </c>
      <c r="Q1022" s="37">
        <v>0.5</v>
      </c>
      <c r="R1022" s="31">
        <v>3</v>
      </c>
      <c r="S1022" s="31">
        <v>1</v>
      </c>
      <c r="T1022" s="31">
        <v>0</v>
      </c>
      <c r="U1022" s="37">
        <v>0.7</v>
      </c>
      <c r="V1022" s="31">
        <v>0</v>
      </c>
      <c r="W1022" s="31">
        <v>2</v>
      </c>
      <c r="X1022" s="38">
        <v>29</v>
      </c>
      <c r="Y1022" s="31">
        <v>0</v>
      </c>
      <c r="Z1022" s="31">
        <v>0</v>
      </c>
      <c r="AA1022" s="31" t="s">
        <v>199</v>
      </c>
      <c r="AB1022" s="31" t="s">
        <v>220</v>
      </c>
      <c r="AC1022" s="41">
        <f>IFERROR(LOOKUP(M1022,打分卡!$F$7:$J$7,打分卡!$K$7:$O$7),1)</f>
        <v>1</v>
      </c>
      <c r="AD1022" s="41">
        <f>IFERROR(LOOKUP(S1022,打分卡!$F$8:$J$8,打分卡!$K$8:$O$8),1)</f>
        <v>1</v>
      </c>
      <c r="AE1022" s="41">
        <f>IFERROR(LOOKUP(T1022,打分卡!$F$9:$I$9,打分卡!$K$9:$N$9),1)</f>
        <v>1</v>
      </c>
      <c r="AF1022" s="41">
        <f>IFERROR(LOOKUP(Q1022,打分卡!$F$10:$J$10,打分卡!$K$10:$O$10),1)</f>
        <v>1</v>
      </c>
      <c r="AG1022" s="41">
        <f>IFERROR(LOOKUP(R1022,打分卡!$F$11:$J$11,打分卡!$K$11:$O$11),1)</f>
        <v>2</v>
      </c>
      <c r="AH1022" s="41">
        <f>IFERROR(LOOKUP(U1022,打分卡!$F$12:$J$12,打分卡!$K$12:$O$12),1)</f>
        <v>1</v>
      </c>
      <c r="AI1022" s="41">
        <f>IFERROR(LOOKUP(X1022,打分卡!$F$13:$J$13,打分卡!$K$13:$O$13),1)</f>
        <v>2</v>
      </c>
      <c r="AJ1022" s="41">
        <f>IFERROR(LOOKUP(Y1022,打分卡!$F$14:$J$14,打分卡!$K$14:$O$14),1)</f>
        <v>1</v>
      </c>
      <c r="AK1022" s="41">
        <f>IFERROR(LOOKUP(W1022,打分卡!$F$15:$J$15,打分卡!$K$15:$O$15),1)</f>
        <v>2</v>
      </c>
      <c r="AL1022" s="43">
        <f t="shared" si="121"/>
        <v>5</v>
      </c>
      <c r="AM1022" s="41">
        <f>IFERROR(LOOKUP(Z1022,打分卡!$F$17:$H$17,打分卡!$K$17:$M$17),1)</f>
        <v>1</v>
      </c>
      <c r="AN1022" s="44">
        <f>(打分卡!$D$7*AC1022+打分卡!$D$8*AD1022+打分卡!$D$9*AE1022)/5</f>
        <v>8</v>
      </c>
      <c r="AO1022" s="44">
        <f>(打分卡!$D$10*AF1022+打分卡!$D$11*AG1022)/5</f>
        <v>6</v>
      </c>
      <c r="AP1022" s="44">
        <f>(打分卡!$D$12*AH1022+打分卡!$D$13*AI1022+打分卡!$D$14*AJ1022+打分卡!$D$15*AK1022)/5</f>
        <v>8.4</v>
      </c>
      <c r="AQ1022" s="44">
        <f>(打分卡!$D$16*AL1022+打分卡!$D$17*AM1022)/5</f>
        <v>6.8</v>
      </c>
      <c r="AR1022" s="47">
        <f t="shared" si="122"/>
        <v>29.2</v>
      </c>
      <c r="AS1022" s="43" t="str">
        <f t="shared" si="123"/>
        <v>基础长尾</v>
      </c>
      <c r="AT1022" s="43" t="str">
        <f t="shared" si="124"/>
        <v/>
      </c>
      <c r="AU1022" s="43" t="str">
        <f t="shared" si="125"/>
        <v>激活：企微+Push低成本先跑</v>
      </c>
    </row>
    <row r="1023" ht="15" customHeight="1" spans="1:47">
      <c r="A1023" s="20" t="s">
        <v>2804</v>
      </c>
      <c r="B1023" s="22" t="s">
        <v>2805</v>
      </c>
      <c r="C1023" s="22" t="s">
        <v>218</v>
      </c>
      <c r="D1023" s="22" t="s">
        <v>190</v>
      </c>
      <c r="E1023" s="22" t="s">
        <v>181</v>
      </c>
      <c r="F1023" s="20" t="s">
        <v>2806</v>
      </c>
      <c r="G1023" s="22">
        <v>3</v>
      </c>
      <c r="H1023" s="22" t="s">
        <v>642</v>
      </c>
      <c r="I1023" s="22" t="s">
        <v>302</v>
      </c>
      <c r="J1023" s="36">
        <v>2200</v>
      </c>
      <c r="K1023" s="36">
        <v>1000</v>
      </c>
      <c r="L1023" s="36">
        <v>800</v>
      </c>
      <c r="M1023" s="36">
        <f t="shared" si="120"/>
        <v>4000</v>
      </c>
      <c r="N1023" s="34">
        <f t="shared" si="126"/>
        <v>2.0970559431614e-5</v>
      </c>
      <c r="O1023" s="35">
        <f>SUM($M$2:M1023)</f>
        <v>190135900</v>
      </c>
      <c r="P1023" s="34">
        <f t="shared" si="127"/>
        <v>0.996814047758352</v>
      </c>
      <c r="Q1023" s="39">
        <v>0.4</v>
      </c>
      <c r="R1023" s="22">
        <v>2</v>
      </c>
      <c r="S1023" s="22">
        <v>0</v>
      </c>
      <c r="T1023" s="22">
        <v>0</v>
      </c>
      <c r="U1023" s="39">
        <v>12.4</v>
      </c>
      <c r="V1023" s="22">
        <v>3</v>
      </c>
      <c r="W1023" s="22">
        <v>2</v>
      </c>
      <c r="X1023" s="40">
        <v>41</v>
      </c>
      <c r="Y1023" s="22">
        <v>0</v>
      </c>
      <c r="Z1023" s="22">
        <v>0</v>
      </c>
      <c r="AA1023" s="22" t="s">
        <v>199</v>
      </c>
      <c r="AB1023" s="22" t="s">
        <v>220</v>
      </c>
      <c r="AC1023" s="42">
        <f>IFERROR(LOOKUP(M1023,打分卡!$F$7:$J$7,打分卡!$K$7:$O$7),1)</f>
        <v>1</v>
      </c>
      <c r="AD1023" s="42">
        <f>IFERROR(LOOKUP(S1023,打分卡!$F$8:$J$8,打分卡!$K$8:$O$8),1)</f>
        <v>1</v>
      </c>
      <c r="AE1023" s="42">
        <f>IFERROR(LOOKUP(T1023,打分卡!$F$9:$I$9,打分卡!$K$9:$N$9),1)</f>
        <v>1</v>
      </c>
      <c r="AF1023" s="42">
        <f>IFERROR(LOOKUP(Q1023,打分卡!$F$10:$J$10,打分卡!$K$10:$O$10),1)</f>
        <v>1</v>
      </c>
      <c r="AG1023" s="42">
        <f>IFERROR(LOOKUP(R1023,打分卡!$F$11:$J$11,打分卡!$K$11:$O$11),1)</f>
        <v>1</v>
      </c>
      <c r="AH1023" s="42">
        <f>IFERROR(LOOKUP(U1023,打分卡!$F$12:$J$12,打分卡!$K$12:$O$12),1)</f>
        <v>3</v>
      </c>
      <c r="AI1023" s="42">
        <f>IFERROR(LOOKUP(X1023,打分卡!$F$13:$J$13,打分卡!$K$13:$O$13),1)</f>
        <v>3</v>
      </c>
      <c r="AJ1023" s="42">
        <f>IFERROR(LOOKUP(Y1023,打分卡!$F$14:$J$14,打分卡!$K$14:$O$14),1)</f>
        <v>1</v>
      </c>
      <c r="AK1023" s="42">
        <f>IFERROR(LOOKUP(W1023,打分卡!$F$15:$J$15,打分卡!$K$15:$O$15),1)</f>
        <v>2</v>
      </c>
      <c r="AL1023" s="45">
        <f t="shared" si="121"/>
        <v>5</v>
      </c>
      <c r="AM1023" s="42">
        <f>IFERROR(LOOKUP(Z1023,打分卡!$F$17:$H$17,打分卡!$K$17:$M$17),1)</f>
        <v>1</v>
      </c>
      <c r="AN1023" s="46">
        <f>(打分卡!$D$7*AC1023+打分卡!$D$8*AD1023+打分卡!$D$9*AE1023)/5</f>
        <v>8</v>
      </c>
      <c r="AO1023" s="46">
        <f>(打分卡!$D$10*AF1023+打分卡!$D$11*AG1023)/5</f>
        <v>4</v>
      </c>
      <c r="AP1023" s="46">
        <f>(打分卡!$D$12*AH1023+打分卡!$D$13*AI1023+打分卡!$D$14*AJ1023+打分卡!$D$15*AK1023)/5</f>
        <v>14.8</v>
      </c>
      <c r="AQ1023" s="46">
        <f>(打分卡!$D$16*AL1023+打分卡!$D$17*AM1023)/5</f>
        <v>6.8</v>
      </c>
      <c r="AR1023" s="48">
        <f t="shared" si="122"/>
        <v>33.6</v>
      </c>
      <c r="AS1023" s="45" t="str">
        <f t="shared" si="123"/>
        <v>基础长尾</v>
      </c>
      <c r="AT1023" s="45" t="str">
        <f t="shared" si="124"/>
        <v/>
      </c>
      <c r="AU1023" s="45" t="str">
        <f t="shared" si="125"/>
        <v>激活：企微+Push低成本先跑</v>
      </c>
    </row>
    <row r="1024" ht="15" customHeight="1" spans="1:47">
      <c r="A1024" s="30" t="s">
        <v>2807</v>
      </c>
      <c r="B1024" s="31" t="s">
        <v>2808</v>
      </c>
      <c r="C1024" s="31" t="s">
        <v>218</v>
      </c>
      <c r="D1024" s="31" t="s">
        <v>190</v>
      </c>
      <c r="E1024" s="31" t="s">
        <v>181</v>
      </c>
      <c r="F1024" s="30" t="s">
        <v>1489</v>
      </c>
      <c r="G1024" s="31">
        <v>1</v>
      </c>
      <c r="H1024" s="31" t="s">
        <v>642</v>
      </c>
      <c r="I1024" s="31" t="s">
        <v>302</v>
      </c>
      <c r="J1024" s="33">
        <v>2200</v>
      </c>
      <c r="K1024" s="33">
        <v>800</v>
      </c>
      <c r="L1024" s="33">
        <v>800</v>
      </c>
      <c r="M1024" s="33">
        <f t="shared" si="120"/>
        <v>3800</v>
      </c>
      <c r="N1024" s="34">
        <f t="shared" si="126"/>
        <v>1.99220314600333e-5</v>
      </c>
      <c r="O1024" s="35">
        <f>SUM($M$2:M1024)</f>
        <v>190139700</v>
      </c>
      <c r="P1024" s="34">
        <f t="shared" si="127"/>
        <v>0.996833969789812</v>
      </c>
      <c r="Q1024" s="37">
        <v>0.2</v>
      </c>
      <c r="R1024" s="31">
        <v>1</v>
      </c>
      <c r="S1024" s="31">
        <v>0</v>
      </c>
      <c r="T1024" s="31">
        <v>0</v>
      </c>
      <c r="U1024" s="37">
        <v>0.8</v>
      </c>
      <c r="V1024" s="31">
        <v>8</v>
      </c>
      <c r="W1024" s="31">
        <v>0</v>
      </c>
      <c r="X1024" s="38">
        <v>33</v>
      </c>
      <c r="Y1024" s="31">
        <v>1</v>
      </c>
      <c r="Z1024" s="31">
        <v>0</v>
      </c>
      <c r="AA1024" s="31" t="s">
        <v>199</v>
      </c>
      <c r="AB1024" s="31" t="s">
        <v>220</v>
      </c>
      <c r="AC1024" s="41">
        <f>IFERROR(LOOKUP(M1024,打分卡!$F$7:$J$7,打分卡!$K$7:$O$7),1)</f>
        <v>1</v>
      </c>
      <c r="AD1024" s="41">
        <f>IFERROR(LOOKUP(S1024,打分卡!$F$8:$J$8,打分卡!$K$8:$O$8),1)</f>
        <v>1</v>
      </c>
      <c r="AE1024" s="41">
        <f>IFERROR(LOOKUP(T1024,打分卡!$F$9:$I$9,打分卡!$K$9:$N$9),1)</f>
        <v>1</v>
      </c>
      <c r="AF1024" s="41">
        <f>IFERROR(LOOKUP(Q1024,打分卡!$F$10:$J$10,打分卡!$K$10:$O$10),1)</f>
        <v>1</v>
      </c>
      <c r="AG1024" s="41">
        <f>IFERROR(LOOKUP(R1024,打分卡!$F$11:$J$11,打分卡!$K$11:$O$11),1)</f>
        <v>1</v>
      </c>
      <c r="AH1024" s="41">
        <f>IFERROR(LOOKUP(U1024,打分卡!$F$12:$J$12,打分卡!$K$12:$O$12),1)</f>
        <v>1</v>
      </c>
      <c r="AI1024" s="41">
        <f>IFERROR(LOOKUP(X1024,打分卡!$F$13:$J$13,打分卡!$K$13:$O$13),1)</f>
        <v>2</v>
      </c>
      <c r="AJ1024" s="41">
        <f>IFERROR(LOOKUP(Y1024,打分卡!$F$14:$J$14,打分卡!$K$14:$O$14),1)</f>
        <v>2</v>
      </c>
      <c r="AK1024" s="41">
        <f>IFERROR(LOOKUP(W1024,打分卡!$F$15:$J$15,打分卡!$K$15:$O$15),1)</f>
        <v>1</v>
      </c>
      <c r="AL1024" s="43">
        <f t="shared" si="121"/>
        <v>5</v>
      </c>
      <c r="AM1024" s="41">
        <f>IFERROR(LOOKUP(Z1024,打分卡!$F$17:$H$17,打分卡!$K$17:$M$17),1)</f>
        <v>1</v>
      </c>
      <c r="AN1024" s="44">
        <f>(打分卡!$D$7*AC1024+打分卡!$D$8*AD1024+打分卡!$D$9*AE1024)/5</f>
        <v>8</v>
      </c>
      <c r="AO1024" s="44">
        <f>(打分卡!$D$10*AF1024+打分卡!$D$11*AG1024)/5</f>
        <v>4</v>
      </c>
      <c r="AP1024" s="44">
        <f>(打分卡!$D$12*AH1024+打分卡!$D$13*AI1024+打分卡!$D$14*AJ1024+打分卡!$D$15*AK1024)/5</f>
        <v>8.8</v>
      </c>
      <c r="AQ1024" s="44">
        <f>(打分卡!$D$16*AL1024+打分卡!$D$17*AM1024)/5</f>
        <v>6.8</v>
      </c>
      <c r="AR1024" s="47">
        <f t="shared" si="122"/>
        <v>31.3333333333333</v>
      </c>
      <c r="AS1024" s="43" t="str">
        <f t="shared" si="123"/>
        <v>基础长尾</v>
      </c>
      <c r="AT1024" s="43" t="str">
        <f t="shared" si="124"/>
        <v/>
      </c>
      <c r="AU1024" s="43" t="str">
        <f t="shared" si="125"/>
        <v>激活：企微+Push低成本先跑</v>
      </c>
    </row>
    <row r="1025" ht="15" customHeight="1" spans="1:47">
      <c r="A1025" s="20" t="s">
        <v>2809</v>
      </c>
      <c r="B1025" s="22" t="s">
        <v>2810</v>
      </c>
      <c r="C1025" s="22" t="s">
        <v>189</v>
      </c>
      <c r="D1025" s="22" t="s">
        <v>196</v>
      </c>
      <c r="E1025" s="22" t="s">
        <v>181</v>
      </c>
      <c r="F1025" s="20" t="s">
        <v>746</v>
      </c>
      <c r="G1025" s="22">
        <v>3</v>
      </c>
      <c r="H1025" s="22" t="s">
        <v>642</v>
      </c>
      <c r="I1025" s="22" t="s">
        <v>302</v>
      </c>
      <c r="J1025" s="36">
        <v>2400</v>
      </c>
      <c r="K1025" s="36">
        <v>1200</v>
      </c>
      <c r="L1025" s="36">
        <v>300</v>
      </c>
      <c r="M1025" s="36">
        <f t="shared" si="120"/>
        <v>3900</v>
      </c>
      <c r="N1025" s="34">
        <f t="shared" si="126"/>
        <v>2.04462954458236e-5</v>
      </c>
      <c r="O1025" s="35">
        <f>SUM($M$2:M1025)</f>
        <v>190143600</v>
      </c>
      <c r="P1025" s="34">
        <f t="shared" si="127"/>
        <v>0.996854416085258</v>
      </c>
      <c r="Q1025" s="39">
        <v>0.4</v>
      </c>
      <c r="R1025" s="22">
        <v>3</v>
      </c>
      <c r="S1025" s="22">
        <v>1</v>
      </c>
      <c r="T1025" s="22">
        <v>0</v>
      </c>
      <c r="U1025" s="39">
        <v>4.9</v>
      </c>
      <c r="V1025" s="22">
        <v>12</v>
      </c>
      <c r="W1025" s="22">
        <v>1</v>
      </c>
      <c r="X1025" s="40">
        <v>6</v>
      </c>
      <c r="Y1025" s="22">
        <v>0</v>
      </c>
      <c r="Z1025" s="22">
        <v>0</v>
      </c>
      <c r="AA1025" s="22" t="s">
        <v>199</v>
      </c>
      <c r="AB1025" s="22" t="s">
        <v>220</v>
      </c>
      <c r="AC1025" s="42">
        <f>IFERROR(LOOKUP(M1025,打分卡!$F$7:$J$7,打分卡!$K$7:$O$7),1)</f>
        <v>1</v>
      </c>
      <c r="AD1025" s="42">
        <f>IFERROR(LOOKUP(S1025,打分卡!$F$8:$J$8,打分卡!$K$8:$O$8),1)</f>
        <v>1</v>
      </c>
      <c r="AE1025" s="42">
        <f>IFERROR(LOOKUP(T1025,打分卡!$F$9:$I$9,打分卡!$K$9:$N$9),1)</f>
        <v>1</v>
      </c>
      <c r="AF1025" s="42">
        <f>IFERROR(LOOKUP(Q1025,打分卡!$F$10:$J$10,打分卡!$K$10:$O$10),1)</f>
        <v>1</v>
      </c>
      <c r="AG1025" s="42">
        <f>IFERROR(LOOKUP(R1025,打分卡!$F$11:$J$11,打分卡!$K$11:$O$11),1)</f>
        <v>2</v>
      </c>
      <c r="AH1025" s="42">
        <f>IFERROR(LOOKUP(U1025,打分卡!$F$12:$J$12,打分卡!$K$12:$O$12),1)</f>
        <v>2</v>
      </c>
      <c r="AI1025" s="42">
        <f>IFERROR(LOOKUP(X1025,打分卡!$F$13:$J$13,打分卡!$K$13:$O$13),1)</f>
        <v>1</v>
      </c>
      <c r="AJ1025" s="42">
        <f>IFERROR(LOOKUP(Y1025,打分卡!$F$14:$J$14,打分卡!$K$14:$O$14),1)</f>
        <v>1</v>
      </c>
      <c r="AK1025" s="42">
        <f>IFERROR(LOOKUP(W1025,打分卡!$F$15:$J$15,打分卡!$K$15:$O$15),1)</f>
        <v>2</v>
      </c>
      <c r="AL1025" s="45">
        <f t="shared" si="121"/>
        <v>5</v>
      </c>
      <c r="AM1025" s="42">
        <f>IFERROR(LOOKUP(Z1025,打分卡!$F$17:$H$17,打分卡!$K$17:$M$17),1)</f>
        <v>1</v>
      </c>
      <c r="AN1025" s="46">
        <f>(打分卡!$D$7*AC1025+打分卡!$D$8*AD1025+打分卡!$D$9*AE1025)/5</f>
        <v>8</v>
      </c>
      <c r="AO1025" s="46">
        <f>(打分卡!$D$10*AF1025+打分卡!$D$11*AG1025)/5</f>
        <v>6</v>
      </c>
      <c r="AP1025" s="46">
        <f>(打分卡!$D$12*AH1025+打分卡!$D$13*AI1025+打分卡!$D$14*AJ1025+打分卡!$D$15*AK1025)/5</f>
        <v>9.2</v>
      </c>
      <c r="AQ1025" s="46">
        <f>(打分卡!$D$16*AL1025+打分卡!$D$17*AM1025)/5</f>
        <v>6.8</v>
      </c>
      <c r="AR1025" s="48">
        <f t="shared" si="122"/>
        <v>30</v>
      </c>
      <c r="AS1025" s="45" t="str">
        <f t="shared" si="123"/>
        <v>基础长尾</v>
      </c>
      <c r="AT1025" s="45" t="str">
        <f t="shared" si="124"/>
        <v/>
      </c>
      <c r="AU1025" s="45" t="str">
        <f t="shared" si="125"/>
        <v>激活：企微+Push低成本先跑</v>
      </c>
    </row>
    <row r="1026" ht="15" customHeight="1" spans="1:47">
      <c r="A1026" s="30" t="s">
        <v>2811</v>
      </c>
      <c r="B1026" s="31" t="s">
        <v>2812</v>
      </c>
      <c r="C1026" s="31" t="s">
        <v>189</v>
      </c>
      <c r="D1026" s="31" t="s">
        <v>235</v>
      </c>
      <c r="E1026" s="31" t="s">
        <v>197</v>
      </c>
      <c r="F1026" s="30" t="s">
        <v>1064</v>
      </c>
      <c r="G1026" s="31">
        <v>1</v>
      </c>
      <c r="H1026" s="31" t="s">
        <v>642</v>
      </c>
      <c r="I1026" s="31" t="s">
        <v>302</v>
      </c>
      <c r="J1026" s="33">
        <v>2400</v>
      </c>
      <c r="K1026" s="33">
        <v>1300</v>
      </c>
      <c r="L1026" s="33">
        <v>200</v>
      </c>
      <c r="M1026" s="33">
        <f t="shared" ref="M1026:M1089" si="128">SUM(J1026:L1026)</f>
        <v>3900</v>
      </c>
      <c r="N1026" s="34">
        <f t="shared" si="126"/>
        <v>2.04462954458236e-5</v>
      </c>
      <c r="O1026" s="35">
        <f>SUM($M$2:M1026)</f>
        <v>190147500</v>
      </c>
      <c r="P1026" s="34">
        <f t="shared" si="127"/>
        <v>0.996874862380704</v>
      </c>
      <c r="Q1026" s="37">
        <v>0.3</v>
      </c>
      <c r="R1026" s="31">
        <v>2</v>
      </c>
      <c r="S1026" s="31">
        <v>1</v>
      </c>
      <c r="T1026" s="31">
        <v>0</v>
      </c>
      <c r="U1026" s="37">
        <v>0.6</v>
      </c>
      <c r="V1026" s="31">
        <v>15</v>
      </c>
      <c r="W1026" s="31">
        <v>1</v>
      </c>
      <c r="X1026" s="38">
        <v>11</v>
      </c>
      <c r="Y1026" s="31">
        <v>1</v>
      </c>
      <c r="Z1026" s="31">
        <v>0</v>
      </c>
      <c r="AA1026" s="31" t="s">
        <v>199</v>
      </c>
      <c r="AB1026" s="31" t="s">
        <v>220</v>
      </c>
      <c r="AC1026" s="41">
        <f>IFERROR(LOOKUP(M1026,打分卡!$F$7:$J$7,打分卡!$K$7:$O$7),1)</f>
        <v>1</v>
      </c>
      <c r="AD1026" s="41">
        <f>IFERROR(LOOKUP(S1026,打分卡!$F$8:$J$8,打分卡!$K$8:$O$8),1)</f>
        <v>1</v>
      </c>
      <c r="AE1026" s="41">
        <f>IFERROR(LOOKUP(T1026,打分卡!$F$9:$I$9,打分卡!$K$9:$N$9),1)</f>
        <v>1</v>
      </c>
      <c r="AF1026" s="41">
        <f>IFERROR(LOOKUP(Q1026,打分卡!$F$10:$J$10,打分卡!$K$10:$O$10),1)</f>
        <v>1</v>
      </c>
      <c r="AG1026" s="41">
        <f>IFERROR(LOOKUP(R1026,打分卡!$F$11:$J$11,打分卡!$K$11:$O$11),1)</f>
        <v>1</v>
      </c>
      <c r="AH1026" s="41">
        <f>IFERROR(LOOKUP(U1026,打分卡!$F$12:$J$12,打分卡!$K$12:$O$12),1)</f>
        <v>1</v>
      </c>
      <c r="AI1026" s="41">
        <f>IFERROR(LOOKUP(X1026,打分卡!$F$13:$J$13,打分卡!$K$13:$O$13),1)</f>
        <v>1</v>
      </c>
      <c r="AJ1026" s="41">
        <f>IFERROR(LOOKUP(Y1026,打分卡!$F$14:$J$14,打分卡!$K$14:$O$14),1)</f>
        <v>2</v>
      </c>
      <c r="AK1026" s="41">
        <f>IFERROR(LOOKUP(W1026,打分卡!$F$15:$J$15,打分卡!$K$15:$O$15),1)</f>
        <v>2</v>
      </c>
      <c r="AL1026" s="43">
        <f t="shared" ref="AL1026:AL1089" si="129">IF(AA1026="连续下降",1,IF(AA1026="下降",2,IF(AA1026="上升",5,3)))</f>
        <v>5</v>
      </c>
      <c r="AM1026" s="41">
        <f>IFERROR(LOOKUP(Z1026,打分卡!$F$17:$H$17,打分卡!$K$17:$M$17),1)</f>
        <v>1</v>
      </c>
      <c r="AN1026" s="44">
        <f>(打分卡!$D$7*AC1026+打分卡!$D$8*AD1026+打分卡!$D$9*AE1026)/5</f>
        <v>8</v>
      </c>
      <c r="AO1026" s="44">
        <f>(打分卡!$D$10*AF1026+打分卡!$D$11*AG1026)/5</f>
        <v>4</v>
      </c>
      <c r="AP1026" s="44">
        <f>(打分卡!$D$12*AH1026+打分卡!$D$13*AI1026+打分卡!$D$14*AJ1026+打分卡!$D$15*AK1026)/5</f>
        <v>8</v>
      </c>
      <c r="AQ1026" s="44">
        <f>(打分卡!$D$16*AL1026+打分卡!$D$17*AM1026)/5</f>
        <v>6.8</v>
      </c>
      <c r="AR1026" s="47">
        <f t="shared" ref="AR1026:AR1089" si="130">IF(G1026&lt;3,AP1026/30*40+AO1026+AP1026+AQ1026,AN1026+AO1026+AP1026+AQ1026)</f>
        <v>29.4666666666667</v>
      </c>
      <c r="AS1026" s="43" t="str">
        <f t="shared" ref="AS1026:AS1089" si="131">IF(M1026=0,IF(G1026&lt;3,"新客观察期","未激活"),IF(AR1026&gt;=90,"SKA",IF(AR1026&gt;=75,"KA",IF(AR1026&gt;=40,"腰部","基础长尾"))))</f>
        <v>基础长尾</v>
      </c>
      <c r="AT1026" s="43" t="str">
        <f t="shared" ref="AT1026:AT1089" si="132">IF(AA1026="连续下降","连续下降-预警","")</f>
        <v/>
      </c>
      <c r="AU1026" s="43" t="str">
        <f t="shared" ref="AU1026:AU1089" si="133">IF(AS1026="SKA","守·共创：卡片短信/AI外呼新场景POC",IF(AS1026="KA","扩·深化：AI外呼场景深化+Push/企微补全",IF(AS1026="腰部","拉·主攻：主推AI外呼+大促作战包",IF(AS1026="新客观察期","培育：入门包+1v1场景教育",IF(AS1026="基础长尾","激活：企微+Push低成本先跑","唤醒：短信模板+首充补贴")))))</f>
        <v>激活：企微+Push低成本先跑</v>
      </c>
    </row>
    <row r="1027" ht="15" customHeight="1" spans="1:47">
      <c r="A1027" s="20" t="s">
        <v>2813</v>
      </c>
      <c r="B1027" s="22" t="s">
        <v>2814</v>
      </c>
      <c r="C1027" s="22" t="s">
        <v>239</v>
      </c>
      <c r="D1027" s="22" t="s">
        <v>196</v>
      </c>
      <c r="E1027" s="22" t="s">
        <v>197</v>
      </c>
      <c r="F1027" s="20" t="s">
        <v>2815</v>
      </c>
      <c r="G1027" s="22">
        <v>1</v>
      </c>
      <c r="H1027" s="22" t="s">
        <v>642</v>
      </c>
      <c r="I1027" s="22" t="s">
        <v>302</v>
      </c>
      <c r="J1027" s="36">
        <v>2200</v>
      </c>
      <c r="K1027" s="36">
        <v>800</v>
      </c>
      <c r="L1027" s="36">
        <v>900</v>
      </c>
      <c r="M1027" s="36">
        <f t="shared" si="128"/>
        <v>3900</v>
      </c>
      <c r="N1027" s="34">
        <f t="shared" ref="N1027:N1090" si="134">M1027/$M$2002</f>
        <v>2.04462954458236e-5</v>
      </c>
      <c r="O1027" s="35">
        <f>SUM($M$2:M1027)</f>
        <v>190151400</v>
      </c>
      <c r="P1027" s="34">
        <f t="shared" ref="P1027:P1090" si="135">O1027/$M$2002</f>
        <v>0.99689530867615</v>
      </c>
      <c r="Q1027" s="39">
        <v>0.5</v>
      </c>
      <c r="R1027" s="22">
        <v>2</v>
      </c>
      <c r="S1027" s="22">
        <v>1</v>
      </c>
      <c r="T1027" s="22">
        <v>0</v>
      </c>
      <c r="U1027" s="39">
        <v>35.1</v>
      </c>
      <c r="V1027" s="22">
        <v>0</v>
      </c>
      <c r="W1027" s="22">
        <v>0</v>
      </c>
      <c r="X1027" s="40">
        <v>48</v>
      </c>
      <c r="Y1027" s="22">
        <v>0</v>
      </c>
      <c r="Z1027" s="22">
        <v>0</v>
      </c>
      <c r="AA1027" s="22" t="s">
        <v>199</v>
      </c>
      <c r="AB1027" s="22" t="s">
        <v>220</v>
      </c>
      <c r="AC1027" s="42">
        <f>IFERROR(LOOKUP(M1027,打分卡!$F$7:$J$7,打分卡!$K$7:$O$7),1)</f>
        <v>1</v>
      </c>
      <c r="AD1027" s="42">
        <f>IFERROR(LOOKUP(S1027,打分卡!$F$8:$J$8,打分卡!$K$8:$O$8),1)</f>
        <v>1</v>
      </c>
      <c r="AE1027" s="42">
        <f>IFERROR(LOOKUP(T1027,打分卡!$F$9:$I$9,打分卡!$K$9:$N$9),1)</f>
        <v>1</v>
      </c>
      <c r="AF1027" s="42">
        <f>IFERROR(LOOKUP(Q1027,打分卡!$F$10:$J$10,打分卡!$K$10:$O$10),1)</f>
        <v>1</v>
      </c>
      <c r="AG1027" s="42">
        <f>IFERROR(LOOKUP(R1027,打分卡!$F$11:$J$11,打分卡!$K$11:$O$11),1)</f>
        <v>1</v>
      </c>
      <c r="AH1027" s="42">
        <f>IFERROR(LOOKUP(U1027,打分卡!$F$12:$J$12,打分卡!$K$12:$O$12),1)</f>
        <v>4</v>
      </c>
      <c r="AI1027" s="42">
        <f>IFERROR(LOOKUP(X1027,打分卡!$F$13:$J$13,打分卡!$K$13:$O$13),1)</f>
        <v>3</v>
      </c>
      <c r="AJ1027" s="42">
        <f>IFERROR(LOOKUP(Y1027,打分卡!$F$14:$J$14,打分卡!$K$14:$O$14),1)</f>
        <v>1</v>
      </c>
      <c r="AK1027" s="42">
        <f>IFERROR(LOOKUP(W1027,打分卡!$F$15:$J$15,打分卡!$K$15:$O$15),1)</f>
        <v>1</v>
      </c>
      <c r="AL1027" s="45">
        <f t="shared" si="129"/>
        <v>5</v>
      </c>
      <c r="AM1027" s="42">
        <f>IFERROR(LOOKUP(Z1027,打分卡!$F$17:$H$17,打分卡!$K$17:$M$17),1)</f>
        <v>1</v>
      </c>
      <c r="AN1027" s="46">
        <f>(打分卡!$D$7*AC1027+打分卡!$D$8*AD1027+打分卡!$D$9*AE1027)/5</f>
        <v>8</v>
      </c>
      <c r="AO1027" s="46">
        <f>(打分卡!$D$10*AF1027+打分卡!$D$11*AG1027)/5</f>
        <v>4</v>
      </c>
      <c r="AP1027" s="46">
        <f>(打分卡!$D$12*AH1027+打分卡!$D$13*AI1027+打分卡!$D$14*AJ1027+打分卡!$D$15*AK1027)/5</f>
        <v>16.4</v>
      </c>
      <c r="AQ1027" s="46">
        <f>(打分卡!$D$16*AL1027+打分卡!$D$17*AM1027)/5</f>
        <v>6.8</v>
      </c>
      <c r="AR1027" s="48">
        <f t="shared" si="130"/>
        <v>49.0666666666667</v>
      </c>
      <c r="AS1027" s="45" t="str">
        <f t="shared" si="131"/>
        <v>腰部</v>
      </c>
      <c r="AT1027" s="45" t="str">
        <f t="shared" si="132"/>
        <v/>
      </c>
      <c r="AU1027" s="45" t="str">
        <f t="shared" si="133"/>
        <v>拉·主攻：主推AI外呼+大促作战包</v>
      </c>
    </row>
    <row r="1028" ht="15" customHeight="1" spans="1:47">
      <c r="A1028" s="30" t="s">
        <v>2816</v>
      </c>
      <c r="B1028" s="31" t="s">
        <v>2817</v>
      </c>
      <c r="C1028" s="31" t="s">
        <v>223</v>
      </c>
      <c r="D1028" s="31" t="s">
        <v>227</v>
      </c>
      <c r="E1028" s="31" t="s">
        <v>181</v>
      </c>
      <c r="F1028" s="30" t="s">
        <v>2818</v>
      </c>
      <c r="G1028" s="31">
        <v>1</v>
      </c>
      <c r="H1028" s="31" t="s">
        <v>642</v>
      </c>
      <c r="I1028" s="31" t="s">
        <v>302</v>
      </c>
      <c r="J1028" s="33">
        <v>1800</v>
      </c>
      <c r="K1028" s="33">
        <v>1000</v>
      </c>
      <c r="L1028" s="33">
        <v>1100</v>
      </c>
      <c r="M1028" s="33">
        <f t="shared" si="128"/>
        <v>3900</v>
      </c>
      <c r="N1028" s="34">
        <f t="shared" si="134"/>
        <v>2.04462954458236e-5</v>
      </c>
      <c r="O1028" s="35">
        <f>SUM($M$2:M1028)</f>
        <v>190155300</v>
      </c>
      <c r="P1028" s="34">
        <f t="shared" si="135"/>
        <v>0.996915754971595</v>
      </c>
      <c r="Q1028" s="37">
        <v>0.3</v>
      </c>
      <c r="R1028" s="31">
        <v>3</v>
      </c>
      <c r="S1028" s="31">
        <v>1</v>
      </c>
      <c r="T1028" s="31">
        <v>0</v>
      </c>
      <c r="U1028" s="37">
        <v>3.5</v>
      </c>
      <c r="V1028" s="31">
        <v>2</v>
      </c>
      <c r="W1028" s="31">
        <v>0</v>
      </c>
      <c r="X1028" s="38">
        <v>74</v>
      </c>
      <c r="Y1028" s="31">
        <v>1</v>
      </c>
      <c r="Z1028" s="31">
        <v>0</v>
      </c>
      <c r="AA1028" s="31" t="s">
        <v>199</v>
      </c>
      <c r="AB1028" s="31" t="s">
        <v>220</v>
      </c>
      <c r="AC1028" s="41">
        <f>IFERROR(LOOKUP(M1028,打分卡!$F$7:$J$7,打分卡!$K$7:$O$7),1)</f>
        <v>1</v>
      </c>
      <c r="AD1028" s="41">
        <f>IFERROR(LOOKUP(S1028,打分卡!$F$8:$J$8,打分卡!$K$8:$O$8),1)</f>
        <v>1</v>
      </c>
      <c r="AE1028" s="41">
        <f>IFERROR(LOOKUP(T1028,打分卡!$F$9:$I$9,打分卡!$K$9:$N$9),1)</f>
        <v>1</v>
      </c>
      <c r="AF1028" s="41">
        <f>IFERROR(LOOKUP(Q1028,打分卡!$F$10:$J$10,打分卡!$K$10:$O$10),1)</f>
        <v>1</v>
      </c>
      <c r="AG1028" s="41">
        <f>IFERROR(LOOKUP(R1028,打分卡!$F$11:$J$11,打分卡!$K$11:$O$11),1)</f>
        <v>2</v>
      </c>
      <c r="AH1028" s="41">
        <f>IFERROR(LOOKUP(U1028,打分卡!$F$12:$J$12,打分卡!$K$12:$O$12),1)</f>
        <v>2</v>
      </c>
      <c r="AI1028" s="41">
        <f>IFERROR(LOOKUP(X1028,打分卡!$F$13:$J$13,打分卡!$K$13:$O$13),1)</f>
        <v>3</v>
      </c>
      <c r="AJ1028" s="41">
        <f>IFERROR(LOOKUP(Y1028,打分卡!$F$14:$J$14,打分卡!$K$14:$O$14),1)</f>
        <v>2</v>
      </c>
      <c r="AK1028" s="41">
        <f>IFERROR(LOOKUP(W1028,打分卡!$F$15:$J$15,打分卡!$K$15:$O$15),1)</f>
        <v>1</v>
      </c>
      <c r="AL1028" s="43">
        <f t="shared" si="129"/>
        <v>5</v>
      </c>
      <c r="AM1028" s="41">
        <f>IFERROR(LOOKUP(Z1028,打分卡!$F$17:$H$17,打分卡!$K$17:$M$17),1)</f>
        <v>1</v>
      </c>
      <c r="AN1028" s="44">
        <f>(打分卡!$D$7*AC1028+打分卡!$D$8*AD1028+打分卡!$D$9*AE1028)/5</f>
        <v>8</v>
      </c>
      <c r="AO1028" s="44">
        <f>(打分卡!$D$10*AF1028+打分卡!$D$11*AG1028)/5</f>
        <v>6</v>
      </c>
      <c r="AP1028" s="44">
        <f>(打分卡!$D$12*AH1028+打分卡!$D$13*AI1028+打分卡!$D$14*AJ1028+打分卡!$D$15*AK1028)/5</f>
        <v>12.8</v>
      </c>
      <c r="AQ1028" s="44">
        <f>(打分卡!$D$16*AL1028+打分卡!$D$17*AM1028)/5</f>
        <v>6.8</v>
      </c>
      <c r="AR1028" s="47">
        <f t="shared" si="130"/>
        <v>42.6666666666667</v>
      </c>
      <c r="AS1028" s="43" t="str">
        <f t="shared" si="131"/>
        <v>腰部</v>
      </c>
      <c r="AT1028" s="43" t="str">
        <f t="shared" si="132"/>
        <v/>
      </c>
      <c r="AU1028" s="43" t="str">
        <f t="shared" si="133"/>
        <v>拉·主攻：主推AI外呼+大促作战包</v>
      </c>
    </row>
    <row r="1029" ht="15" customHeight="1" spans="1:47">
      <c r="A1029" s="20" t="s">
        <v>2819</v>
      </c>
      <c r="B1029" s="22" t="s">
        <v>2820</v>
      </c>
      <c r="C1029" s="22" t="s">
        <v>189</v>
      </c>
      <c r="D1029" s="22" t="s">
        <v>196</v>
      </c>
      <c r="E1029" s="22" t="s">
        <v>181</v>
      </c>
      <c r="F1029" s="20" t="s">
        <v>2484</v>
      </c>
      <c r="G1029" s="22">
        <v>2</v>
      </c>
      <c r="H1029" s="22" t="s">
        <v>642</v>
      </c>
      <c r="I1029" s="22" t="s">
        <v>302</v>
      </c>
      <c r="J1029" s="36">
        <v>2300</v>
      </c>
      <c r="K1029" s="36">
        <v>1000</v>
      </c>
      <c r="L1029" s="36">
        <v>500</v>
      </c>
      <c r="M1029" s="36">
        <f t="shared" si="128"/>
        <v>3800</v>
      </c>
      <c r="N1029" s="34">
        <f t="shared" si="134"/>
        <v>1.99220314600333e-5</v>
      </c>
      <c r="O1029" s="35">
        <f>SUM($M$2:M1029)</f>
        <v>190159100</v>
      </c>
      <c r="P1029" s="34">
        <f t="shared" si="135"/>
        <v>0.996935677003055</v>
      </c>
      <c r="Q1029" s="39">
        <v>0.5</v>
      </c>
      <c r="R1029" s="22">
        <v>3</v>
      </c>
      <c r="S1029" s="22">
        <v>0</v>
      </c>
      <c r="T1029" s="22">
        <v>0</v>
      </c>
      <c r="U1029" s="39">
        <v>21</v>
      </c>
      <c r="V1029" s="22">
        <v>2</v>
      </c>
      <c r="W1029" s="22">
        <v>2</v>
      </c>
      <c r="X1029" s="40">
        <v>31</v>
      </c>
      <c r="Y1029" s="22">
        <v>0</v>
      </c>
      <c r="Z1029" s="22">
        <v>0</v>
      </c>
      <c r="AA1029" s="22" t="s">
        <v>199</v>
      </c>
      <c r="AB1029" s="22" t="s">
        <v>220</v>
      </c>
      <c r="AC1029" s="42">
        <f>IFERROR(LOOKUP(M1029,打分卡!$F$7:$J$7,打分卡!$K$7:$O$7),1)</f>
        <v>1</v>
      </c>
      <c r="AD1029" s="42">
        <f>IFERROR(LOOKUP(S1029,打分卡!$F$8:$J$8,打分卡!$K$8:$O$8),1)</f>
        <v>1</v>
      </c>
      <c r="AE1029" s="42">
        <f>IFERROR(LOOKUP(T1029,打分卡!$F$9:$I$9,打分卡!$K$9:$N$9),1)</f>
        <v>1</v>
      </c>
      <c r="AF1029" s="42">
        <f>IFERROR(LOOKUP(Q1029,打分卡!$F$10:$J$10,打分卡!$K$10:$O$10),1)</f>
        <v>1</v>
      </c>
      <c r="AG1029" s="42">
        <f>IFERROR(LOOKUP(R1029,打分卡!$F$11:$J$11,打分卡!$K$11:$O$11),1)</f>
        <v>2</v>
      </c>
      <c r="AH1029" s="42">
        <f>IFERROR(LOOKUP(U1029,打分卡!$F$12:$J$12,打分卡!$K$12:$O$12),1)</f>
        <v>3</v>
      </c>
      <c r="AI1029" s="42">
        <f>IFERROR(LOOKUP(X1029,打分卡!$F$13:$J$13,打分卡!$K$13:$O$13),1)</f>
        <v>2</v>
      </c>
      <c r="AJ1029" s="42">
        <f>IFERROR(LOOKUP(Y1029,打分卡!$F$14:$J$14,打分卡!$K$14:$O$14),1)</f>
        <v>1</v>
      </c>
      <c r="AK1029" s="42">
        <f>IFERROR(LOOKUP(W1029,打分卡!$F$15:$J$15,打分卡!$K$15:$O$15),1)</f>
        <v>2</v>
      </c>
      <c r="AL1029" s="45">
        <f t="shared" si="129"/>
        <v>5</v>
      </c>
      <c r="AM1029" s="42">
        <f>IFERROR(LOOKUP(Z1029,打分卡!$F$17:$H$17,打分卡!$K$17:$M$17),1)</f>
        <v>1</v>
      </c>
      <c r="AN1029" s="46">
        <f>(打分卡!$D$7*AC1029+打分卡!$D$8*AD1029+打分卡!$D$9*AE1029)/5</f>
        <v>8</v>
      </c>
      <c r="AO1029" s="46">
        <f>(打分卡!$D$10*AF1029+打分卡!$D$11*AG1029)/5</f>
        <v>6</v>
      </c>
      <c r="AP1029" s="46">
        <f>(打分卡!$D$12*AH1029+打分卡!$D$13*AI1029+打分卡!$D$14*AJ1029+打分卡!$D$15*AK1029)/5</f>
        <v>13.2</v>
      </c>
      <c r="AQ1029" s="46">
        <f>(打分卡!$D$16*AL1029+打分卡!$D$17*AM1029)/5</f>
        <v>6.8</v>
      </c>
      <c r="AR1029" s="48">
        <f t="shared" si="130"/>
        <v>43.6</v>
      </c>
      <c r="AS1029" s="45" t="str">
        <f t="shared" si="131"/>
        <v>腰部</v>
      </c>
      <c r="AT1029" s="45" t="str">
        <f t="shared" si="132"/>
        <v/>
      </c>
      <c r="AU1029" s="45" t="str">
        <f t="shared" si="133"/>
        <v>拉·主攻：主推AI外呼+大促作战包</v>
      </c>
    </row>
    <row r="1030" ht="15" customHeight="1" spans="1:47">
      <c r="A1030" s="30" t="s">
        <v>2821</v>
      </c>
      <c r="B1030" s="31" t="s">
        <v>2822</v>
      </c>
      <c r="C1030" s="31" t="s">
        <v>179</v>
      </c>
      <c r="D1030" s="31" t="s">
        <v>202</v>
      </c>
      <c r="E1030" s="31" t="s">
        <v>181</v>
      </c>
      <c r="F1030" s="30" t="s">
        <v>1217</v>
      </c>
      <c r="G1030" s="31">
        <v>3</v>
      </c>
      <c r="H1030" s="31" t="s">
        <v>642</v>
      </c>
      <c r="I1030" s="31" t="s">
        <v>302</v>
      </c>
      <c r="J1030" s="33">
        <v>1800</v>
      </c>
      <c r="K1030" s="33">
        <v>1200</v>
      </c>
      <c r="L1030" s="33">
        <v>800</v>
      </c>
      <c r="M1030" s="33">
        <f t="shared" si="128"/>
        <v>3800</v>
      </c>
      <c r="N1030" s="34">
        <f t="shared" si="134"/>
        <v>1.99220314600333e-5</v>
      </c>
      <c r="O1030" s="35">
        <f>SUM($M$2:M1030)</f>
        <v>190162900</v>
      </c>
      <c r="P1030" s="34">
        <f t="shared" si="135"/>
        <v>0.996955599034515</v>
      </c>
      <c r="Q1030" s="37">
        <v>0.3</v>
      </c>
      <c r="R1030" s="31">
        <v>3</v>
      </c>
      <c r="S1030" s="31">
        <v>1</v>
      </c>
      <c r="T1030" s="31">
        <v>0</v>
      </c>
      <c r="U1030" s="37">
        <v>22</v>
      </c>
      <c r="V1030" s="31">
        <v>11</v>
      </c>
      <c r="W1030" s="31">
        <v>1</v>
      </c>
      <c r="X1030" s="38">
        <v>23</v>
      </c>
      <c r="Y1030" s="31">
        <v>1</v>
      </c>
      <c r="Z1030" s="31">
        <v>0</v>
      </c>
      <c r="AA1030" s="31" t="s">
        <v>199</v>
      </c>
      <c r="AB1030" s="31" t="s">
        <v>220</v>
      </c>
      <c r="AC1030" s="41">
        <f>IFERROR(LOOKUP(M1030,打分卡!$F$7:$J$7,打分卡!$K$7:$O$7),1)</f>
        <v>1</v>
      </c>
      <c r="AD1030" s="41">
        <f>IFERROR(LOOKUP(S1030,打分卡!$F$8:$J$8,打分卡!$K$8:$O$8),1)</f>
        <v>1</v>
      </c>
      <c r="AE1030" s="41">
        <f>IFERROR(LOOKUP(T1030,打分卡!$F$9:$I$9,打分卡!$K$9:$N$9),1)</f>
        <v>1</v>
      </c>
      <c r="AF1030" s="41">
        <f>IFERROR(LOOKUP(Q1030,打分卡!$F$10:$J$10,打分卡!$K$10:$O$10),1)</f>
        <v>1</v>
      </c>
      <c r="AG1030" s="41">
        <f>IFERROR(LOOKUP(R1030,打分卡!$F$11:$J$11,打分卡!$K$11:$O$11),1)</f>
        <v>2</v>
      </c>
      <c r="AH1030" s="41">
        <f>IFERROR(LOOKUP(U1030,打分卡!$F$12:$J$12,打分卡!$K$12:$O$12),1)</f>
        <v>3</v>
      </c>
      <c r="AI1030" s="41">
        <f>IFERROR(LOOKUP(X1030,打分卡!$F$13:$J$13,打分卡!$K$13:$O$13),1)</f>
        <v>2</v>
      </c>
      <c r="AJ1030" s="41">
        <f>IFERROR(LOOKUP(Y1030,打分卡!$F$14:$J$14,打分卡!$K$14:$O$14),1)</f>
        <v>2</v>
      </c>
      <c r="AK1030" s="41">
        <f>IFERROR(LOOKUP(W1030,打分卡!$F$15:$J$15,打分卡!$K$15:$O$15),1)</f>
        <v>2</v>
      </c>
      <c r="AL1030" s="43">
        <f t="shared" si="129"/>
        <v>5</v>
      </c>
      <c r="AM1030" s="41">
        <f>IFERROR(LOOKUP(Z1030,打分卡!$F$17:$H$17,打分卡!$K$17:$M$17),1)</f>
        <v>1</v>
      </c>
      <c r="AN1030" s="44">
        <f>(打分卡!$D$7*AC1030+打分卡!$D$8*AD1030+打分卡!$D$9*AE1030)/5</f>
        <v>8</v>
      </c>
      <c r="AO1030" s="44">
        <f>(打分卡!$D$10*AF1030+打分卡!$D$11*AG1030)/5</f>
        <v>6</v>
      </c>
      <c r="AP1030" s="44">
        <f>(打分卡!$D$12*AH1030+打分卡!$D$13*AI1030+打分卡!$D$14*AJ1030+打分卡!$D$15*AK1030)/5</f>
        <v>14.4</v>
      </c>
      <c r="AQ1030" s="44">
        <f>(打分卡!$D$16*AL1030+打分卡!$D$17*AM1030)/5</f>
        <v>6.8</v>
      </c>
      <c r="AR1030" s="47">
        <f t="shared" si="130"/>
        <v>35.2</v>
      </c>
      <c r="AS1030" s="43" t="str">
        <f t="shared" si="131"/>
        <v>基础长尾</v>
      </c>
      <c r="AT1030" s="43" t="str">
        <f t="shared" si="132"/>
        <v/>
      </c>
      <c r="AU1030" s="43" t="str">
        <f t="shared" si="133"/>
        <v>激活：企微+Push低成本先跑</v>
      </c>
    </row>
    <row r="1031" ht="15" customHeight="1" spans="1:47">
      <c r="A1031" s="20" t="s">
        <v>2823</v>
      </c>
      <c r="B1031" s="22" t="s">
        <v>2824</v>
      </c>
      <c r="C1031" s="22" t="s">
        <v>195</v>
      </c>
      <c r="D1031" s="22" t="s">
        <v>227</v>
      </c>
      <c r="E1031" s="22" t="s">
        <v>181</v>
      </c>
      <c r="F1031" s="20" t="s">
        <v>2484</v>
      </c>
      <c r="G1031" s="22">
        <v>2</v>
      </c>
      <c r="H1031" s="22" t="s">
        <v>642</v>
      </c>
      <c r="I1031" s="22" t="s">
        <v>302</v>
      </c>
      <c r="J1031" s="36">
        <v>2000</v>
      </c>
      <c r="K1031" s="36">
        <v>800</v>
      </c>
      <c r="L1031" s="36">
        <v>1000</v>
      </c>
      <c r="M1031" s="36">
        <f t="shared" si="128"/>
        <v>3800</v>
      </c>
      <c r="N1031" s="34">
        <f t="shared" si="134"/>
        <v>1.99220314600333e-5</v>
      </c>
      <c r="O1031" s="35">
        <f>SUM($M$2:M1031)</f>
        <v>190166700</v>
      </c>
      <c r="P1031" s="34">
        <f t="shared" si="135"/>
        <v>0.996975521065975</v>
      </c>
      <c r="Q1031" s="39">
        <v>0.5</v>
      </c>
      <c r="R1031" s="22">
        <v>3</v>
      </c>
      <c r="S1031" s="22">
        <v>1</v>
      </c>
      <c r="T1031" s="22">
        <v>0</v>
      </c>
      <c r="U1031" s="39">
        <v>30.1</v>
      </c>
      <c r="V1031" s="22">
        <v>10</v>
      </c>
      <c r="W1031" s="22">
        <v>2</v>
      </c>
      <c r="X1031" s="40">
        <v>20</v>
      </c>
      <c r="Y1031" s="22">
        <v>0</v>
      </c>
      <c r="Z1031" s="22">
        <v>0</v>
      </c>
      <c r="AA1031" s="22" t="s">
        <v>199</v>
      </c>
      <c r="AB1031" s="22" t="s">
        <v>220</v>
      </c>
      <c r="AC1031" s="42">
        <f>IFERROR(LOOKUP(M1031,打分卡!$F$7:$J$7,打分卡!$K$7:$O$7),1)</f>
        <v>1</v>
      </c>
      <c r="AD1031" s="42">
        <f>IFERROR(LOOKUP(S1031,打分卡!$F$8:$J$8,打分卡!$K$8:$O$8),1)</f>
        <v>1</v>
      </c>
      <c r="AE1031" s="42">
        <f>IFERROR(LOOKUP(T1031,打分卡!$F$9:$I$9,打分卡!$K$9:$N$9),1)</f>
        <v>1</v>
      </c>
      <c r="AF1031" s="42">
        <f>IFERROR(LOOKUP(Q1031,打分卡!$F$10:$J$10,打分卡!$K$10:$O$10),1)</f>
        <v>1</v>
      </c>
      <c r="AG1031" s="42">
        <f>IFERROR(LOOKUP(R1031,打分卡!$F$11:$J$11,打分卡!$K$11:$O$11),1)</f>
        <v>2</v>
      </c>
      <c r="AH1031" s="42">
        <f>IFERROR(LOOKUP(U1031,打分卡!$F$12:$J$12,打分卡!$K$12:$O$12),1)</f>
        <v>3</v>
      </c>
      <c r="AI1031" s="42">
        <f>IFERROR(LOOKUP(X1031,打分卡!$F$13:$J$13,打分卡!$K$13:$O$13),1)</f>
        <v>2</v>
      </c>
      <c r="AJ1031" s="42">
        <f>IFERROR(LOOKUP(Y1031,打分卡!$F$14:$J$14,打分卡!$K$14:$O$14),1)</f>
        <v>1</v>
      </c>
      <c r="AK1031" s="42">
        <f>IFERROR(LOOKUP(W1031,打分卡!$F$15:$J$15,打分卡!$K$15:$O$15),1)</f>
        <v>2</v>
      </c>
      <c r="AL1031" s="45">
        <f t="shared" si="129"/>
        <v>5</v>
      </c>
      <c r="AM1031" s="42">
        <f>IFERROR(LOOKUP(Z1031,打分卡!$F$17:$H$17,打分卡!$K$17:$M$17),1)</f>
        <v>1</v>
      </c>
      <c r="AN1031" s="46">
        <f>(打分卡!$D$7*AC1031+打分卡!$D$8*AD1031+打分卡!$D$9*AE1031)/5</f>
        <v>8</v>
      </c>
      <c r="AO1031" s="46">
        <f>(打分卡!$D$10*AF1031+打分卡!$D$11*AG1031)/5</f>
        <v>6</v>
      </c>
      <c r="AP1031" s="46">
        <f>(打分卡!$D$12*AH1031+打分卡!$D$13*AI1031+打分卡!$D$14*AJ1031+打分卡!$D$15*AK1031)/5</f>
        <v>13.2</v>
      </c>
      <c r="AQ1031" s="46">
        <f>(打分卡!$D$16*AL1031+打分卡!$D$17*AM1031)/5</f>
        <v>6.8</v>
      </c>
      <c r="AR1031" s="48">
        <f t="shared" si="130"/>
        <v>43.6</v>
      </c>
      <c r="AS1031" s="45" t="str">
        <f t="shared" si="131"/>
        <v>腰部</v>
      </c>
      <c r="AT1031" s="45" t="str">
        <f t="shared" si="132"/>
        <v/>
      </c>
      <c r="AU1031" s="45" t="str">
        <f t="shared" si="133"/>
        <v>拉·主攻：主推AI外呼+大促作战包</v>
      </c>
    </row>
    <row r="1032" ht="15" customHeight="1" spans="1:47">
      <c r="A1032" s="30" t="s">
        <v>2825</v>
      </c>
      <c r="B1032" s="31" t="s">
        <v>2826</v>
      </c>
      <c r="C1032" s="31" t="s">
        <v>195</v>
      </c>
      <c r="D1032" s="31" t="s">
        <v>235</v>
      </c>
      <c r="E1032" s="31" t="s">
        <v>197</v>
      </c>
      <c r="F1032" s="30" t="s">
        <v>2755</v>
      </c>
      <c r="G1032" s="31">
        <v>3</v>
      </c>
      <c r="H1032" s="31" t="s">
        <v>642</v>
      </c>
      <c r="I1032" s="31" t="s">
        <v>302</v>
      </c>
      <c r="J1032" s="33">
        <v>2000</v>
      </c>
      <c r="K1032" s="33">
        <v>1400</v>
      </c>
      <c r="L1032" s="33">
        <v>300</v>
      </c>
      <c r="M1032" s="33">
        <f t="shared" si="128"/>
        <v>3700</v>
      </c>
      <c r="N1032" s="34">
        <f t="shared" si="134"/>
        <v>1.93977674742429e-5</v>
      </c>
      <c r="O1032" s="35">
        <f>SUM($M$2:M1032)</f>
        <v>190170400</v>
      </c>
      <c r="P1032" s="34">
        <f t="shared" si="135"/>
        <v>0.99699491883345</v>
      </c>
      <c r="Q1032" s="37">
        <v>0.4</v>
      </c>
      <c r="R1032" s="31">
        <v>2</v>
      </c>
      <c r="S1032" s="31">
        <v>1</v>
      </c>
      <c r="T1032" s="31">
        <v>0</v>
      </c>
      <c r="U1032" s="37">
        <v>15.1</v>
      </c>
      <c r="V1032" s="31">
        <v>9</v>
      </c>
      <c r="W1032" s="31">
        <v>0</v>
      </c>
      <c r="X1032" s="38">
        <v>8</v>
      </c>
      <c r="Y1032" s="31">
        <v>0</v>
      </c>
      <c r="Z1032" s="31">
        <v>0</v>
      </c>
      <c r="AA1032" s="31" t="s">
        <v>199</v>
      </c>
      <c r="AB1032" s="31" t="s">
        <v>220</v>
      </c>
      <c r="AC1032" s="41">
        <f>IFERROR(LOOKUP(M1032,打分卡!$F$7:$J$7,打分卡!$K$7:$O$7),1)</f>
        <v>1</v>
      </c>
      <c r="AD1032" s="41">
        <f>IFERROR(LOOKUP(S1032,打分卡!$F$8:$J$8,打分卡!$K$8:$O$8),1)</f>
        <v>1</v>
      </c>
      <c r="AE1032" s="41">
        <f>IFERROR(LOOKUP(T1032,打分卡!$F$9:$I$9,打分卡!$K$9:$N$9),1)</f>
        <v>1</v>
      </c>
      <c r="AF1032" s="41">
        <f>IFERROR(LOOKUP(Q1032,打分卡!$F$10:$J$10,打分卡!$K$10:$O$10),1)</f>
        <v>1</v>
      </c>
      <c r="AG1032" s="41">
        <f>IFERROR(LOOKUP(R1032,打分卡!$F$11:$J$11,打分卡!$K$11:$O$11),1)</f>
        <v>1</v>
      </c>
      <c r="AH1032" s="41">
        <f>IFERROR(LOOKUP(U1032,打分卡!$F$12:$J$12,打分卡!$K$12:$O$12),1)</f>
        <v>3</v>
      </c>
      <c r="AI1032" s="41">
        <f>IFERROR(LOOKUP(X1032,打分卡!$F$13:$J$13,打分卡!$K$13:$O$13),1)</f>
        <v>1</v>
      </c>
      <c r="AJ1032" s="41">
        <f>IFERROR(LOOKUP(Y1032,打分卡!$F$14:$J$14,打分卡!$K$14:$O$14),1)</f>
        <v>1</v>
      </c>
      <c r="AK1032" s="41">
        <f>IFERROR(LOOKUP(W1032,打分卡!$F$15:$J$15,打分卡!$K$15:$O$15),1)</f>
        <v>1</v>
      </c>
      <c r="AL1032" s="43">
        <f t="shared" si="129"/>
        <v>5</v>
      </c>
      <c r="AM1032" s="41">
        <f>IFERROR(LOOKUP(Z1032,打分卡!$F$17:$H$17,打分卡!$K$17:$M$17),1)</f>
        <v>1</v>
      </c>
      <c r="AN1032" s="44">
        <f>(打分卡!$D$7*AC1032+打分卡!$D$8*AD1032+打分卡!$D$9*AE1032)/5</f>
        <v>8</v>
      </c>
      <c r="AO1032" s="44">
        <f>(打分卡!$D$10*AF1032+打分卡!$D$11*AG1032)/5</f>
        <v>4</v>
      </c>
      <c r="AP1032" s="44">
        <f>(打分卡!$D$12*AH1032+打分卡!$D$13*AI1032+打分卡!$D$14*AJ1032+打分卡!$D$15*AK1032)/5</f>
        <v>10.8</v>
      </c>
      <c r="AQ1032" s="44">
        <f>(打分卡!$D$16*AL1032+打分卡!$D$17*AM1032)/5</f>
        <v>6.8</v>
      </c>
      <c r="AR1032" s="47">
        <f t="shared" si="130"/>
        <v>29.6</v>
      </c>
      <c r="AS1032" s="43" t="str">
        <f t="shared" si="131"/>
        <v>基础长尾</v>
      </c>
      <c r="AT1032" s="43" t="str">
        <f t="shared" si="132"/>
        <v/>
      </c>
      <c r="AU1032" s="43" t="str">
        <f t="shared" si="133"/>
        <v>激活：企微+Push低成本先跑</v>
      </c>
    </row>
    <row r="1033" ht="15" customHeight="1" spans="1:47">
      <c r="A1033" s="20" t="s">
        <v>2827</v>
      </c>
      <c r="B1033" s="22" t="s">
        <v>2828</v>
      </c>
      <c r="C1033" s="22" t="s">
        <v>239</v>
      </c>
      <c r="D1033" s="22" t="s">
        <v>202</v>
      </c>
      <c r="E1033" s="22" t="s">
        <v>197</v>
      </c>
      <c r="F1033" s="20" t="s">
        <v>746</v>
      </c>
      <c r="G1033" s="22">
        <v>3</v>
      </c>
      <c r="H1033" s="22" t="s">
        <v>642</v>
      </c>
      <c r="I1033" s="22" t="s">
        <v>302</v>
      </c>
      <c r="J1033" s="36">
        <v>2000</v>
      </c>
      <c r="K1033" s="36">
        <v>1000</v>
      </c>
      <c r="L1033" s="36">
        <v>700</v>
      </c>
      <c r="M1033" s="36">
        <f t="shared" si="128"/>
        <v>3700</v>
      </c>
      <c r="N1033" s="34">
        <f t="shared" si="134"/>
        <v>1.93977674742429e-5</v>
      </c>
      <c r="O1033" s="35">
        <f>SUM($M$2:M1033)</f>
        <v>190174100</v>
      </c>
      <c r="P1033" s="34">
        <f t="shared" si="135"/>
        <v>0.997014316600924</v>
      </c>
      <c r="Q1033" s="39">
        <v>0.5</v>
      </c>
      <c r="R1033" s="22">
        <v>2</v>
      </c>
      <c r="S1033" s="22">
        <v>0</v>
      </c>
      <c r="T1033" s="22">
        <v>0</v>
      </c>
      <c r="U1033" s="39">
        <v>1.3</v>
      </c>
      <c r="V1033" s="22">
        <v>13</v>
      </c>
      <c r="W1033" s="22">
        <v>0</v>
      </c>
      <c r="X1033" s="40">
        <v>21</v>
      </c>
      <c r="Y1033" s="22">
        <v>1</v>
      </c>
      <c r="Z1033" s="22">
        <v>0</v>
      </c>
      <c r="AA1033" s="22" t="s">
        <v>199</v>
      </c>
      <c r="AB1033" s="22" t="s">
        <v>220</v>
      </c>
      <c r="AC1033" s="42">
        <f>IFERROR(LOOKUP(M1033,打分卡!$F$7:$J$7,打分卡!$K$7:$O$7),1)</f>
        <v>1</v>
      </c>
      <c r="AD1033" s="42">
        <f>IFERROR(LOOKUP(S1033,打分卡!$F$8:$J$8,打分卡!$K$8:$O$8),1)</f>
        <v>1</v>
      </c>
      <c r="AE1033" s="42">
        <f>IFERROR(LOOKUP(T1033,打分卡!$F$9:$I$9,打分卡!$K$9:$N$9),1)</f>
        <v>1</v>
      </c>
      <c r="AF1033" s="42">
        <f>IFERROR(LOOKUP(Q1033,打分卡!$F$10:$J$10,打分卡!$K$10:$O$10),1)</f>
        <v>1</v>
      </c>
      <c r="AG1033" s="42">
        <f>IFERROR(LOOKUP(R1033,打分卡!$F$11:$J$11,打分卡!$K$11:$O$11),1)</f>
        <v>1</v>
      </c>
      <c r="AH1033" s="42">
        <f>IFERROR(LOOKUP(U1033,打分卡!$F$12:$J$12,打分卡!$K$12:$O$12),1)</f>
        <v>1</v>
      </c>
      <c r="AI1033" s="42">
        <f>IFERROR(LOOKUP(X1033,打分卡!$F$13:$J$13,打分卡!$K$13:$O$13),1)</f>
        <v>2</v>
      </c>
      <c r="AJ1033" s="42">
        <f>IFERROR(LOOKUP(Y1033,打分卡!$F$14:$J$14,打分卡!$K$14:$O$14),1)</f>
        <v>2</v>
      </c>
      <c r="AK1033" s="42">
        <f>IFERROR(LOOKUP(W1033,打分卡!$F$15:$J$15,打分卡!$K$15:$O$15),1)</f>
        <v>1</v>
      </c>
      <c r="AL1033" s="45">
        <f t="shared" si="129"/>
        <v>5</v>
      </c>
      <c r="AM1033" s="42">
        <f>IFERROR(LOOKUP(Z1033,打分卡!$F$17:$H$17,打分卡!$K$17:$M$17),1)</f>
        <v>1</v>
      </c>
      <c r="AN1033" s="46">
        <f>(打分卡!$D$7*AC1033+打分卡!$D$8*AD1033+打分卡!$D$9*AE1033)/5</f>
        <v>8</v>
      </c>
      <c r="AO1033" s="46">
        <f>(打分卡!$D$10*AF1033+打分卡!$D$11*AG1033)/5</f>
        <v>4</v>
      </c>
      <c r="AP1033" s="46">
        <f>(打分卡!$D$12*AH1033+打分卡!$D$13*AI1033+打分卡!$D$14*AJ1033+打分卡!$D$15*AK1033)/5</f>
        <v>8.8</v>
      </c>
      <c r="AQ1033" s="46">
        <f>(打分卡!$D$16*AL1033+打分卡!$D$17*AM1033)/5</f>
        <v>6.8</v>
      </c>
      <c r="AR1033" s="48">
        <f t="shared" si="130"/>
        <v>27.6</v>
      </c>
      <c r="AS1033" s="45" t="str">
        <f t="shared" si="131"/>
        <v>基础长尾</v>
      </c>
      <c r="AT1033" s="45" t="str">
        <f t="shared" si="132"/>
        <v/>
      </c>
      <c r="AU1033" s="45" t="str">
        <f t="shared" si="133"/>
        <v>激活：企微+Push低成本先跑</v>
      </c>
    </row>
    <row r="1034" ht="15" customHeight="1" spans="1:47">
      <c r="A1034" s="30" t="s">
        <v>2829</v>
      </c>
      <c r="B1034" s="31" t="s">
        <v>2830</v>
      </c>
      <c r="C1034" s="31" t="s">
        <v>189</v>
      </c>
      <c r="D1034" s="31" t="s">
        <v>196</v>
      </c>
      <c r="E1034" s="31" t="s">
        <v>197</v>
      </c>
      <c r="F1034" s="30" t="s">
        <v>2831</v>
      </c>
      <c r="G1034" s="31">
        <v>3</v>
      </c>
      <c r="H1034" s="31" t="s">
        <v>642</v>
      </c>
      <c r="I1034" s="31" t="s">
        <v>302</v>
      </c>
      <c r="J1034" s="33">
        <v>1800</v>
      </c>
      <c r="K1034" s="33">
        <v>800</v>
      </c>
      <c r="L1034" s="33">
        <v>1100</v>
      </c>
      <c r="M1034" s="33">
        <f t="shared" si="128"/>
        <v>3700</v>
      </c>
      <c r="N1034" s="34">
        <f t="shared" si="134"/>
        <v>1.93977674742429e-5</v>
      </c>
      <c r="O1034" s="35">
        <f>SUM($M$2:M1034)</f>
        <v>190177800</v>
      </c>
      <c r="P1034" s="34">
        <f t="shared" si="135"/>
        <v>0.997033714368398</v>
      </c>
      <c r="Q1034" s="37">
        <v>0.4</v>
      </c>
      <c r="R1034" s="31">
        <v>3</v>
      </c>
      <c r="S1034" s="31">
        <v>0</v>
      </c>
      <c r="T1034" s="31">
        <v>0</v>
      </c>
      <c r="U1034" s="37">
        <v>1</v>
      </c>
      <c r="V1034" s="31">
        <v>8</v>
      </c>
      <c r="W1034" s="31">
        <v>0</v>
      </c>
      <c r="X1034" s="38">
        <v>22</v>
      </c>
      <c r="Y1034" s="31">
        <v>1</v>
      </c>
      <c r="Z1034" s="31">
        <v>0</v>
      </c>
      <c r="AA1034" s="31" t="s">
        <v>199</v>
      </c>
      <c r="AB1034" s="31" t="s">
        <v>220</v>
      </c>
      <c r="AC1034" s="41">
        <f>IFERROR(LOOKUP(M1034,打分卡!$F$7:$J$7,打分卡!$K$7:$O$7),1)</f>
        <v>1</v>
      </c>
      <c r="AD1034" s="41">
        <f>IFERROR(LOOKUP(S1034,打分卡!$F$8:$J$8,打分卡!$K$8:$O$8),1)</f>
        <v>1</v>
      </c>
      <c r="AE1034" s="41">
        <f>IFERROR(LOOKUP(T1034,打分卡!$F$9:$I$9,打分卡!$K$9:$N$9),1)</f>
        <v>1</v>
      </c>
      <c r="AF1034" s="41">
        <f>IFERROR(LOOKUP(Q1034,打分卡!$F$10:$J$10,打分卡!$K$10:$O$10),1)</f>
        <v>1</v>
      </c>
      <c r="AG1034" s="41">
        <f>IFERROR(LOOKUP(R1034,打分卡!$F$11:$J$11,打分卡!$K$11:$O$11),1)</f>
        <v>2</v>
      </c>
      <c r="AH1034" s="41">
        <f>IFERROR(LOOKUP(U1034,打分卡!$F$12:$J$12,打分卡!$K$12:$O$12),1)</f>
        <v>1</v>
      </c>
      <c r="AI1034" s="41">
        <f>IFERROR(LOOKUP(X1034,打分卡!$F$13:$J$13,打分卡!$K$13:$O$13),1)</f>
        <v>2</v>
      </c>
      <c r="AJ1034" s="41">
        <f>IFERROR(LOOKUP(Y1034,打分卡!$F$14:$J$14,打分卡!$K$14:$O$14),1)</f>
        <v>2</v>
      </c>
      <c r="AK1034" s="41">
        <f>IFERROR(LOOKUP(W1034,打分卡!$F$15:$J$15,打分卡!$K$15:$O$15),1)</f>
        <v>1</v>
      </c>
      <c r="AL1034" s="43">
        <f t="shared" si="129"/>
        <v>5</v>
      </c>
      <c r="AM1034" s="41">
        <f>IFERROR(LOOKUP(Z1034,打分卡!$F$17:$H$17,打分卡!$K$17:$M$17),1)</f>
        <v>1</v>
      </c>
      <c r="AN1034" s="44">
        <f>(打分卡!$D$7*AC1034+打分卡!$D$8*AD1034+打分卡!$D$9*AE1034)/5</f>
        <v>8</v>
      </c>
      <c r="AO1034" s="44">
        <f>(打分卡!$D$10*AF1034+打分卡!$D$11*AG1034)/5</f>
        <v>6</v>
      </c>
      <c r="AP1034" s="44">
        <f>(打分卡!$D$12*AH1034+打分卡!$D$13*AI1034+打分卡!$D$14*AJ1034+打分卡!$D$15*AK1034)/5</f>
        <v>8.8</v>
      </c>
      <c r="AQ1034" s="44">
        <f>(打分卡!$D$16*AL1034+打分卡!$D$17*AM1034)/5</f>
        <v>6.8</v>
      </c>
      <c r="AR1034" s="47">
        <f t="shared" si="130"/>
        <v>29.6</v>
      </c>
      <c r="AS1034" s="43" t="str">
        <f t="shared" si="131"/>
        <v>基础长尾</v>
      </c>
      <c r="AT1034" s="43" t="str">
        <f t="shared" si="132"/>
        <v/>
      </c>
      <c r="AU1034" s="43" t="str">
        <f t="shared" si="133"/>
        <v>激活：企微+Push低成本先跑</v>
      </c>
    </row>
    <row r="1035" ht="15" customHeight="1" spans="1:47">
      <c r="A1035" s="20" t="s">
        <v>2832</v>
      </c>
      <c r="B1035" s="22" t="s">
        <v>2833</v>
      </c>
      <c r="C1035" s="22" t="s">
        <v>189</v>
      </c>
      <c r="D1035" s="22" t="s">
        <v>202</v>
      </c>
      <c r="E1035" s="22" t="s">
        <v>181</v>
      </c>
      <c r="F1035" s="20" t="s">
        <v>2834</v>
      </c>
      <c r="G1035" s="22">
        <v>1</v>
      </c>
      <c r="H1035" s="22" t="s">
        <v>642</v>
      </c>
      <c r="I1035" s="22" t="s">
        <v>302</v>
      </c>
      <c r="J1035" s="36">
        <v>2200</v>
      </c>
      <c r="K1035" s="36">
        <v>1300</v>
      </c>
      <c r="L1035" s="36">
        <v>200</v>
      </c>
      <c r="M1035" s="36">
        <f t="shared" si="128"/>
        <v>3700</v>
      </c>
      <c r="N1035" s="34">
        <f t="shared" si="134"/>
        <v>1.93977674742429e-5</v>
      </c>
      <c r="O1035" s="35">
        <f>SUM($M$2:M1035)</f>
        <v>190181500</v>
      </c>
      <c r="P1035" s="34">
        <f t="shared" si="135"/>
        <v>0.997053112135872</v>
      </c>
      <c r="Q1035" s="39">
        <v>0.2</v>
      </c>
      <c r="R1035" s="22">
        <v>3</v>
      </c>
      <c r="S1035" s="22">
        <v>1</v>
      </c>
      <c r="T1035" s="22">
        <v>0</v>
      </c>
      <c r="U1035" s="39">
        <v>1.1</v>
      </c>
      <c r="V1035" s="22">
        <v>9</v>
      </c>
      <c r="W1035" s="22">
        <v>2</v>
      </c>
      <c r="X1035" s="40">
        <v>10</v>
      </c>
      <c r="Y1035" s="22">
        <v>1</v>
      </c>
      <c r="Z1035" s="22">
        <v>0</v>
      </c>
      <c r="AA1035" s="22" t="s">
        <v>199</v>
      </c>
      <c r="AB1035" s="22" t="s">
        <v>220</v>
      </c>
      <c r="AC1035" s="42">
        <f>IFERROR(LOOKUP(M1035,打分卡!$F$7:$J$7,打分卡!$K$7:$O$7),1)</f>
        <v>1</v>
      </c>
      <c r="AD1035" s="42">
        <f>IFERROR(LOOKUP(S1035,打分卡!$F$8:$J$8,打分卡!$K$8:$O$8),1)</f>
        <v>1</v>
      </c>
      <c r="AE1035" s="42">
        <f>IFERROR(LOOKUP(T1035,打分卡!$F$9:$I$9,打分卡!$K$9:$N$9),1)</f>
        <v>1</v>
      </c>
      <c r="AF1035" s="42">
        <f>IFERROR(LOOKUP(Q1035,打分卡!$F$10:$J$10,打分卡!$K$10:$O$10),1)</f>
        <v>1</v>
      </c>
      <c r="AG1035" s="42">
        <f>IFERROR(LOOKUP(R1035,打分卡!$F$11:$J$11,打分卡!$K$11:$O$11),1)</f>
        <v>2</v>
      </c>
      <c r="AH1035" s="42">
        <f>IFERROR(LOOKUP(U1035,打分卡!$F$12:$J$12,打分卡!$K$12:$O$12),1)</f>
        <v>1</v>
      </c>
      <c r="AI1035" s="42">
        <f>IFERROR(LOOKUP(X1035,打分卡!$F$13:$J$13,打分卡!$K$13:$O$13),1)</f>
        <v>1</v>
      </c>
      <c r="AJ1035" s="42">
        <f>IFERROR(LOOKUP(Y1035,打分卡!$F$14:$J$14,打分卡!$K$14:$O$14),1)</f>
        <v>2</v>
      </c>
      <c r="AK1035" s="42">
        <f>IFERROR(LOOKUP(W1035,打分卡!$F$15:$J$15,打分卡!$K$15:$O$15),1)</f>
        <v>2</v>
      </c>
      <c r="AL1035" s="45">
        <f t="shared" si="129"/>
        <v>5</v>
      </c>
      <c r="AM1035" s="42">
        <f>IFERROR(LOOKUP(Z1035,打分卡!$F$17:$H$17,打分卡!$K$17:$M$17),1)</f>
        <v>1</v>
      </c>
      <c r="AN1035" s="46">
        <f>(打分卡!$D$7*AC1035+打分卡!$D$8*AD1035+打分卡!$D$9*AE1035)/5</f>
        <v>8</v>
      </c>
      <c r="AO1035" s="46">
        <f>(打分卡!$D$10*AF1035+打分卡!$D$11*AG1035)/5</f>
        <v>6</v>
      </c>
      <c r="AP1035" s="46">
        <f>(打分卡!$D$12*AH1035+打分卡!$D$13*AI1035+打分卡!$D$14*AJ1035+打分卡!$D$15*AK1035)/5</f>
        <v>8</v>
      </c>
      <c r="AQ1035" s="46">
        <f>(打分卡!$D$16*AL1035+打分卡!$D$17*AM1035)/5</f>
        <v>6.8</v>
      </c>
      <c r="AR1035" s="48">
        <f t="shared" si="130"/>
        <v>31.4666666666667</v>
      </c>
      <c r="AS1035" s="45" t="str">
        <f t="shared" si="131"/>
        <v>基础长尾</v>
      </c>
      <c r="AT1035" s="45" t="str">
        <f t="shared" si="132"/>
        <v/>
      </c>
      <c r="AU1035" s="45" t="str">
        <f t="shared" si="133"/>
        <v>激活：企微+Push低成本先跑</v>
      </c>
    </row>
    <row r="1036" ht="15" customHeight="1" spans="1:47">
      <c r="A1036" s="30" t="s">
        <v>2835</v>
      </c>
      <c r="B1036" s="31" t="s">
        <v>2836</v>
      </c>
      <c r="C1036" s="31" t="s">
        <v>179</v>
      </c>
      <c r="D1036" s="31" t="s">
        <v>202</v>
      </c>
      <c r="E1036" s="31" t="s">
        <v>181</v>
      </c>
      <c r="F1036" s="30" t="s">
        <v>2818</v>
      </c>
      <c r="G1036" s="31">
        <v>1</v>
      </c>
      <c r="H1036" s="31" t="s">
        <v>642</v>
      </c>
      <c r="I1036" s="31" t="s">
        <v>302</v>
      </c>
      <c r="J1036" s="33">
        <v>1700</v>
      </c>
      <c r="K1036" s="33">
        <v>800</v>
      </c>
      <c r="L1036" s="33">
        <v>1300</v>
      </c>
      <c r="M1036" s="33">
        <f t="shared" si="128"/>
        <v>3800</v>
      </c>
      <c r="N1036" s="34">
        <f t="shared" si="134"/>
        <v>1.99220314600333e-5</v>
      </c>
      <c r="O1036" s="35">
        <f>SUM($M$2:M1036)</f>
        <v>190185300</v>
      </c>
      <c r="P1036" s="34">
        <f t="shared" si="135"/>
        <v>0.997073034167333</v>
      </c>
      <c r="Q1036" s="37">
        <v>0.2</v>
      </c>
      <c r="R1036" s="31">
        <v>1</v>
      </c>
      <c r="S1036" s="31">
        <v>1</v>
      </c>
      <c r="T1036" s="31">
        <v>0</v>
      </c>
      <c r="U1036" s="37">
        <v>0.9</v>
      </c>
      <c r="V1036" s="31">
        <v>7</v>
      </c>
      <c r="W1036" s="31">
        <v>2</v>
      </c>
      <c r="X1036" s="38">
        <v>52</v>
      </c>
      <c r="Y1036" s="31">
        <v>0</v>
      </c>
      <c r="Z1036" s="31">
        <v>0</v>
      </c>
      <c r="AA1036" s="31" t="s">
        <v>199</v>
      </c>
      <c r="AB1036" s="31" t="s">
        <v>220</v>
      </c>
      <c r="AC1036" s="41">
        <f>IFERROR(LOOKUP(M1036,打分卡!$F$7:$J$7,打分卡!$K$7:$O$7),1)</f>
        <v>1</v>
      </c>
      <c r="AD1036" s="41">
        <f>IFERROR(LOOKUP(S1036,打分卡!$F$8:$J$8,打分卡!$K$8:$O$8),1)</f>
        <v>1</v>
      </c>
      <c r="AE1036" s="41">
        <f>IFERROR(LOOKUP(T1036,打分卡!$F$9:$I$9,打分卡!$K$9:$N$9),1)</f>
        <v>1</v>
      </c>
      <c r="AF1036" s="41">
        <f>IFERROR(LOOKUP(Q1036,打分卡!$F$10:$J$10,打分卡!$K$10:$O$10),1)</f>
        <v>1</v>
      </c>
      <c r="AG1036" s="41">
        <f>IFERROR(LOOKUP(R1036,打分卡!$F$11:$J$11,打分卡!$K$11:$O$11),1)</f>
        <v>1</v>
      </c>
      <c r="AH1036" s="41">
        <f>IFERROR(LOOKUP(U1036,打分卡!$F$12:$J$12,打分卡!$K$12:$O$12),1)</f>
        <v>1</v>
      </c>
      <c r="AI1036" s="41">
        <f>IFERROR(LOOKUP(X1036,打分卡!$F$13:$J$13,打分卡!$K$13:$O$13),1)</f>
        <v>3</v>
      </c>
      <c r="AJ1036" s="41">
        <f>IFERROR(LOOKUP(Y1036,打分卡!$F$14:$J$14,打分卡!$K$14:$O$14),1)</f>
        <v>1</v>
      </c>
      <c r="AK1036" s="41">
        <f>IFERROR(LOOKUP(W1036,打分卡!$F$15:$J$15,打分卡!$K$15:$O$15),1)</f>
        <v>2</v>
      </c>
      <c r="AL1036" s="43">
        <f t="shared" si="129"/>
        <v>5</v>
      </c>
      <c r="AM1036" s="41">
        <f>IFERROR(LOOKUP(Z1036,打分卡!$F$17:$H$17,打分卡!$K$17:$M$17),1)</f>
        <v>1</v>
      </c>
      <c r="AN1036" s="44">
        <f>(打分卡!$D$7*AC1036+打分卡!$D$8*AD1036+打分卡!$D$9*AE1036)/5</f>
        <v>8</v>
      </c>
      <c r="AO1036" s="44">
        <f>(打分卡!$D$10*AF1036+打分卡!$D$11*AG1036)/5</f>
        <v>4</v>
      </c>
      <c r="AP1036" s="44">
        <f>(打分卡!$D$12*AH1036+打分卡!$D$13*AI1036+打分卡!$D$14*AJ1036+打分卡!$D$15*AK1036)/5</f>
        <v>10</v>
      </c>
      <c r="AQ1036" s="44">
        <f>(打分卡!$D$16*AL1036+打分卡!$D$17*AM1036)/5</f>
        <v>6.8</v>
      </c>
      <c r="AR1036" s="47">
        <f t="shared" si="130"/>
        <v>34.1333333333333</v>
      </c>
      <c r="AS1036" s="43" t="str">
        <f t="shared" si="131"/>
        <v>基础长尾</v>
      </c>
      <c r="AT1036" s="43" t="str">
        <f t="shared" si="132"/>
        <v/>
      </c>
      <c r="AU1036" s="43" t="str">
        <f t="shared" si="133"/>
        <v>激活：企微+Push低成本先跑</v>
      </c>
    </row>
    <row r="1037" ht="15" customHeight="1" spans="1:47">
      <c r="A1037" s="20" t="s">
        <v>2837</v>
      </c>
      <c r="B1037" s="22" t="s">
        <v>2838</v>
      </c>
      <c r="C1037" s="22" t="s">
        <v>179</v>
      </c>
      <c r="D1037" s="22" t="s">
        <v>235</v>
      </c>
      <c r="E1037" s="22" t="s">
        <v>181</v>
      </c>
      <c r="F1037" s="20" t="s">
        <v>837</v>
      </c>
      <c r="G1037" s="22">
        <v>3</v>
      </c>
      <c r="H1037" s="22" t="s">
        <v>642</v>
      </c>
      <c r="I1037" s="22" t="s">
        <v>302</v>
      </c>
      <c r="J1037" s="36">
        <v>2300</v>
      </c>
      <c r="K1037" s="36">
        <v>1200</v>
      </c>
      <c r="L1037" s="36">
        <v>200</v>
      </c>
      <c r="M1037" s="36">
        <f t="shared" si="128"/>
        <v>3700</v>
      </c>
      <c r="N1037" s="34">
        <f t="shared" si="134"/>
        <v>1.93977674742429e-5</v>
      </c>
      <c r="O1037" s="35">
        <f>SUM($M$2:M1037)</f>
        <v>190189000</v>
      </c>
      <c r="P1037" s="34">
        <f t="shared" si="135"/>
        <v>0.997092431934807</v>
      </c>
      <c r="Q1037" s="39">
        <v>0.6</v>
      </c>
      <c r="R1037" s="22">
        <v>2</v>
      </c>
      <c r="S1037" s="22">
        <v>0</v>
      </c>
      <c r="T1037" s="22">
        <v>0</v>
      </c>
      <c r="U1037" s="39">
        <v>0.5</v>
      </c>
      <c r="V1037" s="22">
        <v>0</v>
      </c>
      <c r="W1037" s="22">
        <v>1</v>
      </c>
      <c r="X1037" s="40">
        <v>6</v>
      </c>
      <c r="Y1037" s="22">
        <v>0</v>
      </c>
      <c r="Z1037" s="22">
        <v>0</v>
      </c>
      <c r="AA1037" s="22" t="s">
        <v>199</v>
      </c>
      <c r="AB1037" s="22" t="s">
        <v>220</v>
      </c>
      <c r="AC1037" s="42">
        <f>IFERROR(LOOKUP(M1037,打分卡!$F$7:$J$7,打分卡!$K$7:$O$7),1)</f>
        <v>1</v>
      </c>
      <c r="AD1037" s="42">
        <f>IFERROR(LOOKUP(S1037,打分卡!$F$8:$J$8,打分卡!$K$8:$O$8),1)</f>
        <v>1</v>
      </c>
      <c r="AE1037" s="42">
        <f>IFERROR(LOOKUP(T1037,打分卡!$F$9:$I$9,打分卡!$K$9:$N$9),1)</f>
        <v>1</v>
      </c>
      <c r="AF1037" s="42">
        <f>IFERROR(LOOKUP(Q1037,打分卡!$F$10:$J$10,打分卡!$K$10:$O$10),1)</f>
        <v>1</v>
      </c>
      <c r="AG1037" s="42">
        <f>IFERROR(LOOKUP(R1037,打分卡!$F$11:$J$11,打分卡!$K$11:$O$11),1)</f>
        <v>1</v>
      </c>
      <c r="AH1037" s="42">
        <f>IFERROR(LOOKUP(U1037,打分卡!$F$12:$J$12,打分卡!$K$12:$O$12),1)</f>
        <v>1</v>
      </c>
      <c r="AI1037" s="42">
        <f>IFERROR(LOOKUP(X1037,打分卡!$F$13:$J$13,打分卡!$K$13:$O$13),1)</f>
        <v>1</v>
      </c>
      <c r="AJ1037" s="42">
        <f>IFERROR(LOOKUP(Y1037,打分卡!$F$14:$J$14,打分卡!$K$14:$O$14),1)</f>
        <v>1</v>
      </c>
      <c r="AK1037" s="42">
        <f>IFERROR(LOOKUP(W1037,打分卡!$F$15:$J$15,打分卡!$K$15:$O$15),1)</f>
        <v>2</v>
      </c>
      <c r="AL1037" s="45">
        <f t="shared" si="129"/>
        <v>5</v>
      </c>
      <c r="AM1037" s="42">
        <f>IFERROR(LOOKUP(Z1037,打分卡!$F$17:$H$17,打分卡!$K$17:$M$17),1)</f>
        <v>1</v>
      </c>
      <c r="AN1037" s="46">
        <f>(打分卡!$D$7*AC1037+打分卡!$D$8*AD1037+打分卡!$D$9*AE1037)/5</f>
        <v>8</v>
      </c>
      <c r="AO1037" s="46">
        <f>(打分卡!$D$10*AF1037+打分卡!$D$11*AG1037)/5</f>
        <v>4</v>
      </c>
      <c r="AP1037" s="46">
        <f>(打分卡!$D$12*AH1037+打分卡!$D$13*AI1037+打分卡!$D$14*AJ1037+打分卡!$D$15*AK1037)/5</f>
        <v>6.8</v>
      </c>
      <c r="AQ1037" s="46">
        <f>(打分卡!$D$16*AL1037+打分卡!$D$17*AM1037)/5</f>
        <v>6.8</v>
      </c>
      <c r="AR1037" s="48">
        <f t="shared" si="130"/>
        <v>25.6</v>
      </c>
      <c r="AS1037" s="45" t="str">
        <f t="shared" si="131"/>
        <v>基础长尾</v>
      </c>
      <c r="AT1037" s="45" t="str">
        <f t="shared" si="132"/>
        <v/>
      </c>
      <c r="AU1037" s="45" t="str">
        <f t="shared" si="133"/>
        <v>激活：企微+Push低成本先跑</v>
      </c>
    </row>
    <row r="1038" ht="15" customHeight="1" spans="1:47">
      <c r="A1038" s="30" t="s">
        <v>2839</v>
      </c>
      <c r="B1038" s="31" t="s">
        <v>2840</v>
      </c>
      <c r="C1038" s="31" t="s">
        <v>195</v>
      </c>
      <c r="D1038" s="31" t="s">
        <v>196</v>
      </c>
      <c r="E1038" s="31" t="s">
        <v>181</v>
      </c>
      <c r="F1038" s="30" t="s">
        <v>2841</v>
      </c>
      <c r="G1038" s="31">
        <v>1</v>
      </c>
      <c r="H1038" s="31" t="s">
        <v>642</v>
      </c>
      <c r="I1038" s="31" t="s">
        <v>302</v>
      </c>
      <c r="J1038" s="33">
        <v>2000</v>
      </c>
      <c r="K1038" s="33">
        <v>1300</v>
      </c>
      <c r="L1038" s="33">
        <v>500</v>
      </c>
      <c r="M1038" s="33">
        <f t="shared" si="128"/>
        <v>3800</v>
      </c>
      <c r="N1038" s="34">
        <f t="shared" si="134"/>
        <v>1.99220314600333e-5</v>
      </c>
      <c r="O1038" s="35">
        <f>SUM($M$2:M1038)</f>
        <v>190192800</v>
      </c>
      <c r="P1038" s="34">
        <f t="shared" si="135"/>
        <v>0.997112353966267</v>
      </c>
      <c r="Q1038" s="37">
        <v>0.5</v>
      </c>
      <c r="R1038" s="31">
        <v>3</v>
      </c>
      <c r="S1038" s="31">
        <v>1</v>
      </c>
      <c r="T1038" s="31">
        <v>0</v>
      </c>
      <c r="U1038" s="37">
        <v>4.8</v>
      </c>
      <c r="V1038" s="31">
        <v>7</v>
      </c>
      <c r="W1038" s="31">
        <v>2</v>
      </c>
      <c r="X1038" s="38">
        <v>57</v>
      </c>
      <c r="Y1038" s="31">
        <v>1</v>
      </c>
      <c r="Z1038" s="31">
        <v>0</v>
      </c>
      <c r="AA1038" s="31" t="s">
        <v>199</v>
      </c>
      <c r="AB1038" s="31" t="s">
        <v>220</v>
      </c>
      <c r="AC1038" s="41">
        <f>IFERROR(LOOKUP(M1038,打分卡!$F$7:$J$7,打分卡!$K$7:$O$7),1)</f>
        <v>1</v>
      </c>
      <c r="AD1038" s="41">
        <f>IFERROR(LOOKUP(S1038,打分卡!$F$8:$J$8,打分卡!$K$8:$O$8),1)</f>
        <v>1</v>
      </c>
      <c r="AE1038" s="41">
        <f>IFERROR(LOOKUP(T1038,打分卡!$F$9:$I$9,打分卡!$K$9:$N$9),1)</f>
        <v>1</v>
      </c>
      <c r="AF1038" s="41">
        <f>IFERROR(LOOKUP(Q1038,打分卡!$F$10:$J$10,打分卡!$K$10:$O$10),1)</f>
        <v>1</v>
      </c>
      <c r="AG1038" s="41">
        <f>IFERROR(LOOKUP(R1038,打分卡!$F$11:$J$11,打分卡!$K$11:$O$11),1)</f>
        <v>2</v>
      </c>
      <c r="AH1038" s="41">
        <f>IFERROR(LOOKUP(U1038,打分卡!$F$12:$J$12,打分卡!$K$12:$O$12),1)</f>
        <v>2</v>
      </c>
      <c r="AI1038" s="41">
        <f>IFERROR(LOOKUP(X1038,打分卡!$F$13:$J$13,打分卡!$K$13:$O$13),1)</f>
        <v>3</v>
      </c>
      <c r="AJ1038" s="41">
        <f>IFERROR(LOOKUP(Y1038,打分卡!$F$14:$J$14,打分卡!$K$14:$O$14),1)</f>
        <v>2</v>
      </c>
      <c r="AK1038" s="41">
        <f>IFERROR(LOOKUP(W1038,打分卡!$F$15:$J$15,打分卡!$K$15:$O$15),1)</f>
        <v>2</v>
      </c>
      <c r="AL1038" s="43">
        <f t="shared" si="129"/>
        <v>5</v>
      </c>
      <c r="AM1038" s="41">
        <f>IFERROR(LOOKUP(Z1038,打分卡!$F$17:$H$17,打分卡!$K$17:$M$17),1)</f>
        <v>1</v>
      </c>
      <c r="AN1038" s="44">
        <f>(打分卡!$D$7*AC1038+打分卡!$D$8*AD1038+打分卡!$D$9*AE1038)/5</f>
        <v>8</v>
      </c>
      <c r="AO1038" s="44">
        <f>(打分卡!$D$10*AF1038+打分卡!$D$11*AG1038)/5</f>
        <v>6</v>
      </c>
      <c r="AP1038" s="44">
        <f>(打分卡!$D$12*AH1038+打分卡!$D$13*AI1038+打分卡!$D$14*AJ1038+打分卡!$D$15*AK1038)/5</f>
        <v>13.6</v>
      </c>
      <c r="AQ1038" s="44">
        <f>(打分卡!$D$16*AL1038+打分卡!$D$17*AM1038)/5</f>
        <v>6.8</v>
      </c>
      <c r="AR1038" s="47">
        <f t="shared" si="130"/>
        <v>44.5333333333333</v>
      </c>
      <c r="AS1038" s="43" t="str">
        <f t="shared" si="131"/>
        <v>腰部</v>
      </c>
      <c r="AT1038" s="43" t="str">
        <f t="shared" si="132"/>
        <v/>
      </c>
      <c r="AU1038" s="43" t="str">
        <f t="shared" si="133"/>
        <v>拉·主攻：主推AI外呼+大促作战包</v>
      </c>
    </row>
    <row r="1039" ht="15" customHeight="1" spans="1:47">
      <c r="A1039" s="20" t="s">
        <v>2842</v>
      </c>
      <c r="B1039" s="22" t="s">
        <v>2843</v>
      </c>
      <c r="C1039" s="22" t="s">
        <v>209</v>
      </c>
      <c r="D1039" s="22" t="s">
        <v>202</v>
      </c>
      <c r="E1039" s="22" t="s">
        <v>197</v>
      </c>
      <c r="F1039" s="20" t="s">
        <v>1146</v>
      </c>
      <c r="G1039" s="22">
        <v>3</v>
      </c>
      <c r="H1039" s="22" t="s">
        <v>642</v>
      </c>
      <c r="I1039" s="22" t="s">
        <v>302</v>
      </c>
      <c r="J1039" s="36">
        <v>1800</v>
      </c>
      <c r="K1039" s="36">
        <v>800</v>
      </c>
      <c r="L1039" s="36">
        <v>1100</v>
      </c>
      <c r="M1039" s="36">
        <f t="shared" si="128"/>
        <v>3700</v>
      </c>
      <c r="N1039" s="34">
        <f t="shared" si="134"/>
        <v>1.93977674742429e-5</v>
      </c>
      <c r="O1039" s="35">
        <f>SUM($M$2:M1039)</f>
        <v>190196500</v>
      </c>
      <c r="P1039" s="34">
        <f t="shared" si="135"/>
        <v>0.997131751733741</v>
      </c>
      <c r="Q1039" s="39">
        <v>0.3</v>
      </c>
      <c r="R1039" s="22">
        <v>2</v>
      </c>
      <c r="S1039" s="22">
        <v>0</v>
      </c>
      <c r="T1039" s="22">
        <v>0</v>
      </c>
      <c r="U1039" s="39">
        <v>29.5</v>
      </c>
      <c r="V1039" s="22">
        <v>11</v>
      </c>
      <c r="W1039" s="22">
        <v>0</v>
      </c>
      <c r="X1039" s="40">
        <v>22</v>
      </c>
      <c r="Y1039" s="22">
        <v>0</v>
      </c>
      <c r="Z1039" s="22">
        <v>0</v>
      </c>
      <c r="AA1039" s="22" t="s">
        <v>199</v>
      </c>
      <c r="AB1039" s="22" t="s">
        <v>220</v>
      </c>
      <c r="AC1039" s="42">
        <f>IFERROR(LOOKUP(M1039,打分卡!$F$7:$J$7,打分卡!$K$7:$O$7),1)</f>
        <v>1</v>
      </c>
      <c r="AD1039" s="42">
        <f>IFERROR(LOOKUP(S1039,打分卡!$F$8:$J$8,打分卡!$K$8:$O$8),1)</f>
        <v>1</v>
      </c>
      <c r="AE1039" s="42">
        <f>IFERROR(LOOKUP(T1039,打分卡!$F$9:$I$9,打分卡!$K$9:$N$9),1)</f>
        <v>1</v>
      </c>
      <c r="AF1039" s="42">
        <f>IFERROR(LOOKUP(Q1039,打分卡!$F$10:$J$10,打分卡!$K$10:$O$10),1)</f>
        <v>1</v>
      </c>
      <c r="AG1039" s="42">
        <f>IFERROR(LOOKUP(R1039,打分卡!$F$11:$J$11,打分卡!$K$11:$O$11),1)</f>
        <v>1</v>
      </c>
      <c r="AH1039" s="42">
        <f>IFERROR(LOOKUP(U1039,打分卡!$F$12:$J$12,打分卡!$K$12:$O$12),1)</f>
        <v>3</v>
      </c>
      <c r="AI1039" s="42">
        <f>IFERROR(LOOKUP(X1039,打分卡!$F$13:$J$13,打分卡!$K$13:$O$13),1)</f>
        <v>2</v>
      </c>
      <c r="AJ1039" s="42">
        <f>IFERROR(LOOKUP(Y1039,打分卡!$F$14:$J$14,打分卡!$K$14:$O$14),1)</f>
        <v>1</v>
      </c>
      <c r="AK1039" s="42">
        <f>IFERROR(LOOKUP(W1039,打分卡!$F$15:$J$15,打分卡!$K$15:$O$15),1)</f>
        <v>1</v>
      </c>
      <c r="AL1039" s="45">
        <f t="shared" si="129"/>
        <v>5</v>
      </c>
      <c r="AM1039" s="42">
        <f>IFERROR(LOOKUP(Z1039,打分卡!$F$17:$H$17,打分卡!$K$17:$M$17),1)</f>
        <v>1</v>
      </c>
      <c r="AN1039" s="46">
        <f>(打分卡!$D$7*AC1039+打分卡!$D$8*AD1039+打分卡!$D$9*AE1039)/5</f>
        <v>8</v>
      </c>
      <c r="AO1039" s="46">
        <f>(打分卡!$D$10*AF1039+打分卡!$D$11*AG1039)/5</f>
        <v>4</v>
      </c>
      <c r="AP1039" s="46">
        <f>(打分卡!$D$12*AH1039+打分卡!$D$13*AI1039+打分卡!$D$14*AJ1039+打分卡!$D$15*AK1039)/5</f>
        <v>12.4</v>
      </c>
      <c r="AQ1039" s="46">
        <f>(打分卡!$D$16*AL1039+打分卡!$D$17*AM1039)/5</f>
        <v>6.8</v>
      </c>
      <c r="AR1039" s="48">
        <f t="shared" si="130"/>
        <v>31.2</v>
      </c>
      <c r="AS1039" s="45" t="str">
        <f t="shared" si="131"/>
        <v>基础长尾</v>
      </c>
      <c r="AT1039" s="45" t="str">
        <f t="shared" si="132"/>
        <v/>
      </c>
      <c r="AU1039" s="45" t="str">
        <f t="shared" si="133"/>
        <v>激活：企微+Push低成本先跑</v>
      </c>
    </row>
    <row r="1040" ht="15" customHeight="1" spans="1:47">
      <c r="A1040" s="30" t="s">
        <v>2844</v>
      </c>
      <c r="B1040" s="31" t="s">
        <v>2845</v>
      </c>
      <c r="C1040" s="31" t="s">
        <v>234</v>
      </c>
      <c r="D1040" s="31" t="s">
        <v>227</v>
      </c>
      <c r="E1040" s="31" t="s">
        <v>181</v>
      </c>
      <c r="F1040" s="30" t="s">
        <v>743</v>
      </c>
      <c r="G1040" s="31">
        <v>3</v>
      </c>
      <c r="H1040" s="31" t="s">
        <v>642</v>
      </c>
      <c r="I1040" s="31" t="s">
        <v>302</v>
      </c>
      <c r="J1040" s="33">
        <v>2200</v>
      </c>
      <c r="K1040" s="33">
        <v>1200</v>
      </c>
      <c r="L1040" s="33">
        <v>200</v>
      </c>
      <c r="M1040" s="33">
        <f t="shared" si="128"/>
        <v>3600</v>
      </c>
      <c r="N1040" s="34">
        <f t="shared" si="134"/>
        <v>1.88735034884526e-5</v>
      </c>
      <c r="O1040" s="35">
        <f>SUM($M$2:M1040)</f>
        <v>190200100</v>
      </c>
      <c r="P1040" s="34">
        <f t="shared" si="135"/>
        <v>0.997150625237229</v>
      </c>
      <c r="Q1040" s="37">
        <v>0.5</v>
      </c>
      <c r="R1040" s="31">
        <v>1</v>
      </c>
      <c r="S1040" s="31">
        <v>0</v>
      </c>
      <c r="T1040" s="31">
        <v>0</v>
      </c>
      <c r="U1040" s="37">
        <v>30.6</v>
      </c>
      <c r="V1040" s="31">
        <v>3</v>
      </c>
      <c r="W1040" s="31">
        <v>2</v>
      </c>
      <c r="X1040" s="38">
        <v>29</v>
      </c>
      <c r="Y1040" s="31">
        <v>1</v>
      </c>
      <c r="Z1040" s="31">
        <v>0</v>
      </c>
      <c r="AA1040" s="31" t="s">
        <v>199</v>
      </c>
      <c r="AB1040" s="31" t="s">
        <v>220</v>
      </c>
      <c r="AC1040" s="41">
        <f>IFERROR(LOOKUP(M1040,打分卡!$F$7:$J$7,打分卡!$K$7:$O$7),1)</f>
        <v>1</v>
      </c>
      <c r="AD1040" s="41">
        <f>IFERROR(LOOKUP(S1040,打分卡!$F$8:$J$8,打分卡!$K$8:$O$8),1)</f>
        <v>1</v>
      </c>
      <c r="AE1040" s="41">
        <f>IFERROR(LOOKUP(T1040,打分卡!$F$9:$I$9,打分卡!$K$9:$N$9),1)</f>
        <v>1</v>
      </c>
      <c r="AF1040" s="41">
        <f>IFERROR(LOOKUP(Q1040,打分卡!$F$10:$J$10,打分卡!$K$10:$O$10),1)</f>
        <v>1</v>
      </c>
      <c r="AG1040" s="41">
        <f>IFERROR(LOOKUP(R1040,打分卡!$F$11:$J$11,打分卡!$K$11:$O$11),1)</f>
        <v>1</v>
      </c>
      <c r="AH1040" s="41">
        <f>IFERROR(LOOKUP(U1040,打分卡!$F$12:$J$12,打分卡!$K$12:$O$12),1)</f>
        <v>3</v>
      </c>
      <c r="AI1040" s="41">
        <f>IFERROR(LOOKUP(X1040,打分卡!$F$13:$J$13,打分卡!$K$13:$O$13),1)</f>
        <v>2</v>
      </c>
      <c r="AJ1040" s="41">
        <f>IFERROR(LOOKUP(Y1040,打分卡!$F$14:$J$14,打分卡!$K$14:$O$14),1)</f>
        <v>2</v>
      </c>
      <c r="AK1040" s="41">
        <f>IFERROR(LOOKUP(W1040,打分卡!$F$15:$J$15,打分卡!$K$15:$O$15),1)</f>
        <v>2</v>
      </c>
      <c r="AL1040" s="43">
        <f t="shared" si="129"/>
        <v>5</v>
      </c>
      <c r="AM1040" s="41">
        <f>IFERROR(LOOKUP(Z1040,打分卡!$F$17:$H$17,打分卡!$K$17:$M$17),1)</f>
        <v>1</v>
      </c>
      <c r="AN1040" s="44">
        <f>(打分卡!$D$7*AC1040+打分卡!$D$8*AD1040+打分卡!$D$9*AE1040)/5</f>
        <v>8</v>
      </c>
      <c r="AO1040" s="44">
        <f>(打分卡!$D$10*AF1040+打分卡!$D$11*AG1040)/5</f>
        <v>4</v>
      </c>
      <c r="AP1040" s="44">
        <f>(打分卡!$D$12*AH1040+打分卡!$D$13*AI1040+打分卡!$D$14*AJ1040+打分卡!$D$15*AK1040)/5</f>
        <v>14.4</v>
      </c>
      <c r="AQ1040" s="44">
        <f>(打分卡!$D$16*AL1040+打分卡!$D$17*AM1040)/5</f>
        <v>6.8</v>
      </c>
      <c r="AR1040" s="47">
        <f t="shared" si="130"/>
        <v>33.2</v>
      </c>
      <c r="AS1040" s="43" t="str">
        <f t="shared" si="131"/>
        <v>基础长尾</v>
      </c>
      <c r="AT1040" s="43" t="str">
        <f t="shared" si="132"/>
        <v/>
      </c>
      <c r="AU1040" s="43" t="str">
        <f t="shared" si="133"/>
        <v>激活：企微+Push低成本先跑</v>
      </c>
    </row>
    <row r="1041" ht="15" customHeight="1" spans="1:47">
      <c r="A1041" s="20" t="s">
        <v>2846</v>
      </c>
      <c r="B1041" s="22" t="s">
        <v>2847</v>
      </c>
      <c r="C1041" s="22" t="s">
        <v>189</v>
      </c>
      <c r="D1041" s="22" t="s">
        <v>202</v>
      </c>
      <c r="E1041" s="22" t="s">
        <v>181</v>
      </c>
      <c r="F1041" s="20" t="s">
        <v>1166</v>
      </c>
      <c r="G1041" s="22">
        <v>3</v>
      </c>
      <c r="H1041" s="22" t="s">
        <v>642</v>
      </c>
      <c r="I1041" s="22" t="s">
        <v>302</v>
      </c>
      <c r="J1041" s="36">
        <v>1800</v>
      </c>
      <c r="K1041" s="36">
        <v>1100</v>
      </c>
      <c r="L1041" s="36">
        <v>800</v>
      </c>
      <c r="M1041" s="36">
        <f t="shared" si="128"/>
        <v>3700</v>
      </c>
      <c r="N1041" s="34">
        <f t="shared" si="134"/>
        <v>1.93977674742429e-5</v>
      </c>
      <c r="O1041" s="35">
        <f>SUM($M$2:M1041)</f>
        <v>190203800</v>
      </c>
      <c r="P1041" s="34">
        <f t="shared" si="135"/>
        <v>0.997170023004704</v>
      </c>
      <c r="Q1041" s="39">
        <v>0.5</v>
      </c>
      <c r="R1041" s="22">
        <v>3</v>
      </c>
      <c r="S1041" s="22">
        <v>0</v>
      </c>
      <c r="T1041" s="22">
        <v>0</v>
      </c>
      <c r="U1041" s="39">
        <v>1</v>
      </c>
      <c r="V1041" s="22">
        <v>4</v>
      </c>
      <c r="W1041" s="22">
        <v>1</v>
      </c>
      <c r="X1041" s="40">
        <v>73</v>
      </c>
      <c r="Y1041" s="22">
        <v>1</v>
      </c>
      <c r="Z1041" s="22">
        <v>0</v>
      </c>
      <c r="AA1041" s="22" t="s">
        <v>199</v>
      </c>
      <c r="AB1041" s="22" t="s">
        <v>220</v>
      </c>
      <c r="AC1041" s="42">
        <f>IFERROR(LOOKUP(M1041,打分卡!$F$7:$J$7,打分卡!$K$7:$O$7),1)</f>
        <v>1</v>
      </c>
      <c r="AD1041" s="42">
        <f>IFERROR(LOOKUP(S1041,打分卡!$F$8:$J$8,打分卡!$K$8:$O$8),1)</f>
        <v>1</v>
      </c>
      <c r="AE1041" s="42">
        <f>IFERROR(LOOKUP(T1041,打分卡!$F$9:$I$9,打分卡!$K$9:$N$9),1)</f>
        <v>1</v>
      </c>
      <c r="AF1041" s="42">
        <f>IFERROR(LOOKUP(Q1041,打分卡!$F$10:$J$10,打分卡!$K$10:$O$10),1)</f>
        <v>1</v>
      </c>
      <c r="AG1041" s="42">
        <f>IFERROR(LOOKUP(R1041,打分卡!$F$11:$J$11,打分卡!$K$11:$O$11),1)</f>
        <v>2</v>
      </c>
      <c r="AH1041" s="42">
        <f>IFERROR(LOOKUP(U1041,打分卡!$F$12:$J$12,打分卡!$K$12:$O$12),1)</f>
        <v>1</v>
      </c>
      <c r="AI1041" s="42">
        <f>IFERROR(LOOKUP(X1041,打分卡!$F$13:$J$13,打分卡!$K$13:$O$13),1)</f>
        <v>3</v>
      </c>
      <c r="AJ1041" s="42">
        <f>IFERROR(LOOKUP(Y1041,打分卡!$F$14:$J$14,打分卡!$K$14:$O$14),1)</f>
        <v>2</v>
      </c>
      <c r="AK1041" s="42">
        <f>IFERROR(LOOKUP(W1041,打分卡!$F$15:$J$15,打分卡!$K$15:$O$15),1)</f>
        <v>2</v>
      </c>
      <c r="AL1041" s="45">
        <f t="shared" si="129"/>
        <v>5</v>
      </c>
      <c r="AM1041" s="42">
        <f>IFERROR(LOOKUP(Z1041,打分卡!$F$17:$H$17,打分卡!$K$17:$M$17),1)</f>
        <v>1</v>
      </c>
      <c r="AN1041" s="46">
        <f>(打分卡!$D$7*AC1041+打分卡!$D$8*AD1041+打分卡!$D$9*AE1041)/5</f>
        <v>8</v>
      </c>
      <c r="AO1041" s="46">
        <f>(打分卡!$D$10*AF1041+打分卡!$D$11*AG1041)/5</f>
        <v>6</v>
      </c>
      <c r="AP1041" s="46">
        <f>(打分卡!$D$12*AH1041+打分卡!$D$13*AI1041+打分卡!$D$14*AJ1041+打分卡!$D$15*AK1041)/5</f>
        <v>11.2</v>
      </c>
      <c r="AQ1041" s="46">
        <f>(打分卡!$D$16*AL1041+打分卡!$D$17*AM1041)/5</f>
        <v>6.8</v>
      </c>
      <c r="AR1041" s="48">
        <f t="shared" si="130"/>
        <v>32</v>
      </c>
      <c r="AS1041" s="45" t="str">
        <f t="shared" si="131"/>
        <v>基础长尾</v>
      </c>
      <c r="AT1041" s="45" t="str">
        <f t="shared" si="132"/>
        <v/>
      </c>
      <c r="AU1041" s="45" t="str">
        <f t="shared" si="133"/>
        <v>激活：企微+Push低成本先跑</v>
      </c>
    </row>
    <row r="1042" ht="15" customHeight="1" spans="1:47">
      <c r="A1042" s="30" t="s">
        <v>2848</v>
      </c>
      <c r="B1042" s="31" t="s">
        <v>2849</v>
      </c>
      <c r="C1042" s="31" t="s">
        <v>179</v>
      </c>
      <c r="D1042" s="31" t="s">
        <v>196</v>
      </c>
      <c r="E1042" s="31" t="s">
        <v>197</v>
      </c>
      <c r="F1042" s="30" t="s">
        <v>705</v>
      </c>
      <c r="G1042" s="31">
        <v>3</v>
      </c>
      <c r="H1042" s="31" t="s">
        <v>642</v>
      </c>
      <c r="I1042" s="31" t="s">
        <v>302</v>
      </c>
      <c r="J1042" s="33">
        <v>2200</v>
      </c>
      <c r="K1042" s="33">
        <v>800</v>
      </c>
      <c r="L1042" s="33">
        <v>700</v>
      </c>
      <c r="M1042" s="33">
        <f t="shared" si="128"/>
        <v>3700</v>
      </c>
      <c r="N1042" s="34">
        <f t="shared" si="134"/>
        <v>1.93977674742429e-5</v>
      </c>
      <c r="O1042" s="35">
        <f>SUM($M$2:M1042)</f>
        <v>190207500</v>
      </c>
      <c r="P1042" s="34">
        <f t="shared" si="135"/>
        <v>0.997189420772178</v>
      </c>
      <c r="Q1042" s="37">
        <v>0.5</v>
      </c>
      <c r="R1042" s="31">
        <v>2</v>
      </c>
      <c r="S1042" s="31">
        <v>0</v>
      </c>
      <c r="T1042" s="31">
        <v>0</v>
      </c>
      <c r="U1042" s="37">
        <v>45.8</v>
      </c>
      <c r="V1042" s="31">
        <v>3</v>
      </c>
      <c r="W1042" s="31">
        <v>1</v>
      </c>
      <c r="X1042" s="38">
        <v>38</v>
      </c>
      <c r="Y1042" s="31">
        <v>0</v>
      </c>
      <c r="Z1042" s="31">
        <v>0</v>
      </c>
      <c r="AA1042" s="31" t="s">
        <v>199</v>
      </c>
      <c r="AB1042" s="31" t="s">
        <v>220</v>
      </c>
      <c r="AC1042" s="41">
        <f>IFERROR(LOOKUP(M1042,打分卡!$F$7:$J$7,打分卡!$K$7:$O$7),1)</f>
        <v>1</v>
      </c>
      <c r="AD1042" s="41">
        <f>IFERROR(LOOKUP(S1042,打分卡!$F$8:$J$8,打分卡!$K$8:$O$8),1)</f>
        <v>1</v>
      </c>
      <c r="AE1042" s="41">
        <f>IFERROR(LOOKUP(T1042,打分卡!$F$9:$I$9,打分卡!$K$9:$N$9),1)</f>
        <v>1</v>
      </c>
      <c r="AF1042" s="41">
        <f>IFERROR(LOOKUP(Q1042,打分卡!$F$10:$J$10,打分卡!$K$10:$O$10),1)</f>
        <v>1</v>
      </c>
      <c r="AG1042" s="41">
        <f>IFERROR(LOOKUP(R1042,打分卡!$F$11:$J$11,打分卡!$K$11:$O$11),1)</f>
        <v>1</v>
      </c>
      <c r="AH1042" s="41">
        <f>IFERROR(LOOKUP(U1042,打分卡!$F$12:$J$12,打分卡!$K$12:$O$12),1)</f>
        <v>4</v>
      </c>
      <c r="AI1042" s="41">
        <f>IFERROR(LOOKUP(X1042,打分卡!$F$13:$J$13,打分卡!$K$13:$O$13),1)</f>
        <v>2</v>
      </c>
      <c r="AJ1042" s="41">
        <f>IFERROR(LOOKUP(Y1042,打分卡!$F$14:$J$14,打分卡!$K$14:$O$14),1)</f>
        <v>1</v>
      </c>
      <c r="AK1042" s="41">
        <f>IFERROR(LOOKUP(W1042,打分卡!$F$15:$J$15,打分卡!$K$15:$O$15),1)</f>
        <v>2</v>
      </c>
      <c r="AL1042" s="43">
        <f t="shared" si="129"/>
        <v>5</v>
      </c>
      <c r="AM1042" s="41">
        <f>IFERROR(LOOKUP(Z1042,打分卡!$F$17:$H$17,打分卡!$K$17:$M$17),1)</f>
        <v>1</v>
      </c>
      <c r="AN1042" s="44">
        <f>(打分卡!$D$7*AC1042+打分卡!$D$8*AD1042+打分卡!$D$9*AE1042)/5</f>
        <v>8</v>
      </c>
      <c r="AO1042" s="44">
        <f>(打分卡!$D$10*AF1042+打分卡!$D$11*AG1042)/5</f>
        <v>4</v>
      </c>
      <c r="AP1042" s="44">
        <f>(打分卡!$D$12*AH1042+打分卡!$D$13*AI1042+打分卡!$D$14*AJ1042+打分卡!$D$15*AK1042)/5</f>
        <v>15.6</v>
      </c>
      <c r="AQ1042" s="44">
        <f>(打分卡!$D$16*AL1042+打分卡!$D$17*AM1042)/5</f>
        <v>6.8</v>
      </c>
      <c r="AR1042" s="47">
        <f t="shared" si="130"/>
        <v>34.4</v>
      </c>
      <c r="AS1042" s="43" t="str">
        <f t="shared" si="131"/>
        <v>基础长尾</v>
      </c>
      <c r="AT1042" s="43" t="str">
        <f t="shared" si="132"/>
        <v/>
      </c>
      <c r="AU1042" s="43" t="str">
        <f t="shared" si="133"/>
        <v>激活：企微+Push低成本先跑</v>
      </c>
    </row>
    <row r="1043" ht="15" customHeight="1" spans="1:47">
      <c r="A1043" s="20" t="s">
        <v>2850</v>
      </c>
      <c r="B1043" s="22" t="s">
        <v>2851</v>
      </c>
      <c r="C1043" s="22" t="s">
        <v>189</v>
      </c>
      <c r="D1043" s="22" t="s">
        <v>227</v>
      </c>
      <c r="E1043" s="22" t="s">
        <v>181</v>
      </c>
      <c r="F1043" s="20" t="s">
        <v>2852</v>
      </c>
      <c r="G1043" s="22">
        <v>3</v>
      </c>
      <c r="H1043" s="22" t="s">
        <v>642</v>
      </c>
      <c r="I1043" s="22" t="s">
        <v>302</v>
      </c>
      <c r="J1043" s="36">
        <v>1900</v>
      </c>
      <c r="K1043" s="36">
        <v>800</v>
      </c>
      <c r="L1043" s="36">
        <v>900</v>
      </c>
      <c r="M1043" s="36">
        <f t="shared" si="128"/>
        <v>3600</v>
      </c>
      <c r="N1043" s="34">
        <f t="shared" si="134"/>
        <v>1.88735034884526e-5</v>
      </c>
      <c r="O1043" s="35">
        <f>SUM($M$2:M1043)</f>
        <v>190211100</v>
      </c>
      <c r="P1043" s="34">
        <f t="shared" si="135"/>
        <v>0.997208294275666</v>
      </c>
      <c r="Q1043" s="39">
        <v>0.5</v>
      </c>
      <c r="R1043" s="22">
        <v>1</v>
      </c>
      <c r="S1043" s="22">
        <v>1</v>
      </c>
      <c r="T1043" s="22">
        <v>0</v>
      </c>
      <c r="U1043" s="39">
        <v>15.4</v>
      </c>
      <c r="V1043" s="22">
        <v>12</v>
      </c>
      <c r="W1043" s="22">
        <v>1</v>
      </c>
      <c r="X1043" s="40">
        <v>28</v>
      </c>
      <c r="Y1043" s="22">
        <v>0</v>
      </c>
      <c r="Z1043" s="22">
        <v>0</v>
      </c>
      <c r="AA1043" s="22" t="s">
        <v>199</v>
      </c>
      <c r="AB1043" s="22" t="s">
        <v>220</v>
      </c>
      <c r="AC1043" s="42">
        <f>IFERROR(LOOKUP(M1043,打分卡!$F$7:$J$7,打分卡!$K$7:$O$7),1)</f>
        <v>1</v>
      </c>
      <c r="AD1043" s="42">
        <f>IFERROR(LOOKUP(S1043,打分卡!$F$8:$J$8,打分卡!$K$8:$O$8),1)</f>
        <v>1</v>
      </c>
      <c r="AE1043" s="42">
        <f>IFERROR(LOOKUP(T1043,打分卡!$F$9:$I$9,打分卡!$K$9:$N$9),1)</f>
        <v>1</v>
      </c>
      <c r="AF1043" s="42">
        <f>IFERROR(LOOKUP(Q1043,打分卡!$F$10:$J$10,打分卡!$K$10:$O$10),1)</f>
        <v>1</v>
      </c>
      <c r="AG1043" s="42">
        <f>IFERROR(LOOKUP(R1043,打分卡!$F$11:$J$11,打分卡!$K$11:$O$11),1)</f>
        <v>1</v>
      </c>
      <c r="AH1043" s="42">
        <f>IFERROR(LOOKUP(U1043,打分卡!$F$12:$J$12,打分卡!$K$12:$O$12),1)</f>
        <v>3</v>
      </c>
      <c r="AI1043" s="42">
        <f>IFERROR(LOOKUP(X1043,打分卡!$F$13:$J$13,打分卡!$K$13:$O$13),1)</f>
        <v>2</v>
      </c>
      <c r="AJ1043" s="42">
        <f>IFERROR(LOOKUP(Y1043,打分卡!$F$14:$J$14,打分卡!$K$14:$O$14),1)</f>
        <v>1</v>
      </c>
      <c r="AK1043" s="42">
        <f>IFERROR(LOOKUP(W1043,打分卡!$F$15:$J$15,打分卡!$K$15:$O$15),1)</f>
        <v>2</v>
      </c>
      <c r="AL1043" s="45">
        <f t="shared" si="129"/>
        <v>5</v>
      </c>
      <c r="AM1043" s="42">
        <f>IFERROR(LOOKUP(Z1043,打分卡!$F$17:$H$17,打分卡!$K$17:$M$17),1)</f>
        <v>1</v>
      </c>
      <c r="AN1043" s="46">
        <f>(打分卡!$D$7*AC1043+打分卡!$D$8*AD1043+打分卡!$D$9*AE1043)/5</f>
        <v>8</v>
      </c>
      <c r="AO1043" s="46">
        <f>(打分卡!$D$10*AF1043+打分卡!$D$11*AG1043)/5</f>
        <v>4</v>
      </c>
      <c r="AP1043" s="46">
        <f>(打分卡!$D$12*AH1043+打分卡!$D$13*AI1043+打分卡!$D$14*AJ1043+打分卡!$D$15*AK1043)/5</f>
        <v>13.2</v>
      </c>
      <c r="AQ1043" s="46">
        <f>(打分卡!$D$16*AL1043+打分卡!$D$17*AM1043)/5</f>
        <v>6.8</v>
      </c>
      <c r="AR1043" s="48">
        <f t="shared" si="130"/>
        <v>32</v>
      </c>
      <c r="AS1043" s="45" t="str">
        <f t="shared" si="131"/>
        <v>基础长尾</v>
      </c>
      <c r="AT1043" s="45" t="str">
        <f t="shared" si="132"/>
        <v/>
      </c>
      <c r="AU1043" s="45" t="str">
        <f t="shared" si="133"/>
        <v>激活：企微+Push低成本先跑</v>
      </c>
    </row>
    <row r="1044" ht="15" customHeight="1" spans="1:47">
      <c r="A1044" s="30" t="s">
        <v>2853</v>
      </c>
      <c r="B1044" s="31" t="s">
        <v>2854</v>
      </c>
      <c r="C1044" s="31" t="s">
        <v>179</v>
      </c>
      <c r="D1044" s="31" t="s">
        <v>202</v>
      </c>
      <c r="E1044" s="31" t="s">
        <v>181</v>
      </c>
      <c r="F1044" s="30" t="s">
        <v>2742</v>
      </c>
      <c r="G1044" s="31">
        <v>2</v>
      </c>
      <c r="H1044" s="31" t="s">
        <v>642</v>
      </c>
      <c r="I1044" s="31" t="s">
        <v>302</v>
      </c>
      <c r="J1044" s="33">
        <v>2200</v>
      </c>
      <c r="K1044" s="33">
        <v>1200</v>
      </c>
      <c r="L1044" s="33">
        <v>300</v>
      </c>
      <c r="M1044" s="33">
        <f t="shared" si="128"/>
        <v>3700</v>
      </c>
      <c r="N1044" s="34">
        <f t="shared" si="134"/>
        <v>1.93977674742429e-5</v>
      </c>
      <c r="O1044" s="35">
        <f>SUM($M$2:M1044)</f>
        <v>190214800</v>
      </c>
      <c r="P1044" s="34">
        <f t="shared" si="135"/>
        <v>0.997227692043141</v>
      </c>
      <c r="Q1044" s="37">
        <v>0.5</v>
      </c>
      <c r="R1044" s="31">
        <v>3</v>
      </c>
      <c r="S1044" s="31">
        <v>0</v>
      </c>
      <c r="T1044" s="31">
        <v>0</v>
      </c>
      <c r="U1044" s="37">
        <v>0.8</v>
      </c>
      <c r="V1044" s="31">
        <v>9</v>
      </c>
      <c r="W1044" s="31">
        <v>2</v>
      </c>
      <c r="X1044" s="38">
        <v>17</v>
      </c>
      <c r="Y1044" s="31">
        <v>1</v>
      </c>
      <c r="Z1044" s="31">
        <v>0</v>
      </c>
      <c r="AA1044" s="31" t="s">
        <v>199</v>
      </c>
      <c r="AB1044" s="31" t="s">
        <v>220</v>
      </c>
      <c r="AC1044" s="41">
        <f>IFERROR(LOOKUP(M1044,打分卡!$F$7:$J$7,打分卡!$K$7:$O$7),1)</f>
        <v>1</v>
      </c>
      <c r="AD1044" s="41">
        <f>IFERROR(LOOKUP(S1044,打分卡!$F$8:$J$8,打分卡!$K$8:$O$8),1)</f>
        <v>1</v>
      </c>
      <c r="AE1044" s="41">
        <f>IFERROR(LOOKUP(T1044,打分卡!$F$9:$I$9,打分卡!$K$9:$N$9),1)</f>
        <v>1</v>
      </c>
      <c r="AF1044" s="41">
        <f>IFERROR(LOOKUP(Q1044,打分卡!$F$10:$J$10,打分卡!$K$10:$O$10),1)</f>
        <v>1</v>
      </c>
      <c r="AG1044" s="41">
        <f>IFERROR(LOOKUP(R1044,打分卡!$F$11:$J$11,打分卡!$K$11:$O$11),1)</f>
        <v>2</v>
      </c>
      <c r="AH1044" s="41">
        <f>IFERROR(LOOKUP(U1044,打分卡!$F$12:$J$12,打分卡!$K$12:$O$12),1)</f>
        <v>1</v>
      </c>
      <c r="AI1044" s="41">
        <f>IFERROR(LOOKUP(X1044,打分卡!$F$13:$J$13,打分卡!$K$13:$O$13),1)</f>
        <v>1</v>
      </c>
      <c r="AJ1044" s="41">
        <f>IFERROR(LOOKUP(Y1044,打分卡!$F$14:$J$14,打分卡!$K$14:$O$14),1)</f>
        <v>2</v>
      </c>
      <c r="AK1044" s="41">
        <f>IFERROR(LOOKUP(W1044,打分卡!$F$15:$J$15,打分卡!$K$15:$O$15),1)</f>
        <v>2</v>
      </c>
      <c r="AL1044" s="43">
        <f t="shared" si="129"/>
        <v>5</v>
      </c>
      <c r="AM1044" s="41">
        <f>IFERROR(LOOKUP(Z1044,打分卡!$F$17:$H$17,打分卡!$K$17:$M$17),1)</f>
        <v>1</v>
      </c>
      <c r="AN1044" s="44">
        <f>(打分卡!$D$7*AC1044+打分卡!$D$8*AD1044+打分卡!$D$9*AE1044)/5</f>
        <v>8</v>
      </c>
      <c r="AO1044" s="44">
        <f>(打分卡!$D$10*AF1044+打分卡!$D$11*AG1044)/5</f>
        <v>6</v>
      </c>
      <c r="AP1044" s="44">
        <f>(打分卡!$D$12*AH1044+打分卡!$D$13*AI1044+打分卡!$D$14*AJ1044+打分卡!$D$15*AK1044)/5</f>
        <v>8</v>
      </c>
      <c r="AQ1044" s="44">
        <f>(打分卡!$D$16*AL1044+打分卡!$D$17*AM1044)/5</f>
        <v>6.8</v>
      </c>
      <c r="AR1044" s="47">
        <f t="shared" si="130"/>
        <v>31.4666666666667</v>
      </c>
      <c r="AS1044" s="43" t="str">
        <f t="shared" si="131"/>
        <v>基础长尾</v>
      </c>
      <c r="AT1044" s="43" t="str">
        <f t="shared" si="132"/>
        <v/>
      </c>
      <c r="AU1044" s="43" t="str">
        <f t="shared" si="133"/>
        <v>激活：企微+Push低成本先跑</v>
      </c>
    </row>
    <row r="1045" ht="15" customHeight="1" spans="1:47">
      <c r="A1045" s="20" t="s">
        <v>2855</v>
      </c>
      <c r="B1045" s="22" t="s">
        <v>2856</v>
      </c>
      <c r="C1045" s="22" t="s">
        <v>239</v>
      </c>
      <c r="D1045" s="22" t="s">
        <v>235</v>
      </c>
      <c r="E1045" s="22" t="s">
        <v>197</v>
      </c>
      <c r="F1045" s="20" t="s">
        <v>2785</v>
      </c>
      <c r="G1045" s="22">
        <v>1</v>
      </c>
      <c r="H1045" s="22" t="s">
        <v>642</v>
      </c>
      <c r="I1045" s="22" t="s">
        <v>302</v>
      </c>
      <c r="J1045" s="36">
        <v>2300</v>
      </c>
      <c r="K1045" s="36">
        <v>900</v>
      </c>
      <c r="L1045" s="36">
        <v>400</v>
      </c>
      <c r="M1045" s="36">
        <f t="shared" si="128"/>
        <v>3600</v>
      </c>
      <c r="N1045" s="34">
        <f t="shared" si="134"/>
        <v>1.88735034884526e-5</v>
      </c>
      <c r="O1045" s="35">
        <f>SUM($M$2:M1045)</f>
        <v>190218400</v>
      </c>
      <c r="P1045" s="34">
        <f t="shared" si="135"/>
        <v>0.997246565546629</v>
      </c>
      <c r="Q1045" s="39">
        <v>0.3</v>
      </c>
      <c r="R1045" s="22">
        <v>3</v>
      </c>
      <c r="S1045" s="22">
        <v>0</v>
      </c>
      <c r="T1045" s="22">
        <v>0</v>
      </c>
      <c r="U1045" s="39">
        <v>30.9</v>
      </c>
      <c r="V1045" s="22">
        <v>10</v>
      </c>
      <c r="W1045" s="22">
        <v>1</v>
      </c>
      <c r="X1045" s="40">
        <v>7</v>
      </c>
      <c r="Y1045" s="22">
        <v>1</v>
      </c>
      <c r="Z1045" s="22">
        <v>0</v>
      </c>
      <c r="AA1045" s="22" t="s">
        <v>199</v>
      </c>
      <c r="AB1045" s="22" t="s">
        <v>220</v>
      </c>
      <c r="AC1045" s="42">
        <f>IFERROR(LOOKUP(M1045,打分卡!$F$7:$J$7,打分卡!$K$7:$O$7),1)</f>
        <v>1</v>
      </c>
      <c r="AD1045" s="42">
        <f>IFERROR(LOOKUP(S1045,打分卡!$F$8:$J$8,打分卡!$K$8:$O$8),1)</f>
        <v>1</v>
      </c>
      <c r="AE1045" s="42">
        <f>IFERROR(LOOKUP(T1045,打分卡!$F$9:$I$9,打分卡!$K$9:$N$9),1)</f>
        <v>1</v>
      </c>
      <c r="AF1045" s="42">
        <f>IFERROR(LOOKUP(Q1045,打分卡!$F$10:$J$10,打分卡!$K$10:$O$10),1)</f>
        <v>1</v>
      </c>
      <c r="AG1045" s="42">
        <f>IFERROR(LOOKUP(R1045,打分卡!$F$11:$J$11,打分卡!$K$11:$O$11),1)</f>
        <v>2</v>
      </c>
      <c r="AH1045" s="42">
        <f>IFERROR(LOOKUP(U1045,打分卡!$F$12:$J$12,打分卡!$K$12:$O$12),1)</f>
        <v>3</v>
      </c>
      <c r="AI1045" s="42">
        <f>IFERROR(LOOKUP(X1045,打分卡!$F$13:$J$13,打分卡!$K$13:$O$13),1)</f>
        <v>1</v>
      </c>
      <c r="AJ1045" s="42">
        <f>IFERROR(LOOKUP(Y1045,打分卡!$F$14:$J$14,打分卡!$K$14:$O$14),1)</f>
        <v>2</v>
      </c>
      <c r="AK1045" s="42">
        <f>IFERROR(LOOKUP(W1045,打分卡!$F$15:$J$15,打分卡!$K$15:$O$15),1)</f>
        <v>2</v>
      </c>
      <c r="AL1045" s="45">
        <f t="shared" si="129"/>
        <v>5</v>
      </c>
      <c r="AM1045" s="42">
        <f>IFERROR(LOOKUP(Z1045,打分卡!$F$17:$H$17,打分卡!$K$17:$M$17),1)</f>
        <v>1</v>
      </c>
      <c r="AN1045" s="46">
        <f>(打分卡!$D$7*AC1045+打分卡!$D$8*AD1045+打分卡!$D$9*AE1045)/5</f>
        <v>8</v>
      </c>
      <c r="AO1045" s="46">
        <f>(打分卡!$D$10*AF1045+打分卡!$D$11*AG1045)/5</f>
        <v>6</v>
      </c>
      <c r="AP1045" s="46">
        <f>(打分卡!$D$12*AH1045+打分卡!$D$13*AI1045+打分卡!$D$14*AJ1045+打分卡!$D$15*AK1045)/5</f>
        <v>12.8</v>
      </c>
      <c r="AQ1045" s="46">
        <f>(打分卡!$D$16*AL1045+打分卡!$D$17*AM1045)/5</f>
        <v>6.8</v>
      </c>
      <c r="AR1045" s="48">
        <f t="shared" si="130"/>
        <v>42.6666666666667</v>
      </c>
      <c r="AS1045" s="45" t="str">
        <f t="shared" si="131"/>
        <v>腰部</v>
      </c>
      <c r="AT1045" s="45" t="str">
        <f t="shared" si="132"/>
        <v/>
      </c>
      <c r="AU1045" s="45" t="str">
        <f t="shared" si="133"/>
        <v>拉·主攻：主推AI外呼+大促作战包</v>
      </c>
    </row>
    <row r="1046" ht="15" customHeight="1" spans="1:47">
      <c r="A1046" s="30" t="s">
        <v>2857</v>
      </c>
      <c r="B1046" s="31" t="s">
        <v>2858</v>
      </c>
      <c r="C1046" s="31" t="s">
        <v>189</v>
      </c>
      <c r="D1046" s="31" t="s">
        <v>202</v>
      </c>
      <c r="E1046" s="31" t="s">
        <v>197</v>
      </c>
      <c r="F1046" s="30" t="s">
        <v>2806</v>
      </c>
      <c r="G1046" s="31">
        <v>3</v>
      </c>
      <c r="H1046" s="31" t="s">
        <v>642</v>
      </c>
      <c r="I1046" s="31" t="s">
        <v>302</v>
      </c>
      <c r="J1046" s="33">
        <v>2200</v>
      </c>
      <c r="K1046" s="33">
        <v>1200</v>
      </c>
      <c r="L1046" s="33">
        <v>200</v>
      </c>
      <c r="M1046" s="33">
        <f t="shared" si="128"/>
        <v>3600</v>
      </c>
      <c r="N1046" s="34">
        <f t="shared" si="134"/>
        <v>1.88735034884526e-5</v>
      </c>
      <c r="O1046" s="35">
        <f>SUM($M$2:M1046)</f>
        <v>190222000</v>
      </c>
      <c r="P1046" s="34">
        <f t="shared" si="135"/>
        <v>0.997265439050118</v>
      </c>
      <c r="Q1046" s="37">
        <v>0.2</v>
      </c>
      <c r="R1046" s="31">
        <v>3</v>
      </c>
      <c r="S1046" s="31">
        <v>0</v>
      </c>
      <c r="T1046" s="31">
        <v>0</v>
      </c>
      <c r="U1046" s="37">
        <v>5.7</v>
      </c>
      <c r="V1046" s="31">
        <v>1</v>
      </c>
      <c r="W1046" s="31">
        <v>1</v>
      </c>
      <c r="X1046" s="38">
        <v>66</v>
      </c>
      <c r="Y1046" s="31">
        <v>0</v>
      </c>
      <c r="Z1046" s="31">
        <v>0</v>
      </c>
      <c r="AA1046" s="31" t="s">
        <v>199</v>
      </c>
      <c r="AB1046" s="31" t="s">
        <v>220</v>
      </c>
      <c r="AC1046" s="41">
        <f>IFERROR(LOOKUP(M1046,打分卡!$F$7:$J$7,打分卡!$K$7:$O$7),1)</f>
        <v>1</v>
      </c>
      <c r="AD1046" s="41">
        <f>IFERROR(LOOKUP(S1046,打分卡!$F$8:$J$8,打分卡!$K$8:$O$8),1)</f>
        <v>1</v>
      </c>
      <c r="AE1046" s="41">
        <f>IFERROR(LOOKUP(T1046,打分卡!$F$9:$I$9,打分卡!$K$9:$N$9),1)</f>
        <v>1</v>
      </c>
      <c r="AF1046" s="41">
        <f>IFERROR(LOOKUP(Q1046,打分卡!$F$10:$J$10,打分卡!$K$10:$O$10),1)</f>
        <v>1</v>
      </c>
      <c r="AG1046" s="41">
        <f>IFERROR(LOOKUP(R1046,打分卡!$F$11:$J$11,打分卡!$K$11:$O$11),1)</f>
        <v>2</v>
      </c>
      <c r="AH1046" s="41">
        <f>IFERROR(LOOKUP(U1046,打分卡!$F$12:$J$12,打分卡!$K$12:$O$12),1)</f>
        <v>2</v>
      </c>
      <c r="AI1046" s="41">
        <f>IFERROR(LOOKUP(X1046,打分卡!$F$13:$J$13,打分卡!$K$13:$O$13),1)</f>
        <v>3</v>
      </c>
      <c r="AJ1046" s="41">
        <f>IFERROR(LOOKUP(Y1046,打分卡!$F$14:$J$14,打分卡!$K$14:$O$14),1)</f>
        <v>1</v>
      </c>
      <c r="AK1046" s="41">
        <f>IFERROR(LOOKUP(W1046,打分卡!$F$15:$J$15,打分卡!$K$15:$O$15),1)</f>
        <v>2</v>
      </c>
      <c r="AL1046" s="43">
        <f t="shared" si="129"/>
        <v>5</v>
      </c>
      <c r="AM1046" s="41">
        <f>IFERROR(LOOKUP(Z1046,打分卡!$F$17:$H$17,打分卡!$K$17:$M$17),1)</f>
        <v>1</v>
      </c>
      <c r="AN1046" s="44">
        <f>(打分卡!$D$7*AC1046+打分卡!$D$8*AD1046+打分卡!$D$9*AE1046)/5</f>
        <v>8</v>
      </c>
      <c r="AO1046" s="44">
        <f>(打分卡!$D$10*AF1046+打分卡!$D$11*AG1046)/5</f>
        <v>6</v>
      </c>
      <c r="AP1046" s="44">
        <f>(打分卡!$D$12*AH1046+打分卡!$D$13*AI1046+打分卡!$D$14*AJ1046+打分卡!$D$15*AK1046)/5</f>
        <v>12.4</v>
      </c>
      <c r="AQ1046" s="44">
        <f>(打分卡!$D$16*AL1046+打分卡!$D$17*AM1046)/5</f>
        <v>6.8</v>
      </c>
      <c r="AR1046" s="47">
        <f t="shared" si="130"/>
        <v>33.2</v>
      </c>
      <c r="AS1046" s="43" t="str">
        <f t="shared" si="131"/>
        <v>基础长尾</v>
      </c>
      <c r="AT1046" s="43" t="str">
        <f t="shared" si="132"/>
        <v/>
      </c>
      <c r="AU1046" s="43" t="str">
        <f t="shared" si="133"/>
        <v>激活：企微+Push低成本先跑</v>
      </c>
    </row>
    <row r="1047" ht="15" customHeight="1" spans="1:47">
      <c r="A1047" s="20" t="s">
        <v>2859</v>
      </c>
      <c r="B1047" s="22" t="s">
        <v>2860</v>
      </c>
      <c r="C1047" s="22" t="s">
        <v>223</v>
      </c>
      <c r="D1047" s="22" t="s">
        <v>190</v>
      </c>
      <c r="E1047" s="22" t="s">
        <v>197</v>
      </c>
      <c r="F1047" s="20" t="s">
        <v>2861</v>
      </c>
      <c r="G1047" s="22">
        <v>2</v>
      </c>
      <c r="H1047" s="22" t="s">
        <v>642</v>
      </c>
      <c r="I1047" s="22" t="s">
        <v>302</v>
      </c>
      <c r="J1047" s="36">
        <v>2100</v>
      </c>
      <c r="K1047" s="36">
        <v>900</v>
      </c>
      <c r="L1047" s="36">
        <v>600</v>
      </c>
      <c r="M1047" s="36">
        <f t="shared" si="128"/>
        <v>3600</v>
      </c>
      <c r="N1047" s="34">
        <f t="shared" si="134"/>
        <v>1.88735034884526e-5</v>
      </c>
      <c r="O1047" s="35">
        <f>SUM($M$2:M1047)</f>
        <v>190225600</v>
      </c>
      <c r="P1047" s="34">
        <f t="shared" si="135"/>
        <v>0.997284312553606</v>
      </c>
      <c r="Q1047" s="39">
        <v>0.4</v>
      </c>
      <c r="R1047" s="22">
        <v>1</v>
      </c>
      <c r="S1047" s="22">
        <v>0</v>
      </c>
      <c r="T1047" s="22">
        <v>0</v>
      </c>
      <c r="U1047" s="39">
        <v>6.7</v>
      </c>
      <c r="V1047" s="22">
        <v>11</v>
      </c>
      <c r="W1047" s="22">
        <v>2</v>
      </c>
      <c r="X1047" s="40">
        <v>18</v>
      </c>
      <c r="Y1047" s="22">
        <v>0</v>
      </c>
      <c r="Z1047" s="22">
        <v>0</v>
      </c>
      <c r="AA1047" s="22" t="s">
        <v>199</v>
      </c>
      <c r="AB1047" s="22" t="s">
        <v>220</v>
      </c>
      <c r="AC1047" s="42">
        <f>IFERROR(LOOKUP(M1047,打分卡!$F$7:$J$7,打分卡!$K$7:$O$7),1)</f>
        <v>1</v>
      </c>
      <c r="AD1047" s="42">
        <f>IFERROR(LOOKUP(S1047,打分卡!$F$8:$J$8,打分卡!$K$8:$O$8),1)</f>
        <v>1</v>
      </c>
      <c r="AE1047" s="42">
        <f>IFERROR(LOOKUP(T1047,打分卡!$F$9:$I$9,打分卡!$K$9:$N$9),1)</f>
        <v>1</v>
      </c>
      <c r="AF1047" s="42">
        <f>IFERROR(LOOKUP(Q1047,打分卡!$F$10:$J$10,打分卡!$K$10:$O$10),1)</f>
        <v>1</v>
      </c>
      <c r="AG1047" s="42">
        <f>IFERROR(LOOKUP(R1047,打分卡!$F$11:$J$11,打分卡!$K$11:$O$11),1)</f>
        <v>1</v>
      </c>
      <c r="AH1047" s="42">
        <f>IFERROR(LOOKUP(U1047,打分卡!$F$12:$J$12,打分卡!$K$12:$O$12),1)</f>
        <v>2</v>
      </c>
      <c r="AI1047" s="42">
        <f>IFERROR(LOOKUP(X1047,打分卡!$F$13:$J$13,打分卡!$K$13:$O$13),1)</f>
        <v>2</v>
      </c>
      <c r="AJ1047" s="42">
        <f>IFERROR(LOOKUP(Y1047,打分卡!$F$14:$J$14,打分卡!$K$14:$O$14),1)</f>
        <v>1</v>
      </c>
      <c r="AK1047" s="42">
        <f>IFERROR(LOOKUP(W1047,打分卡!$F$15:$J$15,打分卡!$K$15:$O$15),1)</f>
        <v>2</v>
      </c>
      <c r="AL1047" s="45">
        <f t="shared" si="129"/>
        <v>5</v>
      </c>
      <c r="AM1047" s="42">
        <f>IFERROR(LOOKUP(Z1047,打分卡!$F$17:$H$17,打分卡!$K$17:$M$17),1)</f>
        <v>1</v>
      </c>
      <c r="AN1047" s="46">
        <f>(打分卡!$D$7*AC1047+打分卡!$D$8*AD1047+打分卡!$D$9*AE1047)/5</f>
        <v>8</v>
      </c>
      <c r="AO1047" s="46">
        <f>(打分卡!$D$10*AF1047+打分卡!$D$11*AG1047)/5</f>
        <v>4</v>
      </c>
      <c r="AP1047" s="46">
        <f>(打分卡!$D$12*AH1047+打分卡!$D$13*AI1047+打分卡!$D$14*AJ1047+打分卡!$D$15*AK1047)/5</f>
        <v>10.8</v>
      </c>
      <c r="AQ1047" s="46">
        <f>(打分卡!$D$16*AL1047+打分卡!$D$17*AM1047)/5</f>
        <v>6.8</v>
      </c>
      <c r="AR1047" s="48">
        <f t="shared" si="130"/>
        <v>36</v>
      </c>
      <c r="AS1047" s="45" t="str">
        <f t="shared" si="131"/>
        <v>基础长尾</v>
      </c>
      <c r="AT1047" s="45" t="str">
        <f t="shared" si="132"/>
        <v/>
      </c>
      <c r="AU1047" s="45" t="str">
        <f t="shared" si="133"/>
        <v>激活：企微+Push低成本先跑</v>
      </c>
    </row>
    <row r="1048" ht="15" customHeight="1" spans="1:47">
      <c r="A1048" s="30" t="s">
        <v>2862</v>
      </c>
      <c r="B1048" s="31" t="s">
        <v>2863</v>
      </c>
      <c r="C1048" s="31" t="s">
        <v>195</v>
      </c>
      <c r="D1048" s="31" t="s">
        <v>227</v>
      </c>
      <c r="E1048" s="31" t="s">
        <v>181</v>
      </c>
      <c r="F1048" s="30" t="s">
        <v>1102</v>
      </c>
      <c r="G1048" s="31">
        <v>3</v>
      </c>
      <c r="H1048" s="31" t="s">
        <v>642</v>
      </c>
      <c r="I1048" s="31" t="s">
        <v>302</v>
      </c>
      <c r="J1048" s="33">
        <v>1800</v>
      </c>
      <c r="K1048" s="33">
        <v>1400</v>
      </c>
      <c r="L1048" s="33">
        <v>300</v>
      </c>
      <c r="M1048" s="33">
        <f t="shared" si="128"/>
        <v>3500</v>
      </c>
      <c r="N1048" s="34">
        <f t="shared" si="134"/>
        <v>1.83492395026622e-5</v>
      </c>
      <c r="O1048" s="35">
        <f>SUM($M$2:M1048)</f>
        <v>190229100</v>
      </c>
      <c r="P1048" s="34">
        <f t="shared" si="135"/>
        <v>0.997302661793109</v>
      </c>
      <c r="Q1048" s="37">
        <v>0.2</v>
      </c>
      <c r="R1048" s="31">
        <v>2</v>
      </c>
      <c r="S1048" s="31">
        <v>0</v>
      </c>
      <c r="T1048" s="31">
        <v>0</v>
      </c>
      <c r="U1048" s="37">
        <v>0.8</v>
      </c>
      <c r="V1048" s="31">
        <v>5</v>
      </c>
      <c r="W1048" s="31">
        <v>0</v>
      </c>
      <c r="X1048" s="38">
        <v>47</v>
      </c>
      <c r="Y1048" s="31">
        <v>0</v>
      </c>
      <c r="Z1048" s="31">
        <v>0</v>
      </c>
      <c r="AA1048" s="31" t="s">
        <v>199</v>
      </c>
      <c r="AB1048" s="31" t="s">
        <v>220</v>
      </c>
      <c r="AC1048" s="41">
        <f>IFERROR(LOOKUP(M1048,打分卡!$F$7:$J$7,打分卡!$K$7:$O$7),1)</f>
        <v>1</v>
      </c>
      <c r="AD1048" s="41">
        <f>IFERROR(LOOKUP(S1048,打分卡!$F$8:$J$8,打分卡!$K$8:$O$8),1)</f>
        <v>1</v>
      </c>
      <c r="AE1048" s="41">
        <f>IFERROR(LOOKUP(T1048,打分卡!$F$9:$I$9,打分卡!$K$9:$N$9),1)</f>
        <v>1</v>
      </c>
      <c r="AF1048" s="41">
        <f>IFERROR(LOOKUP(Q1048,打分卡!$F$10:$J$10,打分卡!$K$10:$O$10),1)</f>
        <v>1</v>
      </c>
      <c r="AG1048" s="41">
        <f>IFERROR(LOOKUP(R1048,打分卡!$F$11:$J$11,打分卡!$K$11:$O$11),1)</f>
        <v>1</v>
      </c>
      <c r="AH1048" s="41">
        <f>IFERROR(LOOKUP(U1048,打分卡!$F$12:$J$12,打分卡!$K$12:$O$12),1)</f>
        <v>1</v>
      </c>
      <c r="AI1048" s="41">
        <f>IFERROR(LOOKUP(X1048,打分卡!$F$13:$J$13,打分卡!$K$13:$O$13),1)</f>
        <v>3</v>
      </c>
      <c r="AJ1048" s="41">
        <f>IFERROR(LOOKUP(Y1048,打分卡!$F$14:$J$14,打分卡!$K$14:$O$14),1)</f>
        <v>1</v>
      </c>
      <c r="AK1048" s="41">
        <f>IFERROR(LOOKUP(W1048,打分卡!$F$15:$J$15,打分卡!$K$15:$O$15),1)</f>
        <v>1</v>
      </c>
      <c r="AL1048" s="43">
        <f t="shared" si="129"/>
        <v>5</v>
      </c>
      <c r="AM1048" s="41">
        <f>IFERROR(LOOKUP(Z1048,打分卡!$F$17:$H$17,打分卡!$K$17:$M$17),1)</f>
        <v>1</v>
      </c>
      <c r="AN1048" s="44">
        <f>(打分卡!$D$7*AC1048+打分卡!$D$8*AD1048+打分卡!$D$9*AE1048)/5</f>
        <v>8</v>
      </c>
      <c r="AO1048" s="44">
        <f>(打分卡!$D$10*AF1048+打分卡!$D$11*AG1048)/5</f>
        <v>4</v>
      </c>
      <c r="AP1048" s="44">
        <f>(打分卡!$D$12*AH1048+打分卡!$D$13*AI1048+打分卡!$D$14*AJ1048+打分卡!$D$15*AK1048)/5</f>
        <v>9.2</v>
      </c>
      <c r="AQ1048" s="44">
        <f>(打分卡!$D$16*AL1048+打分卡!$D$17*AM1048)/5</f>
        <v>6.8</v>
      </c>
      <c r="AR1048" s="47">
        <f t="shared" si="130"/>
        <v>28</v>
      </c>
      <c r="AS1048" s="43" t="str">
        <f t="shared" si="131"/>
        <v>基础长尾</v>
      </c>
      <c r="AT1048" s="43" t="str">
        <f t="shared" si="132"/>
        <v/>
      </c>
      <c r="AU1048" s="43" t="str">
        <f t="shared" si="133"/>
        <v>激活：企微+Push低成本先跑</v>
      </c>
    </row>
    <row r="1049" ht="15" customHeight="1" spans="1:47">
      <c r="A1049" s="20" t="s">
        <v>2864</v>
      </c>
      <c r="B1049" s="22" t="s">
        <v>2865</v>
      </c>
      <c r="C1049" s="22" t="s">
        <v>223</v>
      </c>
      <c r="D1049" s="22" t="s">
        <v>227</v>
      </c>
      <c r="E1049" s="22" t="s">
        <v>181</v>
      </c>
      <c r="F1049" s="20" t="s">
        <v>1120</v>
      </c>
      <c r="G1049" s="22">
        <v>1</v>
      </c>
      <c r="H1049" s="22" t="s">
        <v>642</v>
      </c>
      <c r="I1049" s="22" t="s">
        <v>302</v>
      </c>
      <c r="J1049" s="36">
        <v>2000</v>
      </c>
      <c r="K1049" s="36">
        <v>1100</v>
      </c>
      <c r="L1049" s="36">
        <v>500</v>
      </c>
      <c r="M1049" s="36">
        <f t="shared" si="128"/>
        <v>3600</v>
      </c>
      <c r="N1049" s="34">
        <f t="shared" si="134"/>
        <v>1.88735034884526e-5</v>
      </c>
      <c r="O1049" s="35">
        <f>SUM($M$2:M1049)</f>
        <v>190232700</v>
      </c>
      <c r="P1049" s="34">
        <f t="shared" si="135"/>
        <v>0.997321535296597</v>
      </c>
      <c r="Q1049" s="39">
        <v>0.2</v>
      </c>
      <c r="R1049" s="22">
        <v>3</v>
      </c>
      <c r="S1049" s="22">
        <v>0</v>
      </c>
      <c r="T1049" s="22">
        <v>0</v>
      </c>
      <c r="U1049" s="39">
        <v>8.6</v>
      </c>
      <c r="V1049" s="22">
        <v>7</v>
      </c>
      <c r="W1049" s="22">
        <v>1</v>
      </c>
      <c r="X1049" s="40">
        <v>28</v>
      </c>
      <c r="Y1049" s="22">
        <v>0</v>
      </c>
      <c r="Z1049" s="22">
        <v>0</v>
      </c>
      <c r="AA1049" s="22" t="s">
        <v>199</v>
      </c>
      <c r="AB1049" s="22" t="s">
        <v>220</v>
      </c>
      <c r="AC1049" s="42">
        <f>IFERROR(LOOKUP(M1049,打分卡!$F$7:$J$7,打分卡!$K$7:$O$7),1)</f>
        <v>1</v>
      </c>
      <c r="AD1049" s="42">
        <f>IFERROR(LOOKUP(S1049,打分卡!$F$8:$J$8,打分卡!$K$8:$O$8),1)</f>
        <v>1</v>
      </c>
      <c r="AE1049" s="42">
        <f>IFERROR(LOOKUP(T1049,打分卡!$F$9:$I$9,打分卡!$K$9:$N$9),1)</f>
        <v>1</v>
      </c>
      <c r="AF1049" s="42">
        <f>IFERROR(LOOKUP(Q1049,打分卡!$F$10:$J$10,打分卡!$K$10:$O$10),1)</f>
        <v>1</v>
      </c>
      <c r="AG1049" s="42">
        <f>IFERROR(LOOKUP(R1049,打分卡!$F$11:$J$11,打分卡!$K$11:$O$11),1)</f>
        <v>2</v>
      </c>
      <c r="AH1049" s="42">
        <f>IFERROR(LOOKUP(U1049,打分卡!$F$12:$J$12,打分卡!$K$12:$O$12),1)</f>
        <v>2</v>
      </c>
      <c r="AI1049" s="42">
        <f>IFERROR(LOOKUP(X1049,打分卡!$F$13:$J$13,打分卡!$K$13:$O$13),1)</f>
        <v>2</v>
      </c>
      <c r="AJ1049" s="42">
        <f>IFERROR(LOOKUP(Y1049,打分卡!$F$14:$J$14,打分卡!$K$14:$O$14),1)</f>
        <v>1</v>
      </c>
      <c r="AK1049" s="42">
        <f>IFERROR(LOOKUP(W1049,打分卡!$F$15:$J$15,打分卡!$K$15:$O$15),1)</f>
        <v>2</v>
      </c>
      <c r="AL1049" s="45">
        <f t="shared" si="129"/>
        <v>5</v>
      </c>
      <c r="AM1049" s="42">
        <f>IFERROR(LOOKUP(Z1049,打分卡!$F$17:$H$17,打分卡!$K$17:$M$17),1)</f>
        <v>1</v>
      </c>
      <c r="AN1049" s="46">
        <f>(打分卡!$D$7*AC1049+打分卡!$D$8*AD1049+打分卡!$D$9*AE1049)/5</f>
        <v>8</v>
      </c>
      <c r="AO1049" s="46">
        <f>(打分卡!$D$10*AF1049+打分卡!$D$11*AG1049)/5</f>
        <v>6</v>
      </c>
      <c r="AP1049" s="46">
        <f>(打分卡!$D$12*AH1049+打分卡!$D$13*AI1049+打分卡!$D$14*AJ1049+打分卡!$D$15*AK1049)/5</f>
        <v>10.8</v>
      </c>
      <c r="AQ1049" s="46">
        <f>(打分卡!$D$16*AL1049+打分卡!$D$17*AM1049)/5</f>
        <v>6.8</v>
      </c>
      <c r="AR1049" s="48">
        <f t="shared" si="130"/>
        <v>38</v>
      </c>
      <c r="AS1049" s="45" t="str">
        <f t="shared" si="131"/>
        <v>基础长尾</v>
      </c>
      <c r="AT1049" s="45" t="str">
        <f t="shared" si="132"/>
        <v/>
      </c>
      <c r="AU1049" s="45" t="str">
        <f t="shared" si="133"/>
        <v>激活：企微+Push低成本先跑</v>
      </c>
    </row>
    <row r="1050" ht="15" customHeight="1" spans="1:47">
      <c r="A1050" s="30" t="s">
        <v>2866</v>
      </c>
      <c r="B1050" s="31" t="s">
        <v>2867</v>
      </c>
      <c r="C1050" s="31" t="s">
        <v>179</v>
      </c>
      <c r="D1050" s="31" t="s">
        <v>202</v>
      </c>
      <c r="E1050" s="31" t="s">
        <v>181</v>
      </c>
      <c r="F1050" s="30" t="s">
        <v>1345</v>
      </c>
      <c r="G1050" s="31">
        <v>3</v>
      </c>
      <c r="H1050" s="31" t="s">
        <v>642</v>
      </c>
      <c r="I1050" s="31" t="s">
        <v>302</v>
      </c>
      <c r="J1050" s="33">
        <v>2000</v>
      </c>
      <c r="K1050" s="33">
        <v>700</v>
      </c>
      <c r="L1050" s="33">
        <v>800</v>
      </c>
      <c r="M1050" s="33">
        <f t="shared" si="128"/>
        <v>3500</v>
      </c>
      <c r="N1050" s="34">
        <f t="shared" si="134"/>
        <v>1.83492395026622e-5</v>
      </c>
      <c r="O1050" s="35">
        <f>SUM($M$2:M1050)</f>
        <v>190236200</v>
      </c>
      <c r="P1050" s="34">
        <f t="shared" si="135"/>
        <v>0.9973398845361</v>
      </c>
      <c r="Q1050" s="37">
        <v>0.3</v>
      </c>
      <c r="R1050" s="31">
        <v>3</v>
      </c>
      <c r="S1050" s="31">
        <v>0</v>
      </c>
      <c r="T1050" s="31">
        <v>0</v>
      </c>
      <c r="U1050" s="37">
        <v>41.8</v>
      </c>
      <c r="V1050" s="31">
        <v>5</v>
      </c>
      <c r="W1050" s="31">
        <v>0</v>
      </c>
      <c r="X1050" s="38">
        <v>41</v>
      </c>
      <c r="Y1050" s="31">
        <v>1</v>
      </c>
      <c r="Z1050" s="31">
        <v>0</v>
      </c>
      <c r="AA1050" s="31" t="s">
        <v>199</v>
      </c>
      <c r="AB1050" s="31" t="s">
        <v>220</v>
      </c>
      <c r="AC1050" s="41">
        <f>IFERROR(LOOKUP(M1050,打分卡!$F$7:$J$7,打分卡!$K$7:$O$7),1)</f>
        <v>1</v>
      </c>
      <c r="AD1050" s="41">
        <f>IFERROR(LOOKUP(S1050,打分卡!$F$8:$J$8,打分卡!$K$8:$O$8),1)</f>
        <v>1</v>
      </c>
      <c r="AE1050" s="41">
        <f>IFERROR(LOOKUP(T1050,打分卡!$F$9:$I$9,打分卡!$K$9:$N$9),1)</f>
        <v>1</v>
      </c>
      <c r="AF1050" s="41">
        <f>IFERROR(LOOKUP(Q1050,打分卡!$F$10:$J$10,打分卡!$K$10:$O$10),1)</f>
        <v>1</v>
      </c>
      <c r="AG1050" s="41">
        <f>IFERROR(LOOKUP(R1050,打分卡!$F$11:$J$11,打分卡!$K$11:$O$11),1)</f>
        <v>2</v>
      </c>
      <c r="AH1050" s="41">
        <f>IFERROR(LOOKUP(U1050,打分卡!$F$12:$J$12,打分卡!$K$12:$O$12),1)</f>
        <v>4</v>
      </c>
      <c r="AI1050" s="41">
        <f>IFERROR(LOOKUP(X1050,打分卡!$F$13:$J$13,打分卡!$K$13:$O$13),1)</f>
        <v>3</v>
      </c>
      <c r="AJ1050" s="41">
        <f>IFERROR(LOOKUP(Y1050,打分卡!$F$14:$J$14,打分卡!$K$14:$O$14),1)</f>
        <v>2</v>
      </c>
      <c r="AK1050" s="41">
        <f>IFERROR(LOOKUP(W1050,打分卡!$F$15:$J$15,打分卡!$K$15:$O$15),1)</f>
        <v>1</v>
      </c>
      <c r="AL1050" s="43">
        <f t="shared" si="129"/>
        <v>5</v>
      </c>
      <c r="AM1050" s="41">
        <f>IFERROR(LOOKUP(Z1050,打分卡!$F$17:$H$17,打分卡!$K$17:$M$17),1)</f>
        <v>1</v>
      </c>
      <c r="AN1050" s="44">
        <f>(打分卡!$D$7*AC1050+打分卡!$D$8*AD1050+打分卡!$D$9*AE1050)/5</f>
        <v>8</v>
      </c>
      <c r="AO1050" s="44">
        <f>(打分卡!$D$10*AF1050+打分卡!$D$11*AG1050)/5</f>
        <v>6</v>
      </c>
      <c r="AP1050" s="44">
        <f>(打分卡!$D$12*AH1050+打分卡!$D$13*AI1050+打分卡!$D$14*AJ1050+打分卡!$D$15*AK1050)/5</f>
        <v>17.6</v>
      </c>
      <c r="AQ1050" s="44">
        <f>(打分卡!$D$16*AL1050+打分卡!$D$17*AM1050)/5</f>
        <v>6.8</v>
      </c>
      <c r="AR1050" s="47">
        <f t="shared" si="130"/>
        <v>38.4</v>
      </c>
      <c r="AS1050" s="43" t="str">
        <f t="shared" si="131"/>
        <v>基础长尾</v>
      </c>
      <c r="AT1050" s="43" t="str">
        <f t="shared" si="132"/>
        <v/>
      </c>
      <c r="AU1050" s="43" t="str">
        <f t="shared" si="133"/>
        <v>激活：企微+Push低成本先跑</v>
      </c>
    </row>
    <row r="1051" ht="15" customHeight="1" spans="1:47">
      <c r="A1051" s="20" t="s">
        <v>2868</v>
      </c>
      <c r="B1051" s="22" t="s">
        <v>2869</v>
      </c>
      <c r="C1051" s="22" t="s">
        <v>189</v>
      </c>
      <c r="D1051" s="22" t="s">
        <v>227</v>
      </c>
      <c r="E1051" s="22" t="s">
        <v>197</v>
      </c>
      <c r="F1051" s="20" t="s">
        <v>860</v>
      </c>
      <c r="G1051" s="22">
        <v>3</v>
      </c>
      <c r="H1051" s="22" t="s">
        <v>642</v>
      </c>
      <c r="I1051" s="22" t="s">
        <v>302</v>
      </c>
      <c r="J1051" s="36">
        <v>2000</v>
      </c>
      <c r="K1051" s="36">
        <v>1000</v>
      </c>
      <c r="L1051" s="36">
        <v>600</v>
      </c>
      <c r="M1051" s="36">
        <f t="shared" si="128"/>
        <v>3600</v>
      </c>
      <c r="N1051" s="34">
        <f t="shared" si="134"/>
        <v>1.88735034884526e-5</v>
      </c>
      <c r="O1051" s="35">
        <f>SUM($M$2:M1051)</f>
        <v>190239800</v>
      </c>
      <c r="P1051" s="34">
        <f t="shared" si="135"/>
        <v>0.997358758039588</v>
      </c>
      <c r="Q1051" s="39">
        <v>0.4</v>
      </c>
      <c r="R1051" s="22">
        <v>2</v>
      </c>
      <c r="S1051" s="22">
        <v>0</v>
      </c>
      <c r="T1051" s="22">
        <v>0</v>
      </c>
      <c r="U1051" s="39">
        <v>0.7</v>
      </c>
      <c r="V1051" s="22">
        <v>13</v>
      </c>
      <c r="W1051" s="22">
        <v>2</v>
      </c>
      <c r="X1051" s="40">
        <v>13</v>
      </c>
      <c r="Y1051" s="22">
        <v>0</v>
      </c>
      <c r="Z1051" s="22">
        <v>0</v>
      </c>
      <c r="AA1051" s="22" t="s">
        <v>199</v>
      </c>
      <c r="AB1051" s="22" t="s">
        <v>220</v>
      </c>
      <c r="AC1051" s="42">
        <f>IFERROR(LOOKUP(M1051,打分卡!$F$7:$J$7,打分卡!$K$7:$O$7),1)</f>
        <v>1</v>
      </c>
      <c r="AD1051" s="42">
        <f>IFERROR(LOOKUP(S1051,打分卡!$F$8:$J$8,打分卡!$K$8:$O$8),1)</f>
        <v>1</v>
      </c>
      <c r="AE1051" s="42">
        <f>IFERROR(LOOKUP(T1051,打分卡!$F$9:$I$9,打分卡!$K$9:$N$9),1)</f>
        <v>1</v>
      </c>
      <c r="AF1051" s="42">
        <f>IFERROR(LOOKUP(Q1051,打分卡!$F$10:$J$10,打分卡!$K$10:$O$10),1)</f>
        <v>1</v>
      </c>
      <c r="AG1051" s="42">
        <f>IFERROR(LOOKUP(R1051,打分卡!$F$11:$J$11,打分卡!$K$11:$O$11),1)</f>
        <v>1</v>
      </c>
      <c r="AH1051" s="42">
        <f>IFERROR(LOOKUP(U1051,打分卡!$F$12:$J$12,打分卡!$K$12:$O$12),1)</f>
        <v>1</v>
      </c>
      <c r="AI1051" s="42">
        <f>IFERROR(LOOKUP(X1051,打分卡!$F$13:$J$13,打分卡!$K$13:$O$13),1)</f>
        <v>1</v>
      </c>
      <c r="AJ1051" s="42">
        <f>IFERROR(LOOKUP(Y1051,打分卡!$F$14:$J$14,打分卡!$K$14:$O$14),1)</f>
        <v>1</v>
      </c>
      <c r="AK1051" s="42">
        <f>IFERROR(LOOKUP(W1051,打分卡!$F$15:$J$15,打分卡!$K$15:$O$15),1)</f>
        <v>2</v>
      </c>
      <c r="AL1051" s="45">
        <f t="shared" si="129"/>
        <v>5</v>
      </c>
      <c r="AM1051" s="42">
        <f>IFERROR(LOOKUP(Z1051,打分卡!$F$17:$H$17,打分卡!$K$17:$M$17),1)</f>
        <v>1</v>
      </c>
      <c r="AN1051" s="46">
        <f>(打分卡!$D$7*AC1051+打分卡!$D$8*AD1051+打分卡!$D$9*AE1051)/5</f>
        <v>8</v>
      </c>
      <c r="AO1051" s="46">
        <f>(打分卡!$D$10*AF1051+打分卡!$D$11*AG1051)/5</f>
        <v>4</v>
      </c>
      <c r="AP1051" s="46">
        <f>(打分卡!$D$12*AH1051+打分卡!$D$13*AI1051+打分卡!$D$14*AJ1051+打分卡!$D$15*AK1051)/5</f>
        <v>6.8</v>
      </c>
      <c r="AQ1051" s="46">
        <f>(打分卡!$D$16*AL1051+打分卡!$D$17*AM1051)/5</f>
        <v>6.8</v>
      </c>
      <c r="AR1051" s="48">
        <f t="shared" si="130"/>
        <v>25.6</v>
      </c>
      <c r="AS1051" s="45" t="str">
        <f t="shared" si="131"/>
        <v>基础长尾</v>
      </c>
      <c r="AT1051" s="45" t="str">
        <f t="shared" si="132"/>
        <v/>
      </c>
      <c r="AU1051" s="45" t="str">
        <f t="shared" si="133"/>
        <v>激活：企微+Push低成本先跑</v>
      </c>
    </row>
    <row r="1052" ht="15" customHeight="1" spans="1:47">
      <c r="A1052" s="30" t="s">
        <v>2870</v>
      </c>
      <c r="B1052" s="31" t="s">
        <v>2871</v>
      </c>
      <c r="C1052" s="31" t="s">
        <v>179</v>
      </c>
      <c r="D1052" s="31" t="s">
        <v>190</v>
      </c>
      <c r="E1052" s="31" t="s">
        <v>181</v>
      </c>
      <c r="F1052" s="30" t="s">
        <v>2872</v>
      </c>
      <c r="G1052" s="31">
        <v>1</v>
      </c>
      <c r="H1052" s="31" t="s">
        <v>642</v>
      </c>
      <c r="I1052" s="31" t="s">
        <v>302</v>
      </c>
      <c r="J1052" s="33">
        <v>2000</v>
      </c>
      <c r="K1052" s="33">
        <v>900</v>
      </c>
      <c r="L1052" s="33">
        <v>700</v>
      </c>
      <c r="M1052" s="33">
        <f t="shared" si="128"/>
        <v>3600</v>
      </c>
      <c r="N1052" s="34">
        <f t="shared" si="134"/>
        <v>1.88735034884526e-5</v>
      </c>
      <c r="O1052" s="35">
        <f>SUM($M$2:M1052)</f>
        <v>190243400</v>
      </c>
      <c r="P1052" s="34">
        <f t="shared" si="135"/>
        <v>0.997377631543077</v>
      </c>
      <c r="Q1052" s="37">
        <v>0.5</v>
      </c>
      <c r="R1052" s="31">
        <v>2</v>
      </c>
      <c r="S1052" s="31">
        <v>0</v>
      </c>
      <c r="T1052" s="31">
        <v>0</v>
      </c>
      <c r="U1052" s="37">
        <v>0.8</v>
      </c>
      <c r="V1052" s="31">
        <v>0</v>
      </c>
      <c r="W1052" s="31">
        <v>1</v>
      </c>
      <c r="X1052" s="38">
        <v>25</v>
      </c>
      <c r="Y1052" s="31">
        <v>1</v>
      </c>
      <c r="Z1052" s="31">
        <v>0</v>
      </c>
      <c r="AA1052" s="31" t="s">
        <v>199</v>
      </c>
      <c r="AB1052" s="31" t="s">
        <v>220</v>
      </c>
      <c r="AC1052" s="41">
        <f>IFERROR(LOOKUP(M1052,打分卡!$F$7:$J$7,打分卡!$K$7:$O$7),1)</f>
        <v>1</v>
      </c>
      <c r="AD1052" s="41">
        <f>IFERROR(LOOKUP(S1052,打分卡!$F$8:$J$8,打分卡!$K$8:$O$8),1)</f>
        <v>1</v>
      </c>
      <c r="AE1052" s="41">
        <f>IFERROR(LOOKUP(T1052,打分卡!$F$9:$I$9,打分卡!$K$9:$N$9),1)</f>
        <v>1</v>
      </c>
      <c r="AF1052" s="41">
        <f>IFERROR(LOOKUP(Q1052,打分卡!$F$10:$J$10,打分卡!$K$10:$O$10),1)</f>
        <v>1</v>
      </c>
      <c r="AG1052" s="41">
        <f>IFERROR(LOOKUP(R1052,打分卡!$F$11:$J$11,打分卡!$K$11:$O$11),1)</f>
        <v>1</v>
      </c>
      <c r="AH1052" s="41">
        <f>IFERROR(LOOKUP(U1052,打分卡!$F$12:$J$12,打分卡!$K$12:$O$12),1)</f>
        <v>1</v>
      </c>
      <c r="AI1052" s="41">
        <f>IFERROR(LOOKUP(X1052,打分卡!$F$13:$J$13,打分卡!$K$13:$O$13),1)</f>
        <v>2</v>
      </c>
      <c r="AJ1052" s="41">
        <f>IFERROR(LOOKUP(Y1052,打分卡!$F$14:$J$14,打分卡!$K$14:$O$14),1)</f>
        <v>2</v>
      </c>
      <c r="AK1052" s="41">
        <f>IFERROR(LOOKUP(W1052,打分卡!$F$15:$J$15,打分卡!$K$15:$O$15),1)</f>
        <v>2</v>
      </c>
      <c r="AL1052" s="43">
        <f t="shared" si="129"/>
        <v>5</v>
      </c>
      <c r="AM1052" s="41">
        <f>IFERROR(LOOKUP(Z1052,打分卡!$F$17:$H$17,打分卡!$K$17:$M$17),1)</f>
        <v>1</v>
      </c>
      <c r="AN1052" s="44">
        <f>(打分卡!$D$7*AC1052+打分卡!$D$8*AD1052+打分卡!$D$9*AE1052)/5</f>
        <v>8</v>
      </c>
      <c r="AO1052" s="44">
        <f>(打分卡!$D$10*AF1052+打分卡!$D$11*AG1052)/5</f>
        <v>4</v>
      </c>
      <c r="AP1052" s="44">
        <f>(打分卡!$D$12*AH1052+打分卡!$D$13*AI1052+打分卡!$D$14*AJ1052+打分卡!$D$15*AK1052)/5</f>
        <v>9.6</v>
      </c>
      <c r="AQ1052" s="44">
        <f>(打分卡!$D$16*AL1052+打分卡!$D$17*AM1052)/5</f>
        <v>6.8</v>
      </c>
      <c r="AR1052" s="47">
        <f t="shared" si="130"/>
        <v>33.2</v>
      </c>
      <c r="AS1052" s="43" t="str">
        <f t="shared" si="131"/>
        <v>基础长尾</v>
      </c>
      <c r="AT1052" s="43" t="str">
        <f t="shared" si="132"/>
        <v/>
      </c>
      <c r="AU1052" s="43" t="str">
        <f t="shared" si="133"/>
        <v>激活：企微+Push低成本先跑</v>
      </c>
    </row>
    <row r="1053" ht="15" customHeight="1" spans="1:47">
      <c r="A1053" s="20" t="s">
        <v>2873</v>
      </c>
      <c r="B1053" s="22" t="s">
        <v>2874</v>
      </c>
      <c r="C1053" s="22" t="s">
        <v>218</v>
      </c>
      <c r="D1053" s="22" t="s">
        <v>202</v>
      </c>
      <c r="E1053" s="22" t="s">
        <v>181</v>
      </c>
      <c r="F1053" s="20" t="s">
        <v>931</v>
      </c>
      <c r="G1053" s="22">
        <v>3</v>
      </c>
      <c r="H1053" s="22" t="s">
        <v>642</v>
      </c>
      <c r="I1053" s="22" t="s">
        <v>302</v>
      </c>
      <c r="J1053" s="36">
        <v>1700</v>
      </c>
      <c r="K1053" s="36">
        <v>1100</v>
      </c>
      <c r="L1053" s="36">
        <v>700</v>
      </c>
      <c r="M1053" s="36">
        <f t="shared" si="128"/>
        <v>3500</v>
      </c>
      <c r="N1053" s="34">
        <f t="shared" si="134"/>
        <v>1.83492395026622e-5</v>
      </c>
      <c r="O1053" s="35">
        <f>SUM($M$2:M1053)</f>
        <v>190246900</v>
      </c>
      <c r="P1053" s="34">
        <f t="shared" si="135"/>
        <v>0.997395980782579</v>
      </c>
      <c r="Q1053" s="39">
        <v>0.4</v>
      </c>
      <c r="R1053" s="22">
        <v>3</v>
      </c>
      <c r="S1053" s="22">
        <v>1</v>
      </c>
      <c r="T1053" s="22">
        <v>0</v>
      </c>
      <c r="U1053" s="39">
        <v>5.8</v>
      </c>
      <c r="V1053" s="22">
        <v>11</v>
      </c>
      <c r="W1053" s="22">
        <v>1</v>
      </c>
      <c r="X1053" s="40">
        <v>48</v>
      </c>
      <c r="Y1053" s="22">
        <v>1</v>
      </c>
      <c r="Z1053" s="22">
        <v>0</v>
      </c>
      <c r="AA1053" s="22" t="s">
        <v>199</v>
      </c>
      <c r="AB1053" s="22" t="s">
        <v>220</v>
      </c>
      <c r="AC1053" s="42">
        <f>IFERROR(LOOKUP(M1053,打分卡!$F$7:$J$7,打分卡!$K$7:$O$7),1)</f>
        <v>1</v>
      </c>
      <c r="AD1053" s="42">
        <f>IFERROR(LOOKUP(S1053,打分卡!$F$8:$J$8,打分卡!$K$8:$O$8),1)</f>
        <v>1</v>
      </c>
      <c r="AE1053" s="42">
        <f>IFERROR(LOOKUP(T1053,打分卡!$F$9:$I$9,打分卡!$K$9:$N$9),1)</f>
        <v>1</v>
      </c>
      <c r="AF1053" s="42">
        <f>IFERROR(LOOKUP(Q1053,打分卡!$F$10:$J$10,打分卡!$K$10:$O$10),1)</f>
        <v>1</v>
      </c>
      <c r="AG1053" s="42">
        <f>IFERROR(LOOKUP(R1053,打分卡!$F$11:$J$11,打分卡!$K$11:$O$11),1)</f>
        <v>2</v>
      </c>
      <c r="AH1053" s="42">
        <f>IFERROR(LOOKUP(U1053,打分卡!$F$12:$J$12,打分卡!$K$12:$O$12),1)</f>
        <v>2</v>
      </c>
      <c r="AI1053" s="42">
        <f>IFERROR(LOOKUP(X1053,打分卡!$F$13:$J$13,打分卡!$K$13:$O$13),1)</f>
        <v>3</v>
      </c>
      <c r="AJ1053" s="42">
        <f>IFERROR(LOOKUP(Y1053,打分卡!$F$14:$J$14,打分卡!$K$14:$O$14),1)</f>
        <v>2</v>
      </c>
      <c r="AK1053" s="42">
        <f>IFERROR(LOOKUP(W1053,打分卡!$F$15:$J$15,打分卡!$K$15:$O$15),1)</f>
        <v>2</v>
      </c>
      <c r="AL1053" s="45">
        <f t="shared" si="129"/>
        <v>5</v>
      </c>
      <c r="AM1053" s="42">
        <f>IFERROR(LOOKUP(Z1053,打分卡!$F$17:$H$17,打分卡!$K$17:$M$17),1)</f>
        <v>1</v>
      </c>
      <c r="AN1053" s="46">
        <f>(打分卡!$D$7*AC1053+打分卡!$D$8*AD1053+打分卡!$D$9*AE1053)/5</f>
        <v>8</v>
      </c>
      <c r="AO1053" s="46">
        <f>(打分卡!$D$10*AF1053+打分卡!$D$11*AG1053)/5</f>
        <v>6</v>
      </c>
      <c r="AP1053" s="46">
        <f>(打分卡!$D$12*AH1053+打分卡!$D$13*AI1053+打分卡!$D$14*AJ1053+打分卡!$D$15*AK1053)/5</f>
        <v>13.6</v>
      </c>
      <c r="AQ1053" s="46">
        <f>(打分卡!$D$16*AL1053+打分卡!$D$17*AM1053)/5</f>
        <v>6.8</v>
      </c>
      <c r="AR1053" s="48">
        <f t="shared" si="130"/>
        <v>34.4</v>
      </c>
      <c r="AS1053" s="45" t="str">
        <f t="shared" si="131"/>
        <v>基础长尾</v>
      </c>
      <c r="AT1053" s="45" t="str">
        <f t="shared" si="132"/>
        <v/>
      </c>
      <c r="AU1053" s="45" t="str">
        <f t="shared" si="133"/>
        <v>激活：企微+Push低成本先跑</v>
      </c>
    </row>
    <row r="1054" ht="15" customHeight="1" spans="1:47">
      <c r="A1054" s="30" t="s">
        <v>2875</v>
      </c>
      <c r="B1054" s="31" t="s">
        <v>2876</v>
      </c>
      <c r="C1054" s="31" t="s">
        <v>239</v>
      </c>
      <c r="D1054" s="31" t="s">
        <v>227</v>
      </c>
      <c r="E1054" s="31" t="s">
        <v>197</v>
      </c>
      <c r="F1054" s="30" t="s">
        <v>2747</v>
      </c>
      <c r="G1054" s="31">
        <v>2</v>
      </c>
      <c r="H1054" s="31" t="s">
        <v>642</v>
      </c>
      <c r="I1054" s="31" t="s">
        <v>302</v>
      </c>
      <c r="J1054" s="33">
        <v>1800</v>
      </c>
      <c r="K1054" s="33">
        <v>1400</v>
      </c>
      <c r="L1054" s="33">
        <v>300</v>
      </c>
      <c r="M1054" s="33">
        <f t="shared" si="128"/>
        <v>3500</v>
      </c>
      <c r="N1054" s="34">
        <f t="shared" si="134"/>
        <v>1.83492395026622e-5</v>
      </c>
      <c r="O1054" s="35">
        <f>SUM($M$2:M1054)</f>
        <v>190250400</v>
      </c>
      <c r="P1054" s="34">
        <f t="shared" si="135"/>
        <v>0.997414330022082</v>
      </c>
      <c r="Q1054" s="37">
        <v>0.5</v>
      </c>
      <c r="R1054" s="31">
        <v>3</v>
      </c>
      <c r="S1054" s="31">
        <v>0</v>
      </c>
      <c r="T1054" s="31">
        <v>0</v>
      </c>
      <c r="U1054" s="37">
        <v>6.4</v>
      </c>
      <c r="V1054" s="31">
        <v>8</v>
      </c>
      <c r="W1054" s="31">
        <v>2</v>
      </c>
      <c r="X1054" s="38">
        <v>37</v>
      </c>
      <c r="Y1054" s="31">
        <v>1</v>
      </c>
      <c r="Z1054" s="31">
        <v>0</v>
      </c>
      <c r="AA1054" s="31" t="s">
        <v>199</v>
      </c>
      <c r="AB1054" s="31" t="s">
        <v>220</v>
      </c>
      <c r="AC1054" s="41">
        <f>IFERROR(LOOKUP(M1054,打分卡!$F$7:$J$7,打分卡!$K$7:$O$7),1)</f>
        <v>1</v>
      </c>
      <c r="AD1054" s="41">
        <f>IFERROR(LOOKUP(S1054,打分卡!$F$8:$J$8,打分卡!$K$8:$O$8),1)</f>
        <v>1</v>
      </c>
      <c r="AE1054" s="41">
        <f>IFERROR(LOOKUP(T1054,打分卡!$F$9:$I$9,打分卡!$K$9:$N$9),1)</f>
        <v>1</v>
      </c>
      <c r="AF1054" s="41">
        <f>IFERROR(LOOKUP(Q1054,打分卡!$F$10:$J$10,打分卡!$K$10:$O$10),1)</f>
        <v>1</v>
      </c>
      <c r="AG1054" s="41">
        <f>IFERROR(LOOKUP(R1054,打分卡!$F$11:$J$11,打分卡!$K$11:$O$11),1)</f>
        <v>2</v>
      </c>
      <c r="AH1054" s="41">
        <f>IFERROR(LOOKUP(U1054,打分卡!$F$12:$J$12,打分卡!$K$12:$O$12),1)</f>
        <v>2</v>
      </c>
      <c r="AI1054" s="41">
        <f>IFERROR(LOOKUP(X1054,打分卡!$F$13:$J$13,打分卡!$K$13:$O$13),1)</f>
        <v>2</v>
      </c>
      <c r="AJ1054" s="41">
        <f>IFERROR(LOOKUP(Y1054,打分卡!$F$14:$J$14,打分卡!$K$14:$O$14),1)</f>
        <v>2</v>
      </c>
      <c r="AK1054" s="41">
        <f>IFERROR(LOOKUP(W1054,打分卡!$F$15:$J$15,打分卡!$K$15:$O$15),1)</f>
        <v>2</v>
      </c>
      <c r="AL1054" s="43">
        <f t="shared" si="129"/>
        <v>5</v>
      </c>
      <c r="AM1054" s="41">
        <f>IFERROR(LOOKUP(Z1054,打分卡!$F$17:$H$17,打分卡!$K$17:$M$17),1)</f>
        <v>1</v>
      </c>
      <c r="AN1054" s="44">
        <f>(打分卡!$D$7*AC1054+打分卡!$D$8*AD1054+打分卡!$D$9*AE1054)/5</f>
        <v>8</v>
      </c>
      <c r="AO1054" s="44">
        <f>(打分卡!$D$10*AF1054+打分卡!$D$11*AG1054)/5</f>
        <v>6</v>
      </c>
      <c r="AP1054" s="44">
        <f>(打分卡!$D$12*AH1054+打分卡!$D$13*AI1054+打分卡!$D$14*AJ1054+打分卡!$D$15*AK1054)/5</f>
        <v>12</v>
      </c>
      <c r="AQ1054" s="44">
        <f>(打分卡!$D$16*AL1054+打分卡!$D$17*AM1054)/5</f>
        <v>6.8</v>
      </c>
      <c r="AR1054" s="47">
        <f t="shared" si="130"/>
        <v>40.8</v>
      </c>
      <c r="AS1054" s="43" t="str">
        <f t="shared" si="131"/>
        <v>腰部</v>
      </c>
      <c r="AT1054" s="43" t="str">
        <f t="shared" si="132"/>
        <v/>
      </c>
      <c r="AU1054" s="43" t="str">
        <f t="shared" si="133"/>
        <v>拉·主攻：主推AI外呼+大促作战包</v>
      </c>
    </row>
    <row r="1055" ht="15" customHeight="1" spans="1:47">
      <c r="A1055" s="20" t="s">
        <v>2877</v>
      </c>
      <c r="B1055" s="22" t="s">
        <v>2878</v>
      </c>
      <c r="C1055" s="22" t="s">
        <v>195</v>
      </c>
      <c r="D1055" s="22" t="s">
        <v>202</v>
      </c>
      <c r="E1055" s="22" t="s">
        <v>181</v>
      </c>
      <c r="F1055" s="20" t="s">
        <v>2742</v>
      </c>
      <c r="G1055" s="22">
        <v>2</v>
      </c>
      <c r="H1055" s="22" t="s">
        <v>642</v>
      </c>
      <c r="I1055" s="22" t="s">
        <v>302</v>
      </c>
      <c r="J1055" s="36">
        <v>2200</v>
      </c>
      <c r="K1055" s="36">
        <v>1100</v>
      </c>
      <c r="L1055" s="36">
        <v>200</v>
      </c>
      <c r="M1055" s="36">
        <f t="shared" si="128"/>
        <v>3500</v>
      </c>
      <c r="N1055" s="34">
        <f t="shared" si="134"/>
        <v>1.83492395026622e-5</v>
      </c>
      <c r="O1055" s="35">
        <f>SUM($M$2:M1055)</f>
        <v>190253900</v>
      </c>
      <c r="P1055" s="34">
        <f t="shared" si="135"/>
        <v>0.997432679261585</v>
      </c>
      <c r="Q1055" s="39">
        <v>0.3</v>
      </c>
      <c r="R1055" s="22">
        <v>3</v>
      </c>
      <c r="S1055" s="22">
        <v>1</v>
      </c>
      <c r="T1055" s="22">
        <v>0</v>
      </c>
      <c r="U1055" s="39">
        <v>42.9</v>
      </c>
      <c r="V1055" s="22">
        <v>2</v>
      </c>
      <c r="W1055" s="22">
        <v>1</v>
      </c>
      <c r="X1055" s="40">
        <v>23</v>
      </c>
      <c r="Y1055" s="22">
        <v>1</v>
      </c>
      <c r="Z1055" s="22">
        <v>0</v>
      </c>
      <c r="AA1055" s="22" t="s">
        <v>199</v>
      </c>
      <c r="AB1055" s="22" t="s">
        <v>220</v>
      </c>
      <c r="AC1055" s="42">
        <f>IFERROR(LOOKUP(M1055,打分卡!$F$7:$J$7,打分卡!$K$7:$O$7),1)</f>
        <v>1</v>
      </c>
      <c r="AD1055" s="42">
        <f>IFERROR(LOOKUP(S1055,打分卡!$F$8:$J$8,打分卡!$K$8:$O$8),1)</f>
        <v>1</v>
      </c>
      <c r="AE1055" s="42">
        <f>IFERROR(LOOKUP(T1055,打分卡!$F$9:$I$9,打分卡!$K$9:$N$9),1)</f>
        <v>1</v>
      </c>
      <c r="AF1055" s="42">
        <f>IFERROR(LOOKUP(Q1055,打分卡!$F$10:$J$10,打分卡!$K$10:$O$10),1)</f>
        <v>1</v>
      </c>
      <c r="AG1055" s="42">
        <f>IFERROR(LOOKUP(R1055,打分卡!$F$11:$J$11,打分卡!$K$11:$O$11),1)</f>
        <v>2</v>
      </c>
      <c r="AH1055" s="42">
        <f>IFERROR(LOOKUP(U1055,打分卡!$F$12:$J$12,打分卡!$K$12:$O$12),1)</f>
        <v>4</v>
      </c>
      <c r="AI1055" s="42">
        <f>IFERROR(LOOKUP(X1055,打分卡!$F$13:$J$13,打分卡!$K$13:$O$13),1)</f>
        <v>2</v>
      </c>
      <c r="AJ1055" s="42">
        <f>IFERROR(LOOKUP(Y1055,打分卡!$F$14:$J$14,打分卡!$K$14:$O$14),1)</f>
        <v>2</v>
      </c>
      <c r="AK1055" s="42">
        <f>IFERROR(LOOKUP(W1055,打分卡!$F$15:$J$15,打分卡!$K$15:$O$15),1)</f>
        <v>2</v>
      </c>
      <c r="AL1055" s="45">
        <f t="shared" si="129"/>
        <v>5</v>
      </c>
      <c r="AM1055" s="42">
        <f>IFERROR(LOOKUP(Z1055,打分卡!$F$17:$H$17,打分卡!$K$17:$M$17),1)</f>
        <v>1</v>
      </c>
      <c r="AN1055" s="46">
        <f>(打分卡!$D$7*AC1055+打分卡!$D$8*AD1055+打分卡!$D$9*AE1055)/5</f>
        <v>8</v>
      </c>
      <c r="AO1055" s="46">
        <f>(打分卡!$D$10*AF1055+打分卡!$D$11*AG1055)/5</f>
        <v>6</v>
      </c>
      <c r="AP1055" s="46">
        <f>(打分卡!$D$12*AH1055+打分卡!$D$13*AI1055+打分卡!$D$14*AJ1055+打分卡!$D$15*AK1055)/5</f>
        <v>16.8</v>
      </c>
      <c r="AQ1055" s="46">
        <f>(打分卡!$D$16*AL1055+打分卡!$D$17*AM1055)/5</f>
        <v>6.8</v>
      </c>
      <c r="AR1055" s="48">
        <f t="shared" si="130"/>
        <v>52</v>
      </c>
      <c r="AS1055" s="45" t="str">
        <f t="shared" si="131"/>
        <v>腰部</v>
      </c>
      <c r="AT1055" s="45" t="str">
        <f t="shared" si="132"/>
        <v/>
      </c>
      <c r="AU1055" s="45" t="str">
        <f t="shared" si="133"/>
        <v>拉·主攻：主推AI外呼+大促作战包</v>
      </c>
    </row>
    <row r="1056" ht="15" customHeight="1" spans="1:47">
      <c r="A1056" s="30" t="s">
        <v>2879</v>
      </c>
      <c r="B1056" s="31" t="s">
        <v>2880</v>
      </c>
      <c r="C1056" s="31" t="s">
        <v>189</v>
      </c>
      <c r="D1056" s="31" t="s">
        <v>196</v>
      </c>
      <c r="E1056" s="31" t="s">
        <v>181</v>
      </c>
      <c r="F1056" s="30" t="s">
        <v>2758</v>
      </c>
      <c r="G1056" s="31">
        <v>1</v>
      </c>
      <c r="H1056" s="31" t="s">
        <v>642</v>
      </c>
      <c r="I1056" s="31" t="s">
        <v>302</v>
      </c>
      <c r="J1056" s="33">
        <v>2000</v>
      </c>
      <c r="K1056" s="33">
        <v>1000</v>
      </c>
      <c r="L1056" s="33">
        <v>600</v>
      </c>
      <c r="M1056" s="33">
        <f t="shared" si="128"/>
        <v>3600</v>
      </c>
      <c r="N1056" s="34">
        <f t="shared" si="134"/>
        <v>1.88735034884526e-5</v>
      </c>
      <c r="O1056" s="35">
        <f>SUM($M$2:M1056)</f>
        <v>190257500</v>
      </c>
      <c r="P1056" s="34">
        <f t="shared" si="135"/>
        <v>0.997451552765073</v>
      </c>
      <c r="Q1056" s="37">
        <v>0.2</v>
      </c>
      <c r="R1056" s="31">
        <v>2</v>
      </c>
      <c r="S1056" s="31">
        <v>1</v>
      </c>
      <c r="T1056" s="31">
        <v>0</v>
      </c>
      <c r="U1056" s="37">
        <v>22.8</v>
      </c>
      <c r="V1056" s="31">
        <v>0</v>
      </c>
      <c r="W1056" s="31">
        <v>0</v>
      </c>
      <c r="X1056" s="38">
        <v>29</v>
      </c>
      <c r="Y1056" s="31">
        <v>1</v>
      </c>
      <c r="Z1056" s="31">
        <v>0</v>
      </c>
      <c r="AA1056" s="31" t="s">
        <v>199</v>
      </c>
      <c r="AB1056" s="31" t="s">
        <v>220</v>
      </c>
      <c r="AC1056" s="41">
        <f>IFERROR(LOOKUP(M1056,打分卡!$F$7:$J$7,打分卡!$K$7:$O$7),1)</f>
        <v>1</v>
      </c>
      <c r="AD1056" s="41">
        <f>IFERROR(LOOKUP(S1056,打分卡!$F$8:$J$8,打分卡!$K$8:$O$8),1)</f>
        <v>1</v>
      </c>
      <c r="AE1056" s="41">
        <f>IFERROR(LOOKUP(T1056,打分卡!$F$9:$I$9,打分卡!$K$9:$N$9),1)</f>
        <v>1</v>
      </c>
      <c r="AF1056" s="41">
        <f>IFERROR(LOOKUP(Q1056,打分卡!$F$10:$J$10,打分卡!$K$10:$O$10),1)</f>
        <v>1</v>
      </c>
      <c r="AG1056" s="41">
        <f>IFERROR(LOOKUP(R1056,打分卡!$F$11:$J$11,打分卡!$K$11:$O$11),1)</f>
        <v>1</v>
      </c>
      <c r="AH1056" s="41">
        <f>IFERROR(LOOKUP(U1056,打分卡!$F$12:$J$12,打分卡!$K$12:$O$12),1)</f>
        <v>3</v>
      </c>
      <c r="AI1056" s="41">
        <f>IFERROR(LOOKUP(X1056,打分卡!$F$13:$J$13,打分卡!$K$13:$O$13),1)</f>
        <v>2</v>
      </c>
      <c r="AJ1056" s="41">
        <f>IFERROR(LOOKUP(Y1056,打分卡!$F$14:$J$14,打分卡!$K$14:$O$14),1)</f>
        <v>2</v>
      </c>
      <c r="AK1056" s="41">
        <f>IFERROR(LOOKUP(W1056,打分卡!$F$15:$J$15,打分卡!$K$15:$O$15),1)</f>
        <v>1</v>
      </c>
      <c r="AL1056" s="43">
        <f t="shared" si="129"/>
        <v>5</v>
      </c>
      <c r="AM1056" s="41">
        <f>IFERROR(LOOKUP(Z1056,打分卡!$F$17:$H$17,打分卡!$K$17:$M$17),1)</f>
        <v>1</v>
      </c>
      <c r="AN1056" s="44">
        <f>(打分卡!$D$7*AC1056+打分卡!$D$8*AD1056+打分卡!$D$9*AE1056)/5</f>
        <v>8</v>
      </c>
      <c r="AO1056" s="44">
        <f>(打分卡!$D$10*AF1056+打分卡!$D$11*AG1056)/5</f>
        <v>4</v>
      </c>
      <c r="AP1056" s="44">
        <f>(打分卡!$D$12*AH1056+打分卡!$D$13*AI1056+打分卡!$D$14*AJ1056+打分卡!$D$15*AK1056)/5</f>
        <v>13.6</v>
      </c>
      <c r="AQ1056" s="44">
        <f>(打分卡!$D$16*AL1056+打分卡!$D$17*AM1056)/5</f>
        <v>6.8</v>
      </c>
      <c r="AR1056" s="47">
        <f t="shared" si="130"/>
        <v>42.5333333333333</v>
      </c>
      <c r="AS1056" s="43" t="str">
        <f t="shared" si="131"/>
        <v>腰部</v>
      </c>
      <c r="AT1056" s="43" t="str">
        <f t="shared" si="132"/>
        <v/>
      </c>
      <c r="AU1056" s="43" t="str">
        <f t="shared" si="133"/>
        <v>拉·主攻：主推AI外呼+大促作战包</v>
      </c>
    </row>
    <row r="1057" ht="15" customHeight="1" spans="1:47">
      <c r="A1057" s="20" t="s">
        <v>2881</v>
      </c>
      <c r="B1057" s="22" t="s">
        <v>2882</v>
      </c>
      <c r="C1057" s="22" t="s">
        <v>239</v>
      </c>
      <c r="D1057" s="22" t="s">
        <v>202</v>
      </c>
      <c r="E1057" s="22" t="s">
        <v>181</v>
      </c>
      <c r="F1057" s="20" t="s">
        <v>2883</v>
      </c>
      <c r="G1057" s="22">
        <v>2</v>
      </c>
      <c r="H1057" s="22" t="s">
        <v>642</v>
      </c>
      <c r="I1057" s="22" t="s">
        <v>302</v>
      </c>
      <c r="J1057" s="36">
        <v>1600</v>
      </c>
      <c r="K1057" s="36">
        <v>800</v>
      </c>
      <c r="L1057" s="36">
        <v>1100</v>
      </c>
      <c r="M1057" s="36">
        <f t="shared" si="128"/>
        <v>3500</v>
      </c>
      <c r="N1057" s="34">
        <f t="shared" si="134"/>
        <v>1.83492395026622e-5</v>
      </c>
      <c r="O1057" s="35">
        <f>SUM($M$2:M1057)</f>
        <v>190261000</v>
      </c>
      <c r="P1057" s="34">
        <f t="shared" si="135"/>
        <v>0.997469902004576</v>
      </c>
      <c r="Q1057" s="39">
        <v>0.2</v>
      </c>
      <c r="R1057" s="22">
        <v>1</v>
      </c>
      <c r="S1057" s="22">
        <v>1</v>
      </c>
      <c r="T1057" s="22">
        <v>0</v>
      </c>
      <c r="U1057" s="39">
        <v>1.1</v>
      </c>
      <c r="V1057" s="22">
        <v>14</v>
      </c>
      <c r="W1057" s="22">
        <v>1</v>
      </c>
      <c r="X1057" s="40">
        <v>65</v>
      </c>
      <c r="Y1057" s="22">
        <v>0</v>
      </c>
      <c r="Z1057" s="22">
        <v>0</v>
      </c>
      <c r="AA1057" s="22" t="s">
        <v>199</v>
      </c>
      <c r="AB1057" s="22" t="s">
        <v>220</v>
      </c>
      <c r="AC1057" s="42">
        <f>IFERROR(LOOKUP(M1057,打分卡!$F$7:$J$7,打分卡!$K$7:$O$7),1)</f>
        <v>1</v>
      </c>
      <c r="AD1057" s="42">
        <f>IFERROR(LOOKUP(S1057,打分卡!$F$8:$J$8,打分卡!$K$8:$O$8),1)</f>
        <v>1</v>
      </c>
      <c r="AE1057" s="42">
        <f>IFERROR(LOOKUP(T1057,打分卡!$F$9:$I$9,打分卡!$K$9:$N$9),1)</f>
        <v>1</v>
      </c>
      <c r="AF1057" s="42">
        <f>IFERROR(LOOKUP(Q1057,打分卡!$F$10:$J$10,打分卡!$K$10:$O$10),1)</f>
        <v>1</v>
      </c>
      <c r="AG1057" s="42">
        <f>IFERROR(LOOKUP(R1057,打分卡!$F$11:$J$11,打分卡!$K$11:$O$11),1)</f>
        <v>1</v>
      </c>
      <c r="AH1057" s="42">
        <f>IFERROR(LOOKUP(U1057,打分卡!$F$12:$J$12,打分卡!$K$12:$O$12),1)</f>
        <v>1</v>
      </c>
      <c r="AI1057" s="42">
        <f>IFERROR(LOOKUP(X1057,打分卡!$F$13:$J$13,打分卡!$K$13:$O$13),1)</f>
        <v>3</v>
      </c>
      <c r="AJ1057" s="42">
        <f>IFERROR(LOOKUP(Y1057,打分卡!$F$14:$J$14,打分卡!$K$14:$O$14),1)</f>
        <v>1</v>
      </c>
      <c r="AK1057" s="42">
        <f>IFERROR(LOOKUP(W1057,打分卡!$F$15:$J$15,打分卡!$K$15:$O$15),1)</f>
        <v>2</v>
      </c>
      <c r="AL1057" s="45">
        <f t="shared" si="129"/>
        <v>5</v>
      </c>
      <c r="AM1057" s="42">
        <f>IFERROR(LOOKUP(Z1057,打分卡!$F$17:$H$17,打分卡!$K$17:$M$17),1)</f>
        <v>1</v>
      </c>
      <c r="AN1057" s="46">
        <f>(打分卡!$D$7*AC1057+打分卡!$D$8*AD1057+打分卡!$D$9*AE1057)/5</f>
        <v>8</v>
      </c>
      <c r="AO1057" s="46">
        <f>(打分卡!$D$10*AF1057+打分卡!$D$11*AG1057)/5</f>
        <v>4</v>
      </c>
      <c r="AP1057" s="46">
        <f>(打分卡!$D$12*AH1057+打分卡!$D$13*AI1057+打分卡!$D$14*AJ1057+打分卡!$D$15*AK1057)/5</f>
        <v>10</v>
      </c>
      <c r="AQ1057" s="46">
        <f>(打分卡!$D$16*AL1057+打分卡!$D$17*AM1057)/5</f>
        <v>6.8</v>
      </c>
      <c r="AR1057" s="48">
        <f t="shared" si="130"/>
        <v>34.1333333333333</v>
      </c>
      <c r="AS1057" s="45" t="str">
        <f t="shared" si="131"/>
        <v>基础长尾</v>
      </c>
      <c r="AT1057" s="45" t="str">
        <f t="shared" si="132"/>
        <v/>
      </c>
      <c r="AU1057" s="45" t="str">
        <f t="shared" si="133"/>
        <v>激活：企微+Push低成本先跑</v>
      </c>
    </row>
    <row r="1058" ht="15" customHeight="1" spans="1:47">
      <c r="A1058" s="30" t="s">
        <v>2884</v>
      </c>
      <c r="B1058" s="31" t="s">
        <v>2885</v>
      </c>
      <c r="C1058" s="31" t="s">
        <v>209</v>
      </c>
      <c r="D1058" s="31" t="s">
        <v>196</v>
      </c>
      <c r="E1058" s="31" t="s">
        <v>181</v>
      </c>
      <c r="F1058" s="30" t="s">
        <v>2325</v>
      </c>
      <c r="G1058" s="31">
        <v>2</v>
      </c>
      <c r="H1058" s="31" t="s">
        <v>642</v>
      </c>
      <c r="I1058" s="31" t="s">
        <v>302</v>
      </c>
      <c r="J1058" s="33">
        <v>1600</v>
      </c>
      <c r="K1058" s="33">
        <v>800</v>
      </c>
      <c r="L1058" s="33">
        <v>1000</v>
      </c>
      <c r="M1058" s="33">
        <f t="shared" si="128"/>
        <v>3400</v>
      </c>
      <c r="N1058" s="34">
        <f t="shared" si="134"/>
        <v>1.78249755168719e-5</v>
      </c>
      <c r="O1058" s="35">
        <f>SUM($M$2:M1058)</f>
        <v>190264400</v>
      </c>
      <c r="P1058" s="34">
        <f t="shared" si="135"/>
        <v>0.997487726980093</v>
      </c>
      <c r="Q1058" s="37">
        <v>0.3</v>
      </c>
      <c r="R1058" s="31">
        <v>2</v>
      </c>
      <c r="S1058" s="31">
        <v>1</v>
      </c>
      <c r="T1058" s="31">
        <v>0</v>
      </c>
      <c r="U1058" s="37">
        <v>23</v>
      </c>
      <c r="V1058" s="31">
        <v>2</v>
      </c>
      <c r="W1058" s="31">
        <v>1</v>
      </c>
      <c r="X1058" s="38">
        <v>6</v>
      </c>
      <c r="Y1058" s="31">
        <v>1</v>
      </c>
      <c r="Z1058" s="31">
        <v>0</v>
      </c>
      <c r="AA1058" s="31" t="s">
        <v>199</v>
      </c>
      <c r="AB1058" s="31" t="s">
        <v>220</v>
      </c>
      <c r="AC1058" s="41">
        <f>IFERROR(LOOKUP(M1058,打分卡!$F$7:$J$7,打分卡!$K$7:$O$7),1)</f>
        <v>1</v>
      </c>
      <c r="AD1058" s="41">
        <f>IFERROR(LOOKUP(S1058,打分卡!$F$8:$J$8,打分卡!$K$8:$O$8),1)</f>
        <v>1</v>
      </c>
      <c r="AE1058" s="41">
        <f>IFERROR(LOOKUP(T1058,打分卡!$F$9:$I$9,打分卡!$K$9:$N$9),1)</f>
        <v>1</v>
      </c>
      <c r="AF1058" s="41">
        <f>IFERROR(LOOKUP(Q1058,打分卡!$F$10:$J$10,打分卡!$K$10:$O$10),1)</f>
        <v>1</v>
      </c>
      <c r="AG1058" s="41">
        <f>IFERROR(LOOKUP(R1058,打分卡!$F$11:$J$11,打分卡!$K$11:$O$11),1)</f>
        <v>1</v>
      </c>
      <c r="AH1058" s="41">
        <f>IFERROR(LOOKUP(U1058,打分卡!$F$12:$J$12,打分卡!$K$12:$O$12),1)</f>
        <v>3</v>
      </c>
      <c r="AI1058" s="41">
        <f>IFERROR(LOOKUP(X1058,打分卡!$F$13:$J$13,打分卡!$K$13:$O$13),1)</f>
        <v>1</v>
      </c>
      <c r="AJ1058" s="41">
        <f>IFERROR(LOOKUP(Y1058,打分卡!$F$14:$J$14,打分卡!$K$14:$O$14),1)</f>
        <v>2</v>
      </c>
      <c r="AK1058" s="41">
        <f>IFERROR(LOOKUP(W1058,打分卡!$F$15:$J$15,打分卡!$K$15:$O$15),1)</f>
        <v>2</v>
      </c>
      <c r="AL1058" s="43">
        <f t="shared" si="129"/>
        <v>5</v>
      </c>
      <c r="AM1058" s="41">
        <f>IFERROR(LOOKUP(Z1058,打分卡!$F$17:$H$17,打分卡!$K$17:$M$17),1)</f>
        <v>1</v>
      </c>
      <c r="AN1058" s="44">
        <f>(打分卡!$D$7*AC1058+打分卡!$D$8*AD1058+打分卡!$D$9*AE1058)/5</f>
        <v>8</v>
      </c>
      <c r="AO1058" s="44">
        <f>(打分卡!$D$10*AF1058+打分卡!$D$11*AG1058)/5</f>
        <v>4</v>
      </c>
      <c r="AP1058" s="44">
        <f>(打分卡!$D$12*AH1058+打分卡!$D$13*AI1058+打分卡!$D$14*AJ1058+打分卡!$D$15*AK1058)/5</f>
        <v>12.8</v>
      </c>
      <c r="AQ1058" s="44">
        <f>(打分卡!$D$16*AL1058+打分卡!$D$17*AM1058)/5</f>
        <v>6.8</v>
      </c>
      <c r="AR1058" s="47">
        <f t="shared" si="130"/>
        <v>40.6666666666667</v>
      </c>
      <c r="AS1058" s="43" t="str">
        <f t="shared" si="131"/>
        <v>腰部</v>
      </c>
      <c r="AT1058" s="43" t="str">
        <f t="shared" si="132"/>
        <v/>
      </c>
      <c r="AU1058" s="43" t="str">
        <f t="shared" si="133"/>
        <v>拉·主攻：主推AI外呼+大促作战包</v>
      </c>
    </row>
    <row r="1059" ht="15" customHeight="1" spans="1:47">
      <c r="A1059" s="20" t="s">
        <v>2886</v>
      </c>
      <c r="B1059" s="22" t="s">
        <v>2887</v>
      </c>
      <c r="C1059" s="22" t="s">
        <v>179</v>
      </c>
      <c r="D1059" s="22" t="s">
        <v>227</v>
      </c>
      <c r="E1059" s="22" t="s">
        <v>181</v>
      </c>
      <c r="F1059" s="20" t="s">
        <v>2888</v>
      </c>
      <c r="G1059" s="22">
        <v>1</v>
      </c>
      <c r="H1059" s="22" t="s">
        <v>642</v>
      </c>
      <c r="I1059" s="22" t="s">
        <v>302</v>
      </c>
      <c r="J1059" s="36">
        <v>1800</v>
      </c>
      <c r="K1059" s="36">
        <v>700</v>
      </c>
      <c r="L1059" s="36">
        <v>900</v>
      </c>
      <c r="M1059" s="36">
        <f t="shared" si="128"/>
        <v>3400</v>
      </c>
      <c r="N1059" s="34">
        <f t="shared" si="134"/>
        <v>1.78249755168719e-5</v>
      </c>
      <c r="O1059" s="35">
        <f>SUM($M$2:M1059)</f>
        <v>190267800</v>
      </c>
      <c r="P1059" s="34">
        <f t="shared" si="135"/>
        <v>0.99750555195561</v>
      </c>
      <c r="Q1059" s="39">
        <v>0.2</v>
      </c>
      <c r="R1059" s="22">
        <v>1</v>
      </c>
      <c r="S1059" s="22">
        <v>0</v>
      </c>
      <c r="T1059" s="22">
        <v>0</v>
      </c>
      <c r="U1059" s="39">
        <v>1.8</v>
      </c>
      <c r="V1059" s="22">
        <v>0</v>
      </c>
      <c r="W1059" s="22">
        <v>1</v>
      </c>
      <c r="X1059" s="40">
        <v>64</v>
      </c>
      <c r="Y1059" s="22">
        <v>1</v>
      </c>
      <c r="Z1059" s="22">
        <v>0</v>
      </c>
      <c r="AA1059" s="22" t="s">
        <v>199</v>
      </c>
      <c r="AB1059" s="22" t="s">
        <v>220</v>
      </c>
      <c r="AC1059" s="42">
        <f>IFERROR(LOOKUP(M1059,打分卡!$F$7:$J$7,打分卡!$K$7:$O$7),1)</f>
        <v>1</v>
      </c>
      <c r="AD1059" s="42">
        <f>IFERROR(LOOKUP(S1059,打分卡!$F$8:$J$8,打分卡!$K$8:$O$8),1)</f>
        <v>1</v>
      </c>
      <c r="AE1059" s="42">
        <f>IFERROR(LOOKUP(T1059,打分卡!$F$9:$I$9,打分卡!$K$9:$N$9),1)</f>
        <v>1</v>
      </c>
      <c r="AF1059" s="42">
        <f>IFERROR(LOOKUP(Q1059,打分卡!$F$10:$J$10,打分卡!$K$10:$O$10),1)</f>
        <v>1</v>
      </c>
      <c r="AG1059" s="42">
        <f>IFERROR(LOOKUP(R1059,打分卡!$F$11:$J$11,打分卡!$K$11:$O$11),1)</f>
        <v>1</v>
      </c>
      <c r="AH1059" s="42">
        <f>IFERROR(LOOKUP(U1059,打分卡!$F$12:$J$12,打分卡!$K$12:$O$12),1)</f>
        <v>1</v>
      </c>
      <c r="AI1059" s="42">
        <f>IFERROR(LOOKUP(X1059,打分卡!$F$13:$J$13,打分卡!$K$13:$O$13),1)</f>
        <v>3</v>
      </c>
      <c r="AJ1059" s="42">
        <f>IFERROR(LOOKUP(Y1059,打分卡!$F$14:$J$14,打分卡!$K$14:$O$14),1)</f>
        <v>2</v>
      </c>
      <c r="AK1059" s="42">
        <f>IFERROR(LOOKUP(W1059,打分卡!$F$15:$J$15,打分卡!$K$15:$O$15),1)</f>
        <v>2</v>
      </c>
      <c r="AL1059" s="45">
        <f t="shared" si="129"/>
        <v>5</v>
      </c>
      <c r="AM1059" s="42">
        <f>IFERROR(LOOKUP(Z1059,打分卡!$F$17:$H$17,打分卡!$K$17:$M$17),1)</f>
        <v>1</v>
      </c>
      <c r="AN1059" s="46">
        <f>(打分卡!$D$7*AC1059+打分卡!$D$8*AD1059+打分卡!$D$9*AE1059)/5</f>
        <v>8</v>
      </c>
      <c r="AO1059" s="46">
        <f>(打分卡!$D$10*AF1059+打分卡!$D$11*AG1059)/5</f>
        <v>4</v>
      </c>
      <c r="AP1059" s="46">
        <f>(打分卡!$D$12*AH1059+打分卡!$D$13*AI1059+打分卡!$D$14*AJ1059+打分卡!$D$15*AK1059)/5</f>
        <v>11.2</v>
      </c>
      <c r="AQ1059" s="46">
        <f>(打分卡!$D$16*AL1059+打分卡!$D$17*AM1059)/5</f>
        <v>6.8</v>
      </c>
      <c r="AR1059" s="48">
        <f t="shared" si="130"/>
        <v>36.9333333333333</v>
      </c>
      <c r="AS1059" s="45" t="str">
        <f t="shared" si="131"/>
        <v>基础长尾</v>
      </c>
      <c r="AT1059" s="45" t="str">
        <f t="shared" si="132"/>
        <v/>
      </c>
      <c r="AU1059" s="45" t="str">
        <f t="shared" si="133"/>
        <v>激活：企微+Push低成本先跑</v>
      </c>
    </row>
    <row r="1060" ht="15" customHeight="1" spans="1:47">
      <c r="A1060" s="30" t="s">
        <v>2889</v>
      </c>
      <c r="B1060" s="31" t="s">
        <v>2890</v>
      </c>
      <c r="C1060" s="31" t="s">
        <v>223</v>
      </c>
      <c r="D1060" s="31" t="s">
        <v>190</v>
      </c>
      <c r="E1060" s="31" t="s">
        <v>181</v>
      </c>
      <c r="F1060" s="30" t="s">
        <v>2758</v>
      </c>
      <c r="G1060" s="31">
        <v>1</v>
      </c>
      <c r="H1060" s="31" t="s">
        <v>642</v>
      </c>
      <c r="I1060" s="31" t="s">
        <v>302</v>
      </c>
      <c r="J1060" s="33">
        <v>1700</v>
      </c>
      <c r="K1060" s="33">
        <v>1000</v>
      </c>
      <c r="L1060" s="33">
        <v>700</v>
      </c>
      <c r="M1060" s="33">
        <f t="shared" si="128"/>
        <v>3400</v>
      </c>
      <c r="N1060" s="34">
        <f t="shared" si="134"/>
        <v>1.78249755168719e-5</v>
      </c>
      <c r="O1060" s="35">
        <f>SUM($M$2:M1060)</f>
        <v>190271200</v>
      </c>
      <c r="P1060" s="34">
        <f t="shared" si="135"/>
        <v>0.997523376931126</v>
      </c>
      <c r="Q1060" s="37">
        <v>0.3</v>
      </c>
      <c r="R1060" s="31">
        <v>3</v>
      </c>
      <c r="S1060" s="31">
        <v>1</v>
      </c>
      <c r="T1060" s="31">
        <v>0</v>
      </c>
      <c r="U1060" s="37">
        <v>15.1</v>
      </c>
      <c r="V1060" s="31">
        <v>10</v>
      </c>
      <c r="W1060" s="31">
        <v>0</v>
      </c>
      <c r="X1060" s="38">
        <v>37</v>
      </c>
      <c r="Y1060" s="31">
        <v>0</v>
      </c>
      <c r="Z1060" s="31">
        <v>0</v>
      </c>
      <c r="AA1060" s="31" t="s">
        <v>199</v>
      </c>
      <c r="AB1060" s="31" t="s">
        <v>220</v>
      </c>
      <c r="AC1060" s="41">
        <f>IFERROR(LOOKUP(M1060,打分卡!$F$7:$J$7,打分卡!$K$7:$O$7),1)</f>
        <v>1</v>
      </c>
      <c r="AD1060" s="41">
        <f>IFERROR(LOOKUP(S1060,打分卡!$F$8:$J$8,打分卡!$K$8:$O$8),1)</f>
        <v>1</v>
      </c>
      <c r="AE1060" s="41">
        <f>IFERROR(LOOKUP(T1060,打分卡!$F$9:$I$9,打分卡!$K$9:$N$9),1)</f>
        <v>1</v>
      </c>
      <c r="AF1060" s="41">
        <f>IFERROR(LOOKUP(Q1060,打分卡!$F$10:$J$10,打分卡!$K$10:$O$10),1)</f>
        <v>1</v>
      </c>
      <c r="AG1060" s="41">
        <f>IFERROR(LOOKUP(R1060,打分卡!$F$11:$J$11,打分卡!$K$11:$O$11),1)</f>
        <v>2</v>
      </c>
      <c r="AH1060" s="41">
        <f>IFERROR(LOOKUP(U1060,打分卡!$F$12:$J$12,打分卡!$K$12:$O$12),1)</f>
        <v>3</v>
      </c>
      <c r="AI1060" s="41">
        <f>IFERROR(LOOKUP(X1060,打分卡!$F$13:$J$13,打分卡!$K$13:$O$13),1)</f>
        <v>2</v>
      </c>
      <c r="AJ1060" s="41">
        <f>IFERROR(LOOKUP(Y1060,打分卡!$F$14:$J$14,打分卡!$K$14:$O$14),1)</f>
        <v>1</v>
      </c>
      <c r="AK1060" s="41">
        <f>IFERROR(LOOKUP(W1060,打分卡!$F$15:$J$15,打分卡!$K$15:$O$15),1)</f>
        <v>1</v>
      </c>
      <c r="AL1060" s="43">
        <f t="shared" si="129"/>
        <v>5</v>
      </c>
      <c r="AM1060" s="41">
        <f>IFERROR(LOOKUP(Z1060,打分卡!$F$17:$H$17,打分卡!$K$17:$M$17),1)</f>
        <v>1</v>
      </c>
      <c r="AN1060" s="44">
        <f>(打分卡!$D$7*AC1060+打分卡!$D$8*AD1060+打分卡!$D$9*AE1060)/5</f>
        <v>8</v>
      </c>
      <c r="AO1060" s="44">
        <f>(打分卡!$D$10*AF1060+打分卡!$D$11*AG1060)/5</f>
        <v>6</v>
      </c>
      <c r="AP1060" s="44">
        <f>(打分卡!$D$12*AH1060+打分卡!$D$13*AI1060+打分卡!$D$14*AJ1060+打分卡!$D$15*AK1060)/5</f>
        <v>12.4</v>
      </c>
      <c r="AQ1060" s="44">
        <f>(打分卡!$D$16*AL1060+打分卡!$D$17*AM1060)/5</f>
        <v>6.8</v>
      </c>
      <c r="AR1060" s="47">
        <f t="shared" si="130"/>
        <v>41.7333333333333</v>
      </c>
      <c r="AS1060" s="43" t="str">
        <f t="shared" si="131"/>
        <v>腰部</v>
      </c>
      <c r="AT1060" s="43" t="str">
        <f t="shared" si="132"/>
        <v/>
      </c>
      <c r="AU1060" s="43" t="str">
        <f t="shared" si="133"/>
        <v>拉·主攻：主推AI外呼+大促作战包</v>
      </c>
    </row>
    <row r="1061" ht="15" customHeight="1" spans="1:47">
      <c r="A1061" s="20" t="s">
        <v>2891</v>
      </c>
      <c r="B1061" s="22" t="s">
        <v>2892</v>
      </c>
      <c r="C1061" s="22" t="s">
        <v>239</v>
      </c>
      <c r="D1061" s="22" t="s">
        <v>196</v>
      </c>
      <c r="E1061" s="22" t="s">
        <v>181</v>
      </c>
      <c r="F1061" s="20" t="s">
        <v>1611</v>
      </c>
      <c r="G1061" s="22">
        <v>2</v>
      </c>
      <c r="H1061" s="22" t="s">
        <v>642</v>
      </c>
      <c r="I1061" s="22" t="s">
        <v>302</v>
      </c>
      <c r="J1061" s="36">
        <v>2100</v>
      </c>
      <c r="K1061" s="36">
        <v>1100</v>
      </c>
      <c r="L1061" s="36">
        <v>200</v>
      </c>
      <c r="M1061" s="36">
        <f t="shared" si="128"/>
        <v>3400</v>
      </c>
      <c r="N1061" s="34">
        <f t="shared" si="134"/>
        <v>1.78249755168719e-5</v>
      </c>
      <c r="O1061" s="35">
        <f>SUM($M$2:M1061)</f>
        <v>190274600</v>
      </c>
      <c r="P1061" s="34">
        <f t="shared" si="135"/>
        <v>0.997541201906643</v>
      </c>
      <c r="Q1061" s="39">
        <v>0.3</v>
      </c>
      <c r="R1061" s="22">
        <v>3</v>
      </c>
      <c r="S1061" s="22">
        <v>0</v>
      </c>
      <c r="T1061" s="22">
        <v>0</v>
      </c>
      <c r="U1061" s="39">
        <v>13.6</v>
      </c>
      <c r="V1061" s="22">
        <v>13</v>
      </c>
      <c r="W1061" s="22">
        <v>2</v>
      </c>
      <c r="X1061" s="40">
        <v>25</v>
      </c>
      <c r="Y1061" s="22">
        <v>0</v>
      </c>
      <c r="Z1061" s="22">
        <v>0</v>
      </c>
      <c r="AA1061" s="22" t="s">
        <v>199</v>
      </c>
      <c r="AB1061" s="22" t="s">
        <v>220</v>
      </c>
      <c r="AC1061" s="42">
        <f>IFERROR(LOOKUP(M1061,打分卡!$F$7:$J$7,打分卡!$K$7:$O$7),1)</f>
        <v>1</v>
      </c>
      <c r="AD1061" s="42">
        <f>IFERROR(LOOKUP(S1061,打分卡!$F$8:$J$8,打分卡!$K$8:$O$8),1)</f>
        <v>1</v>
      </c>
      <c r="AE1061" s="42">
        <f>IFERROR(LOOKUP(T1061,打分卡!$F$9:$I$9,打分卡!$K$9:$N$9),1)</f>
        <v>1</v>
      </c>
      <c r="AF1061" s="42">
        <f>IFERROR(LOOKUP(Q1061,打分卡!$F$10:$J$10,打分卡!$K$10:$O$10),1)</f>
        <v>1</v>
      </c>
      <c r="AG1061" s="42">
        <f>IFERROR(LOOKUP(R1061,打分卡!$F$11:$J$11,打分卡!$K$11:$O$11),1)</f>
        <v>2</v>
      </c>
      <c r="AH1061" s="42">
        <f>IFERROR(LOOKUP(U1061,打分卡!$F$12:$J$12,打分卡!$K$12:$O$12),1)</f>
        <v>3</v>
      </c>
      <c r="AI1061" s="42">
        <f>IFERROR(LOOKUP(X1061,打分卡!$F$13:$J$13,打分卡!$K$13:$O$13),1)</f>
        <v>2</v>
      </c>
      <c r="AJ1061" s="42">
        <f>IFERROR(LOOKUP(Y1061,打分卡!$F$14:$J$14,打分卡!$K$14:$O$14),1)</f>
        <v>1</v>
      </c>
      <c r="AK1061" s="42">
        <f>IFERROR(LOOKUP(W1061,打分卡!$F$15:$J$15,打分卡!$K$15:$O$15),1)</f>
        <v>2</v>
      </c>
      <c r="AL1061" s="45">
        <f t="shared" si="129"/>
        <v>5</v>
      </c>
      <c r="AM1061" s="42">
        <f>IFERROR(LOOKUP(Z1061,打分卡!$F$17:$H$17,打分卡!$K$17:$M$17),1)</f>
        <v>1</v>
      </c>
      <c r="AN1061" s="46">
        <f>(打分卡!$D$7*AC1061+打分卡!$D$8*AD1061+打分卡!$D$9*AE1061)/5</f>
        <v>8</v>
      </c>
      <c r="AO1061" s="46">
        <f>(打分卡!$D$10*AF1061+打分卡!$D$11*AG1061)/5</f>
        <v>6</v>
      </c>
      <c r="AP1061" s="46">
        <f>(打分卡!$D$12*AH1061+打分卡!$D$13*AI1061+打分卡!$D$14*AJ1061+打分卡!$D$15*AK1061)/5</f>
        <v>13.2</v>
      </c>
      <c r="AQ1061" s="46">
        <f>(打分卡!$D$16*AL1061+打分卡!$D$17*AM1061)/5</f>
        <v>6.8</v>
      </c>
      <c r="AR1061" s="48">
        <f t="shared" si="130"/>
        <v>43.6</v>
      </c>
      <c r="AS1061" s="45" t="str">
        <f t="shared" si="131"/>
        <v>腰部</v>
      </c>
      <c r="AT1061" s="45" t="str">
        <f t="shared" si="132"/>
        <v/>
      </c>
      <c r="AU1061" s="45" t="str">
        <f t="shared" si="133"/>
        <v>拉·主攻：主推AI外呼+大促作战包</v>
      </c>
    </row>
    <row r="1062" ht="15" customHeight="1" spans="1:47">
      <c r="A1062" s="30" t="s">
        <v>2893</v>
      </c>
      <c r="B1062" s="31" t="s">
        <v>2894</v>
      </c>
      <c r="C1062" s="31" t="s">
        <v>218</v>
      </c>
      <c r="D1062" s="31" t="s">
        <v>196</v>
      </c>
      <c r="E1062" s="31" t="s">
        <v>181</v>
      </c>
      <c r="F1062" s="30" t="s">
        <v>2895</v>
      </c>
      <c r="G1062" s="31">
        <v>1</v>
      </c>
      <c r="H1062" s="31" t="s">
        <v>642</v>
      </c>
      <c r="I1062" s="31" t="s">
        <v>302</v>
      </c>
      <c r="J1062" s="33">
        <v>2100</v>
      </c>
      <c r="K1062" s="33">
        <v>700</v>
      </c>
      <c r="L1062" s="33">
        <v>500</v>
      </c>
      <c r="M1062" s="33">
        <f t="shared" si="128"/>
        <v>3300</v>
      </c>
      <c r="N1062" s="34">
        <f t="shared" si="134"/>
        <v>1.73007115310815e-5</v>
      </c>
      <c r="O1062" s="35">
        <f>SUM($M$2:M1062)</f>
        <v>190277900</v>
      </c>
      <c r="P1062" s="34">
        <f t="shared" si="135"/>
        <v>0.997558502618174</v>
      </c>
      <c r="Q1062" s="37">
        <v>0.2</v>
      </c>
      <c r="R1062" s="31">
        <v>3</v>
      </c>
      <c r="S1062" s="31">
        <v>0</v>
      </c>
      <c r="T1062" s="31">
        <v>0</v>
      </c>
      <c r="U1062" s="37">
        <v>2.2</v>
      </c>
      <c r="V1062" s="31">
        <v>6</v>
      </c>
      <c r="W1062" s="31">
        <v>1</v>
      </c>
      <c r="X1062" s="38">
        <v>40</v>
      </c>
      <c r="Y1062" s="31">
        <v>1</v>
      </c>
      <c r="Z1062" s="31">
        <v>0</v>
      </c>
      <c r="AA1062" s="31" t="s">
        <v>199</v>
      </c>
      <c r="AB1062" s="31" t="s">
        <v>220</v>
      </c>
      <c r="AC1062" s="41">
        <f>IFERROR(LOOKUP(M1062,打分卡!$F$7:$J$7,打分卡!$K$7:$O$7),1)</f>
        <v>1</v>
      </c>
      <c r="AD1062" s="41">
        <f>IFERROR(LOOKUP(S1062,打分卡!$F$8:$J$8,打分卡!$K$8:$O$8),1)</f>
        <v>1</v>
      </c>
      <c r="AE1062" s="41">
        <f>IFERROR(LOOKUP(T1062,打分卡!$F$9:$I$9,打分卡!$K$9:$N$9),1)</f>
        <v>1</v>
      </c>
      <c r="AF1062" s="41">
        <f>IFERROR(LOOKUP(Q1062,打分卡!$F$10:$J$10,打分卡!$K$10:$O$10),1)</f>
        <v>1</v>
      </c>
      <c r="AG1062" s="41">
        <f>IFERROR(LOOKUP(R1062,打分卡!$F$11:$J$11,打分卡!$K$11:$O$11),1)</f>
        <v>2</v>
      </c>
      <c r="AH1062" s="41">
        <f>IFERROR(LOOKUP(U1062,打分卡!$F$12:$J$12,打分卡!$K$12:$O$12),1)</f>
        <v>1</v>
      </c>
      <c r="AI1062" s="41">
        <f>IFERROR(LOOKUP(X1062,打分卡!$F$13:$J$13,打分卡!$K$13:$O$13),1)</f>
        <v>3</v>
      </c>
      <c r="AJ1062" s="41">
        <f>IFERROR(LOOKUP(Y1062,打分卡!$F$14:$J$14,打分卡!$K$14:$O$14),1)</f>
        <v>2</v>
      </c>
      <c r="AK1062" s="41">
        <f>IFERROR(LOOKUP(W1062,打分卡!$F$15:$J$15,打分卡!$K$15:$O$15),1)</f>
        <v>2</v>
      </c>
      <c r="AL1062" s="43">
        <f t="shared" si="129"/>
        <v>5</v>
      </c>
      <c r="AM1062" s="41">
        <f>IFERROR(LOOKUP(Z1062,打分卡!$F$17:$H$17,打分卡!$K$17:$M$17),1)</f>
        <v>1</v>
      </c>
      <c r="AN1062" s="44">
        <f>(打分卡!$D$7*AC1062+打分卡!$D$8*AD1062+打分卡!$D$9*AE1062)/5</f>
        <v>8</v>
      </c>
      <c r="AO1062" s="44">
        <f>(打分卡!$D$10*AF1062+打分卡!$D$11*AG1062)/5</f>
        <v>6</v>
      </c>
      <c r="AP1062" s="44">
        <f>(打分卡!$D$12*AH1062+打分卡!$D$13*AI1062+打分卡!$D$14*AJ1062+打分卡!$D$15*AK1062)/5</f>
        <v>11.2</v>
      </c>
      <c r="AQ1062" s="44">
        <f>(打分卡!$D$16*AL1062+打分卡!$D$17*AM1062)/5</f>
        <v>6.8</v>
      </c>
      <c r="AR1062" s="47">
        <f t="shared" si="130"/>
        <v>38.9333333333333</v>
      </c>
      <c r="AS1062" s="43" t="str">
        <f t="shared" si="131"/>
        <v>基础长尾</v>
      </c>
      <c r="AT1062" s="43" t="str">
        <f t="shared" si="132"/>
        <v/>
      </c>
      <c r="AU1062" s="43" t="str">
        <f t="shared" si="133"/>
        <v>激活：企微+Push低成本先跑</v>
      </c>
    </row>
    <row r="1063" ht="15" customHeight="1" spans="1:47">
      <c r="A1063" s="20" t="s">
        <v>2896</v>
      </c>
      <c r="B1063" s="22" t="s">
        <v>2897</v>
      </c>
      <c r="C1063" s="22" t="s">
        <v>179</v>
      </c>
      <c r="D1063" s="22" t="s">
        <v>202</v>
      </c>
      <c r="E1063" s="22" t="s">
        <v>181</v>
      </c>
      <c r="F1063" s="20" t="s">
        <v>2898</v>
      </c>
      <c r="G1063" s="22">
        <v>2</v>
      </c>
      <c r="H1063" s="22" t="s">
        <v>642</v>
      </c>
      <c r="I1063" s="22" t="s">
        <v>302</v>
      </c>
      <c r="J1063" s="36">
        <v>1900</v>
      </c>
      <c r="K1063" s="36">
        <v>1000</v>
      </c>
      <c r="L1063" s="36">
        <v>400</v>
      </c>
      <c r="M1063" s="36">
        <f t="shared" si="128"/>
        <v>3300</v>
      </c>
      <c r="N1063" s="34">
        <f t="shared" si="134"/>
        <v>1.73007115310815e-5</v>
      </c>
      <c r="O1063" s="35">
        <f>SUM($M$2:M1063)</f>
        <v>190281200</v>
      </c>
      <c r="P1063" s="34">
        <f t="shared" si="135"/>
        <v>0.997575803329705</v>
      </c>
      <c r="Q1063" s="39">
        <v>0.4</v>
      </c>
      <c r="R1063" s="22">
        <v>2</v>
      </c>
      <c r="S1063" s="22">
        <v>1</v>
      </c>
      <c r="T1063" s="22">
        <v>0</v>
      </c>
      <c r="U1063" s="39">
        <v>4.1</v>
      </c>
      <c r="V1063" s="22">
        <v>3</v>
      </c>
      <c r="W1063" s="22">
        <v>2</v>
      </c>
      <c r="X1063" s="40">
        <v>8</v>
      </c>
      <c r="Y1063" s="22">
        <v>1</v>
      </c>
      <c r="Z1063" s="22">
        <v>0</v>
      </c>
      <c r="AA1063" s="22" t="s">
        <v>199</v>
      </c>
      <c r="AB1063" s="22" t="s">
        <v>220</v>
      </c>
      <c r="AC1063" s="42">
        <f>IFERROR(LOOKUP(M1063,打分卡!$F$7:$J$7,打分卡!$K$7:$O$7),1)</f>
        <v>1</v>
      </c>
      <c r="AD1063" s="42">
        <f>IFERROR(LOOKUP(S1063,打分卡!$F$8:$J$8,打分卡!$K$8:$O$8),1)</f>
        <v>1</v>
      </c>
      <c r="AE1063" s="42">
        <f>IFERROR(LOOKUP(T1063,打分卡!$F$9:$I$9,打分卡!$K$9:$N$9),1)</f>
        <v>1</v>
      </c>
      <c r="AF1063" s="42">
        <f>IFERROR(LOOKUP(Q1063,打分卡!$F$10:$J$10,打分卡!$K$10:$O$10),1)</f>
        <v>1</v>
      </c>
      <c r="AG1063" s="42">
        <f>IFERROR(LOOKUP(R1063,打分卡!$F$11:$J$11,打分卡!$K$11:$O$11),1)</f>
        <v>1</v>
      </c>
      <c r="AH1063" s="42">
        <f>IFERROR(LOOKUP(U1063,打分卡!$F$12:$J$12,打分卡!$K$12:$O$12),1)</f>
        <v>2</v>
      </c>
      <c r="AI1063" s="42">
        <f>IFERROR(LOOKUP(X1063,打分卡!$F$13:$J$13,打分卡!$K$13:$O$13),1)</f>
        <v>1</v>
      </c>
      <c r="AJ1063" s="42">
        <f>IFERROR(LOOKUP(Y1063,打分卡!$F$14:$J$14,打分卡!$K$14:$O$14),1)</f>
        <v>2</v>
      </c>
      <c r="AK1063" s="42">
        <f>IFERROR(LOOKUP(W1063,打分卡!$F$15:$J$15,打分卡!$K$15:$O$15),1)</f>
        <v>2</v>
      </c>
      <c r="AL1063" s="45">
        <f t="shared" si="129"/>
        <v>5</v>
      </c>
      <c r="AM1063" s="42">
        <f>IFERROR(LOOKUP(Z1063,打分卡!$F$17:$H$17,打分卡!$K$17:$M$17),1)</f>
        <v>1</v>
      </c>
      <c r="AN1063" s="46">
        <f>(打分卡!$D$7*AC1063+打分卡!$D$8*AD1063+打分卡!$D$9*AE1063)/5</f>
        <v>8</v>
      </c>
      <c r="AO1063" s="46">
        <f>(打分卡!$D$10*AF1063+打分卡!$D$11*AG1063)/5</f>
        <v>4</v>
      </c>
      <c r="AP1063" s="46">
        <f>(打分卡!$D$12*AH1063+打分卡!$D$13*AI1063+打分卡!$D$14*AJ1063+打分卡!$D$15*AK1063)/5</f>
        <v>10.4</v>
      </c>
      <c r="AQ1063" s="46">
        <f>(打分卡!$D$16*AL1063+打分卡!$D$17*AM1063)/5</f>
        <v>6.8</v>
      </c>
      <c r="AR1063" s="48">
        <f t="shared" si="130"/>
        <v>35.0666666666667</v>
      </c>
      <c r="AS1063" s="45" t="str">
        <f t="shared" si="131"/>
        <v>基础长尾</v>
      </c>
      <c r="AT1063" s="45" t="str">
        <f t="shared" si="132"/>
        <v/>
      </c>
      <c r="AU1063" s="45" t="str">
        <f t="shared" si="133"/>
        <v>激活：企微+Push低成本先跑</v>
      </c>
    </row>
    <row r="1064" ht="15" customHeight="1" spans="1:47">
      <c r="A1064" s="30" t="s">
        <v>2899</v>
      </c>
      <c r="B1064" s="31" t="s">
        <v>2900</v>
      </c>
      <c r="C1064" s="31" t="s">
        <v>209</v>
      </c>
      <c r="D1064" s="31" t="s">
        <v>190</v>
      </c>
      <c r="E1064" s="31" t="s">
        <v>181</v>
      </c>
      <c r="F1064" s="30" t="s">
        <v>2901</v>
      </c>
      <c r="G1064" s="31">
        <v>2</v>
      </c>
      <c r="H1064" s="31" t="s">
        <v>642</v>
      </c>
      <c r="I1064" s="31" t="s">
        <v>302</v>
      </c>
      <c r="J1064" s="33">
        <v>1900</v>
      </c>
      <c r="K1064" s="33">
        <v>900</v>
      </c>
      <c r="L1064" s="33">
        <v>500</v>
      </c>
      <c r="M1064" s="33">
        <f t="shared" si="128"/>
        <v>3300</v>
      </c>
      <c r="N1064" s="34">
        <f t="shared" si="134"/>
        <v>1.73007115310815e-5</v>
      </c>
      <c r="O1064" s="35">
        <f>SUM($M$2:M1064)</f>
        <v>190284500</v>
      </c>
      <c r="P1064" s="34">
        <f t="shared" si="135"/>
        <v>0.997593104041236</v>
      </c>
      <c r="Q1064" s="37">
        <v>0.5</v>
      </c>
      <c r="R1064" s="31">
        <v>2</v>
      </c>
      <c r="S1064" s="31">
        <v>0</v>
      </c>
      <c r="T1064" s="31">
        <v>0</v>
      </c>
      <c r="U1064" s="37">
        <v>0.7</v>
      </c>
      <c r="V1064" s="31">
        <v>7</v>
      </c>
      <c r="W1064" s="31">
        <v>1</v>
      </c>
      <c r="X1064" s="38">
        <v>73</v>
      </c>
      <c r="Y1064" s="31">
        <v>0</v>
      </c>
      <c r="Z1064" s="31">
        <v>0</v>
      </c>
      <c r="AA1064" s="31" t="s">
        <v>199</v>
      </c>
      <c r="AB1064" s="31" t="s">
        <v>220</v>
      </c>
      <c r="AC1064" s="41">
        <f>IFERROR(LOOKUP(M1064,打分卡!$F$7:$J$7,打分卡!$K$7:$O$7),1)</f>
        <v>1</v>
      </c>
      <c r="AD1064" s="41">
        <f>IFERROR(LOOKUP(S1064,打分卡!$F$8:$J$8,打分卡!$K$8:$O$8),1)</f>
        <v>1</v>
      </c>
      <c r="AE1064" s="41">
        <f>IFERROR(LOOKUP(T1064,打分卡!$F$9:$I$9,打分卡!$K$9:$N$9),1)</f>
        <v>1</v>
      </c>
      <c r="AF1064" s="41">
        <f>IFERROR(LOOKUP(Q1064,打分卡!$F$10:$J$10,打分卡!$K$10:$O$10),1)</f>
        <v>1</v>
      </c>
      <c r="AG1064" s="41">
        <f>IFERROR(LOOKUP(R1064,打分卡!$F$11:$J$11,打分卡!$K$11:$O$11),1)</f>
        <v>1</v>
      </c>
      <c r="AH1064" s="41">
        <f>IFERROR(LOOKUP(U1064,打分卡!$F$12:$J$12,打分卡!$K$12:$O$12),1)</f>
        <v>1</v>
      </c>
      <c r="AI1064" s="41">
        <f>IFERROR(LOOKUP(X1064,打分卡!$F$13:$J$13,打分卡!$K$13:$O$13),1)</f>
        <v>3</v>
      </c>
      <c r="AJ1064" s="41">
        <f>IFERROR(LOOKUP(Y1064,打分卡!$F$14:$J$14,打分卡!$K$14:$O$14),1)</f>
        <v>1</v>
      </c>
      <c r="AK1064" s="41">
        <f>IFERROR(LOOKUP(W1064,打分卡!$F$15:$J$15,打分卡!$K$15:$O$15),1)</f>
        <v>2</v>
      </c>
      <c r="AL1064" s="43">
        <f t="shared" si="129"/>
        <v>5</v>
      </c>
      <c r="AM1064" s="41">
        <f>IFERROR(LOOKUP(Z1064,打分卡!$F$17:$H$17,打分卡!$K$17:$M$17),1)</f>
        <v>1</v>
      </c>
      <c r="AN1064" s="44">
        <f>(打分卡!$D$7*AC1064+打分卡!$D$8*AD1064+打分卡!$D$9*AE1064)/5</f>
        <v>8</v>
      </c>
      <c r="AO1064" s="44">
        <f>(打分卡!$D$10*AF1064+打分卡!$D$11*AG1064)/5</f>
        <v>4</v>
      </c>
      <c r="AP1064" s="44">
        <f>(打分卡!$D$12*AH1064+打分卡!$D$13*AI1064+打分卡!$D$14*AJ1064+打分卡!$D$15*AK1064)/5</f>
        <v>10</v>
      </c>
      <c r="AQ1064" s="44">
        <f>(打分卡!$D$16*AL1064+打分卡!$D$17*AM1064)/5</f>
        <v>6.8</v>
      </c>
      <c r="AR1064" s="47">
        <f t="shared" si="130"/>
        <v>34.1333333333333</v>
      </c>
      <c r="AS1064" s="43" t="str">
        <f t="shared" si="131"/>
        <v>基础长尾</v>
      </c>
      <c r="AT1064" s="43" t="str">
        <f t="shared" si="132"/>
        <v/>
      </c>
      <c r="AU1064" s="43" t="str">
        <f t="shared" si="133"/>
        <v>激活：企微+Push低成本先跑</v>
      </c>
    </row>
    <row r="1065" ht="15" customHeight="1" spans="1:47">
      <c r="A1065" s="20" t="s">
        <v>2902</v>
      </c>
      <c r="B1065" s="22" t="s">
        <v>2903</v>
      </c>
      <c r="C1065" s="22" t="s">
        <v>179</v>
      </c>
      <c r="D1065" s="22" t="s">
        <v>196</v>
      </c>
      <c r="E1065" s="22" t="s">
        <v>181</v>
      </c>
      <c r="F1065" s="20" t="s">
        <v>1611</v>
      </c>
      <c r="G1065" s="22">
        <v>2</v>
      </c>
      <c r="H1065" s="22" t="s">
        <v>642</v>
      </c>
      <c r="I1065" s="22" t="s">
        <v>302</v>
      </c>
      <c r="J1065" s="36">
        <v>1700</v>
      </c>
      <c r="K1065" s="36">
        <v>1200</v>
      </c>
      <c r="L1065" s="36">
        <v>400</v>
      </c>
      <c r="M1065" s="36">
        <f t="shared" si="128"/>
        <v>3300</v>
      </c>
      <c r="N1065" s="34">
        <f t="shared" si="134"/>
        <v>1.73007115310815e-5</v>
      </c>
      <c r="O1065" s="35">
        <f>SUM($M$2:M1065)</f>
        <v>190287800</v>
      </c>
      <c r="P1065" s="34">
        <f t="shared" si="135"/>
        <v>0.997610404752768</v>
      </c>
      <c r="Q1065" s="39">
        <v>0.2</v>
      </c>
      <c r="R1065" s="22">
        <v>1</v>
      </c>
      <c r="S1065" s="22">
        <v>0</v>
      </c>
      <c r="T1065" s="22">
        <v>0</v>
      </c>
      <c r="U1065" s="39">
        <v>3.7</v>
      </c>
      <c r="V1065" s="22">
        <v>12</v>
      </c>
      <c r="W1065" s="22">
        <v>2</v>
      </c>
      <c r="X1065" s="40">
        <v>14</v>
      </c>
      <c r="Y1065" s="22">
        <v>1</v>
      </c>
      <c r="Z1065" s="22">
        <v>0</v>
      </c>
      <c r="AA1065" s="22" t="s">
        <v>199</v>
      </c>
      <c r="AB1065" s="22" t="s">
        <v>220</v>
      </c>
      <c r="AC1065" s="42">
        <f>IFERROR(LOOKUP(M1065,打分卡!$F$7:$J$7,打分卡!$K$7:$O$7),1)</f>
        <v>1</v>
      </c>
      <c r="AD1065" s="42">
        <f>IFERROR(LOOKUP(S1065,打分卡!$F$8:$J$8,打分卡!$K$8:$O$8),1)</f>
        <v>1</v>
      </c>
      <c r="AE1065" s="42">
        <f>IFERROR(LOOKUP(T1065,打分卡!$F$9:$I$9,打分卡!$K$9:$N$9),1)</f>
        <v>1</v>
      </c>
      <c r="AF1065" s="42">
        <f>IFERROR(LOOKUP(Q1065,打分卡!$F$10:$J$10,打分卡!$K$10:$O$10),1)</f>
        <v>1</v>
      </c>
      <c r="AG1065" s="42">
        <f>IFERROR(LOOKUP(R1065,打分卡!$F$11:$J$11,打分卡!$K$11:$O$11),1)</f>
        <v>1</v>
      </c>
      <c r="AH1065" s="42">
        <f>IFERROR(LOOKUP(U1065,打分卡!$F$12:$J$12,打分卡!$K$12:$O$12),1)</f>
        <v>2</v>
      </c>
      <c r="AI1065" s="42">
        <f>IFERROR(LOOKUP(X1065,打分卡!$F$13:$J$13,打分卡!$K$13:$O$13),1)</f>
        <v>1</v>
      </c>
      <c r="AJ1065" s="42">
        <f>IFERROR(LOOKUP(Y1065,打分卡!$F$14:$J$14,打分卡!$K$14:$O$14),1)</f>
        <v>2</v>
      </c>
      <c r="AK1065" s="42">
        <f>IFERROR(LOOKUP(W1065,打分卡!$F$15:$J$15,打分卡!$K$15:$O$15),1)</f>
        <v>2</v>
      </c>
      <c r="AL1065" s="45">
        <f t="shared" si="129"/>
        <v>5</v>
      </c>
      <c r="AM1065" s="42">
        <f>IFERROR(LOOKUP(Z1065,打分卡!$F$17:$H$17,打分卡!$K$17:$M$17),1)</f>
        <v>1</v>
      </c>
      <c r="AN1065" s="46">
        <f>(打分卡!$D$7*AC1065+打分卡!$D$8*AD1065+打分卡!$D$9*AE1065)/5</f>
        <v>8</v>
      </c>
      <c r="AO1065" s="46">
        <f>(打分卡!$D$10*AF1065+打分卡!$D$11*AG1065)/5</f>
        <v>4</v>
      </c>
      <c r="AP1065" s="46">
        <f>(打分卡!$D$12*AH1065+打分卡!$D$13*AI1065+打分卡!$D$14*AJ1065+打分卡!$D$15*AK1065)/5</f>
        <v>10.4</v>
      </c>
      <c r="AQ1065" s="46">
        <f>(打分卡!$D$16*AL1065+打分卡!$D$17*AM1065)/5</f>
        <v>6.8</v>
      </c>
      <c r="AR1065" s="48">
        <f t="shared" si="130"/>
        <v>35.0666666666667</v>
      </c>
      <c r="AS1065" s="45" t="str">
        <f t="shared" si="131"/>
        <v>基础长尾</v>
      </c>
      <c r="AT1065" s="45" t="str">
        <f t="shared" si="132"/>
        <v/>
      </c>
      <c r="AU1065" s="45" t="str">
        <f t="shared" si="133"/>
        <v>激活：企微+Push低成本先跑</v>
      </c>
    </row>
    <row r="1066" ht="15" customHeight="1" spans="1:47">
      <c r="A1066" s="30" t="s">
        <v>2904</v>
      </c>
      <c r="B1066" s="31" t="s">
        <v>2905</v>
      </c>
      <c r="C1066" s="31" t="s">
        <v>195</v>
      </c>
      <c r="D1066" s="31" t="s">
        <v>227</v>
      </c>
      <c r="E1066" s="31" t="s">
        <v>181</v>
      </c>
      <c r="F1066" s="30" t="s">
        <v>2906</v>
      </c>
      <c r="G1066" s="31">
        <v>1</v>
      </c>
      <c r="H1066" s="31" t="s">
        <v>642</v>
      </c>
      <c r="I1066" s="31" t="s">
        <v>302</v>
      </c>
      <c r="J1066" s="33">
        <v>1600</v>
      </c>
      <c r="K1066" s="33">
        <v>1300</v>
      </c>
      <c r="L1066" s="33">
        <v>300</v>
      </c>
      <c r="M1066" s="33">
        <f t="shared" si="128"/>
        <v>3200</v>
      </c>
      <c r="N1066" s="34">
        <f t="shared" si="134"/>
        <v>1.67764475452912e-5</v>
      </c>
      <c r="O1066" s="35">
        <f>SUM($M$2:M1066)</f>
        <v>190291000</v>
      </c>
      <c r="P1066" s="34">
        <f t="shared" si="135"/>
        <v>0.997627181200313</v>
      </c>
      <c r="Q1066" s="37">
        <v>0.2</v>
      </c>
      <c r="R1066" s="31">
        <v>3</v>
      </c>
      <c r="S1066" s="31">
        <v>1</v>
      </c>
      <c r="T1066" s="31">
        <v>0</v>
      </c>
      <c r="U1066" s="37">
        <v>33.5</v>
      </c>
      <c r="V1066" s="31">
        <v>4</v>
      </c>
      <c r="W1066" s="31">
        <v>2</v>
      </c>
      <c r="X1066" s="38">
        <v>33</v>
      </c>
      <c r="Y1066" s="31">
        <v>0</v>
      </c>
      <c r="Z1066" s="31">
        <v>0</v>
      </c>
      <c r="AA1066" s="31" t="s">
        <v>199</v>
      </c>
      <c r="AB1066" s="31" t="s">
        <v>220</v>
      </c>
      <c r="AC1066" s="41">
        <f>IFERROR(LOOKUP(M1066,打分卡!$F$7:$J$7,打分卡!$K$7:$O$7),1)</f>
        <v>1</v>
      </c>
      <c r="AD1066" s="41">
        <f>IFERROR(LOOKUP(S1066,打分卡!$F$8:$J$8,打分卡!$K$8:$O$8),1)</f>
        <v>1</v>
      </c>
      <c r="AE1066" s="41">
        <f>IFERROR(LOOKUP(T1066,打分卡!$F$9:$I$9,打分卡!$K$9:$N$9),1)</f>
        <v>1</v>
      </c>
      <c r="AF1066" s="41">
        <f>IFERROR(LOOKUP(Q1066,打分卡!$F$10:$J$10,打分卡!$K$10:$O$10),1)</f>
        <v>1</v>
      </c>
      <c r="AG1066" s="41">
        <f>IFERROR(LOOKUP(R1066,打分卡!$F$11:$J$11,打分卡!$K$11:$O$11),1)</f>
        <v>2</v>
      </c>
      <c r="AH1066" s="41">
        <f>IFERROR(LOOKUP(U1066,打分卡!$F$12:$J$12,打分卡!$K$12:$O$12),1)</f>
        <v>4</v>
      </c>
      <c r="AI1066" s="41">
        <f>IFERROR(LOOKUP(X1066,打分卡!$F$13:$J$13,打分卡!$K$13:$O$13),1)</f>
        <v>2</v>
      </c>
      <c r="AJ1066" s="41">
        <f>IFERROR(LOOKUP(Y1066,打分卡!$F$14:$J$14,打分卡!$K$14:$O$14),1)</f>
        <v>1</v>
      </c>
      <c r="AK1066" s="41">
        <f>IFERROR(LOOKUP(W1066,打分卡!$F$15:$J$15,打分卡!$K$15:$O$15),1)</f>
        <v>2</v>
      </c>
      <c r="AL1066" s="43">
        <f t="shared" si="129"/>
        <v>5</v>
      </c>
      <c r="AM1066" s="41">
        <f>IFERROR(LOOKUP(Z1066,打分卡!$F$17:$H$17,打分卡!$K$17:$M$17),1)</f>
        <v>1</v>
      </c>
      <c r="AN1066" s="44">
        <f>(打分卡!$D$7*AC1066+打分卡!$D$8*AD1066+打分卡!$D$9*AE1066)/5</f>
        <v>8</v>
      </c>
      <c r="AO1066" s="44">
        <f>(打分卡!$D$10*AF1066+打分卡!$D$11*AG1066)/5</f>
        <v>6</v>
      </c>
      <c r="AP1066" s="44">
        <f>(打分卡!$D$12*AH1066+打分卡!$D$13*AI1066+打分卡!$D$14*AJ1066+打分卡!$D$15*AK1066)/5</f>
        <v>15.6</v>
      </c>
      <c r="AQ1066" s="44">
        <f>(打分卡!$D$16*AL1066+打分卡!$D$17*AM1066)/5</f>
        <v>6.8</v>
      </c>
      <c r="AR1066" s="47">
        <f t="shared" si="130"/>
        <v>49.2</v>
      </c>
      <c r="AS1066" s="43" t="str">
        <f t="shared" si="131"/>
        <v>腰部</v>
      </c>
      <c r="AT1066" s="43" t="str">
        <f t="shared" si="132"/>
        <v/>
      </c>
      <c r="AU1066" s="43" t="str">
        <f t="shared" si="133"/>
        <v>拉·主攻：主推AI外呼+大促作战包</v>
      </c>
    </row>
    <row r="1067" ht="15" customHeight="1" spans="1:47">
      <c r="A1067" s="20" t="s">
        <v>2907</v>
      </c>
      <c r="B1067" s="22" t="s">
        <v>2908</v>
      </c>
      <c r="C1067" s="22" t="s">
        <v>218</v>
      </c>
      <c r="D1067" s="22" t="s">
        <v>227</v>
      </c>
      <c r="E1067" s="22" t="s">
        <v>181</v>
      </c>
      <c r="F1067" s="20" t="s">
        <v>2841</v>
      </c>
      <c r="G1067" s="22">
        <v>1</v>
      </c>
      <c r="H1067" s="22" t="s">
        <v>642</v>
      </c>
      <c r="I1067" s="22" t="s">
        <v>302</v>
      </c>
      <c r="J1067" s="36">
        <v>2000</v>
      </c>
      <c r="K1067" s="36">
        <v>1000</v>
      </c>
      <c r="L1067" s="36">
        <v>200</v>
      </c>
      <c r="M1067" s="36">
        <f t="shared" si="128"/>
        <v>3200</v>
      </c>
      <c r="N1067" s="34">
        <f t="shared" si="134"/>
        <v>1.67764475452912e-5</v>
      </c>
      <c r="O1067" s="35">
        <f>SUM($M$2:M1067)</f>
        <v>190294200</v>
      </c>
      <c r="P1067" s="34">
        <f t="shared" si="135"/>
        <v>0.997643957647858</v>
      </c>
      <c r="Q1067" s="39">
        <v>0.5</v>
      </c>
      <c r="R1067" s="22">
        <v>3</v>
      </c>
      <c r="S1067" s="22">
        <v>0</v>
      </c>
      <c r="T1067" s="22">
        <v>0</v>
      </c>
      <c r="U1067" s="39">
        <v>33.5</v>
      </c>
      <c r="V1067" s="22">
        <v>3</v>
      </c>
      <c r="W1067" s="22">
        <v>1</v>
      </c>
      <c r="X1067" s="40">
        <v>6</v>
      </c>
      <c r="Y1067" s="22">
        <v>1</v>
      </c>
      <c r="Z1067" s="22">
        <v>0</v>
      </c>
      <c r="AA1067" s="22" t="s">
        <v>199</v>
      </c>
      <c r="AB1067" s="22" t="s">
        <v>220</v>
      </c>
      <c r="AC1067" s="42">
        <f>IFERROR(LOOKUP(M1067,打分卡!$F$7:$J$7,打分卡!$K$7:$O$7),1)</f>
        <v>1</v>
      </c>
      <c r="AD1067" s="42">
        <f>IFERROR(LOOKUP(S1067,打分卡!$F$8:$J$8,打分卡!$K$8:$O$8),1)</f>
        <v>1</v>
      </c>
      <c r="AE1067" s="42">
        <f>IFERROR(LOOKUP(T1067,打分卡!$F$9:$I$9,打分卡!$K$9:$N$9),1)</f>
        <v>1</v>
      </c>
      <c r="AF1067" s="42">
        <f>IFERROR(LOOKUP(Q1067,打分卡!$F$10:$J$10,打分卡!$K$10:$O$10),1)</f>
        <v>1</v>
      </c>
      <c r="AG1067" s="42">
        <f>IFERROR(LOOKUP(R1067,打分卡!$F$11:$J$11,打分卡!$K$11:$O$11),1)</f>
        <v>2</v>
      </c>
      <c r="AH1067" s="42">
        <f>IFERROR(LOOKUP(U1067,打分卡!$F$12:$J$12,打分卡!$K$12:$O$12),1)</f>
        <v>4</v>
      </c>
      <c r="AI1067" s="42">
        <f>IFERROR(LOOKUP(X1067,打分卡!$F$13:$J$13,打分卡!$K$13:$O$13),1)</f>
        <v>1</v>
      </c>
      <c r="AJ1067" s="42">
        <f>IFERROR(LOOKUP(Y1067,打分卡!$F$14:$J$14,打分卡!$K$14:$O$14),1)</f>
        <v>2</v>
      </c>
      <c r="AK1067" s="42">
        <f>IFERROR(LOOKUP(W1067,打分卡!$F$15:$J$15,打分卡!$K$15:$O$15),1)</f>
        <v>2</v>
      </c>
      <c r="AL1067" s="45">
        <f t="shared" si="129"/>
        <v>5</v>
      </c>
      <c r="AM1067" s="42">
        <f>IFERROR(LOOKUP(Z1067,打分卡!$F$17:$H$17,打分卡!$K$17:$M$17),1)</f>
        <v>1</v>
      </c>
      <c r="AN1067" s="46">
        <f>(打分卡!$D$7*AC1067+打分卡!$D$8*AD1067+打分卡!$D$9*AE1067)/5</f>
        <v>8</v>
      </c>
      <c r="AO1067" s="46">
        <f>(打分卡!$D$10*AF1067+打分卡!$D$11*AG1067)/5</f>
        <v>6</v>
      </c>
      <c r="AP1067" s="46">
        <f>(打分卡!$D$12*AH1067+打分卡!$D$13*AI1067+打分卡!$D$14*AJ1067+打分卡!$D$15*AK1067)/5</f>
        <v>15.2</v>
      </c>
      <c r="AQ1067" s="46">
        <f>(打分卡!$D$16*AL1067+打分卡!$D$17*AM1067)/5</f>
        <v>6.8</v>
      </c>
      <c r="AR1067" s="48">
        <f t="shared" si="130"/>
        <v>48.2666666666667</v>
      </c>
      <c r="AS1067" s="45" t="str">
        <f t="shared" si="131"/>
        <v>腰部</v>
      </c>
      <c r="AT1067" s="45" t="str">
        <f t="shared" si="132"/>
        <v/>
      </c>
      <c r="AU1067" s="45" t="str">
        <f t="shared" si="133"/>
        <v>拉·主攻：主推AI外呼+大促作战包</v>
      </c>
    </row>
    <row r="1068" ht="15" customHeight="1" spans="1:47">
      <c r="A1068" s="30" t="s">
        <v>2909</v>
      </c>
      <c r="B1068" s="31" t="s">
        <v>2910</v>
      </c>
      <c r="C1068" s="31" t="s">
        <v>179</v>
      </c>
      <c r="D1068" s="31" t="s">
        <v>196</v>
      </c>
      <c r="E1068" s="31" t="s">
        <v>181</v>
      </c>
      <c r="F1068" s="30" t="s">
        <v>2076</v>
      </c>
      <c r="G1068" s="31">
        <v>1</v>
      </c>
      <c r="H1068" s="31" t="s">
        <v>642</v>
      </c>
      <c r="I1068" s="31" t="s">
        <v>302</v>
      </c>
      <c r="J1068" s="33">
        <v>1800</v>
      </c>
      <c r="K1068" s="33">
        <v>1000</v>
      </c>
      <c r="L1068" s="33">
        <v>400</v>
      </c>
      <c r="M1068" s="33">
        <f t="shared" si="128"/>
        <v>3200</v>
      </c>
      <c r="N1068" s="34">
        <f t="shared" si="134"/>
        <v>1.67764475452912e-5</v>
      </c>
      <c r="O1068" s="35">
        <f>SUM($M$2:M1068)</f>
        <v>190297400</v>
      </c>
      <c r="P1068" s="34">
        <f t="shared" si="135"/>
        <v>0.997660734095403</v>
      </c>
      <c r="Q1068" s="37">
        <v>0.4</v>
      </c>
      <c r="R1068" s="31">
        <v>3</v>
      </c>
      <c r="S1068" s="31">
        <v>0</v>
      </c>
      <c r="T1068" s="31">
        <v>0</v>
      </c>
      <c r="U1068" s="37">
        <v>40.6</v>
      </c>
      <c r="V1068" s="31">
        <v>7</v>
      </c>
      <c r="W1068" s="31">
        <v>0</v>
      </c>
      <c r="X1068" s="38">
        <v>28</v>
      </c>
      <c r="Y1068" s="31">
        <v>0</v>
      </c>
      <c r="Z1068" s="31">
        <v>0</v>
      </c>
      <c r="AA1068" s="31" t="s">
        <v>199</v>
      </c>
      <c r="AB1068" s="31" t="s">
        <v>220</v>
      </c>
      <c r="AC1068" s="41">
        <f>IFERROR(LOOKUP(M1068,打分卡!$F$7:$J$7,打分卡!$K$7:$O$7),1)</f>
        <v>1</v>
      </c>
      <c r="AD1068" s="41">
        <f>IFERROR(LOOKUP(S1068,打分卡!$F$8:$J$8,打分卡!$K$8:$O$8),1)</f>
        <v>1</v>
      </c>
      <c r="AE1068" s="41">
        <f>IFERROR(LOOKUP(T1068,打分卡!$F$9:$I$9,打分卡!$K$9:$N$9),1)</f>
        <v>1</v>
      </c>
      <c r="AF1068" s="41">
        <f>IFERROR(LOOKUP(Q1068,打分卡!$F$10:$J$10,打分卡!$K$10:$O$10),1)</f>
        <v>1</v>
      </c>
      <c r="AG1068" s="41">
        <f>IFERROR(LOOKUP(R1068,打分卡!$F$11:$J$11,打分卡!$K$11:$O$11),1)</f>
        <v>2</v>
      </c>
      <c r="AH1068" s="41">
        <f>IFERROR(LOOKUP(U1068,打分卡!$F$12:$J$12,打分卡!$K$12:$O$12),1)</f>
        <v>4</v>
      </c>
      <c r="AI1068" s="41">
        <f>IFERROR(LOOKUP(X1068,打分卡!$F$13:$J$13,打分卡!$K$13:$O$13),1)</f>
        <v>2</v>
      </c>
      <c r="AJ1068" s="41">
        <f>IFERROR(LOOKUP(Y1068,打分卡!$F$14:$J$14,打分卡!$K$14:$O$14),1)</f>
        <v>1</v>
      </c>
      <c r="AK1068" s="41">
        <f>IFERROR(LOOKUP(W1068,打分卡!$F$15:$J$15,打分卡!$K$15:$O$15),1)</f>
        <v>1</v>
      </c>
      <c r="AL1068" s="43">
        <f t="shared" si="129"/>
        <v>5</v>
      </c>
      <c r="AM1068" s="41">
        <f>IFERROR(LOOKUP(Z1068,打分卡!$F$17:$H$17,打分卡!$K$17:$M$17),1)</f>
        <v>1</v>
      </c>
      <c r="AN1068" s="44">
        <f>(打分卡!$D$7*AC1068+打分卡!$D$8*AD1068+打分卡!$D$9*AE1068)/5</f>
        <v>8</v>
      </c>
      <c r="AO1068" s="44">
        <f>(打分卡!$D$10*AF1068+打分卡!$D$11*AG1068)/5</f>
        <v>6</v>
      </c>
      <c r="AP1068" s="44">
        <f>(打分卡!$D$12*AH1068+打分卡!$D$13*AI1068+打分卡!$D$14*AJ1068+打分卡!$D$15*AK1068)/5</f>
        <v>14.8</v>
      </c>
      <c r="AQ1068" s="44">
        <f>(打分卡!$D$16*AL1068+打分卡!$D$17*AM1068)/5</f>
        <v>6.8</v>
      </c>
      <c r="AR1068" s="47">
        <f t="shared" si="130"/>
        <v>47.3333333333333</v>
      </c>
      <c r="AS1068" s="43" t="str">
        <f t="shared" si="131"/>
        <v>腰部</v>
      </c>
      <c r="AT1068" s="43" t="str">
        <f t="shared" si="132"/>
        <v/>
      </c>
      <c r="AU1068" s="43" t="str">
        <f t="shared" si="133"/>
        <v>拉·主攻：主推AI外呼+大促作战包</v>
      </c>
    </row>
    <row r="1069" ht="15" customHeight="1" spans="1:47">
      <c r="A1069" s="20" t="s">
        <v>2911</v>
      </c>
      <c r="B1069" s="22" t="s">
        <v>2912</v>
      </c>
      <c r="C1069" s="22" t="s">
        <v>179</v>
      </c>
      <c r="D1069" s="22" t="s">
        <v>202</v>
      </c>
      <c r="E1069" s="22" t="s">
        <v>181</v>
      </c>
      <c r="F1069" s="20" t="s">
        <v>2913</v>
      </c>
      <c r="G1069" s="22">
        <v>2</v>
      </c>
      <c r="H1069" s="22" t="s">
        <v>642</v>
      </c>
      <c r="I1069" s="22" t="s">
        <v>302</v>
      </c>
      <c r="J1069" s="36">
        <v>2000</v>
      </c>
      <c r="K1069" s="36">
        <v>900</v>
      </c>
      <c r="L1069" s="36">
        <v>300</v>
      </c>
      <c r="M1069" s="36">
        <f t="shared" si="128"/>
        <v>3200</v>
      </c>
      <c r="N1069" s="34">
        <f t="shared" si="134"/>
        <v>1.67764475452912e-5</v>
      </c>
      <c r="O1069" s="35">
        <f>SUM($M$2:M1069)</f>
        <v>190300600</v>
      </c>
      <c r="P1069" s="34">
        <f t="shared" si="135"/>
        <v>0.997677510542949</v>
      </c>
      <c r="Q1069" s="39">
        <v>0.5</v>
      </c>
      <c r="R1069" s="22">
        <v>3</v>
      </c>
      <c r="S1069" s="22">
        <v>1</v>
      </c>
      <c r="T1069" s="22">
        <v>0</v>
      </c>
      <c r="U1069" s="39">
        <v>3.5</v>
      </c>
      <c r="V1069" s="22">
        <v>15</v>
      </c>
      <c r="W1069" s="22">
        <v>1</v>
      </c>
      <c r="X1069" s="40">
        <v>25</v>
      </c>
      <c r="Y1069" s="22">
        <v>0</v>
      </c>
      <c r="Z1069" s="22">
        <v>0</v>
      </c>
      <c r="AA1069" s="22" t="s">
        <v>199</v>
      </c>
      <c r="AB1069" s="22" t="s">
        <v>220</v>
      </c>
      <c r="AC1069" s="42">
        <f>IFERROR(LOOKUP(M1069,打分卡!$F$7:$J$7,打分卡!$K$7:$O$7),1)</f>
        <v>1</v>
      </c>
      <c r="AD1069" s="42">
        <f>IFERROR(LOOKUP(S1069,打分卡!$F$8:$J$8,打分卡!$K$8:$O$8),1)</f>
        <v>1</v>
      </c>
      <c r="AE1069" s="42">
        <f>IFERROR(LOOKUP(T1069,打分卡!$F$9:$I$9,打分卡!$K$9:$N$9),1)</f>
        <v>1</v>
      </c>
      <c r="AF1069" s="42">
        <f>IFERROR(LOOKUP(Q1069,打分卡!$F$10:$J$10,打分卡!$K$10:$O$10),1)</f>
        <v>1</v>
      </c>
      <c r="AG1069" s="42">
        <f>IFERROR(LOOKUP(R1069,打分卡!$F$11:$J$11,打分卡!$K$11:$O$11),1)</f>
        <v>2</v>
      </c>
      <c r="AH1069" s="42">
        <f>IFERROR(LOOKUP(U1069,打分卡!$F$12:$J$12,打分卡!$K$12:$O$12),1)</f>
        <v>2</v>
      </c>
      <c r="AI1069" s="42">
        <f>IFERROR(LOOKUP(X1069,打分卡!$F$13:$J$13,打分卡!$K$13:$O$13),1)</f>
        <v>2</v>
      </c>
      <c r="AJ1069" s="42">
        <f>IFERROR(LOOKUP(Y1069,打分卡!$F$14:$J$14,打分卡!$K$14:$O$14),1)</f>
        <v>1</v>
      </c>
      <c r="AK1069" s="42">
        <f>IFERROR(LOOKUP(W1069,打分卡!$F$15:$J$15,打分卡!$K$15:$O$15),1)</f>
        <v>2</v>
      </c>
      <c r="AL1069" s="45">
        <f t="shared" si="129"/>
        <v>5</v>
      </c>
      <c r="AM1069" s="42">
        <f>IFERROR(LOOKUP(Z1069,打分卡!$F$17:$H$17,打分卡!$K$17:$M$17),1)</f>
        <v>1</v>
      </c>
      <c r="AN1069" s="46">
        <f>(打分卡!$D$7*AC1069+打分卡!$D$8*AD1069+打分卡!$D$9*AE1069)/5</f>
        <v>8</v>
      </c>
      <c r="AO1069" s="46">
        <f>(打分卡!$D$10*AF1069+打分卡!$D$11*AG1069)/5</f>
        <v>6</v>
      </c>
      <c r="AP1069" s="46">
        <f>(打分卡!$D$12*AH1069+打分卡!$D$13*AI1069+打分卡!$D$14*AJ1069+打分卡!$D$15*AK1069)/5</f>
        <v>10.8</v>
      </c>
      <c r="AQ1069" s="46">
        <f>(打分卡!$D$16*AL1069+打分卡!$D$17*AM1069)/5</f>
        <v>6.8</v>
      </c>
      <c r="AR1069" s="48">
        <f t="shared" si="130"/>
        <v>38</v>
      </c>
      <c r="AS1069" s="45" t="str">
        <f t="shared" si="131"/>
        <v>基础长尾</v>
      </c>
      <c r="AT1069" s="45" t="str">
        <f t="shared" si="132"/>
        <v/>
      </c>
      <c r="AU1069" s="45" t="str">
        <f t="shared" si="133"/>
        <v>激活：企微+Push低成本先跑</v>
      </c>
    </row>
    <row r="1070" ht="15" customHeight="1" spans="1:47">
      <c r="A1070" s="30" t="s">
        <v>2914</v>
      </c>
      <c r="B1070" s="31" t="s">
        <v>2915</v>
      </c>
      <c r="C1070" s="31" t="s">
        <v>189</v>
      </c>
      <c r="D1070" s="31" t="s">
        <v>227</v>
      </c>
      <c r="E1070" s="31" t="s">
        <v>181</v>
      </c>
      <c r="F1070" s="30" t="s">
        <v>2785</v>
      </c>
      <c r="G1070" s="31">
        <v>1</v>
      </c>
      <c r="H1070" s="31" t="s">
        <v>642</v>
      </c>
      <c r="I1070" s="31" t="s">
        <v>302</v>
      </c>
      <c r="J1070" s="33">
        <v>1800</v>
      </c>
      <c r="K1070" s="33">
        <v>1100</v>
      </c>
      <c r="L1070" s="33">
        <v>400</v>
      </c>
      <c r="M1070" s="33">
        <f t="shared" si="128"/>
        <v>3300</v>
      </c>
      <c r="N1070" s="34">
        <f t="shared" si="134"/>
        <v>1.73007115310815e-5</v>
      </c>
      <c r="O1070" s="35">
        <f>SUM($M$2:M1070)</f>
        <v>190303900</v>
      </c>
      <c r="P1070" s="34">
        <f t="shared" si="135"/>
        <v>0.99769481125448</v>
      </c>
      <c r="Q1070" s="37">
        <v>0.2</v>
      </c>
      <c r="R1070" s="31">
        <v>2</v>
      </c>
      <c r="S1070" s="31">
        <v>1</v>
      </c>
      <c r="T1070" s="31">
        <v>0</v>
      </c>
      <c r="U1070" s="37">
        <v>33.8</v>
      </c>
      <c r="V1070" s="31">
        <v>6</v>
      </c>
      <c r="W1070" s="31">
        <v>2</v>
      </c>
      <c r="X1070" s="38">
        <v>57</v>
      </c>
      <c r="Y1070" s="31">
        <v>0</v>
      </c>
      <c r="Z1070" s="31">
        <v>0</v>
      </c>
      <c r="AA1070" s="31" t="s">
        <v>199</v>
      </c>
      <c r="AB1070" s="31" t="s">
        <v>220</v>
      </c>
      <c r="AC1070" s="41">
        <f>IFERROR(LOOKUP(M1070,打分卡!$F$7:$J$7,打分卡!$K$7:$O$7),1)</f>
        <v>1</v>
      </c>
      <c r="AD1070" s="41">
        <f>IFERROR(LOOKUP(S1070,打分卡!$F$8:$J$8,打分卡!$K$8:$O$8),1)</f>
        <v>1</v>
      </c>
      <c r="AE1070" s="41">
        <f>IFERROR(LOOKUP(T1070,打分卡!$F$9:$I$9,打分卡!$K$9:$N$9),1)</f>
        <v>1</v>
      </c>
      <c r="AF1070" s="41">
        <f>IFERROR(LOOKUP(Q1070,打分卡!$F$10:$J$10,打分卡!$K$10:$O$10),1)</f>
        <v>1</v>
      </c>
      <c r="AG1070" s="41">
        <f>IFERROR(LOOKUP(R1070,打分卡!$F$11:$J$11,打分卡!$K$11:$O$11),1)</f>
        <v>1</v>
      </c>
      <c r="AH1070" s="41">
        <f>IFERROR(LOOKUP(U1070,打分卡!$F$12:$J$12,打分卡!$K$12:$O$12),1)</f>
        <v>4</v>
      </c>
      <c r="AI1070" s="41">
        <f>IFERROR(LOOKUP(X1070,打分卡!$F$13:$J$13,打分卡!$K$13:$O$13),1)</f>
        <v>3</v>
      </c>
      <c r="AJ1070" s="41">
        <f>IFERROR(LOOKUP(Y1070,打分卡!$F$14:$J$14,打分卡!$K$14:$O$14),1)</f>
        <v>1</v>
      </c>
      <c r="AK1070" s="41">
        <f>IFERROR(LOOKUP(W1070,打分卡!$F$15:$J$15,打分卡!$K$15:$O$15),1)</f>
        <v>2</v>
      </c>
      <c r="AL1070" s="43">
        <f t="shared" si="129"/>
        <v>5</v>
      </c>
      <c r="AM1070" s="41">
        <f>IFERROR(LOOKUP(Z1070,打分卡!$F$17:$H$17,打分卡!$K$17:$M$17),1)</f>
        <v>1</v>
      </c>
      <c r="AN1070" s="44">
        <f>(打分卡!$D$7*AC1070+打分卡!$D$8*AD1070+打分卡!$D$9*AE1070)/5</f>
        <v>8</v>
      </c>
      <c r="AO1070" s="44">
        <f>(打分卡!$D$10*AF1070+打分卡!$D$11*AG1070)/5</f>
        <v>4</v>
      </c>
      <c r="AP1070" s="44">
        <f>(打分卡!$D$12*AH1070+打分卡!$D$13*AI1070+打分卡!$D$14*AJ1070+打分卡!$D$15*AK1070)/5</f>
        <v>17.2</v>
      </c>
      <c r="AQ1070" s="44">
        <f>(打分卡!$D$16*AL1070+打分卡!$D$17*AM1070)/5</f>
        <v>6.8</v>
      </c>
      <c r="AR1070" s="47">
        <f t="shared" si="130"/>
        <v>50.9333333333333</v>
      </c>
      <c r="AS1070" s="43" t="str">
        <f t="shared" si="131"/>
        <v>腰部</v>
      </c>
      <c r="AT1070" s="43" t="str">
        <f t="shared" si="132"/>
        <v/>
      </c>
      <c r="AU1070" s="43" t="str">
        <f t="shared" si="133"/>
        <v>拉·主攻：主推AI外呼+大促作战包</v>
      </c>
    </row>
    <row r="1071" ht="15" customHeight="1" spans="1:47">
      <c r="A1071" s="20" t="s">
        <v>2916</v>
      </c>
      <c r="B1071" s="22" t="s">
        <v>2917</v>
      </c>
      <c r="C1071" s="22" t="s">
        <v>189</v>
      </c>
      <c r="D1071" s="22" t="s">
        <v>227</v>
      </c>
      <c r="E1071" s="22" t="s">
        <v>181</v>
      </c>
      <c r="F1071" s="20" t="s">
        <v>2918</v>
      </c>
      <c r="G1071" s="22">
        <v>2</v>
      </c>
      <c r="H1071" s="22" t="s">
        <v>642</v>
      </c>
      <c r="I1071" s="22" t="s">
        <v>302</v>
      </c>
      <c r="J1071" s="36">
        <v>2000</v>
      </c>
      <c r="K1071" s="36">
        <v>1000</v>
      </c>
      <c r="L1071" s="36">
        <v>200</v>
      </c>
      <c r="M1071" s="36">
        <f t="shared" si="128"/>
        <v>3200</v>
      </c>
      <c r="N1071" s="34">
        <f t="shared" si="134"/>
        <v>1.67764475452912e-5</v>
      </c>
      <c r="O1071" s="35">
        <f>SUM($M$2:M1071)</f>
        <v>190307100</v>
      </c>
      <c r="P1071" s="34">
        <f t="shared" si="135"/>
        <v>0.997711587702025</v>
      </c>
      <c r="Q1071" s="39">
        <v>0.2</v>
      </c>
      <c r="R1071" s="22">
        <v>1</v>
      </c>
      <c r="S1071" s="22">
        <v>0</v>
      </c>
      <c r="T1071" s="22">
        <v>0</v>
      </c>
      <c r="U1071" s="39">
        <v>36.7</v>
      </c>
      <c r="V1071" s="22">
        <v>13</v>
      </c>
      <c r="W1071" s="22">
        <v>2</v>
      </c>
      <c r="X1071" s="40">
        <v>14</v>
      </c>
      <c r="Y1071" s="22">
        <v>0</v>
      </c>
      <c r="Z1071" s="22">
        <v>0</v>
      </c>
      <c r="AA1071" s="22" t="s">
        <v>199</v>
      </c>
      <c r="AB1071" s="22" t="s">
        <v>220</v>
      </c>
      <c r="AC1071" s="42">
        <f>IFERROR(LOOKUP(M1071,打分卡!$F$7:$J$7,打分卡!$K$7:$O$7),1)</f>
        <v>1</v>
      </c>
      <c r="AD1071" s="42">
        <f>IFERROR(LOOKUP(S1071,打分卡!$F$8:$J$8,打分卡!$K$8:$O$8),1)</f>
        <v>1</v>
      </c>
      <c r="AE1071" s="42">
        <f>IFERROR(LOOKUP(T1071,打分卡!$F$9:$I$9,打分卡!$K$9:$N$9),1)</f>
        <v>1</v>
      </c>
      <c r="AF1071" s="42">
        <f>IFERROR(LOOKUP(Q1071,打分卡!$F$10:$J$10,打分卡!$K$10:$O$10),1)</f>
        <v>1</v>
      </c>
      <c r="AG1071" s="42">
        <f>IFERROR(LOOKUP(R1071,打分卡!$F$11:$J$11,打分卡!$K$11:$O$11),1)</f>
        <v>1</v>
      </c>
      <c r="AH1071" s="42">
        <f>IFERROR(LOOKUP(U1071,打分卡!$F$12:$J$12,打分卡!$K$12:$O$12),1)</f>
        <v>4</v>
      </c>
      <c r="AI1071" s="42">
        <f>IFERROR(LOOKUP(X1071,打分卡!$F$13:$J$13,打分卡!$K$13:$O$13),1)</f>
        <v>1</v>
      </c>
      <c r="AJ1071" s="42">
        <f>IFERROR(LOOKUP(Y1071,打分卡!$F$14:$J$14,打分卡!$K$14:$O$14),1)</f>
        <v>1</v>
      </c>
      <c r="AK1071" s="42">
        <f>IFERROR(LOOKUP(W1071,打分卡!$F$15:$J$15,打分卡!$K$15:$O$15),1)</f>
        <v>2</v>
      </c>
      <c r="AL1071" s="45">
        <f t="shared" si="129"/>
        <v>5</v>
      </c>
      <c r="AM1071" s="42">
        <f>IFERROR(LOOKUP(Z1071,打分卡!$F$17:$H$17,打分卡!$K$17:$M$17),1)</f>
        <v>1</v>
      </c>
      <c r="AN1071" s="46">
        <f>(打分卡!$D$7*AC1071+打分卡!$D$8*AD1071+打分卡!$D$9*AE1071)/5</f>
        <v>8</v>
      </c>
      <c r="AO1071" s="46">
        <f>(打分卡!$D$10*AF1071+打分卡!$D$11*AG1071)/5</f>
        <v>4</v>
      </c>
      <c r="AP1071" s="46">
        <f>(打分卡!$D$12*AH1071+打分卡!$D$13*AI1071+打分卡!$D$14*AJ1071+打分卡!$D$15*AK1071)/5</f>
        <v>14</v>
      </c>
      <c r="AQ1071" s="46">
        <f>(打分卡!$D$16*AL1071+打分卡!$D$17*AM1071)/5</f>
        <v>6.8</v>
      </c>
      <c r="AR1071" s="48">
        <f t="shared" si="130"/>
        <v>43.4666666666667</v>
      </c>
      <c r="AS1071" s="45" t="str">
        <f t="shared" si="131"/>
        <v>腰部</v>
      </c>
      <c r="AT1071" s="45" t="str">
        <f t="shared" si="132"/>
        <v/>
      </c>
      <c r="AU1071" s="45" t="str">
        <f t="shared" si="133"/>
        <v>拉·主攻：主推AI外呼+大促作战包</v>
      </c>
    </row>
    <row r="1072" ht="15" customHeight="1" spans="1:47">
      <c r="A1072" s="30" t="s">
        <v>2919</v>
      </c>
      <c r="B1072" s="31" t="s">
        <v>2920</v>
      </c>
      <c r="C1072" s="31" t="s">
        <v>218</v>
      </c>
      <c r="D1072" s="31" t="s">
        <v>235</v>
      </c>
      <c r="E1072" s="31" t="s">
        <v>181</v>
      </c>
      <c r="F1072" s="30" t="s">
        <v>1557</v>
      </c>
      <c r="G1072" s="31">
        <v>3</v>
      </c>
      <c r="H1072" s="31" t="s">
        <v>642</v>
      </c>
      <c r="I1072" s="31" t="s">
        <v>302</v>
      </c>
      <c r="J1072" s="33">
        <v>1900</v>
      </c>
      <c r="K1072" s="33">
        <v>700</v>
      </c>
      <c r="L1072" s="33">
        <v>600</v>
      </c>
      <c r="M1072" s="33">
        <f t="shared" si="128"/>
        <v>3200</v>
      </c>
      <c r="N1072" s="34">
        <f t="shared" si="134"/>
        <v>1.67764475452912e-5</v>
      </c>
      <c r="O1072" s="35">
        <f>SUM($M$2:M1072)</f>
        <v>190310300</v>
      </c>
      <c r="P1072" s="34">
        <f t="shared" si="135"/>
        <v>0.99772836414957</v>
      </c>
      <c r="Q1072" s="37">
        <v>0.4</v>
      </c>
      <c r="R1072" s="31">
        <v>3</v>
      </c>
      <c r="S1072" s="31">
        <v>0</v>
      </c>
      <c r="T1072" s="31">
        <v>0</v>
      </c>
      <c r="U1072" s="37">
        <v>1</v>
      </c>
      <c r="V1072" s="31">
        <v>7</v>
      </c>
      <c r="W1072" s="31">
        <v>0</v>
      </c>
      <c r="X1072" s="38">
        <v>53</v>
      </c>
      <c r="Y1072" s="31">
        <v>1</v>
      </c>
      <c r="Z1072" s="31">
        <v>0</v>
      </c>
      <c r="AA1072" s="31" t="s">
        <v>199</v>
      </c>
      <c r="AB1072" s="31" t="s">
        <v>220</v>
      </c>
      <c r="AC1072" s="41">
        <f>IFERROR(LOOKUP(M1072,打分卡!$F$7:$J$7,打分卡!$K$7:$O$7),1)</f>
        <v>1</v>
      </c>
      <c r="AD1072" s="41">
        <f>IFERROR(LOOKUP(S1072,打分卡!$F$8:$J$8,打分卡!$K$8:$O$8),1)</f>
        <v>1</v>
      </c>
      <c r="AE1072" s="41">
        <f>IFERROR(LOOKUP(T1072,打分卡!$F$9:$I$9,打分卡!$K$9:$N$9),1)</f>
        <v>1</v>
      </c>
      <c r="AF1072" s="41">
        <f>IFERROR(LOOKUP(Q1072,打分卡!$F$10:$J$10,打分卡!$K$10:$O$10),1)</f>
        <v>1</v>
      </c>
      <c r="AG1072" s="41">
        <f>IFERROR(LOOKUP(R1072,打分卡!$F$11:$J$11,打分卡!$K$11:$O$11),1)</f>
        <v>2</v>
      </c>
      <c r="AH1072" s="41">
        <f>IFERROR(LOOKUP(U1072,打分卡!$F$12:$J$12,打分卡!$K$12:$O$12),1)</f>
        <v>1</v>
      </c>
      <c r="AI1072" s="41">
        <f>IFERROR(LOOKUP(X1072,打分卡!$F$13:$J$13,打分卡!$K$13:$O$13),1)</f>
        <v>3</v>
      </c>
      <c r="AJ1072" s="41">
        <f>IFERROR(LOOKUP(Y1072,打分卡!$F$14:$J$14,打分卡!$K$14:$O$14),1)</f>
        <v>2</v>
      </c>
      <c r="AK1072" s="41">
        <f>IFERROR(LOOKUP(W1072,打分卡!$F$15:$J$15,打分卡!$K$15:$O$15),1)</f>
        <v>1</v>
      </c>
      <c r="AL1072" s="43">
        <f t="shared" si="129"/>
        <v>5</v>
      </c>
      <c r="AM1072" s="41">
        <f>IFERROR(LOOKUP(Z1072,打分卡!$F$17:$H$17,打分卡!$K$17:$M$17),1)</f>
        <v>1</v>
      </c>
      <c r="AN1072" s="44">
        <f>(打分卡!$D$7*AC1072+打分卡!$D$8*AD1072+打分卡!$D$9*AE1072)/5</f>
        <v>8</v>
      </c>
      <c r="AO1072" s="44">
        <f>(打分卡!$D$10*AF1072+打分卡!$D$11*AG1072)/5</f>
        <v>6</v>
      </c>
      <c r="AP1072" s="44">
        <f>(打分卡!$D$12*AH1072+打分卡!$D$13*AI1072+打分卡!$D$14*AJ1072+打分卡!$D$15*AK1072)/5</f>
        <v>10.4</v>
      </c>
      <c r="AQ1072" s="44">
        <f>(打分卡!$D$16*AL1072+打分卡!$D$17*AM1072)/5</f>
        <v>6.8</v>
      </c>
      <c r="AR1072" s="47">
        <f t="shared" si="130"/>
        <v>31.2</v>
      </c>
      <c r="AS1072" s="43" t="str">
        <f t="shared" si="131"/>
        <v>基础长尾</v>
      </c>
      <c r="AT1072" s="43" t="str">
        <f t="shared" si="132"/>
        <v/>
      </c>
      <c r="AU1072" s="43" t="str">
        <f t="shared" si="133"/>
        <v>激活：企微+Push低成本先跑</v>
      </c>
    </row>
    <row r="1073" ht="15" customHeight="1" spans="1:47">
      <c r="A1073" s="20" t="s">
        <v>2921</v>
      </c>
      <c r="B1073" s="22" t="s">
        <v>2922</v>
      </c>
      <c r="C1073" s="22" t="s">
        <v>218</v>
      </c>
      <c r="D1073" s="22" t="s">
        <v>190</v>
      </c>
      <c r="E1073" s="22" t="s">
        <v>197</v>
      </c>
      <c r="F1073" s="20" t="s">
        <v>931</v>
      </c>
      <c r="G1073" s="22">
        <v>3</v>
      </c>
      <c r="H1073" s="22" t="s">
        <v>642</v>
      </c>
      <c r="I1073" s="22" t="s">
        <v>302</v>
      </c>
      <c r="J1073" s="36">
        <v>1900</v>
      </c>
      <c r="K1073" s="36">
        <v>1000</v>
      </c>
      <c r="L1073" s="36">
        <v>200</v>
      </c>
      <c r="M1073" s="36">
        <f t="shared" si="128"/>
        <v>3100</v>
      </c>
      <c r="N1073" s="34">
        <f t="shared" si="134"/>
        <v>1.62521835595008e-5</v>
      </c>
      <c r="O1073" s="35">
        <f>SUM($M$2:M1073)</f>
        <v>190313400</v>
      </c>
      <c r="P1073" s="34">
        <f t="shared" si="135"/>
        <v>0.99774461633313</v>
      </c>
      <c r="Q1073" s="39">
        <v>0.2</v>
      </c>
      <c r="R1073" s="22">
        <v>2</v>
      </c>
      <c r="S1073" s="22">
        <v>0</v>
      </c>
      <c r="T1073" s="22">
        <v>0</v>
      </c>
      <c r="U1073" s="39">
        <v>12.2</v>
      </c>
      <c r="V1073" s="22">
        <v>7</v>
      </c>
      <c r="W1073" s="22">
        <v>0</v>
      </c>
      <c r="X1073" s="40">
        <v>42</v>
      </c>
      <c r="Y1073" s="22">
        <v>0</v>
      </c>
      <c r="Z1073" s="22">
        <v>0</v>
      </c>
      <c r="AA1073" s="22" t="s">
        <v>199</v>
      </c>
      <c r="AB1073" s="22" t="s">
        <v>220</v>
      </c>
      <c r="AC1073" s="42">
        <f>IFERROR(LOOKUP(M1073,打分卡!$F$7:$J$7,打分卡!$K$7:$O$7),1)</f>
        <v>1</v>
      </c>
      <c r="AD1073" s="42">
        <f>IFERROR(LOOKUP(S1073,打分卡!$F$8:$J$8,打分卡!$K$8:$O$8),1)</f>
        <v>1</v>
      </c>
      <c r="AE1073" s="42">
        <f>IFERROR(LOOKUP(T1073,打分卡!$F$9:$I$9,打分卡!$K$9:$N$9),1)</f>
        <v>1</v>
      </c>
      <c r="AF1073" s="42">
        <f>IFERROR(LOOKUP(Q1073,打分卡!$F$10:$J$10,打分卡!$K$10:$O$10),1)</f>
        <v>1</v>
      </c>
      <c r="AG1073" s="42">
        <f>IFERROR(LOOKUP(R1073,打分卡!$F$11:$J$11,打分卡!$K$11:$O$11),1)</f>
        <v>1</v>
      </c>
      <c r="AH1073" s="42">
        <f>IFERROR(LOOKUP(U1073,打分卡!$F$12:$J$12,打分卡!$K$12:$O$12),1)</f>
        <v>3</v>
      </c>
      <c r="AI1073" s="42">
        <f>IFERROR(LOOKUP(X1073,打分卡!$F$13:$J$13,打分卡!$K$13:$O$13),1)</f>
        <v>3</v>
      </c>
      <c r="AJ1073" s="42">
        <f>IFERROR(LOOKUP(Y1073,打分卡!$F$14:$J$14,打分卡!$K$14:$O$14),1)</f>
        <v>1</v>
      </c>
      <c r="AK1073" s="42">
        <f>IFERROR(LOOKUP(W1073,打分卡!$F$15:$J$15,打分卡!$K$15:$O$15),1)</f>
        <v>1</v>
      </c>
      <c r="AL1073" s="45">
        <f t="shared" si="129"/>
        <v>5</v>
      </c>
      <c r="AM1073" s="42">
        <f>IFERROR(LOOKUP(Z1073,打分卡!$F$17:$H$17,打分卡!$K$17:$M$17),1)</f>
        <v>1</v>
      </c>
      <c r="AN1073" s="46">
        <f>(打分卡!$D$7*AC1073+打分卡!$D$8*AD1073+打分卡!$D$9*AE1073)/5</f>
        <v>8</v>
      </c>
      <c r="AO1073" s="46">
        <f>(打分卡!$D$10*AF1073+打分卡!$D$11*AG1073)/5</f>
        <v>4</v>
      </c>
      <c r="AP1073" s="46">
        <f>(打分卡!$D$12*AH1073+打分卡!$D$13*AI1073+打分卡!$D$14*AJ1073+打分卡!$D$15*AK1073)/5</f>
        <v>14</v>
      </c>
      <c r="AQ1073" s="46">
        <f>(打分卡!$D$16*AL1073+打分卡!$D$17*AM1073)/5</f>
        <v>6.8</v>
      </c>
      <c r="AR1073" s="48">
        <f t="shared" si="130"/>
        <v>32.8</v>
      </c>
      <c r="AS1073" s="45" t="str">
        <f t="shared" si="131"/>
        <v>基础长尾</v>
      </c>
      <c r="AT1073" s="45" t="str">
        <f t="shared" si="132"/>
        <v/>
      </c>
      <c r="AU1073" s="45" t="str">
        <f t="shared" si="133"/>
        <v>激活：企微+Push低成本先跑</v>
      </c>
    </row>
    <row r="1074" ht="15" customHeight="1" spans="1:47">
      <c r="A1074" s="30" t="s">
        <v>2923</v>
      </c>
      <c r="B1074" s="31" t="s">
        <v>2924</v>
      </c>
      <c r="C1074" s="31" t="s">
        <v>239</v>
      </c>
      <c r="D1074" s="31" t="s">
        <v>202</v>
      </c>
      <c r="E1074" s="31" t="s">
        <v>181</v>
      </c>
      <c r="F1074" s="30" t="s">
        <v>2925</v>
      </c>
      <c r="G1074" s="31">
        <v>2</v>
      </c>
      <c r="H1074" s="31" t="s">
        <v>642</v>
      </c>
      <c r="I1074" s="31" t="s">
        <v>302</v>
      </c>
      <c r="J1074" s="33">
        <v>1800</v>
      </c>
      <c r="K1074" s="33">
        <v>900</v>
      </c>
      <c r="L1074" s="33">
        <v>500</v>
      </c>
      <c r="M1074" s="33">
        <f t="shared" si="128"/>
        <v>3200</v>
      </c>
      <c r="N1074" s="34">
        <f t="shared" si="134"/>
        <v>1.67764475452912e-5</v>
      </c>
      <c r="O1074" s="35">
        <f>SUM($M$2:M1074)</f>
        <v>190316600</v>
      </c>
      <c r="P1074" s="34">
        <f t="shared" si="135"/>
        <v>0.997761392780675</v>
      </c>
      <c r="Q1074" s="37">
        <v>0.3</v>
      </c>
      <c r="R1074" s="31">
        <v>2</v>
      </c>
      <c r="S1074" s="31">
        <v>0</v>
      </c>
      <c r="T1074" s="31">
        <v>0</v>
      </c>
      <c r="U1074" s="37">
        <v>6.4</v>
      </c>
      <c r="V1074" s="31">
        <v>7</v>
      </c>
      <c r="W1074" s="31">
        <v>2</v>
      </c>
      <c r="X1074" s="38">
        <v>15</v>
      </c>
      <c r="Y1074" s="31">
        <v>1</v>
      </c>
      <c r="Z1074" s="31">
        <v>0</v>
      </c>
      <c r="AA1074" s="31" t="s">
        <v>199</v>
      </c>
      <c r="AB1074" s="31" t="s">
        <v>220</v>
      </c>
      <c r="AC1074" s="41">
        <f>IFERROR(LOOKUP(M1074,打分卡!$F$7:$J$7,打分卡!$K$7:$O$7),1)</f>
        <v>1</v>
      </c>
      <c r="AD1074" s="41">
        <f>IFERROR(LOOKUP(S1074,打分卡!$F$8:$J$8,打分卡!$K$8:$O$8),1)</f>
        <v>1</v>
      </c>
      <c r="AE1074" s="41">
        <f>IFERROR(LOOKUP(T1074,打分卡!$F$9:$I$9,打分卡!$K$9:$N$9),1)</f>
        <v>1</v>
      </c>
      <c r="AF1074" s="41">
        <f>IFERROR(LOOKUP(Q1074,打分卡!$F$10:$J$10,打分卡!$K$10:$O$10),1)</f>
        <v>1</v>
      </c>
      <c r="AG1074" s="41">
        <f>IFERROR(LOOKUP(R1074,打分卡!$F$11:$J$11,打分卡!$K$11:$O$11),1)</f>
        <v>1</v>
      </c>
      <c r="AH1074" s="41">
        <f>IFERROR(LOOKUP(U1074,打分卡!$F$12:$J$12,打分卡!$K$12:$O$12),1)</f>
        <v>2</v>
      </c>
      <c r="AI1074" s="41">
        <f>IFERROR(LOOKUP(X1074,打分卡!$F$13:$J$13,打分卡!$K$13:$O$13),1)</f>
        <v>1</v>
      </c>
      <c r="AJ1074" s="41">
        <f>IFERROR(LOOKUP(Y1074,打分卡!$F$14:$J$14,打分卡!$K$14:$O$14),1)</f>
        <v>2</v>
      </c>
      <c r="AK1074" s="41">
        <f>IFERROR(LOOKUP(W1074,打分卡!$F$15:$J$15,打分卡!$K$15:$O$15),1)</f>
        <v>2</v>
      </c>
      <c r="AL1074" s="43">
        <f t="shared" si="129"/>
        <v>5</v>
      </c>
      <c r="AM1074" s="41">
        <f>IFERROR(LOOKUP(Z1074,打分卡!$F$17:$H$17,打分卡!$K$17:$M$17),1)</f>
        <v>1</v>
      </c>
      <c r="AN1074" s="44">
        <f>(打分卡!$D$7*AC1074+打分卡!$D$8*AD1074+打分卡!$D$9*AE1074)/5</f>
        <v>8</v>
      </c>
      <c r="AO1074" s="44">
        <f>(打分卡!$D$10*AF1074+打分卡!$D$11*AG1074)/5</f>
        <v>4</v>
      </c>
      <c r="AP1074" s="44">
        <f>(打分卡!$D$12*AH1074+打分卡!$D$13*AI1074+打分卡!$D$14*AJ1074+打分卡!$D$15*AK1074)/5</f>
        <v>10.4</v>
      </c>
      <c r="AQ1074" s="44">
        <f>(打分卡!$D$16*AL1074+打分卡!$D$17*AM1074)/5</f>
        <v>6.8</v>
      </c>
      <c r="AR1074" s="47">
        <f t="shared" si="130"/>
        <v>35.0666666666667</v>
      </c>
      <c r="AS1074" s="43" t="str">
        <f t="shared" si="131"/>
        <v>基础长尾</v>
      </c>
      <c r="AT1074" s="43" t="str">
        <f t="shared" si="132"/>
        <v/>
      </c>
      <c r="AU1074" s="43" t="str">
        <f t="shared" si="133"/>
        <v>激活：企微+Push低成本先跑</v>
      </c>
    </row>
    <row r="1075" ht="15" customHeight="1" spans="1:47">
      <c r="A1075" s="20" t="s">
        <v>2926</v>
      </c>
      <c r="B1075" s="22" t="s">
        <v>2927</v>
      </c>
      <c r="C1075" s="22" t="s">
        <v>223</v>
      </c>
      <c r="D1075" s="22" t="s">
        <v>235</v>
      </c>
      <c r="E1075" s="22" t="s">
        <v>197</v>
      </c>
      <c r="F1075" s="20" t="s">
        <v>2888</v>
      </c>
      <c r="G1075" s="22">
        <v>1</v>
      </c>
      <c r="H1075" s="22" t="s">
        <v>642</v>
      </c>
      <c r="I1075" s="22" t="s">
        <v>302</v>
      </c>
      <c r="J1075" s="36">
        <v>1600</v>
      </c>
      <c r="K1075" s="36">
        <v>700</v>
      </c>
      <c r="L1075" s="36">
        <v>900</v>
      </c>
      <c r="M1075" s="36">
        <f t="shared" si="128"/>
        <v>3200</v>
      </c>
      <c r="N1075" s="34">
        <f t="shared" si="134"/>
        <v>1.67764475452912e-5</v>
      </c>
      <c r="O1075" s="35">
        <f>SUM($M$2:M1075)</f>
        <v>190319800</v>
      </c>
      <c r="P1075" s="34">
        <f t="shared" si="135"/>
        <v>0.99777816922822</v>
      </c>
      <c r="Q1075" s="39">
        <v>0.3</v>
      </c>
      <c r="R1075" s="22">
        <v>2</v>
      </c>
      <c r="S1075" s="22">
        <v>1</v>
      </c>
      <c r="T1075" s="22">
        <v>0</v>
      </c>
      <c r="U1075" s="39">
        <v>0.6</v>
      </c>
      <c r="V1075" s="22">
        <v>3</v>
      </c>
      <c r="W1075" s="22">
        <v>2</v>
      </c>
      <c r="X1075" s="40">
        <v>13</v>
      </c>
      <c r="Y1075" s="22">
        <v>1</v>
      </c>
      <c r="Z1075" s="22">
        <v>0</v>
      </c>
      <c r="AA1075" s="22" t="s">
        <v>199</v>
      </c>
      <c r="AB1075" s="22" t="s">
        <v>220</v>
      </c>
      <c r="AC1075" s="42">
        <f>IFERROR(LOOKUP(M1075,打分卡!$F$7:$J$7,打分卡!$K$7:$O$7),1)</f>
        <v>1</v>
      </c>
      <c r="AD1075" s="42">
        <f>IFERROR(LOOKUP(S1075,打分卡!$F$8:$J$8,打分卡!$K$8:$O$8),1)</f>
        <v>1</v>
      </c>
      <c r="AE1075" s="42">
        <f>IFERROR(LOOKUP(T1075,打分卡!$F$9:$I$9,打分卡!$K$9:$N$9),1)</f>
        <v>1</v>
      </c>
      <c r="AF1075" s="42">
        <f>IFERROR(LOOKUP(Q1075,打分卡!$F$10:$J$10,打分卡!$K$10:$O$10),1)</f>
        <v>1</v>
      </c>
      <c r="AG1075" s="42">
        <f>IFERROR(LOOKUP(R1075,打分卡!$F$11:$J$11,打分卡!$K$11:$O$11),1)</f>
        <v>1</v>
      </c>
      <c r="AH1075" s="42">
        <f>IFERROR(LOOKUP(U1075,打分卡!$F$12:$J$12,打分卡!$K$12:$O$12),1)</f>
        <v>1</v>
      </c>
      <c r="AI1075" s="42">
        <f>IFERROR(LOOKUP(X1075,打分卡!$F$13:$J$13,打分卡!$K$13:$O$13),1)</f>
        <v>1</v>
      </c>
      <c r="AJ1075" s="42">
        <f>IFERROR(LOOKUP(Y1075,打分卡!$F$14:$J$14,打分卡!$K$14:$O$14),1)</f>
        <v>2</v>
      </c>
      <c r="AK1075" s="42">
        <f>IFERROR(LOOKUP(W1075,打分卡!$F$15:$J$15,打分卡!$K$15:$O$15),1)</f>
        <v>2</v>
      </c>
      <c r="AL1075" s="45">
        <f t="shared" si="129"/>
        <v>5</v>
      </c>
      <c r="AM1075" s="42">
        <f>IFERROR(LOOKUP(Z1075,打分卡!$F$17:$H$17,打分卡!$K$17:$M$17),1)</f>
        <v>1</v>
      </c>
      <c r="AN1075" s="46">
        <f>(打分卡!$D$7*AC1075+打分卡!$D$8*AD1075+打分卡!$D$9*AE1075)/5</f>
        <v>8</v>
      </c>
      <c r="AO1075" s="46">
        <f>(打分卡!$D$10*AF1075+打分卡!$D$11*AG1075)/5</f>
        <v>4</v>
      </c>
      <c r="AP1075" s="46">
        <f>(打分卡!$D$12*AH1075+打分卡!$D$13*AI1075+打分卡!$D$14*AJ1075+打分卡!$D$15*AK1075)/5</f>
        <v>8</v>
      </c>
      <c r="AQ1075" s="46">
        <f>(打分卡!$D$16*AL1075+打分卡!$D$17*AM1075)/5</f>
        <v>6.8</v>
      </c>
      <c r="AR1075" s="48">
        <f t="shared" si="130"/>
        <v>29.4666666666667</v>
      </c>
      <c r="AS1075" s="45" t="str">
        <f t="shared" si="131"/>
        <v>基础长尾</v>
      </c>
      <c r="AT1075" s="45" t="str">
        <f t="shared" si="132"/>
        <v/>
      </c>
      <c r="AU1075" s="45" t="str">
        <f t="shared" si="133"/>
        <v>激活：企微+Push低成本先跑</v>
      </c>
    </row>
    <row r="1076" ht="15" customHeight="1" spans="1:47">
      <c r="A1076" s="30" t="s">
        <v>2928</v>
      </c>
      <c r="B1076" s="31" t="s">
        <v>2929</v>
      </c>
      <c r="C1076" s="31" t="s">
        <v>189</v>
      </c>
      <c r="D1076" s="31" t="s">
        <v>190</v>
      </c>
      <c r="E1076" s="31" t="s">
        <v>197</v>
      </c>
      <c r="F1076" s="30" t="s">
        <v>2852</v>
      </c>
      <c r="G1076" s="31">
        <v>3</v>
      </c>
      <c r="H1076" s="31" t="s">
        <v>642</v>
      </c>
      <c r="I1076" s="31" t="s">
        <v>302</v>
      </c>
      <c r="J1076" s="33">
        <v>1600</v>
      </c>
      <c r="K1076" s="33">
        <v>1000</v>
      </c>
      <c r="L1076" s="33">
        <v>600</v>
      </c>
      <c r="M1076" s="33">
        <f t="shared" si="128"/>
        <v>3200</v>
      </c>
      <c r="N1076" s="34">
        <f t="shared" si="134"/>
        <v>1.67764475452912e-5</v>
      </c>
      <c r="O1076" s="35">
        <f>SUM($M$2:M1076)</f>
        <v>190323000</v>
      </c>
      <c r="P1076" s="34">
        <f t="shared" si="135"/>
        <v>0.997794945675766</v>
      </c>
      <c r="Q1076" s="37">
        <v>0.3</v>
      </c>
      <c r="R1076" s="31">
        <v>2</v>
      </c>
      <c r="S1076" s="31">
        <v>0</v>
      </c>
      <c r="T1076" s="31">
        <v>0</v>
      </c>
      <c r="U1076" s="37">
        <v>3.5</v>
      </c>
      <c r="V1076" s="31">
        <v>5</v>
      </c>
      <c r="W1076" s="31">
        <v>1</v>
      </c>
      <c r="X1076" s="38">
        <v>59</v>
      </c>
      <c r="Y1076" s="31">
        <v>1</v>
      </c>
      <c r="Z1076" s="31">
        <v>0</v>
      </c>
      <c r="AA1076" s="31" t="s">
        <v>199</v>
      </c>
      <c r="AB1076" s="31" t="s">
        <v>220</v>
      </c>
      <c r="AC1076" s="41">
        <f>IFERROR(LOOKUP(M1076,打分卡!$F$7:$J$7,打分卡!$K$7:$O$7),1)</f>
        <v>1</v>
      </c>
      <c r="AD1076" s="41">
        <f>IFERROR(LOOKUP(S1076,打分卡!$F$8:$J$8,打分卡!$K$8:$O$8),1)</f>
        <v>1</v>
      </c>
      <c r="AE1076" s="41">
        <f>IFERROR(LOOKUP(T1076,打分卡!$F$9:$I$9,打分卡!$K$9:$N$9),1)</f>
        <v>1</v>
      </c>
      <c r="AF1076" s="41">
        <f>IFERROR(LOOKUP(Q1076,打分卡!$F$10:$J$10,打分卡!$K$10:$O$10),1)</f>
        <v>1</v>
      </c>
      <c r="AG1076" s="41">
        <f>IFERROR(LOOKUP(R1076,打分卡!$F$11:$J$11,打分卡!$K$11:$O$11),1)</f>
        <v>1</v>
      </c>
      <c r="AH1076" s="41">
        <f>IFERROR(LOOKUP(U1076,打分卡!$F$12:$J$12,打分卡!$K$12:$O$12),1)</f>
        <v>2</v>
      </c>
      <c r="AI1076" s="41">
        <f>IFERROR(LOOKUP(X1076,打分卡!$F$13:$J$13,打分卡!$K$13:$O$13),1)</f>
        <v>3</v>
      </c>
      <c r="AJ1076" s="41">
        <f>IFERROR(LOOKUP(Y1076,打分卡!$F$14:$J$14,打分卡!$K$14:$O$14),1)</f>
        <v>2</v>
      </c>
      <c r="AK1076" s="41">
        <f>IFERROR(LOOKUP(W1076,打分卡!$F$15:$J$15,打分卡!$K$15:$O$15),1)</f>
        <v>2</v>
      </c>
      <c r="AL1076" s="43">
        <f t="shared" si="129"/>
        <v>5</v>
      </c>
      <c r="AM1076" s="41">
        <f>IFERROR(LOOKUP(Z1076,打分卡!$F$17:$H$17,打分卡!$K$17:$M$17),1)</f>
        <v>1</v>
      </c>
      <c r="AN1076" s="44">
        <f>(打分卡!$D$7*AC1076+打分卡!$D$8*AD1076+打分卡!$D$9*AE1076)/5</f>
        <v>8</v>
      </c>
      <c r="AO1076" s="44">
        <f>(打分卡!$D$10*AF1076+打分卡!$D$11*AG1076)/5</f>
        <v>4</v>
      </c>
      <c r="AP1076" s="44">
        <f>(打分卡!$D$12*AH1076+打分卡!$D$13*AI1076+打分卡!$D$14*AJ1076+打分卡!$D$15*AK1076)/5</f>
        <v>13.6</v>
      </c>
      <c r="AQ1076" s="44">
        <f>(打分卡!$D$16*AL1076+打分卡!$D$17*AM1076)/5</f>
        <v>6.8</v>
      </c>
      <c r="AR1076" s="47">
        <f t="shared" si="130"/>
        <v>32.4</v>
      </c>
      <c r="AS1076" s="43" t="str">
        <f t="shared" si="131"/>
        <v>基础长尾</v>
      </c>
      <c r="AT1076" s="43" t="str">
        <f t="shared" si="132"/>
        <v/>
      </c>
      <c r="AU1076" s="43" t="str">
        <f t="shared" si="133"/>
        <v>激活：企微+Push低成本先跑</v>
      </c>
    </row>
    <row r="1077" ht="15" customHeight="1" spans="1:47">
      <c r="A1077" s="20" t="s">
        <v>2930</v>
      </c>
      <c r="B1077" s="22" t="s">
        <v>2931</v>
      </c>
      <c r="C1077" s="22" t="s">
        <v>234</v>
      </c>
      <c r="D1077" s="22" t="s">
        <v>190</v>
      </c>
      <c r="E1077" s="22" t="s">
        <v>181</v>
      </c>
      <c r="F1077" s="20" t="s">
        <v>2888</v>
      </c>
      <c r="G1077" s="22">
        <v>1</v>
      </c>
      <c r="H1077" s="22" t="s">
        <v>642</v>
      </c>
      <c r="I1077" s="22" t="s">
        <v>302</v>
      </c>
      <c r="J1077" s="36">
        <v>1700</v>
      </c>
      <c r="K1077" s="36">
        <v>1100</v>
      </c>
      <c r="L1077" s="36">
        <v>400</v>
      </c>
      <c r="M1077" s="36">
        <f t="shared" si="128"/>
        <v>3200</v>
      </c>
      <c r="N1077" s="34">
        <f t="shared" si="134"/>
        <v>1.67764475452912e-5</v>
      </c>
      <c r="O1077" s="35">
        <f>SUM($M$2:M1077)</f>
        <v>190326200</v>
      </c>
      <c r="P1077" s="34">
        <f t="shared" si="135"/>
        <v>0.997811722123311</v>
      </c>
      <c r="Q1077" s="39">
        <v>0.4</v>
      </c>
      <c r="R1077" s="22">
        <v>3</v>
      </c>
      <c r="S1077" s="22">
        <v>1</v>
      </c>
      <c r="T1077" s="22">
        <v>0</v>
      </c>
      <c r="U1077" s="39">
        <v>15.1</v>
      </c>
      <c r="V1077" s="22">
        <v>4</v>
      </c>
      <c r="W1077" s="22">
        <v>0</v>
      </c>
      <c r="X1077" s="40">
        <v>58</v>
      </c>
      <c r="Y1077" s="22">
        <v>0</v>
      </c>
      <c r="Z1077" s="22">
        <v>0</v>
      </c>
      <c r="AA1077" s="22" t="s">
        <v>199</v>
      </c>
      <c r="AB1077" s="22" t="s">
        <v>220</v>
      </c>
      <c r="AC1077" s="42">
        <f>IFERROR(LOOKUP(M1077,打分卡!$F$7:$J$7,打分卡!$K$7:$O$7),1)</f>
        <v>1</v>
      </c>
      <c r="AD1077" s="42">
        <f>IFERROR(LOOKUP(S1077,打分卡!$F$8:$J$8,打分卡!$K$8:$O$8),1)</f>
        <v>1</v>
      </c>
      <c r="AE1077" s="42">
        <f>IFERROR(LOOKUP(T1077,打分卡!$F$9:$I$9,打分卡!$K$9:$N$9),1)</f>
        <v>1</v>
      </c>
      <c r="AF1077" s="42">
        <f>IFERROR(LOOKUP(Q1077,打分卡!$F$10:$J$10,打分卡!$K$10:$O$10),1)</f>
        <v>1</v>
      </c>
      <c r="AG1077" s="42">
        <f>IFERROR(LOOKUP(R1077,打分卡!$F$11:$J$11,打分卡!$K$11:$O$11),1)</f>
        <v>2</v>
      </c>
      <c r="AH1077" s="42">
        <f>IFERROR(LOOKUP(U1077,打分卡!$F$12:$J$12,打分卡!$K$12:$O$12),1)</f>
        <v>3</v>
      </c>
      <c r="AI1077" s="42">
        <f>IFERROR(LOOKUP(X1077,打分卡!$F$13:$J$13,打分卡!$K$13:$O$13),1)</f>
        <v>3</v>
      </c>
      <c r="AJ1077" s="42">
        <f>IFERROR(LOOKUP(Y1077,打分卡!$F$14:$J$14,打分卡!$K$14:$O$14),1)</f>
        <v>1</v>
      </c>
      <c r="AK1077" s="42">
        <f>IFERROR(LOOKUP(W1077,打分卡!$F$15:$J$15,打分卡!$K$15:$O$15),1)</f>
        <v>1</v>
      </c>
      <c r="AL1077" s="45">
        <f t="shared" si="129"/>
        <v>5</v>
      </c>
      <c r="AM1077" s="42">
        <f>IFERROR(LOOKUP(Z1077,打分卡!$F$17:$H$17,打分卡!$K$17:$M$17),1)</f>
        <v>1</v>
      </c>
      <c r="AN1077" s="46">
        <f>(打分卡!$D$7*AC1077+打分卡!$D$8*AD1077+打分卡!$D$9*AE1077)/5</f>
        <v>8</v>
      </c>
      <c r="AO1077" s="46">
        <f>(打分卡!$D$10*AF1077+打分卡!$D$11*AG1077)/5</f>
        <v>6</v>
      </c>
      <c r="AP1077" s="46">
        <f>(打分卡!$D$12*AH1077+打分卡!$D$13*AI1077+打分卡!$D$14*AJ1077+打分卡!$D$15*AK1077)/5</f>
        <v>14</v>
      </c>
      <c r="AQ1077" s="46">
        <f>(打分卡!$D$16*AL1077+打分卡!$D$17*AM1077)/5</f>
        <v>6.8</v>
      </c>
      <c r="AR1077" s="48">
        <f t="shared" si="130"/>
        <v>45.4666666666667</v>
      </c>
      <c r="AS1077" s="45" t="str">
        <f t="shared" si="131"/>
        <v>腰部</v>
      </c>
      <c r="AT1077" s="45" t="str">
        <f t="shared" si="132"/>
        <v/>
      </c>
      <c r="AU1077" s="45" t="str">
        <f t="shared" si="133"/>
        <v>拉·主攻：主推AI外呼+大促作战包</v>
      </c>
    </row>
    <row r="1078" ht="15" customHeight="1" spans="1:47">
      <c r="A1078" s="30" t="s">
        <v>2932</v>
      </c>
      <c r="B1078" s="31" t="s">
        <v>2933</v>
      </c>
      <c r="C1078" s="31" t="s">
        <v>189</v>
      </c>
      <c r="D1078" s="31" t="s">
        <v>227</v>
      </c>
      <c r="E1078" s="31" t="s">
        <v>181</v>
      </c>
      <c r="F1078" s="30" t="s">
        <v>2706</v>
      </c>
      <c r="G1078" s="31">
        <v>3</v>
      </c>
      <c r="H1078" s="31" t="s">
        <v>642</v>
      </c>
      <c r="I1078" s="31" t="s">
        <v>302</v>
      </c>
      <c r="J1078" s="33">
        <v>1400</v>
      </c>
      <c r="K1078" s="33">
        <v>900</v>
      </c>
      <c r="L1078" s="33">
        <v>800</v>
      </c>
      <c r="M1078" s="33">
        <f t="shared" si="128"/>
        <v>3100</v>
      </c>
      <c r="N1078" s="34">
        <f t="shared" si="134"/>
        <v>1.62521835595008e-5</v>
      </c>
      <c r="O1078" s="35">
        <f>SUM($M$2:M1078)</f>
        <v>190329300</v>
      </c>
      <c r="P1078" s="34">
        <f t="shared" si="135"/>
        <v>0.997827974306871</v>
      </c>
      <c r="Q1078" s="37">
        <v>0.3</v>
      </c>
      <c r="R1078" s="31">
        <v>2</v>
      </c>
      <c r="S1078" s="31">
        <v>0</v>
      </c>
      <c r="T1078" s="31">
        <v>0</v>
      </c>
      <c r="U1078" s="37">
        <v>2.2</v>
      </c>
      <c r="V1078" s="31">
        <v>7</v>
      </c>
      <c r="W1078" s="31">
        <v>2</v>
      </c>
      <c r="X1078" s="38">
        <v>13</v>
      </c>
      <c r="Y1078" s="31">
        <v>1</v>
      </c>
      <c r="Z1078" s="31">
        <v>0</v>
      </c>
      <c r="AA1078" s="31" t="s">
        <v>199</v>
      </c>
      <c r="AB1078" s="31" t="s">
        <v>220</v>
      </c>
      <c r="AC1078" s="41">
        <f>IFERROR(LOOKUP(M1078,打分卡!$F$7:$J$7,打分卡!$K$7:$O$7),1)</f>
        <v>1</v>
      </c>
      <c r="AD1078" s="41">
        <f>IFERROR(LOOKUP(S1078,打分卡!$F$8:$J$8,打分卡!$K$8:$O$8),1)</f>
        <v>1</v>
      </c>
      <c r="AE1078" s="41">
        <f>IFERROR(LOOKUP(T1078,打分卡!$F$9:$I$9,打分卡!$K$9:$N$9),1)</f>
        <v>1</v>
      </c>
      <c r="AF1078" s="41">
        <f>IFERROR(LOOKUP(Q1078,打分卡!$F$10:$J$10,打分卡!$K$10:$O$10),1)</f>
        <v>1</v>
      </c>
      <c r="AG1078" s="41">
        <f>IFERROR(LOOKUP(R1078,打分卡!$F$11:$J$11,打分卡!$K$11:$O$11),1)</f>
        <v>1</v>
      </c>
      <c r="AH1078" s="41">
        <f>IFERROR(LOOKUP(U1078,打分卡!$F$12:$J$12,打分卡!$K$12:$O$12),1)</f>
        <v>1</v>
      </c>
      <c r="AI1078" s="41">
        <f>IFERROR(LOOKUP(X1078,打分卡!$F$13:$J$13,打分卡!$K$13:$O$13),1)</f>
        <v>1</v>
      </c>
      <c r="AJ1078" s="41">
        <f>IFERROR(LOOKUP(Y1078,打分卡!$F$14:$J$14,打分卡!$K$14:$O$14),1)</f>
        <v>2</v>
      </c>
      <c r="AK1078" s="41">
        <f>IFERROR(LOOKUP(W1078,打分卡!$F$15:$J$15,打分卡!$K$15:$O$15),1)</f>
        <v>2</v>
      </c>
      <c r="AL1078" s="43">
        <f t="shared" si="129"/>
        <v>5</v>
      </c>
      <c r="AM1078" s="41">
        <f>IFERROR(LOOKUP(Z1078,打分卡!$F$17:$H$17,打分卡!$K$17:$M$17),1)</f>
        <v>1</v>
      </c>
      <c r="AN1078" s="44">
        <f>(打分卡!$D$7*AC1078+打分卡!$D$8*AD1078+打分卡!$D$9*AE1078)/5</f>
        <v>8</v>
      </c>
      <c r="AO1078" s="44">
        <f>(打分卡!$D$10*AF1078+打分卡!$D$11*AG1078)/5</f>
        <v>4</v>
      </c>
      <c r="AP1078" s="44">
        <f>(打分卡!$D$12*AH1078+打分卡!$D$13*AI1078+打分卡!$D$14*AJ1078+打分卡!$D$15*AK1078)/5</f>
        <v>8</v>
      </c>
      <c r="AQ1078" s="44">
        <f>(打分卡!$D$16*AL1078+打分卡!$D$17*AM1078)/5</f>
        <v>6.8</v>
      </c>
      <c r="AR1078" s="47">
        <f t="shared" si="130"/>
        <v>26.8</v>
      </c>
      <c r="AS1078" s="43" t="str">
        <f t="shared" si="131"/>
        <v>基础长尾</v>
      </c>
      <c r="AT1078" s="43" t="str">
        <f t="shared" si="132"/>
        <v/>
      </c>
      <c r="AU1078" s="43" t="str">
        <f t="shared" si="133"/>
        <v>激活：企微+Push低成本先跑</v>
      </c>
    </row>
    <row r="1079" ht="15" customHeight="1" spans="1:47">
      <c r="A1079" s="20" t="s">
        <v>2934</v>
      </c>
      <c r="B1079" s="22" t="s">
        <v>2935</v>
      </c>
      <c r="C1079" s="22" t="s">
        <v>209</v>
      </c>
      <c r="D1079" s="22" t="s">
        <v>202</v>
      </c>
      <c r="E1079" s="22" t="s">
        <v>181</v>
      </c>
      <c r="F1079" s="20" t="s">
        <v>2676</v>
      </c>
      <c r="G1079" s="22">
        <v>3</v>
      </c>
      <c r="H1079" s="22" t="s">
        <v>642</v>
      </c>
      <c r="I1079" s="22" t="s">
        <v>302</v>
      </c>
      <c r="J1079" s="36">
        <v>1500</v>
      </c>
      <c r="K1079" s="36">
        <v>1100</v>
      </c>
      <c r="L1079" s="36">
        <v>500</v>
      </c>
      <c r="M1079" s="36">
        <f t="shared" si="128"/>
        <v>3100</v>
      </c>
      <c r="N1079" s="34">
        <f t="shared" si="134"/>
        <v>1.62521835595008e-5</v>
      </c>
      <c r="O1079" s="35">
        <f>SUM($M$2:M1079)</f>
        <v>190332400</v>
      </c>
      <c r="P1079" s="34">
        <f t="shared" si="135"/>
        <v>0.99784422649043</v>
      </c>
      <c r="Q1079" s="39">
        <v>0.4</v>
      </c>
      <c r="R1079" s="22">
        <v>3</v>
      </c>
      <c r="S1079" s="22">
        <v>1</v>
      </c>
      <c r="T1079" s="22">
        <v>0</v>
      </c>
      <c r="U1079" s="39">
        <v>12.3</v>
      </c>
      <c r="V1079" s="22">
        <v>6</v>
      </c>
      <c r="W1079" s="22">
        <v>2</v>
      </c>
      <c r="X1079" s="40">
        <v>43</v>
      </c>
      <c r="Y1079" s="22">
        <v>0</v>
      </c>
      <c r="Z1079" s="22">
        <v>0</v>
      </c>
      <c r="AA1079" s="22" t="s">
        <v>199</v>
      </c>
      <c r="AB1079" s="22" t="s">
        <v>220</v>
      </c>
      <c r="AC1079" s="42">
        <f>IFERROR(LOOKUP(M1079,打分卡!$F$7:$J$7,打分卡!$K$7:$O$7),1)</f>
        <v>1</v>
      </c>
      <c r="AD1079" s="42">
        <f>IFERROR(LOOKUP(S1079,打分卡!$F$8:$J$8,打分卡!$K$8:$O$8),1)</f>
        <v>1</v>
      </c>
      <c r="AE1079" s="42">
        <f>IFERROR(LOOKUP(T1079,打分卡!$F$9:$I$9,打分卡!$K$9:$N$9),1)</f>
        <v>1</v>
      </c>
      <c r="AF1079" s="42">
        <f>IFERROR(LOOKUP(Q1079,打分卡!$F$10:$J$10,打分卡!$K$10:$O$10),1)</f>
        <v>1</v>
      </c>
      <c r="AG1079" s="42">
        <f>IFERROR(LOOKUP(R1079,打分卡!$F$11:$J$11,打分卡!$K$11:$O$11),1)</f>
        <v>2</v>
      </c>
      <c r="AH1079" s="42">
        <f>IFERROR(LOOKUP(U1079,打分卡!$F$12:$J$12,打分卡!$K$12:$O$12),1)</f>
        <v>3</v>
      </c>
      <c r="AI1079" s="42">
        <f>IFERROR(LOOKUP(X1079,打分卡!$F$13:$J$13,打分卡!$K$13:$O$13),1)</f>
        <v>3</v>
      </c>
      <c r="AJ1079" s="42">
        <f>IFERROR(LOOKUP(Y1079,打分卡!$F$14:$J$14,打分卡!$K$14:$O$14),1)</f>
        <v>1</v>
      </c>
      <c r="AK1079" s="42">
        <f>IFERROR(LOOKUP(W1079,打分卡!$F$15:$J$15,打分卡!$K$15:$O$15),1)</f>
        <v>2</v>
      </c>
      <c r="AL1079" s="45">
        <f t="shared" si="129"/>
        <v>5</v>
      </c>
      <c r="AM1079" s="42">
        <f>IFERROR(LOOKUP(Z1079,打分卡!$F$17:$H$17,打分卡!$K$17:$M$17),1)</f>
        <v>1</v>
      </c>
      <c r="AN1079" s="46">
        <f>(打分卡!$D$7*AC1079+打分卡!$D$8*AD1079+打分卡!$D$9*AE1079)/5</f>
        <v>8</v>
      </c>
      <c r="AO1079" s="46">
        <f>(打分卡!$D$10*AF1079+打分卡!$D$11*AG1079)/5</f>
        <v>6</v>
      </c>
      <c r="AP1079" s="46">
        <f>(打分卡!$D$12*AH1079+打分卡!$D$13*AI1079+打分卡!$D$14*AJ1079+打分卡!$D$15*AK1079)/5</f>
        <v>14.8</v>
      </c>
      <c r="AQ1079" s="46">
        <f>(打分卡!$D$16*AL1079+打分卡!$D$17*AM1079)/5</f>
        <v>6.8</v>
      </c>
      <c r="AR1079" s="48">
        <f t="shared" si="130"/>
        <v>35.6</v>
      </c>
      <c r="AS1079" s="45" t="str">
        <f t="shared" si="131"/>
        <v>基础长尾</v>
      </c>
      <c r="AT1079" s="45" t="str">
        <f t="shared" si="132"/>
        <v/>
      </c>
      <c r="AU1079" s="45" t="str">
        <f t="shared" si="133"/>
        <v>激活：企微+Push低成本先跑</v>
      </c>
    </row>
    <row r="1080" ht="15" customHeight="1" spans="1:47">
      <c r="A1080" s="30" t="s">
        <v>2936</v>
      </c>
      <c r="B1080" s="31" t="s">
        <v>2937</v>
      </c>
      <c r="C1080" s="31" t="s">
        <v>218</v>
      </c>
      <c r="D1080" s="31" t="s">
        <v>196</v>
      </c>
      <c r="E1080" s="31" t="s">
        <v>181</v>
      </c>
      <c r="F1080" s="30" t="s">
        <v>705</v>
      </c>
      <c r="G1080" s="31">
        <v>3</v>
      </c>
      <c r="H1080" s="31" t="s">
        <v>642</v>
      </c>
      <c r="I1080" s="31" t="s">
        <v>302</v>
      </c>
      <c r="J1080" s="33">
        <v>1500</v>
      </c>
      <c r="K1080" s="33">
        <v>900</v>
      </c>
      <c r="L1080" s="33">
        <v>700</v>
      </c>
      <c r="M1080" s="33">
        <f t="shared" si="128"/>
        <v>3100</v>
      </c>
      <c r="N1080" s="34">
        <f t="shared" si="134"/>
        <v>1.62521835595008e-5</v>
      </c>
      <c r="O1080" s="35">
        <f>SUM($M$2:M1080)</f>
        <v>190335500</v>
      </c>
      <c r="P1080" s="34">
        <f t="shared" si="135"/>
        <v>0.99786047867399</v>
      </c>
      <c r="Q1080" s="37">
        <v>0.2</v>
      </c>
      <c r="R1080" s="31">
        <v>3</v>
      </c>
      <c r="S1080" s="31">
        <v>1</v>
      </c>
      <c r="T1080" s="31">
        <v>0</v>
      </c>
      <c r="U1080" s="37">
        <v>16.6</v>
      </c>
      <c r="V1080" s="31">
        <v>14</v>
      </c>
      <c r="W1080" s="31">
        <v>0</v>
      </c>
      <c r="X1080" s="38">
        <v>18</v>
      </c>
      <c r="Y1080" s="31">
        <v>1</v>
      </c>
      <c r="Z1080" s="31">
        <v>0</v>
      </c>
      <c r="AA1080" s="31" t="s">
        <v>199</v>
      </c>
      <c r="AB1080" s="31" t="s">
        <v>220</v>
      </c>
      <c r="AC1080" s="41">
        <f>IFERROR(LOOKUP(M1080,打分卡!$F$7:$J$7,打分卡!$K$7:$O$7),1)</f>
        <v>1</v>
      </c>
      <c r="AD1080" s="41">
        <f>IFERROR(LOOKUP(S1080,打分卡!$F$8:$J$8,打分卡!$K$8:$O$8),1)</f>
        <v>1</v>
      </c>
      <c r="AE1080" s="41">
        <f>IFERROR(LOOKUP(T1080,打分卡!$F$9:$I$9,打分卡!$K$9:$N$9),1)</f>
        <v>1</v>
      </c>
      <c r="AF1080" s="41">
        <f>IFERROR(LOOKUP(Q1080,打分卡!$F$10:$J$10,打分卡!$K$10:$O$10),1)</f>
        <v>1</v>
      </c>
      <c r="AG1080" s="41">
        <f>IFERROR(LOOKUP(R1080,打分卡!$F$11:$J$11,打分卡!$K$11:$O$11),1)</f>
        <v>2</v>
      </c>
      <c r="AH1080" s="41">
        <f>IFERROR(LOOKUP(U1080,打分卡!$F$12:$J$12,打分卡!$K$12:$O$12),1)</f>
        <v>3</v>
      </c>
      <c r="AI1080" s="41">
        <f>IFERROR(LOOKUP(X1080,打分卡!$F$13:$J$13,打分卡!$K$13:$O$13),1)</f>
        <v>2</v>
      </c>
      <c r="AJ1080" s="41">
        <f>IFERROR(LOOKUP(Y1080,打分卡!$F$14:$J$14,打分卡!$K$14:$O$14),1)</f>
        <v>2</v>
      </c>
      <c r="AK1080" s="41">
        <f>IFERROR(LOOKUP(W1080,打分卡!$F$15:$J$15,打分卡!$K$15:$O$15),1)</f>
        <v>1</v>
      </c>
      <c r="AL1080" s="43">
        <f t="shared" si="129"/>
        <v>5</v>
      </c>
      <c r="AM1080" s="41">
        <f>IFERROR(LOOKUP(Z1080,打分卡!$F$17:$H$17,打分卡!$K$17:$M$17),1)</f>
        <v>1</v>
      </c>
      <c r="AN1080" s="44">
        <f>(打分卡!$D$7*AC1080+打分卡!$D$8*AD1080+打分卡!$D$9*AE1080)/5</f>
        <v>8</v>
      </c>
      <c r="AO1080" s="44">
        <f>(打分卡!$D$10*AF1080+打分卡!$D$11*AG1080)/5</f>
        <v>6</v>
      </c>
      <c r="AP1080" s="44">
        <f>(打分卡!$D$12*AH1080+打分卡!$D$13*AI1080+打分卡!$D$14*AJ1080+打分卡!$D$15*AK1080)/5</f>
        <v>13.6</v>
      </c>
      <c r="AQ1080" s="44">
        <f>(打分卡!$D$16*AL1080+打分卡!$D$17*AM1080)/5</f>
        <v>6.8</v>
      </c>
      <c r="AR1080" s="47">
        <f t="shared" si="130"/>
        <v>34.4</v>
      </c>
      <c r="AS1080" s="43" t="str">
        <f t="shared" si="131"/>
        <v>基础长尾</v>
      </c>
      <c r="AT1080" s="43" t="str">
        <f t="shared" si="132"/>
        <v/>
      </c>
      <c r="AU1080" s="43" t="str">
        <f t="shared" si="133"/>
        <v>激活：企微+Push低成本先跑</v>
      </c>
    </row>
    <row r="1081" ht="15" customHeight="1" spans="1:47">
      <c r="A1081" s="20" t="s">
        <v>2938</v>
      </c>
      <c r="B1081" s="22" t="s">
        <v>2939</v>
      </c>
      <c r="C1081" s="22" t="s">
        <v>189</v>
      </c>
      <c r="D1081" s="22" t="s">
        <v>196</v>
      </c>
      <c r="E1081" s="22" t="s">
        <v>181</v>
      </c>
      <c r="F1081" s="20" t="s">
        <v>2852</v>
      </c>
      <c r="G1081" s="22">
        <v>3</v>
      </c>
      <c r="H1081" s="22" t="s">
        <v>642</v>
      </c>
      <c r="I1081" s="22" t="s">
        <v>302</v>
      </c>
      <c r="J1081" s="36">
        <v>2000</v>
      </c>
      <c r="K1081" s="36">
        <v>1000</v>
      </c>
      <c r="L1081" s="36">
        <v>200</v>
      </c>
      <c r="M1081" s="36">
        <f t="shared" si="128"/>
        <v>3200</v>
      </c>
      <c r="N1081" s="34">
        <f t="shared" si="134"/>
        <v>1.67764475452912e-5</v>
      </c>
      <c r="O1081" s="35">
        <f>SUM($M$2:M1081)</f>
        <v>190338700</v>
      </c>
      <c r="P1081" s="34">
        <f t="shared" si="135"/>
        <v>0.997877255121535</v>
      </c>
      <c r="Q1081" s="39">
        <v>0.2</v>
      </c>
      <c r="R1081" s="22">
        <v>1</v>
      </c>
      <c r="S1081" s="22">
        <v>1</v>
      </c>
      <c r="T1081" s="22">
        <v>0</v>
      </c>
      <c r="U1081" s="39">
        <v>0.8</v>
      </c>
      <c r="V1081" s="22">
        <v>15</v>
      </c>
      <c r="W1081" s="22">
        <v>0</v>
      </c>
      <c r="X1081" s="40">
        <v>74</v>
      </c>
      <c r="Y1081" s="22">
        <v>1</v>
      </c>
      <c r="Z1081" s="22">
        <v>0</v>
      </c>
      <c r="AA1081" s="22" t="s">
        <v>199</v>
      </c>
      <c r="AB1081" s="22" t="s">
        <v>220</v>
      </c>
      <c r="AC1081" s="42">
        <f>IFERROR(LOOKUP(M1081,打分卡!$F$7:$J$7,打分卡!$K$7:$O$7),1)</f>
        <v>1</v>
      </c>
      <c r="AD1081" s="42">
        <f>IFERROR(LOOKUP(S1081,打分卡!$F$8:$J$8,打分卡!$K$8:$O$8),1)</f>
        <v>1</v>
      </c>
      <c r="AE1081" s="42">
        <f>IFERROR(LOOKUP(T1081,打分卡!$F$9:$I$9,打分卡!$K$9:$N$9),1)</f>
        <v>1</v>
      </c>
      <c r="AF1081" s="42">
        <f>IFERROR(LOOKUP(Q1081,打分卡!$F$10:$J$10,打分卡!$K$10:$O$10),1)</f>
        <v>1</v>
      </c>
      <c r="AG1081" s="42">
        <f>IFERROR(LOOKUP(R1081,打分卡!$F$11:$J$11,打分卡!$K$11:$O$11),1)</f>
        <v>1</v>
      </c>
      <c r="AH1081" s="42">
        <f>IFERROR(LOOKUP(U1081,打分卡!$F$12:$J$12,打分卡!$K$12:$O$12),1)</f>
        <v>1</v>
      </c>
      <c r="AI1081" s="42">
        <f>IFERROR(LOOKUP(X1081,打分卡!$F$13:$J$13,打分卡!$K$13:$O$13),1)</f>
        <v>3</v>
      </c>
      <c r="AJ1081" s="42">
        <f>IFERROR(LOOKUP(Y1081,打分卡!$F$14:$J$14,打分卡!$K$14:$O$14),1)</f>
        <v>2</v>
      </c>
      <c r="AK1081" s="42">
        <f>IFERROR(LOOKUP(W1081,打分卡!$F$15:$J$15,打分卡!$K$15:$O$15),1)</f>
        <v>1</v>
      </c>
      <c r="AL1081" s="45">
        <f t="shared" si="129"/>
        <v>5</v>
      </c>
      <c r="AM1081" s="42">
        <f>IFERROR(LOOKUP(Z1081,打分卡!$F$17:$H$17,打分卡!$K$17:$M$17),1)</f>
        <v>1</v>
      </c>
      <c r="AN1081" s="46">
        <f>(打分卡!$D$7*AC1081+打分卡!$D$8*AD1081+打分卡!$D$9*AE1081)/5</f>
        <v>8</v>
      </c>
      <c r="AO1081" s="46">
        <f>(打分卡!$D$10*AF1081+打分卡!$D$11*AG1081)/5</f>
        <v>4</v>
      </c>
      <c r="AP1081" s="46">
        <f>(打分卡!$D$12*AH1081+打分卡!$D$13*AI1081+打分卡!$D$14*AJ1081+打分卡!$D$15*AK1081)/5</f>
        <v>10.4</v>
      </c>
      <c r="AQ1081" s="46">
        <f>(打分卡!$D$16*AL1081+打分卡!$D$17*AM1081)/5</f>
        <v>6.8</v>
      </c>
      <c r="AR1081" s="48">
        <f t="shared" si="130"/>
        <v>29.2</v>
      </c>
      <c r="AS1081" s="45" t="str">
        <f t="shared" si="131"/>
        <v>基础长尾</v>
      </c>
      <c r="AT1081" s="45" t="str">
        <f t="shared" si="132"/>
        <v/>
      </c>
      <c r="AU1081" s="45" t="str">
        <f t="shared" si="133"/>
        <v>激活：企微+Push低成本先跑</v>
      </c>
    </row>
    <row r="1082" ht="15" customHeight="1" spans="1:47">
      <c r="A1082" s="30" t="s">
        <v>2940</v>
      </c>
      <c r="B1082" s="31" t="s">
        <v>2941</v>
      </c>
      <c r="C1082" s="31" t="s">
        <v>239</v>
      </c>
      <c r="D1082" s="31" t="s">
        <v>202</v>
      </c>
      <c r="E1082" s="31" t="s">
        <v>181</v>
      </c>
      <c r="F1082" s="30" t="s">
        <v>1270</v>
      </c>
      <c r="G1082" s="31">
        <v>1</v>
      </c>
      <c r="H1082" s="31" t="s">
        <v>642</v>
      </c>
      <c r="I1082" s="31" t="s">
        <v>302</v>
      </c>
      <c r="J1082" s="33">
        <v>1500</v>
      </c>
      <c r="K1082" s="33">
        <v>600</v>
      </c>
      <c r="L1082" s="33">
        <v>1000</v>
      </c>
      <c r="M1082" s="33">
        <f t="shared" si="128"/>
        <v>3100</v>
      </c>
      <c r="N1082" s="34">
        <f t="shared" si="134"/>
        <v>1.62521835595008e-5</v>
      </c>
      <c r="O1082" s="35">
        <f>SUM($M$2:M1082)</f>
        <v>190341800</v>
      </c>
      <c r="P1082" s="34">
        <f t="shared" si="135"/>
        <v>0.997893507305094</v>
      </c>
      <c r="Q1082" s="37">
        <v>0.4</v>
      </c>
      <c r="R1082" s="31">
        <v>1</v>
      </c>
      <c r="S1082" s="31">
        <v>1</v>
      </c>
      <c r="T1082" s="31">
        <v>0</v>
      </c>
      <c r="U1082" s="37">
        <v>0.6</v>
      </c>
      <c r="V1082" s="31">
        <v>11</v>
      </c>
      <c r="W1082" s="31">
        <v>2</v>
      </c>
      <c r="X1082" s="38">
        <v>72</v>
      </c>
      <c r="Y1082" s="31">
        <v>0</v>
      </c>
      <c r="Z1082" s="31">
        <v>0</v>
      </c>
      <c r="AA1082" s="31" t="s">
        <v>199</v>
      </c>
      <c r="AB1082" s="31" t="s">
        <v>220</v>
      </c>
      <c r="AC1082" s="41">
        <f>IFERROR(LOOKUP(M1082,打分卡!$F$7:$J$7,打分卡!$K$7:$O$7),1)</f>
        <v>1</v>
      </c>
      <c r="AD1082" s="41">
        <f>IFERROR(LOOKUP(S1082,打分卡!$F$8:$J$8,打分卡!$K$8:$O$8),1)</f>
        <v>1</v>
      </c>
      <c r="AE1082" s="41">
        <f>IFERROR(LOOKUP(T1082,打分卡!$F$9:$I$9,打分卡!$K$9:$N$9),1)</f>
        <v>1</v>
      </c>
      <c r="AF1082" s="41">
        <f>IFERROR(LOOKUP(Q1082,打分卡!$F$10:$J$10,打分卡!$K$10:$O$10),1)</f>
        <v>1</v>
      </c>
      <c r="AG1082" s="41">
        <f>IFERROR(LOOKUP(R1082,打分卡!$F$11:$J$11,打分卡!$K$11:$O$11),1)</f>
        <v>1</v>
      </c>
      <c r="AH1082" s="41">
        <f>IFERROR(LOOKUP(U1082,打分卡!$F$12:$J$12,打分卡!$K$12:$O$12),1)</f>
        <v>1</v>
      </c>
      <c r="AI1082" s="41">
        <f>IFERROR(LOOKUP(X1082,打分卡!$F$13:$J$13,打分卡!$K$13:$O$13),1)</f>
        <v>3</v>
      </c>
      <c r="AJ1082" s="41">
        <f>IFERROR(LOOKUP(Y1082,打分卡!$F$14:$J$14,打分卡!$K$14:$O$14),1)</f>
        <v>1</v>
      </c>
      <c r="AK1082" s="41">
        <f>IFERROR(LOOKUP(W1082,打分卡!$F$15:$J$15,打分卡!$K$15:$O$15),1)</f>
        <v>2</v>
      </c>
      <c r="AL1082" s="43">
        <f t="shared" si="129"/>
        <v>5</v>
      </c>
      <c r="AM1082" s="41">
        <f>IFERROR(LOOKUP(Z1082,打分卡!$F$17:$H$17,打分卡!$K$17:$M$17),1)</f>
        <v>1</v>
      </c>
      <c r="AN1082" s="44">
        <f>(打分卡!$D$7*AC1082+打分卡!$D$8*AD1082+打分卡!$D$9*AE1082)/5</f>
        <v>8</v>
      </c>
      <c r="AO1082" s="44">
        <f>(打分卡!$D$10*AF1082+打分卡!$D$11*AG1082)/5</f>
        <v>4</v>
      </c>
      <c r="AP1082" s="44">
        <f>(打分卡!$D$12*AH1082+打分卡!$D$13*AI1082+打分卡!$D$14*AJ1082+打分卡!$D$15*AK1082)/5</f>
        <v>10</v>
      </c>
      <c r="AQ1082" s="44">
        <f>(打分卡!$D$16*AL1082+打分卡!$D$17*AM1082)/5</f>
        <v>6.8</v>
      </c>
      <c r="AR1082" s="47">
        <f t="shared" si="130"/>
        <v>34.1333333333333</v>
      </c>
      <c r="AS1082" s="43" t="str">
        <f t="shared" si="131"/>
        <v>基础长尾</v>
      </c>
      <c r="AT1082" s="43" t="str">
        <f t="shared" si="132"/>
        <v/>
      </c>
      <c r="AU1082" s="43" t="str">
        <f t="shared" si="133"/>
        <v>激活：企微+Push低成本先跑</v>
      </c>
    </row>
    <row r="1083" ht="15" customHeight="1" spans="1:47">
      <c r="A1083" s="20" t="s">
        <v>2942</v>
      </c>
      <c r="B1083" s="22" t="s">
        <v>2943</v>
      </c>
      <c r="C1083" s="22" t="s">
        <v>189</v>
      </c>
      <c r="D1083" s="22" t="s">
        <v>227</v>
      </c>
      <c r="E1083" s="22" t="s">
        <v>181</v>
      </c>
      <c r="F1083" s="20" t="s">
        <v>931</v>
      </c>
      <c r="G1083" s="22">
        <v>3</v>
      </c>
      <c r="H1083" s="22" t="s">
        <v>642</v>
      </c>
      <c r="I1083" s="22" t="s">
        <v>302</v>
      </c>
      <c r="J1083" s="36">
        <v>1800</v>
      </c>
      <c r="K1083" s="36">
        <v>1000</v>
      </c>
      <c r="L1083" s="36">
        <v>200</v>
      </c>
      <c r="M1083" s="36">
        <f t="shared" si="128"/>
        <v>3000</v>
      </c>
      <c r="N1083" s="34">
        <f t="shared" si="134"/>
        <v>1.57279195737105e-5</v>
      </c>
      <c r="O1083" s="35">
        <f>SUM($M$2:M1083)</f>
        <v>190344800</v>
      </c>
      <c r="P1083" s="34">
        <f t="shared" si="135"/>
        <v>0.997909235224668</v>
      </c>
      <c r="Q1083" s="39">
        <v>0.2</v>
      </c>
      <c r="R1083" s="22">
        <v>2</v>
      </c>
      <c r="S1083" s="22">
        <v>0</v>
      </c>
      <c r="T1083" s="22">
        <v>0</v>
      </c>
      <c r="U1083" s="39">
        <v>12.9</v>
      </c>
      <c r="V1083" s="22">
        <v>7</v>
      </c>
      <c r="W1083" s="22">
        <v>2</v>
      </c>
      <c r="X1083" s="40">
        <v>17</v>
      </c>
      <c r="Y1083" s="22">
        <v>1</v>
      </c>
      <c r="Z1083" s="22">
        <v>0</v>
      </c>
      <c r="AA1083" s="22" t="s">
        <v>199</v>
      </c>
      <c r="AB1083" s="22" t="s">
        <v>220</v>
      </c>
      <c r="AC1083" s="42">
        <f>IFERROR(LOOKUP(M1083,打分卡!$F$7:$J$7,打分卡!$K$7:$O$7),1)</f>
        <v>1</v>
      </c>
      <c r="AD1083" s="42">
        <f>IFERROR(LOOKUP(S1083,打分卡!$F$8:$J$8,打分卡!$K$8:$O$8),1)</f>
        <v>1</v>
      </c>
      <c r="AE1083" s="42">
        <f>IFERROR(LOOKUP(T1083,打分卡!$F$9:$I$9,打分卡!$K$9:$N$9),1)</f>
        <v>1</v>
      </c>
      <c r="AF1083" s="42">
        <f>IFERROR(LOOKUP(Q1083,打分卡!$F$10:$J$10,打分卡!$K$10:$O$10),1)</f>
        <v>1</v>
      </c>
      <c r="AG1083" s="42">
        <f>IFERROR(LOOKUP(R1083,打分卡!$F$11:$J$11,打分卡!$K$11:$O$11),1)</f>
        <v>1</v>
      </c>
      <c r="AH1083" s="42">
        <f>IFERROR(LOOKUP(U1083,打分卡!$F$12:$J$12,打分卡!$K$12:$O$12),1)</f>
        <v>3</v>
      </c>
      <c r="AI1083" s="42">
        <f>IFERROR(LOOKUP(X1083,打分卡!$F$13:$J$13,打分卡!$K$13:$O$13),1)</f>
        <v>1</v>
      </c>
      <c r="AJ1083" s="42">
        <f>IFERROR(LOOKUP(Y1083,打分卡!$F$14:$J$14,打分卡!$K$14:$O$14),1)</f>
        <v>2</v>
      </c>
      <c r="AK1083" s="42">
        <f>IFERROR(LOOKUP(W1083,打分卡!$F$15:$J$15,打分卡!$K$15:$O$15),1)</f>
        <v>2</v>
      </c>
      <c r="AL1083" s="45">
        <f t="shared" si="129"/>
        <v>5</v>
      </c>
      <c r="AM1083" s="42">
        <f>IFERROR(LOOKUP(Z1083,打分卡!$F$17:$H$17,打分卡!$K$17:$M$17),1)</f>
        <v>1</v>
      </c>
      <c r="AN1083" s="46">
        <f>(打分卡!$D$7*AC1083+打分卡!$D$8*AD1083+打分卡!$D$9*AE1083)/5</f>
        <v>8</v>
      </c>
      <c r="AO1083" s="46">
        <f>(打分卡!$D$10*AF1083+打分卡!$D$11*AG1083)/5</f>
        <v>4</v>
      </c>
      <c r="AP1083" s="46">
        <f>(打分卡!$D$12*AH1083+打分卡!$D$13*AI1083+打分卡!$D$14*AJ1083+打分卡!$D$15*AK1083)/5</f>
        <v>12.8</v>
      </c>
      <c r="AQ1083" s="46">
        <f>(打分卡!$D$16*AL1083+打分卡!$D$17*AM1083)/5</f>
        <v>6.8</v>
      </c>
      <c r="AR1083" s="48">
        <f t="shared" si="130"/>
        <v>31.6</v>
      </c>
      <c r="AS1083" s="45" t="str">
        <f t="shared" si="131"/>
        <v>基础长尾</v>
      </c>
      <c r="AT1083" s="45" t="str">
        <f t="shared" si="132"/>
        <v/>
      </c>
      <c r="AU1083" s="45" t="str">
        <f t="shared" si="133"/>
        <v>激活：企微+Push低成本先跑</v>
      </c>
    </row>
    <row r="1084" ht="15" customHeight="1" spans="1:47">
      <c r="A1084" s="30" t="s">
        <v>2944</v>
      </c>
      <c r="B1084" s="31" t="s">
        <v>2945</v>
      </c>
      <c r="C1084" s="31" t="s">
        <v>189</v>
      </c>
      <c r="D1084" s="31" t="s">
        <v>180</v>
      </c>
      <c r="E1084" s="31" t="s">
        <v>181</v>
      </c>
      <c r="F1084" s="30" t="s">
        <v>1064</v>
      </c>
      <c r="G1084" s="31">
        <v>1</v>
      </c>
      <c r="H1084" s="31" t="s">
        <v>642</v>
      </c>
      <c r="I1084" s="31" t="s">
        <v>302</v>
      </c>
      <c r="J1084" s="33">
        <v>1900</v>
      </c>
      <c r="K1084" s="33">
        <v>700</v>
      </c>
      <c r="L1084" s="33">
        <v>400</v>
      </c>
      <c r="M1084" s="33">
        <f t="shared" si="128"/>
        <v>3000</v>
      </c>
      <c r="N1084" s="34">
        <f t="shared" si="134"/>
        <v>1.57279195737105e-5</v>
      </c>
      <c r="O1084" s="35">
        <f>SUM($M$2:M1084)</f>
        <v>190347800</v>
      </c>
      <c r="P1084" s="34">
        <f t="shared" si="135"/>
        <v>0.997924963144242</v>
      </c>
      <c r="Q1084" s="37">
        <v>0.3</v>
      </c>
      <c r="R1084" s="31">
        <v>2</v>
      </c>
      <c r="S1084" s="31">
        <v>1</v>
      </c>
      <c r="T1084" s="31">
        <v>0</v>
      </c>
      <c r="U1084" s="37">
        <v>34.2</v>
      </c>
      <c r="V1084" s="31">
        <v>15</v>
      </c>
      <c r="W1084" s="31">
        <v>2</v>
      </c>
      <c r="X1084" s="38">
        <v>62</v>
      </c>
      <c r="Y1084" s="31">
        <v>1</v>
      </c>
      <c r="Z1084" s="31">
        <v>0</v>
      </c>
      <c r="AA1084" s="31" t="s">
        <v>199</v>
      </c>
      <c r="AB1084" s="31" t="s">
        <v>220</v>
      </c>
      <c r="AC1084" s="41">
        <f>IFERROR(LOOKUP(M1084,打分卡!$F$7:$J$7,打分卡!$K$7:$O$7),1)</f>
        <v>1</v>
      </c>
      <c r="AD1084" s="41">
        <f>IFERROR(LOOKUP(S1084,打分卡!$F$8:$J$8,打分卡!$K$8:$O$8),1)</f>
        <v>1</v>
      </c>
      <c r="AE1084" s="41">
        <f>IFERROR(LOOKUP(T1084,打分卡!$F$9:$I$9,打分卡!$K$9:$N$9),1)</f>
        <v>1</v>
      </c>
      <c r="AF1084" s="41">
        <f>IFERROR(LOOKUP(Q1084,打分卡!$F$10:$J$10,打分卡!$K$10:$O$10),1)</f>
        <v>1</v>
      </c>
      <c r="AG1084" s="41">
        <f>IFERROR(LOOKUP(R1084,打分卡!$F$11:$J$11,打分卡!$K$11:$O$11),1)</f>
        <v>1</v>
      </c>
      <c r="AH1084" s="41">
        <f>IFERROR(LOOKUP(U1084,打分卡!$F$12:$J$12,打分卡!$K$12:$O$12),1)</f>
        <v>4</v>
      </c>
      <c r="AI1084" s="41">
        <f>IFERROR(LOOKUP(X1084,打分卡!$F$13:$J$13,打分卡!$K$13:$O$13),1)</f>
        <v>3</v>
      </c>
      <c r="AJ1084" s="41">
        <f>IFERROR(LOOKUP(Y1084,打分卡!$F$14:$J$14,打分卡!$K$14:$O$14),1)</f>
        <v>2</v>
      </c>
      <c r="AK1084" s="41">
        <f>IFERROR(LOOKUP(W1084,打分卡!$F$15:$J$15,打分卡!$K$15:$O$15),1)</f>
        <v>2</v>
      </c>
      <c r="AL1084" s="43">
        <f t="shared" si="129"/>
        <v>5</v>
      </c>
      <c r="AM1084" s="41">
        <f>IFERROR(LOOKUP(Z1084,打分卡!$F$17:$H$17,打分卡!$K$17:$M$17),1)</f>
        <v>1</v>
      </c>
      <c r="AN1084" s="44">
        <f>(打分卡!$D$7*AC1084+打分卡!$D$8*AD1084+打分卡!$D$9*AE1084)/5</f>
        <v>8</v>
      </c>
      <c r="AO1084" s="44">
        <f>(打分卡!$D$10*AF1084+打分卡!$D$11*AG1084)/5</f>
        <v>4</v>
      </c>
      <c r="AP1084" s="44">
        <f>(打分卡!$D$12*AH1084+打分卡!$D$13*AI1084+打分卡!$D$14*AJ1084+打分卡!$D$15*AK1084)/5</f>
        <v>18.4</v>
      </c>
      <c r="AQ1084" s="44">
        <f>(打分卡!$D$16*AL1084+打分卡!$D$17*AM1084)/5</f>
        <v>6.8</v>
      </c>
      <c r="AR1084" s="47">
        <f t="shared" si="130"/>
        <v>53.7333333333333</v>
      </c>
      <c r="AS1084" s="43" t="str">
        <f t="shared" si="131"/>
        <v>腰部</v>
      </c>
      <c r="AT1084" s="43" t="str">
        <f t="shared" si="132"/>
        <v/>
      </c>
      <c r="AU1084" s="43" t="str">
        <f t="shared" si="133"/>
        <v>拉·主攻：主推AI外呼+大促作战包</v>
      </c>
    </row>
    <row r="1085" ht="15" customHeight="1" spans="1:47">
      <c r="A1085" s="20" t="s">
        <v>2946</v>
      </c>
      <c r="B1085" s="22" t="s">
        <v>2947</v>
      </c>
      <c r="C1085" s="22" t="s">
        <v>218</v>
      </c>
      <c r="D1085" s="22" t="s">
        <v>235</v>
      </c>
      <c r="E1085" s="22" t="s">
        <v>197</v>
      </c>
      <c r="F1085" s="20" t="s">
        <v>931</v>
      </c>
      <c r="G1085" s="22">
        <v>3</v>
      </c>
      <c r="H1085" s="22" t="s">
        <v>642</v>
      </c>
      <c r="I1085" s="22" t="s">
        <v>302</v>
      </c>
      <c r="J1085" s="36">
        <v>1500</v>
      </c>
      <c r="K1085" s="36">
        <v>800</v>
      </c>
      <c r="L1085" s="36">
        <v>600</v>
      </c>
      <c r="M1085" s="36">
        <f t="shared" si="128"/>
        <v>2900</v>
      </c>
      <c r="N1085" s="34">
        <f t="shared" si="134"/>
        <v>1.52036555879201e-5</v>
      </c>
      <c r="O1085" s="35">
        <f>SUM($M$2:M1085)</f>
        <v>190350700</v>
      </c>
      <c r="P1085" s="34">
        <f t="shared" si="135"/>
        <v>0.99794016679983</v>
      </c>
      <c r="Q1085" s="39">
        <v>0.4</v>
      </c>
      <c r="R1085" s="22">
        <v>2</v>
      </c>
      <c r="S1085" s="22">
        <v>1</v>
      </c>
      <c r="T1085" s="22">
        <v>0</v>
      </c>
      <c r="U1085" s="39">
        <v>27.4</v>
      </c>
      <c r="V1085" s="22">
        <v>6</v>
      </c>
      <c r="W1085" s="22">
        <v>2</v>
      </c>
      <c r="X1085" s="40">
        <v>50</v>
      </c>
      <c r="Y1085" s="22">
        <v>1</v>
      </c>
      <c r="Z1085" s="22">
        <v>0</v>
      </c>
      <c r="AA1085" s="22" t="s">
        <v>199</v>
      </c>
      <c r="AB1085" s="22" t="s">
        <v>220</v>
      </c>
      <c r="AC1085" s="42">
        <f>IFERROR(LOOKUP(M1085,打分卡!$F$7:$J$7,打分卡!$K$7:$O$7),1)</f>
        <v>1</v>
      </c>
      <c r="AD1085" s="42">
        <f>IFERROR(LOOKUP(S1085,打分卡!$F$8:$J$8,打分卡!$K$8:$O$8),1)</f>
        <v>1</v>
      </c>
      <c r="AE1085" s="42">
        <f>IFERROR(LOOKUP(T1085,打分卡!$F$9:$I$9,打分卡!$K$9:$N$9),1)</f>
        <v>1</v>
      </c>
      <c r="AF1085" s="42">
        <f>IFERROR(LOOKUP(Q1085,打分卡!$F$10:$J$10,打分卡!$K$10:$O$10),1)</f>
        <v>1</v>
      </c>
      <c r="AG1085" s="42">
        <f>IFERROR(LOOKUP(R1085,打分卡!$F$11:$J$11,打分卡!$K$11:$O$11),1)</f>
        <v>1</v>
      </c>
      <c r="AH1085" s="42">
        <f>IFERROR(LOOKUP(U1085,打分卡!$F$12:$J$12,打分卡!$K$12:$O$12),1)</f>
        <v>3</v>
      </c>
      <c r="AI1085" s="42">
        <f>IFERROR(LOOKUP(X1085,打分卡!$F$13:$J$13,打分卡!$K$13:$O$13),1)</f>
        <v>3</v>
      </c>
      <c r="AJ1085" s="42">
        <f>IFERROR(LOOKUP(Y1085,打分卡!$F$14:$J$14,打分卡!$K$14:$O$14),1)</f>
        <v>2</v>
      </c>
      <c r="AK1085" s="42">
        <f>IFERROR(LOOKUP(W1085,打分卡!$F$15:$J$15,打分卡!$K$15:$O$15),1)</f>
        <v>2</v>
      </c>
      <c r="AL1085" s="45">
        <f t="shared" si="129"/>
        <v>5</v>
      </c>
      <c r="AM1085" s="42">
        <f>IFERROR(LOOKUP(Z1085,打分卡!$F$17:$H$17,打分卡!$K$17:$M$17),1)</f>
        <v>1</v>
      </c>
      <c r="AN1085" s="46">
        <f>(打分卡!$D$7*AC1085+打分卡!$D$8*AD1085+打分卡!$D$9*AE1085)/5</f>
        <v>8</v>
      </c>
      <c r="AO1085" s="46">
        <f>(打分卡!$D$10*AF1085+打分卡!$D$11*AG1085)/5</f>
        <v>4</v>
      </c>
      <c r="AP1085" s="46">
        <f>(打分卡!$D$12*AH1085+打分卡!$D$13*AI1085+打分卡!$D$14*AJ1085+打分卡!$D$15*AK1085)/5</f>
        <v>16</v>
      </c>
      <c r="AQ1085" s="46">
        <f>(打分卡!$D$16*AL1085+打分卡!$D$17*AM1085)/5</f>
        <v>6.8</v>
      </c>
      <c r="AR1085" s="48">
        <f t="shared" si="130"/>
        <v>34.8</v>
      </c>
      <c r="AS1085" s="45" t="str">
        <f t="shared" si="131"/>
        <v>基础长尾</v>
      </c>
      <c r="AT1085" s="45" t="str">
        <f t="shared" si="132"/>
        <v/>
      </c>
      <c r="AU1085" s="45" t="str">
        <f t="shared" si="133"/>
        <v>激活：企微+Push低成本先跑</v>
      </c>
    </row>
    <row r="1086" ht="15" customHeight="1" spans="1:47">
      <c r="A1086" s="30" t="s">
        <v>2948</v>
      </c>
      <c r="B1086" s="31" t="s">
        <v>2949</v>
      </c>
      <c r="C1086" s="31" t="s">
        <v>223</v>
      </c>
      <c r="D1086" s="31" t="s">
        <v>202</v>
      </c>
      <c r="E1086" s="31" t="s">
        <v>181</v>
      </c>
      <c r="F1086" s="30" t="s">
        <v>2831</v>
      </c>
      <c r="G1086" s="31">
        <v>3</v>
      </c>
      <c r="H1086" s="31" t="s">
        <v>642</v>
      </c>
      <c r="I1086" s="31" t="s">
        <v>302</v>
      </c>
      <c r="J1086" s="33">
        <v>1900</v>
      </c>
      <c r="K1086" s="33">
        <v>900</v>
      </c>
      <c r="L1086" s="33">
        <v>200</v>
      </c>
      <c r="M1086" s="33">
        <f t="shared" si="128"/>
        <v>3000</v>
      </c>
      <c r="N1086" s="34">
        <f t="shared" si="134"/>
        <v>1.57279195737105e-5</v>
      </c>
      <c r="O1086" s="35">
        <f>SUM($M$2:M1086)</f>
        <v>190353700</v>
      </c>
      <c r="P1086" s="34">
        <f t="shared" si="135"/>
        <v>0.997955894719403</v>
      </c>
      <c r="Q1086" s="37">
        <v>0.2</v>
      </c>
      <c r="R1086" s="31">
        <v>2</v>
      </c>
      <c r="S1086" s="31">
        <v>0</v>
      </c>
      <c r="T1086" s="31">
        <v>0</v>
      </c>
      <c r="U1086" s="37">
        <v>7.9</v>
      </c>
      <c r="V1086" s="31">
        <v>12</v>
      </c>
      <c r="W1086" s="31">
        <v>2</v>
      </c>
      <c r="X1086" s="38">
        <v>39</v>
      </c>
      <c r="Y1086" s="31">
        <v>1</v>
      </c>
      <c r="Z1086" s="31">
        <v>0</v>
      </c>
      <c r="AA1086" s="31" t="s">
        <v>199</v>
      </c>
      <c r="AB1086" s="31" t="s">
        <v>220</v>
      </c>
      <c r="AC1086" s="41">
        <f>IFERROR(LOOKUP(M1086,打分卡!$F$7:$J$7,打分卡!$K$7:$O$7),1)</f>
        <v>1</v>
      </c>
      <c r="AD1086" s="41">
        <f>IFERROR(LOOKUP(S1086,打分卡!$F$8:$J$8,打分卡!$K$8:$O$8),1)</f>
        <v>1</v>
      </c>
      <c r="AE1086" s="41">
        <f>IFERROR(LOOKUP(T1086,打分卡!$F$9:$I$9,打分卡!$K$9:$N$9),1)</f>
        <v>1</v>
      </c>
      <c r="AF1086" s="41">
        <f>IFERROR(LOOKUP(Q1086,打分卡!$F$10:$J$10,打分卡!$K$10:$O$10),1)</f>
        <v>1</v>
      </c>
      <c r="AG1086" s="41">
        <f>IFERROR(LOOKUP(R1086,打分卡!$F$11:$J$11,打分卡!$K$11:$O$11),1)</f>
        <v>1</v>
      </c>
      <c r="AH1086" s="41">
        <f>IFERROR(LOOKUP(U1086,打分卡!$F$12:$J$12,打分卡!$K$12:$O$12),1)</f>
        <v>2</v>
      </c>
      <c r="AI1086" s="41">
        <f>IFERROR(LOOKUP(X1086,打分卡!$F$13:$J$13,打分卡!$K$13:$O$13),1)</f>
        <v>3</v>
      </c>
      <c r="AJ1086" s="41">
        <f>IFERROR(LOOKUP(Y1086,打分卡!$F$14:$J$14,打分卡!$K$14:$O$14),1)</f>
        <v>2</v>
      </c>
      <c r="AK1086" s="41">
        <f>IFERROR(LOOKUP(W1086,打分卡!$F$15:$J$15,打分卡!$K$15:$O$15),1)</f>
        <v>2</v>
      </c>
      <c r="AL1086" s="43">
        <f t="shared" si="129"/>
        <v>5</v>
      </c>
      <c r="AM1086" s="41">
        <f>IFERROR(LOOKUP(Z1086,打分卡!$F$17:$H$17,打分卡!$K$17:$M$17),1)</f>
        <v>1</v>
      </c>
      <c r="AN1086" s="44">
        <f>(打分卡!$D$7*AC1086+打分卡!$D$8*AD1086+打分卡!$D$9*AE1086)/5</f>
        <v>8</v>
      </c>
      <c r="AO1086" s="44">
        <f>(打分卡!$D$10*AF1086+打分卡!$D$11*AG1086)/5</f>
        <v>4</v>
      </c>
      <c r="AP1086" s="44">
        <f>(打分卡!$D$12*AH1086+打分卡!$D$13*AI1086+打分卡!$D$14*AJ1086+打分卡!$D$15*AK1086)/5</f>
        <v>13.6</v>
      </c>
      <c r="AQ1086" s="44">
        <f>(打分卡!$D$16*AL1086+打分卡!$D$17*AM1086)/5</f>
        <v>6.8</v>
      </c>
      <c r="AR1086" s="47">
        <f t="shared" si="130"/>
        <v>32.4</v>
      </c>
      <c r="AS1086" s="43" t="str">
        <f t="shared" si="131"/>
        <v>基础长尾</v>
      </c>
      <c r="AT1086" s="43" t="str">
        <f t="shared" si="132"/>
        <v/>
      </c>
      <c r="AU1086" s="43" t="str">
        <f t="shared" si="133"/>
        <v>激活：企微+Push低成本先跑</v>
      </c>
    </row>
    <row r="1087" ht="15" customHeight="1" spans="1:47">
      <c r="A1087" s="20" t="s">
        <v>2950</v>
      </c>
      <c r="B1087" s="22" t="s">
        <v>2951</v>
      </c>
      <c r="C1087" s="22" t="s">
        <v>179</v>
      </c>
      <c r="D1087" s="22" t="s">
        <v>202</v>
      </c>
      <c r="E1087" s="22" t="s">
        <v>181</v>
      </c>
      <c r="F1087" s="20" t="s">
        <v>956</v>
      </c>
      <c r="G1087" s="22">
        <v>3</v>
      </c>
      <c r="H1087" s="22" t="s">
        <v>642</v>
      </c>
      <c r="I1087" s="22" t="s">
        <v>302</v>
      </c>
      <c r="J1087" s="36">
        <v>1500</v>
      </c>
      <c r="K1087" s="36">
        <v>700</v>
      </c>
      <c r="L1087" s="36">
        <v>800</v>
      </c>
      <c r="M1087" s="36">
        <f t="shared" si="128"/>
        <v>3000</v>
      </c>
      <c r="N1087" s="34">
        <f t="shared" si="134"/>
        <v>1.57279195737105e-5</v>
      </c>
      <c r="O1087" s="35">
        <f>SUM($M$2:M1087)</f>
        <v>190356700</v>
      </c>
      <c r="P1087" s="34">
        <f t="shared" si="135"/>
        <v>0.997971622638977</v>
      </c>
      <c r="Q1087" s="39">
        <v>0.4</v>
      </c>
      <c r="R1087" s="22">
        <v>2</v>
      </c>
      <c r="S1087" s="22">
        <v>0</v>
      </c>
      <c r="T1087" s="22">
        <v>0</v>
      </c>
      <c r="U1087" s="39">
        <v>6.2</v>
      </c>
      <c r="V1087" s="22">
        <v>14</v>
      </c>
      <c r="W1087" s="22">
        <v>0</v>
      </c>
      <c r="X1087" s="40">
        <v>22</v>
      </c>
      <c r="Y1087" s="22">
        <v>0</v>
      </c>
      <c r="Z1087" s="22">
        <v>0</v>
      </c>
      <c r="AA1087" s="22" t="s">
        <v>199</v>
      </c>
      <c r="AB1087" s="22" t="s">
        <v>220</v>
      </c>
      <c r="AC1087" s="42">
        <f>IFERROR(LOOKUP(M1087,打分卡!$F$7:$J$7,打分卡!$K$7:$O$7),1)</f>
        <v>1</v>
      </c>
      <c r="AD1087" s="42">
        <f>IFERROR(LOOKUP(S1087,打分卡!$F$8:$J$8,打分卡!$K$8:$O$8),1)</f>
        <v>1</v>
      </c>
      <c r="AE1087" s="42">
        <f>IFERROR(LOOKUP(T1087,打分卡!$F$9:$I$9,打分卡!$K$9:$N$9),1)</f>
        <v>1</v>
      </c>
      <c r="AF1087" s="42">
        <f>IFERROR(LOOKUP(Q1087,打分卡!$F$10:$J$10,打分卡!$K$10:$O$10),1)</f>
        <v>1</v>
      </c>
      <c r="AG1087" s="42">
        <f>IFERROR(LOOKUP(R1087,打分卡!$F$11:$J$11,打分卡!$K$11:$O$11),1)</f>
        <v>1</v>
      </c>
      <c r="AH1087" s="42">
        <f>IFERROR(LOOKUP(U1087,打分卡!$F$12:$J$12,打分卡!$K$12:$O$12),1)</f>
        <v>2</v>
      </c>
      <c r="AI1087" s="42">
        <f>IFERROR(LOOKUP(X1087,打分卡!$F$13:$J$13,打分卡!$K$13:$O$13),1)</f>
        <v>2</v>
      </c>
      <c r="AJ1087" s="42">
        <f>IFERROR(LOOKUP(Y1087,打分卡!$F$14:$J$14,打分卡!$K$14:$O$14),1)</f>
        <v>1</v>
      </c>
      <c r="AK1087" s="42">
        <f>IFERROR(LOOKUP(W1087,打分卡!$F$15:$J$15,打分卡!$K$15:$O$15),1)</f>
        <v>1</v>
      </c>
      <c r="AL1087" s="45">
        <f t="shared" si="129"/>
        <v>5</v>
      </c>
      <c r="AM1087" s="42">
        <f>IFERROR(LOOKUP(Z1087,打分卡!$F$17:$H$17,打分卡!$K$17:$M$17),1)</f>
        <v>1</v>
      </c>
      <c r="AN1087" s="46">
        <f>(打分卡!$D$7*AC1087+打分卡!$D$8*AD1087+打分卡!$D$9*AE1087)/5</f>
        <v>8</v>
      </c>
      <c r="AO1087" s="46">
        <f>(打分卡!$D$10*AF1087+打分卡!$D$11*AG1087)/5</f>
        <v>4</v>
      </c>
      <c r="AP1087" s="46">
        <f>(打分卡!$D$12*AH1087+打分卡!$D$13*AI1087+打分卡!$D$14*AJ1087+打分卡!$D$15*AK1087)/5</f>
        <v>10</v>
      </c>
      <c r="AQ1087" s="46">
        <f>(打分卡!$D$16*AL1087+打分卡!$D$17*AM1087)/5</f>
        <v>6.8</v>
      </c>
      <c r="AR1087" s="48">
        <f t="shared" si="130"/>
        <v>28.8</v>
      </c>
      <c r="AS1087" s="45" t="str">
        <f t="shared" si="131"/>
        <v>基础长尾</v>
      </c>
      <c r="AT1087" s="45" t="str">
        <f t="shared" si="132"/>
        <v/>
      </c>
      <c r="AU1087" s="45" t="str">
        <f t="shared" si="133"/>
        <v>激活：企微+Push低成本先跑</v>
      </c>
    </row>
    <row r="1088" ht="15" customHeight="1" spans="1:47">
      <c r="A1088" s="30" t="s">
        <v>2952</v>
      </c>
      <c r="B1088" s="31" t="s">
        <v>2953</v>
      </c>
      <c r="C1088" s="31" t="s">
        <v>234</v>
      </c>
      <c r="D1088" s="31" t="s">
        <v>252</v>
      </c>
      <c r="E1088" s="31" t="s">
        <v>181</v>
      </c>
      <c r="F1088" s="30" t="s">
        <v>2895</v>
      </c>
      <c r="G1088" s="31">
        <v>1</v>
      </c>
      <c r="H1088" s="31" t="s">
        <v>642</v>
      </c>
      <c r="I1088" s="31" t="s">
        <v>302</v>
      </c>
      <c r="J1088" s="33">
        <v>1700</v>
      </c>
      <c r="K1088" s="33">
        <v>900</v>
      </c>
      <c r="L1088" s="33">
        <v>300</v>
      </c>
      <c r="M1088" s="33">
        <f t="shared" si="128"/>
        <v>2900</v>
      </c>
      <c r="N1088" s="34">
        <f t="shared" si="134"/>
        <v>1.52036555879201e-5</v>
      </c>
      <c r="O1088" s="35">
        <f>SUM($M$2:M1088)</f>
        <v>190359600</v>
      </c>
      <c r="P1088" s="34">
        <f t="shared" si="135"/>
        <v>0.997986826294565</v>
      </c>
      <c r="Q1088" s="37">
        <v>0.3</v>
      </c>
      <c r="R1088" s="31">
        <v>3</v>
      </c>
      <c r="S1088" s="31">
        <v>0</v>
      </c>
      <c r="T1088" s="31">
        <v>0</v>
      </c>
      <c r="U1088" s="37">
        <v>0.6</v>
      </c>
      <c r="V1088" s="31">
        <v>4</v>
      </c>
      <c r="W1088" s="31">
        <v>0</v>
      </c>
      <c r="X1088" s="38">
        <v>16</v>
      </c>
      <c r="Y1088" s="31">
        <v>0</v>
      </c>
      <c r="Z1088" s="31">
        <v>0</v>
      </c>
      <c r="AA1088" s="31" t="s">
        <v>199</v>
      </c>
      <c r="AB1088" s="31" t="s">
        <v>220</v>
      </c>
      <c r="AC1088" s="41">
        <f>IFERROR(LOOKUP(M1088,打分卡!$F$7:$J$7,打分卡!$K$7:$O$7),1)</f>
        <v>1</v>
      </c>
      <c r="AD1088" s="41">
        <f>IFERROR(LOOKUP(S1088,打分卡!$F$8:$J$8,打分卡!$K$8:$O$8),1)</f>
        <v>1</v>
      </c>
      <c r="AE1088" s="41">
        <f>IFERROR(LOOKUP(T1088,打分卡!$F$9:$I$9,打分卡!$K$9:$N$9),1)</f>
        <v>1</v>
      </c>
      <c r="AF1088" s="41">
        <f>IFERROR(LOOKUP(Q1088,打分卡!$F$10:$J$10,打分卡!$K$10:$O$10),1)</f>
        <v>1</v>
      </c>
      <c r="AG1088" s="41">
        <f>IFERROR(LOOKUP(R1088,打分卡!$F$11:$J$11,打分卡!$K$11:$O$11),1)</f>
        <v>2</v>
      </c>
      <c r="AH1088" s="41">
        <f>IFERROR(LOOKUP(U1088,打分卡!$F$12:$J$12,打分卡!$K$12:$O$12),1)</f>
        <v>1</v>
      </c>
      <c r="AI1088" s="41">
        <f>IFERROR(LOOKUP(X1088,打分卡!$F$13:$J$13,打分卡!$K$13:$O$13),1)</f>
        <v>1</v>
      </c>
      <c r="AJ1088" s="41">
        <f>IFERROR(LOOKUP(Y1088,打分卡!$F$14:$J$14,打分卡!$K$14:$O$14),1)</f>
        <v>1</v>
      </c>
      <c r="AK1088" s="41">
        <f>IFERROR(LOOKUP(W1088,打分卡!$F$15:$J$15,打分卡!$K$15:$O$15),1)</f>
        <v>1</v>
      </c>
      <c r="AL1088" s="43">
        <f t="shared" si="129"/>
        <v>5</v>
      </c>
      <c r="AM1088" s="41">
        <f>IFERROR(LOOKUP(Z1088,打分卡!$F$17:$H$17,打分卡!$K$17:$M$17),1)</f>
        <v>1</v>
      </c>
      <c r="AN1088" s="44">
        <f>(打分卡!$D$7*AC1088+打分卡!$D$8*AD1088+打分卡!$D$9*AE1088)/5</f>
        <v>8</v>
      </c>
      <c r="AO1088" s="44">
        <f>(打分卡!$D$10*AF1088+打分卡!$D$11*AG1088)/5</f>
        <v>6</v>
      </c>
      <c r="AP1088" s="44">
        <f>(打分卡!$D$12*AH1088+打分卡!$D$13*AI1088+打分卡!$D$14*AJ1088+打分卡!$D$15*AK1088)/5</f>
        <v>6</v>
      </c>
      <c r="AQ1088" s="44">
        <f>(打分卡!$D$16*AL1088+打分卡!$D$17*AM1088)/5</f>
        <v>6.8</v>
      </c>
      <c r="AR1088" s="47">
        <f t="shared" si="130"/>
        <v>26.8</v>
      </c>
      <c r="AS1088" s="43" t="str">
        <f t="shared" si="131"/>
        <v>基础长尾</v>
      </c>
      <c r="AT1088" s="43" t="str">
        <f t="shared" si="132"/>
        <v/>
      </c>
      <c r="AU1088" s="43" t="str">
        <f t="shared" si="133"/>
        <v>激活：企微+Push低成本先跑</v>
      </c>
    </row>
    <row r="1089" ht="15" customHeight="1" spans="1:47">
      <c r="A1089" s="20" t="s">
        <v>2954</v>
      </c>
      <c r="B1089" s="22" t="s">
        <v>2955</v>
      </c>
      <c r="C1089" s="22" t="s">
        <v>239</v>
      </c>
      <c r="D1089" s="22" t="s">
        <v>202</v>
      </c>
      <c r="E1089" s="22" t="s">
        <v>197</v>
      </c>
      <c r="F1089" s="20" t="s">
        <v>2861</v>
      </c>
      <c r="G1089" s="22">
        <v>2</v>
      </c>
      <c r="H1089" s="22" t="s">
        <v>642</v>
      </c>
      <c r="I1089" s="22" t="s">
        <v>302</v>
      </c>
      <c r="J1089" s="36">
        <v>1800</v>
      </c>
      <c r="K1089" s="36">
        <v>800</v>
      </c>
      <c r="L1089" s="36">
        <v>300</v>
      </c>
      <c r="M1089" s="36">
        <f t="shared" si="128"/>
        <v>2900</v>
      </c>
      <c r="N1089" s="34">
        <f t="shared" si="134"/>
        <v>1.52036555879201e-5</v>
      </c>
      <c r="O1089" s="35">
        <f>SUM($M$2:M1089)</f>
        <v>190362500</v>
      </c>
      <c r="P1089" s="34">
        <f t="shared" si="135"/>
        <v>0.998002029950153</v>
      </c>
      <c r="Q1089" s="39">
        <v>0.4</v>
      </c>
      <c r="R1089" s="22">
        <v>2</v>
      </c>
      <c r="S1089" s="22">
        <v>0</v>
      </c>
      <c r="T1089" s="22">
        <v>0</v>
      </c>
      <c r="U1089" s="39">
        <v>0.8</v>
      </c>
      <c r="V1089" s="22">
        <v>12</v>
      </c>
      <c r="W1089" s="22">
        <v>2</v>
      </c>
      <c r="X1089" s="40">
        <v>34</v>
      </c>
      <c r="Y1089" s="22">
        <v>0</v>
      </c>
      <c r="Z1089" s="22">
        <v>0</v>
      </c>
      <c r="AA1089" s="22" t="s">
        <v>199</v>
      </c>
      <c r="AB1089" s="22" t="s">
        <v>220</v>
      </c>
      <c r="AC1089" s="42">
        <f>IFERROR(LOOKUP(M1089,打分卡!$F$7:$J$7,打分卡!$K$7:$O$7),1)</f>
        <v>1</v>
      </c>
      <c r="AD1089" s="42">
        <f>IFERROR(LOOKUP(S1089,打分卡!$F$8:$J$8,打分卡!$K$8:$O$8),1)</f>
        <v>1</v>
      </c>
      <c r="AE1089" s="42">
        <f>IFERROR(LOOKUP(T1089,打分卡!$F$9:$I$9,打分卡!$K$9:$N$9),1)</f>
        <v>1</v>
      </c>
      <c r="AF1089" s="42">
        <f>IFERROR(LOOKUP(Q1089,打分卡!$F$10:$J$10,打分卡!$K$10:$O$10),1)</f>
        <v>1</v>
      </c>
      <c r="AG1089" s="42">
        <f>IFERROR(LOOKUP(R1089,打分卡!$F$11:$J$11,打分卡!$K$11:$O$11),1)</f>
        <v>1</v>
      </c>
      <c r="AH1089" s="42">
        <f>IFERROR(LOOKUP(U1089,打分卡!$F$12:$J$12,打分卡!$K$12:$O$12),1)</f>
        <v>1</v>
      </c>
      <c r="AI1089" s="42">
        <f>IFERROR(LOOKUP(X1089,打分卡!$F$13:$J$13,打分卡!$K$13:$O$13),1)</f>
        <v>2</v>
      </c>
      <c r="AJ1089" s="42">
        <f>IFERROR(LOOKUP(Y1089,打分卡!$F$14:$J$14,打分卡!$K$14:$O$14),1)</f>
        <v>1</v>
      </c>
      <c r="AK1089" s="42">
        <f>IFERROR(LOOKUP(W1089,打分卡!$F$15:$J$15,打分卡!$K$15:$O$15),1)</f>
        <v>2</v>
      </c>
      <c r="AL1089" s="45">
        <f t="shared" si="129"/>
        <v>5</v>
      </c>
      <c r="AM1089" s="42">
        <f>IFERROR(LOOKUP(Z1089,打分卡!$F$17:$H$17,打分卡!$K$17:$M$17),1)</f>
        <v>1</v>
      </c>
      <c r="AN1089" s="46">
        <f>(打分卡!$D$7*AC1089+打分卡!$D$8*AD1089+打分卡!$D$9*AE1089)/5</f>
        <v>8</v>
      </c>
      <c r="AO1089" s="46">
        <f>(打分卡!$D$10*AF1089+打分卡!$D$11*AG1089)/5</f>
        <v>4</v>
      </c>
      <c r="AP1089" s="46">
        <f>(打分卡!$D$12*AH1089+打分卡!$D$13*AI1089+打分卡!$D$14*AJ1089+打分卡!$D$15*AK1089)/5</f>
        <v>8.4</v>
      </c>
      <c r="AQ1089" s="46">
        <f>(打分卡!$D$16*AL1089+打分卡!$D$17*AM1089)/5</f>
        <v>6.8</v>
      </c>
      <c r="AR1089" s="48">
        <f t="shared" si="130"/>
        <v>30.4</v>
      </c>
      <c r="AS1089" s="45" t="str">
        <f t="shared" si="131"/>
        <v>基础长尾</v>
      </c>
      <c r="AT1089" s="45" t="str">
        <f t="shared" si="132"/>
        <v/>
      </c>
      <c r="AU1089" s="45" t="str">
        <f t="shared" si="133"/>
        <v>激活：企微+Push低成本先跑</v>
      </c>
    </row>
    <row r="1090" ht="15" customHeight="1" spans="1:47">
      <c r="A1090" s="30" t="s">
        <v>2956</v>
      </c>
      <c r="B1090" s="31" t="s">
        <v>2957</v>
      </c>
      <c r="C1090" s="31" t="s">
        <v>179</v>
      </c>
      <c r="D1090" s="31" t="s">
        <v>202</v>
      </c>
      <c r="E1090" s="31" t="s">
        <v>181</v>
      </c>
      <c r="F1090" s="30" t="s">
        <v>2818</v>
      </c>
      <c r="G1090" s="31">
        <v>1</v>
      </c>
      <c r="H1090" s="31" t="s">
        <v>642</v>
      </c>
      <c r="I1090" s="31" t="s">
        <v>302</v>
      </c>
      <c r="J1090" s="33">
        <v>1800</v>
      </c>
      <c r="K1090" s="33">
        <v>900</v>
      </c>
      <c r="L1090" s="33">
        <v>100</v>
      </c>
      <c r="M1090" s="33">
        <f t="shared" ref="M1090:M1153" si="136">SUM(J1090:L1090)</f>
        <v>2800</v>
      </c>
      <c r="N1090" s="34">
        <f t="shared" si="134"/>
        <v>1.46793916021298e-5</v>
      </c>
      <c r="O1090" s="35">
        <f>SUM($M$2:M1090)</f>
        <v>190365300</v>
      </c>
      <c r="P1090" s="34">
        <f t="shared" si="135"/>
        <v>0.998016709341755</v>
      </c>
      <c r="Q1090" s="37">
        <v>0.3</v>
      </c>
      <c r="R1090" s="31">
        <v>2</v>
      </c>
      <c r="S1090" s="31">
        <v>0</v>
      </c>
      <c r="T1090" s="31">
        <v>0</v>
      </c>
      <c r="U1090" s="37">
        <v>5</v>
      </c>
      <c r="V1090" s="31">
        <v>14</v>
      </c>
      <c r="W1090" s="31">
        <v>1</v>
      </c>
      <c r="X1090" s="38">
        <v>55</v>
      </c>
      <c r="Y1090" s="31">
        <v>1</v>
      </c>
      <c r="Z1090" s="31">
        <v>0</v>
      </c>
      <c r="AA1090" s="31" t="s">
        <v>199</v>
      </c>
      <c r="AB1090" s="31" t="s">
        <v>220</v>
      </c>
      <c r="AC1090" s="41">
        <f>IFERROR(LOOKUP(M1090,打分卡!$F$7:$J$7,打分卡!$K$7:$O$7),1)</f>
        <v>1</v>
      </c>
      <c r="AD1090" s="41">
        <f>IFERROR(LOOKUP(S1090,打分卡!$F$8:$J$8,打分卡!$K$8:$O$8),1)</f>
        <v>1</v>
      </c>
      <c r="AE1090" s="41">
        <f>IFERROR(LOOKUP(T1090,打分卡!$F$9:$I$9,打分卡!$K$9:$N$9),1)</f>
        <v>1</v>
      </c>
      <c r="AF1090" s="41">
        <f>IFERROR(LOOKUP(Q1090,打分卡!$F$10:$J$10,打分卡!$K$10:$O$10),1)</f>
        <v>1</v>
      </c>
      <c r="AG1090" s="41">
        <f>IFERROR(LOOKUP(R1090,打分卡!$F$11:$J$11,打分卡!$K$11:$O$11),1)</f>
        <v>1</v>
      </c>
      <c r="AH1090" s="41">
        <f>IFERROR(LOOKUP(U1090,打分卡!$F$12:$J$12,打分卡!$K$12:$O$12),1)</f>
        <v>2</v>
      </c>
      <c r="AI1090" s="41">
        <f>IFERROR(LOOKUP(X1090,打分卡!$F$13:$J$13,打分卡!$K$13:$O$13),1)</f>
        <v>3</v>
      </c>
      <c r="AJ1090" s="41">
        <f>IFERROR(LOOKUP(Y1090,打分卡!$F$14:$J$14,打分卡!$K$14:$O$14),1)</f>
        <v>2</v>
      </c>
      <c r="AK1090" s="41">
        <f>IFERROR(LOOKUP(W1090,打分卡!$F$15:$J$15,打分卡!$K$15:$O$15),1)</f>
        <v>2</v>
      </c>
      <c r="AL1090" s="43">
        <f t="shared" ref="AL1090:AL1153" si="137">IF(AA1090="连续下降",1,IF(AA1090="下降",2,IF(AA1090="上升",5,3)))</f>
        <v>5</v>
      </c>
      <c r="AM1090" s="41">
        <f>IFERROR(LOOKUP(Z1090,打分卡!$F$17:$H$17,打分卡!$K$17:$M$17),1)</f>
        <v>1</v>
      </c>
      <c r="AN1090" s="44">
        <f>(打分卡!$D$7*AC1090+打分卡!$D$8*AD1090+打分卡!$D$9*AE1090)/5</f>
        <v>8</v>
      </c>
      <c r="AO1090" s="44">
        <f>(打分卡!$D$10*AF1090+打分卡!$D$11*AG1090)/5</f>
        <v>4</v>
      </c>
      <c r="AP1090" s="44">
        <f>(打分卡!$D$12*AH1090+打分卡!$D$13*AI1090+打分卡!$D$14*AJ1090+打分卡!$D$15*AK1090)/5</f>
        <v>13.6</v>
      </c>
      <c r="AQ1090" s="44">
        <f>(打分卡!$D$16*AL1090+打分卡!$D$17*AM1090)/5</f>
        <v>6.8</v>
      </c>
      <c r="AR1090" s="47">
        <f t="shared" ref="AR1090:AR1153" si="138">IF(G1090&lt;3,AP1090/30*40+AO1090+AP1090+AQ1090,AN1090+AO1090+AP1090+AQ1090)</f>
        <v>42.5333333333333</v>
      </c>
      <c r="AS1090" s="43" t="str">
        <f t="shared" ref="AS1090:AS1153" si="139">IF(M1090=0,IF(G1090&lt;3,"新客观察期","未激活"),IF(AR1090&gt;=90,"SKA",IF(AR1090&gt;=75,"KA",IF(AR1090&gt;=40,"腰部","基础长尾"))))</f>
        <v>腰部</v>
      </c>
      <c r="AT1090" s="43" t="str">
        <f t="shared" ref="AT1090:AT1153" si="140">IF(AA1090="连续下降","连续下降-预警","")</f>
        <v/>
      </c>
      <c r="AU1090" s="43" t="str">
        <f t="shared" ref="AU1090:AU1153" si="141">IF(AS1090="SKA","守·共创：卡片短信/AI外呼新场景POC",IF(AS1090="KA","扩·深化：AI外呼场景深化+Push/企微补全",IF(AS1090="腰部","拉·主攻：主推AI外呼+大促作战包",IF(AS1090="新客观察期","培育：入门包+1v1场景教育",IF(AS1090="基础长尾","激活：企微+Push低成本先跑","唤醒：短信模板+首充补贴")))))</f>
        <v>拉·主攻：主推AI外呼+大促作战包</v>
      </c>
    </row>
    <row r="1091" ht="15" customHeight="1" spans="1:47">
      <c r="A1091" s="20" t="s">
        <v>2958</v>
      </c>
      <c r="B1091" s="22" t="s">
        <v>2959</v>
      </c>
      <c r="C1091" s="22" t="s">
        <v>189</v>
      </c>
      <c r="D1091" s="22" t="s">
        <v>227</v>
      </c>
      <c r="E1091" s="22" t="s">
        <v>181</v>
      </c>
      <c r="F1091" s="20" t="s">
        <v>2913</v>
      </c>
      <c r="G1091" s="22">
        <v>2</v>
      </c>
      <c r="H1091" s="22" t="s">
        <v>642</v>
      </c>
      <c r="I1091" s="22" t="s">
        <v>302</v>
      </c>
      <c r="J1091" s="36">
        <v>1500</v>
      </c>
      <c r="K1091" s="36">
        <v>800</v>
      </c>
      <c r="L1091" s="36">
        <v>600</v>
      </c>
      <c r="M1091" s="36">
        <f t="shared" si="136"/>
        <v>2900</v>
      </c>
      <c r="N1091" s="34">
        <f t="shared" ref="N1091:N1154" si="142">M1091/$M$2002</f>
        <v>1.52036555879201e-5</v>
      </c>
      <c r="O1091" s="35">
        <f>SUM($M$2:M1091)</f>
        <v>190368200</v>
      </c>
      <c r="P1091" s="34">
        <f t="shared" ref="P1091:P1154" si="143">O1091/$M$2002</f>
        <v>0.998031912997343</v>
      </c>
      <c r="Q1091" s="39">
        <v>0.2</v>
      </c>
      <c r="R1091" s="22">
        <v>1</v>
      </c>
      <c r="S1091" s="22">
        <v>1</v>
      </c>
      <c r="T1091" s="22">
        <v>0</v>
      </c>
      <c r="U1091" s="39">
        <v>0.5</v>
      </c>
      <c r="V1091" s="22">
        <v>10</v>
      </c>
      <c r="W1091" s="22">
        <v>2</v>
      </c>
      <c r="X1091" s="40">
        <v>17</v>
      </c>
      <c r="Y1091" s="22">
        <v>1</v>
      </c>
      <c r="Z1091" s="22">
        <v>0</v>
      </c>
      <c r="AA1091" s="22" t="s">
        <v>199</v>
      </c>
      <c r="AB1091" s="22" t="s">
        <v>220</v>
      </c>
      <c r="AC1091" s="42">
        <f>IFERROR(LOOKUP(M1091,打分卡!$F$7:$J$7,打分卡!$K$7:$O$7),1)</f>
        <v>1</v>
      </c>
      <c r="AD1091" s="42">
        <f>IFERROR(LOOKUP(S1091,打分卡!$F$8:$J$8,打分卡!$K$8:$O$8),1)</f>
        <v>1</v>
      </c>
      <c r="AE1091" s="42">
        <f>IFERROR(LOOKUP(T1091,打分卡!$F$9:$I$9,打分卡!$K$9:$N$9),1)</f>
        <v>1</v>
      </c>
      <c r="AF1091" s="42">
        <f>IFERROR(LOOKUP(Q1091,打分卡!$F$10:$J$10,打分卡!$K$10:$O$10),1)</f>
        <v>1</v>
      </c>
      <c r="AG1091" s="42">
        <f>IFERROR(LOOKUP(R1091,打分卡!$F$11:$J$11,打分卡!$K$11:$O$11),1)</f>
        <v>1</v>
      </c>
      <c r="AH1091" s="42">
        <f>IFERROR(LOOKUP(U1091,打分卡!$F$12:$J$12,打分卡!$K$12:$O$12),1)</f>
        <v>1</v>
      </c>
      <c r="AI1091" s="42">
        <f>IFERROR(LOOKUP(X1091,打分卡!$F$13:$J$13,打分卡!$K$13:$O$13),1)</f>
        <v>1</v>
      </c>
      <c r="AJ1091" s="42">
        <f>IFERROR(LOOKUP(Y1091,打分卡!$F$14:$J$14,打分卡!$K$14:$O$14),1)</f>
        <v>2</v>
      </c>
      <c r="AK1091" s="42">
        <f>IFERROR(LOOKUP(W1091,打分卡!$F$15:$J$15,打分卡!$K$15:$O$15),1)</f>
        <v>2</v>
      </c>
      <c r="AL1091" s="45">
        <f t="shared" si="137"/>
        <v>5</v>
      </c>
      <c r="AM1091" s="42">
        <f>IFERROR(LOOKUP(Z1091,打分卡!$F$17:$H$17,打分卡!$K$17:$M$17),1)</f>
        <v>1</v>
      </c>
      <c r="AN1091" s="46">
        <f>(打分卡!$D$7*AC1091+打分卡!$D$8*AD1091+打分卡!$D$9*AE1091)/5</f>
        <v>8</v>
      </c>
      <c r="AO1091" s="46">
        <f>(打分卡!$D$10*AF1091+打分卡!$D$11*AG1091)/5</f>
        <v>4</v>
      </c>
      <c r="AP1091" s="46">
        <f>(打分卡!$D$12*AH1091+打分卡!$D$13*AI1091+打分卡!$D$14*AJ1091+打分卡!$D$15*AK1091)/5</f>
        <v>8</v>
      </c>
      <c r="AQ1091" s="46">
        <f>(打分卡!$D$16*AL1091+打分卡!$D$17*AM1091)/5</f>
        <v>6.8</v>
      </c>
      <c r="AR1091" s="48">
        <f t="shared" si="138"/>
        <v>29.4666666666667</v>
      </c>
      <c r="AS1091" s="45" t="str">
        <f t="shared" si="139"/>
        <v>基础长尾</v>
      </c>
      <c r="AT1091" s="45" t="str">
        <f t="shared" si="140"/>
        <v/>
      </c>
      <c r="AU1091" s="45" t="str">
        <f t="shared" si="141"/>
        <v>激活：企微+Push低成本先跑</v>
      </c>
    </row>
    <row r="1092" ht="15" customHeight="1" spans="1:47">
      <c r="A1092" s="30" t="s">
        <v>2960</v>
      </c>
      <c r="B1092" s="31" t="s">
        <v>2961</v>
      </c>
      <c r="C1092" s="31" t="s">
        <v>189</v>
      </c>
      <c r="D1092" s="31" t="s">
        <v>202</v>
      </c>
      <c r="E1092" s="31" t="s">
        <v>181</v>
      </c>
      <c r="F1092" s="30" t="s">
        <v>2913</v>
      </c>
      <c r="G1092" s="31">
        <v>2</v>
      </c>
      <c r="H1092" s="31" t="s">
        <v>642</v>
      </c>
      <c r="I1092" s="31" t="s">
        <v>302</v>
      </c>
      <c r="J1092" s="33">
        <v>1600</v>
      </c>
      <c r="K1092" s="33">
        <v>1100</v>
      </c>
      <c r="L1092" s="33">
        <v>100</v>
      </c>
      <c r="M1092" s="33">
        <f t="shared" si="136"/>
        <v>2800</v>
      </c>
      <c r="N1092" s="34">
        <f t="shared" si="142"/>
        <v>1.46793916021298e-5</v>
      </c>
      <c r="O1092" s="35">
        <f>SUM($M$2:M1092)</f>
        <v>190371000</v>
      </c>
      <c r="P1092" s="34">
        <f t="shared" si="143"/>
        <v>0.998046592388945</v>
      </c>
      <c r="Q1092" s="37">
        <v>0.3</v>
      </c>
      <c r="R1092" s="31">
        <v>3</v>
      </c>
      <c r="S1092" s="31">
        <v>0</v>
      </c>
      <c r="T1092" s="31">
        <v>0</v>
      </c>
      <c r="U1092" s="37">
        <v>1.2</v>
      </c>
      <c r="V1092" s="31">
        <v>13</v>
      </c>
      <c r="W1092" s="31">
        <v>0</v>
      </c>
      <c r="X1092" s="38">
        <v>43</v>
      </c>
      <c r="Y1092" s="31">
        <v>1</v>
      </c>
      <c r="Z1092" s="31">
        <v>0</v>
      </c>
      <c r="AA1092" s="31" t="s">
        <v>199</v>
      </c>
      <c r="AB1092" s="31" t="s">
        <v>220</v>
      </c>
      <c r="AC1092" s="41">
        <f>IFERROR(LOOKUP(M1092,打分卡!$F$7:$J$7,打分卡!$K$7:$O$7),1)</f>
        <v>1</v>
      </c>
      <c r="AD1092" s="41">
        <f>IFERROR(LOOKUP(S1092,打分卡!$F$8:$J$8,打分卡!$K$8:$O$8),1)</f>
        <v>1</v>
      </c>
      <c r="AE1092" s="41">
        <f>IFERROR(LOOKUP(T1092,打分卡!$F$9:$I$9,打分卡!$K$9:$N$9),1)</f>
        <v>1</v>
      </c>
      <c r="AF1092" s="41">
        <f>IFERROR(LOOKUP(Q1092,打分卡!$F$10:$J$10,打分卡!$K$10:$O$10),1)</f>
        <v>1</v>
      </c>
      <c r="AG1092" s="41">
        <f>IFERROR(LOOKUP(R1092,打分卡!$F$11:$J$11,打分卡!$K$11:$O$11),1)</f>
        <v>2</v>
      </c>
      <c r="AH1092" s="41">
        <f>IFERROR(LOOKUP(U1092,打分卡!$F$12:$J$12,打分卡!$K$12:$O$12),1)</f>
        <v>1</v>
      </c>
      <c r="AI1092" s="41">
        <f>IFERROR(LOOKUP(X1092,打分卡!$F$13:$J$13,打分卡!$K$13:$O$13),1)</f>
        <v>3</v>
      </c>
      <c r="AJ1092" s="41">
        <f>IFERROR(LOOKUP(Y1092,打分卡!$F$14:$J$14,打分卡!$K$14:$O$14),1)</f>
        <v>2</v>
      </c>
      <c r="AK1092" s="41">
        <f>IFERROR(LOOKUP(W1092,打分卡!$F$15:$J$15,打分卡!$K$15:$O$15),1)</f>
        <v>1</v>
      </c>
      <c r="AL1092" s="43">
        <f t="shared" si="137"/>
        <v>5</v>
      </c>
      <c r="AM1092" s="41">
        <f>IFERROR(LOOKUP(Z1092,打分卡!$F$17:$H$17,打分卡!$K$17:$M$17),1)</f>
        <v>1</v>
      </c>
      <c r="AN1092" s="44">
        <f>(打分卡!$D$7*AC1092+打分卡!$D$8*AD1092+打分卡!$D$9*AE1092)/5</f>
        <v>8</v>
      </c>
      <c r="AO1092" s="44">
        <f>(打分卡!$D$10*AF1092+打分卡!$D$11*AG1092)/5</f>
        <v>6</v>
      </c>
      <c r="AP1092" s="44">
        <f>(打分卡!$D$12*AH1092+打分卡!$D$13*AI1092+打分卡!$D$14*AJ1092+打分卡!$D$15*AK1092)/5</f>
        <v>10.4</v>
      </c>
      <c r="AQ1092" s="44">
        <f>(打分卡!$D$16*AL1092+打分卡!$D$17*AM1092)/5</f>
        <v>6.8</v>
      </c>
      <c r="AR1092" s="47">
        <f t="shared" si="138"/>
        <v>37.0666666666667</v>
      </c>
      <c r="AS1092" s="43" t="str">
        <f t="shared" si="139"/>
        <v>基础长尾</v>
      </c>
      <c r="AT1092" s="43" t="str">
        <f t="shared" si="140"/>
        <v/>
      </c>
      <c r="AU1092" s="43" t="str">
        <f t="shared" si="141"/>
        <v>激活：企微+Push低成本先跑</v>
      </c>
    </row>
    <row r="1093" ht="15" customHeight="1" spans="1:47">
      <c r="A1093" s="20" t="s">
        <v>2962</v>
      </c>
      <c r="B1093" s="22" t="s">
        <v>2963</v>
      </c>
      <c r="C1093" s="22" t="s">
        <v>179</v>
      </c>
      <c r="D1093" s="22" t="s">
        <v>202</v>
      </c>
      <c r="E1093" s="22" t="s">
        <v>181</v>
      </c>
      <c r="F1093" s="20" t="s">
        <v>2964</v>
      </c>
      <c r="G1093" s="22">
        <v>1</v>
      </c>
      <c r="H1093" s="22" t="s">
        <v>642</v>
      </c>
      <c r="I1093" s="22" t="s">
        <v>302</v>
      </c>
      <c r="J1093" s="36">
        <v>1700</v>
      </c>
      <c r="K1093" s="36">
        <v>1000</v>
      </c>
      <c r="L1093" s="36">
        <v>100</v>
      </c>
      <c r="M1093" s="36">
        <f t="shared" si="136"/>
        <v>2800</v>
      </c>
      <c r="N1093" s="34">
        <f t="shared" si="142"/>
        <v>1.46793916021298e-5</v>
      </c>
      <c r="O1093" s="35">
        <f>SUM($M$2:M1093)</f>
        <v>190373800</v>
      </c>
      <c r="P1093" s="34">
        <f t="shared" si="143"/>
        <v>0.998061271780547</v>
      </c>
      <c r="Q1093" s="39">
        <v>0.4</v>
      </c>
      <c r="R1093" s="22">
        <v>3</v>
      </c>
      <c r="S1093" s="22">
        <v>1</v>
      </c>
      <c r="T1093" s="22">
        <v>0</v>
      </c>
      <c r="U1093" s="39">
        <v>36</v>
      </c>
      <c r="V1093" s="22">
        <v>15</v>
      </c>
      <c r="W1093" s="22">
        <v>0</v>
      </c>
      <c r="X1093" s="40">
        <v>22</v>
      </c>
      <c r="Y1093" s="22">
        <v>1</v>
      </c>
      <c r="Z1093" s="22">
        <v>0</v>
      </c>
      <c r="AA1093" s="22" t="s">
        <v>199</v>
      </c>
      <c r="AB1093" s="22" t="s">
        <v>220</v>
      </c>
      <c r="AC1093" s="42">
        <f>IFERROR(LOOKUP(M1093,打分卡!$F$7:$J$7,打分卡!$K$7:$O$7),1)</f>
        <v>1</v>
      </c>
      <c r="AD1093" s="42">
        <f>IFERROR(LOOKUP(S1093,打分卡!$F$8:$J$8,打分卡!$K$8:$O$8),1)</f>
        <v>1</v>
      </c>
      <c r="AE1093" s="42">
        <f>IFERROR(LOOKUP(T1093,打分卡!$F$9:$I$9,打分卡!$K$9:$N$9),1)</f>
        <v>1</v>
      </c>
      <c r="AF1093" s="42">
        <f>IFERROR(LOOKUP(Q1093,打分卡!$F$10:$J$10,打分卡!$K$10:$O$10),1)</f>
        <v>1</v>
      </c>
      <c r="AG1093" s="42">
        <f>IFERROR(LOOKUP(R1093,打分卡!$F$11:$J$11,打分卡!$K$11:$O$11),1)</f>
        <v>2</v>
      </c>
      <c r="AH1093" s="42">
        <f>IFERROR(LOOKUP(U1093,打分卡!$F$12:$J$12,打分卡!$K$12:$O$12),1)</f>
        <v>4</v>
      </c>
      <c r="AI1093" s="42">
        <f>IFERROR(LOOKUP(X1093,打分卡!$F$13:$J$13,打分卡!$K$13:$O$13),1)</f>
        <v>2</v>
      </c>
      <c r="AJ1093" s="42">
        <f>IFERROR(LOOKUP(Y1093,打分卡!$F$14:$J$14,打分卡!$K$14:$O$14),1)</f>
        <v>2</v>
      </c>
      <c r="AK1093" s="42">
        <f>IFERROR(LOOKUP(W1093,打分卡!$F$15:$J$15,打分卡!$K$15:$O$15),1)</f>
        <v>1</v>
      </c>
      <c r="AL1093" s="45">
        <f t="shared" si="137"/>
        <v>5</v>
      </c>
      <c r="AM1093" s="42">
        <f>IFERROR(LOOKUP(Z1093,打分卡!$F$17:$H$17,打分卡!$K$17:$M$17),1)</f>
        <v>1</v>
      </c>
      <c r="AN1093" s="46">
        <f>(打分卡!$D$7*AC1093+打分卡!$D$8*AD1093+打分卡!$D$9*AE1093)/5</f>
        <v>8</v>
      </c>
      <c r="AO1093" s="46">
        <f>(打分卡!$D$10*AF1093+打分卡!$D$11*AG1093)/5</f>
        <v>6</v>
      </c>
      <c r="AP1093" s="46">
        <f>(打分卡!$D$12*AH1093+打分卡!$D$13*AI1093+打分卡!$D$14*AJ1093+打分卡!$D$15*AK1093)/5</f>
        <v>16</v>
      </c>
      <c r="AQ1093" s="46">
        <f>(打分卡!$D$16*AL1093+打分卡!$D$17*AM1093)/5</f>
        <v>6.8</v>
      </c>
      <c r="AR1093" s="48">
        <f t="shared" si="138"/>
        <v>50.1333333333333</v>
      </c>
      <c r="AS1093" s="45" t="str">
        <f t="shared" si="139"/>
        <v>腰部</v>
      </c>
      <c r="AT1093" s="45" t="str">
        <f t="shared" si="140"/>
        <v/>
      </c>
      <c r="AU1093" s="45" t="str">
        <f t="shared" si="141"/>
        <v>拉·主攻：主推AI外呼+大促作战包</v>
      </c>
    </row>
    <row r="1094" ht="15" customHeight="1" spans="1:47">
      <c r="A1094" s="30" t="s">
        <v>2965</v>
      </c>
      <c r="B1094" s="31" t="s">
        <v>2966</v>
      </c>
      <c r="C1094" s="31" t="s">
        <v>239</v>
      </c>
      <c r="D1094" s="31" t="s">
        <v>196</v>
      </c>
      <c r="E1094" s="31" t="s">
        <v>181</v>
      </c>
      <c r="F1094" s="30" t="s">
        <v>2967</v>
      </c>
      <c r="G1094" s="31">
        <v>1</v>
      </c>
      <c r="H1094" s="31" t="s">
        <v>642</v>
      </c>
      <c r="I1094" s="31" t="s">
        <v>302</v>
      </c>
      <c r="J1094" s="33">
        <v>1300</v>
      </c>
      <c r="K1094" s="33">
        <v>1000</v>
      </c>
      <c r="L1094" s="33">
        <v>500</v>
      </c>
      <c r="M1094" s="33">
        <f t="shared" si="136"/>
        <v>2800</v>
      </c>
      <c r="N1094" s="34">
        <f t="shared" si="142"/>
        <v>1.46793916021298e-5</v>
      </c>
      <c r="O1094" s="35">
        <f>SUM($M$2:M1094)</f>
        <v>190376600</v>
      </c>
      <c r="P1094" s="34">
        <f t="shared" si="143"/>
        <v>0.998075951172149</v>
      </c>
      <c r="Q1094" s="37">
        <v>0.2</v>
      </c>
      <c r="R1094" s="31">
        <v>3</v>
      </c>
      <c r="S1094" s="31">
        <v>1</v>
      </c>
      <c r="T1094" s="31">
        <v>0</v>
      </c>
      <c r="U1094" s="37">
        <v>2.2</v>
      </c>
      <c r="V1094" s="31">
        <v>13</v>
      </c>
      <c r="W1094" s="31">
        <v>0</v>
      </c>
      <c r="X1094" s="38">
        <v>11</v>
      </c>
      <c r="Y1094" s="31">
        <v>0</v>
      </c>
      <c r="Z1094" s="31">
        <v>0</v>
      </c>
      <c r="AA1094" s="31" t="s">
        <v>199</v>
      </c>
      <c r="AB1094" s="31" t="s">
        <v>220</v>
      </c>
      <c r="AC1094" s="41">
        <f>IFERROR(LOOKUP(M1094,打分卡!$F$7:$J$7,打分卡!$K$7:$O$7),1)</f>
        <v>1</v>
      </c>
      <c r="AD1094" s="41">
        <f>IFERROR(LOOKUP(S1094,打分卡!$F$8:$J$8,打分卡!$K$8:$O$8),1)</f>
        <v>1</v>
      </c>
      <c r="AE1094" s="41">
        <f>IFERROR(LOOKUP(T1094,打分卡!$F$9:$I$9,打分卡!$K$9:$N$9),1)</f>
        <v>1</v>
      </c>
      <c r="AF1094" s="41">
        <f>IFERROR(LOOKUP(Q1094,打分卡!$F$10:$J$10,打分卡!$K$10:$O$10),1)</f>
        <v>1</v>
      </c>
      <c r="AG1094" s="41">
        <f>IFERROR(LOOKUP(R1094,打分卡!$F$11:$J$11,打分卡!$K$11:$O$11),1)</f>
        <v>2</v>
      </c>
      <c r="AH1094" s="41">
        <f>IFERROR(LOOKUP(U1094,打分卡!$F$12:$J$12,打分卡!$K$12:$O$12),1)</f>
        <v>1</v>
      </c>
      <c r="AI1094" s="41">
        <f>IFERROR(LOOKUP(X1094,打分卡!$F$13:$J$13,打分卡!$K$13:$O$13),1)</f>
        <v>1</v>
      </c>
      <c r="AJ1094" s="41">
        <f>IFERROR(LOOKUP(Y1094,打分卡!$F$14:$J$14,打分卡!$K$14:$O$14),1)</f>
        <v>1</v>
      </c>
      <c r="AK1094" s="41">
        <f>IFERROR(LOOKUP(W1094,打分卡!$F$15:$J$15,打分卡!$K$15:$O$15),1)</f>
        <v>1</v>
      </c>
      <c r="AL1094" s="43">
        <f t="shared" si="137"/>
        <v>5</v>
      </c>
      <c r="AM1094" s="41">
        <f>IFERROR(LOOKUP(Z1094,打分卡!$F$17:$H$17,打分卡!$K$17:$M$17),1)</f>
        <v>1</v>
      </c>
      <c r="AN1094" s="44">
        <f>(打分卡!$D$7*AC1094+打分卡!$D$8*AD1094+打分卡!$D$9*AE1094)/5</f>
        <v>8</v>
      </c>
      <c r="AO1094" s="44">
        <f>(打分卡!$D$10*AF1094+打分卡!$D$11*AG1094)/5</f>
        <v>6</v>
      </c>
      <c r="AP1094" s="44">
        <f>(打分卡!$D$12*AH1094+打分卡!$D$13*AI1094+打分卡!$D$14*AJ1094+打分卡!$D$15*AK1094)/5</f>
        <v>6</v>
      </c>
      <c r="AQ1094" s="44">
        <f>(打分卡!$D$16*AL1094+打分卡!$D$17*AM1094)/5</f>
        <v>6.8</v>
      </c>
      <c r="AR1094" s="47">
        <f t="shared" si="138"/>
        <v>26.8</v>
      </c>
      <c r="AS1094" s="43" t="str">
        <f t="shared" si="139"/>
        <v>基础长尾</v>
      </c>
      <c r="AT1094" s="43" t="str">
        <f t="shared" si="140"/>
        <v/>
      </c>
      <c r="AU1094" s="43" t="str">
        <f t="shared" si="141"/>
        <v>激活：企微+Push低成本先跑</v>
      </c>
    </row>
    <row r="1095" ht="15" customHeight="1" spans="1:47">
      <c r="A1095" s="20" t="s">
        <v>2968</v>
      </c>
      <c r="B1095" s="22" t="s">
        <v>2969</v>
      </c>
      <c r="C1095" s="22" t="s">
        <v>239</v>
      </c>
      <c r="D1095" s="22" t="s">
        <v>190</v>
      </c>
      <c r="E1095" s="22" t="s">
        <v>181</v>
      </c>
      <c r="F1095" s="20" t="s">
        <v>2737</v>
      </c>
      <c r="G1095" s="22">
        <v>1</v>
      </c>
      <c r="H1095" s="22" t="s">
        <v>642</v>
      </c>
      <c r="I1095" s="22" t="s">
        <v>302</v>
      </c>
      <c r="J1095" s="36">
        <v>1700</v>
      </c>
      <c r="K1095" s="36">
        <v>700</v>
      </c>
      <c r="L1095" s="36">
        <v>400</v>
      </c>
      <c r="M1095" s="36">
        <f t="shared" si="136"/>
        <v>2800</v>
      </c>
      <c r="N1095" s="34">
        <f t="shared" si="142"/>
        <v>1.46793916021298e-5</v>
      </c>
      <c r="O1095" s="35">
        <f>SUM($M$2:M1095)</f>
        <v>190379400</v>
      </c>
      <c r="P1095" s="34">
        <f t="shared" si="143"/>
        <v>0.998090630563752</v>
      </c>
      <c r="Q1095" s="39">
        <v>0.2</v>
      </c>
      <c r="R1095" s="22">
        <v>3</v>
      </c>
      <c r="S1095" s="22">
        <v>1</v>
      </c>
      <c r="T1095" s="22">
        <v>0</v>
      </c>
      <c r="U1095" s="39">
        <v>1.1</v>
      </c>
      <c r="V1095" s="22">
        <v>2</v>
      </c>
      <c r="W1095" s="22">
        <v>1</v>
      </c>
      <c r="X1095" s="40">
        <v>69</v>
      </c>
      <c r="Y1095" s="22">
        <v>1</v>
      </c>
      <c r="Z1095" s="22">
        <v>0</v>
      </c>
      <c r="AA1095" s="22" t="s">
        <v>199</v>
      </c>
      <c r="AB1095" s="22" t="s">
        <v>220</v>
      </c>
      <c r="AC1095" s="42">
        <f>IFERROR(LOOKUP(M1095,打分卡!$F$7:$J$7,打分卡!$K$7:$O$7),1)</f>
        <v>1</v>
      </c>
      <c r="AD1095" s="42">
        <f>IFERROR(LOOKUP(S1095,打分卡!$F$8:$J$8,打分卡!$K$8:$O$8),1)</f>
        <v>1</v>
      </c>
      <c r="AE1095" s="42">
        <f>IFERROR(LOOKUP(T1095,打分卡!$F$9:$I$9,打分卡!$K$9:$N$9),1)</f>
        <v>1</v>
      </c>
      <c r="AF1095" s="42">
        <f>IFERROR(LOOKUP(Q1095,打分卡!$F$10:$J$10,打分卡!$K$10:$O$10),1)</f>
        <v>1</v>
      </c>
      <c r="AG1095" s="42">
        <f>IFERROR(LOOKUP(R1095,打分卡!$F$11:$J$11,打分卡!$K$11:$O$11),1)</f>
        <v>2</v>
      </c>
      <c r="AH1095" s="42">
        <f>IFERROR(LOOKUP(U1095,打分卡!$F$12:$J$12,打分卡!$K$12:$O$12),1)</f>
        <v>1</v>
      </c>
      <c r="AI1095" s="42">
        <f>IFERROR(LOOKUP(X1095,打分卡!$F$13:$J$13,打分卡!$K$13:$O$13),1)</f>
        <v>3</v>
      </c>
      <c r="AJ1095" s="42">
        <f>IFERROR(LOOKUP(Y1095,打分卡!$F$14:$J$14,打分卡!$K$14:$O$14),1)</f>
        <v>2</v>
      </c>
      <c r="AK1095" s="42">
        <f>IFERROR(LOOKUP(W1095,打分卡!$F$15:$J$15,打分卡!$K$15:$O$15),1)</f>
        <v>2</v>
      </c>
      <c r="AL1095" s="45">
        <f t="shared" si="137"/>
        <v>5</v>
      </c>
      <c r="AM1095" s="42">
        <f>IFERROR(LOOKUP(Z1095,打分卡!$F$17:$H$17,打分卡!$K$17:$M$17),1)</f>
        <v>1</v>
      </c>
      <c r="AN1095" s="46">
        <f>(打分卡!$D$7*AC1095+打分卡!$D$8*AD1095+打分卡!$D$9*AE1095)/5</f>
        <v>8</v>
      </c>
      <c r="AO1095" s="46">
        <f>(打分卡!$D$10*AF1095+打分卡!$D$11*AG1095)/5</f>
        <v>6</v>
      </c>
      <c r="AP1095" s="46">
        <f>(打分卡!$D$12*AH1095+打分卡!$D$13*AI1095+打分卡!$D$14*AJ1095+打分卡!$D$15*AK1095)/5</f>
        <v>11.2</v>
      </c>
      <c r="AQ1095" s="46">
        <f>(打分卡!$D$16*AL1095+打分卡!$D$17*AM1095)/5</f>
        <v>6.8</v>
      </c>
      <c r="AR1095" s="48">
        <f t="shared" si="138"/>
        <v>38.9333333333333</v>
      </c>
      <c r="AS1095" s="45" t="str">
        <f t="shared" si="139"/>
        <v>基础长尾</v>
      </c>
      <c r="AT1095" s="45" t="str">
        <f t="shared" si="140"/>
        <v/>
      </c>
      <c r="AU1095" s="45" t="str">
        <f t="shared" si="141"/>
        <v>激活：企微+Push低成本先跑</v>
      </c>
    </row>
    <row r="1096" ht="15" customHeight="1" spans="1:47">
      <c r="A1096" s="30" t="s">
        <v>2970</v>
      </c>
      <c r="B1096" s="31" t="s">
        <v>2971</v>
      </c>
      <c r="C1096" s="31" t="s">
        <v>234</v>
      </c>
      <c r="D1096" s="31" t="s">
        <v>202</v>
      </c>
      <c r="E1096" s="31" t="s">
        <v>181</v>
      </c>
      <c r="F1096" s="30" t="s">
        <v>2972</v>
      </c>
      <c r="G1096" s="31">
        <v>2</v>
      </c>
      <c r="H1096" s="31" t="s">
        <v>642</v>
      </c>
      <c r="I1096" s="31" t="s">
        <v>302</v>
      </c>
      <c r="J1096" s="33">
        <v>1400</v>
      </c>
      <c r="K1096" s="33">
        <v>700</v>
      </c>
      <c r="L1096" s="33">
        <v>800</v>
      </c>
      <c r="M1096" s="33">
        <f t="shared" si="136"/>
        <v>2900</v>
      </c>
      <c r="N1096" s="34">
        <f t="shared" si="142"/>
        <v>1.52036555879201e-5</v>
      </c>
      <c r="O1096" s="35">
        <f>SUM($M$2:M1096)</f>
        <v>190382300</v>
      </c>
      <c r="P1096" s="34">
        <f t="shared" si="143"/>
        <v>0.99810583421934</v>
      </c>
      <c r="Q1096" s="37">
        <v>0.3</v>
      </c>
      <c r="R1096" s="31">
        <v>3</v>
      </c>
      <c r="S1096" s="31">
        <v>1</v>
      </c>
      <c r="T1096" s="31">
        <v>0</v>
      </c>
      <c r="U1096" s="37">
        <v>6.5</v>
      </c>
      <c r="V1096" s="31">
        <v>5</v>
      </c>
      <c r="W1096" s="31">
        <v>0</v>
      </c>
      <c r="X1096" s="38">
        <v>6</v>
      </c>
      <c r="Y1096" s="31">
        <v>1</v>
      </c>
      <c r="Z1096" s="31">
        <v>0</v>
      </c>
      <c r="AA1096" s="31" t="s">
        <v>199</v>
      </c>
      <c r="AB1096" s="31" t="s">
        <v>220</v>
      </c>
      <c r="AC1096" s="41">
        <f>IFERROR(LOOKUP(M1096,打分卡!$F$7:$J$7,打分卡!$K$7:$O$7),1)</f>
        <v>1</v>
      </c>
      <c r="AD1096" s="41">
        <f>IFERROR(LOOKUP(S1096,打分卡!$F$8:$J$8,打分卡!$K$8:$O$8),1)</f>
        <v>1</v>
      </c>
      <c r="AE1096" s="41">
        <f>IFERROR(LOOKUP(T1096,打分卡!$F$9:$I$9,打分卡!$K$9:$N$9),1)</f>
        <v>1</v>
      </c>
      <c r="AF1096" s="41">
        <f>IFERROR(LOOKUP(Q1096,打分卡!$F$10:$J$10,打分卡!$K$10:$O$10),1)</f>
        <v>1</v>
      </c>
      <c r="AG1096" s="41">
        <f>IFERROR(LOOKUP(R1096,打分卡!$F$11:$J$11,打分卡!$K$11:$O$11),1)</f>
        <v>2</v>
      </c>
      <c r="AH1096" s="41">
        <f>IFERROR(LOOKUP(U1096,打分卡!$F$12:$J$12,打分卡!$K$12:$O$12),1)</f>
        <v>2</v>
      </c>
      <c r="AI1096" s="41">
        <f>IFERROR(LOOKUP(X1096,打分卡!$F$13:$J$13,打分卡!$K$13:$O$13),1)</f>
        <v>1</v>
      </c>
      <c r="AJ1096" s="41">
        <f>IFERROR(LOOKUP(Y1096,打分卡!$F$14:$J$14,打分卡!$K$14:$O$14),1)</f>
        <v>2</v>
      </c>
      <c r="AK1096" s="41">
        <f>IFERROR(LOOKUP(W1096,打分卡!$F$15:$J$15,打分卡!$K$15:$O$15),1)</f>
        <v>1</v>
      </c>
      <c r="AL1096" s="43">
        <f t="shared" si="137"/>
        <v>5</v>
      </c>
      <c r="AM1096" s="41">
        <f>IFERROR(LOOKUP(Z1096,打分卡!$F$17:$H$17,打分卡!$K$17:$M$17),1)</f>
        <v>1</v>
      </c>
      <c r="AN1096" s="44">
        <f>(打分卡!$D$7*AC1096+打分卡!$D$8*AD1096+打分卡!$D$9*AE1096)/5</f>
        <v>8</v>
      </c>
      <c r="AO1096" s="44">
        <f>(打分卡!$D$10*AF1096+打分卡!$D$11*AG1096)/5</f>
        <v>6</v>
      </c>
      <c r="AP1096" s="44">
        <f>(打分卡!$D$12*AH1096+打分卡!$D$13*AI1096+打分卡!$D$14*AJ1096+打分卡!$D$15*AK1096)/5</f>
        <v>9.6</v>
      </c>
      <c r="AQ1096" s="44">
        <f>(打分卡!$D$16*AL1096+打分卡!$D$17*AM1096)/5</f>
        <v>6.8</v>
      </c>
      <c r="AR1096" s="47">
        <f t="shared" si="138"/>
        <v>35.2</v>
      </c>
      <c r="AS1096" s="43" t="str">
        <f t="shared" si="139"/>
        <v>基础长尾</v>
      </c>
      <c r="AT1096" s="43" t="str">
        <f t="shared" si="140"/>
        <v/>
      </c>
      <c r="AU1096" s="43" t="str">
        <f t="shared" si="141"/>
        <v>激活：企微+Push低成本先跑</v>
      </c>
    </row>
    <row r="1097" ht="15" customHeight="1" spans="1:47">
      <c r="A1097" s="20" t="s">
        <v>2973</v>
      </c>
      <c r="B1097" s="22" t="s">
        <v>2974</v>
      </c>
      <c r="C1097" s="22" t="s">
        <v>189</v>
      </c>
      <c r="D1097" s="22" t="s">
        <v>202</v>
      </c>
      <c r="E1097" s="22" t="s">
        <v>197</v>
      </c>
      <c r="F1097" s="20" t="s">
        <v>1166</v>
      </c>
      <c r="G1097" s="22">
        <v>3</v>
      </c>
      <c r="H1097" s="22" t="s">
        <v>642</v>
      </c>
      <c r="I1097" s="22" t="s">
        <v>302</v>
      </c>
      <c r="J1097" s="36">
        <v>1300</v>
      </c>
      <c r="K1097" s="36">
        <v>700</v>
      </c>
      <c r="L1097" s="36">
        <v>800</v>
      </c>
      <c r="M1097" s="36">
        <f t="shared" si="136"/>
        <v>2800</v>
      </c>
      <c r="N1097" s="34">
        <f t="shared" si="142"/>
        <v>1.46793916021298e-5</v>
      </c>
      <c r="O1097" s="35">
        <f>SUM($M$2:M1097)</f>
        <v>190385100</v>
      </c>
      <c r="P1097" s="34">
        <f t="shared" si="143"/>
        <v>0.998120513610942</v>
      </c>
      <c r="Q1097" s="39">
        <v>0.3</v>
      </c>
      <c r="R1097" s="22">
        <v>1</v>
      </c>
      <c r="S1097" s="22">
        <v>1</v>
      </c>
      <c r="T1097" s="22">
        <v>0</v>
      </c>
      <c r="U1097" s="39">
        <v>2.1</v>
      </c>
      <c r="V1097" s="22">
        <v>8</v>
      </c>
      <c r="W1097" s="22">
        <v>1</v>
      </c>
      <c r="X1097" s="40">
        <v>6</v>
      </c>
      <c r="Y1097" s="22">
        <v>1</v>
      </c>
      <c r="Z1097" s="22">
        <v>0</v>
      </c>
      <c r="AA1097" s="22" t="s">
        <v>199</v>
      </c>
      <c r="AB1097" s="22" t="s">
        <v>220</v>
      </c>
      <c r="AC1097" s="42">
        <f>IFERROR(LOOKUP(M1097,打分卡!$F$7:$J$7,打分卡!$K$7:$O$7),1)</f>
        <v>1</v>
      </c>
      <c r="AD1097" s="42">
        <f>IFERROR(LOOKUP(S1097,打分卡!$F$8:$J$8,打分卡!$K$8:$O$8),1)</f>
        <v>1</v>
      </c>
      <c r="AE1097" s="42">
        <f>IFERROR(LOOKUP(T1097,打分卡!$F$9:$I$9,打分卡!$K$9:$N$9),1)</f>
        <v>1</v>
      </c>
      <c r="AF1097" s="42">
        <f>IFERROR(LOOKUP(Q1097,打分卡!$F$10:$J$10,打分卡!$K$10:$O$10),1)</f>
        <v>1</v>
      </c>
      <c r="AG1097" s="42">
        <f>IFERROR(LOOKUP(R1097,打分卡!$F$11:$J$11,打分卡!$K$11:$O$11),1)</f>
        <v>1</v>
      </c>
      <c r="AH1097" s="42">
        <f>IFERROR(LOOKUP(U1097,打分卡!$F$12:$J$12,打分卡!$K$12:$O$12),1)</f>
        <v>1</v>
      </c>
      <c r="AI1097" s="42">
        <f>IFERROR(LOOKUP(X1097,打分卡!$F$13:$J$13,打分卡!$K$13:$O$13),1)</f>
        <v>1</v>
      </c>
      <c r="AJ1097" s="42">
        <f>IFERROR(LOOKUP(Y1097,打分卡!$F$14:$J$14,打分卡!$K$14:$O$14),1)</f>
        <v>2</v>
      </c>
      <c r="AK1097" s="42">
        <f>IFERROR(LOOKUP(W1097,打分卡!$F$15:$J$15,打分卡!$K$15:$O$15),1)</f>
        <v>2</v>
      </c>
      <c r="AL1097" s="45">
        <f t="shared" si="137"/>
        <v>5</v>
      </c>
      <c r="AM1097" s="42">
        <f>IFERROR(LOOKUP(Z1097,打分卡!$F$17:$H$17,打分卡!$K$17:$M$17),1)</f>
        <v>1</v>
      </c>
      <c r="AN1097" s="46">
        <f>(打分卡!$D$7*AC1097+打分卡!$D$8*AD1097+打分卡!$D$9*AE1097)/5</f>
        <v>8</v>
      </c>
      <c r="AO1097" s="46">
        <f>(打分卡!$D$10*AF1097+打分卡!$D$11*AG1097)/5</f>
        <v>4</v>
      </c>
      <c r="AP1097" s="46">
        <f>(打分卡!$D$12*AH1097+打分卡!$D$13*AI1097+打分卡!$D$14*AJ1097+打分卡!$D$15*AK1097)/5</f>
        <v>8</v>
      </c>
      <c r="AQ1097" s="46">
        <f>(打分卡!$D$16*AL1097+打分卡!$D$17*AM1097)/5</f>
        <v>6.8</v>
      </c>
      <c r="AR1097" s="48">
        <f t="shared" si="138"/>
        <v>26.8</v>
      </c>
      <c r="AS1097" s="45" t="str">
        <f t="shared" si="139"/>
        <v>基础长尾</v>
      </c>
      <c r="AT1097" s="45" t="str">
        <f t="shared" si="140"/>
        <v/>
      </c>
      <c r="AU1097" s="45" t="str">
        <f t="shared" si="141"/>
        <v>激活：企微+Push低成本先跑</v>
      </c>
    </row>
    <row r="1098" ht="15" customHeight="1" spans="1:47">
      <c r="A1098" s="30" t="s">
        <v>2975</v>
      </c>
      <c r="B1098" s="31" t="s">
        <v>2976</v>
      </c>
      <c r="C1098" s="31" t="s">
        <v>189</v>
      </c>
      <c r="D1098" s="31" t="s">
        <v>202</v>
      </c>
      <c r="E1098" s="31" t="s">
        <v>181</v>
      </c>
      <c r="F1098" s="30" t="s">
        <v>1064</v>
      </c>
      <c r="G1098" s="31">
        <v>1</v>
      </c>
      <c r="H1098" s="31" t="s">
        <v>642</v>
      </c>
      <c r="I1098" s="31" t="s">
        <v>302</v>
      </c>
      <c r="J1098" s="33">
        <v>1800</v>
      </c>
      <c r="K1098" s="33">
        <v>900</v>
      </c>
      <c r="L1098" s="33">
        <v>100</v>
      </c>
      <c r="M1098" s="33">
        <f t="shared" si="136"/>
        <v>2800</v>
      </c>
      <c r="N1098" s="34">
        <f t="shared" si="142"/>
        <v>1.46793916021298e-5</v>
      </c>
      <c r="O1098" s="35">
        <f>SUM($M$2:M1098)</f>
        <v>190387900</v>
      </c>
      <c r="P1098" s="34">
        <f t="shared" si="143"/>
        <v>0.998135193002544</v>
      </c>
      <c r="Q1098" s="37">
        <v>0.4</v>
      </c>
      <c r="R1098" s="31">
        <v>1</v>
      </c>
      <c r="S1098" s="31">
        <v>0</v>
      </c>
      <c r="T1098" s="31">
        <v>0</v>
      </c>
      <c r="U1098" s="37">
        <v>11.4</v>
      </c>
      <c r="V1098" s="31">
        <v>15</v>
      </c>
      <c r="W1098" s="31">
        <v>1</v>
      </c>
      <c r="X1098" s="38">
        <v>58</v>
      </c>
      <c r="Y1098" s="31">
        <v>0</v>
      </c>
      <c r="Z1098" s="31">
        <v>0</v>
      </c>
      <c r="AA1098" s="31" t="s">
        <v>199</v>
      </c>
      <c r="AB1098" s="31" t="s">
        <v>220</v>
      </c>
      <c r="AC1098" s="41">
        <f>IFERROR(LOOKUP(M1098,打分卡!$F$7:$J$7,打分卡!$K$7:$O$7),1)</f>
        <v>1</v>
      </c>
      <c r="AD1098" s="41">
        <f>IFERROR(LOOKUP(S1098,打分卡!$F$8:$J$8,打分卡!$K$8:$O$8),1)</f>
        <v>1</v>
      </c>
      <c r="AE1098" s="41">
        <f>IFERROR(LOOKUP(T1098,打分卡!$F$9:$I$9,打分卡!$K$9:$N$9),1)</f>
        <v>1</v>
      </c>
      <c r="AF1098" s="41">
        <f>IFERROR(LOOKUP(Q1098,打分卡!$F$10:$J$10,打分卡!$K$10:$O$10),1)</f>
        <v>1</v>
      </c>
      <c r="AG1098" s="41">
        <f>IFERROR(LOOKUP(R1098,打分卡!$F$11:$J$11,打分卡!$K$11:$O$11),1)</f>
        <v>1</v>
      </c>
      <c r="AH1098" s="41">
        <f>IFERROR(LOOKUP(U1098,打分卡!$F$12:$J$12,打分卡!$K$12:$O$12),1)</f>
        <v>3</v>
      </c>
      <c r="AI1098" s="41">
        <f>IFERROR(LOOKUP(X1098,打分卡!$F$13:$J$13,打分卡!$K$13:$O$13),1)</f>
        <v>3</v>
      </c>
      <c r="AJ1098" s="41">
        <f>IFERROR(LOOKUP(Y1098,打分卡!$F$14:$J$14,打分卡!$K$14:$O$14),1)</f>
        <v>1</v>
      </c>
      <c r="AK1098" s="41">
        <f>IFERROR(LOOKUP(W1098,打分卡!$F$15:$J$15,打分卡!$K$15:$O$15),1)</f>
        <v>2</v>
      </c>
      <c r="AL1098" s="43">
        <f t="shared" si="137"/>
        <v>5</v>
      </c>
      <c r="AM1098" s="41">
        <f>IFERROR(LOOKUP(Z1098,打分卡!$F$17:$H$17,打分卡!$K$17:$M$17),1)</f>
        <v>1</v>
      </c>
      <c r="AN1098" s="44">
        <f>(打分卡!$D$7*AC1098+打分卡!$D$8*AD1098+打分卡!$D$9*AE1098)/5</f>
        <v>8</v>
      </c>
      <c r="AO1098" s="44">
        <f>(打分卡!$D$10*AF1098+打分卡!$D$11*AG1098)/5</f>
        <v>4</v>
      </c>
      <c r="AP1098" s="44">
        <f>(打分卡!$D$12*AH1098+打分卡!$D$13*AI1098+打分卡!$D$14*AJ1098+打分卡!$D$15*AK1098)/5</f>
        <v>14.8</v>
      </c>
      <c r="AQ1098" s="44">
        <f>(打分卡!$D$16*AL1098+打分卡!$D$17*AM1098)/5</f>
        <v>6.8</v>
      </c>
      <c r="AR1098" s="47">
        <f t="shared" si="138"/>
        <v>45.3333333333333</v>
      </c>
      <c r="AS1098" s="43" t="str">
        <f t="shared" si="139"/>
        <v>腰部</v>
      </c>
      <c r="AT1098" s="43" t="str">
        <f t="shared" si="140"/>
        <v/>
      </c>
      <c r="AU1098" s="43" t="str">
        <f t="shared" si="141"/>
        <v>拉·主攻：主推AI外呼+大促作战包</v>
      </c>
    </row>
    <row r="1099" ht="15" customHeight="1" spans="1:47">
      <c r="A1099" s="20" t="s">
        <v>2977</v>
      </c>
      <c r="B1099" s="22" t="s">
        <v>2978</v>
      </c>
      <c r="C1099" s="22" t="s">
        <v>218</v>
      </c>
      <c r="D1099" s="22" t="s">
        <v>235</v>
      </c>
      <c r="E1099" s="22" t="s">
        <v>197</v>
      </c>
      <c r="F1099" s="20" t="s">
        <v>1146</v>
      </c>
      <c r="G1099" s="22">
        <v>3</v>
      </c>
      <c r="H1099" s="22" t="s">
        <v>642</v>
      </c>
      <c r="I1099" s="22" t="s">
        <v>302</v>
      </c>
      <c r="J1099" s="36">
        <v>1400</v>
      </c>
      <c r="K1099" s="36">
        <v>900</v>
      </c>
      <c r="L1099" s="36">
        <v>600</v>
      </c>
      <c r="M1099" s="36">
        <f t="shared" si="136"/>
        <v>2900</v>
      </c>
      <c r="N1099" s="34">
        <f t="shared" si="142"/>
        <v>1.52036555879201e-5</v>
      </c>
      <c r="O1099" s="35">
        <f>SUM($M$2:M1099)</f>
        <v>190390800</v>
      </c>
      <c r="P1099" s="34">
        <f t="shared" si="143"/>
        <v>0.998150396658132</v>
      </c>
      <c r="Q1099" s="39">
        <v>0.3</v>
      </c>
      <c r="R1099" s="22">
        <v>3</v>
      </c>
      <c r="S1099" s="22">
        <v>1</v>
      </c>
      <c r="T1099" s="22">
        <v>0</v>
      </c>
      <c r="U1099" s="39">
        <v>1.1</v>
      </c>
      <c r="V1099" s="22">
        <v>13</v>
      </c>
      <c r="W1099" s="22">
        <v>0</v>
      </c>
      <c r="X1099" s="40">
        <v>7</v>
      </c>
      <c r="Y1099" s="22">
        <v>0</v>
      </c>
      <c r="Z1099" s="22">
        <v>0</v>
      </c>
      <c r="AA1099" s="22" t="s">
        <v>199</v>
      </c>
      <c r="AB1099" s="22" t="s">
        <v>220</v>
      </c>
      <c r="AC1099" s="42">
        <f>IFERROR(LOOKUP(M1099,打分卡!$F$7:$J$7,打分卡!$K$7:$O$7),1)</f>
        <v>1</v>
      </c>
      <c r="AD1099" s="42">
        <f>IFERROR(LOOKUP(S1099,打分卡!$F$8:$J$8,打分卡!$K$8:$O$8),1)</f>
        <v>1</v>
      </c>
      <c r="AE1099" s="42">
        <f>IFERROR(LOOKUP(T1099,打分卡!$F$9:$I$9,打分卡!$K$9:$N$9),1)</f>
        <v>1</v>
      </c>
      <c r="AF1099" s="42">
        <f>IFERROR(LOOKUP(Q1099,打分卡!$F$10:$J$10,打分卡!$K$10:$O$10),1)</f>
        <v>1</v>
      </c>
      <c r="AG1099" s="42">
        <f>IFERROR(LOOKUP(R1099,打分卡!$F$11:$J$11,打分卡!$K$11:$O$11),1)</f>
        <v>2</v>
      </c>
      <c r="AH1099" s="42">
        <f>IFERROR(LOOKUP(U1099,打分卡!$F$12:$J$12,打分卡!$K$12:$O$12),1)</f>
        <v>1</v>
      </c>
      <c r="AI1099" s="42">
        <f>IFERROR(LOOKUP(X1099,打分卡!$F$13:$J$13,打分卡!$K$13:$O$13),1)</f>
        <v>1</v>
      </c>
      <c r="AJ1099" s="42">
        <f>IFERROR(LOOKUP(Y1099,打分卡!$F$14:$J$14,打分卡!$K$14:$O$14),1)</f>
        <v>1</v>
      </c>
      <c r="AK1099" s="42">
        <f>IFERROR(LOOKUP(W1099,打分卡!$F$15:$J$15,打分卡!$K$15:$O$15),1)</f>
        <v>1</v>
      </c>
      <c r="AL1099" s="45">
        <f t="shared" si="137"/>
        <v>5</v>
      </c>
      <c r="AM1099" s="42">
        <f>IFERROR(LOOKUP(Z1099,打分卡!$F$17:$H$17,打分卡!$K$17:$M$17),1)</f>
        <v>1</v>
      </c>
      <c r="AN1099" s="46">
        <f>(打分卡!$D$7*AC1099+打分卡!$D$8*AD1099+打分卡!$D$9*AE1099)/5</f>
        <v>8</v>
      </c>
      <c r="AO1099" s="46">
        <f>(打分卡!$D$10*AF1099+打分卡!$D$11*AG1099)/5</f>
        <v>6</v>
      </c>
      <c r="AP1099" s="46">
        <f>(打分卡!$D$12*AH1099+打分卡!$D$13*AI1099+打分卡!$D$14*AJ1099+打分卡!$D$15*AK1099)/5</f>
        <v>6</v>
      </c>
      <c r="AQ1099" s="46">
        <f>(打分卡!$D$16*AL1099+打分卡!$D$17*AM1099)/5</f>
        <v>6.8</v>
      </c>
      <c r="AR1099" s="48">
        <f t="shared" si="138"/>
        <v>26.8</v>
      </c>
      <c r="AS1099" s="45" t="str">
        <f t="shared" si="139"/>
        <v>基础长尾</v>
      </c>
      <c r="AT1099" s="45" t="str">
        <f t="shared" si="140"/>
        <v/>
      </c>
      <c r="AU1099" s="45" t="str">
        <f t="shared" si="141"/>
        <v>激活：企微+Push低成本先跑</v>
      </c>
    </row>
    <row r="1100" ht="15" customHeight="1" spans="1:47">
      <c r="A1100" s="30" t="s">
        <v>2979</v>
      </c>
      <c r="B1100" s="31" t="s">
        <v>2980</v>
      </c>
      <c r="C1100" s="31" t="s">
        <v>179</v>
      </c>
      <c r="D1100" s="31" t="s">
        <v>202</v>
      </c>
      <c r="E1100" s="31" t="s">
        <v>181</v>
      </c>
      <c r="F1100" s="30" t="s">
        <v>2503</v>
      </c>
      <c r="G1100" s="31">
        <v>3</v>
      </c>
      <c r="H1100" s="31" t="s">
        <v>642</v>
      </c>
      <c r="I1100" s="31" t="s">
        <v>302</v>
      </c>
      <c r="J1100" s="33">
        <v>1300</v>
      </c>
      <c r="K1100" s="33">
        <v>900</v>
      </c>
      <c r="L1100" s="33">
        <v>500</v>
      </c>
      <c r="M1100" s="33">
        <f t="shared" si="136"/>
        <v>2700</v>
      </c>
      <c r="N1100" s="34">
        <f t="shared" si="142"/>
        <v>1.41551276163394e-5</v>
      </c>
      <c r="O1100" s="35">
        <f>SUM($M$2:M1100)</f>
        <v>190393500</v>
      </c>
      <c r="P1100" s="34">
        <f t="shared" si="143"/>
        <v>0.998164551785748</v>
      </c>
      <c r="Q1100" s="37">
        <v>0.3</v>
      </c>
      <c r="R1100" s="31">
        <v>3</v>
      </c>
      <c r="S1100" s="31">
        <v>0</v>
      </c>
      <c r="T1100" s="31">
        <v>0</v>
      </c>
      <c r="U1100" s="37">
        <v>29.6</v>
      </c>
      <c r="V1100" s="31">
        <v>7</v>
      </c>
      <c r="W1100" s="31">
        <v>2</v>
      </c>
      <c r="X1100" s="38">
        <v>8</v>
      </c>
      <c r="Y1100" s="31">
        <v>1</v>
      </c>
      <c r="Z1100" s="31">
        <v>0</v>
      </c>
      <c r="AA1100" s="31" t="s">
        <v>199</v>
      </c>
      <c r="AB1100" s="31" t="s">
        <v>220</v>
      </c>
      <c r="AC1100" s="41">
        <f>IFERROR(LOOKUP(M1100,打分卡!$F$7:$J$7,打分卡!$K$7:$O$7),1)</f>
        <v>1</v>
      </c>
      <c r="AD1100" s="41">
        <f>IFERROR(LOOKUP(S1100,打分卡!$F$8:$J$8,打分卡!$K$8:$O$8),1)</f>
        <v>1</v>
      </c>
      <c r="AE1100" s="41">
        <f>IFERROR(LOOKUP(T1100,打分卡!$F$9:$I$9,打分卡!$K$9:$N$9),1)</f>
        <v>1</v>
      </c>
      <c r="AF1100" s="41">
        <f>IFERROR(LOOKUP(Q1100,打分卡!$F$10:$J$10,打分卡!$K$10:$O$10),1)</f>
        <v>1</v>
      </c>
      <c r="AG1100" s="41">
        <f>IFERROR(LOOKUP(R1100,打分卡!$F$11:$J$11,打分卡!$K$11:$O$11),1)</f>
        <v>2</v>
      </c>
      <c r="AH1100" s="41">
        <f>IFERROR(LOOKUP(U1100,打分卡!$F$12:$J$12,打分卡!$K$12:$O$12),1)</f>
        <v>3</v>
      </c>
      <c r="AI1100" s="41">
        <f>IFERROR(LOOKUP(X1100,打分卡!$F$13:$J$13,打分卡!$K$13:$O$13),1)</f>
        <v>1</v>
      </c>
      <c r="AJ1100" s="41">
        <f>IFERROR(LOOKUP(Y1100,打分卡!$F$14:$J$14,打分卡!$K$14:$O$14),1)</f>
        <v>2</v>
      </c>
      <c r="AK1100" s="41">
        <f>IFERROR(LOOKUP(W1100,打分卡!$F$15:$J$15,打分卡!$K$15:$O$15),1)</f>
        <v>2</v>
      </c>
      <c r="AL1100" s="43">
        <f t="shared" si="137"/>
        <v>5</v>
      </c>
      <c r="AM1100" s="41">
        <f>IFERROR(LOOKUP(Z1100,打分卡!$F$17:$H$17,打分卡!$K$17:$M$17),1)</f>
        <v>1</v>
      </c>
      <c r="AN1100" s="44">
        <f>(打分卡!$D$7*AC1100+打分卡!$D$8*AD1100+打分卡!$D$9*AE1100)/5</f>
        <v>8</v>
      </c>
      <c r="AO1100" s="44">
        <f>(打分卡!$D$10*AF1100+打分卡!$D$11*AG1100)/5</f>
        <v>6</v>
      </c>
      <c r="AP1100" s="44">
        <f>(打分卡!$D$12*AH1100+打分卡!$D$13*AI1100+打分卡!$D$14*AJ1100+打分卡!$D$15*AK1100)/5</f>
        <v>12.8</v>
      </c>
      <c r="AQ1100" s="44">
        <f>(打分卡!$D$16*AL1100+打分卡!$D$17*AM1100)/5</f>
        <v>6.8</v>
      </c>
      <c r="AR1100" s="47">
        <f t="shared" si="138"/>
        <v>33.6</v>
      </c>
      <c r="AS1100" s="43" t="str">
        <f t="shared" si="139"/>
        <v>基础长尾</v>
      </c>
      <c r="AT1100" s="43" t="str">
        <f t="shared" si="140"/>
        <v/>
      </c>
      <c r="AU1100" s="43" t="str">
        <f t="shared" si="141"/>
        <v>激活：企微+Push低成本先跑</v>
      </c>
    </row>
    <row r="1101" ht="15" customHeight="1" spans="1:47">
      <c r="A1101" s="20" t="s">
        <v>2981</v>
      </c>
      <c r="B1101" s="22" t="s">
        <v>2982</v>
      </c>
      <c r="C1101" s="22" t="s">
        <v>189</v>
      </c>
      <c r="D1101" s="22" t="s">
        <v>235</v>
      </c>
      <c r="E1101" s="22" t="s">
        <v>181</v>
      </c>
      <c r="F1101" s="20" t="s">
        <v>2770</v>
      </c>
      <c r="G1101" s="22">
        <v>1</v>
      </c>
      <c r="H1101" s="22" t="s">
        <v>642</v>
      </c>
      <c r="I1101" s="22" t="s">
        <v>302</v>
      </c>
      <c r="J1101" s="36">
        <v>1400</v>
      </c>
      <c r="K1101" s="36">
        <v>1100</v>
      </c>
      <c r="L1101" s="36">
        <v>300</v>
      </c>
      <c r="M1101" s="36">
        <f t="shared" si="136"/>
        <v>2800</v>
      </c>
      <c r="N1101" s="34">
        <f t="shared" si="142"/>
        <v>1.46793916021298e-5</v>
      </c>
      <c r="O1101" s="35">
        <f>SUM($M$2:M1101)</f>
        <v>190396300</v>
      </c>
      <c r="P1101" s="34">
        <f t="shared" si="143"/>
        <v>0.99817923117735</v>
      </c>
      <c r="Q1101" s="39">
        <v>0.3</v>
      </c>
      <c r="R1101" s="22">
        <v>1</v>
      </c>
      <c r="S1101" s="22">
        <v>0</v>
      </c>
      <c r="T1101" s="22">
        <v>0</v>
      </c>
      <c r="U1101" s="39">
        <v>17.7</v>
      </c>
      <c r="V1101" s="22">
        <v>10</v>
      </c>
      <c r="W1101" s="22">
        <v>1</v>
      </c>
      <c r="X1101" s="40">
        <v>7</v>
      </c>
      <c r="Y1101" s="22">
        <v>0</v>
      </c>
      <c r="Z1101" s="22">
        <v>0</v>
      </c>
      <c r="AA1101" s="22" t="s">
        <v>199</v>
      </c>
      <c r="AB1101" s="22" t="s">
        <v>220</v>
      </c>
      <c r="AC1101" s="42">
        <f>IFERROR(LOOKUP(M1101,打分卡!$F$7:$J$7,打分卡!$K$7:$O$7),1)</f>
        <v>1</v>
      </c>
      <c r="AD1101" s="42">
        <f>IFERROR(LOOKUP(S1101,打分卡!$F$8:$J$8,打分卡!$K$8:$O$8),1)</f>
        <v>1</v>
      </c>
      <c r="AE1101" s="42">
        <f>IFERROR(LOOKUP(T1101,打分卡!$F$9:$I$9,打分卡!$K$9:$N$9),1)</f>
        <v>1</v>
      </c>
      <c r="AF1101" s="42">
        <f>IFERROR(LOOKUP(Q1101,打分卡!$F$10:$J$10,打分卡!$K$10:$O$10),1)</f>
        <v>1</v>
      </c>
      <c r="AG1101" s="42">
        <f>IFERROR(LOOKUP(R1101,打分卡!$F$11:$J$11,打分卡!$K$11:$O$11),1)</f>
        <v>1</v>
      </c>
      <c r="AH1101" s="42">
        <f>IFERROR(LOOKUP(U1101,打分卡!$F$12:$J$12,打分卡!$K$12:$O$12),1)</f>
        <v>3</v>
      </c>
      <c r="AI1101" s="42">
        <f>IFERROR(LOOKUP(X1101,打分卡!$F$13:$J$13,打分卡!$K$13:$O$13),1)</f>
        <v>1</v>
      </c>
      <c r="AJ1101" s="42">
        <f>IFERROR(LOOKUP(Y1101,打分卡!$F$14:$J$14,打分卡!$K$14:$O$14),1)</f>
        <v>1</v>
      </c>
      <c r="AK1101" s="42">
        <f>IFERROR(LOOKUP(W1101,打分卡!$F$15:$J$15,打分卡!$K$15:$O$15),1)</f>
        <v>2</v>
      </c>
      <c r="AL1101" s="45">
        <f t="shared" si="137"/>
        <v>5</v>
      </c>
      <c r="AM1101" s="42">
        <f>IFERROR(LOOKUP(Z1101,打分卡!$F$17:$H$17,打分卡!$K$17:$M$17),1)</f>
        <v>1</v>
      </c>
      <c r="AN1101" s="46">
        <f>(打分卡!$D$7*AC1101+打分卡!$D$8*AD1101+打分卡!$D$9*AE1101)/5</f>
        <v>8</v>
      </c>
      <c r="AO1101" s="46">
        <f>(打分卡!$D$10*AF1101+打分卡!$D$11*AG1101)/5</f>
        <v>4</v>
      </c>
      <c r="AP1101" s="46">
        <f>(打分卡!$D$12*AH1101+打分卡!$D$13*AI1101+打分卡!$D$14*AJ1101+打分卡!$D$15*AK1101)/5</f>
        <v>11.6</v>
      </c>
      <c r="AQ1101" s="46">
        <f>(打分卡!$D$16*AL1101+打分卡!$D$17*AM1101)/5</f>
        <v>6.8</v>
      </c>
      <c r="AR1101" s="48">
        <f t="shared" si="138"/>
        <v>37.8666666666667</v>
      </c>
      <c r="AS1101" s="45" t="str">
        <f t="shared" si="139"/>
        <v>基础长尾</v>
      </c>
      <c r="AT1101" s="45" t="str">
        <f t="shared" si="140"/>
        <v/>
      </c>
      <c r="AU1101" s="45" t="str">
        <f t="shared" si="141"/>
        <v>激活：企微+Push低成本先跑</v>
      </c>
    </row>
    <row r="1102" ht="15" customHeight="1" spans="1:47">
      <c r="A1102" s="30" t="s">
        <v>2983</v>
      </c>
      <c r="B1102" s="31" t="s">
        <v>2984</v>
      </c>
      <c r="C1102" s="31" t="s">
        <v>223</v>
      </c>
      <c r="D1102" s="31" t="s">
        <v>235</v>
      </c>
      <c r="E1102" s="31" t="s">
        <v>181</v>
      </c>
      <c r="F1102" s="30" t="s">
        <v>2985</v>
      </c>
      <c r="G1102" s="31">
        <v>1</v>
      </c>
      <c r="H1102" s="31" t="s">
        <v>642</v>
      </c>
      <c r="I1102" s="31" t="s">
        <v>302</v>
      </c>
      <c r="J1102" s="33">
        <v>1600</v>
      </c>
      <c r="K1102" s="33">
        <v>800</v>
      </c>
      <c r="L1102" s="33">
        <v>300</v>
      </c>
      <c r="M1102" s="33">
        <f t="shared" si="136"/>
        <v>2700</v>
      </c>
      <c r="N1102" s="34">
        <f t="shared" si="142"/>
        <v>1.41551276163394e-5</v>
      </c>
      <c r="O1102" s="35">
        <f>SUM($M$2:M1102)</f>
        <v>190399000</v>
      </c>
      <c r="P1102" s="34">
        <f t="shared" si="143"/>
        <v>0.998193386304966</v>
      </c>
      <c r="Q1102" s="37">
        <v>0.3</v>
      </c>
      <c r="R1102" s="31">
        <v>3</v>
      </c>
      <c r="S1102" s="31">
        <v>1</v>
      </c>
      <c r="T1102" s="31">
        <v>0</v>
      </c>
      <c r="U1102" s="37">
        <v>6.7</v>
      </c>
      <c r="V1102" s="31">
        <v>13</v>
      </c>
      <c r="W1102" s="31">
        <v>2</v>
      </c>
      <c r="X1102" s="38">
        <v>44</v>
      </c>
      <c r="Y1102" s="31">
        <v>1</v>
      </c>
      <c r="Z1102" s="31">
        <v>0</v>
      </c>
      <c r="AA1102" s="31" t="s">
        <v>199</v>
      </c>
      <c r="AB1102" s="31" t="s">
        <v>220</v>
      </c>
      <c r="AC1102" s="41">
        <f>IFERROR(LOOKUP(M1102,打分卡!$F$7:$J$7,打分卡!$K$7:$O$7),1)</f>
        <v>1</v>
      </c>
      <c r="AD1102" s="41">
        <f>IFERROR(LOOKUP(S1102,打分卡!$F$8:$J$8,打分卡!$K$8:$O$8),1)</f>
        <v>1</v>
      </c>
      <c r="AE1102" s="41">
        <f>IFERROR(LOOKUP(T1102,打分卡!$F$9:$I$9,打分卡!$K$9:$N$9),1)</f>
        <v>1</v>
      </c>
      <c r="AF1102" s="41">
        <f>IFERROR(LOOKUP(Q1102,打分卡!$F$10:$J$10,打分卡!$K$10:$O$10),1)</f>
        <v>1</v>
      </c>
      <c r="AG1102" s="41">
        <f>IFERROR(LOOKUP(R1102,打分卡!$F$11:$J$11,打分卡!$K$11:$O$11),1)</f>
        <v>2</v>
      </c>
      <c r="AH1102" s="41">
        <f>IFERROR(LOOKUP(U1102,打分卡!$F$12:$J$12,打分卡!$K$12:$O$12),1)</f>
        <v>2</v>
      </c>
      <c r="AI1102" s="41">
        <f>IFERROR(LOOKUP(X1102,打分卡!$F$13:$J$13,打分卡!$K$13:$O$13),1)</f>
        <v>3</v>
      </c>
      <c r="AJ1102" s="41">
        <f>IFERROR(LOOKUP(Y1102,打分卡!$F$14:$J$14,打分卡!$K$14:$O$14),1)</f>
        <v>2</v>
      </c>
      <c r="AK1102" s="41">
        <f>IFERROR(LOOKUP(W1102,打分卡!$F$15:$J$15,打分卡!$K$15:$O$15),1)</f>
        <v>2</v>
      </c>
      <c r="AL1102" s="43">
        <f t="shared" si="137"/>
        <v>5</v>
      </c>
      <c r="AM1102" s="41">
        <f>IFERROR(LOOKUP(Z1102,打分卡!$F$17:$H$17,打分卡!$K$17:$M$17),1)</f>
        <v>1</v>
      </c>
      <c r="AN1102" s="44">
        <f>(打分卡!$D$7*AC1102+打分卡!$D$8*AD1102+打分卡!$D$9*AE1102)/5</f>
        <v>8</v>
      </c>
      <c r="AO1102" s="44">
        <f>(打分卡!$D$10*AF1102+打分卡!$D$11*AG1102)/5</f>
        <v>6</v>
      </c>
      <c r="AP1102" s="44">
        <f>(打分卡!$D$12*AH1102+打分卡!$D$13*AI1102+打分卡!$D$14*AJ1102+打分卡!$D$15*AK1102)/5</f>
        <v>13.6</v>
      </c>
      <c r="AQ1102" s="44">
        <f>(打分卡!$D$16*AL1102+打分卡!$D$17*AM1102)/5</f>
        <v>6.8</v>
      </c>
      <c r="AR1102" s="47">
        <f t="shared" si="138"/>
        <v>44.5333333333333</v>
      </c>
      <c r="AS1102" s="43" t="str">
        <f t="shared" si="139"/>
        <v>腰部</v>
      </c>
      <c r="AT1102" s="43" t="str">
        <f t="shared" si="140"/>
        <v/>
      </c>
      <c r="AU1102" s="43" t="str">
        <f t="shared" si="141"/>
        <v>拉·主攻：主推AI外呼+大促作战包</v>
      </c>
    </row>
    <row r="1103" ht="15" customHeight="1" spans="1:47">
      <c r="A1103" s="20" t="s">
        <v>2986</v>
      </c>
      <c r="B1103" s="22" t="s">
        <v>2987</v>
      </c>
      <c r="C1103" s="22" t="s">
        <v>239</v>
      </c>
      <c r="D1103" s="22" t="s">
        <v>202</v>
      </c>
      <c r="E1103" s="22" t="s">
        <v>181</v>
      </c>
      <c r="F1103" s="20" t="s">
        <v>2721</v>
      </c>
      <c r="G1103" s="22">
        <v>2</v>
      </c>
      <c r="H1103" s="22" t="s">
        <v>642</v>
      </c>
      <c r="I1103" s="22" t="s">
        <v>302</v>
      </c>
      <c r="J1103" s="36">
        <v>1700</v>
      </c>
      <c r="K1103" s="36">
        <v>600</v>
      </c>
      <c r="L1103" s="36">
        <v>400</v>
      </c>
      <c r="M1103" s="36">
        <f t="shared" si="136"/>
        <v>2700</v>
      </c>
      <c r="N1103" s="34">
        <f t="shared" si="142"/>
        <v>1.41551276163394e-5</v>
      </c>
      <c r="O1103" s="35">
        <f>SUM($M$2:M1103)</f>
        <v>190401700</v>
      </c>
      <c r="P1103" s="34">
        <f t="shared" si="143"/>
        <v>0.998207541432583</v>
      </c>
      <c r="Q1103" s="39">
        <v>0.4</v>
      </c>
      <c r="R1103" s="22">
        <v>2</v>
      </c>
      <c r="S1103" s="22">
        <v>1</v>
      </c>
      <c r="T1103" s="22">
        <v>0</v>
      </c>
      <c r="U1103" s="39">
        <v>2.3</v>
      </c>
      <c r="V1103" s="22">
        <v>10</v>
      </c>
      <c r="W1103" s="22">
        <v>0</v>
      </c>
      <c r="X1103" s="40">
        <v>50</v>
      </c>
      <c r="Y1103" s="22">
        <v>1</v>
      </c>
      <c r="Z1103" s="22">
        <v>0</v>
      </c>
      <c r="AA1103" s="22" t="s">
        <v>199</v>
      </c>
      <c r="AB1103" s="22" t="s">
        <v>220</v>
      </c>
      <c r="AC1103" s="42">
        <f>IFERROR(LOOKUP(M1103,打分卡!$F$7:$J$7,打分卡!$K$7:$O$7),1)</f>
        <v>1</v>
      </c>
      <c r="AD1103" s="42">
        <f>IFERROR(LOOKUP(S1103,打分卡!$F$8:$J$8,打分卡!$K$8:$O$8),1)</f>
        <v>1</v>
      </c>
      <c r="AE1103" s="42">
        <f>IFERROR(LOOKUP(T1103,打分卡!$F$9:$I$9,打分卡!$K$9:$N$9),1)</f>
        <v>1</v>
      </c>
      <c r="AF1103" s="42">
        <f>IFERROR(LOOKUP(Q1103,打分卡!$F$10:$J$10,打分卡!$K$10:$O$10),1)</f>
        <v>1</v>
      </c>
      <c r="AG1103" s="42">
        <f>IFERROR(LOOKUP(R1103,打分卡!$F$11:$J$11,打分卡!$K$11:$O$11),1)</f>
        <v>1</v>
      </c>
      <c r="AH1103" s="42">
        <f>IFERROR(LOOKUP(U1103,打分卡!$F$12:$J$12,打分卡!$K$12:$O$12),1)</f>
        <v>1</v>
      </c>
      <c r="AI1103" s="42">
        <f>IFERROR(LOOKUP(X1103,打分卡!$F$13:$J$13,打分卡!$K$13:$O$13),1)</f>
        <v>3</v>
      </c>
      <c r="AJ1103" s="42">
        <f>IFERROR(LOOKUP(Y1103,打分卡!$F$14:$J$14,打分卡!$K$14:$O$14),1)</f>
        <v>2</v>
      </c>
      <c r="AK1103" s="42">
        <f>IFERROR(LOOKUP(W1103,打分卡!$F$15:$J$15,打分卡!$K$15:$O$15),1)</f>
        <v>1</v>
      </c>
      <c r="AL1103" s="45">
        <f t="shared" si="137"/>
        <v>5</v>
      </c>
      <c r="AM1103" s="42">
        <f>IFERROR(LOOKUP(Z1103,打分卡!$F$17:$H$17,打分卡!$K$17:$M$17),1)</f>
        <v>1</v>
      </c>
      <c r="AN1103" s="46">
        <f>(打分卡!$D$7*AC1103+打分卡!$D$8*AD1103+打分卡!$D$9*AE1103)/5</f>
        <v>8</v>
      </c>
      <c r="AO1103" s="46">
        <f>(打分卡!$D$10*AF1103+打分卡!$D$11*AG1103)/5</f>
        <v>4</v>
      </c>
      <c r="AP1103" s="46">
        <f>(打分卡!$D$12*AH1103+打分卡!$D$13*AI1103+打分卡!$D$14*AJ1103+打分卡!$D$15*AK1103)/5</f>
        <v>10.4</v>
      </c>
      <c r="AQ1103" s="46">
        <f>(打分卡!$D$16*AL1103+打分卡!$D$17*AM1103)/5</f>
        <v>6.8</v>
      </c>
      <c r="AR1103" s="48">
        <f t="shared" si="138"/>
        <v>35.0666666666667</v>
      </c>
      <c r="AS1103" s="45" t="str">
        <f t="shared" si="139"/>
        <v>基础长尾</v>
      </c>
      <c r="AT1103" s="45" t="str">
        <f t="shared" si="140"/>
        <v/>
      </c>
      <c r="AU1103" s="45" t="str">
        <f t="shared" si="141"/>
        <v>激活：企微+Push低成本先跑</v>
      </c>
    </row>
    <row r="1104" ht="15" customHeight="1" spans="1:47">
      <c r="A1104" s="30" t="s">
        <v>2988</v>
      </c>
      <c r="B1104" s="31" t="s">
        <v>2989</v>
      </c>
      <c r="C1104" s="31" t="s">
        <v>179</v>
      </c>
      <c r="D1104" s="31" t="s">
        <v>190</v>
      </c>
      <c r="E1104" s="31" t="s">
        <v>181</v>
      </c>
      <c r="F1104" s="30" t="s">
        <v>1217</v>
      </c>
      <c r="G1104" s="31">
        <v>3</v>
      </c>
      <c r="H1104" s="31" t="s">
        <v>642</v>
      </c>
      <c r="I1104" s="31" t="s">
        <v>302</v>
      </c>
      <c r="J1104" s="33">
        <v>1300</v>
      </c>
      <c r="K1104" s="33">
        <v>600</v>
      </c>
      <c r="L1104" s="33">
        <v>800</v>
      </c>
      <c r="M1104" s="33">
        <f t="shared" si="136"/>
        <v>2700</v>
      </c>
      <c r="N1104" s="34">
        <f t="shared" si="142"/>
        <v>1.41551276163394e-5</v>
      </c>
      <c r="O1104" s="35">
        <f>SUM($M$2:M1104)</f>
        <v>190404400</v>
      </c>
      <c r="P1104" s="34">
        <f t="shared" si="143"/>
        <v>0.998221696560199</v>
      </c>
      <c r="Q1104" s="37">
        <v>0.4</v>
      </c>
      <c r="R1104" s="31">
        <v>2</v>
      </c>
      <c r="S1104" s="31">
        <v>1</v>
      </c>
      <c r="T1104" s="31">
        <v>0</v>
      </c>
      <c r="U1104" s="37">
        <v>26.7</v>
      </c>
      <c r="V1104" s="31">
        <v>10</v>
      </c>
      <c r="W1104" s="31">
        <v>2</v>
      </c>
      <c r="X1104" s="38">
        <v>39</v>
      </c>
      <c r="Y1104" s="31">
        <v>0</v>
      </c>
      <c r="Z1104" s="31">
        <v>0</v>
      </c>
      <c r="AA1104" s="31" t="s">
        <v>199</v>
      </c>
      <c r="AB1104" s="31" t="s">
        <v>220</v>
      </c>
      <c r="AC1104" s="41">
        <f>IFERROR(LOOKUP(M1104,打分卡!$F$7:$J$7,打分卡!$K$7:$O$7),1)</f>
        <v>1</v>
      </c>
      <c r="AD1104" s="41">
        <f>IFERROR(LOOKUP(S1104,打分卡!$F$8:$J$8,打分卡!$K$8:$O$8),1)</f>
        <v>1</v>
      </c>
      <c r="AE1104" s="41">
        <f>IFERROR(LOOKUP(T1104,打分卡!$F$9:$I$9,打分卡!$K$9:$N$9),1)</f>
        <v>1</v>
      </c>
      <c r="AF1104" s="41">
        <f>IFERROR(LOOKUP(Q1104,打分卡!$F$10:$J$10,打分卡!$K$10:$O$10),1)</f>
        <v>1</v>
      </c>
      <c r="AG1104" s="41">
        <f>IFERROR(LOOKUP(R1104,打分卡!$F$11:$J$11,打分卡!$K$11:$O$11),1)</f>
        <v>1</v>
      </c>
      <c r="AH1104" s="41">
        <f>IFERROR(LOOKUP(U1104,打分卡!$F$12:$J$12,打分卡!$K$12:$O$12),1)</f>
        <v>3</v>
      </c>
      <c r="AI1104" s="41">
        <f>IFERROR(LOOKUP(X1104,打分卡!$F$13:$J$13,打分卡!$K$13:$O$13),1)</f>
        <v>3</v>
      </c>
      <c r="AJ1104" s="41">
        <f>IFERROR(LOOKUP(Y1104,打分卡!$F$14:$J$14,打分卡!$K$14:$O$14),1)</f>
        <v>1</v>
      </c>
      <c r="AK1104" s="41">
        <f>IFERROR(LOOKUP(W1104,打分卡!$F$15:$J$15,打分卡!$K$15:$O$15),1)</f>
        <v>2</v>
      </c>
      <c r="AL1104" s="43">
        <f t="shared" si="137"/>
        <v>5</v>
      </c>
      <c r="AM1104" s="41">
        <f>IFERROR(LOOKUP(Z1104,打分卡!$F$17:$H$17,打分卡!$K$17:$M$17),1)</f>
        <v>1</v>
      </c>
      <c r="AN1104" s="44">
        <f>(打分卡!$D$7*AC1104+打分卡!$D$8*AD1104+打分卡!$D$9*AE1104)/5</f>
        <v>8</v>
      </c>
      <c r="AO1104" s="44">
        <f>(打分卡!$D$10*AF1104+打分卡!$D$11*AG1104)/5</f>
        <v>4</v>
      </c>
      <c r="AP1104" s="44">
        <f>(打分卡!$D$12*AH1104+打分卡!$D$13*AI1104+打分卡!$D$14*AJ1104+打分卡!$D$15*AK1104)/5</f>
        <v>14.8</v>
      </c>
      <c r="AQ1104" s="44">
        <f>(打分卡!$D$16*AL1104+打分卡!$D$17*AM1104)/5</f>
        <v>6.8</v>
      </c>
      <c r="AR1104" s="47">
        <f t="shared" si="138"/>
        <v>33.6</v>
      </c>
      <c r="AS1104" s="43" t="str">
        <f t="shared" si="139"/>
        <v>基础长尾</v>
      </c>
      <c r="AT1104" s="43" t="str">
        <f t="shared" si="140"/>
        <v/>
      </c>
      <c r="AU1104" s="43" t="str">
        <f t="shared" si="141"/>
        <v>激活：企微+Push低成本先跑</v>
      </c>
    </row>
    <row r="1105" ht="15" customHeight="1" spans="1:47">
      <c r="A1105" s="20" t="s">
        <v>2990</v>
      </c>
      <c r="B1105" s="22" t="s">
        <v>2991</v>
      </c>
      <c r="C1105" s="22" t="s">
        <v>239</v>
      </c>
      <c r="D1105" s="22" t="s">
        <v>227</v>
      </c>
      <c r="E1105" s="22" t="s">
        <v>181</v>
      </c>
      <c r="F1105" s="20" t="s">
        <v>2888</v>
      </c>
      <c r="G1105" s="22">
        <v>1</v>
      </c>
      <c r="H1105" s="22" t="s">
        <v>642</v>
      </c>
      <c r="I1105" s="22" t="s">
        <v>302</v>
      </c>
      <c r="J1105" s="36">
        <v>1600</v>
      </c>
      <c r="K1105" s="36">
        <v>1000</v>
      </c>
      <c r="L1105" s="36">
        <v>100</v>
      </c>
      <c r="M1105" s="36">
        <f t="shared" si="136"/>
        <v>2700</v>
      </c>
      <c r="N1105" s="34">
        <f t="shared" si="142"/>
        <v>1.41551276163394e-5</v>
      </c>
      <c r="O1105" s="35">
        <f>SUM($M$2:M1105)</f>
        <v>190407100</v>
      </c>
      <c r="P1105" s="34">
        <f t="shared" si="143"/>
        <v>0.998235851687815</v>
      </c>
      <c r="Q1105" s="39">
        <v>0.3</v>
      </c>
      <c r="R1105" s="22">
        <v>2</v>
      </c>
      <c r="S1105" s="22">
        <v>1</v>
      </c>
      <c r="T1105" s="22">
        <v>0</v>
      </c>
      <c r="U1105" s="39">
        <v>1.4</v>
      </c>
      <c r="V1105" s="22">
        <v>9</v>
      </c>
      <c r="W1105" s="22">
        <v>1</v>
      </c>
      <c r="X1105" s="40">
        <v>71</v>
      </c>
      <c r="Y1105" s="22">
        <v>0</v>
      </c>
      <c r="Z1105" s="22">
        <v>0</v>
      </c>
      <c r="AA1105" s="22" t="s">
        <v>199</v>
      </c>
      <c r="AB1105" s="22" t="s">
        <v>220</v>
      </c>
      <c r="AC1105" s="42">
        <f>IFERROR(LOOKUP(M1105,打分卡!$F$7:$J$7,打分卡!$K$7:$O$7),1)</f>
        <v>1</v>
      </c>
      <c r="AD1105" s="42">
        <f>IFERROR(LOOKUP(S1105,打分卡!$F$8:$J$8,打分卡!$K$8:$O$8),1)</f>
        <v>1</v>
      </c>
      <c r="AE1105" s="42">
        <f>IFERROR(LOOKUP(T1105,打分卡!$F$9:$I$9,打分卡!$K$9:$N$9),1)</f>
        <v>1</v>
      </c>
      <c r="AF1105" s="42">
        <f>IFERROR(LOOKUP(Q1105,打分卡!$F$10:$J$10,打分卡!$K$10:$O$10),1)</f>
        <v>1</v>
      </c>
      <c r="AG1105" s="42">
        <f>IFERROR(LOOKUP(R1105,打分卡!$F$11:$J$11,打分卡!$K$11:$O$11),1)</f>
        <v>1</v>
      </c>
      <c r="AH1105" s="42">
        <f>IFERROR(LOOKUP(U1105,打分卡!$F$12:$J$12,打分卡!$K$12:$O$12),1)</f>
        <v>1</v>
      </c>
      <c r="AI1105" s="42">
        <f>IFERROR(LOOKUP(X1105,打分卡!$F$13:$J$13,打分卡!$K$13:$O$13),1)</f>
        <v>3</v>
      </c>
      <c r="AJ1105" s="42">
        <f>IFERROR(LOOKUP(Y1105,打分卡!$F$14:$J$14,打分卡!$K$14:$O$14),1)</f>
        <v>1</v>
      </c>
      <c r="AK1105" s="42">
        <f>IFERROR(LOOKUP(W1105,打分卡!$F$15:$J$15,打分卡!$K$15:$O$15),1)</f>
        <v>2</v>
      </c>
      <c r="AL1105" s="45">
        <f t="shared" si="137"/>
        <v>5</v>
      </c>
      <c r="AM1105" s="42">
        <f>IFERROR(LOOKUP(Z1105,打分卡!$F$17:$H$17,打分卡!$K$17:$M$17),1)</f>
        <v>1</v>
      </c>
      <c r="AN1105" s="46">
        <f>(打分卡!$D$7*AC1105+打分卡!$D$8*AD1105+打分卡!$D$9*AE1105)/5</f>
        <v>8</v>
      </c>
      <c r="AO1105" s="46">
        <f>(打分卡!$D$10*AF1105+打分卡!$D$11*AG1105)/5</f>
        <v>4</v>
      </c>
      <c r="AP1105" s="46">
        <f>(打分卡!$D$12*AH1105+打分卡!$D$13*AI1105+打分卡!$D$14*AJ1105+打分卡!$D$15*AK1105)/5</f>
        <v>10</v>
      </c>
      <c r="AQ1105" s="46">
        <f>(打分卡!$D$16*AL1105+打分卡!$D$17*AM1105)/5</f>
        <v>6.8</v>
      </c>
      <c r="AR1105" s="48">
        <f t="shared" si="138"/>
        <v>34.1333333333333</v>
      </c>
      <c r="AS1105" s="45" t="str">
        <f t="shared" si="139"/>
        <v>基础长尾</v>
      </c>
      <c r="AT1105" s="45" t="str">
        <f t="shared" si="140"/>
        <v/>
      </c>
      <c r="AU1105" s="45" t="str">
        <f t="shared" si="141"/>
        <v>激活：企微+Push低成本先跑</v>
      </c>
    </row>
    <row r="1106" ht="15" customHeight="1" spans="1:47">
      <c r="A1106" s="30" t="s">
        <v>2992</v>
      </c>
      <c r="B1106" s="31" t="s">
        <v>2993</v>
      </c>
      <c r="C1106" s="31" t="s">
        <v>189</v>
      </c>
      <c r="D1106" s="31" t="s">
        <v>202</v>
      </c>
      <c r="E1106" s="31" t="s">
        <v>181</v>
      </c>
      <c r="F1106" s="30" t="s">
        <v>1102</v>
      </c>
      <c r="G1106" s="31">
        <v>3</v>
      </c>
      <c r="H1106" s="31" t="s">
        <v>642</v>
      </c>
      <c r="I1106" s="31" t="s">
        <v>302</v>
      </c>
      <c r="J1106" s="33">
        <v>1300</v>
      </c>
      <c r="K1106" s="33">
        <v>600</v>
      </c>
      <c r="L1106" s="33">
        <v>800</v>
      </c>
      <c r="M1106" s="33">
        <f t="shared" si="136"/>
        <v>2700</v>
      </c>
      <c r="N1106" s="34">
        <f t="shared" si="142"/>
        <v>1.41551276163394e-5</v>
      </c>
      <c r="O1106" s="35">
        <f>SUM($M$2:M1106)</f>
        <v>190409800</v>
      </c>
      <c r="P1106" s="34">
        <f t="shared" si="143"/>
        <v>0.998250006815432</v>
      </c>
      <c r="Q1106" s="37">
        <v>0.2</v>
      </c>
      <c r="R1106" s="31">
        <v>1</v>
      </c>
      <c r="S1106" s="31">
        <v>1</v>
      </c>
      <c r="T1106" s="31">
        <v>0</v>
      </c>
      <c r="U1106" s="37">
        <v>6.3</v>
      </c>
      <c r="V1106" s="31">
        <v>0</v>
      </c>
      <c r="W1106" s="31">
        <v>1</v>
      </c>
      <c r="X1106" s="38">
        <v>18</v>
      </c>
      <c r="Y1106" s="31">
        <v>0</v>
      </c>
      <c r="Z1106" s="31">
        <v>0</v>
      </c>
      <c r="AA1106" s="31" t="s">
        <v>199</v>
      </c>
      <c r="AB1106" s="31" t="s">
        <v>220</v>
      </c>
      <c r="AC1106" s="41">
        <f>IFERROR(LOOKUP(M1106,打分卡!$F$7:$J$7,打分卡!$K$7:$O$7),1)</f>
        <v>1</v>
      </c>
      <c r="AD1106" s="41">
        <f>IFERROR(LOOKUP(S1106,打分卡!$F$8:$J$8,打分卡!$K$8:$O$8),1)</f>
        <v>1</v>
      </c>
      <c r="AE1106" s="41">
        <f>IFERROR(LOOKUP(T1106,打分卡!$F$9:$I$9,打分卡!$K$9:$N$9),1)</f>
        <v>1</v>
      </c>
      <c r="AF1106" s="41">
        <f>IFERROR(LOOKUP(Q1106,打分卡!$F$10:$J$10,打分卡!$K$10:$O$10),1)</f>
        <v>1</v>
      </c>
      <c r="AG1106" s="41">
        <f>IFERROR(LOOKUP(R1106,打分卡!$F$11:$J$11,打分卡!$K$11:$O$11),1)</f>
        <v>1</v>
      </c>
      <c r="AH1106" s="41">
        <f>IFERROR(LOOKUP(U1106,打分卡!$F$12:$J$12,打分卡!$K$12:$O$12),1)</f>
        <v>2</v>
      </c>
      <c r="AI1106" s="41">
        <f>IFERROR(LOOKUP(X1106,打分卡!$F$13:$J$13,打分卡!$K$13:$O$13),1)</f>
        <v>2</v>
      </c>
      <c r="AJ1106" s="41">
        <f>IFERROR(LOOKUP(Y1106,打分卡!$F$14:$J$14,打分卡!$K$14:$O$14),1)</f>
        <v>1</v>
      </c>
      <c r="AK1106" s="41">
        <f>IFERROR(LOOKUP(W1106,打分卡!$F$15:$J$15,打分卡!$K$15:$O$15),1)</f>
        <v>2</v>
      </c>
      <c r="AL1106" s="43">
        <f t="shared" si="137"/>
        <v>5</v>
      </c>
      <c r="AM1106" s="41">
        <f>IFERROR(LOOKUP(Z1106,打分卡!$F$17:$H$17,打分卡!$K$17:$M$17),1)</f>
        <v>1</v>
      </c>
      <c r="AN1106" s="44">
        <f>(打分卡!$D$7*AC1106+打分卡!$D$8*AD1106+打分卡!$D$9*AE1106)/5</f>
        <v>8</v>
      </c>
      <c r="AO1106" s="44">
        <f>(打分卡!$D$10*AF1106+打分卡!$D$11*AG1106)/5</f>
        <v>4</v>
      </c>
      <c r="AP1106" s="44">
        <f>(打分卡!$D$12*AH1106+打分卡!$D$13*AI1106+打分卡!$D$14*AJ1106+打分卡!$D$15*AK1106)/5</f>
        <v>10.8</v>
      </c>
      <c r="AQ1106" s="44">
        <f>(打分卡!$D$16*AL1106+打分卡!$D$17*AM1106)/5</f>
        <v>6.8</v>
      </c>
      <c r="AR1106" s="47">
        <f t="shared" si="138"/>
        <v>29.6</v>
      </c>
      <c r="AS1106" s="43" t="str">
        <f t="shared" si="139"/>
        <v>基础长尾</v>
      </c>
      <c r="AT1106" s="43" t="str">
        <f t="shared" si="140"/>
        <v/>
      </c>
      <c r="AU1106" s="43" t="str">
        <f t="shared" si="141"/>
        <v>激活：企微+Push低成本先跑</v>
      </c>
    </row>
    <row r="1107" ht="15" customHeight="1" spans="1:47">
      <c r="A1107" s="20" t="s">
        <v>2994</v>
      </c>
      <c r="B1107" s="22" t="s">
        <v>2995</v>
      </c>
      <c r="C1107" s="22" t="s">
        <v>189</v>
      </c>
      <c r="D1107" s="22" t="s">
        <v>227</v>
      </c>
      <c r="E1107" s="22" t="s">
        <v>197</v>
      </c>
      <c r="F1107" s="20" t="s">
        <v>2484</v>
      </c>
      <c r="G1107" s="22">
        <v>2</v>
      </c>
      <c r="H1107" s="22" t="s">
        <v>642</v>
      </c>
      <c r="I1107" s="22" t="s">
        <v>302</v>
      </c>
      <c r="J1107" s="36">
        <v>1700</v>
      </c>
      <c r="K1107" s="36">
        <v>800</v>
      </c>
      <c r="L1107" s="36">
        <v>100</v>
      </c>
      <c r="M1107" s="36">
        <f t="shared" si="136"/>
        <v>2600</v>
      </c>
      <c r="N1107" s="34">
        <f t="shared" si="142"/>
        <v>1.36308636305491e-5</v>
      </c>
      <c r="O1107" s="35">
        <f>SUM($M$2:M1107)</f>
        <v>190412400</v>
      </c>
      <c r="P1107" s="34">
        <f t="shared" si="143"/>
        <v>0.998263637679062</v>
      </c>
      <c r="Q1107" s="39">
        <v>0.2</v>
      </c>
      <c r="R1107" s="22">
        <v>1</v>
      </c>
      <c r="S1107" s="22">
        <v>1</v>
      </c>
      <c r="T1107" s="22">
        <v>0</v>
      </c>
      <c r="U1107" s="39">
        <v>15.3</v>
      </c>
      <c r="V1107" s="22">
        <v>11</v>
      </c>
      <c r="W1107" s="22">
        <v>2</v>
      </c>
      <c r="X1107" s="40">
        <v>35</v>
      </c>
      <c r="Y1107" s="22">
        <v>1</v>
      </c>
      <c r="Z1107" s="22">
        <v>0</v>
      </c>
      <c r="AA1107" s="22" t="s">
        <v>199</v>
      </c>
      <c r="AB1107" s="22" t="s">
        <v>220</v>
      </c>
      <c r="AC1107" s="42">
        <f>IFERROR(LOOKUP(M1107,打分卡!$F$7:$J$7,打分卡!$K$7:$O$7),1)</f>
        <v>1</v>
      </c>
      <c r="AD1107" s="42">
        <f>IFERROR(LOOKUP(S1107,打分卡!$F$8:$J$8,打分卡!$K$8:$O$8),1)</f>
        <v>1</v>
      </c>
      <c r="AE1107" s="42">
        <f>IFERROR(LOOKUP(T1107,打分卡!$F$9:$I$9,打分卡!$K$9:$N$9),1)</f>
        <v>1</v>
      </c>
      <c r="AF1107" s="42">
        <f>IFERROR(LOOKUP(Q1107,打分卡!$F$10:$J$10,打分卡!$K$10:$O$10),1)</f>
        <v>1</v>
      </c>
      <c r="AG1107" s="42">
        <f>IFERROR(LOOKUP(R1107,打分卡!$F$11:$J$11,打分卡!$K$11:$O$11),1)</f>
        <v>1</v>
      </c>
      <c r="AH1107" s="42">
        <f>IFERROR(LOOKUP(U1107,打分卡!$F$12:$J$12,打分卡!$K$12:$O$12),1)</f>
        <v>3</v>
      </c>
      <c r="AI1107" s="42">
        <f>IFERROR(LOOKUP(X1107,打分卡!$F$13:$J$13,打分卡!$K$13:$O$13),1)</f>
        <v>2</v>
      </c>
      <c r="AJ1107" s="42">
        <f>IFERROR(LOOKUP(Y1107,打分卡!$F$14:$J$14,打分卡!$K$14:$O$14),1)</f>
        <v>2</v>
      </c>
      <c r="AK1107" s="42">
        <f>IFERROR(LOOKUP(W1107,打分卡!$F$15:$J$15,打分卡!$K$15:$O$15),1)</f>
        <v>2</v>
      </c>
      <c r="AL1107" s="45">
        <f t="shared" si="137"/>
        <v>5</v>
      </c>
      <c r="AM1107" s="42">
        <f>IFERROR(LOOKUP(Z1107,打分卡!$F$17:$H$17,打分卡!$K$17:$M$17),1)</f>
        <v>1</v>
      </c>
      <c r="AN1107" s="46">
        <f>(打分卡!$D$7*AC1107+打分卡!$D$8*AD1107+打分卡!$D$9*AE1107)/5</f>
        <v>8</v>
      </c>
      <c r="AO1107" s="46">
        <f>(打分卡!$D$10*AF1107+打分卡!$D$11*AG1107)/5</f>
        <v>4</v>
      </c>
      <c r="AP1107" s="46">
        <f>(打分卡!$D$12*AH1107+打分卡!$D$13*AI1107+打分卡!$D$14*AJ1107+打分卡!$D$15*AK1107)/5</f>
        <v>14.4</v>
      </c>
      <c r="AQ1107" s="46">
        <f>(打分卡!$D$16*AL1107+打分卡!$D$17*AM1107)/5</f>
        <v>6.8</v>
      </c>
      <c r="AR1107" s="48">
        <f t="shared" si="138"/>
        <v>44.4</v>
      </c>
      <c r="AS1107" s="45" t="str">
        <f t="shared" si="139"/>
        <v>腰部</v>
      </c>
      <c r="AT1107" s="45" t="str">
        <f t="shared" si="140"/>
        <v/>
      </c>
      <c r="AU1107" s="45" t="str">
        <f t="shared" si="141"/>
        <v>拉·主攻：主推AI外呼+大促作战包</v>
      </c>
    </row>
    <row r="1108" ht="15" customHeight="1" spans="1:47">
      <c r="A1108" s="30" t="s">
        <v>2996</v>
      </c>
      <c r="B1108" s="31" t="s">
        <v>2997</v>
      </c>
      <c r="C1108" s="31" t="s">
        <v>179</v>
      </c>
      <c r="D1108" s="31" t="s">
        <v>180</v>
      </c>
      <c r="E1108" s="31" t="s">
        <v>181</v>
      </c>
      <c r="F1108" s="30" t="s">
        <v>2998</v>
      </c>
      <c r="G1108" s="31">
        <v>2</v>
      </c>
      <c r="H1108" s="31" t="s">
        <v>642</v>
      </c>
      <c r="I1108" s="31" t="s">
        <v>302</v>
      </c>
      <c r="J1108" s="33">
        <v>1600</v>
      </c>
      <c r="K1108" s="33">
        <v>900</v>
      </c>
      <c r="L1108" s="33">
        <v>100</v>
      </c>
      <c r="M1108" s="33">
        <f t="shared" si="136"/>
        <v>2600</v>
      </c>
      <c r="N1108" s="34">
        <f t="shared" si="142"/>
        <v>1.36308636305491e-5</v>
      </c>
      <c r="O1108" s="35">
        <f>SUM($M$2:M1108)</f>
        <v>190415000</v>
      </c>
      <c r="P1108" s="34">
        <f t="shared" si="143"/>
        <v>0.998277268542693</v>
      </c>
      <c r="Q1108" s="37">
        <v>0.3</v>
      </c>
      <c r="R1108" s="31">
        <v>1</v>
      </c>
      <c r="S1108" s="31">
        <v>0</v>
      </c>
      <c r="T1108" s="31">
        <v>0</v>
      </c>
      <c r="U1108" s="37">
        <v>11.1</v>
      </c>
      <c r="V1108" s="31">
        <v>12</v>
      </c>
      <c r="W1108" s="31">
        <v>2</v>
      </c>
      <c r="X1108" s="38">
        <v>34</v>
      </c>
      <c r="Y1108" s="31">
        <v>1</v>
      </c>
      <c r="Z1108" s="31">
        <v>0</v>
      </c>
      <c r="AA1108" s="31" t="s">
        <v>199</v>
      </c>
      <c r="AB1108" s="31" t="s">
        <v>220</v>
      </c>
      <c r="AC1108" s="41">
        <f>IFERROR(LOOKUP(M1108,打分卡!$F$7:$J$7,打分卡!$K$7:$O$7),1)</f>
        <v>1</v>
      </c>
      <c r="AD1108" s="41">
        <f>IFERROR(LOOKUP(S1108,打分卡!$F$8:$J$8,打分卡!$K$8:$O$8),1)</f>
        <v>1</v>
      </c>
      <c r="AE1108" s="41">
        <f>IFERROR(LOOKUP(T1108,打分卡!$F$9:$I$9,打分卡!$K$9:$N$9),1)</f>
        <v>1</v>
      </c>
      <c r="AF1108" s="41">
        <f>IFERROR(LOOKUP(Q1108,打分卡!$F$10:$J$10,打分卡!$K$10:$O$10),1)</f>
        <v>1</v>
      </c>
      <c r="AG1108" s="41">
        <f>IFERROR(LOOKUP(R1108,打分卡!$F$11:$J$11,打分卡!$K$11:$O$11),1)</f>
        <v>1</v>
      </c>
      <c r="AH1108" s="41">
        <f>IFERROR(LOOKUP(U1108,打分卡!$F$12:$J$12,打分卡!$K$12:$O$12),1)</f>
        <v>3</v>
      </c>
      <c r="AI1108" s="41">
        <f>IFERROR(LOOKUP(X1108,打分卡!$F$13:$J$13,打分卡!$K$13:$O$13),1)</f>
        <v>2</v>
      </c>
      <c r="AJ1108" s="41">
        <f>IFERROR(LOOKUP(Y1108,打分卡!$F$14:$J$14,打分卡!$K$14:$O$14),1)</f>
        <v>2</v>
      </c>
      <c r="AK1108" s="41">
        <f>IFERROR(LOOKUP(W1108,打分卡!$F$15:$J$15,打分卡!$K$15:$O$15),1)</f>
        <v>2</v>
      </c>
      <c r="AL1108" s="43">
        <f t="shared" si="137"/>
        <v>5</v>
      </c>
      <c r="AM1108" s="41">
        <f>IFERROR(LOOKUP(Z1108,打分卡!$F$17:$H$17,打分卡!$K$17:$M$17),1)</f>
        <v>1</v>
      </c>
      <c r="AN1108" s="44">
        <f>(打分卡!$D$7*AC1108+打分卡!$D$8*AD1108+打分卡!$D$9*AE1108)/5</f>
        <v>8</v>
      </c>
      <c r="AO1108" s="44">
        <f>(打分卡!$D$10*AF1108+打分卡!$D$11*AG1108)/5</f>
        <v>4</v>
      </c>
      <c r="AP1108" s="44">
        <f>(打分卡!$D$12*AH1108+打分卡!$D$13*AI1108+打分卡!$D$14*AJ1108+打分卡!$D$15*AK1108)/5</f>
        <v>14.4</v>
      </c>
      <c r="AQ1108" s="44">
        <f>(打分卡!$D$16*AL1108+打分卡!$D$17*AM1108)/5</f>
        <v>6.8</v>
      </c>
      <c r="AR1108" s="47">
        <f t="shared" si="138"/>
        <v>44.4</v>
      </c>
      <c r="AS1108" s="43" t="str">
        <f t="shared" si="139"/>
        <v>腰部</v>
      </c>
      <c r="AT1108" s="43" t="str">
        <f t="shared" si="140"/>
        <v/>
      </c>
      <c r="AU1108" s="43" t="str">
        <f t="shared" si="141"/>
        <v>拉·主攻：主推AI外呼+大促作战包</v>
      </c>
    </row>
    <row r="1109" ht="15" customHeight="1" spans="1:47">
      <c r="A1109" s="20" t="s">
        <v>2999</v>
      </c>
      <c r="B1109" s="22" t="s">
        <v>3000</v>
      </c>
      <c r="C1109" s="22" t="s">
        <v>189</v>
      </c>
      <c r="D1109" s="22" t="s">
        <v>180</v>
      </c>
      <c r="E1109" s="22" t="s">
        <v>197</v>
      </c>
      <c r="F1109" s="20" t="s">
        <v>1489</v>
      </c>
      <c r="G1109" s="22">
        <v>1</v>
      </c>
      <c r="H1109" s="22" t="s">
        <v>642</v>
      </c>
      <c r="I1109" s="22" t="s">
        <v>302</v>
      </c>
      <c r="J1109" s="36">
        <v>1400</v>
      </c>
      <c r="K1109" s="36">
        <v>700</v>
      </c>
      <c r="L1109" s="36">
        <v>600</v>
      </c>
      <c r="M1109" s="36">
        <f t="shared" si="136"/>
        <v>2700</v>
      </c>
      <c r="N1109" s="34">
        <f t="shared" si="142"/>
        <v>1.41551276163394e-5</v>
      </c>
      <c r="O1109" s="35">
        <f>SUM($M$2:M1109)</f>
        <v>190417700</v>
      </c>
      <c r="P1109" s="34">
        <f t="shared" si="143"/>
        <v>0.998291423670309</v>
      </c>
      <c r="Q1109" s="39">
        <v>0.2</v>
      </c>
      <c r="R1109" s="22">
        <v>1</v>
      </c>
      <c r="S1109" s="22">
        <v>0</v>
      </c>
      <c r="T1109" s="22">
        <v>0</v>
      </c>
      <c r="U1109" s="39">
        <v>6.5</v>
      </c>
      <c r="V1109" s="22">
        <v>13</v>
      </c>
      <c r="W1109" s="22">
        <v>1</v>
      </c>
      <c r="X1109" s="40">
        <v>14</v>
      </c>
      <c r="Y1109" s="22">
        <v>1</v>
      </c>
      <c r="Z1109" s="22">
        <v>0</v>
      </c>
      <c r="AA1109" s="22" t="s">
        <v>199</v>
      </c>
      <c r="AB1109" s="22" t="s">
        <v>220</v>
      </c>
      <c r="AC1109" s="42">
        <f>IFERROR(LOOKUP(M1109,打分卡!$F$7:$J$7,打分卡!$K$7:$O$7),1)</f>
        <v>1</v>
      </c>
      <c r="AD1109" s="42">
        <f>IFERROR(LOOKUP(S1109,打分卡!$F$8:$J$8,打分卡!$K$8:$O$8),1)</f>
        <v>1</v>
      </c>
      <c r="AE1109" s="42">
        <f>IFERROR(LOOKUP(T1109,打分卡!$F$9:$I$9,打分卡!$K$9:$N$9),1)</f>
        <v>1</v>
      </c>
      <c r="AF1109" s="42">
        <f>IFERROR(LOOKUP(Q1109,打分卡!$F$10:$J$10,打分卡!$K$10:$O$10),1)</f>
        <v>1</v>
      </c>
      <c r="AG1109" s="42">
        <f>IFERROR(LOOKUP(R1109,打分卡!$F$11:$J$11,打分卡!$K$11:$O$11),1)</f>
        <v>1</v>
      </c>
      <c r="AH1109" s="42">
        <f>IFERROR(LOOKUP(U1109,打分卡!$F$12:$J$12,打分卡!$K$12:$O$12),1)</f>
        <v>2</v>
      </c>
      <c r="AI1109" s="42">
        <f>IFERROR(LOOKUP(X1109,打分卡!$F$13:$J$13,打分卡!$K$13:$O$13),1)</f>
        <v>1</v>
      </c>
      <c r="AJ1109" s="42">
        <f>IFERROR(LOOKUP(Y1109,打分卡!$F$14:$J$14,打分卡!$K$14:$O$14),1)</f>
        <v>2</v>
      </c>
      <c r="AK1109" s="42">
        <f>IFERROR(LOOKUP(W1109,打分卡!$F$15:$J$15,打分卡!$K$15:$O$15),1)</f>
        <v>2</v>
      </c>
      <c r="AL1109" s="45">
        <f t="shared" si="137"/>
        <v>5</v>
      </c>
      <c r="AM1109" s="42">
        <f>IFERROR(LOOKUP(Z1109,打分卡!$F$17:$H$17,打分卡!$K$17:$M$17),1)</f>
        <v>1</v>
      </c>
      <c r="AN1109" s="46">
        <f>(打分卡!$D$7*AC1109+打分卡!$D$8*AD1109+打分卡!$D$9*AE1109)/5</f>
        <v>8</v>
      </c>
      <c r="AO1109" s="46">
        <f>(打分卡!$D$10*AF1109+打分卡!$D$11*AG1109)/5</f>
        <v>4</v>
      </c>
      <c r="AP1109" s="46">
        <f>(打分卡!$D$12*AH1109+打分卡!$D$13*AI1109+打分卡!$D$14*AJ1109+打分卡!$D$15*AK1109)/5</f>
        <v>10.4</v>
      </c>
      <c r="AQ1109" s="46">
        <f>(打分卡!$D$16*AL1109+打分卡!$D$17*AM1109)/5</f>
        <v>6.8</v>
      </c>
      <c r="AR1109" s="48">
        <f t="shared" si="138"/>
        <v>35.0666666666667</v>
      </c>
      <c r="AS1109" s="45" t="str">
        <f t="shared" si="139"/>
        <v>基础长尾</v>
      </c>
      <c r="AT1109" s="45" t="str">
        <f t="shared" si="140"/>
        <v/>
      </c>
      <c r="AU1109" s="45" t="str">
        <f t="shared" si="141"/>
        <v>激活：企微+Push低成本先跑</v>
      </c>
    </row>
    <row r="1110" ht="15" customHeight="1" spans="1:47">
      <c r="A1110" s="30" t="s">
        <v>3001</v>
      </c>
      <c r="B1110" s="31" t="s">
        <v>3002</v>
      </c>
      <c r="C1110" s="31" t="s">
        <v>239</v>
      </c>
      <c r="D1110" s="31" t="s">
        <v>196</v>
      </c>
      <c r="E1110" s="31" t="s">
        <v>181</v>
      </c>
      <c r="F1110" s="30" t="s">
        <v>2484</v>
      </c>
      <c r="G1110" s="31">
        <v>2</v>
      </c>
      <c r="H1110" s="31" t="s">
        <v>642</v>
      </c>
      <c r="I1110" s="31" t="s">
        <v>302</v>
      </c>
      <c r="J1110" s="33">
        <v>1700</v>
      </c>
      <c r="K1110" s="33">
        <v>800</v>
      </c>
      <c r="L1110" s="33">
        <v>100</v>
      </c>
      <c r="M1110" s="33">
        <f t="shared" si="136"/>
        <v>2600</v>
      </c>
      <c r="N1110" s="34">
        <f t="shared" si="142"/>
        <v>1.36308636305491e-5</v>
      </c>
      <c r="O1110" s="35">
        <f>SUM($M$2:M1110)</f>
        <v>190420300</v>
      </c>
      <c r="P1110" s="34">
        <f t="shared" si="143"/>
        <v>0.99830505453394</v>
      </c>
      <c r="Q1110" s="37">
        <v>0.2</v>
      </c>
      <c r="R1110" s="31">
        <v>2</v>
      </c>
      <c r="S1110" s="31">
        <v>1</v>
      </c>
      <c r="T1110" s="31">
        <v>0</v>
      </c>
      <c r="U1110" s="37">
        <v>32.8</v>
      </c>
      <c r="V1110" s="31">
        <v>2</v>
      </c>
      <c r="W1110" s="31">
        <v>0</v>
      </c>
      <c r="X1110" s="38">
        <v>6</v>
      </c>
      <c r="Y1110" s="31">
        <v>1</v>
      </c>
      <c r="Z1110" s="31">
        <v>0</v>
      </c>
      <c r="AA1110" s="31" t="s">
        <v>199</v>
      </c>
      <c r="AB1110" s="31" t="s">
        <v>220</v>
      </c>
      <c r="AC1110" s="41">
        <f>IFERROR(LOOKUP(M1110,打分卡!$F$7:$J$7,打分卡!$K$7:$O$7),1)</f>
        <v>1</v>
      </c>
      <c r="AD1110" s="41">
        <f>IFERROR(LOOKUP(S1110,打分卡!$F$8:$J$8,打分卡!$K$8:$O$8),1)</f>
        <v>1</v>
      </c>
      <c r="AE1110" s="41">
        <f>IFERROR(LOOKUP(T1110,打分卡!$F$9:$I$9,打分卡!$K$9:$N$9),1)</f>
        <v>1</v>
      </c>
      <c r="AF1110" s="41">
        <f>IFERROR(LOOKUP(Q1110,打分卡!$F$10:$J$10,打分卡!$K$10:$O$10),1)</f>
        <v>1</v>
      </c>
      <c r="AG1110" s="41">
        <f>IFERROR(LOOKUP(R1110,打分卡!$F$11:$J$11,打分卡!$K$11:$O$11),1)</f>
        <v>1</v>
      </c>
      <c r="AH1110" s="41">
        <f>IFERROR(LOOKUP(U1110,打分卡!$F$12:$J$12,打分卡!$K$12:$O$12),1)</f>
        <v>3</v>
      </c>
      <c r="AI1110" s="41">
        <f>IFERROR(LOOKUP(X1110,打分卡!$F$13:$J$13,打分卡!$K$13:$O$13),1)</f>
        <v>1</v>
      </c>
      <c r="AJ1110" s="41">
        <f>IFERROR(LOOKUP(Y1110,打分卡!$F$14:$J$14,打分卡!$K$14:$O$14),1)</f>
        <v>2</v>
      </c>
      <c r="AK1110" s="41">
        <f>IFERROR(LOOKUP(W1110,打分卡!$F$15:$J$15,打分卡!$K$15:$O$15),1)</f>
        <v>1</v>
      </c>
      <c r="AL1110" s="43">
        <f t="shared" si="137"/>
        <v>5</v>
      </c>
      <c r="AM1110" s="41">
        <f>IFERROR(LOOKUP(Z1110,打分卡!$F$17:$H$17,打分卡!$K$17:$M$17),1)</f>
        <v>1</v>
      </c>
      <c r="AN1110" s="44">
        <f>(打分卡!$D$7*AC1110+打分卡!$D$8*AD1110+打分卡!$D$9*AE1110)/5</f>
        <v>8</v>
      </c>
      <c r="AO1110" s="44">
        <f>(打分卡!$D$10*AF1110+打分卡!$D$11*AG1110)/5</f>
        <v>4</v>
      </c>
      <c r="AP1110" s="44">
        <f>(打分卡!$D$12*AH1110+打分卡!$D$13*AI1110+打分卡!$D$14*AJ1110+打分卡!$D$15*AK1110)/5</f>
        <v>12</v>
      </c>
      <c r="AQ1110" s="44">
        <f>(打分卡!$D$16*AL1110+打分卡!$D$17*AM1110)/5</f>
        <v>6.8</v>
      </c>
      <c r="AR1110" s="47">
        <f t="shared" si="138"/>
        <v>38.8</v>
      </c>
      <c r="AS1110" s="43" t="str">
        <f t="shared" si="139"/>
        <v>基础长尾</v>
      </c>
      <c r="AT1110" s="43" t="str">
        <f t="shared" si="140"/>
        <v/>
      </c>
      <c r="AU1110" s="43" t="str">
        <f t="shared" si="141"/>
        <v>激活：企微+Push低成本先跑</v>
      </c>
    </row>
    <row r="1111" ht="15" customHeight="1" spans="1:47">
      <c r="A1111" s="20" t="s">
        <v>3003</v>
      </c>
      <c r="B1111" s="22" t="s">
        <v>3004</v>
      </c>
      <c r="C1111" s="22" t="s">
        <v>223</v>
      </c>
      <c r="D1111" s="22" t="s">
        <v>196</v>
      </c>
      <c r="E1111" s="22" t="s">
        <v>181</v>
      </c>
      <c r="F1111" s="20" t="s">
        <v>2872</v>
      </c>
      <c r="G1111" s="22">
        <v>1</v>
      </c>
      <c r="H1111" s="22" t="s">
        <v>642</v>
      </c>
      <c r="I1111" s="22" t="s">
        <v>302</v>
      </c>
      <c r="J1111" s="36">
        <v>1500</v>
      </c>
      <c r="K1111" s="36">
        <v>700</v>
      </c>
      <c r="L1111" s="36">
        <v>400</v>
      </c>
      <c r="M1111" s="36">
        <f t="shared" si="136"/>
        <v>2600</v>
      </c>
      <c r="N1111" s="34">
        <f t="shared" si="142"/>
        <v>1.36308636305491e-5</v>
      </c>
      <c r="O1111" s="35">
        <f>SUM($M$2:M1111)</f>
        <v>190422900</v>
      </c>
      <c r="P1111" s="34">
        <f t="shared" si="143"/>
        <v>0.99831868539757</v>
      </c>
      <c r="Q1111" s="39">
        <v>0.3</v>
      </c>
      <c r="R1111" s="22">
        <v>2</v>
      </c>
      <c r="S1111" s="22">
        <v>1</v>
      </c>
      <c r="T1111" s="22">
        <v>0</v>
      </c>
      <c r="U1111" s="39">
        <v>29.5</v>
      </c>
      <c r="V1111" s="22">
        <v>2</v>
      </c>
      <c r="W1111" s="22">
        <v>2</v>
      </c>
      <c r="X1111" s="40">
        <v>29</v>
      </c>
      <c r="Y1111" s="22">
        <v>0</v>
      </c>
      <c r="Z1111" s="22">
        <v>0</v>
      </c>
      <c r="AA1111" s="22" t="s">
        <v>199</v>
      </c>
      <c r="AB1111" s="22" t="s">
        <v>220</v>
      </c>
      <c r="AC1111" s="42">
        <f>IFERROR(LOOKUP(M1111,打分卡!$F$7:$J$7,打分卡!$K$7:$O$7),1)</f>
        <v>1</v>
      </c>
      <c r="AD1111" s="42">
        <f>IFERROR(LOOKUP(S1111,打分卡!$F$8:$J$8,打分卡!$K$8:$O$8),1)</f>
        <v>1</v>
      </c>
      <c r="AE1111" s="42">
        <f>IFERROR(LOOKUP(T1111,打分卡!$F$9:$I$9,打分卡!$K$9:$N$9),1)</f>
        <v>1</v>
      </c>
      <c r="AF1111" s="42">
        <f>IFERROR(LOOKUP(Q1111,打分卡!$F$10:$J$10,打分卡!$K$10:$O$10),1)</f>
        <v>1</v>
      </c>
      <c r="AG1111" s="42">
        <f>IFERROR(LOOKUP(R1111,打分卡!$F$11:$J$11,打分卡!$K$11:$O$11),1)</f>
        <v>1</v>
      </c>
      <c r="AH1111" s="42">
        <f>IFERROR(LOOKUP(U1111,打分卡!$F$12:$J$12,打分卡!$K$12:$O$12),1)</f>
        <v>3</v>
      </c>
      <c r="AI1111" s="42">
        <f>IFERROR(LOOKUP(X1111,打分卡!$F$13:$J$13,打分卡!$K$13:$O$13),1)</f>
        <v>2</v>
      </c>
      <c r="AJ1111" s="42">
        <f>IFERROR(LOOKUP(Y1111,打分卡!$F$14:$J$14,打分卡!$K$14:$O$14),1)</f>
        <v>1</v>
      </c>
      <c r="AK1111" s="42">
        <f>IFERROR(LOOKUP(W1111,打分卡!$F$15:$J$15,打分卡!$K$15:$O$15),1)</f>
        <v>2</v>
      </c>
      <c r="AL1111" s="45">
        <f t="shared" si="137"/>
        <v>5</v>
      </c>
      <c r="AM1111" s="42">
        <f>IFERROR(LOOKUP(Z1111,打分卡!$F$17:$H$17,打分卡!$K$17:$M$17),1)</f>
        <v>1</v>
      </c>
      <c r="AN1111" s="46">
        <f>(打分卡!$D$7*AC1111+打分卡!$D$8*AD1111+打分卡!$D$9*AE1111)/5</f>
        <v>8</v>
      </c>
      <c r="AO1111" s="46">
        <f>(打分卡!$D$10*AF1111+打分卡!$D$11*AG1111)/5</f>
        <v>4</v>
      </c>
      <c r="AP1111" s="46">
        <f>(打分卡!$D$12*AH1111+打分卡!$D$13*AI1111+打分卡!$D$14*AJ1111+打分卡!$D$15*AK1111)/5</f>
        <v>13.2</v>
      </c>
      <c r="AQ1111" s="46">
        <f>(打分卡!$D$16*AL1111+打分卡!$D$17*AM1111)/5</f>
        <v>6.8</v>
      </c>
      <c r="AR1111" s="48">
        <f t="shared" si="138"/>
        <v>41.6</v>
      </c>
      <c r="AS1111" s="45" t="str">
        <f t="shared" si="139"/>
        <v>腰部</v>
      </c>
      <c r="AT1111" s="45" t="str">
        <f t="shared" si="140"/>
        <v/>
      </c>
      <c r="AU1111" s="45" t="str">
        <f t="shared" si="141"/>
        <v>拉·主攻：主推AI外呼+大促作战包</v>
      </c>
    </row>
    <row r="1112" ht="15" customHeight="1" spans="1:47">
      <c r="A1112" s="30" t="s">
        <v>3005</v>
      </c>
      <c r="B1112" s="31" t="s">
        <v>3006</v>
      </c>
      <c r="C1112" s="31" t="s">
        <v>189</v>
      </c>
      <c r="D1112" s="31" t="s">
        <v>202</v>
      </c>
      <c r="E1112" s="31" t="s">
        <v>181</v>
      </c>
      <c r="F1112" s="30" t="s">
        <v>1647</v>
      </c>
      <c r="G1112" s="31">
        <v>3</v>
      </c>
      <c r="H1112" s="31" t="s">
        <v>642</v>
      </c>
      <c r="I1112" s="31" t="s">
        <v>302</v>
      </c>
      <c r="J1112" s="33">
        <v>1300</v>
      </c>
      <c r="K1112" s="33">
        <v>900</v>
      </c>
      <c r="L1112" s="33">
        <v>500</v>
      </c>
      <c r="M1112" s="33">
        <f t="shared" si="136"/>
        <v>2700</v>
      </c>
      <c r="N1112" s="34">
        <f t="shared" si="142"/>
        <v>1.41551276163394e-5</v>
      </c>
      <c r="O1112" s="35">
        <f>SUM($M$2:M1112)</f>
        <v>190425600</v>
      </c>
      <c r="P1112" s="34">
        <f t="shared" si="143"/>
        <v>0.998332840525187</v>
      </c>
      <c r="Q1112" s="37">
        <v>0.2</v>
      </c>
      <c r="R1112" s="31">
        <v>1</v>
      </c>
      <c r="S1112" s="31">
        <v>1</v>
      </c>
      <c r="T1112" s="31">
        <v>0</v>
      </c>
      <c r="U1112" s="37">
        <v>6.3</v>
      </c>
      <c r="V1112" s="31">
        <v>12</v>
      </c>
      <c r="W1112" s="31">
        <v>1</v>
      </c>
      <c r="X1112" s="38">
        <v>70</v>
      </c>
      <c r="Y1112" s="31">
        <v>1</v>
      </c>
      <c r="Z1112" s="31">
        <v>0</v>
      </c>
      <c r="AA1112" s="31" t="s">
        <v>199</v>
      </c>
      <c r="AB1112" s="31" t="s">
        <v>220</v>
      </c>
      <c r="AC1112" s="41">
        <f>IFERROR(LOOKUP(M1112,打分卡!$F$7:$J$7,打分卡!$K$7:$O$7),1)</f>
        <v>1</v>
      </c>
      <c r="AD1112" s="41">
        <f>IFERROR(LOOKUP(S1112,打分卡!$F$8:$J$8,打分卡!$K$8:$O$8),1)</f>
        <v>1</v>
      </c>
      <c r="AE1112" s="41">
        <f>IFERROR(LOOKUP(T1112,打分卡!$F$9:$I$9,打分卡!$K$9:$N$9),1)</f>
        <v>1</v>
      </c>
      <c r="AF1112" s="41">
        <f>IFERROR(LOOKUP(Q1112,打分卡!$F$10:$J$10,打分卡!$K$10:$O$10),1)</f>
        <v>1</v>
      </c>
      <c r="AG1112" s="41">
        <f>IFERROR(LOOKUP(R1112,打分卡!$F$11:$J$11,打分卡!$K$11:$O$11),1)</f>
        <v>1</v>
      </c>
      <c r="AH1112" s="41">
        <f>IFERROR(LOOKUP(U1112,打分卡!$F$12:$J$12,打分卡!$K$12:$O$12),1)</f>
        <v>2</v>
      </c>
      <c r="AI1112" s="41">
        <f>IFERROR(LOOKUP(X1112,打分卡!$F$13:$J$13,打分卡!$K$13:$O$13),1)</f>
        <v>3</v>
      </c>
      <c r="AJ1112" s="41">
        <f>IFERROR(LOOKUP(Y1112,打分卡!$F$14:$J$14,打分卡!$K$14:$O$14),1)</f>
        <v>2</v>
      </c>
      <c r="AK1112" s="41">
        <f>IFERROR(LOOKUP(W1112,打分卡!$F$15:$J$15,打分卡!$K$15:$O$15),1)</f>
        <v>2</v>
      </c>
      <c r="AL1112" s="43">
        <f t="shared" si="137"/>
        <v>5</v>
      </c>
      <c r="AM1112" s="41">
        <f>IFERROR(LOOKUP(Z1112,打分卡!$F$17:$H$17,打分卡!$K$17:$M$17),1)</f>
        <v>1</v>
      </c>
      <c r="AN1112" s="44">
        <f>(打分卡!$D$7*AC1112+打分卡!$D$8*AD1112+打分卡!$D$9*AE1112)/5</f>
        <v>8</v>
      </c>
      <c r="AO1112" s="44">
        <f>(打分卡!$D$10*AF1112+打分卡!$D$11*AG1112)/5</f>
        <v>4</v>
      </c>
      <c r="AP1112" s="44">
        <f>(打分卡!$D$12*AH1112+打分卡!$D$13*AI1112+打分卡!$D$14*AJ1112+打分卡!$D$15*AK1112)/5</f>
        <v>13.6</v>
      </c>
      <c r="AQ1112" s="44">
        <f>(打分卡!$D$16*AL1112+打分卡!$D$17*AM1112)/5</f>
        <v>6.8</v>
      </c>
      <c r="AR1112" s="47">
        <f t="shared" si="138"/>
        <v>32.4</v>
      </c>
      <c r="AS1112" s="43" t="str">
        <f t="shared" si="139"/>
        <v>基础长尾</v>
      </c>
      <c r="AT1112" s="43" t="str">
        <f t="shared" si="140"/>
        <v/>
      </c>
      <c r="AU1112" s="43" t="str">
        <f t="shared" si="141"/>
        <v>激活：企微+Push低成本先跑</v>
      </c>
    </row>
    <row r="1113" ht="15" customHeight="1" spans="1:47">
      <c r="A1113" s="20" t="s">
        <v>3007</v>
      </c>
      <c r="B1113" s="22" t="s">
        <v>3008</v>
      </c>
      <c r="C1113" s="22" t="s">
        <v>223</v>
      </c>
      <c r="D1113" s="22" t="s">
        <v>235</v>
      </c>
      <c r="E1113" s="22" t="s">
        <v>181</v>
      </c>
      <c r="F1113" s="20" t="s">
        <v>2972</v>
      </c>
      <c r="G1113" s="22">
        <v>2</v>
      </c>
      <c r="H1113" s="22" t="s">
        <v>642</v>
      </c>
      <c r="I1113" s="22" t="s">
        <v>302</v>
      </c>
      <c r="J1113" s="36">
        <v>1600</v>
      </c>
      <c r="K1113" s="36">
        <v>700</v>
      </c>
      <c r="L1113" s="36">
        <v>200</v>
      </c>
      <c r="M1113" s="36">
        <f t="shared" si="136"/>
        <v>2500</v>
      </c>
      <c r="N1113" s="34">
        <f t="shared" si="142"/>
        <v>1.31065996447587e-5</v>
      </c>
      <c r="O1113" s="35">
        <f>SUM($M$2:M1113)</f>
        <v>190428100</v>
      </c>
      <c r="P1113" s="34">
        <f t="shared" si="143"/>
        <v>0.998345947124831</v>
      </c>
      <c r="Q1113" s="39">
        <v>0.2</v>
      </c>
      <c r="R1113" s="22">
        <v>3</v>
      </c>
      <c r="S1113" s="22">
        <v>0</v>
      </c>
      <c r="T1113" s="22">
        <v>0</v>
      </c>
      <c r="U1113" s="39">
        <v>4.7</v>
      </c>
      <c r="V1113" s="22">
        <v>9</v>
      </c>
      <c r="W1113" s="22">
        <v>2</v>
      </c>
      <c r="X1113" s="40">
        <v>44</v>
      </c>
      <c r="Y1113" s="22">
        <v>0</v>
      </c>
      <c r="Z1113" s="22">
        <v>0</v>
      </c>
      <c r="AA1113" s="22" t="s">
        <v>199</v>
      </c>
      <c r="AB1113" s="22" t="s">
        <v>220</v>
      </c>
      <c r="AC1113" s="42">
        <f>IFERROR(LOOKUP(M1113,打分卡!$F$7:$J$7,打分卡!$K$7:$O$7),1)</f>
        <v>1</v>
      </c>
      <c r="AD1113" s="42">
        <f>IFERROR(LOOKUP(S1113,打分卡!$F$8:$J$8,打分卡!$K$8:$O$8),1)</f>
        <v>1</v>
      </c>
      <c r="AE1113" s="42">
        <f>IFERROR(LOOKUP(T1113,打分卡!$F$9:$I$9,打分卡!$K$9:$N$9),1)</f>
        <v>1</v>
      </c>
      <c r="AF1113" s="42">
        <f>IFERROR(LOOKUP(Q1113,打分卡!$F$10:$J$10,打分卡!$K$10:$O$10),1)</f>
        <v>1</v>
      </c>
      <c r="AG1113" s="42">
        <f>IFERROR(LOOKUP(R1113,打分卡!$F$11:$J$11,打分卡!$K$11:$O$11),1)</f>
        <v>2</v>
      </c>
      <c r="AH1113" s="42">
        <f>IFERROR(LOOKUP(U1113,打分卡!$F$12:$J$12,打分卡!$K$12:$O$12),1)</f>
        <v>2</v>
      </c>
      <c r="AI1113" s="42">
        <f>IFERROR(LOOKUP(X1113,打分卡!$F$13:$J$13,打分卡!$K$13:$O$13),1)</f>
        <v>3</v>
      </c>
      <c r="AJ1113" s="42">
        <f>IFERROR(LOOKUP(Y1113,打分卡!$F$14:$J$14,打分卡!$K$14:$O$14),1)</f>
        <v>1</v>
      </c>
      <c r="AK1113" s="42">
        <f>IFERROR(LOOKUP(W1113,打分卡!$F$15:$J$15,打分卡!$K$15:$O$15),1)</f>
        <v>2</v>
      </c>
      <c r="AL1113" s="45">
        <f t="shared" si="137"/>
        <v>5</v>
      </c>
      <c r="AM1113" s="42">
        <f>IFERROR(LOOKUP(Z1113,打分卡!$F$17:$H$17,打分卡!$K$17:$M$17),1)</f>
        <v>1</v>
      </c>
      <c r="AN1113" s="46">
        <f>(打分卡!$D$7*AC1113+打分卡!$D$8*AD1113+打分卡!$D$9*AE1113)/5</f>
        <v>8</v>
      </c>
      <c r="AO1113" s="46">
        <f>(打分卡!$D$10*AF1113+打分卡!$D$11*AG1113)/5</f>
        <v>6</v>
      </c>
      <c r="AP1113" s="46">
        <f>(打分卡!$D$12*AH1113+打分卡!$D$13*AI1113+打分卡!$D$14*AJ1113+打分卡!$D$15*AK1113)/5</f>
        <v>12.4</v>
      </c>
      <c r="AQ1113" s="46">
        <f>(打分卡!$D$16*AL1113+打分卡!$D$17*AM1113)/5</f>
        <v>6.8</v>
      </c>
      <c r="AR1113" s="48">
        <f t="shared" si="138"/>
        <v>41.7333333333333</v>
      </c>
      <c r="AS1113" s="45" t="str">
        <f t="shared" si="139"/>
        <v>腰部</v>
      </c>
      <c r="AT1113" s="45" t="str">
        <f t="shared" si="140"/>
        <v/>
      </c>
      <c r="AU1113" s="45" t="str">
        <f t="shared" si="141"/>
        <v>拉·主攻：主推AI外呼+大促作战包</v>
      </c>
    </row>
    <row r="1114" ht="15" customHeight="1" spans="1:47">
      <c r="A1114" s="30" t="s">
        <v>3009</v>
      </c>
      <c r="B1114" s="31" t="s">
        <v>3010</v>
      </c>
      <c r="C1114" s="31" t="s">
        <v>209</v>
      </c>
      <c r="D1114" s="31" t="s">
        <v>227</v>
      </c>
      <c r="E1114" s="31" t="s">
        <v>181</v>
      </c>
      <c r="F1114" s="30" t="s">
        <v>2714</v>
      </c>
      <c r="G1114" s="31">
        <v>2</v>
      </c>
      <c r="H1114" s="31" t="s">
        <v>642</v>
      </c>
      <c r="I1114" s="31" t="s">
        <v>302</v>
      </c>
      <c r="J1114" s="33">
        <v>1500</v>
      </c>
      <c r="K1114" s="33">
        <v>900</v>
      </c>
      <c r="L1114" s="33">
        <v>200</v>
      </c>
      <c r="M1114" s="33">
        <f t="shared" si="136"/>
        <v>2600</v>
      </c>
      <c r="N1114" s="34">
        <f t="shared" si="142"/>
        <v>1.36308636305491e-5</v>
      </c>
      <c r="O1114" s="35">
        <f>SUM($M$2:M1114)</f>
        <v>190430700</v>
      </c>
      <c r="P1114" s="34">
        <f t="shared" si="143"/>
        <v>0.998359577988462</v>
      </c>
      <c r="Q1114" s="37">
        <v>0.3</v>
      </c>
      <c r="R1114" s="31">
        <v>3</v>
      </c>
      <c r="S1114" s="31">
        <v>1</v>
      </c>
      <c r="T1114" s="31">
        <v>0</v>
      </c>
      <c r="U1114" s="37">
        <v>6.3</v>
      </c>
      <c r="V1114" s="31">
        <v>7</v>
      </c>
      <c r="W1114" s="31">
        <v>0</v>
      </c>
      <c r="X1114" s="38">
        <v>14</v>
      </c>
      <c r="Y1114" s="31">
        <v>1</v>
      </c>
      <c r="Z1114" s="31">
        <v>0</v>
      </c>
      <c r="AA1114" s="31" t="s">
        <v>199</v>
      </c>
      <c r="AB1114" s="31" t="s">
        <v>220</v>
      </c>
      <c r="AC1114" s="41">
        <f>IFERROR(LOOKUP(M1114,打分卡!$F$7:$J$7,打分卡!$K$7:$O$7),1)</f>
        <v>1</v>
      </c>
      <c r="AD1114" s="41">
        <f>IFERROR(LOOKUP(S1114,打分卡!$F$8:$J$8,打分卡!$K$8:$O$8),1)</f>
        <v>1</v>
      </c>
      <c r="AE1114" s="41">
        <f>IFERROR(LOOKUP(T1114,打分卡!$F$9:$I$9,打分卡!$K$9:$N$9),1)</f>
        <v>1</v>
      </c>
      <c r="AF1114" s="41">
        <f>IFERROR(LOOKUP(Q1114,打分卡!$F$10:$J$10,打分卡!$K$10:$O$10),1)</f>
        <v>1</v>
      </c>
      <c r="AG1114" s="41">
        <f>IFERROR(LOOKUP(R1114,打分卡!$F$11:$J$11,打分卡!$K$11:$O$11),1)</f>
        <v>2</v>
      </c>
      <c r="AH1114" s="41">
        <f>IFERROR(LOOKUP(U1114,打分卡!$F$12:$J$12,打分卡!$K$12:$O$12),1)</f>
        <v>2</v>
      </c>
      <c r="AI1114" s="41">
        <f>IFERROR(LOOKUP(X1114,打分卡!$F$13:$J$13,打分卡!$K$13:$O$13),1)</f>
        <v>1</v>
      </c>
      <c r="AJ1114" s="41">
        <f>IFERROR(LOOKUP(Y1114,打分卡!$F$14:$J$14,打分卡!$K$14:$O$14),1)</f>
        <v>2</v>
      </c>
      <c r="AK1114" s="41">
        <f>IFERROR(LOOKUP(W1114,打分卡!$F$15:$J$15,打分卡!$K$15:$O$15),1)</f>
        <v>1</v>
      </c>
      <c r="AL1114" s="43">
        <f t="shared" si="137"/>
        <v>5</v>
      </c>
      <c r="AM1114" s="41">
        <f>IFERROR(LOOKUP(Z1114,打分卡!$F$17:$H$17,打分卡!$K$17:$M$17),1)</f>
        <v>1</v>
      </c>
      <c r="AN1114" s="44">
        <f>(打分卡!$D$7*AC1114+打分卡!$D$8*AD1114+打分卡!$D$9*AE1114)/5</f>
        <v>8</v>
      </c>
      <c r="AO1114" s="44">
        <f>(打分卡!$D$10*AF1114+打分卡!$D$11*AG1114)/5</f>
        <v>6</v>
      </c>
      <c r="AP1114" s="44">
        <f>(打分卡!$D$12*AH1114+打分卡!$D$13*AI1114+打分卡!$D$14*AJ1114+打分卡!$D$15*AK1114)/5</f>
        <v>9.6</v>
      </c>
      <c r="AQ1114" s="44">
        <f>(打分卡!$D$16*AL1114+打分卡!$D$17*AM1114)/5</f>
        <v>6.8</v>
      </c>
      <c r="AR1114" s="47">
        <f t="shared" si="138"/>
        <v>35.2</v>
      </c>
      <c r="AS1114" s="43" t="str">
        <f t="shared" si="139"/>
        <v>基础长尾</v>
      </c>
      <c r="AT1114" s="43" t="str">
        <f t="shared" si="140"/>
        <v/>
      </c>
      <c r="AU1114" s="43" t="str">
        <f t="shared" si="141"/>
        <v>激活：企微+Push低成本先跑</v>
      </c>
    </row>
    <row r="1115" ht="15" customHeight="1" spans="1:47">
      <c r="A1115" s="20" t="s">
        <v>3011</v>
      </c>
      <c r="B1115" s="22" t="s">
        <v>3012</v>
      </c>
      <c r="C1115" s="22" t="s">
        <v>179</v>
      </c>
      <c r="D1115" s="22" t="s">
        <v>190</v>
      </c>
      <c r="E1115" s="22" t="s">
        <v>181</v>
      </c>
      <c r="F1115" s="20" t="s">
        <v>2861</v>
      </c>
      <c r="G1115" s="22">
        <v>2</v>
      </c>
      <c r="H1115" s="22" t="s">
        <v>642</v>
      </c>
      <c r="I1115" s="22" t="s">
        <v>302</v>
      </c>
      <c r="J1115" s="36">
        <v>1300</v>
      </c>
      <c r="K1115" s="36">
        <v>800</v>
      </c>
      <c r="L1115" s="36">
        <v>500</v>
      </c>
      <c r="M1115" s="36">
        <f t="shared" si="136"/>
        <v>2600</v>
      </c>
      <c r="N1115" s="34">
        <f t="shared" si="142"/>
        <v>1.36308636305491e-5</v>
      </c>
      <c r="O1115" s="35">
        <f>SUM($M$2:M1115)</f>
        <v>190433300</v>
      </c>
      <c r="P1115" s="34">
        <f t="shared" si="143"/>
        <v>0.998373208852093</v>
      </c>
      <c r="Q1115" s="39">
        <v>0.1</v>
      </c>
      <c r="R1115" s="22">
        <v>1</v>
      </c>
      <c r="S1115" s="22">
        <v>1</v>
      </c>
      <c r="T1115" s="22">
        <v>0</v>
      </c>
      <c r="U1115" s="39">
        <v>5.3</v>
      </c>
      <c r="V1115" s="22">
        <v>6</v>
      </c>
      <c r="W1115" s="22">
        <v>2</v>
      </c>
      <c r="X1115" s="40">
        <v>11</v>
      </c>
      <c r="Y1115" s="22">
        <v>1</v>
      </c>
      <c r="Z1115" s="22">
        <v>0</v>
      </c>
      <c r="AA1115" s="22" t="s">
        <v>199</v>
      </c>
      <c r="AB1115" s="22" t="s">
        <v>220</v>
      </c>
      <c r="AC1115" s="42">
        <f>IFERROR(LOOKUP(M1115,打分卡!$F$7:$J$7,打分卡!$K$7:$O$7),1)</f>
        <v>1</v>
      </c>
      <c r="AD1115" s="42">
        <f>IFERROR(LOOKUP(S1115,打分卡!$F$8:$J$8,打分卡!$K$8:$O$8),1)</f>
        <v>1</v>
      </c>
      <c r="AE1115" s="42">
        <f>IFERROR(LOOKUP(T1115,打分卡!$F$9:$I$9,打分卡!$K$9:$N$9),1)</f>
        <v>1</v>
      </c>
      <c r="AF1115" s="42">
        <f>IFERROR(LOOKUP(Q1115,打分卡!$F$10:$J$10,打分卡!$K$10:$O$10),1)</f>
        <v>1</v>
      </c>
      <c r="AG1115" s="42">
        <f>IFERROR(LOOKUP(R1115,打分卡!$F$11:$J$11,打分卡!$K$11:$O$11),1)</f>
        <v>1</v>
      </c>
      <c r="AH1115" s="42">
        <f>IFERROR(LOOKUP(U1115,打分卡!$F$12:$J$12,打分卡!$K$12:$O$12),1)</f>
        <v>2</v>
      </c>
      <c r="AI1115" s="42">
        <f>IFERROR(LOOKUP(X1115,打分卡!$F$13:$J$13,打分卡!$K$13:$O$13),1)</f>
        <v>1</v>
      </c>
      <c r="AJ1115" s="42">
        <f>IFERROR(LOOKUP(Y1115,打分卡!$F$14:$J$14,打分卡!$K$14:$O$14),1)</f>
        <v>2</v>
      </c>
      <c r="AK1115" s="42">
        <f>IFERROR(LOOKUP(W1115,打分卡!$F$15:$J$15,打分卡!$K$15:$O$15),1)</f>
        <v>2</v>
      </c>
      <c r="AL1115" s="45">
        <f t="shared" si="137"/>
        <v>5</v>
      </c>
      <c r="AM1115" s="42">
        <f>IFERROR(LOOKUP(Z1115,打分卡!$F$17:$H$17,打分卡!$K$17:$M$17),1)</f>
        <v>1</v>
      </c>
      <c r="AN1115" s="46">
        <f>(打分卡!$D$7*AC1115+打分卡!$D$8*AD1115+打分卡!$D$9*AE1115)/5</f>
        <v>8</v>
      </c>
      <c r="AO1115" s="46">
        <f>(打分卡!$D$10*AF1115+打分卡!$D$11*AG1115)/5</f>
        <v>4</v>
      </c>
      <c r="AP1115" s="46">
        <f>(打分卡!$D$12*AH1115+打分卡!$D$13*AI1115+打分卡!$D$14*AJ1115+打分卡!$D$15*AK1115)/5</f>
        <v>10.4</v>
      </c>
      <c r="AQ1115" s="46">
        <f>(打分卡!$D$16*AL1115+打分卡!$D$17*AM1115)/5</f>
        <v>6.8</v>
      </c>
      <c r="AR1115" s="48">
        <f t="shared" si="138"/>
        <v>35.0666666666667</v>
      </c>
      <c r="AS1115" s="45" t="str">
        <f t="shared" si="139"/>
        <v>基础长尾</v>
      </c>
      <c r="AT1115" s="45" t="str">
        <f t="shared" si="140"/>
        <v/>
      </c>
      <c r="AU1115" s="45" t="str">
        <f t="shared" si="141"/>
        <v>激活：企微+Push低成本先跑</v>
      </c>
    </row>
    <row r="1116" ht="15" customHeight="1" spans="1:47">
      <c r="A1116" s="30" t="s">
        <v>3013</v>
      </c>
      <c r="B1116" s="31" t="s">
        <v>3014</v>
      </c>
      <c r="C1116" s="31" t="s">
        <v>179</v>
      </c>
      <c r="D1116" s="31" t="s">
        <v>252</v>
      </c>
      <c r="E1116" s="31" t="s">
        <v>181</v>
      </c>
      <c r="F1116" s="30" t="s">
        <v>612</v>
      </c>
      <c r="G1116" s="31">
        <v>3</v>
      </c>
      <c r="H1116" s="31" t="s">
        <v>642</v>
      </c>
      <c r="I1116" s="31" t="s">
        <v>302</v>
      </c>
      <c r="J1116" s="33">
        <v>1400</v>
      </c>
      <c r="K1116" s="33">
        <v>900</v>
      </c>
      <c r="L1116" s="33">
        <v>100</v>
      </c>
      <c r="M1116" s="33">
        <f t="shared" si="136"/>
        <v>2400</v>
      </c>
      <c r="N1116" s="34">
        <f t="shared" si="142"/>
        <v>1.25823356589684e-5</v>
      </c>
      <c r="O1116" s="35">
        <f>SUM($M$2:M1116)</f>
        <v>190435700</v>
      </c>
      <c r="P1116" s="34">
        <f t="shared" si="143"/>
        <v>0.998385791187752</v>
      </c>
      <c r="Q1116" s="37">
        <v>0.4</v>
      </c>
      <c r="R1116" s="31">
        <v>2</v>
      </c>
      <c r="S1116" s="31">
        <v>0</v>
      </c>
      <c r="T1116" s="31">
        <v>0</v>
      </c>
      <c r="U1116" s="37">
        <v>39.6</v>
      </c>
      <c r="V1116" s="31">
        <v>2</v>
      </c>
      <c r="W1116" s="31">
        <v>1</v>
      </c>
      <c r="X1116" s="38">
        <v>9</v>
      </c>
      <c r="Y1116" s="31">
        <v>1</v>
      </c>
      <c r="Z1116" s="31">
        <v>0</v>
      </c>
      <c r="AA1116" s="31" t="s">
        <v>199</v>
      </c>
      <c r="AB1116" s="31" t="s">
        <v>220</v>
      </c>
      <c r="AC1116" s="41">
        <f>IFERROR(LOOKUP(M1116,打分卡!$F$7:$J$7,打分卡!$K$7:$O$7),1)</f>
        <v>1</v>
      </c>
      <c r="AD1116" s="41">
        <f>IFERROR(LOOKUP(S1116,打分卡!$F$8:$J$8,打分卡!$K$8:$O$8),1)</f>
        <v>1</v>
      </c>
      <c r="AE1116" s="41">
        <f>IFERROR(LOOKUP(T1116,打分卡!$F$9:$I$9,打分卡!$K$9:$N$9),1)</f>
        <v>1</v>
      </c>
      <c r="AF1116" s="41">
        <f>IFERROR(LOOKUP(Q1116,打分卡!$F$10:$J$10,打分卡!$K$10:$O$10),1)</f>
        <v>1</v>
      </c>
      <c r="AG1116" s="41">
        <f>IFERROR(LOOKUP(R1116,打分卡!$F$11:$J$11,打分卡!$K$11:$O$11),1)</f>
        <v>1</v>
      </c>
      <c r="AH1116" s="41">
        <f>IFERROR(LOOKUP(U1116,打分卡!$F$12:$J$12,打分卡!$K$12:$O$12),1)</f>
        <v>4</v>
      </c>
      <c r="AI1116" s="41">
        <f>IFERROR(LOOKUP(X1116,打分卡!$F$13:$J$13,打分卡!$K$13:$O$13),1)</f>
        <v>1</v>
      </c>
      <c r="AJ1116" s="41">
        <f>IFERROR(LOOKUP(Y1116,打分卡!$F$14:$J$14,打分卡!$K$14:$O$14),1)</f>
        <v>2</v>
      </c>
      <c r="AK1116" s="41">
        <f>IFERROR(LOOKUP(W1116,打分卡!$F$15:$J$15,打分卡!$K$15:$O$15),1)</f>
        <v>2</v>
      </c>
      <c r="AL1116" s="43">
        <f t="shared" si="137"/>
        <v>5</v>
      </c>
      <c r="AM1116" s="41">
        <f>IFERROR(LOOKUP(Z1116,打分卡!$F$17:$H$17,打分卡!$K$17:$M$17),1)</f>
        <v>1</v>
      </c>
      <c r="AN1116" s="44">
        <f>(打分卡!$D$7*AC1116+打分卡!$D$8*AD1116+打分卡!$D$9*AE1116)/5</f>
        <v>8</v>
      </c>
      <c r="AO1116" s="44">
        <f>(打分卡!$D$10*AF1116+打分卡!$D$11*AG1116)/5</f>
        <v>4</v>
      </c>
      <c r="AP1116" s="44">
        <f>(打分卡!$D$12*AH1116+打分卡!$D$13*AI1116+打分卡!$D$14*AJ1116+打分卡!$D$15*AK1116)/5</f>
        <v>15.2</v>
      </c>
      <c r="AQ1116" s="44">
        <f>(打分卡!$D$16*AL1116+打分卡!$D$17*AM1116)/5</f>
        <v>6.8</v>
      </c>
      <c r="AR1116" s="47">
        <f t="shared" si="138"/>
        <v>34</v>
      </c>
      <c r="AS1116" s="43" t="str">
        <f t="shared" si="139"/>
        <v>基础长尾</v>
      </c>
      <c r="AT1116" s="43" t="str">
        <f t="shared" si="140"/>
        <v/>
      </c>
      <c r="AU1116" s="43" t="str">
        <f t="shared" si="141"/>
        <v>激活：企微+Push低成本先跑</v>
      </c>
    </row>
    <row r="1117" ht="15" customHeight="1" spans="1:47">
      <c r="A1117" s="20" t="s">
        <v>3015</v>
      </c>
      <c r="B1117" s="22" t="s">
        <v>3016</v>
      </c>
      <c r="C1117" s="22" t="s">
        <v>234</v>
      </c>
      <c r="D1117" s="22" t="s">
        <v>235</v>
      </c>
      <c r="E1117" s="22" t="s">
        <v>181</v>
      </c>
      <c r="F1117" s="20" t="s">
        <v>2918</v>
      </c>
      <c r="G1117" s="22">
        <v>2</v>
      </c>
      <c r="H1117" s="22" t="s">
        <v>642</v>
      </c>
      <c r="I1117" s="22" t="s">
        <v>302</v>
      </c>
      <c r="J1117" s="36">
        <v>1500</v>
      </c>
      <c r="K1117" s="36">
        <v>600</v>
      </c>
      <c r="L1117" s="36">
        <v>300</v>
      </c>
      <c r="M1117" s="36">
        <f t="shared" si="136"/>
        <v>2400</v>
      </c>
      <c r="N1117" s="34">
        <f t="shared" si="142"/>
        <v>1.25823356589684e-5</v>
      </c>
      <c r="O1117" s="35">
        <f>SUM($M$2:M1117)</f>
        <v>190438100</v>
      </c>
      <c r="P1117" s="34">
        <f t="shared" si="143"/>
        <v>0.99839837352341</v>
      </c>
      <c r="Q1117" s="39">
        <v>0.2</v>
      </c>
      <c r="R1117" s="22">
        <v>1</v>
      </c>
      <c r="S1117" s="22">
        <v>1</v>
      </c>
      <c r="T1117" s="22">
        <v>0</v>
      </c>
      <c r="U1117" s="39">
        <v>18.7</v>
      </c>
      <c r="V1117" s="22">
        <v>13</v>
      </c>
      <c r="W1117" s="22">
        <v>1</v>
      </c>
      <c r="X1117" s="40">
        <v>29</v>
      </c>
      <c r="Y1117" s="22">
        <v>1</v>
      </c>
      <c r="Z1117" s="22">
        <v>0</v>
      </c>
      <c r="AA1117" s="22" t="s">
        <v>199</v>
      </c>
      <c r="AB1117" s="22" t="s">
        <v>220</v>
      </c>
      <c r="AC1117" s="42">
        <f>IFERROR(LOOKUP(M1117,打分卡!$F$7:$J$7,打分卡!$K$7:$O$7),1)</f>
        <v>1</v>
      </c>
      <c r="AD1117" s="42">
        <f>IFERROR(LOOKUP(S1117,打分卡!$F$8:$J$8,打分卡!$K$8:$O$8),1)</f>
        <v>1</v>
      </c>
      <c r="AE1117" s="42">
        <f>IFERROR(LOOKUP(T1117,打分卡!$F$9:$I$9,打分卡!$K$9:$N$9),1)</f>
        <v>1</v>
      </c>
      <c r="AF1117" s="42">
        <f>IFERROR(LOOKUP(Q1117,打分卡!$F$10:$J$10,打分卡!$K$10:$O$10),1)</f>
        <v>1</v>
      </c>
      <c r="AG1117" s="42">
        <f>IFERROR(LOOKUP(R1117,打分卡!$F$11:$J$11,打分卡!$K$11:$O$11),1)</f>
        <v>1</v>
      </c>
      <c r="AH1117" s="42">
        <f>IFERROR(LOOKUP(U1117,打分卡!$F$12:$J$12,打分卡!$K$12:$O$12),1)</f>
        <v>3</v>
      </c>
      <c r="AI1117" s="42">
        <f>IFERROR(LOOKUP(X1117,打分卡!$F$13:$J$13,打分卡!$K$13:$O$13),1)</f>
        <v>2</v>
      </c>
      <c r="AJ1117" s="42">
        <f>IFERROR(LOOKUP(Y1117,打分卡!$F$14:$J$14,打分卡!$K$14:$O$14),1)</f>
        <v>2</v>
      </c>
      <c r="AK1117" s="42">
        <f>IFERROR(LOOKUP(W1117,打分卡!$F$15:$J$15,打分卡!$K$15:$O$15),1)</f>
        <v>2</v>
      </c>
      <c r="AL1117" s="45">
        <f t="shared" si="137"/>
        <v>5</v>
      </c>
      <c r="AM1117" s="42">
        <f>IFERROR(LOOKUP(Z1117,打分卡!$F$17:$H$17,打分卡!$K$17:$M$17),1)</f>
        <v>1</v>
      </c>
      <c r="AN1117" s="46">
        <f>(打分卡!$D$7*AC1117+打分卡!$D$8*AD1117+打分卡!$D$9*AE1117)/5</f>
        <v>8</v>
      </c>
      <c r="AO1117" s="46">
        <f>(打分卡!$D$10*AF1117+打分卡!$D$11*AG1117)/5</f>
        <v>4</v>
      </c>
      <c r="AP1117" s="46">
        <f>(打分卡!$D$12*AH1117+打分卡!$D$13*AI1117+打分卡!$D$14*AJ1117+打分卡!$D$15*AK1117)/5</f>
        <v>14.4</v>
      </c>
      <c r="AQ1117" s="46">
        <f>(打分卡!$D$16*AL1117+打分卡!$D$17*AM1117)/5</f>
        <v>6.8</v>
      </c>
      <c r="AR1117" s="48">
        <f t="shared" si="138"/>
        <v>44.4</v>
      </c>
      <c r="AS1117" s="45" t="str">
        <f t="shared" si="139"/>
        <v>腰部</v>
      </c>
      <c r="AT1117" s="45" t="str">
        <f t="shared" si="140"/>
        <v/>
      </c>
      <c r="AU1117" s="45" t="str">
        <f t="shared" si="141"/>
        <v>拉·主攻：主推AI外呼+大促作战包</v>
      </c>
    </row>
    <row r="1118" ht="15" customHeight="1" spans="1:47">
      <c r="A1118" s="30" t="s">
        <v>3017</v>
      </c>
      <c r="B1118" s="31" t="s">
        <v>3018</v>
      </c>
      <c r="C1118" s="31" t="s">
        <v>179</v>
      </c>
      <c r="D1118" s="31" t="s">
        <v>202</v>
      </c>
      <c r="E1118" s="31" t="s">
        <v>181</v>
      </c>
      <c r="F1118" s="30" t="s">
        <v>2484</v>
      </c>
      <c r="G1118" s="31">
        <v>2</v>
      </c>
      <c r="H1118" s="31" t="s">
        <v>642</v>
      </c>
      <c r="I1118" s="31" t="s">
        <v>302</v>
      </c>
      <c r="J1118" s="33">
        <v>1200</v>
      </c>
      <c r="K1118" s="33">
        <v>900</v>
      </c>
      <c r="L1118" s="33">
        <v>500</v>
      </c>
      <c r="M1118" s="33">
        <f t="shared" si="136"/>
        <v>2600</v>
      </c>
      <c r="N1118" s="34">
        <f t="shared" si="142"/>
        <v>1.36308636305491e-5</v>
      </c>
      <c r="O1118" s="35">
        <f>SUM($M$2:M1118)</f>
        <v>190440700</v>
      </c>
      <c r="P1118" s="34">
        <f t="shared" si="143"/>
        <v>0.998412004387041</v>
      </c>
      <c r="Q1118" s="37">
        <v>0.2</v>
      </c>
      <c r="R1118" s="31">
        <v>2</v>
      </c>
      <c r="S1118" s="31">
        <v>1</v>
      </c>
      <c r="T1118" s="31">
        <v>0</v>
      </c>
      <c r="U1118" s="37">
        <v>8.8</v>
      </c>
      <c r="V1118" s="31">
        <v>14</v>
      </c>
      <c r="W1118" s="31">
        <v>2</v>
      </c>
      <c r="X1118" s="38">
        <v>78</v>
      </c>
      <c r="Y1118" s="31">
        <v>0</v>
      </c>
      <c r="Z1118" s="31">
        <v>0</v>
      </c>
      <c r="AA1118" s="31" t="s">
        <v>199</v>
      </c>
      <c r="AB1118" s="31" t="s">
        <v>220</v>
      </c>
      <c r="AC1118" s="41">
        <f>IFERROR(LOOKUP(M1118,打分卡!$F$7:$J$7,打分卡!$K$7:$O$7),1)</f>
        <v>1</v>
      </c>
      <c r="AD1118" s="41">
        <f>IFERROR(LOOKUP(S1118,打分卡!$F$8:$J$8,打分卡!$K$8:$O$8),1)</f>
        <v>1</v>
      </c>
      <c r="AE1118" s="41">
        <f>IFERROR(LOOKUP(T1118,打分卡!$F$9:$I$9,打分卡!$K$9:$N$9),1)</f>
        <v>1</v>
      </c>
      <c r="AF1118" s="41">
        <f>IFERROR(LOOKUP(Q1118,打分卡!$F$10:$J$10,打分卡!$K$10:$O$10),1)</f>
        <v>1</v>
      </c>
      <c r="AG1118" s="41">
        <f>IFERROR(LOOKUP(R1118,打分卡!$F$11:$J$11,打分卡!$K$11:$O$11),1)</f>
        <v>1</v>
      </c>
      <c r="AH1118" s="41">
        <f>IFERROR(LOOKUP(U1118,打分卡!$F$12:$J$12,打分卡!$K$12:$O$12),1)</f>
        <v>2</v>
      </c>
      <c r="AI1118" s="41">
        <f>IFERROR(LOOKUP(X1118,打分卡!$F$13:$J$13,打分卡!$K$13:$O$13),1)</f>
        <v>3</v>
      </c>
      <c r="AJ1118" s="41">
        <f>IFERROR(LOOKUP(Y1118,打分卡!$F$14:$J$14,打分卡!$K$14:$O$14),1)</f>
        <v>1</v>
      </c>
      <c r="AK1118" s="41">
        <f>IFERROR(LOOKUP(W1118,打分卡!$F$15:$J$15,打分卡!$K$15:$O$15),1)</f>
        <v>2</v>
      </c>
      <c r="AL1118" s="43">
        <f t="shared" si="137"/>
        <v>5</v>
      </c>
      <c r="AM1118" s="41">
        <f>IFERROR(LOOKUP(Z1118,打分卡!$F$17:$H$17,打分卡!$K$17:$M$17),1)</f>
        <v>1</v>
      </c>
      <c r="AN1118" s="44">
        <f>(打分卡!$D$7*AC1118+打分卡!$D$8*AD1118+打分卡!$D$9*AE1118)/5</f>
        <v>8</v>
      </c>
      <c r="AO1118" s="44">
        <f>(打分卡!$D$10*AF1118+打分卡!$D$11*AG1118)/5</f>
        <v>4</v>
      </c>
      <c r="AP1118" s="44">
        <f>(打分卡!$D$12*AH1118+打分卡!$D$13*AI1118+打分卡!$D$14*AJ1118+打分卡!$D$15*AK1118)/5</f>
        <v>12.4</v>
      </c>
      <c r="AQ1118" s="44">
        <f>(打分卡!$D$16*AL1118+打分卡!$D$17*AM1118)/5</f>
        <v>6.8</v>
      </c>
      <c r="AR1118" s="47">
        <f t="shared" si="138"/>
        <v>39.7333333333333</v>
      </c>
      <c r="AS1118" s="43" t="str">
        <f t="shared" si="139"/>
        <v>基础长尾</v>
      </c>
      <c r="AT1118" s="43" t="str">
        <f t="shared" si="140"/>
        <v/>
      </c>
      <c r="AU1118" s="43" t="str">
        <f t="shared" si="141"/>
        <v>激活：企微+Push低成本先跑</v>
      </c>
    </row>
    <row r="1119" ht="15" customHeight="1" spans="1:47">
      <c r="A1119" s="20" t="s">
        <v>3019</v>
      </c>
      <c r="B1119" s="22" t="s">
        <v>3020</v>
      </c>
      <c r="C1119" s="22" t="s">
        <v>189</v>
      </c>
      <c r="D1119" s="22" t="s">
        <v>202</v>
      </c>
      <c r="E1119" s="22" t="s">
        <v>197</v>
      </c>
      <c r="F1119" s="20" t="s">
        <v>2752</v>
      </c>
      <c r="G1119" s="22">
        <v>2</v>
      </c>
      <c r="H1119" s="22" t="s">
        <v>642</v>
      </c>
      <c r="I1119" s="22" t="s">
        <v>302</v>
      </c>
      <c r="J1119" s="36">
        <v>1500</v>
      </c>
      <c r="K1119" s="36">
        <v>600</v>
      </c>
      <c r="L1119" s="36">
        <v>300</v>
      </c>
      <c r="M1119" s="36">
        <f t="shared" si="136"/>
        <v>2400</v>
      </c>
      <c r="N1119" s="34">
        <f t="shared" si="142"/>
        <v>1.25823356589684e-5</v>
      </c>
      <c r="O1119" s="35">
        <f>SUM($M$2:M1119)</f>
        <v>190443100</v>
      </c>
      <c r="P1119" s="34">
        <f t="shared" si="143"/>
        <v>0.9984245867227</v>
      </c>
      <c r="Q1119" s="39">
        <v>0.3</v>
      </c>
      <c r="R1119" s="22">
        <v>3</v>
      </c>
      <c r="S1119" s="22">
        <v>1</v>
      </c>
      <c r="T1119" s="22">
        <v>0</v>
      </c>
      <c r="U1119" s="39">
        <v>0.7</v>
      </c>
      <c r="V1119" s="22">
        <v>13</v>
      </c>
      <c r="W1119" s="22">
        <v>2</v>
      </c>
      <c r="X1119" s="40">
        <v>12</v>
      </c>
      <c r="Y1119" s="22">
        <v>1</v>
      </c>
      <c r="Z1119" s="22">
        <v>0</v>
      </c>
      <c r="AA1119" s="22" t="s">
        <v>199</v>
      </c>
      <c r="AB1119" s="22" t="s">
        <v>220</v>
      </c>
      <c r="AC1119" s="42">
        <f>IFERROR(LOOKUP(M1119,打分卡!$F$7:$J$7,打分卡!$K$7:$O$7),1)</f>
        <v>1</v>
      </c>
      <c r="AD1119" s="42">
        <f>IFERROR(LOOKUP(S1119,打分卡!$F$8:$J$8,打分卡!$K$8:$O$8),1)</f>
        <v>1</v>
      </c>
      <c r="AE1119" s="42">
        <f>IFERROR(LOOKUP(T1119,打分卡!$F$9:$I$9,打分卡!$K$9:$N$9),1)</f>
        <v>1</v>
      </c>
      <c r="AF1119" s="42">
        <f>IFERROR(LOOKUP(Q1119,打分卡!$F$10:$J$10,打分卡!$K$10:$O$10),1)</f>
        <v>1</v>
      </c>
      <c r="AG1119" s="42">
        <f>IFERROR(LOOKUP(R1119,打分卡!$F$11:$J$11,打分卡!$K$11:$O$11),1)</f>
        <v>2</v>
      </c>
      <c r="AH1119" s="42">
        <f>IFERROR(LOOKUP(U1119,打分卡!$F$12:$J$12,打分卡!$K$12:$O$12),1)</f>
        <v>1</v>
      </c>
      <c r="AI1119" s="42">
        <f>IFERROR(LOOKUP(X1119,打分卡!$F$13:$J$13,打分卡!$K$13:$O$13),1)</f>
        <v>1</v>
      </c>
      <c r="AJ1119" s="42">
        <f>IFERROR(LOOKUP(Y1119,打分卡!$F$14:$J$14,打分卡!$K$14:$O$14),1)</f>
        <v>2</v>
      </c>
      <c r="AK1119" s="42">
        <f>IFERROR(LOOKUP(W1119,打分卡!$F$15:$J$15,打分卡!$K$15:$O$15),1)</f>
        <v>2</v>
      </c>
      <c r="AL1119" s="45">
        <f t="shared" si="137"/>
        <v>5</v>
      </c>
      <c r="AM1119" s="42">
        <f>IFERROR(LOOKUP(Z1119,打分卡!$F$17:$H$17,打分卡!$K$17:$M$17),1)</f>
        <v>1</v>
      </c>
      <c r="AN1119" s="46">
        <f>(打分卡!$D$7*AC1119+打分卡!$D$8*AD1119+打分卡!$D$9*AE1119)/5</f>
        <v>8</v>
      </c>
      <c r="AO1119" s="46">
        <f>(打分卡!$D$10*AF1119+打分卡!$D$11*AG1119)/5</f>
        <v>6</v>
      </c>
      <c r="AP1119" s="46">
        <f>(打分卡!$D$12*AH1119+打分卡!$D$13*AI1119+打分卡!$D$14*AJ1119+打分卡!$D$15*AK1119)/5</f>
        <v>8</v>
      </c>
      <c r="AQ1119" s="46">
        <f>(打分卡!$D$16*AL1119+打分卡!$D$17*AM1119)/5</f>
        <v>6.8</v>
      </c>
      <c r="AR1119" s="48">
        <f t="shared" si="138"/>
        <v>31.4666666666667</v>
      </c>
      <c r="AS1119" s="45" t="str">
        <f t="shared" si="139"/>
        <v>基础长尾</v>
      </c>
      <c r="AT1119" s="45" t="str">
        <f t="shared" si="140"/>
        <v/>
      </c>
      <c r="AU1119" s="45" t="str">
        <f t="shared" si="141"/>
        <v>激活：企微+Push低成本先跑</v>
      </c>
    </row>
    <row r="1120" ht="15" customHeight="1" spans="1:47">
      <c r="A1120" s="30" t="s">
        <v>3021</v>
      </c>
      <c r="B1120" s="31" t="s">
        <v>3022</v>
      </c>
      <c r="C1120" s="31" t="s">
        <v>189</v>
      </c>
      <c r="D1120" s="31" t="s">
        <v>252</v>
      </c>
      <c r="E1120" s="31" t="s">
        <v>197</v>
      </c>
      <c r="F1120" s="30" t="s">
        <v>2728</v>
      </c>
      <c r="G1120" s="31">
        <v>2</v>
      </c>
      <c r="H1120" s="31" t="s">
        <v>642</v>
      </c>
      <c r="I1120" s="31" t="s">
        <v>302</v>
      </c>
      <c r="J1120" s="33">
        <v>1300</v>
      </c>
      <c r="K1120" s="33">
        <v>900</v>
      </c>
      <c r="L1120" s="33">
        <v>200</v>
      </c>
      <c r="M1120" s="33">
        <f t="shared" si="136"/>
        <v>2400</v>
      </c>
      <c r="N1120" s="34">
        <f t="shared" si="142"/>
        <v>1.25823356589684e-5</v>
      </c>
      <c r="O1120" s="35">
        <f>SUM($M$2:M1120)</f>
        <v>190445500</v>
      </c>
      <c r="P1120" s="34">
        <f t="shared" si="143"/>
        <v>0.998437169058359</v>
      </c>
      <c r="Q1120" s="37">
        <v>0.2</v>
      </c>
      <c r="R1120" s="31">
        <v>2</v>
      </c>
      <c r="S1120" s="31">
        <v>1</v>
      </c>
      <c r="T1120" s="31">
        <v>0</v>
      </c>
      <c r="U1120" s="37">
        <v>1</v>
      </c>
      <c r="V1120" s="31">
        <v>6</v>
      </c>
      <c r="W1120" s="31">
        <v>2</v>
      </c>
      <c r="X1120" s="38">
        <v>66</v>
      </c>
      <c r="Y1120" s="31">
        <v>1</v>
      </c>
      <c r="Z1120" s="31">
        <v>0</v>
      </c>
      <c r="AA1120" s="31" t="s">
        <v>199</v>
      </c>
      <c r="AB1120" s="31" t="s">
        <v>220</v>
      </c>
      <c r="AC1120" s="41">
        <f>IFERROR(LOOKUP(M1120,打分卡!$F$7:$J$7,打分卡!$K$7:$O$7),1)</f>
        <v>1</v>
      </c>
      <c r="AD1120" s="41">
        <f>IFERROR(LOOKUP(S1120,打分卡!$F$8:$J$8,打分卡!$K$8:$O$8),1)</f>
        <v>1</v>
      </c>
      <c r="AE1120" s="41">
        <f>IFERROR(LOOKUP(T1120,打分卡!$F$9:$I$9,打分卡!$K$9:$N$9),1)</f>
        <v>1</v>
      </c>
      <c r="AF1120" s="41">
        <f>IFERROR(LOOKUP(Q1120,打分卡!$F$10:$J$10,打分卡!$K$10:$O$10),1)</f>
        <v>1</v>
      </c>
      <c r="AG1120" s="41">
        <f>IFERROR(LOOKUP(R1120,打分卡!$F$11:$J$11,打分卡!$K$11:$O$11),1)</f>
        <v>1</v>
      </c>
      <c r="AH1120" s="41">
        <f>IFERROR(LOOKUP(U1120,打分卡!$F$12:$J$12,打分卡!$K$12:$O$12),1)</f>
        <v>1</v>
      </c>
      <c r="AI1120" s="41">
        <f>IFERROR(LOOKUP(X1120,打分卡!$F$13:$J$13,打分卡!$K$13:$O$13),1)</f>
        <v>3</v>
      </c>
      <c r="AJ1120" s="41">
        <f>IFERROR(LOOKUP(Y1120,打分卡!$F$14:$J$14,打分卡!$K$14:$O$14),1)</f>
        <v>2</v>
      </c>
      <c r="AK1120" s="41">
        <f>IFERROR(LOOKUP(W1120,打分卡!$F$15:$J$15,打分卡!$K$15:$O$15),1)</f>
        <v>2</v>
      </c>
      <c r="AL1120" s="43">
        <f t="shared" si="137"/>
        <v>5</v>
      </c>
      <c r="AM1120" s="41">
        <f>IFERROR(LOOKUP(Z1120,打分卡!$F$17:$H$17,打分卡!$K$17:$M$17),1)</f>
        <v>1</v>
      </c>
      <c r="AN1120" s="44">
        <f>(打分卡!$D$7*AC1120+打分卡!$D$8*AD1120+打分卡!$D$9*AE1120)/5</f>
        <v>8</v>
      </c>
      <c r="AO1120" s="44">
        <f>(打分卡!$D$10*AF1120+打分卡!$D$11*AG1120)/5</f>
        <v>4</v>
      </c>
      <c r="AP1120" s="44">
        <f>(打分卡!$D$12*AH1120+打分卡!$D$13*AI1120+打分卡!$D$14*AJ1120+打分卡!$D$15*AK1120)/5</f>
        <v>11.2</v>
      </c>
      <c r="AQ1120" s="44">
        <f>(打分卡!$D$16*AL1120+打分卡!$D$17*AM1120)/5</f>
        <v>6.8</v>
      </c>
      <c r="AR1120" s="47">
        <f t="shared" si="138"/>
        <v>36.9333333333333</v>
      </c>
      <c r="AS1120" s="43" t="str">
        <f t="shared" si="139"/>
        <v>基础长尾</v>
      </c>
      <c r="AT1120" s="43" t="str">
        <f t="shared" si="140"/>
        <v/>
      </c>
      <c r="AU1120" s="43" t="str">
        <f t="shared" si="141"/>
        <v>激活：企微+Push低成本先跑</v>
      </c>
    </row>
    <row r="1121" ht="15" customHeight="1" spans="1:47">
      <c r="A1121" s="20" t="s">
        <v>3023</v>
      </c>
      <c r="B1121" s="22" t="s">
        <v>3024</v>
      </c>
      <c r="C1121" s="22" t="s">
        <v>179</v>
      </c>
      <c r="D1121" s="22" t="s">
        <v>252</v>
      </c>
      <c r="E1121" s="22" t="s">
        <v>197</v>
      </c>
      <c r="F1121" s="20" t="s">
        <v>3025</v>
      </c>
      <c r="G1121" s="22">
        <v>1</v>
      </c>
      <c r="H1121" s="22" t="s">
        <v>642</v>
      </c>
      <c r="I1121" s="22" t="s">
        <v>302</v>
      </c>
      <c r="J1121" s="36">
        <v>1300</v>
      </c>
      <c r="K1121" s="36">
        <v>600</v>
      </c>
      <c r="L1121" s="36">
        <v>500</v>
      </c>
      <c r="M1121" s="36">
        <f t="shared" si="136"/>
        <v>2400</v>
      </c>
      <c r="N1121" s="34">
        <f t="shared" si="142"/>
        <v>1.25823356589684e-5</v>
      </c>
      <c r="O1121" s="35">
        <f>SUM($M$2:M1121)</f>
        <v>190447900</v>
      </c>
      <c r="P1121" s="34">
        <f t="shared" si="143"/>
        <v>0.998449751394018</v>
      </c>
      <c r="Q1121" s="39">
        <v>0.3</v>
      </c>
      <c r="R1121" s="22">
        <v>1</v>
      </c>
      <c r="S1121" s="22">
        <v>1</v>
      </c>
      <c r="T1121" s="22">
        <v>0</v>
      </c>
      <c r="U1121" s="39">
        <v>17.1</v>
      </c>
      <c r="V1121" s="22">
        <v>14</v>
      </c>
      <c r="W1121" s="22">
        <v>0</v>
      </c>
      <c r="X1121" s="40">
        <v>8</v>
      </c>
      <c r="Y1121" s="22">
        <v>1</v>
      </c>
      <c r="Z1121" s="22">
        <v>0</v>
      </c>
      <c r="AA1121" s="22" t="s">
        <v>199</v>
      </c>
      <c r="AB1121" s="22" t="s">
        <v>220</v>
      </c>
      <c r="AC1121" s="42">
        <f>IFERROR(LOOKUP(M1121,打分卡!$F$7:$J$7,打分卡!$K$7:$O$7),1)</f>
        <v>1</v>
      </c>
      <c r="AD1121" s="42">
        <f>IFERROR(LOOKUP(S1121,打分卡!$F$8:$J$8,打分卡!$K$8:$O$8),1)</f>
        <v>1</v>
      </c>
      <c r="AE1121" s="42">
        <f>IFERROR(LOOKUP(T1121,打分卡!$F$9:$I$9,打分卡!$K$9:$N$9),1)</f>
        <v>1</v>
      </c>
      <c r="AF1121" s="42">
        <f>IFERROR(LOOKUP(Q1121,打分卡!$F$10:$J$10,打分卡!$K$10:$O$10),1)</f>
        <v>1</v>
      </c>
      <c r="AG1121" s="42">
        <f>IFERROR(LOOKUP(R1121,打分卡!$F$11:$J$11,打分卡!$K$11:$O$11),1)</f>
        <v>1</v>
      </c>
      <c r="AH1121" s="42">
        <f>IFERROR(LOOKUP(U1121,打分卡!$F$12:$J$12,打分卡!$K$12:$O$12),1)</f>
        <v>3</v>
      </c>
      <c r="AI1121" s="42">
        <f>IFERROR(LOOKUP(X1121,打分卡!$F$13:$J$13,打分卡!$K$13:$O$13),1)</f>
        <v>1</v>
      </c>
      <c r="AJ1121" s="42">
        <f>IFERROR(LOOKUP(Y1121,打分卡!$F$14:$J$14,打分卡!$K$14:$O$14),1)</f>
        <v>2</v>
      </c>
      <c r="AK1121" s="42">
        <f>IFERROR(LOOKUP(W1121,打分卡!$F$15:$J$15,打分卡!$K$15:$O$15),1)</f>
        <v>1</v>
      </c>
      <c r="AL1121" s="45">
        <f t="shared" si="137"/>
        <v>5</v>
      </c>
      <c r="AM1121" s="42">
        <f>IFERROR(LOOKUP(Z1121,打分卡!$F$17:$H$17,打分卡!$K$17:$M$17),1)</f>
        <v>1</v>
      </c>
      <c r="AN1121" s="46">
        <f>(打分卡!$D$7*AC1121+打分卡!$D$8*AD1121+打分卡!$D$9*AE1121)/5</f>
        <v>8</v>
      </c>
      <c r="AO1121" s="46">
        <f>(打分卡!$D$10*AF1121+打分卡!$D$11*AG1121)/5</f>
        <v>4</v>
      </c>
      <c r="AP1121" s="46">
        <f>(打分卡!$D$12*AH1121+打分卡!$D$13*AI1121+打分卡!$D$14*AJ1121+打分卡!$D$15*AK1121)/5</f>
        <v>12</v>
      </c>
      <c r="AQ1121" s="46">
        <f>(打分卡!$D$16*AL1121+打分卡!$D$17*AM1121)/5</f>
        <v>6.8</v>
      </c>
      <c r="AR1121" s="48">
        <f t="shared" si="138"/>
        <v>38.8</v>
      </c>
      <c r="AS1121" s="45" t="str">
        <f t="shared" si="139"/>
        <v>基础长尾</v>
      </c>
      <c r="AT1121" s="45" t="str">
        <f t="shared" si="140"/>
        <v/>
      </c>
      <c r="AU1121" s="45" t="str">
        <f t="shared" si="141"/>
        <v>激活：企微+Push低成本先跑</v>
      </c>
    </row>
    <row r="1122" ht="15" customHeight="1" spans="1:47">
      <c r="A1122" s="30" t="s">
        <v>3026</v>
      </c>
      <c r="B1122" s="31" t="s">
        <v>3027</v>
      </c>
      <c r="C1122" s="31" t="s">
        <v>189</v>
      </c>
      <c r="D1122" s="31" t="s">
        <v>227</v>
      </c>
      <c r="E1122" s="31" t="s">
        <v>181</v>
      </c>
      <c r="F1122" s="30" t="s">
        <v>1217</v>
      </c>
      <c r="G1122" s="31">
        <v>3</v>
      </c>
      <c r="H1122" s="31" t="s">
        <v>642</v>
      </c>
      <c r="I1122" s="31" t="s">
        <v>302</v>
      </c>
      <c r="J1122" s="33">
        <v>1300</v>
      </c>
      <c r="K1122" s="33">
        <v>800</v>
      </c>
      <c r="L1122" s="33">
        <v>300</v>
      </c>
      <c r="M1122" s="33">
        <f t="shared" si="136"/>
        <v>2400</v>
      </c>
      <c r="N1122" s="34">
        <f t="shared" si="142"/>
        <v>1.25823356589684e-5</v>
      </c>
      <c r="O1122" s="35">
        <f>SUM($M$2:M1122)</f>
        <v>190450300</v>
      </c>
      <c r="P1122" s="34">
        <f t="shared" si="143"/>
        <v>0.998462333729677</v>
      </c>
      <c r="Q1122" s="37">
        <v>0.3</v>
      </c>
      <c r="R1122" s="31">
        <v>2</v>
      </c>
      <c r="S1122" s="31">
        <v>0</v>
      </c>
      <c r="T1122" s="31">
        <v>0</v>
      </c>
      <c r="U1122" s="37">
        <v>18</v>
      </c>
      <c r="V1122" s="31">
        <v>15</v>
      </c>
      <c r="W1122" s="31">
        <v>2</v>
      </c>
      <c r="X1122" s="38">
        <v>17</v>
      </c>
      <c r="Y1122" s="31">
        <v>0</v>
      </c>
      <c r="Z1122" s="31">
        <v>0</v>
      </c>
      <c r="AA1122" s="31" t="s">
        <v>199</v>
      </c>
      <c r="AB1122" s="31" t="s">
        <v>220</v>
      </c>
      <c r="AC1122" s="41">
        <f>IFERROR(LOOKUP(M1122,打分卡!$F$7:$J$7,打分卡!$K$7:$O$7),1)</f>
        <v>1</v>
      </c>
      <c r="AD1122" s="41">
        <f>IFERROR(LOOKUP(S1122,打分卡!$F$8:$J$8,打分卡!$K$8:$O$8),1)</f>
        <v>1</v>
      </c>
      <c r="AE1122" s="41">
        <f>IFERROR(LOOKUP(T1122,打分卡!$F$9:$I$9,打分卡!$K$9:$N$9),1)</f>
        <v>1</v>
      </c>
      <c r="AF1122" s="41">
        <f>IFERROR(LOOKUP(Q1122,打分卡!$F$10:$J$10,打分卡!$K$10:$O$10),1)</f>
        <v>1</v>
      </c>
      <c r="AG1122" s="41">
        <f>IFERROR(LOOKUP(R1122,打分卡!$F$11:$J$11,打分卡!$K$11:$O$11),1)</f>
        <v>1</v>
      </c>
      <c r="AH1122" s="41">
        <f>IFERROR(LOOKUP(U1122,打分卡!$F$12:$J$12,打分卡!$K$12:$O$12),1)</f>
        <v>3</v>
      </c>
      <c r="AI1122" s="41">
        <f>IFERROR(LOOKUP(X1122,打分卡!$F$13:$J$13,打分卡!$K$13:$O$13),1)</f>
        <v>1</v>
      </c>
      <c r="AJ1122" s="41">
        <f>IFERROR(LOOKUP(Y1122,打分卡!$F$14:$J$14,打分卡!$K$14:$O$14),1)</f>
        <v>1</v>
      </c>
      <c r="AK1122" s="41">
        <f>IFERROR(LOOKUP(W1122,打分卡!$F$15:$J$15,打分卡!$K$15:$O$15),1)</f>
        <v>2</v>
      </c>
      <c r="AL1122" s="43">
        <f t="shared" si="137"/>
        <v>5</v>
      </c>
      <c r="AM1122" s="41">
        <f>IFERROR(LOOKUP(Z1122,打分卡!$F$17:$H$17,打分卡!$K$17:$M$17),1)</f>
        <v>1</v>
      </c>
      <c r="AN1122" s="44">
        <f>(打分卡!$D$7*AC1122+打分卡!$D$8*AD1122+打分卡!$D$9*AE1122)/5</f>
        <v>8</v>
      </c>
      <c r="AO1122" s="44">
        <f>(打分卡!$D$10*AF1122+打分卡!$D$11*AG1122)/5</f>
        <v>4</v>
      </c>
      <c r="AP1122" s="44">
        <f>(打分卡!$D$12*AH1122+打分卡!$D$13*AI1122+打分卡!$D$14*AJ1122+打分卡!$D$15*AK1122)/5</f>
        <v>11.6</v>
      </c>
      <c r="AQ1122" s="44">
        <f>(打分卡!$D$16*AL1122+打分卡!$D$17*AM1122)/5</f>
        <v>6.8</v>
      </c>
      <c r="AR1122" s="47">
        <f t="shared" si="138"/>
        <v>30.4</v>
      </c>
      <c r="AS1122" s="43" t="str">
        <f t="shared" si="139"/>
        <v>基础长尾</v>
      </c>
      <c r="AT1122" s="43" t="str">
        <f t="shared" si="140"/>
        <v/>
      </c>
      <c r="AU1122" s="43" t="str">
        <f t="shared" si="141"/>
        <v>激活：企微+Push低成本先跑</v>
      </c>
    </row>
    <row r="1123" ht="15" customHeight="1" spans="1:47">
      <c r="A1123" s="20" t="s">
        <v>3028</v>
      </c>
      <c r="B1123" s="22" t="s">
        <v>3029</v>
      </c>
      <c r="C1123" s="22" t="s">
        <v>189</v>
      </c>
      <c r="D1123" s="22" t="s">
        <v>202</v>
      </c>
      <c r="E1123" s="22" t="s">
        <v>181</v>
      </c>
      <c r="F1123" s="20" t="s">
        <v>2773</v>
      </c>
      <c r="G1123" s="22">
        <v>2</v>
      </c>
      <c r="H1123" s="22" t="s">
        <v>642</v>
      </c>
      <c r="I1123" s="22" t="s">
        <v>302</v>
      </c>
      <c r="J1123" s="36">
        <v>1400</v>
      </c>
      <c r="K1123" s="36">
        <v>500</v>
      </c>
      <c r="L1123" s="36">
        <v>400</v>
      </c>
      <c r="M1123" s="36">
        <f t="shared" si="136"/>
        <v>2300</v>
      </c>
      <c r="N1123" s="34">
        <f t="shared" si="142"/>
        <v>1.2058071673178e-5</v>
      </c>
      <c r="O1123" s="35">
        <f>SUM($M$2:M1123)</f>
        <v>190452600</v>
      </c>
      <c r="P1123" s="34">
        <f t="shared" si="143"/>
        <v>0.99847439180135</v>
      </c>
      <c r="Q1123" s="39">
        <v>0.2</v>
      </c>
      <c r="R1123" s="22">
        <v>1</v>
      </c>
      <c r="S1123" s="22">
        <v>0</v>
      </c>
      <c r="T1123" s="22">
        <v>0</v>
      </c>
      <c r="U1123" s="39">
        <v>1</v>
      </c>
      <c r="V1123" s="22">
        <v>0</v>
      </c>
      <c r="W1123" s="22">
        <v>1</v>
      </c>
      <c r="X1123" s="40">
        <v>79</v>
      </c>
      <c r="Y1123" s="22">
        <v>1</v>
      </c>
      <c r="Z1123" s="22">
        <v>0</v>
      </c>
      <c r="AA1123" s="22" t="s">
        <v>199</v>
      </c>
      <c r="AB1123" s="22" t="s">
        <v>220</v>
      </c>
      <c r="AC1123" s="42">
        <f>IFERROR(LOOKUP(M1123,打分卡!$F$7:$J$7,打分卡!$K$7:$O$7),1)</f>
        <v>1</v>
      </c>
      <c r="AD1123" s="42">
        <f>IFERROR(LOOKUP(S1123,打分卡!$F$8:$J$8,打分卡!$K$8:$O$8),1)</f>
        <v>1</v>
      </c>
      <c r="AE1123" s="42">
        <f>IFERROR(LOOKUP(T1123,打分卡!$F$9:$I$9,打分卡!$K$9:$N$9),1)</f>
        <v>1</v>
      </c>
      <c r="AF1123" s="42">
        <f>IFERROR(LOOKUP(Q1123,打分卡!$F$10:$J$10,打分卡!$K$10:$O$10),1)</f>
        <v>1</v>
      </c>
      <c r="AG1123" s="42">
        <f>IFERROR(LOOKUP(R1123,打分卡!$F$11:$J$11,打分卡!$K$11:$O$11),1)</f>
        <v>1</v>
      </c>
      <c r="AH1123" s="42">
        <f>IFERROR(LOOKUP(U1123,打分卡!$F$12:$J$12,打分卡!$K$12:$O$12),1)</f>
        <v>1</v>
      </c>
      <c r="AI1123" s="42">
        <f>IFERROR(LOOKUP(X1123,打分卡!$F$13:$J$13,打分卡!$K$13:$O$13),1)</f>
        <v>3</v>
      </c>
      <c r="AJ1123" s="42">
        <f>IFERROR(LOOKUP(Y1123,打分卡!$F$14:$J$14,打分卡!$K$14:$O$14),1)</f>
        <v>2</v>
      </c>
      <c r="AK1123" s="42">
        <f>IFERROR(LOOKUP(W1123,打分卡!$F$15:$J$15,打分卡!$K$15:$O$15),1)</f>
        <v>2</v>
      </c>
      <c r="AL1123" s="45">
        <f t="shared" si="137"/>
        <v>5</v>
      </c>
      <c r="AM1123" s="42">
        <f>IFERROR(LOOKUP(Z1123,打分卡!$F$17:$H$17,打分卡!$K$17:$M$17),1)</f>
        <v>1</v>
      </c>
      <c r="AN1123" s="46">
        <f>(打分卡!$D$7*AC1123+打分卡!$D$8*AD1123+打分卡!$D$9*AE1123)/5</f>
        <v>8</v>
      </c>
      <c r="AO1123" s="46">
        <f>(打分卡!$D$10*AF1123+打分卡!$D$11*AG1123)/5</f>
        <v>4</v>
      </c>
      <c r="AP1123" s="46">
        <f>(打分卡!$D$12*AH1123+打分卡!$D$13*AI1123+打分卡!$D$14*AJ1123+打分卡!$D$15*AK1123)/5</f>
        <v>11.2</v>
      </c>
      <c r="AQ1123" s="46">
        <f>(打分卡!$D$16*AL1123+打分卡!$D$17*AM1123)/5</f>
        <v>6.8</v>
      </c>
      <c r="AR1123" s="48">
        <f t="shared" si="138"/>
        <v>36.9333333333333</v>
      </c>
      <c r="AS1123" s="45" t="str">
        <f t="shared" si="139"/>
        <v>基础长尾</v>
      </c>
      <c r="AT1123" s="45" t="str">
        <f t="shared" si="140"/>
        <v/>
      </c>
      <c r="AU1123" s="45" t="str">
        <f t="shared" si="141"/>
        <v>激活：企微+Push低成本先跑</v>
      </c>
    </row>
    <row r="1124" ht="15" customHeight="1" spans="1:47">
      <c r="A1124" s="30" t="s">
        <v>3030</v>
      </c>
      <c r="B1124" s="31" t="s">
        <v>3031</v>
      </c>
      <c r="C1124" s="31" t="s">
        <v>189</v>
      </c>
      <c r="D1124" s="31" t="s">
        <v>180</v>
      </c>
      <c r="E1124" s="31" t="s">
        <v>197</v>
      </c>
      <c r="F1124" s="30" t="s">
        <v>2711</v>
      </c>
      <c r="G1124" s="31">
        <v>1</v>
      </c>
      <c r="H1124" s="31" t="s">
        <v>642</v>
      </c>
      <c r="I1124" s="31" t="s">
        <v>302</v>
      </c>
      <c r="J1124" s="33">
        <v>1300</v>
      </c>
      <c r="K1124" s="33">
        <v>600</v>
      </c>
      <c r="L1124" s="33">
        <v>500</v>
      </c>
      <c r="M1124" s="33">
        <f t="shared" si="136"/>
        <v>2400</v>
      </c>
      <c r="N1124" s="34">
        <f t="shared" si="142"/>
        <v>1.25823356589684e-5</v>
      </c>
      <c r="O1124" s="35">
        <f>SUM($M$2:M1124)</f>
        <v>190455000</v>
      </c>
      <c r="P1124" s="34">
        <f t="shared" si="143"/>
        <v>0.998486974137009</v>
      </c>
      <c r="Q1124" s="37">
        <v>0.2</v>
      </c>
      <c r="R1124" s="31">
        <v>2</v>
      </c>
      <c r="S1124" s="31">
        <v>1</v>
      </c>
      <c r="T1124" s="31">
        <v>0</v>
      </c>
      <c r="U1124" s="37">
        <v>729</v>
      </c>
      <c r="V1124" s="31">
        <v>7</v>
      </c>
      <c r="W1124" s="31">
        <v>16</v>
      </c>
      <c r="X1124" s="38">
        <v>1056</v>
      </c>
      <c r="Y1124" s="31">
        <v>4</v>
      </c>
      <c r="Z1124" s="31">
        <v>0</v>
      </c>
      <c r="AA1124" s="31" t="s">
        <v>199</v>
      </c>
      <c r="AB1124" s="31" t="s">
        <v>220</v>
      </c>
      <c r="AC1124" s="41">
        <f>IFERROR(LOOKUP(M1124,打分卡!$F$7:$J$7,打分卡!$K$7:$O$7),1)</f>
        <v>1</v>
      </c>
      <c r="AD1124" s="41">
        <f>IFERROR(LOOKUP(S1124,打分卡!$F$8:$J$8,打分卡!$K$8:$O$8),1)</f>
        <v>1</v>
      </c>
      <c r="AE1124" s="41">
        <f>IFERROR(LOOKUP(T1124,打分卡!$F$9:$I$9,打分卡!$K$9:$N$9),1)</f>
        <v>1</v>
      </c>
      <c r="AF1124" s="41">
        <f>IFERROR(LOOKUP(Q1124,打分卡!$F$10:$J$10,打分卡!$K$10:$O$10),1)</f>
        <v>1</v>
      </c>
      <c r="AG1124" s="41">
        <f>IFERROR(LOOKUP(R1124,打分卡!$F$11:$J$11,打分卡!$K$11:$O$11),1)</f>
        <v>1</v>
      </c>
      <c r="AH1124" s="41">
        <f>IFERROR(LOOKUP(U1124,打分卡!$F$12:$J$12,打分卡!$K$12:$O$12),1)</f>
        <v>5</v>
      </c>
      <c r="AI1124" s="41">
        <f>IFERROR(LOOKUP(X1124,打分卡!$F$13:$J$13,打分卡!$K$13:$O$13),1)</f>
        <v>5</v>
      </c>
      <c r="AJ1124" s="41">
        <f>IFERROR(LOOKUP(Y1124,打分卡!$F$14:$J$14,打分卡!$K$14:$O$14),1)</f>
        <v>4</v>
      </c>
      <c r="AK1124" s="41">
        <f>IFERROR(LOOKUP(W1124,打分卡!$F$15:$J$15,打分卡!$K$15:$O$15),1)</f>
        <v>5</v>
      </c>
      <c r="AL1124" s="43">
        <f t="shared" si="137"/>
        <v>5</v>
      </c>
      <c r="AM1124" s="41">
        <f>IFERROR(LOOKUP(Z1124,打分卡!$F$17:$H$17,打分卡!$K$17:$M$17),1)</f>
        <v>1</v>
      </c>
      <c r="AN1124" s="44">
        <f>(打分卡!$D$7*AC1124+打分卡!$D$8*AD1124+打分卡!$D$9*AE1124)/5</f>
        <v>8</v>
      </c>
      <c r="AO1124" s="44">
        <f>(打分卡!$D$10*AF1124+打分卡!$D$11*AG1124)/5</f>
        <v>4</v>
      </c>
      <c r="AP1124" s="44">
        <f>(打分卡!$D$12*AH1124+打分卡!$D$13*AI1124+打分卡!$D$14*AJ1124+打分卡!$D$15*AK1124)/5</f>
        <v>28.8</v>
      </c>
      <c r="AQ1124" s="44">
        <f>(打分卡!$D$16*AL1124+打分卡!$D$17*AM1124)/5</f>
        <v>6.8</v>
      </c>
      <c r="AR1124" s="47">
        <f t="shared" si="138"/>
        <v>78</v>
      </c>
      <c r="AS1124" s="43" t="str">
        <f t="shared" si="139"/>
        <v>KA</v>
      </c>
      <c r="AT1124" s="43" t="str">
        <f t="shared" si="140"/>
        <v/>
      </c>
      <c r="AU1124" s="43" t="str">
        <f t="shared" si="141"/>
        <v>扩·深化：AI外呼场景深化+Push/企微补全</v>
      </c>
    </row>
    <row r="1125" ht="15" customHeight="1" spans="1:47">
      <c r="A1125" s="20" t="s">
        <v>3032</v>
      </c>
      <c r="B1125" s="22" t="s">
        <v>3033</v>
      </c>
      <c r="C1125" s="22" t="s">
        <v>179</v>
      </c>
      <c r="D1125" s="22" t="s">
        <v>202</v>
      </c>
      <c r="E1125" s="22" t="s">
        <v>181</v>
      </c>
      <c r="F1125" s="20" t="s">
        <v>2925</v>
      </c>
      <c r="G1125" s="22">
        <v>2</v>
      </c>
      <c r="H1125" s="22" t="s">
        <v>642</v>
      </c>
      <c r="I1125" s="22" t="s">
        <v>302</v>
      </c>
      <c r="J1125" s="36">
        <v>1400</v>
      </c>
      <c r="K1125" s="36">
        <v>700</v>
      </c>
      <c r="L1125" s="36">
        <v>200</v>
      </c>
      <c r="M1125" s="36">
        <f t="shared" si="136"/>
        <v>2300</v>
      </c>
      <c r="N1125" s="34">
        <f t="shared" si="142"/>
        <v>1.2058071673178e-5</v>
      </c>
      <c r="O1125" s="35">
        <f>SUM($M$2:M1125)</f>
        <v>190457300</v>
      </c>
      <c r="P1125" s="34">
        <f t="shared" si="143"/>
        <v>0.998499032208682</v>
      </c>
      <c r="Q1125" s="39">
        <v>0.3</v>
      </c>
      <c r="R1125" s="22">
        <v>2</v>
      </c>
      <c r="S1125" s="22">
        <v>0</v>
      </c>
      <c r="T1125" s="22">
        <v>0</v>
      </c>
      <c r="U1125" s="39">
        <v>20.9</v>
      </c>
      <c r="V1125" s="22">
        <v>9</v>
      </c>
      <c r="W1125" s="22">
        <v>2</v>
      </c>
      <c r="X1125" s="40">
        <v>11</v>
      </c>
      <c r="Y1125" s="22">
        <v>0</v>
      </c>
      <c r="Z1125" s="22">
        <v>0</v>
      </c>
      <c r="AA1125" s="22" t="s">
        <v>199</v>
      </c>
      <c r="AB1125" s="22" t="s">
        <v>220</v>
      </c>
      <c r="AC1125" s="42">
        <f>IFERROR(LOOKUP(M1125,打分卡!$F$7:$J$7,打分卡!$K$7:$O$7),1)</f>
        <v>1</v>
      </c>
      <c r="AD1125" s="42">
        <f>IFERROR(LOOKUP(S1125,打分卡!$F$8:$J$8,打分卡!$K$8:$O$8),1)</f>
        <v>1</v>
      </c>
      <c r="AE1125" s="42">
        <f>IFERROR(LOOKUP(T1125,打分卡!$F$9:$I$9,打分卡!$K$9:$N$9),1)</f>
        <v>1</v>
      </c>
      <c r="AF1125" s="42">
        <f>IFERROR(LOOKUP(Q1125,打分卡!$F$10:$J$10,打分卡!$K$10:$O$10),1)</f>
        <v>1</v>
      </c>
      <c r="AG1125" s="42">
        <f>IFERROR(LOOKUP(R1125,打分卡!$F$11:$J$11,打分卡!$K$11:$O$11),1)</f>
        <v>1</v>
      </c>
      <c r="AH1125" s="42">
        <f>IFERROR(LOOKUP(U1125,打分卡!$F$12:$J$12,打分卡!$K$12:$O$12),1)</f>
        <v>3</v>
      </c>
      <c r="AI1125" s="42">
        <f>IFERROR(LOOKUP(X1125,打分卡!$F$13:$J$13,打分卡!$K$13:$O$13),1)</f>
        <v>1</v>
      </c>
      <c r="AJ1125" s="42">
        <f>IFERROR(LOOKUP(Y1125,打分卡!$F$14:$J$14,打分卡!$K$14:$O$14),1)</f>
        <v>1</v>
      </c>
      <c r="AK1125" s="42">
        <f>IFERROR(LOOKUP(W1125,打分卡!$F$15:$J$15,打分卡!$K$15:$O$15),1)</f>
        <v>2</v>
      </c>
      <c r="AL1125" s="45">
        <f t="shared" si="137"/>
        <v>5</v>
      </c>
      <c r="AM1125" s="42">
        <f>IFERROR(LOOKUP(Z1125,打分卡!$F$17:$H$17,打分卡!$K$17:$M$17),1)</f>
        <v>1</v>
      </c>
      <c r="AN1125" s="46">
        <f>(打分卡!$D$7*AC1125+打分卡!$D$8*AD1125+打分卡!$D$9*AE1125)/5</f>
        <v>8</v>
      </c>
      <c r="AO1125" s="46">
        <f>(打分卡!$D$10*AF1125+打分卡!$D$11*AG1125)/5</f>
        <v>4</v>
      </c>
      <c r="AP1125" s="46">
        <f>(打分卡!$D$12*AH1125+打分卡!$D$13*AI1125+打分卡!$D$14*AJ1125+打分卡!$D$15*AK1125)/5</f>
        <v>11.6</v>
      </c>
      <c r="AQ1125" s="46">
        <f>(打分卡!$D$16*AL1125+打分卡!$D$17*AM1125)/5</f>
        <v>6.8</v>
      </c>
      <c r="AR1125" s="48">
        <f t="shared" si="138"/>
        <v>37.8666666666667</v>
      </c>
      <c r="AS1125" s="45" t="str">
        <f t="shared" si="139"/>
        <v>基础长尾</v>
      </c>
      <c r="AT1125" s="45" t="str">
        <f t="shared" si="140"/>
        <v/>
      </c>
      <c r="AU1125" s="45" t="str">
        <f t="shared" si="141"/>
        <v>激活：企微+Push低成本先跑</v>
      </c>
    </row>
    <row r="1126" ht="15" customHeight="1" spans="1:47">
      <c r="A1126" s="30" t="s">
        <v>3034</v>
      </c>
      <c r="B1126" s="31" t="s">
        <v>3035</v>
      </c>
      <c r="C1126" s="31" t="s">
        <v>179</v>
      </c>
      <c r="D1126" s="31" t="s">
        <v>190</v>
      </c>
      <c r="E1126" s="31" t="s">
        <v>197</v>
      </c>
      <c r="F1126" s="30" t="s">
        <v>2906</v>
      </c>
      <c r="G1126" s="31">
        <v>1</v>
      </c>
      <c r="H1126" s="31" t="s">
        <v>642</v>
      </c>
      <c r="I1126" s="31" t="s">
        <v>302</v>
      </c>
      <c r="J1126" s="33">
        <v>1300</v>
      </c>
      <c r="K1126" s="33">
        <v>900</v>
      </c>
      <c r="L1126" s="33">
        <v>100</v>
      </c>
      <c r="M1126" s="33">
        <f t="shared" si="136"/>
        <v>2300</v>
      </c>
      <c r="N1126" s="34">
        <f t="shared" si="142"/>
        <v>1.2058071673178e-5</v>
      </c>
      <c r="O1126" s="35">
        <f>SUM($M$2:M1126)</f>
        <v>190459600</v>
      </c>
      <c r="P1126" s="34">
        <f t="shared" si="143"/>
        <v>0.998511090280355</v>
      </c>
      <c r="Q1126" s="37">
        <v>0.2</v>
      </c>
      <c r="R1126" s="31">
        <v>3</v>
      </c>
      <c r="S1126" s="31">
        <v>0</v>
      </c>
      <c r="T1126" s="31">
        <v>0</v>
      </c>
      <c r="U1126" s="37">
        <v>16</v>
      </c>
      <c r="V1126" s="31">
        <v>10</v>
      </c>
      <c r="W1126" s="31">
        <v>0</v>
      </c>
      <c r="X1126" s="38">
        <v>15</v>
      </c>
      <c r="Y1126" s="31">
        <v>0</v>
      </c>
      <c r="Z1126" s="31">
        <v>0</v>
      </c>
      <c r="AA1126" s="31" t="s">
        <v>199</v>
      </c>
      <c r="AB1126" s="31" t="s">
        <v>220</v>
      </c>
      <c r="AC1126" s="41">
        <f>IFERROR(LOOKUP(M1126,打分卡!$F$7:$J$7,打分卡!$K$7:$O$7),1)</f>
        <v>1</v>
      </c>
      <c r="AD1126" s="41">
        <f>IFERROR(LOOKUP(S1126,打分卡!$F$8:$J$8,打分卡!$K$8:$O$8),1)</f>
        <v>1</v>
      </c>
      <c r="AE1126" s="41">
        <f>IFERROR(LOOKUP(T1126,打分卡!$F$9:$I$9,打分卡!$K$9:$N$9),1)</f>
        <v>1</v>
      </c>
      <c r="AF1126" s="41">
        <f>IFERROR(LOOKUP(Q1126,打分卡!$F$10:$J$10,打分卡!$K$10:$O$10),1)</f>
        <v>1</v>
      </c>
      <c r="AG1126" s="41">
        <f>IFERROR(LOOKUP(R1126,打分卡!$F$11:$J$11,打分卡!$K$11:$O$11),1)</f>
        <v>2</v>
      </c>
      <c r="AH1126" s="41">
        <f>IFERROR(LOOKUP(U1126,打分卡!$F$12:$J$12,打分卡!$K$12:$O$12),1)</f>
        <v>3</v>
      </c>
      <c r="AI1126" s="41">
        <f>IFERROR(LOOKUP(X1126,打分卡!$F$13:$J$13,打分卡!$K$13:$O$13),1)</f>
        <v>1</v>
      </c>
      <c r="AJ1126" s="41">
        <f>IFERROR(LOOKUP(Y1126,打分卡!$F$14:$J$14,打分卡!$K$14:$O$14),1)</f>
        <v>1</v>
      </c>
      <c r="AK1126" s="41">
        <f>IFERROR(LOOKUP(W1126,打分卡!$F$15:$J$15,打分卡!$K$15:$O$15),1)</f>
        <v>1</v>
      </c>
      <c r="AL1126" s="43">
        <f t="shared" si="137"/>
        <v>5</v>
      </c>
      <c r="AM1126" s="41">
        <f>IFERROR(LOOKUP(Z1126,打分卡!$F$17:$H$17,打分卡!$K$17:$M$17),1)</f>
        <v>1</v>
      </c>
      <c r="AN1126" s="44">
        <f>(打分卡!$D$7*AC1126+打分卡!$D$8*AD1126+打分卡!$D$9*AE1126)/5</f>
        <v>8</v>
      </c>
      <c r="AO1126" s="44">
        <f>(打分卡!$D$10*AF1126+打分卡!$D$11*AG1126)/5</f>
        <v>6</v>
      </c>
      <c r="AP1126" s="44">
        <f>(打分卡!$D$12*AH1126+打分卡!$D$13*AI1126+打分卡!$D$14*AJ1126+打分卡!$D$15*AK1126)/5</f>
        <v>10.8</v>
      </c>
      <c r="AQ1126" s="44">
        <f>(打分卡!$D$16*AL1126+打分卡!$D$17*AM1126)/5</f>
        <v>6.8</v>
      </c>
      <c r="AR1126" s="47">
        <f t="shared" si="138"/>
        <v>38</v>
      </c>
      <c r="AS1126" s="43" t="str">
        <f t="shared" si="139"/>
        <v>基础长尾</v>
      </c>
      <c r="AT1126" s="43" t="str">
        <f t="shared" si="140"/>
        <v/>
      </c>
      <c r="AU1126" s="43" t="str">
        <f t="shared" si="141"/>
        <v>激活：企微+Push低成本先跑</v>
      </c>
    </row>
    <row r="1127" ht="15" customHeight="1" spans="1:47">
      <c r="A1127" s="20" t="s">
        <v>3036</v>
      </c>
      <c r="B1127" s="22" t="s">
        <v>3037</v>
      </c>
      <c r="C1127" s="22" t="s">
        <v>189</v>
      </c>
      <c r="D1127" s="22" t="s">
        <v>227</v>
      </c>
      <c r="E1127" s="22" t="s">
        <v>181</v>
      </c>
      <c r="F1127" s="20" t="s">
        <v>2763</v>
      </c>
      <c r="G1127" s="22">
        <v>2</v>
      </c>
      <c r="H1127" s="22" t="s">
        <v>642</v>
      </c>
      <c r="I1127" s="22" t="s">
        <v>302</v>
      </c>
      <c r="J1127" s="36">
        <v>1100</v>
      </c>
      <c r="K1127" s="36">
        <v>700</v>
      </c>
      <c r="L1127" s="36">
        <v>500</v>
      </c>
      <c r="M1127" s="36">
        <f t="shared" si="136"/>
        <v>2300</v>
      </c>
      <c r="N1127" s="34">
        <f t="shared" si="142"/>
        <v>1.2058071673178e-5</v>
      </c>
      <c r="O1127" s="35">
        <f>SUM($M$2:M1127)</f>
        <v>190461900</v>
      </c>
      <c r="P1127" s="34">
        <f t="shared" si="143"/>
        <v>0.998523148352029</v>
      </c>
      <c r="Q1127" s="39">
        <v>0.2</v>
      </c>
      <c r="R1127" s="22">
        <v>2</v>
      </c>
      <c r="S1127" s="22">
        <v>0</v>
      </c>
      <c r="T1127" s="22">
        <v>0</v>
      </c>
      <c r="U1127" s="39">
        <v>1</v>
      </c>
      <c r="V1127" s="22">
        <v>7</v>
      </c>
      <c r="W1127" s="22">
        <v>2</v>
      </c>
      <c r="X1127" s="40">
        <v>11</v>
      </c>
      <c r="Y1127" s="22">
        <v>0</v>
      </c>
      <c r="Z1127" s="22">
        <v>0</v>
      </c>
      <c r="AA1127" s="22" t="s">
        <v>199</v>
      </c>
      <c r="AB1127" s="22" t="s">
        <v>220</v>
      </c>
      <c r="AC1127" s="42">
        <f>IFERROR(LOOKUP(M1127,打分卡!$F$7:$J$7,打分卡!$K$7:$O$7),1)</f>
        <v>1</v>
      </c>
      <c r="AD1127" s="42">
        <f>IFERROR(LOOKUP(S1127,打分卡!$F$8:$J$8,打分卡!$K$8:$O$8),1)</f>
        <v>1</v>
      </c>
      <c r="AE1127" s="42">
        <f>IFERROR(LOOKUP(T1127,打分卡!$F$9:$I$9,打分卡!$K$9:$N$9),1)</f>
        <v>1</v>
      </c>
      <c r="AF1127" s="42">
        <f>IFERROR(LOOKUP(Q1127,打分卡!$F$10:$J$10,打分卡!$K$10:$O$10),1)</f>
        <v>1</v>
      </c>
      <c r="AG1127" s="42">
        <f>IFERROR(LOOKUP(R1127,打分卡!$F$11:$J$11,打分卡!$K$11:$O$11),1)</f>
        <v>1</v>
      </c>
      <c r="AH1127" s="42">
        <f>IFERROR(LOOKUP(U1127,打分卡!$F$12:$J$12,打分卡!$K$12:$O$12),1)</f>
        <v>1</v>
      </c>
      <c r="AI1127" s="42">
        <f>IFERROR(LOOKUP(X1127,打分卡!$F$13:$J$13,打分卡!$K$13:$O$13),1)</f>
        <v>1</v>
      </c>
      <c r="AJ1127" s="42">
        <f>IFERROR(LOOKUP(Y1127,打分卡!$F$14:$J$14,打分卡!$K$14:$O$14),1)</f>
        <v>1</v>
      </c>
      <c r="AK1127" s="42">
        <f>IFERROR(LOOKUP(W1127,打分卡!$F$15:$J$15,打分卡!$K$15:$O$15),1)</f>
        <v>2</v>
      </c>
      <c r="AL1127" s="45">
        <f t="shared" si="137"/>
        <v>5</v>
      </c>
      <c r="AM1127" s="42">
        <f>IFERROR(LOOKUP(Z1127,打分卡!$F$17:$H$17,打分卡!$K$17:$M$17),1)</f>
        <v>1</v>
      </c>
      <c r="AN1127" s="46">
        <f>(打分卡!$D$7*AC1127+打分卡!$D$8*AD1127+打分卡!$D$9*AE1127)/5</f>
        <v>8</v>
      </c>
      <c r="AO1127" s="46">
        <f>(打分卡!$D$10*AF1127+打分卡!$D$11*AG1127)/5</f>
        <v>4</v>
      </c>
      <c r="AP1127" s="46">
        <f>(打分卡!$D$12*AH1127+打分卡!$D$13*AI1127+打分卡!$D$14*AJ1127+打分卡!$D$15*AK1127)/5</f>
        <v>6.8</v>
      </c>
      <c r="AQ1127" s="46">
        <f>(打分卡!$D$16*AL1127+打分卡!$D$17*AM1127)/5</f>
        <v>6.8</v>
      </c>
      <c r="AR1127" s="48">
        <f t="shared" si="138"/>
        <v>26.6666666666667</v>
      </c>
      <c r="AS1127" s="45" t="str">
        <f t="shared" si="139"/>
        <v>基础长尾</v>
      </c>
      <c r="AT1127" s="45" t="str">
        <f t="shared" si="140"/>
        <v/>
      </c>
      <c r="AU1127" s="45" t="str">
        <f t="shared" si="141"/>
        <v>激活：企微+Push低成本先跑</v>
      </c>
    </row>
    <row r="1128" ht="15" customHeight="1" spans="1:47">
      <c r="A1128" s="30" t="s">
        <v>3038</v>
      </c>
      <c r="B1128" s="31" t="s">
        <v>3039</v>
      </c>
      <c r="C1128" s="31" t="s">
        <v>189</v>
      </c>
      <c r="D1128" s="31" t="s">
        <v>202</v>
      </c>
      <c r="E1128" s="31" t="s">
        <v>181</v>
      </c>
      <c r="F1128" s="30" t="s">
        <v>2076</v>
      </c>
      <c r="G1128" s="31">
        <v>1</v>
      </c>
      <c r="H1128" s="31" t="s">
        <v>642</v>
      </c>
      <c r="I1128" s="31" t="s">
        <v>302</v>
      </c>
      <c r="J1128" s="33">
        <v>1200</v>
      </c>
      <c r="K1128" s="33">
        <v>500</v>
      </c>
      <c r="L1128" s="33">
        <v>600</v>
      </c>
      <c r="M1128" s="33">
        <f t="shared" si="136"/>
        <v>2300</v>
      </c>
      <c r="N1128" s="34">
        <f t="shared" si="142"/>
        <v>1.2058071673178e-5</v>
      </c>
      <c r="O1128" s="35">
        <f>SUM($M$2:M1128)</f>
        <v>190464200</v>
      </c>
      <c r="P1128" s="34">
        <f t="shared" si="143"/>
        <v>0.998535206423702</v>
      </c>
      <c r="Q1128" s="37">
        <v>0.3</v>
      </c>
      <c r="R1128" s="31">
        <v>2</v>
      </c>
      <c r="S1128" s="31">
        <v>1</v>
      </c>
      <c r="T1128" s="31">
        <v>0</v>
      </c>
      <c r="U1128" s="37">
        <v>212</v>
      </c>
      <c r="V1128" s="31">
        <v>7</v>
      </c>
      <c r="W1128" s="31">
        <v>20</v>
      </c>
      <c r="X1128" s="38">
        <v>956</v>
      </c>
      <c r="Y1128" s="31">
        <v>4</v>
      </c>
      <c r="Z1128" s="31">
        <v>0</v>
      </c>
      <c r="AA1128" s="31" t="s">
        <v>199</v>
      </c>
      <c r="AB1128" s="31" t="s">
        <v>220</v>
      </c>
      <c r="AC1128" s="41">
        <f>IFERROR(LOOKUP(M1128,打分卡!$F$7:$J$7,打分卡!$K$7:$O$7),1)</f>
        <v>1</v>
      </c>
      <c r="AD1128" s="41">
        <f>IFERROR(LOOKUP(S1128,打分卡!$F$8:$J$8,打分卡!$K$8:$O$8),1)</f>
        <v>1</v>
      </c>
      <c r="AE1128" s="41">
        <f>IFERROR(LOOKUP(T1128,打分卡!$F$9:$I$9,打分卡!$K$9:$N$9),1)</f>
        <v>1</v>
      </c>
      <c r="AF1128" s="41">
        <f>IFERROR(LOOKUP(Q1128,打分卡!$F$10:$J$10,打分卡!$K$10:$O$10),1)</f>
        <v>1</v>
      </c>
      <c r="AG1128" s="41">
        <f>IFERROR(LOOKUP(R1128,打分卡!$F$11:$J$11,打分卡!$K$11:$O$11),1)</f>
        <v>1</v>
      </c>
      <c r="AH1128" s="41">
        <f>IFERROR(LOOKUP(U1128,打分卡!$F$12:$J$12,打分卡!$K$12:$O$12),1)</f>
        <v>5</v>
      </c>
      <c r="AI1128" s="41">
        <f>IFERROR(LOOKUP(X1128,打分卡!$F$13:$J$13,打分卡!$K$13:$O$13),1)</f>
        <v>5</v>
      </c>
      <c r="AJ1128" s="41">
        <f>IFERROR(LOOKUP(Y1128,打分卡!$F$14:$J$14,打分卡!$K$14:$O$14),1)</f>
        <v>4</v>
      </c>
      <c r="AK1128" s="41">
        <f>IFERROR(LOOKUP(W1128,打分卡!$F$15:$J$15,打分卡!$K$15:$O$15),1)</f>
        <v>5</v>
      </c>
      <c r="AL1128" s="43">
        <f t="shared" si="137"/>
        <v>5</v>
      </c>
      <c r="AM1128" s="41">
        <f>IFERROR(LOOKUP(Z1128,打分卡!$F$17:$H$17,打分卡!$K$17:$M$17),1)</f>
        <v>1</v>
      </c>
      <c r="AN1128" s="44">
        <f>(打分卡!$D$7*AC1128+打分卡!$D$8*AD1128+打分卡!$D$9*AE1128)/5</f>
        <v>8</v>
      </c>
      <c r="AO1128" s="44">
        <f>(打分卡!$D$10*AF1128+打分卡!$D$11*AG1128)/5</f>
        <v>4</v>
      </c>
      <c r="AP1128" s="44">
        <f>(打分卡!$D$12*AH1128+打分卡!$D$13*AI1128+打分卡!$D$14*AJ1128+打分卡!$D$15*AK1128)/5</f>
        <v>28.8</v>
      </c>
      <c r="AQ1128" s="44">
        <f>(打分卡!$D$16*AL1128+打分卡!$D$17*AM1128)/5</f>
        <v>6.8</v>
      </c>
      <c r="AR1128" s="47">
        <f t="shared" si="138"/>
        <v>78</v>
      </c>
      <c r="AS1128" s="43" t="str">
        <f t="shared" si="139"/>
        <v>KA</v>
      </c>
      <c r="AT1128" s="43" t="str">
        <f t="shared" si="140"/>
        <v/>
      </c>
      <c r="AU1128" s="43" t="str">
        <f t="shared" si="141"/>
        <v>扩·深化：AI外呼场景深化+Push/企微补全</v>
      </c>
    </row>
    <row r="1129" ht="15" customHeight="1" spans="1:47">
      <c r="A1129" s="20" t="s">
        <v>3040</v>
      </c>
      <c r="B1129" s="22" t="s">
        <v>3041</v>
      </c>
      <c r="C1129" s="22" t="s">
        <v>179</v>
      </c>
      <c r="D1129" s="22" t="s">
        <v>202</v>
      </c>
      <c r="E1129" s="22" t="s">
        <v>197</v>
      </c>
      <c r="F1129" s="20" t="s">
        <v>2076</v>
      </c>
      <c r="G1129" s="22">
        <v>1</v>
      </c>
      <c r="H1129" s="22" t="s">
        <v>642</v>
      </c>
      <c r="I1129" s="22" t="s">
        <v>302</v>
      </c>
      <c r="J1129" s="36">
        <v>1400</v>
      </c>
      <c r="K1129" s="36">
        <v>700</v>
      </c>
      <c r="L1129" s="36">
        <v>100</v>
      </c>
      <c r="M1129" s="36">
        <f t="shared" si="136"/>
        <v>2200</v>
      </c>
      <c r="N1129" s="34">
        <f t="shared" si="142"/>
        <v>1.15338076873877e-5</v>
      </c>
      <c r="O1129" s="35">
        <f>SUM($M$2:M1129)</f>
        <v>190466400</v>
      </c>
      <c r="P1129" s="34">
        <f t="shared" si="143"/>
        <v>0.998546740231389</v>
      </c>
      <c r="Q1129" s="39">
        <v>0.2</v>
      </c>
      <c r="R1129" s="22">
        <v>1</v>
      </c>
      <c r="S1129" s="22">
        <v>1</v>
      </c>
      <c r="T1129" s="22">
        <v>0</v>
      </c>
      <c r="U1129" s="39">
        <v>0.7</v>
      </c>
      <c r="V1129" s="22">
        <v>0</v>
      </c>
      <c r="W1129" s="22">
        <v>1</v>
      </c>
      <c r="X1129" s="40">
        <v>29</v>
      </c>
      <c r="Y1129" s="22">
        <v>1</v>
      </c>
      <c r="Z1129" s="22">
        <v>0</v>
      </c>
      <c r="AA1129" s="22" t="s">
        <v>199</v>
      </c>
      <c r="AB1129" s="22" t="s">
        <v>220</v>
      </c>
      <c r="AC1129" s="42">
        <f>IFERROR(LOOKUP(M1129,打分卡!$F$7:$J$7,打分卡!$K$7:$O$7),1)</f>
        <v>1</v>
      </c>
      <c r="AD1129" s="42">
        <f>IFERROR(LOOKUP(S1129,打分卡!$F$8:$J$8,打分卡!$K$8:$O$8),1)</f>
        <v>1</v>
      </c>
      <c r="AE1129" s="42">
        <f>IFERROR(LOOKUP(T1129,打分卡!$F$9:$I$9,打分卡!$K$9:$N$9),1)</f>
        <v>1</v>
      </c>
      <c r="AF1129" s="42">
        <f>IFERROR(LOOKUP(Q1129,打分卡!$F$10:$J$10,打分卡!$K$10:$O$10),1)</f>
        <v>1</v>
      </c>
      <c r="AG1129" s="42">
        <f>IFERROR(LOOKUP(R1129,打分卡!$F$11:$J$11,打分卡!$K$11:$O$11),1)</f>
        <v>1</v>
      </c>
      <c r="AH1129" s="42">
        <f>IFERROR(LOOKUP(U1129,打分卡!$F$12:$J$12,打分卡!$K$12:$O$12),1)</f>
        <v>1</v>
      </c>
      <c r="AI1129" s="42">
        <f>IFERROR(LOOKUP(X1129,打分卡!$F$13:$J$13,打分卡!$K$13:$O$13),1)</f>
        <v>2</v>
      </c>
      <c r="AJ1129" s="42">
        <f>IFERROR(LOOKUP(Y1129,打分卡!$F$14:$J$14,打分卡!$K$14:$O$14),1)</f>
        <v>2</v>
      </c>
      <c r="AK1129" s="42">
        <f>IFERROR(LOOKUP(W1129,打分卡!$F$15:$J$15,打分卡!$K$15:$O$15),1)</f>
        <v>2</v>
      </c>
      <c r="AL1129" s="45">
        <f t="shared" si="137"/>
        <v>5</v>
      </c>
      <c r="AM1129" s="42">
        <f>IFERROR(LOOKUP(Z1129,打分卡!$F$17:$H$17,打分卡!$K$17:$M$17),1)</f>
        <v>1</v>
      </c>
      <c r="AN1129" s="46">
        <f>(打分卡!$D$7*AC1129+打分卡!$D$8*AD1129+打分卡!$D$9*AE1129)/5</f>
        <v>8</v>
      </c>
      <c r="AO1129" s="46">
        <f>(打分卡!$D$10*AF1129+打分卡!$D$11*AG1129)/5</f>
        <v>4</v>
      </c>
      <c r="AP1129" s="46">
        <f>(打分卡!$D$12*AH1129+打分卡!$D$13*AI1129+打分卡!$D$14*AJ1129+打分卡!$D$15*AK1129)/5</f>
        <v>9.6</v>
      </c>
      <c r="AQ1129" s="46">
        <f>(打分卡!$D$16*AL1129+打分卡!$D$17*AM1129)/5</f>
        <v>6.8</v>
      </c>
      <c r="AR1129" s="48">
        <f t="shared" si="138"/>
        <v>33.2</v>
      </c>
      <c r="AS1129" s="45" t="str">
        <f t="shared" si="139"/>
        <v>基础长尾</v>
      </c>
      <c r="AT1129" s="45" t="str">
        <f t="shared" si="140"/>
        <v/>
      </c>
      <c r="AU1129" s="45" t="str">
        <f t="shared" si="141"/>
        <v>激活：企微+Push低成本先跑</v>
      </c>
    </row>
    <row r="1130" ht="15" customHeight="1" spans="1:47">
      <c r="A1130" s="30" t="s">
        <v>3042</v>
      </c>
      <c r="B1130" s="31" t="s">
        <v>3043</v>
      </c>
      <c r="C1130" s="31" t="s">
        <v>218</v>
      </c>
      <c r="D1130" s="31" t="s">
        <v>180</v>
      </c>
      <c r="E1130" s="31" t="s">
        <v>181</v>
      </c>
      <c r="F1130" s="30" t="s">
        <v>931</v>
      </c>
      <c r="G1130" s="31">
        <v>3</v>
      </c>
      <c r="H1130" s="31" t="s">
        <v>642</v>
      </c>
      <c r="I1130" s="31" t="s">
        <v>302</v>
      </c>
      <c r="J1130" s="33">
        <v>1100</v>
      </c>
      <c r="K1130" s="33">
        <v>700</v>
      </c>
      <c r="L1130" s="33">
        <v>300</v>
      </c>
      <c r="M1130" s="33">
        <f t="shared" si="136"/>
        <v>2100</v>
      </c>
      <c r="N1130" s="34">
        <f t="shared" si="142"/>
        <v>1.10095437015973e-5</v>
      </c>
      <c r="O1130" s="35">
        <f>SUM($M$2:M1130)</f>
        <v>190468500</v>
      </c>
      <c r="P1130" s="34">
        <f t="shared" si="143"/>
        <v>0.998557749775091</v>
      </c>
      <c r="Q1130" s="37">
        <v>0.1</v>
      </c>
      <c r="R1130" s="31">
        <v>1</v>
      </c>
      <c r="S1130" s="31">
        <v>1</v>
      </c>
      <c r="T1130" s="31">
        <v>0</v>
      </c>
      <c r="U1130" s="37">
        <v>2</v>
      </c>
      <c r="V1130" s="31">
        <v>1</v>
      </c>
      <c r="W1130" s="31">
        <v>0</v>
      </c>
      <c r="X1130" s="38">
        <v>19</v>
      </c>
      <c r="Y1130" s="31">
        <v>0</v>
      </c>
      <c r="Z1130" s="31">
        <v>0</v>
      </c>
      <c r="AA1130" s="31" t="s">
        <v>199</v>
      </c>
      <c r="AB1130" s="31" t="s">
        <v>220</v>
      </c>
      <c r="AC1130" s="41">
        <f>IFERROR(LOOKUP(M1130,打分卡!$F$7:$J$7,打分卡!$K$7:$O$7),1)</f>
        <v>1</v>
      </c>
      <c r="AD1130" s="41">
        <f>IFERROR(LOOKUP(S1130,打分卡!$F$8:$J$8,打分卡!$K$8:$O$8),1)</f>
        <v>1</v>
      </c>
      <c r="AE1130" s="41">
        <f>IFERROR(LOOKUP(T1130,打分卡!$F$9:$I$9,打分卡!$K$9:$N$9),1)</f>
        <v>1</v>
      </c>
      <c r="AF1130" s="41">
        <f>IFERROR(LOOKUP(Q1130,打分卡!$F$10:$J$10,打分卡!$K$10:$O$10),1)</f>
        <v>1</v>
      </c>
      <c r="AG1130" s="41">
        <f>IFERROR(LOOKUP(R1130,打分卡!$F$11:$J$11,打分卡!$K$11:$O$11),1)</f>
        <v>1</v>
      </c>
      <c r="AH1130" s="41">
        <f>IFERROR(LOOKUP(U1130,打分卡!$F$12:$J$12,打分卡!$K$12:$O$12),1)</f>
        <v>1</v>
      </c>
      <c r="AI1130" s="41">
        <f>IFERROR(LOOKUP(X1130,打分卡!$F$13:$J$13,打分卡!$K$13:$O$13),1)</f>
        <v>2</v>
      </c>
      <c r="AJ1130" s="41">
        <f>IFERROR(LOOKUP(Y1130,打分卡!$F$14:$J$14,打分卡!$K$14:$O$14),1)</f>
        <v>1</v>
      </c>
      <c r="AK1130" s="41">
        <f>IFERROR(LOOKUP(W1130,打分卡!$F$15:$J$15,打分卡!$K$15:$O$15),1)</f>
        <v>1</v>
      </c>
      <c r="AL1130" s="43">
        <f t="shared" si="137"/>
        <v>5</v>
      </c>
      <c r="AM1130" s="41">
        <f>IFERROR(LOOKUP(Z1130,打分卡!$F$17:$H$17,打分卡!$K$17:$M$17),1)</f>
        <v>1</v>
      </c>
      <c r="AN1130" s="44">
        <f>(打分卡!$D$7*AC1130+打分卡!$D$8*AD1130+打分卡!$D$9*AE1130)/5</f>
        <v>8</v>
      </c>
      <c r="AO1130" s="44">
        <f>(打分卡!$D$10*AF1130+打分卡!$D$11*AG1130)/5</f>
        <v>4</v>
      </c>
      <c r="AP1130" s="44">
        <f>(打分卡!$D$12*AH1130+打分卡!$D$13*AI1130+打分卡!$D$14*AJ1130+打分卡!$D$15*AK1130)/5</f>
        <v>7.6</v>
      </c>
      <c r="AQ1130" s="44">
        <f>(打分卡!$D$16*AL1130+打分卡!$D$17*AM1130)/5</f>
        <v>6.8</v>
      </c>
      <c r="AR1130" s="47">
        <f t="shared" si="138"/>
        <v>26.4</v>
      </c>
      <c r="AS1130" s="43" t="str">
        <f t="shared" si="139"/>
        <v>基础长尾</v>
      </c>
      <c r="AT1130" s="43" t="str">
        <f t="shared" si="140"/>
        <v/>
      </c>
      <c r="AU1130" s="43" t="str">
        <f t="shared" si="141"/>
        <v>激活：企微+Push低成本先跑</v>
      </c>
    </row>
    <row r="1131" ht="15" customHeight="1" spans="1:47">
      <c r="A1131" s="20" t="s">
        <v>3044</v>
      </c>
      <c r="B1131" s="22" t="s">
        <v>3045</v>
      </c>
      <c r="C1131" s="22" t="s">
        <v>179</v>
      </c>
      <c r="D1131" s="22" t="s">
        <v>202</v>
      </c>
      <c r="E1131" s="22" t="s">
        <v>197</v>
      </c>
      <c r="F1131" s="20" t="s">
        <v>2806</v>
      </c>
      <c r="G1131" s="22">
        <v>3</v>
      </c>
      <c r="H1131" s="22" t="s">
        <v>642</v>
      </c>
      <c r="I1131" s="22" t="s">
        <v>302</v>
      </c>
      <c r="J1131" s="36">
        <v>1400</v>
      </c>
      <c r="K1131" s="36">
        <v>700</v>
      </c>
      <c r="L1131" s="36">
        <v>100</v>
      </c>
      <c r="M1131" s="36">
        <f t="shared" si="136"/>
        <v>2200</v>
      </c>
      <c r="N1131" s="34">
        <f t="shared" si="142"/>
        <v>1.15338076873877e-5</v>
      </c>
      <c r="O1131" s="35">
        <f>SUM($M$2:M1131)</f>
        <v>190470700</v>
      </c>
      <c r="P1131" s="34">
        <f t="shared" si="143"/>
        <v>0.998569283582778</v>
      </c>
      <c r="Q1131" s="39">
        <v>0.3</v>
      </c>
      <c r="R1131" s="22">
        <v>2</v>
      </c>
      <c r="S1131" s="22">
        <v>0</v>
      </c>
      <c r="T1131" s="22">
        <v>0</v>
      </c>
      <c r="U1131" s="39">
        <v>40</v>
      </c>
      <c r="V1131" s="22">
        <v>2</v>
      </c>
      <c r="W1131" s="22">
        <v>0</v>
      </c>
      <c r="X1131" s="40">
        <v>37</v>
      </c>
      <c r="Y1131" s="22">
        <v>0</v>
      </c>
      <c r="Z1131" s="22">
        <v>0</v>
      </c>
      <c r="AA1131" s="22" t="s">
        <v>199</v>
      </c>
      <c r="AB1131" s="22" t="s">
        <v>220</v>
      </c>
      <c r="AC1131" s="42">
        <f>IFERROR(LOOKUP(M1131,打分卡!$F$7:$J$7,打分卡!$K$7:$O$7),1)</f>
        <v>1</v>
      </c>
      <c r="AD1131" s="42">
        <f>IFERROR(LOOKUP(S1131,打分卡!$F$8:$J$8,打分卡!$K$8:$O$8),1)</f>
        <v>1</v>
      </c>
      <c r="AE1131" s="42">
        <f>IFERROR(LOOKUP(T1131,打分卡!$F$9:$I$9,打分卡!$K$9:$N$9),1)</f>
        <v>1</v>
      </c>
      <c r="AF1131" s="42">
        <f>IFERROR(LOOKUP(Q1131,打分卡!$F$10:$J$10,打分卡!$K$10:$O$10),1)</f>
        <v>1</v>
      </c>
      <c r="AG1131" s="42">
        <f>IFERROR(LOOKUP(R1131,打分卡!$F$11:$J$11,打分卡!$K$11:$O$11),1)</f>
        <v>1</v>
      </c>
      <c r="AH1131" s="42">
        <f>IFERROR(LOOKUP(U1131,打分卡!$F$12:$J$12,打分卡!$K$12:$O$12),1)</f>
        <v>4</v>
      </c>
      <c r="AI1131" s="42">
        <f>IFERROR(LOOKUP(X1131,打分卡!$F$13:$J$13,打分卡!$K$13:$O$13),1)</f>
        <v>2</v>
      </c>
      <c r="AJ1131" s="42">
        <f>IFERROR(LOOKUP(Y1131,打分卡!$F$14:$J$14,打分卡!$K$14:$O$14),1)</f>
        <v>1</v>
      </c>
      <c r="AK1131" s="42">
        <f>IFERROR(LOOKUP(W1131,打分卡!$F$15:$J$15,打分卡!$K$15:$O$15),1)</f>
        <v>1</v>
      </c>
      <c r="AL1131" s="45">
        <f t="shared" si="137"/>
        <v>5</v>
      </c>
      <c r="AM1131" s="42">
        <f>IFERROR(LOOKUP(Z1131,打分卡!$F$17:$H$17,打分卡!$K$17:$M$17),1)</f>
        <v>1</v>
      </c>
      <c r="AN1131" s="46">
        <f>(打分卡!$D$7*AC1131+打分卡!$D$8*AD1131+打分卡!$D$9*AE1131)/5</f>
        <v>8</v>
      </c>
      <c r="AO1131" s="46">
        <f>(打分卡!$D$10*AF1131+打分卡!$D$11*AG1131)/5</f>
        <v>4</v>
      </c>
      <c r="AP1131" s="46">
        <f>(打分卡!$D$12*AH1131+打分卡!$D$13*AI1131+打分卡!$D$14*AJ1131+打分卡!$D$15*AK1131)/5</f>
        <v>14.8</v>
      </c>
      <c r="AQ1131" s="46">
        <f>(打分卡!$D$16*AL1131+打分卡!$D$17*AM1131)/5</f>
        <v>6.8</v>
      </c>
      <c r="AR1131" s="48">
        <f t="shared" si="138"/>
        <v>33.6</v>
      </c>
      <c r="AS1131" s="45" t="str">
        <f t="shared" si="139"/>
        <v>基础长尾</v>
      </c>
      <c r="AT1131" s="45" t="str">
        <f t="shared" si="140"/>
        <v/>
      </c>
      <c r="AU1131" s="45" t="str">
        <f t="shared" si="141"/>
        <v>激活：企微+Push低成本先跑</v>
      </c>
    </row>
    <row r="1132" ht="15" customHeight="1" spans="1:47">
      <c r="A1132" s="30" t="s">
        <v>3046</v>
      </c>
      <c r="B1132" s="31" t="s">
        <v>3047</v>
      </c>
      <c r="C1132" s="31" t="s">
        <v>234</v>
      </c>
      <c r="D1132" s="31" t="s">
        <v>196</v>
      </c>
      <c r="E1132" s="31" t="s">
        <v>181</v>
      </c>
      <c r="F1132" s="30" t="s">
        <v>1345</v>
      </c>
      <c r="G1132" s="31">
        <v>3</v>
      </c>
      <c r="H1132" s="31" t="s">
        <v>642</v>
      </c>
      <c r="I1132" s="31" t="s">
        <v>302</v>
      </c>
      <c r="J1132" s="33">
        <v>1300</v>
      </c>
      <c r="K1132" s="33">
        <v>800</v>
      </c>
      <c r="L1132" s="33">
        <v>100</v>
      </c>
      <c r="M1132" s="33">
        <f t="shared" si="136"/>
        <v>2200</v>
      </c>
      <c r="N1132" s="34">
        <f t="shared" si="142"/>
        <v>1.15338076873877e-5</v>
      </c>
      <c r="O1132" s="35">
        <f>SUM($M$2:M1132)</f>
        <v>190472900</v>
      </c>
      <c r="P1132" s="34">
        <f t="shared" si="143"/>
        <v>0.998580817390466</v>
      </c>
      <c r="Q1132" s="37">
        <v>0.3</v>
      </c>
      <c r="R1132" s="31">
        <v>1</v>
      </c>
      <c r="S1132" s="31">
        <v>0</v>
      </c>
      <c r="T1132" s="31">
        <v>0</v>
      </c>
      <c r="U1132" s="37">
        <v>8.4</v>
      </c>
      <c r="V1132" s="31">
        <v>2</v>
      </c>
      <c r="W1132" s="31">
        <v>0</v>
      </c>
      <c r="X1132" s="38">
        <v>21</v>
      </c>
      <c r="Y1132" s="31">
        <v>0</v>
      </c>
      <c r="Z1132" s="31">
        <v>0</v>
      </c>
      <c r="AA1132" s="31" t="s">
        <v>199</v>
      </c>
      <c r="AB1132" s="31" t="s">
        <v>220</v>
      </c>
      <c r="AC1132" s="41">
        <f>IFERROR(LOOKUP(M1132,打分卡!$F$7:$J$7,打分卡!$K$7:$O$7),1)</f>
        <v>1</v>
      </c>
      <c r="AD1132" s="41">
        <f>IFERROR(LOOKUP(S1132,打分卡!$F$8:$J$8,打分卡!$K$8:$O$8),1)</f>
        <v>1</v>
      </c>
      <c r="AE1132" s="41">
        <f>IFERROR(LOOKUP(T1132,打分卡!$F$9:$I$9,打分卡!$K$9:$N$9),1)</f>
        <v>1</v>
      </c>
      <c r="AF1132" s="41">
        <f>IFERROR(LOOKUP(Q1132,打分卡!$F$10:$J$10,打分卡!$K$10:$O$10),1)</f>
        <v>1</v>
      </c>
      <c r="AG1132" s="41">
        <f>IFERROR(LOOKUP(R1132,打分卡!$F$11:$J$11,打分卡!$K$11:$O$11),1)</f>
        <v>1</v>
      </c>
      <c r="AH1132" s="41">
        <f>IFERROR(LOOKUP(U1132,打分卡!$F$12:$J$12,打分卡!$K$12:$O$12),1)</f>
        <v>2</v>
      </c>
      <c r="AI1132" s="41">
        <f>IFERROR(LOOKUP(X1132,打分卡!$F$13:$J$13,打分卡!$K$13:$O$13),1)</f>
        <v>2</v>
      </c>
      <c r="AJ1132" s="41">
        <f>IFERROR(LOOKUP(Y1132,打分卡!$F$14:$J$14,打分卡!$K$14:$O$14),1)</f>
        <v>1</v>
      </c>
      <c r="AK1132" s="41">
        <f>IFERROR(LOOKUP(W1132,打分卡!$F$15:$J$15,打分卡!$K$15:$O$15),1)</f>
        <v>1</v>
      </c>
      <c r="AL1132" s="43">
        <f t="shared" si="137"/>
        <v>5</v>
      </c>
      <c r="AM1132" s="41">
        <f>IFERROR(LOOKUP(Z1132,打分卡!$F$17:$H$17,打分卡!$K$17:$M$17),1)</f>
        <v>1</v>
      </c>
      <c r="AN1132" s="44">
        <f>(打分卡!$D$7*AC1132+打分卡!$D$8*AD1132+打分卡!$D$9*AE1132)/5</f>
        <v>8</v>
      </c>
      <c r="AO1132" s="44">
        <f>(打分卡!$D$10*AF1132+打分卡!$D$11*AG1132)/5</f>
        <v>4</v>
      </c>
      <c r="AP1132" s="44">
        <f>(打分卡!$D$12*AH1132+打分卡!$D$13*AI1132+打分卡!$D$14*AJ1132+打分卡!$D$15*AK1132)/5</f>
        <v>10</v>
      </c>
      <c r="AQ1132" s="44">
        <f>(打分卡!$D$16*AL1132+打分卡!$D$17*AM1132)/5</f>
        <v>6.8</v>
      </c>
      <c r="AR1132" s="47">
        <f t="shared" si="138"/>
        <v>28.8</v>
      </c>
      <c r="AS1132" s="43" t="str">
        <f t="shared" si="139"/>
        <v>基础长尾</v>
      </c>
      <c r="AT1132" s="43" t="str">
        <f t="shared" si="140"/>
        <v/>
      </c>
      <c r="AU1132" s="43" t="str">
        <f t="shared" si="141"/>
        <v>激活：企微+Push低成本先跑</v>
      </c>
    </row>
    <row r="1133" ht="15" customHeight="1" spans="1:47">
      <c r="A1133" s="20" t="s">
        <v>3048</v>
      </c>
      <c r="B1133" s="22" t="s">
        <v>3049</v>
      </c>
      <c r="C1133" s="22" t="s">
        <v>179</v>
      </c>
      <c r="D1133" s="22" t="s">
        <v>202</v>
      </c>
      <c r="E1133" s="22" t="s">
        <v>181</v>
      </c>
      <c r="F1133" s="20" t="s">
        <v>641</v>
      </c>
      <c r="G1133" s="22">
        <v>3</v>
      </c>
      <c r="H1133" s="22" t="s">
        <v>642</v>
      </c>
      <c r="I1133" s="22" t="s">
        <v>302</v>
      </c>
      <c r="J1133" s="36">
        <v>1300</v>
      </c>
      <c r="K1133" s="36">
        <v>700</v>
      </c>
      <c r="L1133" s="36">
        <v>100</v>
      </c>
      <c r="M1133" s="36">
        <f t="shared" si="136"/>
        <v>2100</v>
      </c>
      <c r="N1133" s="34">
        <f t="shared" si="142"/>
        <v>1.10095437015973e-5</v>
      </c>
      <c r="O1133" s="35">
        <f>SUM($M$2:M1133)</f>
        <v>190475000</v>
      </c>
      <c r="P1133" s="34">
        <f t="shared" si="143"/>
        <v>0.998591826934167</v>
      </c>
      <c r="Q1133" s="39">
        <v>0.3</v>
      </c>
      <c r="R1133" s="22">
        <v>3</v>
      </c>
      <c r="S1133" s="22">
        <v>0</v>
      </c>
      <c r="T1133" s="22">
        <v>0</v>
      </c>
      <c r="U1133" s="39">
        <v>10</v>
      </c>
      <c r="V1133" s="22">
        <v>9</v>
      </c>
      <c r="W1133" s="22">
        <v>1</v>
      </c>
      <c r="X1133" s="40">
        <v>12</v>
      </c>
      <c r="Y1133" s="22">
        <v>1</v>
      </c>
      <c r="Z1133" s="22">
        <v>0</v>
      </c>
      <c r="AA1133" s="22" t="s">
        <v>199</v>
      </c>
      <c r="AB1133" s="22" t="s">
        <v>220</v>
      </c>
      <c r="AC1133" s="42">
        <f>IFERROR(LOOKUP(M1133,打分卡!$F$7:$J$7,打分卡!$K$7:$O$7),1)</f>
        <v>1</v>
      </c>
      <c r="AD1133" s="42">
        <f>IFERROR(LOOKUP(S1133,打分卡!$F$8:$J$8,打分卡!$K$8:$O$8),1)</f>
        <v>1</v>
      </c>
      <c r="AE1133" s="42">
        <f>IFERROR(LOOKUP(T1133,打分卡!$F$9:$I$9,打分卡!$K$9:$N$9),1)</f>
        <v>1</v>
      </c>
      <c r="AF1133" s="42">
        <f>IFERROR(LOOKUP(Q1133,打分卡!$F$10:$J$10,打分卡!$K$10:$O$10),1)</f>
        <v>1</v>
      </c>
      <c r="AG1133" s="42">
        <f>IFERROR(LOOKUP(R1133,打分卡!$F$11:$J$11,打分卡!$K$11:$O$11),1)</f>
        <v>2</v>
      </c>
      <c r="AH1133" s="42">
        <f>IFERROR(LOOKUP(U1133,打分卡!$F$12:$J$12,打分卡!$K$12:$O$12),1)</f>
        <v>2</v>
      </c>
      <c r="AI1133" s="42">
        <f>IFERROR(LOOKUP(X1133,打分卡!$F$13:$J$13,打分卡!$K$13:$O$13),1)</f>
        <v>1</v>
      </c>
      <c r="AJ1133" s="42">
        <f>IFERROR(LOOKUP(Y1133,打分卡!$F$14:$J$14,打分卡!$K$14:$O$14),1)</f>
        <v>2</v>
      </c>
      <c r="AK1133" s="42">
        <f>IFERROR(LOOKUP(W1133,打分卡!$F$15:$J$15,打分卡!$K$15:$O$15),1)</f>
        <v>2</v>
      </c>
      <c r="AL1133" s="45">
        <f t="shared" si="137"/>
        <v>5</v>
      </c>
      <c r="AM1133" s="42">
        <f>IFERROR(LOOKUP(Z1133,打分卡!$F$17:$H$17,打分卡!$K$17:$M$17),1)</f>
        <v>1</v>
      </c>
      <c r="AN1133" s="46">
        <f>(打分卡!$D$7*AC1133+打分卡!$D$8*AD1133+打分卡!$D$9*AE1133)/5</f>
        <v>8</v>
      </c>
      <c r="AO1133" s="46">
        <f>(打分卡!$D$10*AF1133+打分卡!$D$11*AG1133)/5</f>
        <v>6</v>
      </c>
      <c r="AP1133" s="46">
        <f>(打分卡!$D$12*AH1133+打分卡!$D$13*AI1133+打分卡!$D$14*AJ1133+打分卡!$D$15*AK1133)/5</f>
        <v>10.4</v>
      </c>
      <c r="AQ1133" s="46">
        <f>(打分卡!$D$16*AL1133+打分卡!$D$17*AM1133)/5</f>
        <v>6.8</v>
      </c>
      <c r="AR1133" s="48">
        <f t="shared" si="138"/>
        <v>31.2</v>
      </c>
      <c r="AS1133" s="45" t="str">
        <f t="shared" si="139"/>
        <v>基础长尾</v>
      </c>
      <c r="AT1133" s="45" t="str">
        <f t="shared" si="140"/>
        <v/>
      </c>
      <c r="AU1133" s="45" t="str">
        <f t="shared" si="141"/>
        <v>激活：企微+Push低成本先跑</v>
      </c>
    </row>
    <row r="1134" ht="15" customHeight="1" spans="1:47">
      <c r="A1134" s="30" t="s">
        <v>3050</v>
      </c>
      <c r="B1134" s="31" t="s">
        <v>3051</v>
      </c>
      <c r="C1134" s="31" t="s">
        <v>179</v>
      </c>
      <c r="D1134" s="31" t="s">
        <v>196</v>
      </c>
      <c r="E1134" s="31" t="s">
        <v>181</v>
      </c>
      <c r="F1134" s="30" t="s">
        <v>705</v>
      </c>
      <c r="G1134" s="31">
        <v>3</v>
      </c>
      <c r="H1134" s="31" t="s">
        <v>642</v>
      </c>
      <c r="I1134" s="31" t="s">
        <v>302</v>
      </c>
      <c r="J1134" s="33">
        <v>1000</v>
      </c>
      <c r="K1134" s="33">
        <v>700</v>
      </c>
      <c r="L1134" s="33">
        <v>400</v>
      </c>
      <c r="M1134" s="33">
        <f t="shared" si="136"/>
        <v>2100</v>
      </c>
      <c r="N1134" s="34">
        <f t="shared" si="142"/>
        <v>1.10095437015973e-5</v>
      </c>
      <c r="O1134" s="35">
        <f>SUM($M$2:M1134)</f>
        <v>190477100</v>
      </c>
      <c r="P1134" s="34">
        <f t="shared" si="143"/>
        <v>0.998602836477869</v>
      </c>
      <c r="Q1134" s="37">
        <v>0.2</v>
      </c>
      <c r="R1134" s="31">
        <v>2</v>
      </c>
      <c r="S1134" s="31">
        <v>0</v>
      </c>
      <c r="T1134" s="31">
        <v>0</v>
      </c>
      <c r="U1134" s="37">
        <v>3.1</v>
      </c>
      <c r="V1134" s="31">
        <v>8</v>
      </c>
      <c r="W1134" s="31">
        <v>0</v>
      </c>
      <c r="X1134" s="38">
        <v>64</v>
      </c>
      <c r="Y1134" s="31">
        <v>0</v>
      </c>
      <c r="Z1134" s="31">
        <v>0</v>
      </c>
      <c r="AA1134" s="31" t="s">
        <v>199</v>
      </c>
      <c r="AB1134" s="31" t="s">
        <v>220</v>
      </c>
      <c r="AC1134" s="41">
        <f>IFERROR(LOOKUP(M1134,打分卡!$F$7:$J$7,打分卡!$K$7:$O$7),1)</f>
        <v>1</v>
      </c>
      <c r="AD1134" s="41">
        <f>IFERROR(LOOKUP(S1134,打分卡!$F$8:$J$8,打分卡!$K$8:$O$8),1)</f>
        <v>1</v>
      </c>
      <c r="AE1134" s="41">
        <f>IFERROR(LOOKUP(T1134,打分卡!$F$9:$I$9,打分卡!$K$9:$N$9),1)</f>
        <v>1</v>
      </c>
      <c r="AF1134" s="41">
        <f>IFERROR(LOOKUP(Q1134,打分卡!$F$10:$J$10,打分卡!$K$10:$O$10),1)</f>
        <v>1</v>
      </c>
      <c r="AG1134" s="41">
        <f>IFERROR(LOOKUP(R1134,打分卡!$F$11:$J$11,打分卡!$K$11:$O$11),1)</f>
        <v>1</v>
      </c>
      <c r="AH1134" s="41">
        <f>IFERROR(LOOKUP(U1134,打分卡!$F$12:$J$12,打分卡!$K$12:$O$12),1)</f>
        <v>2</v>
      </c>
      <c r="AI1134" s="41">
        <f>IFERROR(LOOKUP(X1134,打分卡!$F$13:$J$13,打分卡!$K$13:$O$13),1)</f>
        <v>3</v>
      </c>
      <c r="AJ1134" s="41">
        <f>IFERROR(LOOKUP(Y1134,打分卡!$F$14:$J$14,打分卡!$K$14:$O$14),1)</f>
        <v>1</v>
      </c>
      <c r="AK1134" s="41">
        <f>IFERROR(LOOKUP(W1134,打分卡!$F$15:$J$15,打分卡!$K$15:$O$15),1)</f>
        <v>1</v>
      </c>
      <c r="AL1134" s="43">
        <f t="shared" si="137"/>
        <v>5</v>
      </c>
      <c r="AM1134" s="41">
        <f>IFERROR(LOOKUP(Z1134,打分卡!$F$17:$H$17,打分卡!$K$17:$M$17),1)</f>
        <v>1</v>
      </c>
      <c r="AN1134" s="44">
        <f>(打分卡!$D$7*AC1134+打分卡!$D$8*AD1134+打分卡!$D$9*AE1134)/5</f>
        <v>8</v>
      </c>
      <c r="AO1134" s="44">
        <f>(打分卡!$D$10*AF1134+打分卡!$D$11*AG1134)/5</f>
        <v>4</v>
      </c>
      <c r="AP1134" s="44">
        <f>(打分卡!$D$12*AH1134+打分卡!$D$13*AI1134+打分卡!$D$14*AJ1134+打分卡!$D$15*AK1134)/5</f>
        <v>11.6</v>
      </c>
      <c r="AQ1134" s="44">
        <f>(打分卡!$D$16*AL1134+打分卡!$D$17*AM1134)/5</f>
        <v>6.8</v>
      </c>
      <c r="AR1134" s="47">
        <f t="shared" si="138"/>
        <v>30.4</v>
      </c>
      <c r="AS1134" s="43" t="str">
        <f t="shared" si="139"/>
        <v>基础长尾</v>
      </c>
      <c r="AT1134" s="43" t="str">
        <f t="shared" si="140"/>
        <v/>
      </c>
      <c r="AU1134" s="43" t="str">
        <f t="shared" si="141"/>
        <v>激活：企微+Push低成本先跑</v>
      </c>
    </row>
    <row r="1135" ht="15" customHeight="1" spans="1:47">
      <c r="A1135" s="20" t="s">
        <v>3052</v>
      </c>
      <c r="B1135" s="22" t="s">
        <v>3053</v>
      </c>
      <c r="C1135" s="22" t="s">
        <v>195</v>
      </c>
      <c r="D1135" s="22" t="s">
        <v>190</v>
      </c>
      <c r="E1135" s="22" t="s">
        <v>181</v>
      </c>
      <c r="F1135" s="20" t="s">
        <v>931</v>
      </c>
      <c r="G1135" s="22">
        <v>3</v>
      </c>
      <c r="H1135" s="22" t="s">
        <v>642</v>
      </c>
      <c r="I1135" s="22" t="s">
        <v>302</v>
      </c>
      <c r="J1135" s="36">
        <v>1200</v>
      </c>
      <c r="K1135" s="36">
        <v>600</v>
      </c>
      <c r="L1135" s="36">
        <v>300</v>
      </c>
      <c r="M1135" s="36">
        <f t="shared" si="136"/>
        <v>2100</v>
      </c>
      <c r="N1135" s="34">
        <f t="shared" si="142"/>
        <v>1.10095437015973e-5</v>
      </c>
      <c r="O1135" s="35">
        <f>SUM($M$2:M1135)</f>
        <v>190479200</v>
      </c>
      <c r="P1135" s="34">
        <f t="shared" si="143"/>
        <v>0.99861384602157</v>
      </c>
      <c r="Q1135" s="39">
        <v>0.3</v>
      </c>
      <c r="R1135" s="22">
        <v>2</v>
      </c>
      <c r="S1135" s="22">
        <v>1</v>
      </c>
      <c r="T1135" s="22">
        <v>0</v>
      </c>
      <c r="U1135" s="39">
        <v>9.7</v>
      </c>
      <c r="V1135" s="22">
        <v>14</v>
      </c>
      <c r="W1135" s="22">
        <v>0</v>
      </c>
      <c r="X1135" s="40">
        <v>80</v>
      </c>
      <c r="Y1135" s="22">
        <v>1</v>
      </c>
      <c r="Z1135" s="22">
        <v>0</v>
      </c>
      <c r="AA1135" s="22" t="s">
        <v>199</v>
      </c>
      <c r="AB1135" s="22" t="s">
        <v>220</v>
      </c>
      <c r="AC1135" s="42">
        <f>IFERROR(LOOKUP(M1135,打分卡!$F$7:$J$7,打分卡!$K$7:$O$7),1)</f>
        <v>1</v>
      </c>
      <c r="AD1135" s="42">
        <f>IFERROR(LOOKUP(S1135,打分卡!$F$8:$J$8,打分卡!$K$8:$O$8),1)</f>
        <v>1</v>
      </c>
      <c r="AE1135" s="42">
        <f>IFERROR(LOOKUP(T1135,打分卡!$F$9:$I$9,打分卡!$K$9:$N$9),1)</f>
        <v>1</v>
      </c>
      <c r="AF1135" s="42">
        <f>IFERROR(LOOKUP(Q1135,打分卡!$F$10:$J$10,打分卡!$K$10:$O$10),1)</f>
        <v>1</v>
      </c>
      <c r="AG1135" s="42">
        <f>IFERROR(LOOKUP(R1135,打分卡!$F$11:$J$11,打分卡!$K$11:$O$11),1)</f>
        <v>1</v>
      </c>
      <c r="AH1135" s="42">
        <f>IFERROR(LOOKUP(U1135,打分卡!$F$12:$J$12,打分卡!$K$12:$O$12),1)</f>
        <v>2</v>
      </c>
      <c r="AI1135" s="42">
        <f>IFERROR(LOOKUP(X1135,打分卡!$F$13:$J$13,打分卡!$K$13:$O$13),1)</f>
        <v>3</v>
      </c>
      <c r="AJ1135" s="42">
        <f>IFERROR(LOOKUP(Y1135,打分卡!$F$14:$J$14,打分卡!$K$14:$O$14),1)</f>
        <v>2</v>
      </c>
      <c r="AK1135" s="42">
        <f>IFERROR(LOOKUP(W1135,打分卡!$F$15:$J$15,打分卡!$K$15:$O$15),1)</f>
        <v>1</v>
      </c>
      <c r="AL1135" s="45">
        <f t="shared" si="137"/>
        <v>5</v>
      </c>
      <c r="AM1135" s="42">
        <f>IFERROR(LOOKUP(Z1135,打分卡!$F$17:$H$17,打分卡!$K$17:$M$17),1)</f>
        <v>1</v>
      </c>
      <c r="AN1135" s="46">
        <f>(打分卡!$D$7*AC1135+打分卡!$D$8*AD1135+打分卡!$D$9*AE1135)/5</f>
        <v>8</v>
      </c>
      <c r="AO1135" s="46">
        <f>(打分卡!$D$10*AF1135+打分卡!$D$11*AG1135)/5</f>
        <v>4</v>
      </c>
      <c r="AP1135" s="46">
        <f>(打分卡!$D$12*AH1135+打分卡!$D$13*AI1135+打分卡!$D$14*AJ1135+打分卡!$D$15*AK1135)/5</f>
        <v>12.8</v>
      </c>
      <c r="AQ1135" s="46">
        <f>(打分卡!$D$16*AL1135+打分卡!$D$17*AM1135)/5</f>
        <v>6.8</v>
      </c>
      <c r="AR1135" s="48">
        <f t="shared" si="138"/>
        <v>31.6</v>
      </c>
      <c r="AS1135" s="45" t="str">
        <f t="shared" si="139"/>
        <v>基础长尾</v>
      </c>
      <c r="AT1135" s="45" t="str">
        <f t="shared" si="140"/>
        <v/>
      </c>
      <c r="AU1135" s="45" t="str">
        <f t="shared" si="141"/>
        <v>激活：企微+Push低成本先跑</v>
      </c>
    </row>
    <row r="1136" ht="15" customHeight="1" spans="1:47">
      <c r="A1136" s="30" t="s">
        <v>3054</v>
      </c>
      <c r="B1136" s="31" t="s">
        <v>3055</v>
      </c>
      <c r="C1136" s="31" t="s">
        <v>179</v>
      </c>
      <c r="D1136" s="31" t="s">
        <v>180</v>
      </c>
      <c r="E1136" s="31" t="s">
        <v>181</v>
      </c>
      <c r="F1136" s="30" t="s">
        <v>2967</v>
      </c>
      <c r="G1136" s="31">
        <v>1</v>
      </c>
      <c r="H1136" s="31" t="s">
        <v>642</v>
      </c>
      <c r="I1136" s="31" t="s">
        <v>302</v>
      </c>
      <c r="J1136" s="33">
        <v>1300</v>
      </c>
      <c r="K1136" s="33">
        <v>700</v>
      </c>
      <c r="L1136" s="33">
        <v>100</v>
      </c>
      <c r="M1136" s="33">
        <f t="shared" si="136"/>
        <v>2100</v>
      </c>
      <c r="N1136" s="34">
        <f t="shared" si="142"/>
        <v>1.10095437015973e-5</v>
      </c>
      <c r="O1136" s="35">
        <f>SUM($M$2:M1136)</f>
        <v>190481300</v>
      </c>
      <c r="P1136" s="34">
        <f t="shared" si="143"/>
        <v>0.998624855565272</v>
      </c>
      <c r="Q1136" s="37">
        <v>0.3</v>
      </c>
      <c r="R1136" s="31">
        <v>1</v>
      </c>
      <c r="S1136" s="31">
        <v>1</v>
      </c>
      <c r="T1136" s="31">
        <v>0</v>
      </c>
      <c r="U1136" s="37">
        <v>41.1</v>
      </c>
      <c r="V1136" s="31">
        <v>7</v>
      </c>
      <c r="W1136" s="31">
        <v>0</v>
      </c>
      <c r="X1136" s="38">
        <v>45</v>
      </c>
      <c r="Y1136" s="31">
        <v>0</v>
      </c>
      <c r="Z1136" s="31">
        <v>0</v>
      </c>
      <c r="AA1136" s="31" t="s">
        <v>199</v>
      </c>
      <c r="AB1136" s="31" t="s">
        <v>220</v>
      </c>
      <c r="AC1136" s="41">
        <f>IFERROR(LOOKUP(M1136,打分卡!$F$7:$J$7,打分卡!$K$7:$O$7),1)</f>
        <v>1</v>
      </c>
      <c r="AD1136" s="41">
        <f>IFERROR(LOOKUP(S1136,打分卡!$F$8:$J$8,打分卡!$K$8:$O$8),1)</f>
        <v>1</v>
      </c>
      <c r="AE1136" s="41">
        <f>IFERROR(LOOKUP(T1136,打分卡!$F$9:$I$9,打分卡!$K$9:$N$9),1)</f>
        <v>1</v>
      </c>
      <c r="AF1136" s="41">
        <f>IFERROR(LOOKUP(Q1136,打分卡!$F$10:$J$10,打分卡!$K$10:$O$10),1)</f>
        <v>1</v>
      </c>
      <c r="AG1136" s="41">
        <f>IFERROR(LOOKUP(R1136,打分卡!$F$11:$J$11,打分卡!$K$11:$O$11),1)</f>
        <v>1</v>
      </c>
      <c r="AH1136" s="41">
        <f>IFERROR(LOOKUP(U1136,打分卡!$F$12:$J$12,打分卡!$K$12:$O$12),1)</f>
        <v>4</v>
      </c>
      <c r="AI1136" s="41">
        <f>IFERROR(LOOKUP(X1136,打分卡!$F$13:$J$13,打分卡!$K$13:$O$13),1)</f>
        <v>3</v>
      </c>
      <c r="AJ1136" s="41">
        <f>IFERROR(LOOKUP(Y1136,打分卡!$F$14:$J$14,打分卡!$K$14:$O$14),1)</f>
        <v>1</v>
      </c>
      <c r="AK1136" s="41">
        <f>IFERROR(LOOKUP(W1136,打分卡!$F$15:$J$15,打分卡!$K$15:$O$15),1)</f>
        <v>1</v>
      </c>
      <c r="AL1136" s="43">
        <f t="shared" si="137"/>
        <v>5</v>
      </c>
      <c r="AM1136" s="41">
        <f>IFERROR(LOOKUP(Z1136,打分卡!$F$17:$H$17,打分卡!$K$17:$M$17),1)</f>
        <v>1</v>
      </c>
      <c r="AN1136" s="44">
        <f>(打分卡!$D$7*AC1136+打分卡!$D$8*AD1136+打分卡!$D$9*AE1136)/5</f>
        <v>8</v>
      </c>
      <c r="AO1136" s="44">
        <f>(打分卡!$D$10*AF1136+打分卡!$D$11*AG1136)/5</f>
        <v>4</v>
      </c>
      <c r="AP1136" s="44">
        <f>(打分卡!$D$12*AH1136+打分卡!$D$13*AI1136+打分卡!$D$14*AJ1136+打分卡!$D$15*AK1136)/5</f>
        <v>16.4</v>
      </c>
      <c r="AQ1136" s="44">
        <f>(打分卡!$D$16*AL1136+打分卡!$D$17*AM1136)/5</f>
        <v>6.8</v>
      </c>
      <c r="AR1136" s="47">
        <f t="shared" si="138"/>
        <v>49.0666666666667</v>
      </c>
      <c r="AS1136" s="43" t="str">
        <f t="shared" si="139"/>
        <v>腰部</v>
      </c>
      <c r="AT1136" s="43" t="str">
        <f t="shared" si="140"/>
        <v/>
      </c>
      <c r="AU1136" s="43" t="str">
        <f t="shared" si="141"/>
        <v>拉·主攻：主推AI外呼+大促作战包</v>
      </c>
    </row>
    <row r="1137" ht="15" customHeight="1" spans="1:47">
      <c r="A1137" s="20" t="s">
        <v>3056</v>
      </c>
      <c r="B1137" s="22" t="s">
        <v>3057</v>
      </c>
      <c r="C1137" s="22" t="s">
        <v>195</v>
      </c>
      <c r="D1137" s="22" t="s">
        <v>227</v>
      </c>
      <c r="E1137" s="22" t="s">
        <v>197</v>
      </c>
      <c r="F1137" s="20" t="s">
        <v>1647</v>
      </c>
      <c r="G1137" s="22">
        <v>3</v>
      </c>
      <c r="H1137" s="22" t="s">
        <v>642</v>
      </c>
      <c r="I1137" s="22" t="s">
        <v>302</v>
      </c>
      <c r="J1137" s="36">
        <v>1100</v>
      </c>
      <c r="K1137" s="36">
        <v>500</v>
      </c>
      <c r="L1137" s="36">
        <v>500</v>
      </c>
      <c r="M1137" s="36">
        <f t="shared" si="136"/>
        <v>2100</v>
      </c>
      <c r="N1137" s="34">
        <f t="shared" si="142"/>
        <v>1.10095437015973e-5</v>
      </c>
      <c r="O1137" s="35">
        <f>SUM($M$2:M1137)</f>
        <v>190483400</v>
      </c>
      <c r="P1137" s="34">
        <f t="shared" si="143"/>
        <v>0.998635865108974</v>
      </c>
      <c r="Q1137" s="39">
        <v>0.3</v>
      </c>
      <c r="R1137" s="22">
        <v>1</v>
      </c>
      <c r="S1137" s="22">
        <v>0</v>
      </c>
      <c r="T1137" s="22">
        <v>0</v>
      </c>
      <c r="U1137" s="39">
        <v>4.5</v>
      </c>
      <c r="V1137" s="22">
        <v>11</v>
      </c>
      <c r="W1137" s="22">
        <v>0</v>
      </c>
      <c r="X1137" s="40">
        <v>23</v>
      </c>
      <c r="Y1137" s="22">
        <v>0</v>
      </c>
      <c r="Z1137" s="22">
        <v>0</v>
      </c>
      <c r="AA1137" s="22" t="s">
        <v>199</v>
      </c>
      <c r="AB1137" s="22" t="s">
        <v>220</v>
      </c>
      <c r="AC1137" s="42">
        <f>IFERROR(LOOKUP(M1137,打分卡!$F$7:$J$7,打分卡!$K$7:$O$7),1)</f>
        <v>1</v>
      </c>
      <c r="AD1137" s="42">
        <f>IFERROR(LOOKUP(S1137,打分卡!$F$8:$J$8,打分卡!$K$8:$O$8),1)</f>
        <v>1</v>
      </c>
      <c r="AE1137" s="42">
        <f>IFERROR(LOOKUP(T1137,打分卡!$F$9:$I$9,打分卡!$K$9:$N$9),1)</f>
        <v>1</v>
      </c>
      <c r="AF1137" s="42">
        <f>IFERROR(LOOKUP(Q1137,打分卡!$F$10:$J$10,打分卡!$K$10:$O$10),1)</f>
        <v>1</v>
      </c>
      <c r="AG1137" s="42">
        <f>IFERROR(LOOKUP(R1137,打分卡!$F$11:$J$11,打分卡!$K$11:$O$11),1)</f>
        <v>1</v>
      </c>
      <c r="AH1137" s="42">
        <f>IFERROR(LOOKUP(U1137,打分卡!$F$12:$J$12,打分卡!$K$12:$O$12),1)</f>
        <v>2</v>
      </c>
      <c r="AI1137" s="42">
        <f>IFERROR(LOOKUP(X1137,打分卡!$F$13:$J$13,打分卡!$K$13:$O$13),1)</f>
        <v>2</v>
      </c>
      <c r="AJ1137" s="42">
        <f>IFERROR(LOOKUP(Y1137,打分卡!$F$14:$J$14,打分卡!$K$14:$O$14),1)</f>
        <v>1</v>
      </c>
      <c r="AK1137" s="42">
        <f>IFERROR(LOOKUP(W1137,打分卡!$F$15:$J$15,打分卡!$K$15:$O$15),1)</f>
        <v>1</v>
      </c>
      <c r="AL1137" s="45">
        <f t="shared" si="137"/>
        <v>5</v>
      </c>
      <c r="AM1137" s="42">
        <f>IFERROR(LOOKUP(Z1137,打分卡!$F$17:$H$17,打分卡!$K$17:$M$17),1)</f>
        <v>1</v>
      </c>
      <c r="AN1137" s="46">
        <f>(打分卡!$D$7*AC1137+打分卡!$D$8*AD1137+打分卡!$D$9*AE1137)/5</f>
        <v>8</v>
      </c>
      <c r="AO1137" s="46">
        <f>(打分卡!$D$10*AF1137+打分卡!$D$11*AG1137)/5</f>
        <v>4</v>
      </c>
      <c r="AP1137" s="46">
        <f>(打分卡!$D$12*AH1137+打分卡!$D$13*AI1137+打分卡!$D$14*AJ1137+打分卡!$D$15*AK1137)/5</f>
        <v>10</v>
      </c>
      <c r="AQ1137" s="46">
        <f>(打分卡!$D$16*AL1137+打分卡!$D$17*AM1137)/5</f>
        <v>6.8</v>
      </c>
      <c r="AR1137" s="48">
        <f t="shared" si="138"/>
        <v>28.8</v>
      </c>
      <c r="AS1137" s="45" t="str">
        <f t="shared" si="139"/>
        <v>基础长尾</v>
      </c>
      <c r="AT1137" s="45" t="str">
        <f t="shared" si="140"/>
        <v/>
      </c>
      <c r="AU1137" s="45" t="str">
        <f t="shared" si="141"/>
        <v>激活：企微+Push低成本先跑</v>
      </c>
    </row>
    <row r="1138" ht="15" customHeight="1" spans="1:47">
      <c r="A1138" s="30" t="s">
        <v>3058</v>
      </c>
      <c r="B1138" s="31" t="s">
        <v>3059</v>
      </c>
      <c r="C1138" s="31" t="s">
        <v>239</v>
      </c>
      <c r="D1138" s="31" t="s">
        <v>235</v>
      </c>
      <c r="E1138" s="31" t="s">
        <v>197</v>
      </c>
      <c r="F1138" s="30" t="s">
        <v>1551</v>
      </c>
      <c r="G1138" s="31">
        <v>3</v>
      </c>
      <c r="H1138" s="31" t="s">
        <v>642</v>
      </c>
      <c r="I1138" s="31" t="s">
        <v>302</v>
      </c>
      <c r="J1138" s="33">
        <v>1200</v>
      </c>
      <c r="K1138" s="33">
        <v>600</v>
      </c>
      <c r="L1138" s="33">
        <v>300</v>
      </c>
      <c r="M1138" s="33">
        <f t="shared" si="136"/>
        <v>2100</v>
      </c>
      <c r="N1138" s="34">
        <f t="shared" si="142"/>
        <v>1.10095437015973e-5</v>
      </c>
      <c r="O1138" s="35">
        <f>SUM($M$2:M1138)</f>
        <v>190485500</v>
      </c>
      <c r="P1138" s="34">
        <f t="shared" si="143"/>
        <v>0.998646874652675</v>
      </c>
      <c r="Q1138" s="37">
        <v>0.2</v>
      </c>
      <c r="R1138" s="31">
        <v>1</v>
      </c>
      <c r="S1138" s="31">
        <v>1</v>
      </c>
      <c r="T1138" s="31">
        <v>0</v>
      </c>
      <c r="U1138" s="37">
        <v>20.2</v>
      </c>
      <c r="V1138" s="31">
        <v>13</v>
      </c>
      <c r="W1138" s="31">
        <v>1</v>
      </c>
      <c r="X1138" s="38">
        <v>17</v>
      </c>
      <c r="Y1138" s="31">
        <v>0</v>
      </c>
      <c r="Z1138" s="31">
        <v>0</v>
      </c>
      <c r="AA1138" s="31" t="s">
        <v>199</v>
      </c>
      <c r="AB1138" s="31" t="s">
        <v>220</v>
      </c>
      <c r="AC1138" s="41">
        <f>IFERROR(LOOKUP(M1138,打分卡!$F$7:$J$7,打分卡!$K$7:$O$7),1)</f>
        <v>1</v>
      </c>
      <c r="AD1138" s="41">
        <f>IFERROR(LOOKUP(S1138,打分卡!$F$8:$J$8,打分卡!$K$8:$O$8),1)</f>
        <v>1</v>
      </c>
      <c r="AE1138" s="41">
        <f>IFERROR(LOOKUP(T1138,打分卡!$F$9:$I$9,打分卡!$K$9:$N$9),1)</f>
        <v>1</v>
      </c>
      <c r="AF1138" s="41">
        <f>IFERROR(LOOKUP(Q1138,打分卡!$F$10:$J$10,打分卡!$K$10:$O$10),1)</f>
        <v>1</v>
      </c>
      <c r="AG1138" s="41">
        <f>IFERROR(LOOKUP(R1138,打分卡!$F$11:$J$11,打分卡!$K$11:$O$11),1)</f>
        <v>1</v>
      </c>
      <c r="AH1138" s="41">
        <f>IFERROR(LOOKUP(U1138,打分卡!$F$12:$J$12,打分卡!$K$12:$O$12),1)</f>
        <v>3</v>
      </c>
      <c r="AI1138" s="41">
        <f>IFERROR(LOOKUP(X1138,打分卡!$F$13:$J$13,打分卡!$K$13:$O$13),1)</f>
        <v>1</v>
      </c>
      <c r="AJ1138" s="41">
        <f>IFERROR(LOOKUP(Y1138,打分卡!$F$14:$J$14,打分卡!$K$14:$O$14),1)</f>
        <v>1</v>
      </c>
      <c r="AK1138" s="41">
        <f>IFERROR(LOOKUP(W1138,打分卡!$F$15:$J$15,打分卡!$K$15:$O$15),1)</f>
        <v>2</v>
      </c>
      <c r="AL1138" s="43">
        <f t="shared" si="137"/>
        <v>5</v>
      </c>
      <c r="AM1138" s="41">
        <f>IFERROR(LOOKUP(Z1138,打分卡!$F$17:$H$17,打分卡!$K$17:$M$17),1)</f>
        <v>1</v>
      </c>
      <c r="AN1138" s="44">
        <f>(打分卡!$D$7*AC1138+打分卡!$D$8*AD1138+打分卡!$D$9*AE1138)/5</f>
        <v>8</v>
      </c>
      <c r="AO1138" s="44">
        <f>(打分卡!$D$10*AF1138+打分卡!$D$11*AG1138)/5</f>
        <v>4</v>
      </c>
      <c r="AP1138" s="44">
        <f>(打分卡!$D$12*AH1138+打分卡!$D$13*AI1138+打分卡!$D$14*AJ1138+打分卡!$D$15*AK1138)/5</f>
        <v>11.6</v>
      </c>
      <c r="AQ1138" s="44">
        <f>(打分卡!$D$16*AL1138+打分卡!$D$17*AM1138)/5</f>
        <v>6.8</v>
      </c>
      <c r="AR1138" s="47">
        <f t="shared" si="138"/>
        <v>30.4</v>
      </c>
      <c r="AS1138" s="43" t="str">
        <f t="shared" si="139"/>
        <v>基础长尾</v>
      </c>
      <c r="AT1138" s="43" t="str">
        <f t="shared" si="140"/>
        <v/>
      </c>
      <c r="AU1138" s="43" t="str">
        <f t="shared" si="141"/>
        <v>激活：企微+Push低成本先跑</v>
      </c>
    </row>
    <row r="1139" ht="15" customHeight="1" spans="1:47">
      <c r="A1139" s="20" t="s">
        <v>3060</v>
      </c>
      <c r="B1139" s="22" t="s">
        <v>3061</v>
      </c>
      <c r="C1139" s="22" t="s">
        <v>209</v>
      </c>
      <c r="D1139" s="22" t="s">
        <v>227</v>
      </c>
      <c r="E1139" s="22" t="s">
        <v>197</v>
      </c>
      <c r="F1139" s="20" t="s">
        <v>2714</v>
      </c>
      <c r="G1139" s="22">
        <v>2</v>
      </c>
      <c r="H1139" s="22" t="s">
        <v>642</v>
      </c>
      <c r="I1139" s="22" t="s">
        <v>302</v>
      </c>
      <c r="J1139" s="36">
        <v>1100</v>
      </c>
      <c r="K1139" s="36">
        <v>500</v>
      </c>
      <c r="L1139" s="36">
        <v>500</v>
      </c>
      <c r="M1139" s="36">
        <f t="shared" si="136"/>
        <v>2100</v>
      </c>
      <c r="N1139" s="34">
        <f t="shared" si="142"/>
        <v>1.10095437015973e-5</v>
      </c>
      <c r="O1139" s="35">
        <f>SUM($M$2:M1139)</f>
        <v>190487600</v>
      </c>
      <c r="P1139" s="34">
        <f t="shared" si="143"/>
        <v>0.998657884196377</v>
      </c>
      <c r="Q1139" s="39">
        <v>0.2</v>
      </c>
      <c r="R1139" s="22">
        <v>2</v>
      </c>
      <c r="S1139" s="22">
        <v>0</v>
      </c>
      <c r="T1139" s="22">
        <v>0</v>
      </c>
      <c r="U1139" s="39">
        <v>2.3</v>
      </c>
      <c r="V1139" s="22">
        <v>13</v>
      </c>
      <c r="W1139" s="22">
        <v>1</v>
      </c>
      <c r="X1139" s="40">
        <v>10</v>
      </c>
      <c r="Y1139" s="22">
        <v>0</v>
      </c>
      <c r="Z1139" s="22">
        <v>0</v>
      </c>
      <c r="AA1139" s="22" t="s">
        <v>199</v>
      </c>
      <c r="AB1139" s="22" t="s">
        <v>220</v>
      </c>
      <c r="AC1139" s="42">
        <f>IFERROR(LOOKUP(M1139,打分卡!$F$7:$J$7,打分卡!$K$7:$O$7),1)</f>
        <v>1</v>
      </c>
      <c r="AD1139" s="42">
        <f>IFERROR(LOOKUP(S1139,打分卡!$F$8:$J$8,打分卡!$K$8:$O$8),1)</f>
        <v>1</v>
      </c>
      <c r="AE1139" s="42">
        <f>IFERROR(LOOKUP(T1139,打分卡!$F$9:$I$9,打分卡!$K$9:$N$9),1)</f>
        <v>1</v>
      </c>
      <c r="AF1139" s="42">
        <f>IFERROR(LOOKUP(Q1139,打分卡!$F$10:$J$10,打分卡!$K$10:$O$10),1)</f>
        <v>1</v>
      </c>
      <c r="AG1139" s="42">
        <f>IFERROR(LOOKUP(R1139,打分卡!$F$11:$J$11,打分卡!$K$11:$O$11),1)</f>
        <v>1</v>
      </c>
      <c r="AH1139" s="42">
        <f>IFERROR(LOOKUP(U1139,打分卡!$F$12:$J$12,打分卡!$K$12:$O$12),1)</f>
        <v>1</v>
      </c>
      <c r="AI1139" s="42">
        <f>IFERROR(LOOKUP(X1139,打分卡!$F$13:$J$13,打分卡!$K$13:$O$13),1)</f>
        <v>1</v>
      </c>
      <c r="AJ1139" s="42">
        <f>IFERROR(LOOKUP(Y1139,打分卡!$F$14:$J$14,打分卡!$K$14:$O$14),1)</f>
        <v>1</v>
      </c>
      <c r="AK1139" s="42">
        <f>IFERROR(LOOKUP(W1139,打分卡!$F$15:$J$15,打分卡!$K$15:$O$15),1)</f>
        <v>2</v>
      </c>
      <c r="AL1139" s="45">
        <f t="shared" si="137"/>
        <v>5</v>
      </c>
      <c r="AM1139" s="42">
        <f>IFERROR(LOOKUP(Z1139,打分卡!$F$17:$H$17,打分卡!$K$17:$M$17),1)</f>
        <v>1</v>
      </c>
      <c r="AN1139" s="46">
        <f>(打分卡!$D$7*AC1139+打分卡!$D$8*AD1139+打分卡!$D$9*AE1139)/5</f>
        <v>8</v>
      </c>
      <c r="AO1139" s="46">
        <f>(打分卡!$D$10*AF1139+打分卡!$D$11*AG1139)/5</f>
        <v>4</v>
      </c>
      <c r="AP1139" s="46">
        <f>(打分卡!$D$12*AH1139+打分卡!$D$13*AI1139+打分卡!$D$14*AJ1139+打分卡!$D$15*AK1139)/5</f>
        <v>6.8</v>
      </c>
      <c r="AQ1139" s="46">
        <f>(打分卡!$D$16*AL1139+打分卡!$D$17*AM1139)/5</f>
        <v>6.8</v>
      </c>
      <c r="AR1139" s="48">
        <f t="shared" si="138"/>
        <v>26.6666666666667</v>
      </c>
      <c r="AS1139" s="45" t="str">
        <f t="shared" si="139"/>
        <v>基础长尾</v>
      </c>
      <c r="AT1139" s="45" t="str">
        <f t="shared" si="140"/>
        <v/>
      </c>
      <c r="AU1139" s="45" t="str">
        <f t="shared" si="141"/>
        <v>激活：企微+Push低成本先跑</v>
      </c>
    </row>
    <row r="1140" ht="15" customHeight="1" spans="1:47">
      <c r="A1140" s="30" t="s">
        <v>3062</v>
      </c>
      <c r="B1140" s="31" t="s">
        <v>3063</v>
      </c>
      <c r="C1140" s="31" t="s">
        <v>218</v>
      </c>
      <c r="D1140" s="31" t="s">
        <v>227</v>
      </c>
      <c r="E1140" s="31" t="s">
        <v>197</v>
      </c>
      <c r="F1140" s="30" t="s">
        <v>3064</v>
      </c>
      <c r="G1140" s="31">
        <v>2</v>
      </c>
      <c r="H1140" s="31" t="s">
        <v>642</v>
      </c>
      <c r="I1140" s="31" t="s">
        <v>302</v>
      </c>
      <c r="J1140" s="33">
        <v>1000</v>
      </c>
      <c r="K1140" s="33">
        <v>800</v>
      </c>
      <c r="L1140" s="33">
        <v>400</v>
      </c>
      <c r="M1140" s="33">
        <f t="shared" si="136"/>
        <v>2200</v>
      </c>
      <c r="N1140" s="34">
        <f t="shared" si="142"/>
        <v>1.15338076873877e-5</v>
      </c>
      <c r="O1140" s="35">
        <f>SUM($M$2:M1140)</f>
        <v>190489800</v>
      </c>
      <c r="P1140" s="34">
        <f t="shared" si="143"/>
        <v>0.998669418004064</v>
      </c>
      <c r="Q1140" s="37">
        <v>0.1</v>
      </c>
      <c r="R1140" s="31">
        <v>1</v>
      </c>
      <c r="S1140" s="31">
        <v>0</v>
      </c>
      <c r="T1140" s="31">
        <v>0</v>
      </c>
      <c r="U1140" s="37">
        <v>37.1</v>
      </c>
      <c r="V1140" s="31">
        <v>7</v>
      </c>
      <c r="W1140" s="31">
        <v>1</v>
      </c>
      <c r="X1140" s="38">
        <v>40</v>
      </c>
      <c r="Y1140" s="31">
        <v>1</v>
      </c>
      <c r="Z1140" s="31">
        <v>0</v>
      </c>
      <c r="AA1140" s="31" t="s">
        <v>199</v>
      </c>
      <c r="AB1140" s="31" t="s">
        <v>220</v>
      </c>
      <c r="AC1140" s="41">
        <f>IFERROR(LOOKUP(M1140,打分卡!$F$7:$J$7,打分卡!$K$7:$O$7),1)</f>
        <v>1</v>
      </c>
      <c r="AD1140" s="41">
        <f>IFERROR(LOOKUP(S1140,打分卡!$F$8:$J$8,打分卡!$K$8:$O$8),1)</f>
        <v>1</v>
      </c>
      <c r="AE1140" s="41">
        <f>IFERROR(LOOKUP(T1140,打分卡!$F$9:$I$9,打分卡!$K$9:$N$9),1)</f>
        <v>1</v>
      </c>
      <c r="AF1140" s="41">
        <f>IFERROR(LOOKUP(Q1140,打分卡!$F$10:$J$10,打分卡!$K$10:$O$10),1)</f>
        <v>1</v>
      </c>
      <c r="AG1140" s="41">
        <f>IFERROR(LOOKUP(R1140,打分卡!$F$11:$J$11,打分卡!$K$11:$O$11),1)</f>
        <v>1</v>
      </c>
      <c r="AH1140" s="41">
        <f>IFERROR(LOOKUP(U1140,打分卡!$F$12:$J$12,打分卡!$K$12:$O$12),1)</f>
        <v>4</v>
      </c>
      <c r="AI1140" s="41">
        <f>IFERROR(LOOKUP(X1140,打分卡!$F$13:$J$13,打分卡!$K$13:$O$13),1)</f>
        <v>3</v>
      </c>
      <c r="AJ1140" s="41">
        <f>IFERROR(LOOKUP(Y1140,打分卡!$F$14:$J$14,打分卡!$K$14:$O$14),1)</f>
        <v>2</v>
      </c>
      <c r="AK1140" s="41">
        <f>IFERROR(LOOKUP(W1140,打分卡!$F$15:$J$15,打分卡!$K$15:$O$15),1)</f>
        <v>2</v>
      </c>
      <c r="AL1140" s="43">
        <f t="shared" si="137"/>
        <v>5</v>
      </c>
      <c r="AM1140" s="41">
        <f>IFERROR(LOOKUP(Z1140,打分卡!$F$17:$H$17,打分卡!$K$17:$M$17),1)</f>
        <v>1</v>
      </c>
      <c r="AN1140" s="44">
        <f>(打分卡!$D$7*AC1140+打分卡!$D$8*AD1140+打分卡!$D$9*AE1140)/5</f>
        <v>8</v>
      </c>
      <c r="AO1140" s="44">
        <f>(打分卡!$D$10*AF1140+打分卡!$D$11*AG1140)/5</f>
        <v>4</v>
      </c>
      <c r="AP1140" s="44">
        <f>(打分卡!$D$12*AH1140+打分卡!$D$13*AI1140+打分卡!$D$14*AJ1140+打分卡!$D$15*AK1140)/5</f>
        <v>18.4</v>
      </c>
      <c r="AQ1140" s="44">
        <f>(打分卡!$D$16*AL1140+打分卡!$D$17*AM1140)/5</f>
        <v>6.8</v>
      </c>
      <c r="AR1140" s="47">
        <f t="shared" si="138"/>
        <v>53.7333333333333</v>
      </c>
      <c r="AS1140" s="43" t="str">
        <f t="shared" si="139"/>
        <v>腰部</v>
      </c>
      <c r="AT1140" s="43" t="str">
        <f t="shared" si="140"/>
        <v/>
      </c>
      <c r="AU1140" s="43" t="str">
        <f t="shared" si="141"/>
        <v>拉·主攻：主推AI外呼+大促作战包</v>
      </c>
    </row>
    <row r="1141" ht="15" customHeight="1" spans="1:47">
      <c r="A1141" s="20" t="s">
        <v>3065</v>
      </c>
      <c r="B1141" s="22" t="s">
        <v>3066</v>
      </c>
      <c r="C1141" s="22" t="s">
        <v>239</v>
      </c>
      <c r="D1141" s="22" t="s">
        <v>196</v>
      </c>
      <c r="E1141" s="22" t="s">
        <v>181</v>
      </c>
      <c r="F1141" s="20" t="s">
        <v>2888</v>
      </c>
      <c r="G1141" s="22">
        <v>1</v>
      </c>
      <c r="H1141" s="22" t="s">
        <v>642</v>
      </c>
      <c r="I1141" s="22" t="s">
        <v>302</v>
      </c>
      <c r="J1141" s="36">
        <v>1300</v>
      </c>
      <c r="K1141" s="36">
        <v>400</v>
      </c>
      <c r="L1141" s="36">
        <v>300</v>
      </c>
      <c r="M1141" s="36">
        <f t="shared" si="136"/>
        <v>2000</v>
      </c>
      <c r="N1141" s="34">
        <f t="shared" si="142"/>
        <v>1.0485279715807e-5</v>
      </c>
      <c r="O1141" s="35">
        <f>SUM($M$2:M1141)</f>
        <v>190491800</v>
      </c>
      <c r="P1141" s="34">
        <f t="shared" si="143"/>
        <v>0.99867990328378</v>
      </c>
      <c r="Q1141" s="39">
        <v>0.3</v>
      </c>
      <c r="R1141" s="22">
        <v>1</v>
      </c>
      <c r="S1141" s="22">
        <v>1</v>
      </c>
      <c r="T1141" s="22">
        <v>0</v>
      </c>
      <c r="U1141" s="39">
        <v>2.8</v>
      </c>
      <c r="V1141" s="22">
        <v>15</v>
      </c>
      <c r="W1141" s="22">
        <v>2</v>
      </c>
      <c r="X1141" s="40">
        <v>5</v>
      </c>
      <c r="Y1141" s="22">
        <v>0</v>
      </c>
      <c r="Z1141" s="22">
        <v>0</v>
      </c>
      <c r="AA1141" s="22" t="s">
        <v>199</v>
      </c>
      <c r="AB1141" s="22" t="s">
        <v>220</v>
      </c>
      <c r="AC1141" s="42">
        <f>IFERROR(LOOKUP(M1141,打分卡!$F$7:$J$7,打分卡!$K$7:$O$7),1)</f>
        <v>1</v>
      </c>
      <c r="AD1141" s="42">
        <f>IFERROR(LOOKUP(S1141,打分卡!$F$8:$J$8,打分卡!$K$8:$O$8),1)</f>
        <v>1</v>
      </c>
      <c r="AE1141" s="42">
        <f>IFERROR(LOOKUP(T1141,打分卡!$F$9:$I$9,打分卡!$K$9:$N$9),1)</f>
        <v>1</v>
      </c>
      <c r="AF1141" s="42">
        <f>IFERROR(LOOKUP(Q1141,打分卡!$F$10:$J$10,打分卡!$K$10:$O$10),1)</f>
        <v>1</v>
      </c>
      <c r="AG1141" s="42">
        <f>IFERROR(LOOKUP(R1141,打分卡!$F$11:$J$11,打分卡!$K$11:$O$11),1)</f>
        <v>1</v>
      </c>
      <c r="AH1141" s="42">
        <f>IFERROR(LOOKUP(U1141,打分卡!$F$12:$J$12,打分卡!$K$12:$O$12),1)</f>
        <v>2</v>
      </c>
      <c r="AI1141" s="42">
        <f>IFERROR(LOOKUP(X1141,打分卡!$F$13:$J$13,打分卡!$K$13:$O$13),1)</f>
        <v>1</v>
      </c>
      <c r="AJ1141" s="42">
        <f>IFERROR(LOOKUP(Y1141,打分卡!$F$14:$J$14,打分卡!$K$14:$O$14),1)</f>
        <v>1</v>
      </c>
      <c r="AK1141" s="42">
        <f>IFERROR(LOOKUP(W1141,打分卡!$F$15:$J$15,打分卡!$K$15:$O$15),1)</f>
        <v>2</v>
      </c>
      <c r="AL1141" s="45">
        <f t="shared" si="137"/>
        <v>5</v>
      </c>
      <c r="AM1141" s="42">
        <f>IFERROR(LOOKUP(Z1141,打分卡!$F$17:$H$17,打分卡!$K$17:$M$17),1)</f>
        <v>1</v>
      </c>
      <c r="AN1141" s="46">
        <f>(打分卡!$D$7*AC1141+打分卡!$D$8*AD1141+打分卡!$D$9*AE1141)/5</f>
        <v>8</v>
      </c>
      <c r="AO1141" s="46">
        <f>(打分卡!$D$10*AF1141+打分卡!$D$11*AG1141)/5</f>
        <v>4</v>
      </c>
      <c r="AP1141" s="46">
        <f>(打分卡!$D$12*AH1141+打分卡!$D$13*AI1141+打分卡!$D$14*AJ1141+打分卡!$D$15*AK1141)/5</f>
        <v>9.2</v>
      </c>
      <c r="AQ1141" s="46">
        <f>(打分卡!$D$16*AL1141+打分卡!$D$17*AM1141)/5</f>
        <v>6.8</v>
      </c>
      <c r="AR1141" s="48">
        <f t="shared" si="138"/>
        <v>32.2666666666667</v>
      </c>
      <c r="AS1141" s="45" t="str">
        <f t="shared" si="139"/>
        <v>基础长尾</v>
      </c>
      <c r="AT1141" s="45" t="str">
        <f t="shared" si="140"/>
        <v/>
      </c>
      <c r="AU1141" s="45" t="str">
        <f t="shared" si="141"/>
        <v>激活：企微+Push低成本先跑</v>
      </c>
    </row>
    <row r="1142" ht="15" customHeight="1" spans="1:47">
      <c r="A1142" s="30" t="s">
        <v>3067</v>
      </c>
      <c r="B1142" s="31" t="s">
        <v>3068</v>
      </c>
      <c r="C1142" s="31" t="s">
        <v>239</v>
      </c>
      <c r="D1142" s="31" t="s">
        <v>196</v>
      </c>
      <c r="E1142" s="31" t="s">
        <v>197</v>
      </c>
      <c r="F1142" s="30" t="s">
        <v>1489</v>
      </c>
      <c r="G1142" s="31">
        <v>1</v>
      </c>
      <c r="H1142" s="31" t="s">
        <v>642</v>
      </c>
      <c r="I1142" s="31" t="s">
        <v>302</v>
      </c>
      <c r="J1142" s="33">
        <v>1300</v>
      </c>
      <c r="K1142" s="33">
        <v>600</v>
      </c>
      <c r="L1142" s="33">
        <v>100</v>
      </c>
      <c r="M1142" s="33">
        <f t="shared" si="136"/>
        <v>2000</v>
      </c>
      <c r="N1142" s="34">
        <f t="shared" si="142"/>
        <v>1.0485279715807e-5</v>
      </c>
      <c r="O1142" s="35">
        <f>SUM($M$2:M1142)</f>
        <v>190493800</v>
      </c>
      <c r="P1142" s="34">
        <f t="shared" si="143"/>
        <v>0.998690388563496</v>
      </c>
      <c r="Q1142" s="37">
        <v>0.1</v>
      </c>
      <c r="R1142" s="31">
        <v>2</v>
      </c>
      <c r="S1142" s="31">
        <v>0</v>
      </c>
      <c r="T1142" s="31">
        <v>0</v>
      </c>
      <c r="U1142" s="37">
        <v>1.2</v>
      </c>
      <c r="V1142" s="31">
        <v>0</v>
      </c>
      <c r="W1142" s="31">
        <v>2</v>
      </c>
      <c r="X1142" s="38">
        <v>15</v>
      </c>
      <c r="Y1142" s="31">
        <v>0</v>
      </c>
      <c r="Z1142" s="31">
        <v>0</v>
      </c>
      <c r="AA1142" s="31" t="s">
        <v>199</v>
      </c>
      <c r="AB1142" s="31" t="s">
        <v>220</v>
      </c>
      <c r="AC1142" s="41">
        <f>IFERROR(LOOKUP(M1142,打分卡!$F$7:$J$7,打分卡!$K$7:$O$7),1)</f>
        <v>1</v>
      </c>
      <c r="AD1142" s="41">
        <f>IFERROR(LOOKUP(S1142,打分卡!$F$8:$J$8,打分卡!$K$8:$O$8),1)</f>
        <v>1</v>
      </c>
      <c r="AE1142" s="41">
        <f>IFERROR(LOOKUP(T1142,打分卡!$F$9:$I$9,打分卡!$K$9:$N$9),1)</f>
        <v>1</v>
      </c>
      <c r="AF1142" s="41">
        <f>IFERROR(LOOKUP(Q1142,打分卡!$F$10:$J$10,打分卡!$K$10:$O$10),1)</f>
        <v>1</v>
      </c>
      <c r="AG1142" s="41">
        <f>IFERROR(LOOKUP(R1142,打分卡!$F$11:$J$11,打分卡!$K$11:$O$11),1)</f>
        <v>1</v>
      </c>
      <c r="AH1142" s="41">
        <f>IFERROR(LOOKUP(U1142,打分卡!$F$12:$J$12,打分卡!$K$12:$O$12),1)</f>
        <v>1</v>
      </c>
      <c r="AI1142" s="41">
        <f>IFERROR(LOOKUP(X1142,打分卡!$F$13:$J$13,打分卡!$K$13:$O$13),1)</f>
        <v>1</v>
      </c>
      <c r="AJ1142" s="41">
        <f>IFERROR(LOOKUP(Y1142,打分卡!$F$14:$J$14,打分卡!$K$14:$O$14),1)</f>
        <v>1</v>
      </c>
      <c r="AK1142" s="41">
        <f>IFERROR(LOOKUP(W1142,打分卡!$F$15:$J$15,打分卡!$K$15:$O$15),1)</f>
        <v>2</v>
      </c>
      <c r="AL1142" s="43">
        <f t="shared" si="137"/>
        <v>5</v>
      </c>
      <c r="AM1142" s="41">
        <f>IFERROR(LOOKUP(Z1142,打分卡!$F$17:$H$17,打分卡!$K$17:$M$17),1)</f>
        <v>1</v>
      </c>
      <c r="AN1142" s="44">
        <f>(打分卡!$D$7*AC1142+打分卡!$D$8*AD1142+打分卡!$D$9*AE1142)/5</f>
        <v>8</v>
      </c>
      <c r="AO1142" s="44">
        <f>(打分卡!$D$10*AF1142+打分卡!$D$11*AG1142)/5</f>
        <v>4</v>
      </c>
      <c r="AP1142" s="44">
        <f>(打分卡!$D$12*AH1142+打分卡!$D$13*AI1142+打分卡!$D$14*AJ1142+打分卡!$D$15*AK1142)/5</f>
        <v>6.8</v>
      </c>
      <c r="AQ1142" s="44">
        <f>(打分卡!$D$16*AL1142+打分卡!$D$17*AM1142)/5</f>
        <v>6.8</v>
      </c>
      <c r="AR1142" s="47">
        <f t="shared" si="138"/>
        <v>26.6666666666667</v>
      </c>
      <c r="AS1142" s="43" t="str">
        <f t="shared" si="139"/>
        <v>基础长尾</v>
      </c>
      <c r="AT1142" s="43" t="str">
        <f t="shared" si="140"/>
        <v/>
      </c>
      <c r="AU1142" s="43" t="str">
        <f t="shared" si="141"/>
        <v>激活：企微+Push低成本先跑</v>
      </c>
    </row>
    <row r="1143" ht="15" customHeight="1" spans="1:47">
      <c r="A1143" s="20" t="s">
        <v>3069</v>
      </c>
      <c r="B1143" s="22" t="s">
        <v>3070</v>
      </c>
      <c r="C1143" s="22" t="s">
        <v>209</v>
      </c>
      <c r="D1143" s="22" t="s">
        <v>202</v>
      </c>
      <c r="E1143" s="22" t="s">
        <v>197</v>
      </c>
      <c r="F1143" s="20" t="s">
        <v>1551</v>
      </c>
      <c r="G1143" s="22">
        <v>3</v>
      </c>
      <c r="H1143" s="22" t="s">
        <v>642</v>
      </c>
      <c r="I1143" s="22" t="s">
        <v>302</v>
      </c>
      <c r="J1143" s="36">
        <v>1000</v>
      </c>
      <c r="K1143" s="36">
        <v>600</v>
      </c>
      <c r="L1143" s="36">
        <v>500</v>
      </c>
      <c r="M1143" s="36">
        <f t="shared" si="136"/>
        <v>2100</v>
      </c>
      <c r="N1143" s="34">
        <f t="shared" si="142"/>
        <v>1.10095437015973e-5</v>
      </c>
      <c r="O1143" s="35">
        <f>SUM($M$2:M1143)</f>
        <v>190495900</v>
      </c>
      <c r="P1143" s="34">
        <f t="shared" si="143"/>
        <v>0.998701398107197</v>
      </c>
      <c r="Q1143" s="39">
        <v>0.2</v>
      </c>
      <c r="R1143" s="22">
        <v>3</v>
      </c>
      <c r="S1143" s="22">
        <v>0</v>
      </c>
      <c r="T1143" s="22">
        <v>0</v>
      </c>
      <c r="U1143" s="39">
        <v>8.8</v>
      </c>
      <c r="V1143" s="22">
        <v>9</v>
      </c>
      <c r="W1143" s="22">
        <v>0</v>
      </c>
      <c r="X1143" s="40">
        <v>8</v>
      </c>
      <c r="Y1143" s="22">
        <v>0</v>
      </c>
      <c r="Z1143" s="22">
        <v>0</v>
      </c>
      <c r="AA1143" s="22" t="s">
        <v>199</v>
      </c>
      <c r="AB1143" s="22" t="s">
        <v>220</v>
      </c>
      <c r="AC1143" s="42">
        <f>IFERROR(LOOKUP(M1143,打分卡!$F$7:$J$7,打分卡!$K$7:$O$7),1)</f>
        <v>1</v>
      </c>
      <c r="AD1143" s="42">
        <f>IFERROR(LOOKUP(S1143,打分卡!$F$8:$J$8,打分卡!$K$8:$O$8),1)</f>
        <v>1</v>
      </c>
      <c r="AE1143" s="42">
        <f>IFERROR(LOOKUP(T1143,打分卡!$F$9:$I$9,打分卡!$K$9:$N$9),1)</f>
        <v>1</v>
      </c>
      <c r="AF1143" s="42">
        <f>IFERROR(LOOKUP(Q1143,打分卡!$F$10:$J$10,打分卡!$K$10:$O$10),1)</f>
        <v>1</v>
      </c>
      <c r="AG1143" s="42">
        <f>IFERROR(LOOKUP(R1143,打分卡!$F$11:$J$11,打分卡!$K$11:$O$11),1)</f>
        <v>2</v>
      </c>
      <c r="AH1143" s="42">
        <f>IFERROR(LOOKUP(U1143,打分卡!$F$12:$J$12,打分卡!$K$12:$O$12),1)</f>
        <v>2</v>
      </c>
      <c r="AI1143" s="42">
        <f>IFERROR(LOOKUP(X1143,打分卡!$F$13:$J$13,打分卡!$K$13:$O$13),1)</f>
        <v>1</v>
      </c>
      <c r="AJ1143" s="42">
        <f>IFERROR(LOOKUP(Y1143,打分卡!$F$14:$J$14,打分卡!$K$14:$O$14),1)</f>
        <v>1</v>
      </c>
      <c r="AK1143" s="42">
        <f>IFERROR(LOOKUP(W1143,打分卡!$F$15:$J$15,打分卡!$K$15:$O$15),1)</f>
        <v>1</v>
      </c>
      <c r="AL1143" s="45">
        <f t="shared" si="137"/>
        <v>5</v>
      </c>
      <c r="AM1143" s="42">
        <f>IFERROR(LOOKUP(Z1143,打分卡!$F$17:$H$17,打分卡!$K$17:$M$17),1)</f>
        <v>1</v>
      </c>
      <c r="AN1143" s="46">
        <f>(打分卡!$D$7*AC1143+打分卡!$D$8*AD1143+打分卡!$D$9*AE1143)/5</f>
        <v>8</v>
      </c>
      <c r="AO1143" s="46">
        <f>(打分卡!$D$10*AF1143+打分卡!$D$11*AG1143)/5</f>
        <v>6</v>
      </c>
      <c r="AP1143" s="46">
        <f>(打分卡!$D$12*AH1143+打分卡!$D$13*AI1143+打分卡!$D$14*AJ1143+打分卡!$D$15*AK1143)/5</f>
        <v>8.4</v>
      </c>
      <c r="AQ1143" s="46">
        <f>(打分卡!$D$16*AL1143+打分卡!$D$17*AM1143)/5</f>
        <v>6.8</v>
      </c>
      <c r="AR1143" s="48">
        <f t="shared" si="138"/>
        <v>29.2</v>
      </c>
      <c r="AS1143" s="45" t="str">
        <f t="shared" si="139"/>
        <v>基础长尾</v>
      </c>
      <c r="AT1143" s="45" t="str">
        <f t="shared" si="140"/>
        <v/>
      </c>
      <c r="AU1143" s="45" t="str">
        <f t="shared" si="141"/>
        <v>激活：企微+Push低成本先跑</v>
      </c>
    </row>
    <row r="1144" ht="15" customHeight="1" spans="1:47">
      <c r="A1144" s="30" t="s">
        <v>3071</v>
      </c>
      <c r="B1144" s="31" t="s">
        <v>3072</v>
      </c>
      <c r="C1144" s="31" t="s">
        <v>223</v>
      </c>
      <c r="D1144" s="31" t="s">
        <v>196</v>
      </c>
      <c r="E1144" s="31" t="s">
        <v>181</v>
      </c>
      <c r="F1144" s="30" t="s">
        <v>612</v>
      </c>
      <c r="G1144" s="31">
        <v>3</v>
      </c>
      <c r="H1144" s="31" t="s">
        <v>642</v>
      </c>
      <c r="I1144" s="31" t="s">
        <v>302</v>
      </c>
      <c r="J1144" s="33">
        <v>900</v>
      </c>
      <c r="K1144" s="33">
        <v>700</v>
      </c>
      <c r="L1144" s="33">
        <v>400</v>
      </c>
      <c r="M1144" s="33">
        <f t="shared" si="136"/>
        <v>2000</v>
      </c>
      <c r="N1144" s="34">
        <f t="shared" si="142"/>
        <v>1.0485279715807e-5</v>
      </c>
      <c r="O1144" s="35">
        <f>SUM($M$2:M1144)</f>
        <v>190497900</v>
      </c>
      <c r="P1144" s="34">
        <f t="shared" si="143"/>
        <v>0.998711883386913</v>
      </c>
      <c r="Q1144" s="37">
        <v>0.2</v>
      </c>
      <c r="R1144" s="31">
        <v>2</v>
      </c>
      <c r="S1144" s="31">
        <v>0</v>
      </c>
      <c r="T1144" s="31">
        <v>0</v>
      </c>
      <c r="U1144" s="37">
        <v>0.5</v>
      </c>
      <c r="V1144" s="31">
        <v>13</v>
      </c>
      <c r="W1144" s="31">
        <v>0</v>
      </c>
      <c r="X1144" s="38">
        <v>21</v>
      </c>
      <c r="Y1144" s="31">
        <v>0</v>
      </c>
      <c r="Z1144" s="31">
        <v>0</v>
      </c>
      <c r="AA1144" s="31" t="s">
        <v>199</v>
      </c>
      <c r="AB1144" s="31" t="s">
        <v>220</v>
      </c>
      <c r="AC1144" s="41">
        <f>IFERROR(LOOKUP(M1144,打分卡!$F$7:$J$7,打分卡!$K$7:$O$7),1)</f>
        <v>1</v>
      </c>
      <c r="AD1144" s="41">
        <f>IFERROR(LOOKUP(S1144,打分卡!$F$8:$J$8,打分卡!$K$8:$O$8),1)</f>
        <v>1</v>
      </c>
      <c r="AE1144" s="41">
        <f>IFERROR(LOOKUP(T1144,打分卡!$F$9:$I$9,打分卡!$K$9:$N$9),1)</f>
        <v>1</v>
      </c>
      <c r="AF1144" s="41">
        <f>IFERROR(LOOKUP(Q1144,打分卡!$F$10:$J$10,打分卡!$K$10:$O$10),1)</f>
        <v>1</v>
      </c>
      <c r="AG1144" s="41">
        <f>IFERROR(LOOKUP(R1144,打分卡!$F$11:$J$11,打分卡!$K$11:$O$11),1)</f>
        <v>1</v>
      </c>
      <c r="AH1144" s="41">
        <f>IFERROR(LOOKUP(U1144,打分卡!$F$12:$J$12,打分卡!$K$12:$O$12),1)</f>
        <v>1</v>
      </c>
      <c r="AI1144" s="41">
        <f>IFERROR(LOOKUP(X1144,打分卡!$F$13:$J$13,打分卡!$K$13:$O$13),1)</f>
        <v>2</v>
      </c>
      <c r="AJ1144" s="41">
        <f>IFERROR(LOOKUP(Y1144,打分卡!$F$14:$J$14,打分卡!$K$14:$O$14),1)</f>
        <v>1</v>
      </c>
      <c r="AK1144" s="41">
        <f>IFERROR(LOOKUP(W1144,打分卡!$F$15:$J$15,打分卡!$K$15:$O$15),1)</f>
        <v>1</v>
      </c>
      <c r="AL1144" s="43">
        <f t="shared" si="137"/>
        <v>5</v>
      </c>
      <c r="AM1144" s="41">
        <f>IFERROR(LOOKUP(Z1144,打分卡!$F$17:$H$17,打分卡!$K$17:$M$17),1)</f>
        <v>1</v>
      </c>
      <c r="AN1144" s="44">
        <f>(打分卡!$D$7*AC1144+打分卡!$D$8*AD1144+打分卡!$D$9*AE1144)/5</f>
        <v>8</v>
      </c>
      <c r="AO1144" s="44">
        <f>(打分卡!$D$10*AF1144+打分卡!$D$11*AG1144)/5</f>
        <v>4</v>
      </c>
      <c r="AP1144" s="44">
        <f>(打分卡!$D$12*AH1144+打分卡!$D$13*AI1144+打分卡!$D$14*AJ1144+打分卡!$D$15*AK1144)/5</f>
        <v>7.6</v>
      </c>
      <c r="AQ1144" s="44">
        <f>(打分卡!$D$16*AL1144+打分卡!$D$17*AM1144)/5</f>
        <v>6.8</v>
      </c>
      <c r="AR1144" s="47">
        <f t="shared" si="138"/>
        <v>26.4</v>
      </c>
      <c r="AS1144" s="43" t="str">
        <f t="shared" si="139"/>
        <v>基础长尾</v>
      </c>
      <c r="AT1144" s="43" t="str">
        <f t="shared" si="140"/>
        <v/>
      </c>
      <c r="AU1144" s="43" t="str">
        <f t="shared" si="141"/>
        <v>激活：企微+Push低成本先跑</v>
      </c>
    </row>
    <row r="1145" ht="15" customHeight="1" spans="1:47">
      <c r="A1145" s="20" t="s">
        <v>3073</v>
      </c>
      <c r="B1145" s="22" t="s">
        <v>3074</v>
      </c>
      <c r="C1145" s="22" t="s">
        <v>223</v>
      </c>
      <c r="D1145" s="22" t="s">
        <v>252</v>
      </c>
      <c r="E1145" s="22" t="s">
        <v>181</v>
      </c>
      <c r="F1145" s="20" t="s">
        <v>1611</v>
      </c>
      <c r="G1145" s="22">
        <v>2</v>
      </c>
      <c r="H1145" s="22" t="s">
        <v>642</v>
      </c>
      <c r="I1145" s="22" t="s">
        <v>302</v>
      </c>
      <c r="J1145" s="36">
        <v>1000</v>
      </c>
      <c r="K1145" s="36">
        <v>600</v>
      </c>
      <c r="L1145" s="36">
        <v>400</v>
      </c>
      <c r="M1145" s="36">
        <f t="shared" si="136"/>
        <v>2000</v>
      </c>
      <c r="N1145" s="34">
        <f t="shared" si="142"/>
        <v>1.0485279715807e-5</v>
      </c>
      <c r="O1145" s="35">
        <f>SUM($M$2:M1145)</f>
        <v>190499900</v>
      </c>
      <c r="P1145" s="34">
        <f t="shared" si="143"/>
        <v>0.998722368666629</v>
      </c>
      <c r="Q1145" s="39">
        <v>0.1</v>
      </c>
      <c r="R1145" s="22">
        <v>1</v>
      </c>
      <c r="S1145" s="22">
        <v>0</v>
      </c>
      <c r="T1145" s="22">
        <v>0</v>
      </c>
      <c r="U1145" s="39">
        <v>3.5</v>
      </c>
      <c r="V1145" s="22">
        <v>6</v>
      </c>
      <c r="W1145" s="22">
        <v>0</v>
      </c>
      <c r="X1145" s="40">
        <v>11</v>
      </c>
      <c r="Y1145" s="22">
        <v>1</v>
      </c>
      <c r="Z1145" s="22">
        <v>0</v>
      </c>
      <c r="AA1145" s="22" t="s">
        <v>199</v>
      </c>
      <c r="AB1145" s="22" t="s">
        <v>220</v>
      </c>
      <c r="AC1145" s="42">
        <f>IFERROR(LOOKUP(M1145,打分卡!$F$7:$J$7,打分卡!$K$7:$O$7),1)</f>
        <v>1</v>
      </c>
      <c r="AD1145" s="42">
        <f>IFERROR(LOOKUP(S1145,打分卡!$F$8:$J$8,打分卡!$K$8:$O$8),1)</f>
        <v>1</v>
      </c>
      <c r="AE1145" s="42">
        <f>IFERROR(LOOKUP(T1145,打分卡!$F$9:$I$9,打分卡!$K$9:$N$9),1)</f>
        <v>1</v>
      </c>
      <c r="AF1145" s="42">
        <f>IFERROR(LOOKUP(Q1145,打分卡!$F$10:$J$10,打分卡!$K$10:$O$10),1)</f>
        <v>1</v>
      </c>
      <c r="AG1145" s="42">
        <f>IFERROR(LOOKUP(R1145,打分卡!$F$11:$J$11,打分卡!$K$11:$O$11),1)</f>
        <v>1</v>
      </c>
      <c r="AH1145" s="42">
        <f>IFERROR(LOOKUP(U1145,打分卡!$F$12:$J$12,打分卡!$K$12:$O$12),1)</f>
        <v>2</v>
      </c>
      <c r="AI1145" s="42">
        <f>IFERROR(LOOKUP(X1145,打分卡!$F$13:$J$13,打分卡!$K$13:$O$13),1)</f>
        <v>1</v>
      </c>
      <c r="AJ1145" s="42">
        <f>IFERROR(LOOKUP(Y1145,打分卡!$F$14:$J$14,打分卡!$K$14:$O$14),1)</f>
        <v>2</v>
      </c>
      <c r="AK1145" s="42">
        <f>IFERROR(LOOKUP(W1145,打分卡!$F$15:$J$15,打分卡!$K$15:$O$15),1)</f>
        <v>1</v>
      </c>
      <c r="AL1145" s="45">
        <f t="shared" si="137"/>
        <v>5</v>
      </c>
      <c r="AM1145" s="42">
        <f>IFERROR(LOOKUP(Z1145,打分卡!$F$17:$H$17,打分卡!$K$17:$M$17),1)</f>
        <v>1</v>
      </c>
      <c r="AN1145" s="46">
        <f>(打分卡!$D$7*AC1145+打分卡!$D$8*AD1145+打分卡!$D$9*AE1145)/5</f>
        <v>8</v>
      </c>
      <c r="AO1145" s="46">
        <f>(打分卡!$D$10*AF1145+打分卡!$D$11*AG1145)/5</f>
        <v>4</v>
      </c>
      <c r="AP1145" s="46">
        <f>(打分卡!$D$12*AH1145+打分卡!$D$13*AI1145+打分卡!$D$14*AJ1145+打分卡!$D$15*AK1145)/5</f>
        <v>9.6</v>
      </c>
      <c r="AQ1145" s="46">
        <f>(打分卡!$D$16*AL1145+打分卡!$D$17*AM1145)/5</f>
        <v>6.8</v>
      </c>
      <c r="AR1145" s="48">
        <f t="shared" si="138"/>
        <v>33.2</v>
      </c>
      <c r="AS1145" s="45" t="str">
        <f t="shared" si="139"/>
        <v>基础长尾</v>
      </c>
      <c r="AT1145" s="45" t="str">
        <f t="shared" si="140"/>
        <v/>
      </c>
      <c r="AU1145" s="45" t="str">
        <f t="shared" si="141"/>
        <v>激活：企微+Push低成本先跑</v>
      </c>
    </row>
    <row r="1146" ht="15" customHeight="1" spans="1:47">
      <c r="A1146" s="30" t="s">
        <v>3075</v>
      </c>
      <c r="B1146" s="31" t="s">
        <v>3076</v>
      </c>
      <c r="C1146" s="31" t="s">
        <v>179</v>
      </c>
      <c r="D1146" s="31" t="s">
        <v>202</v>
      </c>
      <c r="E1146" s="31" t="s">
        <v>197</v>
      </c>
      <c r="F1146" s="30" t="s">
        <v>2706</v>
      </c>
      <c r="G1146" s="31">
        <v>3</v>
      </c>
      <c r="H1146" s="31" t="s">
        <v>642</v>
      </c>
      <c r="I1146" s="31" t="s">
        <v>302</v>
      </c>
      <c r="J1146" s="33">
        <v>1100</v>
      </c>
      <c r="K1146" s="33">
        <v>700</v>
      </c>
      <c r="L1146" s="33">
        <v>200</v>
      </c>
      <c r="M1146" s="33">
        <f t="shared" si="136"/>
        <v>2000</v>
      </c>
      <c r="N1146" s="34">
        <f t="shared" si="142"/>
        <v>1.0485279715807e-5</v>
      </c>
      <c r="O1146" s="35">
        <f>SUM($M$2:M1146)</f>
        <v>190501900</v>
      </c>
      <c r="P1146" s="34">
        <f t="shared" si="143"/>
        <v>0.998732853946345</v>
      </c>
      <c r="Q1146" s="37">
        <v>0.2</v>
      </c>
      <c r="R1146" s="31">
        <v>3</v>
      </c>
      <c r="S1146" s="31">
        <v>1</v>
      </c>
      <c r="T1146" s="31">
        <v>0</v>
      </c>
      <c r="U1146" s="37">
        <v>18.6</v>
      </c>
      <c r="V1146" s="31">
        <v>7</v>
      </c>
      <c r="W1146" s="31">
        <v>0</v>
      </c>
      <c r="X1146" s="38">
        <v>9</v>
      </c>
      <c r="Y1146" s="31">
        <v>1</v>
      </c>
      <c r="Z1146" s="31">
        <v>0</v>
      </c>
      <c r="AA1146" s="31" t="s">
        <v>199</v>
      </c>
      <c r="AB1146" s="31" t="s">
        <v>220</v>
      </c>
      <c r="AC1146" s="41">
        <f>IFERROR(LOOKUP(M1146,打分卡!$F$7:$J$7,打分卡!$K$7:$O$7),1)</f>
        <v>1</v>
      </c>
      <c r="AD1146" s="41">
        <f>IFERROR(LOOKUP(S1146,打分卡!$F$8:$J$8,打分卡!$K$8:$O$8),1)</f>
        <v>1</v>
      </c>
      <c r="AE1146" s="41">
        <f>IFERROR(LOOKUP(T1146,打分卡!$F$9:$I$9,打分卡!$K$9:$N$9),1)</f>
        <v>1</v>
      </c>
      <c r="AF1146" s="41">
        <f>IFERROR(LOOKUP(Q1146,打分卡!$F$10:$J$10,打分卡!$K$10:$O$10),1)</f>
        <v>1</v>
      </c>
      <c r="AG1146" s="41">
        <f>IFERROR(LOOKUP(R1146,打分卡!$F$11:$J$11,打分卡!$K$11:$O$11),1)</f>
        <v>2</v>
      </c>
      <c r="AH1146" s="41">
        <f>IFERROR(LOOKUP(U1146,打分卡!$F$12:$J$12,打分卡!$K$12:$O$12),1)</f>
        <v>3</v>
      </c>
      <c r="AI1146" s="41">
        <f>IFERROR(LOOKUP(X1146,打分卡!$F$13:$J$13,打分卡!$K$13:$O$13),1)</f>
        <v>1</v>
      </c>
      <c r="AJ1146" s="41">
        <f>IFERROR(LOOKUP(Y1146,打分卡!$F$14:$J$14,打分卡!$K$14:$O$14),1)</f>
        <v>2</v>
      </c>
      <c r="AK1146" s="41">
        <f>IFERROR(LOOKUP(W1146,打分卡!$F$15:$J$15,打分卡!$K$15:$O$15),1)</f>
        <v>1</v>
      </c>
      <c r="AL1146" s="43">
        <f t="shared" si="137"/>
        <v>5</v>
      </c>
      <c r="AM1146" s="41">
        <f>IFERROR(LOOKUP(Z1146,打分卡!$F$17:$H$17,打分卡!$K$17:$M$17),1)</f>
        <v>1</v>
      </c>
      <c r="AN1146" s="44">
        <f>(打分卡!$D$7*AC1146+打分卡!$D$8*AD1146+打分卡!$D$9*AE1146)/5</f>
        <v>8</v>
      </c>
      <c r="AO1146" s="44">
        <f>(打分卡!$D$10*AF1146+打分卡!$D$11*AG1146)/5</f>
        <v>6</v>
      </c>
      <c r="AP1146" s="44">
        <f>(打分卡!$D$12*AH1146+打分卡!$D$13*AI1146+打分卡!$D$14*AJ1146+打分卡!$D$15*AK1146)/5</f>
        <v>12</v>
      </c>
      <c r="AQ1146" s="44">
        <f>(打分卡!$D$16*AL1146+打分卡!$D$17*AM1146)/5</f>
        <v>6.8</v>
      </c>
      <c r="AR1146" s="47">
        <f t="shared" si="138"/>
        <v>32.8</v>
      </c>
      <c r="AS1146" s="43" t="str">
        <f t="shared" si="139"/>
        <v>基础长尾</v>
      </c>
      <c r="AT1146" s="43" t="str">
        <f t="shared" si="140"/>
        <v/>
      </c>
      <c r="AU1146" s="43" t="str">
        <f t="shared" si="141"/>
        <v>激活：企微+Push低成本先跑</v>
      </c>
    </row>
    <row r="1147" ht="15" customHeight="1" spans="1:47">
      <c r="A1147" s="20" t="s">
        <v>3077</v>
      </c>
      <c r="B1147" s="22" t="s">
        <v>3078</v>
      </c>
      <c r="C1147" s="22" t="s">
        <v>223</v>
      </c>
      <c r="D1147" s="22" t="s">
        <v>202</v>
      </c>
      <c r="E1147" s="22" t="s">
        <v>197</v>
      </c>
      <c r="F1147" s="20" t="s">
        <v>2834</v>
      </c>
      <c r="G1147" s="22">
        <v>1</v>
      </c>
      <c r="H1147" s="22" t="s">
        <v>642</v>
      </c>
      <c r="I1147" s="22" t="s">
        <v>302</v>
      </c>
      <c r="J1147" s="36">
        <v>1300</v>
      </c>
      <c r="K1147" s="36">
        <v>500</v>
      </c>
      <c r="L1147" s="36">
        <v>300</v>
      </c>
      <c r="M1147" s="36">
        <f t="shared" si="136"/>
        <v>2100</v>
      </c>
      <c r="N1147" s="34">
        <f t="shared" si="142"/>
        <v>1.10095437015973e-5</v>
      </c>
      <c r="O1147" s="35">
        <f>SUM($M$2:M1147)</f>
        <v>190504000</v>
      </c>
      <c r="P1147" s="34">
        <f t="shared" si="143"/>
        <v>0.998743863490046</v>
      </c>
      <c r="Q1147" s="39">
        <v>0.1</v>
      </c>
      <c r="R1147" s="22">
        <v>1</v>
      </c>
      <c r="S1147" s="22">
        <v>1</v>
      </c>
      <c r="T1147" s="22">
        <v>0</v>
      </c>
      <c r="U1147" s="39">
        <v>25.4</v>
      </c>
      <c r="V1147" s="22">
        <v>9</v>
      </c>
      <c r="W1147" s="22">
        <v>0</v>
      </c>
      <c r="X1147" s="40">
        <v>58</v>
      </c>
      <c r="Y1147" s="22">
        <v>1</v>
      </c>
      <c r="Z1147" s="22">
        <v>0</v>
      </c>
      <c r="AA1147" s="22" t="s">
        <v>199</v>
      </c>
      <c r="AB1147" s="22" t="s">
        <v>220</v>
      </c>
      <c r="AC1147" s="42">
        <f>IFERROR(LOOKUP(M1147,打分卡!$F$7:$J$7,打分卡!$K$7:$O$7),1)</f>
        <v>1</v>
      </c>
      <c r="AD1147" s="42">
        <f>IFERROR(LOOKUP(S1147,打分卡!$F$8:$J$8,打分卡!$K$8:$O$8),1)</f>
        <v>1</v>
      </c>
      <c r="AE1147" s="42">
        <f>IFERROR(LOOKUP(T1147,打分卡!$F$9:$I$9,打分卡!$K$9:$N$9),1)</f>
        <v>1</v>
      </c>
      <c r="AF1147" s="42">
        <f>IFERROR(LOOKUP(Q1147,打分卡!$F$10:$J$10,打分卡!$K$10:$O$10),1)</f>
        <v>1</v>
      </c>
      <c r="AG1147" s="42">
        <f>IFERROR(LOOKUP(R1147,打分卡!$F$11:$J$11,打分卡!$K$11:$O$11),1)</f>
        <v>1</v>
      </c>
      <c r="AH1147" s="42">
        <f>IFERROR(LOOKUP(U1147,打分卡!$F$12:$J$12,打分卡!$K$12:$O$12),1)</f>
        <v>3</v>
      </c>
      <c r="AI1147" s="42">
        <f>IFERROR(LOOKUP(X1147,打分卡!$F$13:$J$13,打分卡!$K$13:$O$13),1)</f>
        <v>3</v>
      </c>
      <c r="AJ1147" s="42">
        <f>IFERROR(LOOKUP(Y1147,打分卡!$F$14:$J$14,打分卡!$K$14:$O$14),1)</f>
        <v>2</v>
      </c>
      <c r="AK1147" s="42">
        <f>IFERROR(LOOKUP(W1147,打分卡!$F$15:$J$15,打分卡!$K$15:$O$15),1)</f>
        <v>1</v>
      </c>
      <c r="AL1147" s="45">
        <f t="shared" si="137"/>
        <v>5</v>
      </c>
      <c r="AM1147" s="42">
        <f>IFERROR(LOOKUP(Z1147,打分卡!$F$17:$H$17,打分卡!$K$17:$M$17),1)</f>
        <v>1</v>
      </c>
      <c r="AN1147" s="46">
        <f>(打分卡!$D$7*AC1147+打分卡!$D$8*AD1147+打分卡!$D$9*AE1147)/5</f>
        <v>8</v>
      </c>
      <c r="AO1147" s="46">
        <f>(打分卡!$D$10*AF1147+打分卡!$D$11*AG1147)/5</f>
        <v>4</v>
      </c>
      <c r="AP1147" s="46">
        <f>(打分卡!$D$12*AH1147+打分卡!$D$13*AI1147+打分卡!$D$14*AJ1147+打分卡!$D$15*AK1147)/5</f>
        <v>15.2</v>
      </c>
      <c r="AQ1147" s="46">
        <f>(打分卡!$D$16*AL1147+打分卡!$D$17*AM1147)/5</f>
        <v>6.8</v>
      </c>
      <c r="AR1147" s="48">
        <f t="shared" si="138"/>
        <v>46.2666666666667</v>
      </c>
      <c r="AS1147" s="45" t="str">
        <f t="shared" si="139"/>
        <v>腰部</v>
      </c>
      <c r="AT1147" s="45" t="str">
        <f t="shared" si="140"/>
        <v/>
      </c>
      <c r="AU1147" s="45" t="str">
        <f t="shared" si="141"/>
        <v>拉·主攻：主推AI外呼+大促作战包</v>
      </c>
    </row>
    <row r="1148" ht="15" customHeight="1" spans="1:47">
      <c r="A1148" s="30" t="s">
        <v>3079</v>
      </c>
      <c r="B1148" s="31" t="s">
        <v>3080</v>
      </c>
      <c r="C1148" s="31" t="s">
        <v>189</v>
      </c>
      <c r="D1148" s="31" t="s">
        <v>190</v>
      </c>
      <c r="E1148" s="31" t="s">
        <v>197</v>
      </c>
      <c r="F1148" s="30" t="s">
        <v>2898</v>
      </c>
      <c r="G1148" s="31">
        <v>2</v>
      </c>
      <c r="H1148" s="31" t="s">
        <v>642</v>
      </c>
      <c r="I1148" s="31" t="s">
        <v>302</v>
      </c>
      <c r="J1148" s="33">
        <v>900</v>
      </c>
      <c r="K1148" s="33">
        <v>600</v>
      </c>
      <c r="L1148" s="33">
        <v>500</v>
      </c>
      <c r="M1148" s="33">
        <f t="shared" si="136"/>
        <v>2000</v>
      </c>
      <c r="N1148" s="34">
        <f t="shared" si="142"/>
        <v>1.0485279715807e-5</v>
      </c>
      <c r="O1148" s="35">
        <f>SUM($M$2:M1148)</f>
        <v>190506000</v>
      </c>
      <c r="P1148" s="34">
        <f t="shared" si="143"/>
        <v>0.998754348769762</v>
      </c>
      <c r="Q1148" s="37">
        <v>0.3</v>
      </c>
      <c r="R1148" s="31">
        <v>1</v>
      </c>
      <c r="S1148" s="31">
        <v>0</v>
      </c>
      <c r="T1148" s="31">
        <v>0</v>
      </c>
      <c r="U1148" s="37">
        <v>1.9</v>
      </c>
      <c r="V1148" s="31">
        <v>12</v>
      </c>
      <c r="W1148" s="31">
        <v>2</v>
      </c>
      <c r="X1148" s="38">
        <v>29</v>
      </c>
      <c r="Y1148" s="31">
        <v>1</v>
      </c>
      <c r="Z1148" s="31">
        <v>0</v>
      </c>
      <c r="AA1148" s="31" t="s">
        <v>199</v>
      </c>
      <c r="AB1148" s="31" t="s">
        <v>220</v>
      </c>
      <c r="AC1148" s="41">
        <f>IFERROR(LOOKUP(M1148,打分卡!$F$7:$J$7,打分卡!$K$7:$O$7),1)</f>
        <v>1</v>
      </c>
      <c r="AD1148" s="41">
        <f>IFERROR(LOOKUP(S1148,打分卡!$F$8:$J$8,打分卡!$K$8:$O$8),1)</f>
        <v>1</v>
      </c>
      <c r="AE1148" s="41">
        <f>IFERROR(LOOKUP(T1148,打分卡!$F$9:$I$9,打分卡!$K$9:$N$9),1)</f>
        <v>1</v>
      </c>
      <c r="AF1148" s="41">
        <f>IFERROR(LOOKUP(Q1148,打分卡!$F$10:$J$10,打分卡!$K$10:$O$10),1)</f>
        <v>1</v>
      </c>
      <c r="AG1148" s="41">
        <f>IFERROR(LOOKUP(R1148,打分卡!$F$11:$J$11,打分卡!$K$11:$O$11),1)</f>
        <v>1</v>
      </c>
      <c r="AH1148" s="41">
        <f>IFERROR(LOOKUP(U1148,打分卡!$F$12:$J$12,打分卡!$K$12:$O$12),1)</f>
        <v>1</v>
      </c>
      <c r="AI1148" s="41">
        <f>IFERROR(LOOKUP(X1148,打分卡!$F$13:$J$13,打分卡!$K$13:$O$13),1)</f>
        <v>2</v>
      </c>
      <c r="AJ1148" s="41">
        <f>IFERROR(LOOKUP(Y1148,打分卡!$F$14:$J$14,打分卡!$K$14:$O$14),1)</f>
        <v>2</v>
      </c>
      <c r="AK1148" s="41">
        <f>IFERROR(LOOKUP(W1148,打分卡!$F$15:$J$15,打分卡!$K$15:$O$15),1)</f>
        <v>2</v>
      </c>
      <c r="AL1148" s="43">
        <f t="shared" si="137"/>
        <v>5</v>
      </c>
      <c r="AM1148" s="41">
        <f>IFERROR(LOOKUP(Z1148,打分卡!$F$17:$H$17,打分卡!$K$17:$M$17),1)</f>
        <v>1</v>
      </c>
      <c r="AN1148" s="44">
        <f>(打分卡!$D$7*AC1148+打分卡!$D$8*AD1148+打分卡!$D$9*AE1148)/5</f>
        <v>8</v>
      </c>
      <c r="AO1148" s="44">
        <f>(打分卡!$D$10*AF1148+打分卡!$D$11*AG1148)/5</f>
        <v>4</v>
      </c>
      <c r="AP1148" s="44">
        <f>(打分卡!$D$12*AH1148+打分卡!$D$13*AI1148+打分卡!$D$14*AJ1148+打分卡!$D$15*AK1148)/5</f>
        <v>9.6</v>
      </c>
      <c r="AQ1148" s="44">
        <f>(打分卡!$D$16*AL1148+打分卡!$D$17*AM1148)/5</f>
        <v>6.8</v>
      </c>
      <c r="AR1148" s="47">
        <f t="shared" si="138"/>
        <v>33.2</v>
      </c>
      <c r="AS1148" s="43" t="str">
        <f t="shared" si="139"/>
        <v>基础长尾</v>
      </c>
      <c r="AT1148" s="43" t="str">
        <f t="shared" si="140"/>
        <v/>
      </c>
      <c r="AU1148" s="43" t="str">
        <f t="shared" si="141"/>
        <v>激活：企微+Push低成本先跑</v>
      </c>
    </row>
    <row r="1149" ht="15" customHeight="1" spans="1:47">
      <c r="A1149" s="20" t="s">
        <v>3081</v>
      </c>
      <c r="B1149" s="22" t="s">
        <v>3082</v>
      </c>
      <c r="C1149" s="22" t="s">
        <v>209</v>
      </c>
      <c r="D1149" s="22" t="s">
        <v>235</v>
      </c>
      <c r="E1149" s="22" t="s">
        <v>181</v>
      </c>
      <c r="F1149" s="20" t="s">
        <v>2711</v>
      </c>
      <c r="G1149" s="22">
        <v>1</v>
      </c>
      <c r="H1149" s="22" t="s">
        <v>642</v>
      </c>
      <c r="I1149" s="22" t="s">
        <v>302</v>
      </c>
      <c r="J1149" s="36">
        <v>1300</v>
      </c>
      <c r="K1149" s="36">
        <v>500</v>
      </c>
      <c r="L1149" s="36">
        <v>200</v>
      </c>
      <c r="M1149" s="36">
        <f t="shared" si="136"/>
        <v>2000</v>
      </c>
      <c r="N1149" s="34">
        <f t="shared" si="142"/>
        <v>1.0485279715807e-5</v>
      </c>
      <c r="O1149" s="35">
        <f>SUM($M$2:M1149)</f>
        <v>190508000</v>
      </c>
      <c r="P1149" s="34">
        <f t="shared" si="143"/>
        <v>0.998764834049478</v>
      </c>
      <c r="Q1149" s="39">
        <v>0.1</v>
      </c>
      <c r="R1149" s="22">
        <v>2</v>
      </c>
      <c r="S1149" s="22">
        <v>0</v>
      </c>
      <c r="T1149" s="22">
        <v>0</v>
      </c>
      <c r="U1149" s="39">
        <v>6.3</v>
      </c>
      <c r="V1149" s="22">
        <v>0</v>
      </c>
      <c r="W1149" s="22">
        <v>1</v>
      </c>
      <c r="X1149" s="40">
        <v>11</v>
      </c>
      <c r="Y1149" s="22">
        <v>1</v>
      </c>
      <c r="Z1149" s="22">
        <v>0</v>
      </c>
      <c r="AA1149" s="22" t="s">
        <v>199</v>
      </c>
      <c r="AB1149" s="22" t="s">
        <v>220</v>
      </c>
      <c r="AC1149" s="42">
        <f>IFERROR(LOOKUP(M1149,打分卡!$F$7:$J$7,打分卡!$K$7:$O$7),1)</f>
        <v>1</v>
      </c>
      <c r="AD1149" s="42">
        <f>IFERROR(LOOKUP(S1149,打分卡!$F$8:$J$8,打分卡!$K$8:$O$8),1)</f>
        <v>1</v>
      </c>
      <c r="AE1149" s="42">
        <f>IFERROR(LOOKUP(T1149,打分卡!$F$9:$I$9,打分卡!$K$9:$N$9),1)</f>
        <v>1</v>
      </c>
      <c r="AF1149" s="42">
        <f>IFERROR(LOOKUP(Q1149,打分卡!$F$10:$J$10,打分卡!$K$10:$O$10),1)</f>
        <v>1</v>
      </c>
      <c r="AG1149" s="42">
        <f>IFERROR(LOOKUP(R1149,打分卡!$F$11:$J$11,打分卡!$K$11:$O$11),1)</f>
        <v>1</v>
      </c>
      <c r="AH1149" s="42">
        <f>IFERROR(LOOKUP(U1149,打分卡!$F$12:$J$12,打分卡!$K$12:$O$12),1)</f>
        <v>2</v>
      </c>
      <c r="AI1149" s="42">
        <f>IFERROR(LOOKUP(X1149,打分卡!$F$13:$J$13,打分卡!$K$13:$O$13),1)</f>
        <v>1</v>
      </c>
      <c r="AJ1149" s="42">
        <f>IFERROR(LOOKUP(Y1149,打分卡!$F$14:$J$14,打分卡!$K$14:$O$14),1)</f>
        <v>2</v>
      </c>
      <c r="AK1149" s="42">
        <f>IFERROR(LOOKUP(W1149,打分卡!$F$15:$J$15,打分卡!$K$15:$O$15),1)</f>
        <v>2</v>
      </c>
      <c r="AL1149" s="45">
        <f t="shared" si="137"/>
        <v>5</v>
      </c>
      <c r="AM1149" s="42">
        <f>IFERROR(LOOKUP(Z1149,打分卡!$F$17:$H$17,打分卡!$K$17:$M$17),1)</f>
        <v>1</v>
      </c>
      <c r="AN1149" s="46">
        <f>(打分卡!$D$7*AC1149+打分卡!$D$8*AD1149+打分卡!$D$9*AE1149)/5</f>
        <v>8</v>
      </c>
      <c r="AO1149" s="46">
        <f>(打分卡!$D$10*AF1149+打分卡!$D$11*AG1149)/5</f>
        <v>4</v>
      </c>
      <c r="AP1149" s="46">
        <f>(打分卡!$D$12*AH1149+打分卡!$D$13*AI1149+打分卡!$D$14*AJ1149+打分卡!$D$15*AK1149)/5</f>
        <v>10.4</v>
      </c>
      <c r="AQ1149" s="46">
        <f>(打分卡!$D$16*AL1149+打分卡!$D$17*AM1149)/5</f>
        <v>6.8</v>
      </c>
      <c r="AR1149" s="48">
        <f t="shared" si="138"/>
        <v>35.0666666666667</v>
      </c>
      <c r="AS1149" s="45" t="str">
        <f t="shared" si="139"/>
        <v>基础长尾</v>
      </c>
      <c r="AT1149" s="45" t="str">
        <f t="shared" si="140"/>
        <v/>
      </c>
      <c r="AU1149" s="45" t="str">
        <f t="shared" si="141"/>
        <v>激活：企微+Push低成本先跑</v>
      </c>
    </row>
    <row r="1150" ht="15" customHeight="1" spans="1:47">
      <c r="A1150" s="30" t="s">
        <v>3083</v>
      </c>
      <c r="B1150" s="31" t="s">
        <v>3084</v>
      </c>
      <c r="C1150" s="31" t="s">
        <v>209</v>
      </c>
      <c r="D1150" s="31" t="s">
        <v>227</v>
      </c>
      <c r="E1150" s="31" t="s">
        <v>181</v>
      </c>
      <c r="F1150" s="30" t="s">
        <v>2676</v>
      </c>
      <c r="G1150" s="31">
        <v>3</v>
      </c>
      <c r="H1150" s="31" t="s">
        <v>642</v>
      </c>
      <c r="I1150" s="31" t="s">
        <v>302</v>
      </c>
      <c r="J1150" s="33">
        <v>1000</v>
      </c>
      <c r="K1150" s="33">
        <v>600</v>
      </c>
      <c r="L1150" s="33">
        <v>300</v>
      </c>
      <c r="M1150" s="33">
        <f t="shared" si="136"/>
        <v>1900</v>
      </c>
      <c r="N1150" s="34">
        <f t="shared" si="142"/>
        <v>9.96101573001663e-6</v>
      </c>
      <c r="O1150" s="35">
        <f>SUM($M$2:M1150)</f>
        <v>190509900</v>
      </c>
      <c r="P1150" s="34">
        <f t="shared" si="143"/>
        <v>0.998774795065208</v>
      </c>
      <c r="Q1150" s="37">
        <v>0.3</v>
      </c>
      <c r="R1150" s="31">
        <v>3</v>
      </c>
      <c r="S1150" s="31">
        <v>0</v>
      </c>
      <c r="T1150" s="31">
        <v>0</v>
      </c>
      <c r="U1150" s="37">
        <v>5.4</v>
      </c>
      <c r="V1150" s="31">
        <v>11</v>
      </c>
      <c r="W1150" s="31">
        <v>2</v>
      </c>
      <c r="X1150" s="38">
        <v>6</v>
      </c>
      <c r="Y1150" s="31">
        <v>1</v>
      </c>
      <c r="Z1150" s="31">
        <v>0</v>
      </c>
      <c r="AA1150" s="31" t="s">
        <v>199</v>
      </c>
      <c r="AB1150" s="31" t="s">
        <v>220</v>
      </c>
      <c r="AC1150" s="41">
        <f>IFERROR(LOOKUP(M1150,打分卡!$F$7:$J$7,打分卡!$K$7:$O$7),1)</f>
        <v>1</v>
      </c>
      <c r="AD1150" s="41">
        <f>IFERROR(LOOKUP(S1150,打分卡!$F$8:$J$8,打分卡!$K$8:$O$8),1)</f>
        <v>1</v>
      </c>
      <c r="AE1150" s="41">
        <f>IFERROR(LOOKUP(T1150,打分卡!$F$9:$I$9,打分卡!$K$9:$N$9),1)</f>
        <v>1</v>
      </c>
      <c r="AF1150" s="41">
        <f>IFERROR(LOOKUP(Q1150,打分卡!$F$10:$J$10,打分卡!$K$10:$O$10),1)</f>
        <v>1</v>
      </c>
      <c r="AG1150" s="41">
        <f>IFERROR(LOOKUP(R1150,打分卡!$F$11:$J$11,打分卡!$K$11:$O$11),1)</f>
        <v>2</v>
      </c>
      <c r="AH1150" s="41">
        <f>IFERROR(LOOKUP(U1150,打分卡!$F$12:$J$12,打分卡!$K$12:$O$12),1)</f>
        <v>2</v>
      </c>
      <c r="AI1150" s="41">
        <f>IFERROR(LOOKUP(X1150,打分卡!$F$13:$J$13,打分卡!$K$13:$O$13),1)</f>
        <v>1</v>
      </c>
      <c r="AJ1150" s="41">
        <f>IFERROR(LOOKUP(Y1150,打分卡!$F$14:$J$14,打分卡!$K$14:$O$14),1)</f>
        <v>2</v>
      </c>
      <c r="AK1150" s="41">
        <f>IFERROR(LOOKUP(W1150,打分卡!$F$15:$J$15,打分卡!$K$15:$O$15),1)</f>
        <v>2</v>
      </c>
      <c r="AL1150" s="43">
        <f t="shared" si="137"/>
        <v>5</v>
      </c>
      <c r="AM1150" s="41">
        <f>IFERROR(LOOKUP(Z1150,打分卡!$F$17:$H$17,打分卡!$K$17:$M$17),1)</f>
        <v>1</v>
      </c>
      <c r="AN1150" s="44">
        <f>(打分卡!$D$7*AC1150+打分卡!$D$8*AD1150+打分卡!$D$9*AE1150)/5</f>
        <v>8</v>
      </c>
      <c r="AO1150" s="44">
        <f>(打分卡!$D$10*AF1150+打分卡!$D$11*AG1150)/5</f>
        <v>6</v>
      </c>
      <c r="AP1150" s="44">
        <f>(打分卡!$D$12*AH1150+打分卡!$D$13*AI1150+打分卡!$D$14*AJ1150+打分卡!$D$15*AK1150)/5</f>
        <v>10.4</v>
      </c>
      <c r="AQ1150" s="44">
        <f>(打分卡!$D$16*AL1150+打分卡!$D$17*AM1150)/5</f>
        <v>6.8</v>
      </c>
      <c r="AR1150" s="47">
        <f t="shared" si="138"/>
        <v>31.2</v>
      </c>
      <c r="AS1150" s="43" t="str">
        <f t="shared" si="139"/>
        <v>基础长尾</v>
      </c>
      <c r="AT1150" s="43" t="str">
        <f t="shared" si="140"/>
        <v/>
      </c>
      <c r="AU1150" s="43" t="str">
        <f t="shared" si="141"/>
        <v>激活：企微+Push低成本先跑</v>
      </c>
    </row>
    <row r="1151" ht="15" customHeight="1" spans="1:47">
      <c r="A1151" s="20" t="s">
        <v>3085</v>
      </c>
      <c r="B1151" s="22" t="s">
        <v>3086</v>
      </c>
      <c r="C1151" s="22" t="s">
        <v>218</v>
      </c>
      <c r="D1151" s="22" t="s">
        <v>202</v>
      </c>
      <c r="E1151" s="22" t="s">
        <v>197</v>
      </c>
      <c r="F1151" s="20" t="s">
        <v>1243</v>
      </c>
      <c r="G1151" s="22">
        <v>3</v>
      </c>
      <c r="H1151" s="22" t="s">
        <v>642</v>
      </c>
      <c r="I1151" s="22" t="s">
        <v>302</v>
      </c>
      <c r="J1151" s="36">
        <v>1100</v>
      </c>
      <c r="K1151" s="36">
        <v>700</v>
      </c>
      <c r="L1151" s="36">
        <v>200</v>
      </c>
      <c r="M1151" s="36">
        <f t="shared" si="136"/>
        <v>2000</v>
      </c>
      <c r="N1151" s="34">
        <f t="shared" si="142"/>
        <v>1.0485279715807e-5</v>
      </c>
      <c r="O1151" s="35">
        <f>SUM($M$2:M1151)</f>
        <v>190511900</v>
      </c>
      <c r="P1151" s="34">
        <f t="shared" si="143"/>
        <v>0.998785280344924</v>
      </c>
      <c r="Q1151" s="39">
        <v>0.1</v>
      </c>
      <c r="R1151" s="22">
        <v>3</v>
      </c>
      <c r="S1151" s="22">
        <v>1</v>
      </c>
      <c r="T1151" s="22">
        <v>0</v>
      </c>
      <c r="U1151" s="39">
        <v>18.7</v>
      </c>
      <c r="V1151" s="22">
        <v>0</v>
      </c>
      <c r="W1151" s="22">
        <v>0</v>
      </c>
      <c r="X1151" s="40">
        <v>8</v>
      </c>
      <c r="Y1151" s="22">
        <v>0</v>
      </c>
      <c r="Z1151" s="22">
        <v>0</v>
      </c>
      <c r="AA1151" s="22" t="s">
        <v>199</v>
      </c>
      <c r="AB1151" s="22" t="s">
        <v>220</v>
      </c>
      <c r="AC1151" s="42">
        <f>IFERROR(LOOKUP(M1151,打分卡!$F$7:$J$7,打分卡!$K$7:$O$7),1)</f>
        <v>1</v>
      </c>
      <c r="AD1151" s="42">
        <f>IFERROR(LOOKUP(S1151,打分卡!$F$8:$J$8,打分卡!$K$8:$O$8),1)</f>
        <v>1</v>
      </c>
      <c r="AE1151" s="42">
        <f>IFERROR(LOOKUP(T1151,打分卡!$F$9:$I$9,打分卡!$K$9:$N$9),1)</f>
        <v>1</v>
      </c>
      <c r="AF1151" s="42">
        <f>IFERROR(LOOKUP(Q1151,打分卡!$F$10:$J$10,打分卡!$K$10:$O$10),1)</f>
        <v>1</v>
      </c>
      <c r="AG1151" s="42">
        <f>IFERROR(LOOKUP(R1151,打分卡!$F$11:$J$11,打分卡!$K$11:$O$11),1)</f>
        <v>2</v>
      </c>
      <c r="AH1151" s="42">
        <f>IFERROR(LOOKUP(U1151,打分卡!$F$12:$J$12,打分卡!$K$12:$O$12),1)</f>
        <v>3</v>
      </c>
      <c r="AI1151" s="42">
        <f>IFERROR(LOOKUP(X1151,打分卡!$F$13:$J$13,打分卡!$K$13:$O$13),1)</f>
        <v>1</v>
      </c>
      <c r="AJ1151" s="42">
        <f>IFERROR(LOOKUP(Y1151,打分卡!$F$14:$J$14,打分卡!$K$14:$O$14),1)</f>
        <v>1</v>
      </c>
      <c r="AK1151" s="42">
        <f>IFERROR(LOOKUP(W1151,打分卡!$F$15:$J$15,打分卡!$K$15:$O$15),1)</f>
        <v>1</v>
      </c>
      <c r="AL1151" s="45">
        <f t="shared" si="137"/>
        <v>5</v>
      </c>
      <c r="AM1151" s="42">
        <f>IFERROR(LOOKUP(Z1151,打分卡!$F$17:$H$17,打分卡!$K$17:$M$17),1)</f>
        <v>1</v>
      </c>
      <c r="AN1151" s="46">
        <f>(打分卡!$D$7*AC1151+打分卡!$D$8*AD1151+打分卡!$D$9*AE1151)/5</f>
        <v>8</v>
      </c>
      <c r="AO1151" s="46">
        <f>(打分卡!$D$10*AF1151+打分卡!$D$11*AG1151)/5</f>
        <v>6</v>
      </c>
      <c r="AP1151" s="46">
        <f>(打分卡!$D$12*AH1151+打分卡!$D$13*AI1151+打分卡!$D$14*AJ1151+打分卡!$D$15*AK1151)/5</f>
        <v>10.8</v>
      </c>
      <c r="AQ1151" s="46">
        <f>(打分卡!$D$16*AL1151+打分卡!$D$17*AM1151)/5</f>
        <v>6.8</v>
      </c>
      <c r="AR1151" s="48">
        <f t="shared" si="138"/>
        <v>31.6</v>
      </c>
      <c r="AS1151" s="45" t="str">
        <f t="shared" si="139"/>
        <v>基础长尾</v>
      </c>
      <c r="AT1151" s="45" t="str">
        <f t="shared" si="140"/>
        <v/>
      </c>
      <c r="AU1151" s="45" t="str">
        <f t="shared" si="141"/>
        <v>激活：企微+Push低成本先跑</v>
      </c>
    </row>
    <row r="1152" ht="15" customHeight="1" spans="1:47">
      <c r="A1152" s="30" t="s">
        <v>3087</v>
      </c>
      <c r="B1152" s="31" t="s">
        <v>3088</v>
      </c>
      <c r="C1152" s="31" t="s">
        <v>189</v>
      </c>
      <c r="D1152" s="31" t="s">
        <v>235</v>
      </c>
      <c r="E1152" s="31" t="s">
        <v>197</v>
      </c>
      <c r="F1152" s="30" t="s">
        <v>641</v>
      </c>
      <c r="G1152" s="31">
        <v>3</v>
      </c>
      <c r="H1152" s="31" t="s">
        <v>642</v>
      </c>
      <c r="I1152" s="31" t="s">
        <v>302</v>
      </c>
      <c r="J1152" s="33">
        <v>1100</v>
      </c>
      <c r="K1152" s="33">
        <v>500</v>
      </c>
      <c r="L1152" s="33">
        <v>300</v>
      </c>
      <c r="M1152" s="33">
        <f t="shared" si="136"/>
        <v>1900</v>
      </c>
      <c r="N1152" s="34">
        <f t="shared" si="142"/>
        <v>9.96101573001663e-6</v>
      </c>
      <c r="O1152" s="35">
        <f>SUM($M$2:M1152)</f>
        <v>190513800</v>
      </c>
      <c r="P1152" s="34">
        <f t="shared" si="143"/>
        <v>0.998795241360654</v>
      </c>
      <c r="Q1152" s="37">
        <v>0.1</v>
      </c>
      <c r="R1152" s="31">
        <v>1</v>
      </c>
      <c r="S1152" s="31">
        <v>1</v>
      </c>
      <c r="T1152" s="31">
        <v>0</v>
      </c>
      <c r="U1152" s="37">
        <v>36.4</v>
      </c>
      <c r="V1152" s="31">
        <v>15</v>
      </c>
      <c r="W1152" s="31">
        <v>0</v>
      </c>
      <c r="X1152" s="38">
        <v>33</v>
      </c>
      <c r="Y1152" s="31">
        <v>1</v>
      </c>
      <c r="Z1152" s="31">
        <v>0</v>
      </c>
      <c r="AA1152" s="31" t="s">
        <v>199</v>
      </c>
      <c r="AB1152" s="31" t="s">
        <v>220</v>
      </c>
      <c r="AC1152" s="41">
        <f>IFERROR(LOOKUP(M1152,打分卡!$F$7:$J$7,打分卡!$K$7:$O$7),1)</f>
        <v>1</v>
      </c>
      <c r="AD1152" s="41">
        <f>IFERROR(LOOKUP(S1152,打分卡!$F$8:$J$8,打分卡!$K$8:$O$8),1)</f>
        <v>1</v>
      </c>
      <c r="AE1152" s="41">
        <f>IFERROR(LOOKUP(T1152,打分卡!$F$9:$I$9,打分卡!$K$9:$N$9),1)</f>
        <v>1</v>
      </c>
      <c r="AF1152" s="41">
        <f>IFERROR(LOOKUP(Q1152,打分卡!$F$10:$J$10,打分卡!$K$10:$O$10),1)</f>
        <v>1</v>
      </c>
      <c r="AG1152" s="41">
        <f>IFERROR(LOOKUP(R1152,打分卡!$F$11:$J$11,打分卡!$K$11:$O$11),1)</f>
        <v>1</v>
      </c>
      <c r="AH1152" s="41">
        <f>IFERROR(LOOKUP(U1152,打分卡!$F$12:$J$12,打分卡!$K$12:$O$12),1)</f>
        <v>4</v>
      </c>
      <c r="AI1152" s="41">
        <f>IFERROR(LOOKUP(X1152,打分卡!$F$13:$J$13,打分卡!$K$13:$O$13),1)</f>
        <v>2</v>
      </c>
      <c r="AJ1152" s="41">
        <f>IFERROR(LOOKUP(Y1152,打分卡!$F$14:$J$14,打分卡!$K$14:$O$14),1)</f>
        <v>2</v>
      </c>
      <c r="AK1152" s="41">
        <f>IFERROR(LOOKUP(W1152,打分卡!$F$15:$J$15,打分卡!$K$15:$O$15),1)</f>
        <v>1</v>
      </c>
      <c r="AL1152" s="43">
        <f t="shared" si="137"/>
        <v>5</v>
      </c>
      <c r="AM1152" s="41">
        <f>IFERROR(LOOKUP(Z1152,打分卡!$F$17:$H$17,打分卡!$K$17:$M$17),1)</f>
        <v>1</v>
      </c>
      <c r="AN1152" s="44">
        <f>(打分卡!$D$7*AC1152+打分卡!$D$8*AD1152+打分卡!$D$9*AE1152)/5</f>
        <v>8</v>
      </c>
      <c r="AO1152" s="44">
        <f>(打分卡!$D$10*AF1152+打分卡!$D$11*AG1152)/5</f>
        <v>4</v>
      </c>
      <c r="AP1152" s="44">
        <f>(打分卡!$D$12*AH1152+打分卡!$D$13*AI1152+打分卡!$D$14*AJ1152+打分卡!$D$15*AK1152)/5</f>
        <v>16</v>
      </c>
      <c r="AQ1152" s="44">
        <f>(打分卡!$D$16*AL1152+打分卡!$D$17*AM1152)/5</f>
        <v>6.8</v>
      </c>
      <c r="AR1152" s="47">
        <f t="shared" si="138"/>
        <v>34.8</v>
      </c>
      <c r="AS1152" s="43" t="str">
        <f t="shared" si="139"/>
        <v>基础长尾</v>
      </c>
      <c r="AT1152" s="43" t="str">
        <f t="shared" si="140"/>
        <v/>
      </c>
      <c r="AU1152" s="43" t="str">
        <f t="shared" si="141"/>
        <v>激活：企微+Push低成本先跑</v>
      </c>
    </row>
    <row r="1153" ht="15" customHeight="1" spans="1:47">
      <c r="A1153" s="20" t="s">
        <v>3089</v>
      </c>
      <c r="B1153" s="22" t="s">
        <v>3090</v>
      </c>
      <c r="C1153" s="22" t="s">
        <v>189</v>
      </c>
      <c r="D1153" s="22" t="s">
        <v>227</v>
      </c>
      <c r="E1153" s="22" t="s">
        <v>181</v>
      </c>
      <c r="F1153" s="20" t="s">
        <v>1166</v>
      </c>
      <c r="G1153" s="22">
        <v>3</v>
      </c>
      <c r="H1153" s="22" t="s">
        <v>642</v>
      </c>
      <c r="I1153" s="22" t="s">
        <v>302</v>
      </c>
      <c r="J1153" s="36">
        <v>1000</v>
      </c>
      <c r="K1153" s="36">
        <v>700</v>
      </c>
      <c r="L1153" s="36">
        <v>200</v>
      </c>
      <c r="M1153" s="36">
        <f t="shared" si="136"/>
        <v>1900</v>
      </c>
      <c r="N1153" s="34">
        <f t="shared" si="142"/>
        <v>9.96101573001663e-6</v>
      </c>
      <c r="O1153" s="35">
        <f>SUM($M$2:M1153)</f>
        <v>190515700</v>
      </c>
      <c r="P1153" s="34">
        <f t="shared" si="143"/>
        <v>0.998805202376384</v>
      </c>
      <c r="Q1153" s="39">
        <v>0.2</v>
      </c>
      <c r="R1153" s="22">
        <v>2</v>
      </c>
      <c r="S1153" s="22">
        <v>0</v>
      </c>
      <c r="T1153" s="22">
        <v>0</v>
      </c>
      <c r="U1153" s="39">
        <v>1.5</v>
      </c>
      <c r="V1153" s="22">
        <v>2</v>
      </c>
      <c r="W1153" s="22">
        <v>0</v>
      </c>
      <c r="X1153" s="40">
        <v>57</v>
      </c>
      <c r="Y1153" s="22">
        <v>0</v>
      </c>
      <c r="Z1153" s="22">
        <v>0</v>
      </c>
      <c r="AA1153" s="22" t="s">
        <v>199</v>
      </c>
      <c r="AB1153" s="22" t="s">
        <v>220</v>
      </c>
      <c r="AC1153" s="42">
        <f>IFERROR(LOOKUP(M1153,打分卡!$F$7:$J$7,打分卡!$K$7:$O$7),1)</f>
        <v>1</v>
      </c>
      <c r="AD1153" s="42">
        <f>IFERROR(LOOKUP(S1153,打分卡!$F$8:$J$8,打分卡!$K$8:$O$8),1)</f>
        <v>1</v>
      </c>
      <c r="AE1153" s="42">
        <f>IFERROR(LOOKUP(T1153,打分卡!$F$9:$I$9,打分卡!$K$9:$N$9),1)</f>
        <v>1</v>
      </c>
      <c r="AF1153" s="42">
        <f>IFERROR(LOOKUP(Q1153,打分卡!$F$10:$J$10,打分卡!$K$10:$O$10),1)</f>
        <v>1</v>
      </c>
      <c r="AG1153" s="42">
        <f>IFERROR(LOOKUP(R1153,打分卡!$F$11:$J$11,打分卡!$K$11:$O$11),1)</f>
        <v>1</v>
      </c>
      <c r="AH1153" s="42">
        <f>IFERROR(LOOKUP(U1153,打分卡!$F$12:$J$12,打分卡!$K$12:$O$12),1)</f>
        <v>1</v>
      </c>
      <c r="AI1153" s="42">
        <f>IFERROR(LOOKUP(X1153,打分卡!$F$13:$J$13,打分卡!$K$13:$O$13),1)</f>
        <v>3</v>
      </c>
      <c r="AJ1153" s="42">
        <f>IFERROR(LOOKUP(Y1153,打分卡!$F$14:$J$14,打分卡!$K$14:$O$14),1)</f>
        <v>1</v>
      </c>
      <c r="AK1153" s="42">
        <f>IFERROR(LOOKUP(W1153,打分卡!$F$15:$J$15,打分卡!$K$15:$O$15),1)</f>
        <v>1</v>
      </c>
      <c r="AL1153" s="45">
        <f t="shared" si="137"/>
        <v>5</v>
      </c>
      <c r="AM1153" s="42">
        <f>IFERROR(LOOKUP(Z1153,打分卡!$F$17:$H$17,打分卡!$K$17:$M$17),1)</f>
        <v>1</v>
      </c>
      <c r="AN1153" s="46">
        <f>(打分卡!$D$7*AC1153+打分卡!$D$8*AD1153+打分卡!$D$9*AE1153)/5</f>
        <v>8</v>
      </c>
      <c r="AO1153" s="46">
        <f>(打分卡!$D$10*AF1153+打分卡!$D$11*AG1153)/5</f>
        <v>4</v>
      </c>
      <c r="AP1153" s="46">
        <f>(打分卡!$D$12*AH1153+打分卡!$D$13*AI1153+打分卡!$D$14*AJ1153+打分卡!$D$15*AK1153)/5</f>
        <v>9.2</v>
      </c>
      <c r="AQ1153" s="46">
        <f>(打分卡!$D$16*AL1153+打分卡!$D$17*AM1153)/5</f>
        <v>6.8</v>
      </c>
      <c r="AR1153" s="48">
        <f t="shared" si="138"/>
        <v>28</v>
      </c>
      <c r="AS1153" s="45" t="str">
        <f t="shared" si="139"/>
        <v>基础长尾</v>
      </c>
      <c r="AT1153" s="45" t="str">
        <f t="shared" si="140"/>
        <v/>
      </c>
      <c r="AU1153" s="45" t="str">
        <f t="shared" si="141"/>
        <v>激活：企微+Push低成本先跑</v>
      </c>
    </row>
    <row r="1154" ht="15" customHeight="1" spans="1:47">
      <c r="A1154" s="30" t="s">
        <v>3091</v>
      </c>
      <c r="B1154" s="31" t="s">
        <v>3092</v>
      </c>
      <c r="C1154" s="31" t="s">
        <v>189</v>
      </c>
      <c r="D1154" s="31" t="s">
        <v>202</v>
      </c>
      <c r="E1154" s="31" t="s">
        <v>181</v>
      </c>
      <c r="F1154" s="30" t="s">
        <v>2925</v>
      </c>
      <c r="G1154" s="31">
        <v>2</v>
      </c>
      <c r="H1154" s="31" t="s">
        <v>642</v>
      </c>
      <c r="I1154" s="31" t="s">
        <v>302</v>
      </c>
      <c r="J1154" s="33">
        <v>1000</v>
      </c>
      <c r="K1154" s="33">
        <v>700</v>
      </c>
      <c r="L1154" s="33">
        <v>200</v>
      </c>
      <c r="M1154" s="33">
        <f t="shared" ref="M1154:M1217" si="144">SUM(J1154:L1154)</f>
        <v>1900</v>
      </c>
      <c r="N1154" s="34">
        <f t="shared" si="142"/>
        <v>9.96101573001663e-6</v>
      </c>
      <c r="O1154" s="35">
        <f>SUM($M$2:M1154)</f>
        <v>190517600</v>
      </c>
      <c r="P1154" s="34">
        <f t="shared" si="143"/>
        <v>0.998815163392114</v>
      </c>
      <c r="Q1154" s="37">
        <v>0.2</v>
      </c>
      <c r="R1154" s="31">
        <v>1</v>
      </c>
      <c r="S1154" s="31">
        <v>0</v>
      </c>
      <c r="T1154" s="31">
        <v>0</v>
      </c>
      <c r="U1154" s="37">
        <v>29.7</v>
      </c>
      <c r="V1154" s="31">
        <v>12</v>
      </c>
      <c r="W1154" s="31">
        <v>2</v>
      </c>
      <c r="X1154" s="38">
        <v>15</v>
      </c>
      <c r="Y1154" s="31">
        <v>1</v>
      </c>
      <c r="Z1154" s="31">
        <v>0</v>
      </c>
      <c r="AA1154" s="31" t="s">
        <v>199</v>
      </c>
      <c r="AB1154" s="31" t="s">
        <v>220</v>
      </c>
      <c r="AC1154" s="41">
        <f>IFERROR(LOOKUP(M1154,打分卡!$F$7:$J$7,打分卡!$K$7:$O$7),1)</f>
        <v>1</v>
      </c>
      <c r="AD1154" s="41">
        <f>IFERROR(LOOKUP(S1154,打分卡!$F$8:$J$8,打分卡!$K$8:$O$8),1)</f>
        <v>1</v>
      </c>
      <c r="AE1154" s="41">
        <f>IFERROR(LOOKUP(T1154,打分卡!$F$9:$I$9,打分卡!$K$9:$N$9),1)</f>
        <v>1</v>
      </c>
      <c r="AF1154" s="41">
        <f>IFERROR(LOOKUP(Q1154,打分卡!$F$10:$J$10,打分卡!$K$10:$O$10),1)</f>
        <v>1</v>
      </c>
      <c r="AG1154" s="41">
        <f>IFERROR(LOOKUP(R1154,打分卡!$F$11:$J$11,打分卡!$K$11:$O$11),1)</f>
        <v>1</v>
      </c>
      <c r="AH1154" s="41">
        <f>IFERROR(LOOKUP(U1154,打分卡!$F$12:$J$12,打分卡!$K$12:$O$12),1)</f>
        <v>3</v>
      </c>
      <c r="AI1154" s="41">
        <f>IFERROR(LOOKUP(X1154,打分卡!$F$13:$J$13,打分卡!$K$13:$O$13),1)</f>
        <v>1</v>
      </c>
      <c r="AJ1154" s="41">
        <f>IFERROR(LOOKUP(Y1154,打分卡!$F$14:$J$14,打分卡!$K$14:$O$14),1)</f>
        <v>2</v>
      </c>
      <c r="AK1154" s="41">
        <f>IFERROR(LOOKUP(W1154,打分卡!$F$15:$J$15,打分卡!$K$15:$O$15),1)</f>
        <v>2</v>
      </c>
      <c r="AL1154" s="43">
        <f t="shared" ref="AL1154:AL1217" si="145">IF(AA1154="连续下降",1,IF(AA1154="下降",2,IF(AA1154="上升",5,3)))</f>
        <v>5</v>
      </c>
      <c r="AM1154" s="41">
        <f>IFERROR(LOOKUP(Z1154,打分卡!$F$17:$H$17,打分卡!$K$17:$M$17),1)</f>
        <v>1</v>
      </c>
      <c r="AN1154" s="44">
        <f>(打分卡!$D$7*AC1154+打分卡!$D$8*AD1154+打分卡!$D$9*AE1154)/5</f>
        <v>8</v>
      </c>
      <c r="AO1154" s="44">
        <f>(打分卡!$D$10*AF1154+打分卡!$D$11*AG1154)/5</f>
        <v>4</v>
      </c>
      <c r="AP1154" s="44">
        <f>(打分卡!$D$12*AH1154+打分卡!$D$13*AI1154+打分卡!$D$14*AJ1154+打分卡!$D$15*AK1154)/5</f>
        <v>12.8</v>
      </c>
      <c r="AQ1154" s="44">
        <f>(打分卡!$D$16*AL1154+打分卡!$D$17*AM1154)/5</f>
        <v>6.8</v>
      </c>
      <c r="AR1154" s="47">
        <f t="shared" ref="AR1154:AR1217" si="146">IF(G1154&lt;3,AP1154/30*40+AO1154+AP1154+AQ1154,AN1154+AO1154+AP1154+AQ1154)</f>
        <v>40.6666666666667</v>
      </c>
      <c r="AS1154" s="43" t="str">
        <f t="shared" ref="AS1154:AS1217" si="147">IF(M1154=0,IF(G1154&lt;3,"新客观察期","未激活"),IF(AR1154&gt;=90,"SKA",IF(AR1154&gt;=75,"KA",IF(AR1154&gt;=40,"腰部","基础长尾"))))</f>
        <v>腰部</v>
      </c>
      <c r="AT1154" s="43" t="str">
        <f t="shared" ref="AT1154:AT1217" si="148">IF(AA1154="连续下降","连续下降-预警","")</f>
        <v/>
      </c>
      <c r="AU1154" s="43" t="str">
        <f t="shared" ref="AU1154:AU1217" si="149">IF(AS1154="SKA","守·共创：卡片短信/AI外呼新场景POC",IF(AS1154="KA","扩·深化：AI外呼场景深化+Push/企微补全",IF(AS1154="腰部","拉·主攻：主推AI外呼+大促作战包",IF(AS1154="新客观察期","培育：入门包+1v1场景教育",IF(AS1154="基础长尾","激活：企微+Push低成本先跑","唤醒：短信模板+首充补贴")))))</f>
        <v>拉·主攻：主推AI外呼+大促作战包</v>
      </c>
    </row>
    <row r="1155" ht="15" customHeight="1" spans="1:47">
      <c r="A1155" s="20" t="s">
        <v>3093</v>
      </c>
      <c r="B1155" s="22" t="s">
        <v>3094</v>
      </c>
      <c r="C1155" s="22" t="s">
        <v>189</v>
      </c>
      <c r="D1155" s="22" t="s">
        <v>190</v>
      </c>
      <c r="E1155" s="22" t="s">
        <v>181</v>
      </c>
      <c r="F1155" s="20" t="s">
        <v>2742</v>
      </c>
      <c r="G1155" s="22">
        <v>2</v>
      </c>
      <c r="H1155" s="22" t="s">
        <v>642</v>
      </c>
      <c r="I1155" s="22" t="s">
        <v>302</v>
      </c>
      <c r="J1155" s="36">
        <v>900</v>
      </c>
      <c r="K1155" s="36">
        <v>600</v>
      </c>
      <c r="L1155" s="36">
        <v>300</v>
      </c>
      <c r="M1155" s="36">
        <f t="shared" si="144"/>
        <v>1800</v>
      </c>
      <c r="N1155" s="34">
        <f t="shared" ref="N1155:N1218" si="150">M1155/$M$2002</f>
        <v>9.43675174422628e-6</v>
      </c>
      <c r="O1155" s="35">
        <f>SUM($M$2:M1155)</f>
        <v>190519400</v>
      </c>
      <c r="P1155" s="34">
        <f t="shared" ref="P1155:P1218" si="151">O1155/$M$2002</f>
        <v>0.998824600143858</v>
      </c>
      <c r="Q1155" s="39">
        <v>0.1</v>
      </c>
      <c r="R1155" s="22">
        <v>2</v>
      </c>
      <c r="S1155" s="22">
        <v>0</v>
      </c>
      <c r="T1155" s="22">
        <v>0</v>
      </c>
      <c r="U1155" s="39">
        <v>3.5</v>
      </c>
      <c r="V1155" s="22">
        <v>2</v>
      </c>
      <c r="W1155" s="22">
        <v>2</v>
      </c>
      <c r="X1155" s="40">
        <v>37</v>
      </c>
      <c r="Y1155" s="22">
        <v>0</v>
      </c>
      <c r="Z1155" s="22">
        <v>0</v>
      </c>
      <c r="AA1155" s="22" t="s">
        <v>199</v>
      </c>
      <c r="AB1155" s="22" t="s">
        <v>220</v>
      </c>
      <c r="AC1155" s="42">
        <f>IFERROR(LOOKUP(M1155,打分卡!$F$7:$J$7,打分卡!$K$7:$O$7),1)</f>
        <v>1</v>
      </c>
      <c r="AD1155" s="42">
        <f>IFERROR(LOOKUP(S1155,打分卡!$F$8:$J$8,打分卡!$K$8:$O$8),1)</f>
        <v>1</v>
      </c>
      <c r="AE1155" s="42">
        <f>IFERROR(LOOKUP(T1155,打分卡!$F$9:$I$9,打分卡!$K$9:$N$9),1)</f>
        <v>1</v>
      </c>
      <c r="AF1155" s="42">
        <f>IFERROR(LOOKUP(Q1155,打分卡!$F$10:$J$10,打分卡!$K$10:$O$10),1)</f>
        <v>1</v>
      </c>
      <c r="AG1155" s="42">
        <f>IFERROR(LOOKUP(R1155,打分卡!$F$11:$J$11,打分卡!$K$11:$O$11),1)</f>
        <v>1</v>
      </c>
      <c r="AH1155" s="42">
        <f>IFERROR(LOOKUP(U1155,打分卡!$F$12:$J$12,打分卡!$K$12:$O$12),1)</f>
        <v>2</v>
      </c>
      <c r="AI1155" s="42">
        <f>IFERROR(LOOKUP(X1155,打分卡!$F$13:$J$13,打分卡!$K$13:$O$13),1)</f>
        <v>2</v>
      </c>
      <c r="AJ1155" s="42">
        <f>IFERROR(LOOKUP(Y1155,打分卡!$F$14:$J$14,打分卡!$K$14:$O$14),1)</f>
        <v>1</v>
      </c>
      <c r="AK1155" s="42">
        <f>IFERROR(LOOKUP(W1155,打分卡!$F$15:$J$15,打分卡!$K$15:$O$15),1)</f>
        <v>2</v>
      </c>
      <c r="AL1155" s="45">
        <f t="shared" si="145"/>
        <v>5</v>
      </c>
      <c r="AM1155" s="42">
        <f>IFERROR(LOOKUP(Z1155,打分卡!$F$17:$H$17,打分卡!$K$17:$M$17),1)</f>
        <v>1</v>
      </c>
      <c r="AN1155" s="46">
        <f>(打分卡!$D$7*AC1155+打分卡!$D$8*AD1155+打分卡!$D$9*AE1155)/5</f>
        <v>8</v>
      </c>
      <c r="AO1155" s="46">
        <f>(打分卡!$D$10*AF1155+打分卡!$D$11*AG1155)/5</f>
        <v>4</v>
      </c>
      <c r="AP1155" s="46">
        <f>(打分卡!$D$12*AH1155+打分卡!$D$13*AI1155+打分卡!$D$14*AJ1155+打分卡!$D$15*AK1155)/5</f>
        <v>10.8</v>
      </c>
      <c r="AQ1155" s="46">
        <f>(打分卡!$D$16*AL1155+打分卡!$D$17*AM1155)/5</f>
        <v>6.8</v>
      </c>
      <c r="AR1155" s="48">
        <f t="shared" si="146"/>
        <v>36</v>
      </c>
      <c r="AS1155" s="45" t="str">
        <f t="shared" si="147"/>
        <v>基础长尾</v>
      </c>
      <c r="AT1155" s="45" t="str">
        <f t="shared" si="148"/>
        <v/>
      </c>
      <c r="AU1155" s="45" t="str">
        <f t="shared" si="149"/>
        <v>激活：企微+Push低成本先跑</v>
      </c>
    </row>
    <row r="1156" ht="15" customHeight="1" spans="1:47">
      <c r="A1156" s="30" t="s">
        <v>3095</v>
      </c>
      <c r="B1156" s="31" t="s">
        <v>3096</v>
      </c>
      <c r="C1156" s="31" t="s">
        <v>223</v>
      </c>
      <c r="D1156" s="31" t="s">
        <v>202</v>
      </c>
      <c r="E1156" s="31" t="s">
        <v>181</v>
      </c>
      <c r="F1156" s="30" t="s">
        <v>2711</v>
      </c>
      <c r="G1156" s="31">
        <v>1</v>
      </c>
      <c r="H1156" s="31" t="s">
        <v>642</v>
      </c>
      <c r="I1156" s="31" t="s">
        <v>302</v>
      </c>
      <c r="J1156" s="33">
        <v>900</v>
      </c>
      <c r="K1156" s="33">
        <v>600</v>
      </c>
      <c r="L1156" s="33">
        <v>400</v>
      </c>
      <c r="M1156" s="33">
        <f t="shared" si="144"/>
        <v>1900</v>
      </c>
      <c r="N1156" s="34">
        <f t="shared" si="150"/>
        <v>9.96101573001663e-6</v>
      </c>
      <c r="O1156" s="35">
        <f>SUM($M$2:M1156)</f>
        <v>190521300</v>
      </c>
      <c r="P1156" s="34">
        <f t="shared" si="151"/>
        <v>0.998834561159588</v>
      </c>
      <c r="Q1156" s="37">
        <v>0.3</v>
      </c>
      <c r="R1156" s="31">
        <v>2</v>
      </c>
      <c r="S1156" s="31">
        <v>1</v>
      </c>
      <c r="T1156" s="31">
        <v>0</v>
      </c>
      <c r="U1156" s="37">
        <v>1.3</v>
      </c>
      <c r="V1156" s="31">
        <v>6</v>
      </c>
      <c r="W1156" s="31">
        <v>2</v>
      </c>
      <c r="X1156" s="38">
        <v>12</v>
      </c>
      <c r="Y1156" s="31">
        <v>0</v>
      </c>
      <c r="Z1156" s="31">
        <v>0</v>
      </c>
      <c r="AA1156" s="31" t="s">
        <v>199</v>
      </c>
      <c r="AB1156" s="31" t="s">
        <v>220</v>
      </c>
      <c r="AC1156" s="41">
        <f>IFERROR(LOOKUP(M1156,打分卡!$F$7:$J$7,打分卡!$K$7:$O$7),1)</f>
        <v>1</v>
      </c>
      <c r="AD1156" s="41">
        <f>IFERROR(LOOKUP(S1156,打分卡!$F$8:$J$8,打分卡!$K$8:$O$8),1)</f>
        <v>1</v>
      </c>
      <c r="AE1156" s="41">
        <f>IFERROR(LOOKUP(T1156,打分卡!$F$9:$I$9,打分卡!$K$9:$N$9),1)</f>
        <v>1</v>
      </c>
      <c r="AF1156" s="41">
        <f>IFERROR(LOOKUP(Q1156,打分卡!$F$10:$J$10,打分卡!$K$10:$O$10),1)</f>
        <v>1</v>
      </c>
      <c r="AG1156" s="41">
        <f>IFERROR(LOOKUP(R1156,打分卡!$F$11:$J$11,打分卡!$K$11:$O$11),1)</f>
        <v>1</v>
      </c>
      <c r="AH1156" s="41">
        <f>IFERROR(LOOKUP(U1156,打分卡!$F$12:$J$12,打分卡!$K$12:$O$12),1)</f>
        <v>1</v>
      </c>
      <c r="AI1156" s="41">
        <f>IFERROR(LOOKUP(X1156,打分卡!$F$13:$J$13,打分卡!$K$13:$O$13),1)</f>
        <v>1</v>
      </c>
      <c r="AJ1156" s="41">
        <f>IFERROR(LOOKUP(Y1156,打分卡!$F$14:$J$14,打分卡!$K$14:$O$14),1)</f>
        <v>1</v>
      </c>
      <c r="AK1156" s="41">
        <f>IFERROR(LOOKUP(W1156,打分卡!$F$15:$J$15,打分卡!$K$15:$O$15),1)</f>
        <v>2</v>
      </c>
      <c r="AL1156" s="43">
        <f t="shared" si="145"/>
        <v>5</v>
      </c>
      <c r="AM1156" s="41">
        <f>IFERROR(LOOKUP(Z1156,打分卡!$F$17:$H$17,打分卡!$K$17:$M$17),1)</f>
        <v>1</v>
      </c>
      <c r="AN1156" s="44">
        <f>(打分卡!$D$7*AC1156+打分卡!$D$8*AD1156+打分卡!$D$9*AE1156)/5</f>
        <v>8</v>
      </c>
      <c r="AO1156" s="44">
        <f>(打分卡!$D$10*AF1156+打分卡!$D$11*AG1156)/5</f>
        <v>4</v>
      </c>
      <c r="AP1156" s="44">
        <f>(打分卡!$D$12*AH1156+打分卡!$D$13*AI1156+打分卡!$D$14*AJ1156+打分卡!$D$15*AK1156)/5</f>
        <v>6.8</v>
      </c>
      <c r="AQ1156" s="44">
        <f>(打分卡!$D$16*AL1156+打分卡!$D$17*AM1156)/5</f>
        <v>6.8</v>
      </c>
      <c r="AR1156" s="47">
        <f t="shared" si="146"/>
        <v>26.6666666666667</v>
      </c>
      <c r="AS1156" s="43" t="str">
        <f t="shared" si="147"/>
        <v>基础长尾</v>
      </c>
      <c r="AT1156" s="43" t="str">
        <f t="shared" si="148"/>
        <v/>
      </c>
      <c r="AU1156" s="43" t="str">
        <f t="shared" si="149"/>
        <v>激活：企微+Push低成本先跑</v>
      </c>
    </row>
    <row r="1157" ht="15" customHeight="1" spans="1:47">
      <c r="A1157" s="20" t="s">
        <v>3097</v>
      </c>
      <c r="B1157" s="22" t="s">
        <v>3098</v>
      </c>
      <c r="C1157" s="22" t="s">
        <v>189</v>
      </c>
      <c r="D1157" s="22" t="s">
        <v>190</v>
      </c>
      <c r="E1157" s="22" t="s">
        <v>197</v>
      </c>
      <c r="F1157" s="20" t="s">
        <v>2676</v>
      </c>
      <c r="G1157" s="22">
        <v>3</v>
      </c>
      <c r="H1157" s="22" t="s">
        <v>642</v>
      </c>
      <c r="I1157" s="22" t="s">
        <v>302</v>
      </c>
      <c r="J1157" s="36">
        <v>1100</v>
      </c>
      <c r="K1157" s="36">
        <v>500</v>
      </c>
      <c r="L1157" s="36">
        <v>200</v>
      </c>
      <c r="M1157" s="36">
        <f t="shared" si="144"/>
        <v>1800</v>
      </c>
      <c r="N1157" s="34">
        <f t="shared" si="150"/>
        <v>9.43675174422628e-6</v>
      </c>
      <c r="O1157" s="35">
        <f>SUM($M$2:M1157)</f>
        <v>190523100</v>
      </c>
      <c r="P1157" s="34">
        <f t="shared" si="151"/>
        <v>0.998843997911332</v>
      </c>
      <c r="Q1157" s="39">
        <v>0.1</v>
      </c>
      <c r="R1157" s="22">
        <v>3</v>
      </c>
      <c r="S1157" s="22">
        <v>0</v>
      </c>
      <c r="T1157" s="22">
        <v>0</v>
      </c>
      <c r="U1157" s="39">
        <v>0.9</v>
      </c>
      <c r="V1157" s="22">
        <v>2</v>
      </c>
      <c r="W1157" s="22">
        <v>1</v>
      </c>
      <c r="X1157" s="40">
        <v>7</v>
      </c>
      <c r="Y1157" s="22">
        <v>0</v>
      </c>
      <c r="Z1157" s="22">
        <v>0</v>
      </c>
      <c r="AA1157" s="22" t="s">
        <v>199</v>
      </c>
      <c r="AB1157" s="22" t="s">
        <v>220</v>
      </c>
      <c r="AC1157" s="42">
        <f>IFERROR(LOOKUP(M1157,打分卡!$F$7:$J$7,打分卡!$K$7:$O$7),1)</f>
        <v>1</v>
      </c>
      <c r="AD1157" s="42">
        <f>IFERROR(LOOKUP(S1157,打分卡!$F$8:$J$8,打分卡!$K$8:$O$8),1)</f>
        <v>1</v>
      </c>
      <c r="AE1157" s="42">
        <f>IFERROR(LOOKUP(T1157,打分卡!$F$9:$I$9,打分卡!$K$9:$N$9),1)</f>
        <v>1</v>
      </c>
      <c r="AF1157" s="42">
        <f>IFERROR(LOOKUP(Q1157,打分卡!$F$10:$J$10,打分卡!$K$10:$O$10),1)</f>
        <v>1</v>
      </c>
      <c r="AG1157" s="42">
        <f>IFERROR(LOOKUP(R1157,打分卡!$F$11:$J$11,打分卡!$K$11:$O$11),1)</f>
        <v>2</v>
      </c>
      <c r="AH1157" s="42">
        <f>IFERROR(LOOKUP(U1157,打分卡!$F$12:$J$12,打分卡!$K$12:$O$12),1)</f>
        <v>1</v>
      </c>
      <c r="AI1157" s="42">
        <f>IFERROR(LOOKUP(X1157,打分卡!$F$13:$J$13,打分卡!$K$13:$O$13),1)</f>
        <v>1</v>
      </c>
      <c r="AJ1157" s="42">
        <f>IFERROR(LOOKUP(Y1157,打分卡!$F$14:$J$14,打分卡!$K$14:$O$14),1)</f>
        <v>1</v>
      </c>
      <c r="AK1157" s="42">
        <f>IFERROR(LOOKUP(W1157,打分卡!$F$15:$J$15,打分卡!$K$15:$O$15),1)</f>
        <v>2</v>
      </c>
      <c r="AL1157" s="45">
        <f t="shared" si="145"/>
        <v>5</v>
      </c>
      <c r="AM1157" s="42">
        <f>IFERROR(LOOKUP(Z1157,打分卡!$F$17:$H$17,打分卡!$K$17:$M$17),1)</f>
        <v>1</v>
      </c>
      <c r="AN1157" s="46">
        <f>(打分卡!$D$7*AC1157+打分卡!$D$8*AD1157+打分卡!$D$9*AE1157)/5</f>
        <v>8</v>
      </c>
      <c r="AO1157" s="46">
        <f>(打分卡!$D$10*AF1157+打分卡!$D$11*AG1157)/5</f>
        <v>6</v>
      </c>
      <c r="AP1157" s="46">
        <f>(打分卡!$D$12*AH1157+打分卡!$D$13*AI1157+打分卡!$D$14*AJ1157+打分卡!$D$15*AK1157)/5</f>
        <v>6.8</v>
      </c>
      <c r="AQ1157" s="46">
        <f>(打分卡!$D$16*AL1157+打分卡!$D$17*AM1157)/5</f>
        <v>6.8</v>
      </c>
      <c r="AR1157" s="48">
        <f t="shared" si="146"/>
        <v>27.6</v>
      </c>
      <c r="AS1157" s="45" t="str">
        <f t="shared" si="147"/>
        <v>基础长尾</v>
      </c>
      <c r="AT1157" s="45" t="str">
        <f t="shared" si="148"/>
        <v/>
      </c>
      <c r="AU1157" s="45" t="str">
        <f t="shared" si="149"/>
        <v>激活：企微+Push低成本先跑</v>
      </c>
    </row>
    <row r="1158" ht="15" customHeight="1" spans="1:47">
      <c r="A1158" s="30" t="s">
        <v>3099</v>
      </c>
      <c r="B1158" s="31" t="s">
        <v>3100</v>
      </c>
      <c r="C1158" s="31" t="s">
        <v>179</v>
      </c>
      <c r="D1158" s="31" t="s">
        <v>202</v>
      </c>
      <c r="E1158" s="31" t="s">
        <v>181</v>
      </c>
      <c r="F1158" s="30" t="s">
        <v>2711</v>
      </c>
      <c r="G1158" s="31">
        <v>1</v>
      </c>
      <c r="H1158" s="31" t="s">
        <v>642</v>
      </c>
      <c r="I1158" s="31" t="s">
        <v>302</v>
      </c>
      <c r="J1158" s="33">
        <v>1200</v>
      </c>
      <c r="K1158" s="33">
        <v>400</v>
      </c>
      <c r="L1158" s="33">
        <v>200</v>
      </c>
      <c r="M1158" s="33">
        <f t="shared" si="144"/>
        <v>1800</v>
      </c>
      <c r="N1158" s="34">
        <f t="shared" si="150"/>
        <v>9.43675174422628e-6</v>
      </c>
      <c r="O1158" s="35">
        <f>SUM($M$2:M1158)</f>
        <v>190524900</v>
      </c>
      <c r="P1158" s="34">
        <f t="shared" si="151"/>
        <v>0.998853434663077</v>
      </c>
      <c r="Q1158" s="37">
        <v>0.2</v>
      </c>
      <c r="R1158" s="31">
        <v>3</v>
      </c>
      <c r="S1158" s="31">
        <v>1</v>
      </c>
      <c r="T1158" s="31">
        <v>0</v>
      </c>
      <c r="U1158" s="37">
        <v>3.2</v>
      </c>
      <c r="V1158" s="31">
        <v>2</v>
      </c>
      <c r="W1158" s="31">
        <v>0</v>
      </c>
      <c r="X1158" s="38">
        <v>5</v>
      </c>
      <c r="Y1158" s="31">
        <v>1</v>
      </c>
      <c r="Z1158" s="31">
        <v>0</v>
      </c>
      <c r="AA1158" s="31" t="s">
        <v>199</v>
      </c>
      <c r="AB1158" s="31" t="s">
        <v>220</v>
      </c>
      <c r="AC1158" s="41">
        <f>IFERROR(LOOKUP(M1158,打分卡!$F$7:$J$7,打分卡!$K$7:$O$7),1)</f>
        <v>1</v>
      </c>
      <c r="AD1158" s="41">
        <f>IFERROR(LOOKUP(S1158,打分卡!$F$8:$J$8,打分卡!$K$8:$O$8),1)</f>
        <v>1</v>
      </c>
      <c r="AE1158" s="41">
        <f>IFERROR(LOOKUP(T1158,打分卡!$F$9:$I$9,打分卡!$K$9:$N$9),1)</f>
        <v>1</v>
      </c>
      <c r="AF1158" s="41">
        <f>IFERROR(LOOKUP(Q1158,打分卡!$F$10:$J$10,打分卡!$K$10:$O$10),1)</f>
        <v>1</v>
      </c>
      <c r="AG1158" s="41">
        <f>IFERROR(LOOKUP(R1158,打分卡!$F$11:$J$11,打分卡!$K$11:$O$11),1)</f>
        <v>2</v>
      </c>
      <c r="AH1158" s="41">
        <f>IFERROR(LOOKUP(U1158,打分卡!$F$12:$J$12,打分卡!$K$12:$O$12),1)</f>
        <v>2</v>
      </c>
      <c r="AI1158" s="41">
        <f>IFERROR(LOOKUP(X1158,打分卡!$F$13:$J$13,打分卡!$K$13:$O$13),1)</f>
        <v>1</v>
      </c>
      <c r="AJ1158" s="41">
        <f>IFERROR(LOOKUP(Y1158,打分卡!$F$14:$J$14,打分卡!$K$14:$O$14),1)</f>
        <v>2</v>
      </c>
      <c r="AK1158" s="41">
        <f>IFERROR(LOOKUP(W1158,打分卡!$F$15:$J$15,打分卡!$K$15:$O$15),1)</f>
        <v>1</v>
      </c>
      <c r="AL1158" s="43">
        <f t="shared" si="145"/>
        <v>5</v>
      </c>
      <c r="AM1158" s="41">
        <f>IFERROR(LOOKUP(Z1158,打分卡!$F$17:$H$17,打分卡!$K$17:$M$17),1)</f>
        <v>1</v>
      </c>
      <c r="AN1158" s="44">
        <f>(打分卡!$D$7*AC1158+打分卡!$D$8*AD1158+打分卡!$D$9*AE1158)/5</f>
        <v>8</v>
      </c>
      <c r="AO1158" s="44">
        <f>(打分卡!$D$10*AF1158+打分卡!$D$11*AG1158)/5</f>
        <v>6</v>
      </c>
      <c r="AP1158" s="44">
        <f>(打分卡!$D$12*AH1158+打分卡!$D$13*AI1158+打分卡!$D$14*AJ1158+打分卡!$D$15*AK1158)/5</f>
        <v>9.6</v>
      </c>
      <c r="AQ1158" s="44">
        <f>(打分卡!$D$16*AL1158+打分卡!$D$17*AM1158)/5</f>
        <v>6.8</v>
      </c>
      <c r="AR1158" s="47">
        <f t="shared" si="146"/>
        <v>35.2</v>
      </c>
      <c r="AS1158" s="43" t="str">
        <f t="shared" si="147"/>
        <v>基础长尾</v>
      </c>
      <c r="AT1158" s="43" t="str">
        <f t="shared" si="148"/>
        <v/>
      </c>
      <c r="AU1158" s="43" t="str">
        <f t="shared" si="149"/>
        <v>激活：企微+Push低成本先跑</v>
      </c>
    </row>
    <row r="1159" ht="15" customHeight="1" spans="1:47">
      <c r="A1159" s="20" t="s">
        <v>3101</v>
      </c>
      <c r="B1159" s="22" t="s">
        <v>3102</v>
      </c>
      <c r="C1159" s="22" t="s">
        <v>189</v>
      </c>
      <c r="D1159" s="22" t="s">
        <v>180</v>
      </c>
      <c r="E1159" s="22" t="s">
        <v>181</v>
      </c>
      <c r="F1159" s="20" t="s">
        <v>3064</v>
      </c>
      <c r="G1159" s="22">
        <v>2</v>
      </c>
      <c r="H1159" s="22" t="s">
        <v>642</v>
      </c>
      <c r="I1159" s="22" t="s">
        <v>302</v>
      </c>
      <c r="J1159" s="36">
        <v>1100</v>
      </c>
      <c r="K1159" s="36">
        <v>600</v>
      </c>
      <c r="L1159" s="36">
        <v>200</v>
      </c>
      <c r="M1159" s="36">
        <f t="shared" si="144"/>
        <v>1900</v>
      </c>
      <c r="N1159" s="34">
        <f t="shared" si="150"/>
        <v>9.96101573001663e-6</v>
      </c>
      <c r="O1159" s="35">
        <f>SUM($M$2:M1159)</f>
        <v>190526800</v>
      </c>
      <c r="P1159" s="34">
        <f t="shared" si="151"/>
        <v>0.998863395678807</v>
      </c>
      <c r="Q1159" s="39">
        <v>0.3</v>
      </c>
      <c r="R1159" s="22">
        <v>2</v>
      </c>
      <c r="S1159" s="22">
        <v>0</v>
      </c>
      <c r="T1159" s="22">
        <v>0</v>
      </c>
      <c r="U1159" s="39">
        <v>40.3</v>
      </c>
      <c r="V1159" s="22">
        <v>9</v>
      </c>
      <c r="W1159" s="22">
        <v>2</v>
      </c>
      <c r="X1159" s="40">
        <v>20</v>
      </c>
      <c r="Y1159" s="22">
        <v>0</v>
      </c>
      <c r="Z1159" s="22">
        <v>0</v>
      </c>
      <c r="AA1159" s="22" t="s">
        <v>199</v>
      </c>
      <c r="AB1159" s="22" t="s">
        <v>220</v>
      </c>
      <c r="AC1159" s="42">
        <f>IFERROR(LOOKUP(M1159,打分卡!$F$7:$J$7,打分卡!$K$7:$O$7),1)</f>
        <v>1</v>
      </c>
      <c r="AD1159" s="42">
        <f>IFERROR(LOOKUP(S1159,打分卡!$F$8:$J$8,打分卡!$K$8:$O$8),1)</f>
        <v>1</v>
      </c>
      <c r="AE1159" s="42">
        <f>IFERROR(LOOKUP(T1159,打分卡!$F$9:$I$9,打分卡!$K$9:$N$9),1)</f>
        <v>1</v>
      </c>
      <c r="AF1159" s="42">
        <f>IFERROR(LOOKUP(Q1159,打分卡!$F$10:$J$10,打分卡!$K$10:$O$10),1)</f>
        <v>1</v>
      </c>
      <c r="AG1159" s="42">
        <f>IFERROR(LOOKUP(R1159,打分卡!$F$11:$J$11,打分卡!$K$11:$O$11),1)</f>
        <v>1</v>
      </c>
      <c r="AH1159" s="42">
        <f>IFERROR(LOOKUP(U1159,打分卡!$F$12:$J$12,打分卡!$K$12:$O$12),1)</f>
        <v>4</v>
      </c>
      <c r="AI1159" s="42">
        <f>IFERROR(LOOKUP(X1159,打分卡!$F$13:$J$13,打分卡!$K$13:$O$13),1)</f>
        <v>2</v>
      </c>
      <c r="AJ1159" s="42">
        <f>IFERROR(LOOKUP(Y1159,打分卡!$F$14:$J$14,打分卡!$K$14:$O$14),1)</f>
        <v>1</v>
      </c>
      <c r="AK1159" s="42">
        <f>IFERROR(LOOKUP(W1159,打分卡!$F$15:$J$15,打分卡!$K$15:$O$15),1)</f>
        <v>2</v>
      </c>
      <c r="AL1159" s="45">
        <f t="shared" si="145"/>
        <v>5</v>
      </c>
      <c r="AM1159" s="42">
        <f>IFERROR(LOOKUP(Z1159,打分卡!$F$17:$H$17,打分卡!$K$17:$M$17),1)</f>
        <v>1</v>
      </c>
      <c r="AN1159" s="46">
        <f>(打分卡!$D$7*AC1159+打分卡!$D$8*AD1159+打分卡!$D$9*AE1159)/5</f>
        <v>8</v>
      </c>
      <c r="AO1159" s="46">
        <f>(打分卡!$D$10*AF1159+打分卡!$D$11*AG1159)/5</f>
        <v>4</v>
      </c>
      <c r="AP1159" s="46">
        <f>(打分卡!$D$12*AH1159+打分卡!$D$13*AI1159+打分卡!$D$14*AJ1159+打分卡!$D$15*AK1159)/5</f>
        <v>15.6</v>
      </c>
      <c r="AQ1159" s="46">
        <f>(打分卡!$D$16*AL1159+打分卡!$D$17*AM1159)/5</f>
        <v>6.8</v>
      </c>
      <c r="AR1159" s="48">
        <f t="shared" si="146"/>
        <v>47.2</v>
      </c>
      <c r="AS1159" s="45" t="str">
        <f t="shared" si="147"/>
        <v>腰部</v>
      </c>
      <c r="AT1159" s="45" t="str">
        <f t="shared" si="148"/>
        <v/>
      </c>
      <c r="AU1159" s="45" t="str">
        <f t="shared" si="149"/>
        <v>拉·主攻：主推AI外呼+大促作战包</v>
      </c>
    </row>
    <row r="1160" ht="15" customHeight="1" spans="1:47">
      <c r="A1160" s="30" t="s">
        <v>3103</v>
      </c>
      <c r="B1160" s="31" t="s">
        <v>3104</v>
      </c>
      <c r="C1160" s="31" t="s">
        <v>239</v>
      </c>
      <c r="D1160" s="31" t="s">
        <v>235</v>
      </c>
      <c r="E1160" s="31" t="s">
        <v>181</v>
      </c>
      <c r="F1160" s="30" t="s">
        <v>2484</v>
      </c>
      <c r="G1160" s="31">
        <v>2</v>
      </c>
      <c r="H1160" s="31" t="s">
        <v>642</v>
      </c>
      <c r="I1160" s="31" t="s">
        <v>302</v>
      </c>
      <c r="J1160" s="33">
        <v>900</v>
      </c>
      <c r="K1160" s="33">
        <v>500</v>
      </c>
      <c r="L1160" s="33">
        <v>500</v>
      </c>
      <c r="M1160" s="33">
        <f t="shared" si="144"/>
        <v>1900</v>
      </c>
      <c r="N1160" s="34">
        <f t="shared" si="150"/>
        <v>9.96101573001663e-6</v>
      </c>
      <c r="O1160" s="35">
        <f>SUM($M$2:M1160)</f>
        <v>190528700</v>
      </c>
      <c r="P1160" s="34">
        <f t="shared" si="151"/>
        <v>0.998873356694537</v>
      </c>
      <c r="Q1160" s="37">
        <v>0.1</v>
      </c>
      <c r="R1160" s="31">
        <v>2</v>
      </c>
      <c r="S1160" s="31">
        <v>0</v>
      </c>
      <c r="T1160" s="31">
        <v>0</v>
      </c>
      <c r="U1160" s="37">
        <v>1.3</v>
      </c>
      <c r="V1160" s="31">
        <v>7</v>
      </c>
      <c r="W1160" s="31">
        <v>2</v>
      </c>
      <c r="X1160" s="38">
        <v>5</v>
      </c>
      <c r="Y1160" s="31">
        <v>0</v>
      </c>
      <c r="Z1160" s="31">
        <v>0</v>
      </c>
      <c r="AA1160" s="31" t="s">
        <v>199</v>
      </c>
      <c r="AB1160" s="31" t="s">
        <v>220</v>
      </c>
      <c r="AC1160" s="41">
        <f>IFERROR(LOOKUP(M1160,打分卡!$F$7:$J$7,打分卡!$K$7:$O$7),1)</f>
        <v>1</v>
      </c>
      <c r="AD1160" s="41">
        <f>IFERROR(LOOKUP(S1160,打分卡!$F$8:$J$8,打分卡!$K$8:$O$8),1)</f>
        <v>1</v>
      </c>
      <c r="AE1160" s="41">
        <f>IFERROR(LOOKUP(T1160,打分卡!$F$9:$I$9,打分卡!$K$9:$N$9),1)</f>
        <v>1</v>
      </c>
      <c r="AF1160" s="41">
        <f>IFERROR(LOOKUP(Q1160,打分卡!$F$10:$J$10,打分卡!$K$10:$O$10),1)</f>
        <v>1</v>
      </c>
      <c r="AG1160" s="41">
        <f>IFERROR(LOOKUP(R1160,打分卡!$F$11:$J$11,打分卡!$K$11:$O$11),1)</f>
        <v>1</v>
      </c>
      <c r="AH1160" s="41">
        <f>IFERROR(LOOKUP(U1160,打分卡!$F$12:$J$12,打分卡!$K$12:$O$12),1)</f>
        <v>1</v>
      </c>
      <c r="AI1160" s="41">
        <f>IFERROR(LOOKUP(X1160,打分卡!$F$13:$J$13,打分卡!$K$13:$O$13),1)</f>
        <v>1</v>
      </c>
      <c r="AJ1160" s="41">
        <f>IFERROR(LOOKUP(Y1160,打分卡!$F$14:$J$14,打分卡!$K$14:$O$14),1)</f>
        <v>1</v>
      </c>
      <c r="AK1160" s="41">
        <f>IFERROR(LOOKUP(W1160,打分卡!$F$15:$J$15,打分卡!$K$15:$O$15),1)</f>
        <v>2</v>
      </c>
      <c r="AL1160" s="43">
        <f t="shared" si="145"/>
        <v>5</v>
      </c>
      <c r="AM1160" s="41">
        <f>IFERROR(LOOKUP(Z1160,打分卡!$F$17:$H$17,打分卡!$K$17:$M$17),1)</f>
        <v>1</v>
      </c>
      <c r="AN1160" s="44">
        <f>(打分卡!$D$7*AC1160+打分卡!$D$8*AD1160+打分卡!$D$9*AE1160)/5</f>
        <v>8</v>
      </c>
      <c r="AO1160" s="44">
        <f>(打分卡!$D$10*AF1160+打分卡!$D$11*AG1160)/5</f>
        <v>4</v>
      </c>
      <c r="AP1160" s="44">
        <f>(打分卡!$D$12*AH1160+打分卡!$D$13*AI1160+打分卡!$D$14*AJ1160+打分卡!$D$15*AK1160)/5</f>
        <v>6.8</v>
      </c>
      <c r="AQ1160" s="44">
        <f>(打分卡!$D$16*AL1160+打分卡!$D$17*AM1160)/5</f>
        <v>6.8</v>
      </c>
      <c r="AR1160" s="47">
        <f t="shared" si="146"/>
        <v>26.6666666666667</v>
      </c>
      <c r="AS1160" s="43" t="str">
        <f t="shared" si="147"/>
        <v>基础长尾</v>
      </c>
      <c r="AT1160" s="43" t="str">
        <f t="shared" si="148"/>
        <v/>
      </c>
      <c r="AU1160" s="43" t="str">
        <f t="shared" si="149"/>
        <v>激活：企微+Push低成本先跑</v>
      </c>
    </row>
    <row r="1161" ht="15" customHeight="1" spans="1:47">
      <c r="A1161" s="20" t="s">
        <v>3105</v>
      </c>
      <c r="B1161" s="22" t="s">
        <v>3106</v>
      </c>
      <c r="C1161" s="22" t="s">
        <v>218</v>
      </c>
      <c r="D1161" s="22" t="s">
        <v>202</v>
      </c>
      <c r="E1161" s="22" t="s">
        <v>197</v>
      </c>
      <c r="F1161" s="20" t="s">
        <v>2852</v>
      </c>
      <c r="G1161" s="22">
        <v>3</v>
      </c>
      <c r="H1161" s="22" t="s">
        <v>642</v>
      </c>
      <c r="I1161" s="22" t="s">
        <v>302</v>
      </c>
      <c r="J1161" s="36">
        <v>1100</v>
      </c>
      <c r="K1161" s="36">
        <v>500</v>
      </c>
      <c r="L1161" s="36">
        <v>100</v>
      </c>
      <c r="M1161" s="36">
        <f t="shared" si="144"/>
        <v>1700</v>
      </c>
      <c r="N1161" s="34">
        <f t="shared" si="150"/>
        <v>8.91248775843593e-6</v>
      </c>
      <c r="O1161" s="35">
        <f>SUM($M$2:M1161)</f>
        <v>190530400</v>
      </c>
      <c r="P1161" s="34">
        <f t="shared" si="151"/>
        <v>0.998882269182295</v>
      </c>
      <c r="Q1161" s="39">
        <v>0.2</v>
      </c>
      <c r="R1161" s="22">
        <v>2</v>
      </c>
      <c r="S1161" s="22">
        <v>1</v>
      </c>
      <c r="T1161" s="22">
        <v>0</v>
      </c>
      <c r="U1161" s="39">
        <v>7.1</v>
      </c>
      <c r="V1161" s="22">
        <v>11</v>
      </c>
      <c r="W1161" s="22">
        <v>2</v>
      </c>
      <c r="X1161" s="40">
        <v>7</v>
      </c>
      <c r="Y1161" s="22">
        <v>0</v>
      </c>
      <c r="Z1161" s="22">
        <v>0</v>
      </c>
      <c r="AA1161" s="22" t="s">
        <v>199</v>
      </c>
      <c r="AB1161" s="22" t="s">
        <v>220</v>
      </c>
      <c r="AC1161" s="42">
        <f>IFERROR(LOOKUP(M1161,打分卡!$F$7:$J$7,打分卡!$K$7:$O$7),1)</f>
        <v>1</v>
      </c>
      <c r="AD1161" s="42">
        <f>IFERROR(LOOKUP(S1161,打分卡!$F$8:$J$8,打分卡!$K$8:$O$8),1)</f>
        <v>1</v>
      </c>
      <c r="AE1161" s="42">
        <f>IFERROR(LOOKUP(T1161,打分卡!$F$9:$I$9,打分卡!$K$9:$N$9),1)</f>
        <v>1</v>
      </c>
      <c r="AF1161" s="42">
        <f>IFERROR(LOOKUP(Q1161,打分卡!$F$10:$J$10,打分卡!$K$10:$O$10),1)</f>
        <v>1</v>
      </c>
      <c r="AG1161" s="42">
        <f>IFERROR(LOOKUP(R1161,打分卡!$F$11:$J$11,打分卡!$K$11:$O$11),1)</f>
        <v>1</v>
      </c>
      <c r="AH1161" s="42">
        <f>IFERROR(LOOKUP(U1161,打分卡!$F$12:$J$12,打分卡!$K$12:$O$12),1)</f>
        <v>2</v>
      </c>
      <c r="AI1161" s="42">
        <f>IFERROR(LOOKUP(X1161,打分卡!$F$13:$J$13,打分卡!$K$13:$O$13),1)</f>
        <v>1</v>
      </c>
      <c r="AJ1161" s="42">
        <f>IFERROR(LOOKUP(Y1161,打分卡!$F$14:$J$14,打分卡!$K$14:$O$14),1)</f>
        <v>1</v>
      </c>
      <c r="AK1161" s="42">
        <f>IFERROR(LOOKUP(W1161,打分卡!$F$15:$J$15,打分卡!$K$15:$O$15),1)</f>
        <v>2</v>
      </c>
      <c r="AL1161" s="45">
        <f t="shared" si="145"/>
        <v>5</v>
      </c>
      <c r="AM1161" s="42">
        <f>IFERROR(LOOKUP(Z1161,打分卡!$F$17:$H$17,打分卡!$K$17:$M$17),1)</f>
        <v>1</v>
      </c>
      <c r="AN1161" s="46">
        <f>(打分卡!$D$7*AC1161+打分卡!$D$8*AD1161+打分卡!$D$9*AE1161)/5</f>
        <v>8</v>
      </c>
      <c r="AO1161" s="46">
        <f>(打分卡!$D$10*AF1161+打分卡!$D$11*AG1161)/5</f>
        <v>4</v>
      </c>
      <c r="AP1161" s="46">
        <f>(打分卡!$D$12*AH1161+打分卡!$D$13*AI1161+打分卡!$D$14*AJ1161+打分卡!$D$15*AK1161)/5</f>
        <v>9.2</v>
      </c>
      <c r="AQ1161" s="46">
        <f>(打分卡!$D$16*AL1161+打分卡!$D$17*AM1161)/5</f>
        <v>6.8</v>
      </c>
      <c r="AR1161" s="48">
        <f t="shared" si="146"/>
        <v>28</v>
      </c>
      <c r="AS1161" s="45" t="str">
        <f t="shared" si="147"/>
        <v>基础长尾</v>
      </c>
      <c r="AT1161" s="45" t="str">
        <f t="shared" si="148"/>
        <v/>
      </c>
      <c r="AU1161" s="45" t="str">
        <f t="shared" si="149"/>
        <v>激活：企微+Push低成本先跑</v>
      </c>
    </row>
    <row r="1162" ht="15" customHeight="1" spans="1:47">
      <c r="A1162" s="30" t="s">
        <v>3107</v>
      </c>
      <c r="B1162" s="31" t="s">
        <v>3108</v>
      </c>
      <c r="C1162" s="31" t="s">
        <v>234</v>
      </c>
      <c r="D1162" s="31" t="s">
        <v>202</v>
      </c>
      <c r="E1162" s="31" t="s">
        <v>181</v>
      </c>
      <c r="F1162" s="30" t="s">
        <v>2711</v>
      </c>
      <c r="G1162" s="31">
        <v>1</v>
      </c>
      <c r="H1162" s="31" t="s">
        <v>642</v>
      </c>
      <c r="I1162" s="31" t="s">
        <v>302</v>
      </c>
      <c r="J1162" s="33">
        <v>900</v>
      </c>
      <c r="K1162" s="33">
        <v>400</v>
      </c>
      <c r="L1162" s="33">
        <v>500</v>
      </c>
      <c r="M1162" s="33">
        <f t="shared" si="144"/>
        <v>1800</v>
      </c>
      <c r="N1162" s="34">
        <f t="shared" si="150"/>
        <v>9.43675174422628e-6</v>
      </c>
      <c r="O1162" s="35">
        <f>SUM($M$2:M1162)</f>
        <v>190532200</v>
      </c>
      <c r="P1162" s="34">
        <f t="shared" si="151"/>
        <v>0.998891705934039</v>
      </c>
      <c r="Q1162" s="37">
        <v>0.3</v>
      </c>
      <c r="R1162" s="31">
        <v>2</v>
      </c>
      <c r="S1162" s="31">
        <v>1</v>
      </c>
      <c r="T1162" s="31">
        <v>0</v>
      </c>
      <c r="U1162" s="37">
        <v>14.2</v>
      </c>
      <c r="V1162" s="31">
        <v>8</v>
      </c>
      <c r="W1162" s="31">
        <v>1</v>
      </c>
      <c r="X1162" s="38">
        <v>5</v>
      </c>
      <c r="Y1162" s="31">
        <v>0</v>
      </c>
      <c r="Z1162" s="31">
        <v>0</v>
      </c>
      <c r="AA1162" s="31" t="s">
        <v>199</v>
      </c>
      <c r="AB1162" s="31" t="s">
        <v>220</v>
      </c>
      <c r="AC1162" s="41">
        <f>IFERROR(LOOKUP(M1162,打分卡!$F$7:$J$7,打分卡!$K$7:$O$7),1)</f>
        <v>1</v>
      </c>
      <c r="AD1162" s="41">
        <f>IFERROR(LOOKUP(S1162,打分卡!$F$8:$J$8,打分卡!$K$8:$O$8),1)</f>
        <v>1</v>
      </c>
      <c r="AE1162" s="41">
        <f>IFERROR(LOOKUP(T1162,打分卡!$F$9:$I$9,打分卡!$K$9:$N$9),1)</f>
        <v>1</v>
      </c>
      <c r="AF1162" s="41">
        <f>IFERROR(LOOKUP(Q1162,打分卡!$F$10:$J$10,打分卡!$K$10:$O$10),1)</f>
        <v>1</v>
      </c>
      <c r="AG1162" s="41">
        <f>IFERROR(LOOKUP(R1162,打分卡!$F$11:$J$11,打分卡!$K$11:$O$11),1)</f>
        <v>1</v>
      </c>
      <c r="AH1162" s="41">
        <f>IFERROR(LOOKUP(U1162,打分卡!$F$12:$J$12,打分卡!$K$12:$O$12),1)</f>
        <v>3</v>
      </c>
      <c r="AI1162" s="41">
        <f>IFERROR(LOOKUP(X1162,打分卡!$F$13:$J$13,打分卡!$K$13:$O$13),1)</f>
        <v>1</v>
      </c>
      <c r="AJ1162" s="41">
        <f>IFERROR(LOOKUP(Y1162,打分卡!$F$14:$J$14,打分卡!$K$14:$O$14),1)</f>
        <v>1</v>
      </c>
      <c r="AK1162" s="41">
        <f>IFERROR(LOOKUP(W1162,打分卡!$F$15:$J$15,打分卡!$K$15:$O$15),1)</f>
        <v>2</v>
      </c>
      <c r="AL1162" s="43">
        <f t="shared" si="145"/>
        <v>5</v>
      </c>
      <c r="AM1162" s="41">
        <f>IFERROR(LOOKUP(Z1162,打分卡!$F$17:$H$17,打分卡!$K$17:$M$17),1)</f>
        <v>1</v>
      </c>
      <c r="AN1162" s="44">
        <f>(打分卡!$D$7*AC1162+打分卡!$D$8*AD1162+打分卡!$D$9*AE1162)/5</f>
        <v>8</v>
      </c>
      <c r="AO1162" s="44">
        <f>(打分卡!$D$10*AF1162+打分卡!$D$11*AG1162)/5</f>
        <v>4</v>
      </c>
      <c r="AP1162" s="44">
        <f>(打分卡!$D$12*AH1162+打分卡!$D$13*AI1162+打分卡!$D$14*AJ1162+打分卡!$D$15*AK1162)/5</f>
        <v>11.6</v>
      </c>
      <c r="AQ1162" s="44">
        <f>(打分卡!$D$16*AL1162+打分卡!$D$17*AM1162)/5</f>
        <v>6.8</v>
      </c>
      <c r="AR1162" s="47">
        <f t="shared" si="146"/>
        <v>37.8666666666667</v>
      </c>
      <c r="AS1162" s="43" t="str">
        <f t="shared" si="147"/>
        <v>基础长尾</v>
      </c>
      <c r="AT1162" s="43" t="str">
        <f t="shared" si="148"/>
        <v/>
      </c>
      <c r="AU1162" s="43" t="str">
        <f t="shared" si="149"/>
        <v>激活：企微+Push低成本先跑</v>
      </c>
    </row>
    <row r="1163" ht="15" customHeight="1" spans="1:47">
      <c r="A1163" s="20" t="s">
        <v>3109</v>
      </c>
      <c r="B1163" s="22" t="s">
        <v>3110</v>
      </c>
      <c r="C1163" s="22" t="s">
        <v>239</v>
      </c>
      <c r="D1163" s="22" t="s">
        <v>196</v>
      </c>
      <c r="E1163" s="22" t="s">
        <v>181</v>
      </c>
      <c r="F1163" s="20" t="s">
        <v>746</v>
      </c>
      <c r="G1163" s="22">
        <v>3</v>
      </c>
      <c r="H1163" s="22" t="s">
        <v>642</v>
      </c>
      <c r="I1163" s="22" t="s">
        <v>302</v>
      </c>
      <c r="J1163" s="36">
        <v>900</v>
      </c>
      <c r="K1163" s="36">
        <v>400</v>
      </c>
      <c r="L1163" s="36">
        <v>500</v>
      </c>
      <c r="M1163" s="36">
        <f t="shared" si="144"/>
        <v>1800</v>
      </c>
      <c r="N1163" s="34">
        <f t="shared" si="150"/>
        <v>9.43675174422628e-6</v>
      </c>
      <c r="O1163" s="35">
        <f>SUM($M$2:M1163)</f>
        <v>190534000</v>
      </c>
      <c r="P1163" s="34">
        <f t="shared" si="151"/>
        <v>0.998901142685783</v>
      </c>
      <c r="Q1163" s="39">
        <v>0.1</v>
      </c>
      <c r="R1163" s="22">
        <v>2</v>
      </c>
      <c r="S1163" s="22">
        <v>1</v>
      </c>
      <c r="T1163" s="22">
        <v>0</v>
      </c>
      <c r="U1163" s="39">
        <v>5.9</v>
      </c>
      <c r="V1163" s="22">
        <v>8</v>
      </c>
      <c r="W1163" s="22">
        <v>1</v>
      </c>
      <c r="X1163" s="40">
        <v>40</v>
      </c>
      <c r="Y1163" s="22">
        <v>1</v>
      </c>
      <c r="Z1163" s="22">
        <v>0</v>
      </c>
      <c r="AA1163" s="22" t="s">
        <v>199</v>
      </c>
      <c r="AB1163" s="22" t="s">
        <v>220</v>
      </c>
      <c r="AC1163" s="42">
        <f>IFERROR(LOOKUP(M1163,打分卡!$F$7:$J$7,打分卡!$K$7:$O$7),1)</f>
        <v>1</v>
      </c>
      <c r="AD1163" s="42">
        <f>IFERROR(LOOKUP(S1163,打分卡!$F$8:$J$8,打分卡!$K$8:$O$8),1)</f>
        <v>1</v>
      </c>
      <c r="AE1163" s="42">
        <f>IFERROR(LOOKUP(T1163,打分卡!$F$9:$I$9,打分卡!$K$9:$N$9),1)</f>
        <v>1</v>
      </c>
      <c r="AF1163" s="42">
        <f>IFERROR(LOOKUP(Q1163,打分卡!$F$10:$J$10,打分卡!$K$10:$O$10),1)</f>
        <v>1</v>
      </c>
      <c r="AG1163" s="42">
        <f>IFERROR(LOOKUP(R1163,打分卡!$F$11:$J$11,打分卡!$K$11:$O$11),1)</f>
        <v>1</v>
      </c>
      <c r="AH1163" s="42">
        <f>IFERROR(LOOKUP(U1163,打分卡!$F$12:$J$12,打分卡!$K$12:$O$12),1)</f>
        <v>2</v>
      </c>
      <c r="AI1163" s="42">
        <f>IFERROR(LOOKUP(X1163,打分卡!$F$13:$J$13,打分卡!$K$13:$O$13),1)</f>
        <v>3</v>
      </c>
      <c r="AJ1163" s="42">
        <f>IFERROR(LOOKUP(Y1163,打分卡!$F$14:$J$14,打分卡!$K$14:$O$14),1)</f>
        <v>2</v>
      </c>
      <c r="AK1163" s="42">
        <f>IFERROR(LOOKUP(W1163,打分卡!$F$15:$J$15,打分卡!$K$15:$O$15),1)</f>
        <v>2</v>
      </c>
      <c r="AL1163" s="45">
        <f t="shared" si="145"/>
        <v>5</v>
      </c>
      <c r="AM1163" s="42">
        <f>IFERROR(LOOKUP(Z1163,打分卡!$F$17:$H$17,打分卡!$K$17:$M$17),1)</f>
        <v>1</v>
      </c>
      <c r="AN1163" s="46">
        <f>(打分卡!$D$7*AC1163+打分卡!$D$8*AD1163+打分卡!$D$9*AE1163)/5</f>
        <v>8</v>
      </c>
      <c r="AO1163" s="46">
        <f>(打分卡!$D$10*AF1163+打分卡!$D$11*AG1163)/5</f>
        <v>4</v>
      </c>
      <c r="AP1163" s="46">
        <f>(打分卡!$D$12*AH1163+打分卡!$D$13*AI1163+打分卡!$D$14*AJ1163+打分卡!$D$15*AK1163)/5</f>
        <v>13.6</v>
      </c>
      <c r="AQ1163" s="46">
        <f>(打分卡!$D$16*AL1163+打分卡!$D$17*AM1163)/5</f>
        <v>6.8</v>
      </c>
      <c r="AR1163" s="48">
        <f t="shared" si="146"/>
        <v>32.4</v>
      </c>
      <c r="AS1163" s="45" t="str">
        <f t="shared" si="147"/>
        <v>基础长尾</v>
      </c>
      <c r="AT1163" s="45" t="str">
        <f t="shared" si="148"/>
        <v/>
      </c>
      <c r="AU1163" s="45" t="str">
        <f t="shared" si="149"/>
        <v>激活：企微+Push低成本先跑</v>
      </c>
    </row>
    <row r="1164" ht="15" customHeight="1" spans="1:47">
      <c r="A1164" s="30" t="s">
        <v>3111</v>
      </c>
      <c r="B1164" s="31" t="s">
        <v>3112</v>
      </c>
      <c r="C1164" s="31" t="s">
        <v>189</v>
      </c>
      <c r="D1164" s="31" t="s">
        <v>202</v>
      </c>
      <c r="E1164" s="31" t="s">
        <v>181</v>
      </c>
      <c r="F1164" s="30" t="s">
        <v>931</v>
      </c>
      <c r="G1164" s="31">
        <v>3</v>
      </c>
      <c r="H1164" s="31" t="s">
        <v>642</v>
      </c>
      <c r="I1164" s="31" t="s">
        <v>302</v>
      </c>
      <c r="J1164" s="33">
        <v>1000</v>
      </c>
      <c r="K1164" s="33">
        <v>600</v>
      </c>
      <c r="L1164" s="33">
        <v>200</v>
      </c>
      <c r="M1164" s="33">
        <f t="shared" si="144"/>
        <v>1800</v>
      </c>
      <c r="N1164" s="34">
        <f t="shared" si="150"/>
        <v>9.43675174422628e-6</v>
      </c>
      <c r="O1164" s="35">
        <f>SUM($M$2:M1164)</f>
        <v>190535800</v>
      </c>
      <c r="P1164" s="34">
        <f t="shared" si="151"/>
        <v>0.998910579437528</v>
      </c>
      <c r="Q1164" s="37">
        <v>0.2</v>
      </c>
      <c r="R1164" s="31">
        <v>2</v>
      </c>
      <c r="S1164" s="31">
        <v>1</v>
      </c>
      <c r="T1164" s="31">
        <v>0</v>
      </c>
      <c r="U1164" s="37">
        <v>0.7</v>
      </c>
      <c r="V1164" s="31">
        <v>11</v>
      </c>
      <c r="W1164" s="31">
        <v>1</v>
      </c>
      <c r="X1164" s="38">
        <v>44</v>
      </c>
      <c r="Y1164" s="31">
        <v>0</v>
      </c>
      <c r="Z1164" s="31">
        <v>0</v>
      </c>
      <c r="AA1164" s="31" t="s">
        <v>199</v>
      </c>
      <c r="AB1164" s="31" t="s">
        <v>220</v>
      </c>
      <c r="AC1164" s="41">
        <f>IFERROR(LOOKUP(M1164,打分卡!$F$7:$J$7,打分卡!$K$7:$O$7),1)</f>
        <v>1</v>
      </c>
      <c r="AD1164" s="41">
        <f>IFERROR(LOOKUP(S1164,打分卡!$F$8:$J$8,打分卡!$K$8:$O$8),1)</f>
        <v>1</v>
      </c>
      <c r="AE1164" s="41">
        <f>IFERROR(LOOKUP(T1164,打分卡!$F$9:$I$9,打分卡!$K$9:$N$9),1)</f>
        <v>1</v>
      </c>
      <c r="AF1164" s="41">
        <f>IFERROR(LOOKUP(Q1164,打分卡!$F$10:$J$10,打分卡!$K$10:$O$10),1)</f>
        <v>1</v>
      </c>
      <c r="AG1164" s="41">
        <f>IFERROR(LOOKUP(R1164,打分卡!$F$11:$J$11,打分卡!$K$11:$O$11),1)</f>
        <v>1</v>
      </c>
      <c r="AH1164" s="41">
        <f>IFERROR(LOOKUP(U1164,打分卡!$F$12:$J$12,打分卡!$K$12:$O$12),1)</f>
        <v>1</v>
      </c>
      <c r="AI1164" s="41">
        <f>IFERROR(LOOKUP(X1164,打分卡!$F$13:$J$13,打分卡!$K$13:$O$13),1)</f>
        <v>3</v>
      </c>
      <c r="AJ1164" s="41">
        <f>IFERROR(LOOKUP(Y1164,打分卡!$F$14:$J$14,打分卡!$K$14:$O$14),1)</f>
        <v>1</v>
      </c>
      <c r="AK1164" s="41">
        <f>IFERROR(LOOKUP(W1164,打分卡!$F$15:$J$15,打分卡!$K$15:$O$15),1)</f>
        <v>2</v>
      </c>
      <c r="AL1164" s="43">
        <f t="shared" si="145"/>
        <v>5</v>
      </c>
      <c r="AM1164" s="41">
        <f>IFERROR(LOOKUP(Z1164,打分卡!$F$17:$H$17,打分卡!$K$17:$M$17),1)</f>
        <v>1</v>
      </c>
      <c r="AN1164" s="44">
        <f>(打分卡!$D$7*AC1164+打分卡!$D$8*AD1164+打分卡!$D$9*AE1164)/5</f>
        <v>8</v>
      </c>
      <c r="AO1164" s="44">
        <f>(打分卡!$D$10*AF1164+打分卡!$D$11*AG1164)/5</f>
        <v>4</v>
      </c>
      <c r="AP1164" s="44">
        <f>(打分卡!$D$12*AH1164+打分卡!$D$13*AI1164+打分卡!$D$14*AJ1164+打分卡!$D$15*AK1164)/5</f>
        <v>10</v>
      </c>
      <c r="AQ1164" s="44">
        <f>(打分卡!$D$16*AL1164+打分卡!$D$17*AM1164)/5</f>
        <v>6.8</v>
      </c>
      <c r="AR1164" s="47">
        <f t="shared" si="146"/>
        <v>28.8</v>
      </c>
      <c r="AS1164" s="43" t="str">
        <f t="shared" si="147"/>
        <v>基础长尾</v>
      </c>
      <c r="AT1164" s="43" t="str">
        <f t="shared" si="148"/>
        <v/>
      </c>
      <c r="AU1164" s="43" t="str">
        <f t="shared" si="149"/>
        <v>激活：企微+Push低成本先跑</v>
      </c>
    </row>
    <row r="1165" ht="15" customHeight="1" spans="1:47">
      <c r="A1165" s="20" t="s">
        <v>3113</v>
      </c>
      <c r="B1165" s="22" t="s">
        <v>3114</v>
      </c>
      <c r="C1165" s="22" t="s">
        <v>179</v>
      </c>
      <c r="D1165" s="22" t="s">
        <v>202</v>
      </c>
      <c r="E1165" s="22" t="s">
        <v>181</v>
      </c>
      <c r="F1165" s="20" t="s">
        <v>2076</v>
      </c>
      <c r="G1165" s="22">
        <v>1</v>
      </c>
      <c r="H1165" s="22" t="s">
        <v>642</v>
      </c>
      <c r="I1165" s="22" t="s">
        <v>302</v>
      </c>
      <c r="J1165" s="36">
        <v>800</v>
      </c>
      <c r="K1165" s="36">
        <v>500</v>
      </c>
      <c r="L1165" s="36">
        <v>500</v>
      </c>
      <c r="M1165" s="36">
        <f t="shared" si="144"/>
        <v>1800</v>
      </c>
      <c r="N1165" s="34">
        <f t="shared" si="150"/>
        <v>9.43675174422628e-6</v>
      </c>
      <c r="O1165" s="35">
        <f>SUM($M$2:M1165)</f>
        <v>190537600</v>
      </c>
      <c r="P1165" s="34">
        <f t="shared" si="151"/>
        <v>0.998920016189272</v>
      </c>
      <c r="Q1165" s="39">
        <v>0.1</v>
      </c>
      <c r="R1165" s="22">
        <v>2</v>
      </c>
      <c r="S1165" s="22">
        <v>0</v>
      </c>
      <c r="T1165" s="22">
        <v>0</v>
      </c>
      <c r="U1165" s="39">
        <v>2.4</v>
      </c>
      <c r="V1165" s="22">
        <v>3</v>
      </c>
      <c r="W1165" s="22">
        <v>1</v>
      </c>
      <c r="X1165" s="40">
        <v>16</v>
      </c>
      <c r="Y1165" s="22">
        <v>0</v>
      </c>
      <c r="Z1165" s="22">
        <v>0</v>
      </c>
      <c r="AA1165" s="22" t="s">
        <v>199</v>
      </c>
      <c r="AB1165" s="22" t="s">
        <v>220</v>
      </c>
      <c r="AC1165" s="42">
        <f>IFERROR(LOOKUP(M1165,打分卡!$F$7:$J$7,打分卡!$K$7:$O$7),1)</f>
        <v>1</v>
      </c>
      <c r="AD1165" s="42">
        <f>IFERROR(LOOKUP(S1165,打分卡!$F$8:$J$8,打分卡!$K$8:$O$8),1)</f>
        <v>1</v>
      </c>
      <c r="AE1165" s="42">
        <f>IFERROR(LOOKUP(T1165,打分卡!$F$9:$I$9,打分卡!$K$9:$N$9),1)</f>
        <v>1</v>
      </c>
      <c r="AF1165" s="42">
        <f>IFERROR(LOOKUP(Q1165,打分卡!$F$10:$J$10,打分卡!$K$10:$O$10),1)</f>
        <v>1</v>
      </c>
      <c r="AG1165" s="42">
        <f>IFERROR(LOOKUP(R1165,打分卡!$F$11:$J$11,打分卡!$K$11:$O$11),1)</f>
        <v>1</v>
      </c>
      <c r="AH1165" s="42">
        <f>IFERROR(LOOKUP(U1165,打分卡!$F$12:$J$12,打分卡!$K$12:$O$12),1)</f>
        <v>1</v>
      </c>
      <c r="AI1165" s="42">
        <f>IFERROR(LOOKUP(X1165,打分卡!$F$13:$J$13,打分卡!$K$13:$O$13),1)</f>
        <v>1</v>
      </c>
      <c r="AJ1165" s="42">
        <f>IFERROR(LOOKUP(Y1165,打分卡!$F$14:$J$14,打分卡!$K$14:$O$14),1)</f>
        <v>1</v>
      </c>
      <c r="AK1165" s="42">
        <f>IFERROR(LOOKUP(W1165,打分卡!$F$15:$J$15,打分卡!$K$15:$O$15),1)</f>
        <v>2</v>
      </c>
      <c r="AL1165" s="45">
        <f t="shared" si="145"/>
        <v>5</v>
      </c>
      <c r="AM1165" s="42">
        <f>IFERROR(LOOKUP(Z1165,打分卡!$F$17:$H$17,打分卡!$K$17:$M$17),1)</f>
        <v>1</v>
      </c>
      <c r="AN1165" s="46">
        <f>(打分卡!$D$7*AC1165+打分卡!$D$8*AD1165+打分卡!$D$9*AE1165)/5</f>
        <v>8</v>
      </c>
      <c r="AO1165" s="46">
        <f>(打分卡!$D$10*AF1165+打分卡!$D$11*AG1165)/5</f>
        <v>4</v>
      </c>
      <c r="AP1165" s="46">
        <f>(打分卡!$D$12*AH1165+打分卡!$D$13*AI1165+打分卡!$D$14*AJ1165+打分卡!$D$15*AK1165)/5</f>
        <v>6.8</v>
      </c>
      <c r="AQ1165" s="46">
        <f>(打分卡!$D$16*AL1165+打分卡!$D$17*AM1165)/5</f>
        <v>6.8</v>
      </c>
      <c r="AR1165" s="48">
        <f t="shared" si="146"/>
        <v>26.6666666666667</v>
      </c>
      <c r="AS1165" s="45" t="str">
        <f t="shared" si="147"/>
        <v>基础长尾</v>
      </c>
      <c r="AT1165" s="45" t="str">
        <f t="shared" si="148"/>
        <v/>
      </c>
      <c r="AU1165" s="45" t="str">
        <f t="shared" si="149"/>
        <v>激活：企微+Push低成本先跑</v>
      </c>
    </row>
    <row r="1166" ht="15" customHeight="1" spans="1:47">
      <c r="A1166" s="30" t="s">
        <v>3115</v>
      </c>
      <c r="B1166" s="31" t="s">
        <v>3116</v>
      </c>
      <c r="C1166" s="31" t="s">
        <v>189</v>
      </c>
      <c r="D1166" s="31" t="s">
        <v>202</v>
      </c>
      <c r="E1166" s="31" t="s">
        <v>197</v>
      </c>
      <c r="F1166" s="30" t="s">
        <v>2706</v>
      </c>
      <c r="G1166" s="31">
        <v>3</v>
      </c>
      <c r="H1166" s="31" t="s">
        <v>642</v>
      </c>
      <c r="I1166" s="31" t="s">
        <v>302</v>
      </c>
      <c r="J1166" s="33">
        <v>1100</v>
      </c>
      <c r="K1166" s="33">
        <v>400</v>
      </c>
      <c r="L1166" s="33">
        <v>300</v>
      </c>
      <c r="M1166" s="33">
        <f t="shared" si="144"/>
        <v>1800</v>
      </c>
      <c r="N1166" s="34">
        <f t="shared" si="150"/>
        <v>9.43675174422628e-6</v>
      </c>
      <c r="O1166" s="35">
        <f>SUM($M$2:M1166)</f>
        <v>190539400</v>
      </c>
      <c r="P1166" s="34">
        <f t="shared" si="151"/>
        <v>0.998929452941016</v>
      </c>
      <c r="Q1166" s="37">
        <v>0.1</v>
      </c>
      <c r="R1166" s="31">
        <v>3</v>
      </c>
      <c r="S1166" s="31">
        <v>0</v>
      </c>
      <c r="T1166" s="31">
        <v>0</v>
      </c>
      <c r="U1166" s="37">
        <v>19.5</v>
      </c>
      <c r="V1166" s="31">
        <v>14</v>
      </c>
      <c r="W1166" s="31">
        <v>1</v>
      </c>
      <c r="X1166" s="38">
        <v>20</v>
      </c>
      <c r="Y1166" s="31">
        <v>1</v>
      </c>
      <c r="Z1166" s="31">
        <v>0</v>
      </c>
      <c r="AA1166" s="31" t="s">
        <v>199</v>
      </c>
      <c r="AB1166" s="31" t="s">
        <v>220</v>
      </c>
      <c r="AC1166" s="41">
        <f>IFERROR(LOOKUP(M1166,打分卡!$F$7:$J$7,打分卡!$K$7:$O$7),1)</f>
        <v>1</v>
      </c>
      <c r="AD1166" s="41">
        <f>IFERROR(LOOKUP(S1166,打分卡!$F$8:$J$8,打分卡!$K$8:$O$8),1)</f>
        <v>1</v>
      </c>
      <c r="AE1166" s="41">
        <f>IFERROR(LOOKUP(T1166,打分卡!$F$9:$I$9,打分卡!$K$9:$N$9),1)</f>
        <v>1</v>
      </c>
      <c r="AF1166" s="41">
        <f>IFERROR(LOOKUP(Q1166,打分卡!$F$10:$J$10,打分卡!$K$10:$O$10),1)</f>
        <v>1</v>
      </c>
      <c r="AG1166" s="41">
        <f>IFERROR(LOOKUP(R1166,打分卡!$F$11:$J$11,打分卡!$K$11:$O$11),1)</f>
        <v>2</v>
      </c>
      <c r="AH1166" s="41">
        <f>IFERROR(LOOKUP(U1166,打分卡!$F$12:$J$12,打分卡!$K$12:$O$12),1)</f>
        <v>3</v>
      </c>
      <c r="AI1166" s="41">
        <f>IFERROR(LOOKUP(X1166,打分卡!$F$13:$J$13,打分卡!$K$13:$O$13),1)</f>
        <v>2</v>
      </c>
      <c r="AJ1166" s="41">
        <f>IFERROR(LOOKUP(Y1166,打分卡!$F$14:$J$14,打分卡!$K$14:$O$14),1)</f>
        <v>2</v>
      </c>
      <c r="AK1166" s="41">
        <f>IFERROR(LOOKUP(W1166,打分卡!$F$15:$J$15,打分卡!$K$15:$O$15),1)</f>
        <v>2</v>
      </c>
      <c r="AL1166" s="43">
        <f t="shared" si="145"/>
        <v>5</v>
      </c>
      <c r="AM1166" s="41">
        <f>IFERROR(LOOKUP(Z1166,打分卡!$F$17:$H$17,打分卡!$K$17:$M$17),1)</f>
        <v>1</v>
      </c>
      <c r="AN1166" s="44">
        <f>(打分卡!$D$7*AC1166+打分卡!$D$8*AD1166+打分卡!$D$9*AE1166)/5</f>
        <v>8</v>
      </c>
      <c r="AO1166" s="44">
        <f>(打分卡!$D$10*AF1166+打分卡!$D$11*AG1166)/5</f>
        <v>6</v>
      </c>
      <c r="AP1166" s="44">
        <f>(打分卡!$D$12*AH1166+打分卡!$D$13*AI1166+打分卡!$D$14*AJ1166+打分卡!$D$15*AK1166)/5</f>
        <v>14.4</v>
      </c>
      <c r="AQ1166" s="44">
        <f>(打分卡!$D$16*AL1166+打分卡!$D$17*AM1166)/5</f>
        <v>6.8</v>
      </c>
      <c r="AR1166" s="47">
        <f t="shared" si="146"/>
        <v>35.2</v>
      </c>
      <c r="AS1166" s="43" t="str">
        <f t="shared" si="147"/>
        <v>基础长尾</v>
      </c>
      <c r="AT1166" s="43" t="str">
        <f t="shared" si="148"/>
        <v/>
      </c>
      <c r="AU1166" s="43" t="str">
        <f t="shared" si="149"/>
        <v>激活：企微+Push低成本先跑</v>
      </c>
    </row>
    <row r="1167" ht="15" customHeight="1" spans="1:47">
      <c r="A1167" s="20" t="s">
        <v>3117</v>
      </c>
      <c r="B1167" s="22" t="s">
        <v>3118</v>
      </c>
      <c r="C1167" s="22" t="s">
        <v>195</v>
      </c>
      <c r="D1167" s="22" t="s">
        <v>202</v>
      </c>
      <c r="E1167" s="22" t="s">
        <v>181</v>
      </c>
      <c r="F1167" s="20" t="s">
        <v>2913</v>
      </c>
      <c r="G1167" s="22">
        <v>2</v>
      </c>
      <c r="H1167" s="22" t="s">
        <v>642</v>
      </c>
      <c r="I1167" s="22" t="s">
        <v>302</v>
      </c>
      <c r="J1167" s="36">
        <v>900</v>
      </c>
      <c r="K1167" s="36">
        <v>600</v>
      </c>
      <c r="L1167" s="36">
        <v>300</v>
      </c>
      <c r="M1167" s="36">
        <f t="shared" si="144"/>
        <v>1800</v>
      </c>
      <c r="N1167" s="34">
        <f t="shared" si="150"/>
        <v>9.43675174422628e-6</v>
      </c>
      <c r="O1167" s="35">
        <f>SUM($M$2:M1167)</f>
        <v>190541200</v>
      </c>
      <c r="P1167" s="34">
        <f t="shared" si="151"/>
        <v>0.99893888969276</v>
      </c>
      <c r="Q1167" s="39">
        <v>0.2</v>
      </c>
      <c r="R1167" s="22">
        <v>1</v>
      </c>
      <c r="S1167" s="22">
        <v>0</v>
      </c>
      <c r="T1167" s="22">
        <v>0</v>
      </c>
      <c r="U1167" s="39">
        <v>5.8</v>
      </c>
      <c r="V1167" s="22">
        <v>9</v>
      </c>
      <c r="W1167" s="22">
        <v>1</v>
      </c>
      <c r="X1167" s="40">
        <v>79</v>
      </c>
      <c r="Y1167" s="22">
        <v>1</v>
      </c>
      <c r="Z1167" s="22">
        <v>0</v>
      </c>
      <c r="AA1167" s="22" t="s">
        <v>199</v>
      </c>
      <c r="AB1167" s="22" t="s">
        <v>220</v>
      </c>
      <c r="AC1167" s="42">
        <f>IFERROR(LOOKUP(M1167,打分卡!$F$7:$J$7,打分卡!$K$7:$O$7),1)</f>
        <v>1</v>
      </c>
      <c r="AD1167" s="42">
        <f>IFERROR(LOOKUP(S1167,打分卡!$F$8:$J$8,打分卡!$K$8:$O$8),1)</f>
        <v>1</v>
      </c>
      <c r="AE1167" s="42">
        <f>IFERROR(LOOKUP(T1167,打分卡!$F$9:$I$9,打分卡!$K$9:$N$9),1)</f>
        <v>1</v>
      </c>
      <c r="AF1167" s="42">
        <f>IFERROR(LOOKUP(Q1167,打分卡!$F$10:$J$10,打分卡!$K$10:$O$10),1)</f>
        <v>1</v>
      </c>
      <c r="AG1167" s="42">
        <f>IFERROR(LOOKUP(R1167,打分卡!$F$11:$J$11,打分卡!$K$11:$O$11),1)</f>
        <v>1</v>
      </c>
      <c r="AH1167" s="42">
        <f>IFERROR(LOOKUP(U1167,打分卡!$F$12:$J$12,打分卡!$K$12:$O$12),1)</f>
        <v>2</v>
      </c>
      <c r="AI1167" s="42">
        <f>IFERROR(LOOKUP(X1167,打分卡!$F$13:$J$13,打分卡!$K$13:$O$13),1)</f>
        <v>3</v>
      </c>
      <c r="AJ1167" s="42">
        <f>IFERROR(LOOKUP(Y1167,打分卡!$F$14:$J$14,打分卡!$K$14:$O$14),1)</f>
        <v>2</v>
      </c>
      <c r="AK1167" s="42">
        <f>IFERROR(LOOKUP(W1167,打分卡!$F$15:$J$15,打分卡!$K$15:$O$15),1)</f>
        <v>2</v>
      </c>
      <c r="AL1167" s="45">
        <f t="shared" si="145"/>
        <v>5</v>
      </c>
      <c r="AM1167" s="42">
        <f>IFERROR(LOOKUP(Z1167,打分卡!$F$17:$H$17,打分卡!$K$17:$M$17),1)</f>
        <v>1</v>
      </c>
      <c r="AN1167" s="46">
        <f>(打分卡!$D$7*AC1167+打分卡!$D$8*AD1167+打分卡!$D$9*AE1167)/5</f>
        <v>8</v>
      </c>
      <c r="AO1167" s="46">
        <f>(打分卡!$D$10*AF1167+打分卡!$D$11*AG1167)/5</f>
        <v>4</v>
      </c>
      <c r="AP1167" s="46">
        <f>(打分卡!$D$12*AH1167+打分卡!$D$13*AI1167+打分卡!$D$14*AJ1167+打分卡!$D$15*AK1167)/5</f>
        <v>13.6</v>
      </c>
      <c r="AQ1167" s="46">
        <f>(打分卡!$D$16*AL1167+打分卡!$D$17*AM1167)/5</f>
        <v>6.8</v>
      </c>
      <c r="AR1167" s="48">
        <f t="shared" si="146"/>
        <v>42.5333333333333</v>
      </c>
      <c r="AS1167" s="45" t="str">
        <f t="shared" si="147"/>
        <v>腰部</v>
      </c>
      <c r="AT1167" s="45" t="str">
        <f t="shared" si="148"/>
        <v/>
      </c>
      <c r="AU1167" s="45" t="str">
        <f t="shared" si="149"/>
        <v>拉·主攻：主推AI外呼+大促作战包</v>
      </c>
    </row>
    <row r="1168" ht="15" customHeight="1" spans="1:47">
      <c r="A1168" s="30" t="s">
        <v>3119</v>
      </c>
      <c r="B1168" s="31" t="s">
        <v>3120</v>
      </c>
      <c r="C1168" s="31" t="s">
        <v>189</v>
      </c>
      <c r="D1168" s="31" t="s">
        <v>190</v>
      </c>
      <c r="E1168" s="31" t="s">
        <v>181</v>
      </c>
      <c r="F1168" s="30" t="s">
        <v>705</v>
      </c>
      <c r="G1168" s="31">
        <v>3</v>
      </c>
      <c r="H1168" s="31" t="s">
        <v>642</v>
      </c>
      <c r="I1168" s="31" t="s">
        <v>302</v>
      </c>
      <c r="J1168" s="33">
        <v>900</v>
      </c>
      <c r="K1168" s="33">
        <v>600</v>
      </c>
      <c r="L1168" s="33">
        <v>300</v>
      </c>
      <c r="M1168" s="33">
        <f t="shared" si="144"/>
        <v>1800</v>
      </c>
      <c r="N1168" s="34">
        <f t="shared" si="150"/>
        <v>9.43675174422628e-6</v>
      </c>
      <c r="O1168" s="35">
        <f>SUM($M$2:M1168)</f>
        <v>190543000</v>
      </c>
      <c r="P1168" s="34">
        <f t="shared" si="151"/>
        <v>0.998948326444505</v>
      </c>
      <c r="Q1168" s="37">
        <v>0.2</v>
      </c>
      <c r="R1168" s="31">
        <v>1</v>
      </c>
      <c r="S1168" s="31">
        <v>0</v>
      </c>
      <c r="T1168" s="31">
        <v>0</v>
      </c>
      <c r="U1168" s="37">
        <v>0.7</v>
      </c>
      <c r="V1168" s="31">
        <v>0</v>
      </c>
      <c r="W1168" s="31">
        <v>0</v>
      </c>
      <c r="X1168" s="38">
        <v>20</v>
      </c>
      <c r="Y1168" s="31">
        <v>0</v>
      </c>
      <c r="Z1168" s="31">
        <v>0</v>
      </c>
      <c r="AA1168" s="31" t="s">
        <v>199</v>
      </c>
      <c r="AB1168" s="31" t="s">
        <v>220</v>
      </c>
      <c r="AC1168" s="41">
        <f>IFERROR(LOOKUP(M1168,打分卡!$F$7:$J$7,打分卡!$K$7:$O$7),1)</f>
        <v>1</v>
      </c>
      <c r="AD1168" s="41">
        <f>IFERROR(LOOKUP(S1168,打分卡!$F$8:$J$8,打分卡!$K$8:$O$8),1)</f>
        <v>1</v>
      </c>
      <c r="AE1168" s="41">
        <f>IFERROR(LOOKUP(T1168,打分卡!$F$9:$I$9,打分卡!$K$9:$N$9),1)</f>
        <v>1</v>
      </c>
      <c r="AF1168" s="41">
        <f>IFERROR(LOOKUP(Q1168,打分卡!$F$10:$J$10,打分卡!$K$10:$O$10),1)</f>
        <v>1</v>
      </c>
      <c r="AG1168" s="41">
        <f>IFERROR(LOOKUP(R1168,打分卡!$F$11:$J$11,打分卡!$K$11:$O$11),1)</f>
        <v>1</v>
      </c>
      <c r="AH1168" s="41">
        <f>IFERROR(LOOKUP(U1168,打分卡!$F$12:$J$12,打分卡!$K$12:$O$12),1)</f>
        <v>1</v>
      </c>
      <c r="AI1168" s="41">
        <f>IFERROR(LOOKUP(X1168,打分卡!$F$13:$J$13,打分卡!$K$13:$O$13),1)</f>
        <v>2</v>
      </c>
      <c r="AJ1168" s="41">
        <f>IFERROR(LOOKUP(Y1168,打分卡!$F$14:$J$14,打分卡!$K$14:$O$14),1)</f>
        <v>1</v>
      </c>
      <c r="AK1168" s="41">
        <f>IFERROR(LOOKUP(W1168,打分卡!$F$15:$J$15,打分卡!$K$15:$O$15),1)</f>
        <v>1</v>
      </c>
      <c r="AL1168" s="43">
        <f t="shared" si="145"/>
        <v>5</v>
      </c>
      <c r="AM1168" s="41">
        <f>IFERROR(LOOKUP(Z1168,打分卡!$F$17:$H$17,打分卡!$K$17:$M$17),1)</f>
        <v>1</v>
      </c>
      <c r="AN1168" s="44">
        <f>(打分卡!$D$7*AC1168+打分卡!$D$8*AD1168+打分卡!$D$9*AE1168)/5</f>
        <v>8</v>
      </c>
      <c r="AO1168" s="44">
        <f>(打分卡!$D$10*AF1168+打分卡!$D$11*AG1168)/5</f>
        <v>4</v>
      </c>
      <c r="AP1168" s="44">
        <f>(打分卡!$D$12*AH1168+打分卡!$D$13*AI1168+打分卡!$D$14*AJ1168+打分卡!$D$15*AK1168)/5</f>
        <v>7.6</v>
      </c>
      <c r="AQ1168" s="44">
        <f>(打分卡!$D$16*AL1168+打分卡!$D$17*AM1168)/5</f>
        <v>6.8</v>
      </c>
      <c r="AR1168" s="47">
        <f t="shared" si="146"/>
        <v>26.4</v>
      </c>
      <c r="AS1168" s="43" t="str">
        <f t="shared" si="147"/>
        <v>基础长尾</v>
      </c>
      <c r="AT1168" s="43" t="str">
        <f t="shared" si="148"/>
        <v/>
      </c>
      <c r="AU1168" s="43" t="str">
        <f t="shared" si="149"/>
        <v>激活：企微+Push低成本先跑</v>
      </c>
    </row>
    <row r="1169" ht="15" customHeight="1" spans="1:47">
      <c r="A1169" s="20" t="s">
        <v>3121</v>
      </c>
      <c r="B1169" s="22" t="s">
        <v>3122</v>
      </c>
      <c r="C1169" s="22" t="s">
        <v>234</v>
      </c>
      <c r="D1169" s="22" t="s">
        <v>202</v>
      </c>
      <c r="E1169" s="22" t="s">
        <v>181</v>
      </c>
      <c r="F1169" s="20" t="s">
        <v>2773</v>
      </c>
      <c r="G1169" s="22">
        <v>2</v>
      </c>
      <c r="H1169" s="22" t="s">
        <v>642</v>
      </c>
      <c r="I1169" s="22" t="s">
        <v>302</v>
      </c>
      <c r="J1169" s="36">
        <v>800</v>
      </c>
      <c r="K1169" s="36">
        <v>700</v>
      </c>
      <c r="L1169" s="36">
        <v>200</v>
      </c>
      <c r="M1169" s="36">
        <f t="shared" si="144"/>
        <v>1700</v>
      </c>
      <c r="N1169" s="34">
        <f t="shared" si="150"/>
        <v>8.91248775843593e-6</v>
      </c>
      <c r="O1169" s="35">
        <f>SUM($M$2:M1169)</f>
        <v>190544700</v>
      </c>
      <c r="P1169" s="34">
        <f t="shared" si="151"/>
        <v>0.998957238932263</v>
      </c>
      <c r="Q1169" s="39">
        <v>0.2</v>
      </c>
      <c r="R1169" s="22">
        <v>2</v>
      </c>
      <c r="S1169" s="22">
        <v>0</v>
      </c>
      <c r="T1169" s="22">
        <v>0</v>
      </c>
      <c r="U1169" s="39">
        <v>1.8</v>
      </c>
      <c r="V1169" s="22">
        <v>2</v>
      </c>
      <c r="W1169" s="22">
        <v>1</v>
      </c>
      <c r="X1169" s="40">
        <v>8</v>
      </c>
      <c r="Y1169" s="22">
        <v>0</v>
      </c>
      <c r="Z1169" s="22">
        <v>0</v>
      </c>
      <c r="AA1169" s="22" t="s">
        <v>199</v>
      </c>
      <c r="AB1169" s="22" t="s">
        <v>220</v>
      </c>
      <c r="AC1169" s="42">
        <f>IFERROR(LOOKUP(M1169,打分卡!$F$7:$J$7,打分卡!$K$7:$O$7),1)</f>
        <v>1</v>
      </c>
      <c r="AD1169" s="42">
        <f>IFERROR(LOOKUP(S1169,打分卡!$F$8:$J$8,打分卡!$K$8:$O$8),1)</f>
        <v>1</v>
      </c>
      <c r="AE1169" s="42">
        <f>IFERROR(LOOKUP(T1169,打分卡!$F$9:$I$9,打分卡!$K$9:$N$9),1)</f>
        <v>1</v>
      </c>
      <c r="AF1169" s="42">
        <f>IFERROR(LOOKUP(Q1169,打分卡!$F$10:$J$10,打分卡!$K$10:$O$10),1)</f>
        <v>1</v>
      </c>
      <c r="AG1169" s="42">
        <f>IFERROR(LOOKUP(R1169,打分卡!$F$11:$J$11,打分卡!$K$11:$O$11),1)</f>
        <v>1</v>
      </c>
      <c r="AH1169" s="42">
        <f>IFERROR(LOOKUP(U1169,打分卡!$F$12:$J$12,打分卡!$K$12:$O$12),1)</f>
        <v>1</v>
      </c>
      <c r="AI1169" s="42">
        <f>IFERROR(LOOKUP(X1169,打分卡!$F$13:$J$13,打分卡!$K$13:$O$13),1)</f>
        <v>1</v>
      </c>
      <c r="AJ1169" s="42">
        <f>IFERROR(LOOKUP(Y1169,打分卡!$F$14:$J$14,打分卡!$K$14:$O$14),1)</f>
        <v>1</v>
      </c>
      <c r="AK1169" s="42">
        <f>IFERROR(LOOKUP(W1169,打分卡!$F$15:$J$15,打分卡!$K$15:$O$15),1)</f>
        <v>2</v>
      </c>
      <c r="AL1169" s="45">
        <f t="shared" si="145"/>
        <v>5</v>
      </c>
      <c r="AM1169" s="42">
        <f>IFERROR(LOOKUP(Z1169,打分卡!$F$17:$H$17,打分卡!$K$17:$M$17),1)</f>
        <v>1</v>
      </c>
      <c r="AN1169" s="46">
        <f>(打分卡!$D$7*AC1169+打分卡!$D$8*AD1169+打分卡!$D$9*AE1169)/5</f>
        <v>8</v>
      </c>
      <c r="AO1169" s="46">
        <f>(打分卡!$D$10*AF1169+打分卡!$D$11*AG1169)/5</f>
        <v>4</v>
      </c>
      <c r="AP1169" s="46">
        <f>(打分卡!$D$12*AH1169+打分卡!$D$13*AI1169+打分卡!$D$14*AJ1169+打分卡!$D$15*AK1169)/5</f>
        <v>6.8</v>
      </c>
      <c r="AQ1169" s="46">
        <f>(打分卡!$D$16*AL1169+打分卡!$D$17*AM1169)/5</f>
        <v>6.8</v>
      </c>
      <c r="AR1169" s="48">
        <f t="shared" si="146"/>
        <v>26.6666666666667</v>
      </c>
      <c r="AS1169" s="45" t="str">
        <f t="shared" si="147"/>
        <v>基础长尾</v>
      </c>
      <c r="AT1169" s="45" t="str">
        <f t="shared" si="148"/>
        <v/>
      </c>
      <c r="AU1169" s="45" t="str">
        <f t="shared" si="149"/>
        <v>激活：企微+Push低成本先跑</v>
      </c>
    </row>
    <row r="1170" ht="15" customHeight="1" spans="1:47">
      <c r="A1170" s="30" t="s">
        <v>3123</v>
      </c>
      <c r="B1170" s="31" t="s">
        <v>3124</v>
      </c>
      <c r="C1170" s="31" t="s">
        <v>179</v>
      </c>
      <c r="D1170" s="31" t="s">
        <v>196</v>
      </c>
      <c r="E1170" s="31" t="s">
        <v>197</v>
      </c>
      <c r="F1170" s="30" t="s">
        <v>3125</v>
      </c>
      <c r="G1170" s="31">
        <v>1</v>
      </c>
      <c r="H1170" s="31" t="s">
        <v>642</v>
      </c>
      <c r="I1170" s="31" t="s">
        <v>302</v>
      </c>
      <c r="J1170" s="33">
        <v>800</v>
      </c>
      <c r="K1170" s="33">
        <v>500</v>
      </c>
      <c r="L1170" s="33">
        <v>400</v>
      </c>
      <c r="M1170" s="33">
        <f t="shared" si="144"/>
        <v>1700</v>
      </c>
      <c r="N1170" s="34">
        <f t="shared" si="150"/>
        <v>8.91248775843593e-6</v>
      </c>
      <c r="O1170" s="35">
        <f>SUM($M$2:M1170)</f>
        <v>190546400</v>
      </c>
      <c r="P1170" s="34">
        <f t="shared" si="151"/>
        <v>0.998966151420021</v>
      </c>
      <c r="Q1170" s="37">
        <v>0.2</v>
      </c>
      <c r="R1170" s="31">
        <v>2</v>
      </c>
      <c r="S1170" s="31">
        <v>1</v>
      </c>
      <c r="T1170" s="31">
        <v>0</v>
      </c>
      <c r="U1170" s="37">
        <v>45.4</v>
      </c>
      <c r="V1170" s="31">
        <v>10</v>
      </c>
      <c r="W1170" s="31">
        <v>2</v>
      </c>
      <c r="X1170" s="38">
        <v>7</v>
      </c>
      <c r="Y1170" s="31">
        <v>1</v>
      </c>
      <c r="Z1170" s="31">
        <v>0</v>
      </c>
      <c r="AA1170" s="31" t="s">
        <v>199</v>
      </c>
      <c r="AB1170" s="31" t="s">
        <v>220</v>
      </c>
      <c r="AC1170" s="41">
        <f>IFERROR(LOOKUP(M1170,打分卡!$F$7:$J$7,打分卡!$K$7:$O$7),1)</f>
        <v>1</v>
      </c>
      <c r="AD1170" s="41">
        <f>IFERROR(LOOKUP(S1170,打分卡!$F$8:$J$8,打分卡!$K$8:$O$8),1)</f>
        <v>1</v>
      </c>
      <c r="AE1170" s="41">
        <f>IFERROR(LOOKUP(T1170,打分卡!$F$9:$I$9,打分卡!$K$9:$N$9),1)</f>
        <v>1</v>
      </c>
      <c r="AF1170" s="41">
        <f>IFERROR(LOOKUP(Q1170,打分卡!$F$10:$J$10,打分卡!$K$10:$O$10),1)</f>
        <v>1</v>
      </c>
      <c r="AG1170" s="41">
        <f>IFERROR(LOOKUP(R1170,打分卡!$F$11:$J$11,打分卡!$K$11:$O$11),1)</f>
        <v>1</v>
      </c>
      <c r="AH1170" s="41">
        <f>IFERROR(LOOKUP(U1170,打分卡!$F$12:$J$12,打分卡!$K$12:$O$12),1)</f>
        <v>4</v>
      </c>
      <c r="AI1170" s="41">
        <f>IFERROR(LOOKUP(X1170,打分卡!$F$13:$J$13,打分卡!$K$13:$O$13),1)</f>
        <v>1</v>
      </c>
      <c r="AJ1170" s="41">
        <f>IFERROR(LOOKUP(Y1170,打分卡!$F$14:$J$14,打分卡!$K$14:$O$14),1)</f>
        <v>2</v>
      </c>
      <c r="AK1170" s="41">
        <f>IFERROR(LOOKUP(W1170,打分卡!$F$15:$J$15,打分卡!$K$15:$O$15),1)</f>
        <v>2</v>
      </c>
      <c r="AL1170" s="43">
        <f t="shared" si="145"/>
        <v>5</v>
      </c>
      <c r="AM1170" s="41">
        <f>IFERROR(LOOKUP(Z1170,打分卡!$F$17:$H$17,打分卡!$K$17:$M$17),1)</f>
        <v>1</v>
      </c>
      <c r="AN1170" s="44">
        <f>(打分卡!$D$7*AC1170+打分卡!$D$8*AD1170+打分卡!$D$9*AE1170)/5</f>
        <v>8</v>
      </c>
      <c r="AO1170" s="44">
        <f>(打分卡!$D$10*AF1170+打分卡!$D$11*AG1170)/5</f>
        <v>4</v>
      </c>
      <c r="AP1170" s="44">
        <f>(打分卡!$D$12*AH1170+打分卡!$D$13*AI1170+打分卡!$D$14*AJ1170+打分卡!$D$15*AK1170)/5</f>
        <v>15.2</v>
      </c>
      <c r="AQ1170" s="44">
        <f>(打分卡!$D$16*AL1170+打分卡!$D$17*AM1170)/5</f>
        <v>6.8</v>
      </c>
      <c r="AR1170" s="47">
        <f t="shared" si="146"/>
        <v>46.2666666666667</v>
      </c>
      <c r="AS1170" s="43" t="str">
        <f t="shared" si="147"/>
        <v>腰部</v>
      </c>
      <c r="AT1170" s="43" t="str">
        <f t="shared" si="148"/>
        <v/>
      </c>
      <c r="AU1170" s="43" t="str">
        <f t="shared" si="149"/>
        <v>拉·主攻：主推AI外呼+大促作战包</v>
      </c>
    </row>
    <row r="1171" ht="15" customHeight="1" spans="1:47">
      <c r="A1171" s="20" t="s">
        <v>3126</v>
      </c>
      <c r="B1171" s="22" t="s">
        <v>3127</v>
      </c>
      <c r="C1171" s="22" t="s">
        <v>239</v>
      </c>
      <c r="D1171" s="22" t="s">
        <v>190</v>
      </c>
      <c r="E1171" s="22" t="s">
        <v>181</v>
      </c>
      <c r="F1171" s="20" t="s">
        <v>956</v>
      </c>
      <c r="G1171" s="22">
        <v>3</v>
      </c>
      <c r="H1171" s="22" t="s">
        <v>642</v>
      </c>
      <c r="I1171" s="22" t="s">
        <v>302</v>
      </c>
      <c r="J1171" s="36">
        <v>1000</v>
      </c>
      <c r="K1171" s="36">
        <v>600</v>
      </c>
      <c r="L1171" s="36">
        <v>100</v>
      </c>
      <c r="M1171" s="36">
        <f t="shared" si="144"/>
        <v>1700</v>
      </c>
      <c r="N1171" s="34">
        <f t="shared" si="150"/>
        <v>8.91248775843593e-6</v>
      </c>
      <c r="O1171" s="35">
        <f>SUM($M$2:M1171)</f>
        <v>190548100</v>
      </c>
      <c r="P1171" s="34">
        <f t="shared" si="151"/>
        <v>0.99897506390778</v>
      </c>
      <c r="Q1171" s="39">
        <v>0.2</v>
      </c>
      <c r="R1171" s="22">
        <v>1</v>
      </c>
      <c r="S1171" s="22">
        <v>1</v>
      </c>
      <c r="T1171" s="22">
        <v>0</v>
      </c>
      <c r="U1171" s="39">
        <v>2</v>
      </c>
      <c r="V1171" s="22">
        <v>11</v>
      </c>
      <c r="W1171" s="22">
        <v>0</v>
      </c>
      <c r="X1171" s="40">
        <v>63</v>
      </c>
      <c r="Y1171" s="22">
        <v>0</v>
      </c>
      <c r="Z1171" s="22">
        <v>0</v>
      </c>
      <c r="AA1171" s="22" t="s">
        <v>199</v>
      </c>
      <c r="AB1171" s="22" t="s">
        <v>220</v>
      </c>
      <c r="AC1171" s="42">
        <f>IFERROR(LOOKUP(M1171,打分卡!$F$7:$J$7,打分卡!$K$7:$O$7),1)</f>
        <v>1</v>
      </c>
      <c r="AD1171" s="42">
        <f>IFERROR(LOOKUP(S1171,打分卡!$F$8:$J$8,打分卡!$K$8:$O$8),1)</f>
        <v>1</v>
      </c>
      <c r="AE1171" s="42">
        <f>IFERROR(LOOKUP(T1171,打分卡!$F$9:$I$9,打分卡!$K$9:$N$9),1)</f>
        <v>1</v>
      </c>
      <c r="AF1171" s="42">
        <f>IFERROR(LOOKUP(Q1171,打分卡!$F$10:$J$10,打分卡!$K$10:$O$10),1)</f>
        <v>1</v>
      </c>
      <c r="AG1171" s="42">
        <f>IFERROR(LOOKUP(R1171,打分卡!$F$11:$J$11,打分卡!$K$11:$O$11),1)</f>
        <v>1</v>
      </c>
      <c r="AH1171" s="42">
        <f>IFERROR(LOOKUP(U1171,打分卡!$F$12:$J$12,打分卡!$K$12:$O$12),1)</f>
        <v>1</v>
      </c>
      <c r="AI1171" s="42">
        <f>IFERROR(LOOKUP(X1171,打分卡!$F$13:$J$13,打分卡!$K$13:$O$13),1)</f>
        <v>3</v>
      </c>
      <c r="AJ1171" s="42">
        <f>IFERROR(LOOKUP(Y1171,打分卡!$F$14:$J$14,打分卡!$K$14:$O$14),1)</f>
        <v>1</v>
      </c>
      <c r="AK1171" s="42">
        <f>IFERROR(LOOKUP(W1171,打分卡!$F$15:$J$15,打分卡!$K$15:$O$15),1)</f>
        <v>1</v>
      </c>
      <c r="AL1171" s="45">
        <f t="shared" si="145"/>
        <v>5</v>
      </c>
      <c r="AM1171" s="42">
        <f>IFERROR(LOOKUP(Z1171,打分卡!$F$17:$H$17,打分卡!$K$17:$M$17),1)</f>
        <v>1</v>
      </c>
      <c r="AN1171" s="46">
        <f>(打分卡!$D$7*AC1171+打分卡!$D$8*AD1171+打分卡!$D$9*AE1171)/5</f>
        <v>8</v>
      </c>
      <c r="AO1171" s="46">
        <f>(打分卡!$D$10*AF1171+打分卡!$D$11*AG1171)/5</f>
        <v>4</v>
      </c>
      <c r="AP1171" s="46">
        <f>(打分卡!$D$12*AH1171+打分卡!$D$13*AI1171+打分卡!$D$14*AJ1171+打分卡!$D$15*AK1171)/5</f>
        <v>9.2</v>
      </c>
      <c r="AQ1171" s="46">
        <f>(打分卡!$D$16*AL1171+打分卡!$D$17*AM1171)/5</f>
        <v>6.8</v>
      </c>
      <c r="AR1171" s="48">
        <f t="shared" si="146"/>
        <v>28</v>
      </c>
      <c r="AS1171" s="45" t="str">
        <f t="shared" si="147"/>
        <v>基础长尾</v>
      </c>
      <c r="AT1171" s="45" t="str">
        <f t="shared" si="148"/>
        <v/>
      </c>
      <c r="AU1171" s="45" t="str">
        <f t="shared" si="149"/>
        <v>激活：企微+Push低成本先跑</v>
      </c>
    </row>
    <row r="1172" ht="15" customHeight="1" spans="1:47">
      <c r="A1172" s="30" t="s">
        <v>3128</v>
      </c>
      <c r="B1172" s="31" t="s">
        <v>3129</v>
      </c>
      <c r="C1172" s="31" t="s">
        <v>239</v>
      </c>
      <c r="D1172" s="31" t="s">
        <v>180</v>
      </c>
      <c r="E1172" s="31" t="s">
        <v>181</v>
      </c>
      <c r="F1172" s="30" t="s">
        <v>1725</v>
      </c>
      <c r="G1172" s="31">
        <v>3</v>
      </c>
      <c r="H1172" s="31" t="s">
        <v>642</v>
      </c>
      <c r="I1172" s="31" t="s">
        <v>302</v>
      </c>
      <c r="J1172" s="33">
        <v>800</v>
      </c>
      <c r="K1172" s="33">
        <v>500</v>
      </c>
      <c r="L1172" s="33">
        <v>400</v>
      </c>
      <c r="M1172" s="33">
        <f t="shared" si="144"/>
        <v>1700</v>
      </c>
      <c r="N1172" s="34">
        <f t="shared" si="150"/>
        <v>8.91248775843593e-6</v>
      </c>
      <c r="O1172" s="35">
        <f>SUM($M$2:M1172)</f>
        <v>190549800</v>
      </c>
      <c r="P1172" s="34">
        <f t="shared" si="151"/>
        <v>0.998983976395538</v>
      </c>
      <c r="Q1172" s="37">
        <v>0.1</v>
      </c>
      <c r="R1172" s="31">
        <v>3</v>
      </c>
      <c r="S1172" s="31">
        <v>0</v>
      </c>
      <c r="T1172" s="31">
        <v>0</v>
      </c>
      <c r="U1172" s="37">
        <v>1.1</v>
      </c>
      <c r="V1172" s="31">
        <v>3</v>
      </c>
      <c r="W1172" s="31">
        <v>0</v>
      </c>
      <c r="X1172" s="38">
        <v>5</v>
      </c>
      <c r="Y1172" s="31">
        <v>0</v>
      </c>
      <c r="Z1172" s="31">
        <v>0</v>
      </c>
      <c r="AA1172" s="31" t="s">
        <v>199</v>
      </c>
      <c r="AB1172" s="31" t="s">
        <v>220</v>
      </c>
      <c r="AC1172" s="41">
        <f>IFERROR(LOOKUP(M1172,打分卡!$F$7:$J$7,打分卡!$K$7:$O$7),1)</f>
        <v>1</v>
      </c>
      <c r="AD1172" s="41">
        <f>IFERROR(LOOKUP(S1172,打分卡!$F$8:$J$8,打分卡!$K$8:$O$8),1)</f>
        <v>1</v>
      </c>
      <c r="AE1172" s="41">
        <f>IFERROR(LOOKUP(T1172,打分卡!$F$9:$I$9,打分卡!$K$9:$N$9),1)</f>
        <v>1</v>
      </c>
      <c r="AF1172" s="41">
        <f>IFERROR(LOOKUP(Q1172,打分卡!$F$10:$J$10,打分卡!$K$10:$O$10),1)</f>
        <v>1</v>
      </c>
      <c r="AG1172" s="41">
        <f>IFERROR(LOOKUP(R1172,打分卡!$F$11:$J$11,打分卡!$K$11:$O$11),1)</f>
        <v>2</v>
      </c>
      <c r="AH1172" s="41">
        <f>IFERROR(LOOKUP(U1172,打分卡!$F$12:$J$12,打分卡!$K$12:$O$12),1)</f>
        <v>1</v>
      </c>
      <c r="AI1172" s="41">
        <f>IFERROR(LOOKUP(X1172,打分卡!$F$13:$J$13,打分卡!$K$13:$O$13),1)</f>
        <v>1</v>
      </c>
      <c r="AJ1172" s="41">
        <f>IFERROR(LOOKUP(Y1172,打分卡!$F$14:$J$14,打分卡!$K$14:$O$14),1)</f>
        <v>1</v>
      </c>
      <c r="AK1172" s="41">
        <f>IFERROR(LOOKUP(W1172,打分卡!$F$15:$J$15,打分卡!$K$15:$O$15),1)</f>
        <v>1</v>
      </c>
      <c r="AL1172" s="43">
        <f t="shared" si="145"/>
        <v>5</v>
      </c>
      <c r="AM1172" s="41">
        <f>IFERROR(LOOKUP(Z1172,打分卡!$F$17:$H$17,打分卡!$K$17:$M$17),1)</f>
        <v>1</v>
      </c>
      <c r="AN1172" s="44">
        <f>(打分卡!$D$7*AC1172+打分卡!$D$8*AD1172+打分卡!$D$9*AE1172)/5</f>
        <v>8</v>
      </c>
      <c r="AO1172" s="44">
        <f>(打分卡!$D$10*AF1172+打分卡!$D$11*AG1172)/5</f>
        <v>6</v>
      </c>
      <c r="AP1172" s="44">
        <f>(打分卡!$D$12*AH1172+打分卡!$D$13*AI1172+打分卡!$D$14*AJ1172+打分卡!$D$15*AK1172)/5</f>
        <v>6</v>
      </c>
      <c r="AQ1172" s="44">
        <f>(打分卡!$D$16*AL1172+打分卡!$D$17*AM1172)/5</f>
        <v>6.8</v>
      </c>
      <c r="AR1172" s="47">
        <f t="shared" si="146"/>
        <v>26.8</v>
      </c>
      <c r="AS1172" s="43" t="str">
        <f t="shared" si="147"/>
        <v>基础长尾</v>
      </c>
      <c r="AT1172" s="43" t="str">
        <f t="shared" si="148"/>
        <v/>
      </c>
      <c r="AU1172" s="43" t="str">
        <f t="shared" si="149"/>
        <v>激活：企微+Push低成本先跑</v>
      </c>
    </row>
    <row r="1173" ht="15" customHeight="1" spans="1:47">
      <c r="A1173" s="20" t="s">
        <v>3130</v>
      </c>
      <c r="B1173" s="22" t="s">
        <v>3131</v>
      </c>
      <c r="C1173" s="22" t="s">
        <v>179</v>
      </c>
      <c r="D1173" s="22" t="s">
        <v>235</v>
      </c>
      <c r="E1173" s="22" t="s">
        <v>181</v>
      </c>
      <c r="F1173" s="20" t="s">
        <v>2883</v>
      </c>
      <c r="G1173" s="22">
        <v>2</v>
      </c>
      <c r="H1173" s="22" t="s">
        <v>642</v>
      </c>
      <c r="I1173" s="22" t="s">
        <v>302</v>
      </c>
      <c r="J1173" s="36">
        <v>1100</v>
      </c>
      <c r="K1173" s="36">
        <v>500</v>
      </c>
      <c r="L1173" s="36">
        <v>100</v>
      </c>
      <c r="M1173" s="36">
        <f t="shared" si="144"/>
        <v>1700</v>
      </c>
      <c r="N1173" s="34">
        <f t="shared" si="150"/>
        <v>8.91248775843593e-6</v>
      </c>
      <c r="O1173" s="35">
        <f>SUM($M$2:M1173)</f>
        <v>190551500</v>
      </c>
      <c r="P1173" s="34">
        <f t="shared" si="151"/>
        <v>0.998992888883297</v>
      </c>
      <c r="Q1173" s="39">
        <v>0.1</v>
      </c>
      <c r="R1173" s="22">
        <v>2</v>
      </c>
      <c r="S1173" s="22">
        <v>0</v>
      </c>
      <c r="T1173" s="22">
        <v>0</v>
      </c>
      <c r="U1173" s="39">
        <v>19</v>
      </c>
      <c r="V1173" s="22">
        <v>1</v>
      </c>
      <c r="W1173" s="22">
        <v>2</v>
      </c>
      <c r="X1173" s="40">
        <v>22</v>
      </c>
      <c r="Y1173" s="22">
        <v>0</v>
      </c>
      <c r="Z1173" s="22">
        <v>0</v>
      </c>
      <c r="AA1173" s="22" t="s">
        <v>199</v>
      </c>
      <c r="AB1173" s="22" t="s">
        <v>220</v>
      </c>
      <c r="AC1173" s="42">
        <f>IFERROR(LOOKUP(M1173,打分卡!$F$7:$J$7,打分卡!$K$7:$O$7),1)</f>
        <v>1</v>
      </c>
      <c r="AD1173" s="42">
        <f>IFERROR(LOOKUP(S1173,打分卡!$F$8:$J$8,打分卡!$K$8:$O$8),1)</f>
        <v>1</v>
      </c>
      <c r="AE1173" s="42">
        <f>IFERROR(LOOKUP(T1173,打分卡!$F$9:$I$9,打分卡!$K$9:$N$9),1)</f>
        <v>1</v>
      </c>
      <c r="AF1173" s="42">
        <f>IFERROR(LOOKUP(Q1173,打分卡!$F$10:$J$10,打分卡!$K$10:$O$10),1)</f>
        <v>1</v>
      </c>
      <c r="AG1173" s="42">
        <f>IFERROR(LOOKUP(R1173,打分卡!$F$11:$J$11,打分卡!$K$11:$O$11),1)</f>
        <v>1</v>
      </c>
      <c r="AH1173" s="42">
        <f>IFERROR(LOOKUP(U1173,打分卡!$F$12:$J$12,打分卡!$K$12:$O$12),1)</f>
        <v>3</v>
      </c>
      <c r="AI1173" s="42">
        <f>IFERROR(LOOKUP(X1173,打分卡!$F$13:$J$13,打分卡!$K$13:$O$13),1)</f>
        <v>2</v>
      </c>
      <c r="AJ1173" s="42">
        <f>IFERROR(LOOKUP(Y1173,打分卡!$F$14:$J$14,打分卡!$K$14:$O$14),1)</f>
        <v>1</v>
      </c>
      <c r="AK1173" s="42">
        <f>IFERROR(LOOKUP(W1173,打分卡!$F$15:$J$15,打分卡!$K$15:$O$15),1)</f>
        <v>2</v>
      </c>
      <c r="AL1173" s="45">
        <f t="shared" si="145"/>
        <v>5</v>
      </c>
      <c r="AM1173" s="42">
        <f>IFERROR(LOOKUP(Z1173,打分卡!$F$17:$H$17,打分卡!$K$17:$M$17),1)</f>
        <v>1</v>
      </c>
      <c r="AN1173" s="46">
        <f>(打分卡!$D$7*AC1173+打分卡!$D$8*AD1173+打分卡!$D$9*AE1173)/5</f>
        <v>8</v>
      </c>
      <c r="AO1173" s="46">
        <f>(打分卡!$D$10*AF1173+打分卡!$D$11*AG1173)/5</f>
        <v>4</v>
      </c>
      <c r="AP1173" s="46">
        <f>(打分卡!$D$12*AH1173+打分卡!$D$13*AI1173+打分卡!$D$14*AJ1173+打分卡!$D$15*AK1173)/5</f>
        <v>13.2</v>
      </c>
      <c r="AQ1173" s="46">
        <f>(打分卡!$D$16*AL1173+打分卡!$D$17*AM1173)/5</f>
        <v>6.8</v>
      </c>
      <c r="AR1173" s="48">
        <f t="shared" si="146"/>
        <v>41.6</v>
      </c>
      <c r="AS1173" s="45" t="str">
        <f t="shared" si="147"/>
        <v>腰部</v>
      </c>
      <c r="AT1173" s="45" t="str">
        <f t="shared" si="148"/>
        <v/>
      </c>
      <c r="AU1173" s="45" t="str">
        <f t="shared" si="149"/>
        <v>拉·主攻：主推AI外呼+大促作战包</v>
      </c>
    </row>
    <row r="1174" ht="15" customHeight="1" spans="1:47">
      <c r="A1174" s="30" t="s">
        <v>3132</v>
      </c>
      <c r="B1174" s="31" t="s">
        <v>3133</v>
      </c>
      <c r="C1174" s="31" t="s">
        <v>189</v>
      </c>
      <c r="D1174" s="31" t="s">
        <v>196</v>
      </c>
      <c r="E1174" s="31" t="s">
        <v>181</v>
      </c>
      <c r="F1174" s="30" t="s">
        <v>1243</v>
      </c>
      <c r="G1174" s="31">
        <v>3</v>
      </c>
      <c r="H1174" s="31" t="s">
        <v>642</v>
      </c>
      <c r="I1174" s="31" t="s">
        <v>302</v>
      </c>
      <c r="J1174" s="33">
        <v>900</v>
      </c>
      <c r="K1174" s="33">
        <v>600</v>
      </c>
      <c r="L1174" s="33">
        <v>200</v>
      </c>
      <c r="M1174" s="33">
        <f t="shared" si="144"/>
        <v>1700</v>
      </c>
      <c r="N1174" s="34">
        <f t="shared" si="150"/>
        <v>8.91248775843593e-6</v>
      </c>
      <c r="O1174" s="35">
        <f>SUM($M$2:M1174)</f>
        <v>190553200</v>
      </c>
      <c r="P1174" s="34">
        <f t="shared" si="151"/>
        <v>0.999001801371055</v>
      </c>
      <c r="Q1174" s="37">
        <v>0.2</v>
      </c>
      <c r="R1174" s="31">
        <v>3</v>
      </c>
      <c r="S1174" s="31">
        <v>0</v>
      </c>
      <c r="T1174" s="31">
        <v>0</v>
      </c>
      <c r="U1174" s="37">
        <v>1.4</v>
      </c>
      <c r="V1174" s="31">
        <v>12</v>
      </c>
      <c r="W1174" s="31">
        <v>1</v>
      </c>
      <c r="X1174" s="38">
        <v>5</v>
      </c>
      <c r="Y1174" s="31">
        <v>1</v>
      </c>
      <c r="Z1174" s="31">
        <v>0</v>
      </c>
      <c r="AA1174" s="31" t="s">
        <v>199</v>
      </c>
      <c r="AB1174" s="31" t="s">
        <v>220</v>
      </c>
      <c r="AC1174" s="41">
        <f>IFERROR(LOOKUP(M1174,打分卡!$F$7:$J$7,打分卡!$K$7:$O$7),1)</f>
        <v>1</v>
      </c>
      <c r="AD1174" s="41">
        <f>IFERROR(LOOKUP(S1174,打分卡!$F$8:$J$8,打分卡!$K$8:$O$8),1)</f>
        <v>1</v>
      </c>
      <c r="AE1174" s="41">
        <f>IFERROR(LOOKUP(T1174,打分卡!$F$9:$I$9,打分卡!$K$9:$N$9),1)</f>
        <v>1</v>
      </c>
      <c r="AF1174" s="41">
        <f>IFERROR(LOOKUP(Q1174,打分卡!$F$10:$J$10,打分卡!$K$10:$O$10),1)</f>
        <v>1</v>
      </c>
      <c r="AG1174" s="41">
        <f>IFERROR(LOOKUP(R1174,打分卡!$F$11:$J$11,打分卡!$K$11:$O$11),1)</f>
        <v>2</v>
      </c>
      <c r="AH1174" s="41">
        <f>IFERROR(LOOKUP(U1174,打分卡!$F$12:$J$12,打分卡!$K$12:$O$12),1)</f>
        <v>1</v>
      </c>
      <c r="AI1174" s="41">
        <f>IFERROR(LOOKUP(X1174,打分卡!$F$13:$J$13,打分卡!$K$13:$O$13),1)</f>
        <v>1</v>
      </c>
      <c r="AJ1174" s="41">
        <f>IFERROR(LOOKUP(Y1174,打分卡!$F$14:$J$14,打分卡!$K$14:$O$14),1)</f>
        <v>2</v>
      </c>
      <c r="AK1174" s="41">
        <f>IFERROR(LOOKUP(W1174,打分卡!$F$15:$J$15,打分卡!$K$15:$O$15),1)</f>
        <v>2</v>
      </c>
      <c r="AL1174" s="43">
        <f t="shared" si="145"/>
        <v>5</v>
      </c>
      <c r="AM1174" s="41">
        <f>IFERROR(LOOKUP(Z1174,打分卡!$F$17:$H$17,打分卡!$K$17:$M$17),1)</f>
        <v>1</v>
      </c>
      <c r="AN1174" s="44">
        <f>(打分卡!$D$7*AC1174+打分卡!$D$8*AD1174+打分卡!$D$9*AE1174)/5</f>
        <v>8</v>
      </c>
      <c r="AO1174" s="44">
        <f>(打分卡!$D$10*AF1174+打分卡!$D$11*AG1174)/5</f>
        <v>6</v>
      </c>
      <c r="AP1174" s="44">
        <f>(打分卡!$D$12*AH1174+打分卡!$D$13*AI1174+打分卡!$D$14*AJ1174+打分卡!$D$15*AK1174)/5</f>
        <v>8</v>
      </c>
      <c r="AQ1174" s="44">
        <f>(打分卡!$D$16*AL1174+打分卡!$D$17*AM1174)/5</f>
        <v>6.8</v>
      </c>
      <c r="AR1174" s="47">
        <f t="shared" si="146"/>
        <v>28.8</v>
      </c>
      <c r="AS1174" s="43" t="str">
        <f t="shared" si="147"/>
        <v>基础长尾</v>
      </c>
      <c r="AT1174" s="43" t="str">
        <f t="shared" si="148"/>
        <v/>
      </c>
      <c r="AU1174" s="43" t="str">
        <f t="shared" si="149"/>
        <v>激活：企微+Push低成本先跑</v>
      </c>
    </row>
    <row r="1175" ht="15" customHeight="1" spans="1:47">
      <c r="A1175" s="20" t="s">
        <v>3134</v>
      </c>
      <c r="B1175" s="22" t="s">
        <v>3135</v>
      </c>
      <c r="C1175" s="22" t="s">
        <v>239</v>
      </c>
      <c r="D1175" s="22" t="s">
        <v>202</v>
      </c>
      <c r="E1175" s="22" t="s">
        <v>181</v>
      </c>
      <c r="F1175" s="20" t="s">
        <v>2972</v>
      </c>
      <c r="G1175" s="22">
        <v>2</v>
      </c>
      <c r="H1175" s="22" t="s">
        <v>642</v>
      </c>
      <c r="I1175" s="22" t="s">
        <v>302</v>
      </c>
      <c r="J1175" s="36">
        <v>800</v>
      </c>
      <c r="K1175" s="36">
        <v>600</v>
      </c>
      <c r="L1175" s="36">
        <v>200</v>
      </c>
      <c r="M1175" s="36">
        <f t="shared" si="144"/>
        <v>1600</v>
      </c>
      <c r="N1175" s="34">
        <f t="shared" si="150"/>
        <v>8.38822377264558e-6</v>
      </c>
      <c r="O1175" s="35">
        <f>SUM($M$2:M1175)</f>
        <v>190554800</v>
      </c>
      <c r="P1175" s="34">
        <f t="shared" si="151"/>
        <v>0.999010189594828</v>
      </c>
      <c r="Q1175" s="39">
        <v>0.2</v>
      </c>
      <c r="R1175" s="22">
        <v>1</v>
      </c>
      <c r="S1175" s="22">
        <v>1</v>
      </c>
      <c r="T1175" s="22">
        <v>0</v>
      </c>
      <c r="U1175" s="39">
        <v>17.5</v>
      </c>
      <c r="V1175" s="22">
        <v>4</v>
      </c>
      <c r="W1175" s="22">
        <v>1</v>
      </c>
      <c r="X1175" s="40">
        <v>44</v>
      </c>
      <c r="Y1175" s="22">
        <v>0</v>
      </c>
      <c r="Z1175" s="22">
        <v>0</v>
      </c>
      <c r="AA1175" s="22" t="s">
        <v>199</v>
      </c>
      <c r="AB1175" s="22" t="s">
        <v>220</v>
      </c>
      <c r="AC1175" s="42">
        <f>IFERROR(LOOKUP(M1175,打分卡!$F$7:$J$7,打分卡!$K$7:$O$7),1)</f>
        <v>1</v>
      </c>
      <c r="AD1175" s="42">
        <f>IFERROR(LOOKUP(S1175,打分卡!$F$8:$J$8,打分卡!$K$8:$O$8),1)</f>
        <v>1</v>
      </c>
      <c r="AE1175" s="42">
        <f>IFERROR(LOOKUP(T1175,打分卡!$F$9:$I$9,打分卡!$K$9:$N$9),1)</f>
        <v>1</v>
      </c>
      <c r="AF1175" s="42">
        <f>IFERROR(LOOKUP(Q1175,打分卡!$F$10:$J$10,打分卡!$K$10:$O$10),1)</f>
        <v>1</v>
      </c>
      <c r="AG1175" s="42">
        <f>IFERROR(LOOKUP(R1175,打分卡!$F$11:$J$11,打分卡!$K$11:$O$11),1)</f>
        <v>1</v>
      </c>
      <c r="AH1175" s="42">
        <f>IFERROR(LOOKUP(U1175,打分卡!$F$12:$J$12,打分卡!$K$12:$O$12),1)</f>
        <v>3</v>
      </c>
      <c r="AI1175" s="42">
        <f>IFERROR(LOOKUP(X1175,打分卡!$F$13:$J$13,打分卡!$K$13:$O$13),1)</f>
        <v>3</v>
      </c>
      <c r="AJ1175" s="42">
        <f>IFERROR(LOOKUP(Y1175,打分卡!$F$14:$J$14,打分卡!$K$14:$O$14),1)</f>
        <v>1</v>
      </c>
      <c r="AK1175" s="42">
        <f>IFERROR(LOOKUP(W1175,打分卡!$F$15:$J$15,打分卡!$K$15:$O$15),1)</f>
        <v>2</v>
      </c>
      <c r="AL1175" s="45">
        <f t="shared" si="145"/>
        <v>5</v>
      </c>
      <c r="AM1175" s="42">
        <f>IFERROR(LOOKUP(Z1175,打分卡!$F$17:$H$17,打分卡!$K$17:$M$17),1)</f>
        <v>1</v>
      </c>
      <c r="AN1175" s="46">
        <f>(打分卡!$D$7*AC1175+打分卡!$D$8*AD1175+打分卡!$D$9*AE1175)/5</f>
        <v>8</v>
      </c>
      <c r="AO1175" s="46">
        <f>(打分卡!$D$10*AF1175+打分卡!$D$11*AG1175)/5</f>
        <v>4</v>
      </c>
      <c r="AP1175" s="46">
        <f>(打分卡!$D$12*AH1175+打分卡!$D$13*AI1175+打分卡!$D$14*AJ1175+打分卡!$D$15*AK1175)/5</f>
        <v>14.8</v>
      </c>
      <c r="AQ1175" s="46">
        <f>(打分卡!$D$16*AL1175+打分卡!$D$17*AM1175)/5</f>
        <v>6.8</v>
      </c>
      <c r="AR1175" s="48">
        <f t="shared" si="146"/>
        <v>45.3333333333333</v>
      </c>
      <c r="AS1175" s="45" t="str">
        <f t="shared" si="147"/>
        <v>腰部</v>
      </c>
      <c r="AT1175" s="45" t="str">
        <f t="shared" si="148"/>
        <v/>
      </c>
      <c r="AU1175" s="45" t="str">
        <f t="shared" si="149"/>
        <v>拉·主攻：主推AI外呼+大促作战包</v>
      </c>
    </row>
    <row r="1176" ht="15" customHeight="1" spans="1:47">
      <c r="A1176" s="30" t="s">
        <v>3136</v>
      </c>
      <c r="B1176" s="31" t="s">
        <v>3137</v>
      </c>
      <c r="C1176" s="31" t="s">
        <v>234</v>
      </c>
      <c r="D1176" s="31" t="s">
        <v>202</v>
      </c>
      <c r="E1176" s="31" t="s">
        <v>181</v>
      </c>
      <c r="F1176" s="30" t="s">
        <v>746</v>
      </c>
      <c r="G1176" s="31">
        <v>3</v>
      </c>
      <c r="H1176" s="31" t="s">
        <v>642</v>
      </c>
      <c r="I1176" s="31" t="s">
        <v>302</v>
      </c>
      <c r="J1176" s="33">
        <v>1000</v>
      </c>
      <c r="K1176" s="33">
        <v>500</v>
      </c>
      <c r="L1176" s="33">
        <v>100</v>
      </c>
      <c r="M1176" s="33">
        <f t="shared" si="144"/>
        <v>1600</v>
      </c>
      <c r="N1176" s="34">
        <f t="shared" si="150"/>
        <v>8.38822377264558e-6</v>
      </c>
      <c r="O1176" s="35">
        <f>SUM($M$2:M1176)</f>
        <v>190556400</v>
      </c>
      <c r="P1176" s="34">
        <f t="shared" si="151"/>
        <v>0.9990185778186</v>
      </c>
      <c r="Q1176" s="37">
        <v>0.2</v>
      </c>
      <c r="R1176" s="31">
        <v>1</v>
      </c>
      <c r="S1176" s="31">
        <v>1</v>
      </c>
      <c r="T1176" s="31">
        <v>0</v>
      </c>
      <c r="U1176" s="37">
        <v>6.9</v>
      </c>
      <c r="V1176" s="31">
        <v>1</v>
      </c>
      <c r="W1176" s="31">
        <v>2</v>
      </c>
      <c r="X1176" s="38">
        <v>20</v>
      </c>
      <c r="Y1176" s="31">
        <v>1</v>
      </c>
      <c r="Z1176" s="31">
        <v>0</v>
      </c>
      <c r="AA1176" s="31" t="s">
        <v>199</v>
      </c>
      <c r="AB1176" s="31" t="s">
        <v>220</v>
      </c>
      <c r="AC1176" s="41">
        <f>IFERROR(LOOKUP(M1176,打分卡!$F$7:$J$7,打分卡!$K$7:$O$7),1)</f>
        <v>1</v>
      </c>
      <c r="AD1176" s="41">
        <f>IFERROR(LOOKUP(S1176,打分卡!$F$8:$J$8,打分卡!$K$8:$O$8),1)</f>
        <v>1</v>
      </c>
      <c r="AE1176" s="41">
        <f>IFERROR(LOOKUP(T1176,打分卡!$F$9:$I$9,打分卡!$K$9:$N$9),1)</f>
        <v>1</v>
      </c>
      <c r="AF1176" s="41">
        <f>IFERROR(LOOKUP(Q1176,打分卡!$F$10:$J$10,打分卡!$K$10:$O$10),1)</f>
        <v>1</v>
      </c>
      <c r="AG1176" s="41">
        <f>IFERROR(LOOKUP(R1176,打分卡!$F$11:$J$11,打分卡!$K$11:$O$11),1)</f>
        <v>1</v>
      </c>
      <c r="AH1176" s="41">
        <f>IFERROR(LOOKUP(U1176,打分卡!$F$12:$J$12,打分卡!$K$12:$O$12),1)</f>
        <v>2</v>
      </c>
      <c r="AI1176" s="41">
        <f>IFERROR(LOOKUP(X1176,打分卡!$F$13:$J$13,打分卡!$K$13:$O$13),1)</f>
        <v>2</v>
      </c>
      <c r="AJ1176" s="41">
        <f>IFERROR(LOOKUP(Y1176,打分卡!$F$14:$J$14,打分卡!$K$14:$O$14),1)</f>
        <v>2</v>
      </c>
      <c r="AK1176" s="41">
        <f>IFERROR(LOOKUP(W1176,打分卡!$F$15:$J$15,打分卡!$K$15:$O$15),1)</f>
        <v>2</v>
      </c>
      <c r="AL1176" s="43">
        <f t="shared" si="145"/>
        <v>5</v>
      </c>
      <c r="AM1176" s="41">
        <f>IFERROR(LOOKUP(Z1176,打分卡!$F$17:$H$17,打分卡!$K$17:$M$17),1)</f>
        <v>1</v>
      </c>
      <c r="AN1176" s="44">
        <f>(打分卡!$D$7*AC1176+打分卡!$D$8*AD1176+打分卡!$D$9*AE1176)/5</f>
        <v>8</v>
      </c>
      <c r="AO1176" s="44">
        <f>(打分卡!$D$10*AF1176+打分卡!$D$11*AG1176)/5</f>
        <v>4</v>
      </c>
      <c r="AP1176" s="44">
        <f>(打分卡!$D$12*AH1176+打分卡!$D$13*AI1176+打分卡!$D$14*AJ1176+打分卡!$D$15*AK1176)/5</f>
        <v>12</v>
      </c>
      <c r="AQ1176" s="44">
        <f>(打分卡!$D$16*AL1176+打分卡!$D$17*AM1176)/5</f>
        <v>6.8</v>
      </c>
      <c r="AR1176" s="47">
        <f t="shared" si="146"/>
        <v>30.8</v>
      </c>
      <c r="AS1176" s="43" t="str">
        <f t="shared" si="147"/>
        <v>基础长尾</v>
      </c>
      <c r="AT1176" s="43" t="str">
        <f t="shared" si="148"/>
        <v/>
      </c>
      <c r="AU1176" s="43" t="str">
        <f t="shared" si="149"/>
        <v>激活：企微+Push低成本先跑</v>
      </c>
    </row>
    <row r="1177" ht="15" customHeight="1" spans="1:47">
      <c r="A1177" s="20" t="s">
        <v>3138</v>
      </c>
      <c r="B1177" s="22" t="s">
        <v>3139</v>
      </c>
      <c r="C1177" s="22" t="s">
        <v>179</v>
      </c>
      <c r="D1177" s="22" t="s">
        <v>180</v>
      </c>
      <c r="E1177" s="22" t="s">
        <v>197</v>
      </c>
      <c r="F1177" s="20" t="s">
        <v>1430</v>
      </c>
      <c r="G1177" s="22">
        <v>2</v>
      </c>
      <c r="H1177" s="22" t="s">
        <v>642</v>
      </c>
      <c r="I1177" s="22" t="s">
        <v>302</v>
      </c>
      <c r="J1177" s="36">
        <v>1100</v>
      </c>
      <c r="K1177" s="36">
        <v>400</v>
      </c>
      <c r="L1177" s="36">
        <v>200</v>
      </c>
      <c r="M1177" s="36">
        <f t="shared" si="144"/>
        <v>1700</v>
      </c>
      <c r="N1177" s="34">
        <f t="shared" si="150"/>
        <v>8.91248775843593e-6</v>
      </c>
      <c r="O1177" s="35">
        <f>SUM($M$2:M1177)</f>
        <v>190558100</v>
      </c>
      <c r="P1177" s="34">
        <f t="shared" si="151"/>
        <v>0.999027490306359</v>
      </c>
      <c r="Q1177" s="39">
        <v>0.2</v>
      </c>
      <c r="R1177" s="22">
        <v>2</v>
      </c>
      <c r="S1177" s="22">
        <v>0</v>
      </c>
      <c r="T1177" s="22">
        <v>0</v>
      </c>
      <c r="U1177" s="39">
        <v>1.8</v>
      </c>
      <c r="V1177" s="22">
        <v>10</v>
      </c>
      <c r="W1177" s="22">
        <v>0</v>
      </c>
      <c r="X1177" s="40">
        <v>30</v>
      </c>
      <c r="Y1177" s="22">
        <v>1</v>
      </c>
      <c r="Z1177" s="22">
        <v>0</v>
      </c>
      <c r="AA1177" s="22" t="s">
        <v>199</v>
      </c>
      <c r="AB1177" s="22" t="s">
        <v>220</v>
      </c>
      <c r="AC1177" s="42">
        <f>IFERROR(LOOKUP(M1177,打分卡!$F$7:$J$7,打分卡!$K$7:$O$7),1)</f>
        <v>1</v>
      </c>
      <c r="AD1177" s="42">
        <f>IFERROR(LOOKUP(S1177,打分卡!$F$8:$J$8,打分卡!$K$8:$O$8),1)</f>
        <v>1</v>
      </c>
      <c r="AE1177" s="42">
        <f>IFERROR(LOOKUP(T1177,打分卡!$F$9:$I$9,打分卡!$K$9:$N$9),1)</f>
        <v>1</v>
      </c>
      <c r="AF1177" s="42">
        <f>IFERROR(LOOKUP(Q1177,打分卡!$F$10:$J$10,打分卡!$K$10:$O$10),1)</f>
        <v>1</v>
      </c>
      <c r="AG1177" s="42">
        <f>IFERROR(LOOKUP(R1177,打分卡!$F$11:$J$11,打分卡!$K$11:$O$11),1)</f>
        <v>1</v>
      </c>
      <c r="AH1177" s="42">
        <f>IFERROR(LOOKUP(U1177,打分卡!$F$12:$J$12,打分卡!$K$12:$O$12),1)</f>
        <v>1</v>
      </c>
      <c r="AI1177" s="42">
        <f>IFERROR(LOOKUP(X1177,打分卡!$F$13:$J$13,打分卡!$K$13:$O$13),1)</f>
        <v>2</v>
      </c>
      <c r="AJ1177" s="42">
        <f>IFERROR(LOOKUP(Y1177,打分卡!$F$14:$J$14,打分卡!$K$14:$O$14),1)</f>
        <v>2</v>
      </c>
      <c r="AK1177" s="42">
        <f>IFERROR(LOOKUP(W1177,打分卡!$F$15:$J$15,打分卡!$K$15:$O$15),1)</f>
        <v>1</v>
      </c>
      <c r="AL1177" s="45">
        <f t="shared" si="145"/>
        <v>5</v>
      </c>
      <c r="AM1177" s="42">
        <f>IFERROR(LOOKUP(Z1177,打分卡!$F$17:$H$17,打分卡!$K$17:$M$17),1)</f>
        <v>1</v>
      </c>
      <c r="AN1177" s="46">
        <f>(打分卡!$D$7*AC1177+打分卡!$D$8*AD1177+打分卡!$D$9*AE1177)/5</f>
        <v>8</v>
      </c>
      <c r="AO1177" s="46">
        <f>(打分卡!$D$10*AF1177+打分卡!$D$11*AG1177)/5</f>
        <v>4</v>
      </c>
      <c r="AP1177" s="46">
        <f>(打分卡!$D$12*AH1177+打分卡!$D$13*AI1177+打分卡!$D$14*AJ1177+打分卡!$D$15*AK1177)/5</f>
        <v>8.8</v>
      </c>
      <c r="AQ1177" s="46">
        <f>(打分卡!$D$16*AL1177+打分卡!$D$17*AM1177)/5</f>
        <v>6.8</v>
      </c>
      <c r="AR1177" s="48">
        <f t="shared" si="146"/>
        <v>31.3333333333333</v>
      </c>
      <c r="AS1177" s="45" t="str">
        <f t="shared" si="147"/>
        <v>基础长尾</v>
      </c>
      <c r="AT1177" s="45" t="str">
        <f t="shared" si="148"/>
        <v/>
      </c>
      <c r="AU1177" s="45" t="str">
        <f t="shared" si="149"/>
        <v>激活：企微+Push低成本先跑</v>
      </c>
    </row>
    <row r="1178" ht="15" customHeight="1" spans="1:47">
      <c r="A1178" s="30" t="s">
        <v>3140</v>
      </c>
      <c r="B1178" s="31" t="s">
        <v>3141</v>
      </c>
      <c r="C1178" s="31" t="s">
        <v>179</v>
      </c>
      <c r="D1178" s="31" t="s">
        <v>196</v>
      </c>
      <c r="E1178" s="31" t="s">
        <v>181</v>
      </c>
      <c r="F1178" s="30" t="s">
        <v>2773</v>
      </c>
      <c r="G1178" s="31">
        <v>2</v>
      </c>
      <c r="H1178" s="31" t="s">
        <v>642</v>
      </c>
      <c r="I1178" s="31" t="s">
        <v>302</v>
      </c>
      <c r="J1178" s="33">
        <v>1000</v>
      </c>
      <c r="K1178" s="33">
        <v>500</v>
      </c>
      <c r="L1178" s="33">
        <v>200</v>
      </c>
      <c r="M1178" s="33">
        <f t="shared" si="144"/>
        <v>1700</v>
      </c>
      <c r="N1178" s="34">
        <f t="shared" si="150"/>
        <v>8.91248775843593e-6</v>
      </c>
      <c r="O1178" s="35">
        <f>SUM($M$2:M1178)</f>
        <v>190559800</v>
      </c>
      <c r="P1178" s="34">
        <f t="shared" si="151"/>
        <v>0.999036402794117</v>
      </c>
      <c r="Q1178" s="37">
        <v>0.1</v>
      </c>
      <c r="R1178" s="31">
        <v>1</v>
      </c>
      <c r="S1178" s="31">
        <v>0</v>
      </c>
      <c r="T1178" s="31">
        <v>0</v>
      </c>
      <c r="U1178" s="37">
        <v>10.5</v>
      </c>
      <c r="V1178" s="31">
        <v>12</v>
      </c>
      <c r="W1178" s="31">
        <v>2</v>
      </c>
      <c r="X1178" s="38">
        <v>38</v>
      </c>
      <c r="Y1178" s="31">
        <v>0</v>
      </c>
      <c r="Z1178" s="31">
        <v>0</v>
      </c>
      <c r="AA1178" s="31" t="s">
        <v>199</v>
      </c>
      <c r="AB1178" s="31" t="s">
        <v>220</v>
      </c>
      <c r="AC1178" s="41">
        <f>IFERROR(LOOKUP(M1178,打分卡!$F$7:$J$7,打分卡!$K$7:$O$7),1)</f>
        <v>1</v>
      </c>
      <c r="AD1178" s="41">
        <f>IFERROR(LOOKUP(S1178,打分卡!$F$8:$J$8,打分卡!$K$8:$O$8),1)</f>
        <v>1</v>
      </c>
      <c r="AE1178" s="41">
        <f>IFERROR(LOOKUP(T1178,打分卡!$F$9:$I$9,打分卡!$K$9:$N$9),1)</f>
        <v>1</v>
      </c>
      <c r="AF1178" s="41">
        <f>IFERROR(LOOKUP(Q1178,打分卡!$F$10:$J$10,打分卡!$K$10:$O$10),1)</f>
        <v>1</v>
      </c>
      <c r="AG1178" s="41">
        <f>IFERROR(LOOKUP(R1178,打分卡!$F$11:$J$11,打分卡!$K$11:$O$11),1)</f>
        <v>1</v>
      </c>
      <c r="AH1178" s="41">
        <f>IFERROR(LOOKUP(U1178,打分卡!$F$12:$J$12,打分卡!$K$12:$O$12),1)</f>
        <v>3</v>
      </c>
      <c r="AI1178" s="41">
        <f>IFERROR(LOOKUP(X1178,打分卡!$F$13:$J$13,打分卡!$K$13:$O$13),1)</f>
        <v>2</v>
      </c>
      <c r="AJ1178" s="41">
        <f>IFERROR(LOOKUP(Y1178,打分卡!$F$14:$J$14,打分卡!$K$14:$O$14),1)</f>
        <v>1</v>
      </c>
      <c r="AK1178" s="41">
        <f>IFERROR(LOOKUP(W1178,打分卡!$F$15:$J$15,打分卡!$K$15:$O$15),1)</f>
        <v>2</v>
      </c>
      <c r="AL1178" s="43">
        <f t="shared" si="145"/>
        <v>5</v>
      </c>
      <c r="AM1178" s="41">
        <f>IFERROR(LOOKUP(Z1178,打分卡!$F$17:$H$17,打分卡!$K$17:$M$17),1)</f>
        <v>1</v>
      </c>
      <c r="AN1178" s="44">
        <f>(打分卡!$D$7*AC1178+打分卡!$D$8*AD1178+打分卡!$D$9*AE1178)/5</f>
        <v>8</v>
      </c>
      <c r="AO1178" s="44">
        <f>(打分卡!$D$10*AF1178+打分卡!$D$11*AG1178)/5</f>
        <v>4</v>
      </c>
      <c r="AP1178" s="44">
        <f>(打分卡!$D$12*AH1178+打分卡!$D$13*AI1178+打分卡!$D$14*AJ1178+打分卡!$D$15*AK1178)/5</f>
        <v>13.2</v>
      </c>
      <c r="AQ1178" s="44">
        <f>(打分卡!$D$16*AL1178+打分卡!$D$17*AM1178)/5</f>
        <v>6.8</v>
      </c>
      <c r="AR1178" s="47">
        <f t="shared" si="146"/>
        <v>41.6</v>
      </c>
      <c r="AS1178" s="43" t="str">
        <f t="shared" si="147"/>
        <v>腰部</v>
      </c>
      <c r="AT1178" s="43" t="str">
        <f t="shared" si="148"/>
        <v/>
      </c>
      <c r="AU1178" s="43" t="str">
        <f t="shared" si="149"/>
        <v>拉·主攻：主推AI外呼+大促作战包</v>
      </c>
    </row>
    <row r="1179" ht="15" customHeight="1" spans="1:47">
      <c r="A1179" s="20" t="s">
        <v>3142</v>
      </c>
      <c r="B1179" s="22" t="s">
        <v>3143</v>
      </c>
      <c r="C1179" s="22" t="s">
        <v>195</v>
      </c>
      <c r="D1179" s="22" t="s">
        <v>196</v>
      </c>
      <c r="E1179" s="22" t="s">
        <v>181</v>
      </c>
      <c r="F1179" s="20" t="s">
        <v>1489</v>
      </c>
      <c r="G1179" s="22">
        <v>1</v>
      </c>
      <c r="H1179" s="22" t="s">
        <v>642</v>
      </c>
      <c r="I1179" s="22" t="s">
        <v>302</v>
      </c>
      <c r="J1179" s="36">
        <v>800</v>
      </c>
      <c r="K1179" s="36">
        <v>400</v>
      </c>
      <c r="L1179" s="36">
        <v>500</v>
      </c>
      <c r="M1179" s="36">
        <f t="shared" si="144"/>
        <v>1700</v>
      </c>
      <c r="N1179" s="34">
        <f t="shared" si="150"/>
        <v>8.91248775843593e-6</v>
      </c>
      <c r="O1179" s="35">
        <f>SUM($M$2:M1179)</f>
        <v>190561500</v>
      </c>
      <c r="P1179" s="34">
        <f t="shared" si="151"/>
        <v>0.999045315281876</v>
      </c>
      <c r="Q1179" s="39">
        <v>0.1</v>
      </c>
      <c r="R1179" s="22">
        <v>2</v>
      </c>
      <c r="S1179" s="22">
        <v>0</v>
      </c>
      <c r="T1179" s="22">
        <v>0</v>
      </c>
      <c r="U1179" s="39">
        <v>0.7</v>
      </c>
      <c r="V1179" s="22">
        <v>6</v>
      </c>
      <c r="W1179" s="22">
        <v>1</v>
      </c>
      <c r="X1179" s="40">
        <v>13</v>
      </c>
      <c r="Y1179" s="22">
        <v>0</v>
      </c>
      <c r="Z1179" s="22">
        <v>0</v>
      </c>
      <c r="AA1179" s="22" t="s">
        <v>199</v>
      </c>
      <c r="AB1179" s="22" t="s">
        <v>220</v>
      </c>
      <c r="AC1179" s="42">
        <f>IFERROR(LOOKUP(M1179,打分卡!$F$7:$J$7,打分卡!$K$7:$O$7),1)</f>
        <v>1</v>
      </c>
      <c r="AD1179" s="42">
        <f>IFERROR(LOOKUP(S1179,打分卡!$F$8:$J$8,打分卡!$K$8:$O$8),1)</f>
        <v>1</v>
      </c>
      <c r="AE1179" s="42">
        <f>IFERROR(LOOKUP(T1179,打分卡!$F$9:$I$9,打分卡!$K$9:$N$9),1)</f>
        <v>1</v>
      </c>
      <c r="AF1179" s="42">
        <f>IFERROR(LOOKUP(Q1179,打分卡!$F$10:$J$10,打分卡!$K$10:$O$10),1)</f>
        <v>1</v>
      </c>
      <c r="AG1179" s="42">
        <f>IFERROR(LOOKUP(R1179,打分卡!$F$11:$J$11,打分卡!$K$11:$O$11),1)</f>
        <v>1</v>
      </c>
      <c r="AH1179" s="42">
        <f>IFERROR(LOOKUP(U1179,打分卡!$F$12:$J$12,打分卡!$K$12:$O$12),1)</f>
        <v>1</v>
      </c>
      <c r="AI1179" s="42">
        <f>IFERROR(LOOKUP(X1179,打分卡!$F$13:$J$13,打分卡!$K$13:$O$13),1)</f>
        <v>1</v>
      </c>
      <c r="AJ1179" s="42">
        <f>IFERROR(LOOKUP(Y1179,打分卡!$F$14:$J$14,打分卡!$K$14:$O$14),1)</f>
        <v>1</v>
      </c>
      <c r="AK1179" s="42">
        <f>IFERROR(LOOKUP(W1179,打分卡!$F$15:$J$15,打分卡!$K$15:$O$15),1)</f>
        <v>2</v>
      </c>
      <c r="AL1179" s="45">
        <f t="shared" si="145"/>
        <v>5</v>
      </c>
      <c r="AM1179" s="42">
        <f>IFERROR(LOOKUP(Z1179,打分卡!$F$17:$H$17,打分卡!$K$17:$M$17),1)</f>
        <v>1</v>
      </c>
      <c r="AN1179" s="46">
        <f>(打分卡!$D$7*AC1179+打分卡!$D$8*AD1179+打分卡!$D$9*AE1179)/5</f>
        <v>8</v>
      </c>
      <c r="AO1179" s="46">
        <f>(打分卡!$D$10*AF1179+打分卡!$D$11*AG1179)/5</f>
        <v>4</v>
      </c>
      <c r="AP1179" s="46">
        <f>(打分卡!$D$12*AH1179+打分卡!$D$13*AI1179+打分卡!$D$14*AJ1179+打分卡!$D$15*AK1179)/5</f>
        <v>6.8</v>
      </c>
      <c r="AQ1179" s="46">
        <f>(打分卡!$D$16*AL1179+打分卡!$D$17*AM1179)/5</f>
        <v>6.8</v>
      </c>
      <c r="AR1179" s="48">
        <f t="shared" si="146"/>
        <v>26.6666666666667</v>
      </c>
      <c r="AS1179" s="45" t="str">
        <f t="shared" si="147"/>
        <v>基础长尾</v>
      </c>
      <c r="AT1179" s="45" t="str">
        <f t="shared" si="148"/>
        <v/>
      </c>
      <c r="AU1179" s="45" t="str">
        <f t="shared" si="149"/>
        <v>激活：企微+Push低成本先跑</v>
      </c>
    </row>
    <row r="1180" ht="15" customHeight="1" spans="1:47">
      <c r="A1180" s="30" t="s">
        <v>3144</v>
      </c>
      <c r="B1180" s="31" t="s">
        <v>3145</v>
      </c>
      <c r="C1180" s="31" t="s">
        <v>239</v>
      </c>
      <c r="D1180" s="31" t="s">
        <v>196</v>
      </c>
      <c r="E1180" s="31" t="s">
        <v>197</v>
      </c>
      <c r="F1180" s="30" t="s">
        <v>2964</v>
      </c>
      <c r="G1180" s="31">
        <v>1</v>
      </c>
      <c r="H1180" s="31" t="s">
        <v>642</v>
      </c>
      <c r="I1180" s="31" t="s">
        <v>302</v>
      </c>
      <c r="J1180" s="33">
        <v>900</v>
      </c>
      <c r="K1180" s="33">
        <v>400</v>
      </c>
      <c r="L1180" s="33">
        <v>400</v>
      </c>
      <c r="M1180" s="33">
        <f t="shared" si="144"/>
        <v>1700</v>
      </c>
      <c r="N1180" s="34">
        <f t="shared" si="150"/>
        <v>8.91248775843593e-6</v>
      </c>
      <c r="O1180" s="35">
        <f>SUM($M$2:M1180)</f>
        <v>190563200</v>
      </c>
      <c r="P1180" s="34">
        <f t="shared" si="151"/>
        <v>0.999054227769634</v>
      </c>
      <c r="Q1180" s="37">
        <v>0.1</v>
      </c>
      <c r="R1180" s="31">
        <v>3</v>
      </c>
      <c r="S1180" s="31">
        <v>1</v>
      </c>
      <c r="T1180" s="31">
        <v>0</v>
      </c>
      <c r="U1180" s="37">
        <v>1.3</v>
      </c>
      <c r="V1180" s="31">
        <v>15</v>
      </c>
      <c r="W1180" s="31">
        <v>0</v>
      </c>
      <c r="X1180" s="38">
        <v>6</v>
      </c>
      <c r="Y1180" s="31">
        <v>1</v>
      </c>
      <c r="Z1180" s="31">
        <v>0</v>
      </c>
      <c r="AA1180" s="31" t="s">
        <v>199</v>
      </c>
      <c r="AB1180" s="31" t="s">
        <v>220</v>
      </c>
      <c r="AC1180" s="41">
        <f>IFERROR(LOOKUP(M1180,打分卡!$F$7:$J$7,打分卡!$K$7:$O$7),1)</f>
        <v>1</v>
      </c>
      <c r="AD1180" s="41">
        <f>IFERROR(LOOKUP(S1180,打分卡!$F$8:$J$8,打分卡!$K$8:$O$8),1)</f>
        <v>1</v>
      </c>
      <c r="AE1180" s="41">
        <f>IFERROR(LOOKUP(T1180,打分卡!$F$9:$I$9,打分卡!$K$9:$N$9),1)</f>
        <v>1</v>
      </c>
      <c r="AF1180" s="41">
        <f>IFERROR(LOOKUP(Q1180,打分卡!$F$10:$J$10,打分卡!$K$10:$O$10),1)</f>
        <v>1</v>
      </c>
      <c r="AG1180" s="41">
        <f>IFERROR(LOOKUP(R1180,打分卡!$F$11:$J$11,打分卡!$K$11:$O$11),1)</f>
        <v>2</v>
      </c>
      <c r="AH1180" s="41">
        <f>IFERROR(LOOKUP(U1180,打分卡!$F$12:$J$12,打分卡!$K$12:$O$12),1)</f>
        <v>1</v>
      </c>
      <c r="AI1180" s="41">
        <f>IFERROR(LOOKUP(X1180,打分卡!$F$13:$J$13,打分卡!$K$13:$O$13),1)</f>
        <v>1</v>
      </c>
      <c r="AJ1180" s="41">
        <f>IFERROR(LOOKUP(Y1180,打分卡!$F$14:$J$14,打分卡!$K$14:$O$14),1)</f>
        <v>2</v>
      </c>
      <c r="AK1180" s="41">
        <f>IFERROR(LOOKUP(W1180,打分卡!$F$15:$J$15,打分卡!$K$15:$O$15),1)</f>
        <v>1</v>
      </c>
      <c r="AL1180" s="43">
        <f t="shared" si="145"/>
        <v>5</v>
      </c>
      <c r="AM1180" s="41">
        <f>IFERROR(LOOKUP(Z1180,打分卡!$F$17:$H$17,打分卡!$K$17:$M$17),1)</f>
        <v>1</v>
      </c>
      <c r="AN1180" s="44">
        <f>(打分卡!$D$7*AC1180+打分卡!$D$8*AD1180+打分卡!$D$9*AE1180)/5</f>
        <v>8</v>
      </c>
      <c r="AO1180" s="44">
        <f>(打分卡!$D$10*AF1180+打分卡!$D$11*AG1180)/5</f>
        <v>6</v>
      </c>
      <c r="AP1180" s="44">
        <f>(打分卡!$D$12*AH1180+打分卡!$D$13*AI1180+打分卡!$D$14*AJ1180+打分卡!$D$15*AK1180)/5</f>
        <v>7.2</v>
      </c>
      <c r="AQ1180" s="44">
        <f>(打分卡!$D$16*AL1180+打分卡!$D$17*AM1180)/5</f>
        <v>6.8</v>
      </c>
      <c r="AR1180" s="47">
        <f t="shared" si="146"/>
        <v>29.6</v>
      </c>
      <c r="AS1180" s="43" t="str">
        <f t="shared" si="147"/>
        <v>基础长尾</v>
      </c>
      <c r="AT1180" s="43" t="str">
        <f t="shared" si="148"/>
        <v/>
      </c>
      <c r="AU1180" s="43" t="str">
        <f t="shared" si="149"/>
        <v>激活：企微+Push低成本先跑</v>
      </c>
    </row>
    <row r="1181" ht="15" customHeight="1" spans="1:47">
      <c r="A1181" s="20" t="s">
        <v>3146</v>
      </c>
      <c r="B1181" s="22" t="s">
        <v>3147</v>
      </c>
      <c r="C1181" s="22" t="s">
        <v>195</v>
      </c>
      <c r="D1181" s="22" t="s">
        <v>196</v>
      </c>
      <c r="E1181" s="22" t="s">
        <v>181</v>
      </c>
      <c r="F1181" s="20" t="s">
        <v>1557</v>
      </c>
      <c r="G1181" s="22">
        <v>3</v>
      </c>
      <c r="H1181" s="22" t="s">
        <v>642</v>
      </c>
      <c r="I1181" s="22" t="s">
        <v>302</v>
      </c>
      <c r="J1181" s="36">
        <v>1000</v>
      </c>
      <c r="K1181" s="36">
        <v>400</v>
      </c>
      <c r="L1181" s="36">
        <v>200</v>
      </c>
      <c r="M1181" s="36">
        <f t="shared" si="144"/>
        <v>1600</v>
      </c>
      <c r="N1181" s="34">
        <f t="shared" si="150"/>
        <v>8.38822377264558e-6</v>
      </c>
      <c r="O1181" s="35">
        <f>SUM($M$2:M1181)</f>
        <v>190564800</v>
      </c>
      <c r="P1181" s="34">
        <f t="shared" si="151"/>
        <v>0.999062615993407</v>
      </c>
      <c r="Q1181" s="39">
        <v>0.1</v>
      </c>
      <c r="R1181" s="22">
        <v>3</v>
      </c>
      <c r="S1181" s="22">
        <v>1</v>
      </c>
      <c r="T1181" s="22">
        <v>0</v>
      </c>
      <c r="U1181" s="39">
        <v>236</v>
      </c>
      <c r="V1181" s="22">
        <v>8</v>
      </c>
      <c r="W1181" s="22">
        <v>18</v>
      </c>
      <c r="X1181" s="40">
        <v>590</v>
      </c>
      <c r="Y1181" s="22">
        <v>4</v>
      </c>
      <c r="Z1181" s="22">
        <v>0</v>
      </c>
      <c r="AA1181" s="22" t="s">
        <v>199</v>
      </c>
      <c r="AB1181" s="22" t="s">
        <v>220</v>
      </c>
      <c r="AC1181" s="42">
        <f>IFERROR(LOOKUP(M1181,打分卡!$F$7:$J$7,打分卡!$K$7:$O$7),1)</f>
        <v>1</v>
      </c>
      <c r="AD1181" s="42">
        <f>IFERROR(LOOKUP(S1181,打分卡!$F$8:$J$8,打分卡!$K$8:$O$8),1)</f>
        <v>1</v>
      </c>
      <c r="AE1181" s="42">
        <f>IFERROR(LOOKUP(T1181,打分卡!$F$9:$I$9,打分卡!$K$9:$N$9),1)</f>
        <v>1</v>
      </c>
      <c r="AF1181" s="42">
        <f>IFERROR(LOOKUP(Q1181,打分卡!$F$10:$J$10,打分卡!$K$10:$O$10),1)</f>
        <v>1</v>
      </c>
      <c r="AG1181" s="42">
        <f>IFERROR(LOOKUP(R1181,打分卡!$F$11:$J$11,打分卡!$K$11:$O$11),1)</f>
        <v>2</v>
      </c>
      <c r="AH1181" s="42">
        <f>IFERROR(LOOKUP(U1181,打分卡!$F$12:$J$12,打分卡!$K$12:$O$12),1)</f>
        <v>5</v>
      </c>
      <c r="AI1181" s="42">
        <f>IFERROR(LOOKUP(X1181,打分卡!$F$13:$J$13,打分卡!$K$13:$O$13),1)</f>
        <v>5</v>
      </c>
      <c r="AJ1181" s="42">
        <f>IFERROR(LOOKUP(Y1181,打分卡!$F$14:$J$14,打分卡!$K$14:$O$14),1)</f>
        <v>4</v>
      </c>
      <c r="AK1181" s="42">
        <f>IFERROR(LOOKUP(W1181,打分卡!$F$15:$J$15,打分卡!$K$15:$O$15),1)</f>
        <v>5</v>
      </c>
      <c r="AL1181" s="45">
        <f t="shared" si="145"/>
        <v>5</v>
      </c>
      <c r="AM1181" s="42">
        <f>IFERROR(LOOKUP(Z1181,打分卡!$F$17:$H$17,打分卡!$K$17:$M$17),1)</f>
        <v>1</v>
      </c>
      <c r="AN1181" s="46">
        <f>(打分卡!$D$7*AC1181+打分卡!$D$8*AD1181+打分卡!$D$9*AE1181)/5</f>
        <v>8</v>
      </c>
      <c r="AO1181" s="46">
        <f>(打分卡!$D$10*AF1181+打分卡!$D$11*AG1181)/5</f>
        <v>6</v>
      </c>
      <c r="AP1181" s="46">
        <f>(打分卡!$D$12*AH1181+打分卡!$D$13*AI1181+打分卡!$D$14*AJ1181+打分卡!$D$15*AK1181)/5</f>
        <v>28.8</v>
      </c>
      <c r="AQ1181" s="46">
        <f>(打分卡!$D$16*AL1181+打分卡!$D$17*AM1181)/5</f>
        <v>6.8</v>
      </c>
      <c r="AR1181" s="48">
        <f t="shared" si="146"/>
        <v>49.6</v>
      </c>
      <c r="AS1181" s="45" t="str">
        <f t="shared" si="147"/>
        <v>腰部</v>
      </c>
      <c r="AT1181" s="45" t="str">
        <f t="shared" si="148"/>
        <v/>
      </c>
      <c r="AU1181" s="45" t="str">
        <f t="shared" si="149"/>
        <v>拉·主攻：主推AI外呼+大促作战包</v>
      </c>
    </row>
    <row r="1182" ht="15" customHeight="1" spans="1:47">
      <c r="A1182" s="30" t="s">
        <v>3148</v>
      </c>
      <c r="B1182" s="31" t="s">
        <v>3149</v>
      </c>
      <c r="C1182" s="31" t="s">
        <v>189</v>
      </c>
      <c r="D1182" s="31" t="s">
        <v>227</v>
      </c>
      <c r="E1182" s="31" t="s">
        <v>197</v>
      </c>
      <c r="F1182" s="30" t="s">
        <v>837</v>
      </c>
      <c r="G1182" s="31">
        <v>3</v>
      </c>
      <c r="H1182" s="31" t="s">
        <v>642</v>
      </c>
      <c r="I1182" s="31" t="s">
        <v>302</v>
      </c>
      <c r="J1182" s="33">
        <v>1000</v>
      </c>
      <c r="K1182" s="33">
        <v>300</v>
      </c>
      <c r="L1182" s="33">
        <v>300</v>
      </c>
      <c r="M1182" s="33">
        <f t="shared" si="144"/>
        <v>1600</v>
      </c>
      <c r="N1182" s="34">
        <f t="shared" si="150"/>
        <v>8.38822377264558e-6</v>
      </c>
      <c r="O1182" s="35">
        <f>SUM($M$2:M1182)</f>
        <v>190566400</v>
      </c>
      <c r="P1182" s="34">
        <f t="shared" si="151"/>
        <v>0.99907100421718</v>
      </c>
      <c r="Q1182" s="37">
        <v>0.2</v>
      </c>
      <c r="R1182" s="31">
        <v>1</v>
      </c>
      <c r="S1182" s="31">
        <v>0</v>
      </c>
      <c r="T1182" s="31">
        <v>0</v>
      </c>
      <c r="U1182" s="37">
        <v>36.3</v>
      </c>
      <c r="V1182" s="31">
        <v>1</v>
      </c>
      <c r="W1182" s="31">
        <v>0</v>
      </c>
      <c r="X1182" s="38">
        <v>9</v>
      </c>
      <c r="Y1182" s="31">
        <v>0</v>
      </c>
      <c r="Z1182" s="31">
        <v>0</v>
      </c>
      <c r="AA1182" s="31" t="s">
        <v>199</v>
      </c>
      <c r="AB1182" s="31" t="s">
        <v>220</v>
      </c>
      <c r="AC1182" s="41">
        <f>IFERROR(LOOKUP(M1182,打分卡!$F$7:$J$7,打分卡!$K$7:$O$7),1)</f>
        <v>1</v>
      </c>
      <c r="AD1182" s="41">
        <f>IFERROR(LOOKUP(S1182,打分卡!$F$8:$J$8,打分卡!$K$8:$O$8),1)</f>
        <v>1</v>
      </c>
      <c r="AE1182" s="41">
        <f>IFERROR(LOOKUP(T1182,打分卡!$F$9:$I$9,打分卡!$K$9:$N$9),1)</f>
        <v>1</v>
      </c>
      <c r="AF1182" s="41">
        <f>IFERROR(LOOKUP(Q1182,打分卡!$F$10:$J$10,打分卡!$K$10:$O$10),1)</f>
        <v>1</v>
      </c>
      <c r="AG1182" s="41">
        <f>IFERROR(LOOKUP(R1182,打分卡!$F$11:$J$11,打分卡!$K$11:$O$11),1)</f>
        <v>1</v>
      </c>
      <c r="AH1182" s="41">
        <f>IFERROR(LOOKUP(U1182,打分卡!$F$12:$J$12,打分卡!$K$12:$O$12),1)</f>
        <v>4</v>
      </c>
      <c r="AI1182" s="41">
        <f>IFERROR(LOOKUP(X1182,打分卡!$F$13:$J$13,打分卡!$K$13:$O$13),1)</f>
        <v>1</v>
      </c>
      <c r="AJ1182" s="41">
        <f>IFERROR(LOOKUP(Y1182,打分卡!$F$14:$J$14,打分卡!$K$14:$O$14),1)</f>
        <v>1</v>
      </c>
      <c r="AK1182" s="41">
        <f>IFERROR(LOOKUP(W1182,打分卡!$F$15:$J$15,打分卡!$K$15:$O$15),1)</f>
        <v>1</v>
      </c>
      <c r="AL1182" s="43">
        <f t="shared" si="145"/>
        <v>5</v>
      </c>
      <c r="AM1182" s="41">
        <f>IFERROR(LOOKUP(Z1182,打分卡!$F$17:$H$17,打分卡!$K$17:$M$17),1)</f>
        <v>1</v>
      </c>
      <c r="AN1182" s="44">
        <f>(打分卡!$D$7*AC1182+打分卡!$D$8*AD1182+打分卡!$D$9*AE1182)/5</f>
        <v>8</v>
      </c>
      <c r="AO1182" s="44">
        <f>(打分卡!$D$10*AF1182+打分卡!$D$11*AG1182)/5</f>
        <v>4</v>
      </c>
      <c r="AP1182" s="44">
        <f>(打分卡!$D$12*AH1182+打分卡!$D$13*AI1182+打分卡!$D$14*AJ1182+打分卡!$D$15*AK1182)/5</f>
        <v>13.2</v>
      </c>
      <c r="AQ1182" s="44">
        <f>(打分卡!$D$16*AL1182+打分卡!$D$17*AM1182)/5</f>
        <v>6.8</v>
      </c>
      <c r="AR1182" s="47">
        <f t="shared" si="146"/>
        <v>32</v>
      </c>
      <c r="AS1182" s="43" t="str">
        <f t="shared" si="147"/>
        <v>基础长尾</v>
      </c>
      <c r="AT1182" s="43" t="str">
        <f t="shared" si="148"/>
        <v/>
      </c>
      <c r="AU1182" s="43" t="str">
        <f t="shared" si="149"/>
        <v>激活：企微+Push低成本先跑</v>
      </c>
    </row>
    <row r="1183" ht="15" customHeight="1" spans="1:47">
      <c r="A1183" s="20" t="s">
        <v>3150</v>
      </c>
      <c r="B1183" s="22" t="s">
        <v>3151</v>
      </c>
      <c r="C1183" s="22" t="s">
        <v>189</v>
      </c>
      <c r="D1183" s="22" t="s">
        <v>227</v>
      </c>
      <c r="E1183" s="22" t="s">
        <v>197</v>
      </c>
      <c r="F1183" s="20" t="s">
        <v>1064</v>
      </c>
      <c r="G1183" s="22">
        <v>1</v>
      </c>
      <c r="H1183" s="22" t="s">
        <v>642</v>
      </c>
      <c r="I1183" s="22" t="s">
        <v>302</v>
      </c>
      <c r="J1183" s="36">
        <v>800</v>
      </c>
      <c r="K1183" s="36">
        <v>500</v>
      </c>
      <c r="L1183" s="36">
        <v>300</v>
      </c>
      <c r="M1183" s="36">
        <f t="shared" si="144"/>
        <v>1600</v>
      </c>
      <c r="N1183" s="34">
        <f t="shared" si="150"/>
        <v>8.38822377264558e-6</v>
      </c>
      <c r="O1183" s="35">
        <f>SUM($M$2:M1183)</f>
        <v>190568000</v>
      </c>
      <c r="P1183" s="34">
        <f t="shared" si="151"/>
        <v>0.999079392440952</v>
      </c>
      <c r="Q1183" s="39">
        <v>0.1</v>
      </c>
      <c r="R1183" s="22">
        <v>1</v>
      </c>
      <c r="S1183" s="22">
        <v>0</v>
      </c>
      <c r="T1183" s="22">
        <v>0</v>
      </c>
      <c r="U1183" s="39">
        <v>10.6</v>
      </c>
      <c r="V1183" s="22">
        <v>4</v>
      </c>
      <c r="W1183" s="22">
        <v>1</v>
      </c>
      <c r="X1183" s="40">
        <v>67</v>
      </c>
      <c r="Y1183" s="22">
        <v>0</v>
      </c>
      <c r="Z1183" s="22">
        <v>0</v>
      </c>
      <c r="AA1183" s="22" t="s">
        <v>199</v>
      </c>
      <c r="AB1183" s="22" t="s">
        <v>220</v>
      </c>
      <c r="AC1183" s="42">
        <f>IFERROR(LOOKUP(M1183,打分卡!$F$7:$J$7,打分卡!$K$7:$O$7),1)</f>
        <v>1</v>
      </c>
      <c r="AD1183" s="42">
        <f>IFERROR(LOOKUP(S1183,打分卡!$F$8:$J$8,打分卡!$K$8:$O$8),1)</f>
        <v>1</v>
      </c>
      <c r="AE1183" s="42">
        <f>IFERROR(LOOKUP(T1183,打分卡!$F$9:$I$9,打分卡!$K$9:$N$9),1)</f>
        <v>1</v>
      </c>
      <c r="AF1183" s="42">
        <f>IFERROR(LOOKUP(Q1183,打分卡!$F$10:$J$10,打分卡!$K$10:$O$10),1)</f>
        <v>1</v>
      </c>
      <c r="AG1183" s="42">
        <f>IFERROR(LOOKUP(R1183,打分卡!$F$11:$J$11,打分卡!$K$11:$O$11),1)</f>
        <v>1</v>
      </c>
      <c r="AH1183" s="42">
        <f>IFERROR(LOOKUP(U1183,打分卡!$F$12:$J$12,打分卡!$K$12:$O$12),1)</f>
        <v>3</v>
      </c>
      <c r="AI1183" s="42">
        <f>IFERROR(LOOKUP(X1183,打分卡!$F$13:$J$13,打分卡!$K$13:$O$13),1)</f>
        <v>3</v>
      </c>
      <c r="AJ1183" s="42">
        <f>IFERROR(LOOKUP(Y1183,打分卡!$F$14:$J$14,打分卡!$K$14:$O$14),1)</f>
        <v>1</v>
      </c>
      <c r="AK1183" s="42">
        <f>IFERROR(LOOKUP(W1183,打分卡!$F$15:$J$15,打分卡!$K$15:$O$15),1)</f>
        <v>2</v>
      </c>
      <c r="AL1183" s="45">
        <f t="shared" si="145"/>
        <v>5</v>
      </c>
      <c r="AM1183" s="42">
        <f>IFERROR(LOOKUP(Z1183,打分卡!$F$17:$H$17,打分卡!$K$17:$M$17),1)</f>
        <v>1</v>
      </c>
      <c r="AN1183" s="46">
        <f>(打分卡!$D$7*AC1183+打分卡!$D$8*AD1183+打分卡!$D$9*AE1183)/5</f>
        <v>8</v>
      </c>
      <c r="AO1183" s="46">
        <f>(打分卡!$D$10*AF1183+打分卡!$D$11*AG1183)/5</f>
        <v>4</v>
      </c>
      <c r="AP1183" s="46">
        <f>(打分卡!$D$12*AH1183+打分卡!$D$13*AI1183+打分卡!$D$14*AJ1183+打分卡!$D$15*AK1183)/5</f>
        <v>14.8</v>
      </c>
      <c r="AQ1183" s="46">
        <f>(打分卡!$D$16*AL1183+打分卡!$D$17*AM1183)/5</f>
        <v>6.8</v>
      </c>
      <c r="AR1183" s="48">
        <f t="shared" si="146"/>
        <v>45.3333333333333</v>
      </c>
      <c r="AS1183" s="45" t="str">
        <f t="shared" si="147"/>
        <v>腰部</v>
      </c>
      <c r="AT1183" s="45" t="str">
        <f t="shared" si="148"/>
        <v/>
      </c>
      <c r="AU1183" s="45" t="str">
        <f t="shared" si="149"/>
        <v>拉·主攻：主推AI外呼+大促作战包</v>
      </c>
    </row>
    <row r="1184" ht="15" customHeight="1" spans="1:47">
      <c r="A1184" s="30" t="s">
        <v>3152</v>
      </c>
      <c r="B1184" s="31" t="s">
        <v>3153</v>
      </c>
      <c r="C1184" s="31" t="s">
        <v>195</v>
      </c>
      <c r="D1184" s="31" t="s">
        <v>202</v>
      </c>
      <c r="E1184" s="31" t="s">
        <v>197</v>
      </c>
      <c r="F1184" s="30" t="s">
        <v>1166</v>
      </c>
      <c r="G1184" s="31">
        <v>3</v>
      </c>
      <c r="H1184" s="31" t="s">
        <v>642</v>
      </c>
      <c r="I1184" s="31" t="s">
        <v>302</v>
      </c>
      <c r="J1184" s="33">
        <v>1000</v>
      </c>
      <c r="K1184" s="33">
        <v>500</v>
      </c>
      <c r="L1184" s="33">
        <v>100</v>
      </c>
      <c r="M1184" s="33">
        <f t="shared" si="144"/>
        <v>1600</v>
      </c>
      <c r="N1184" s="34">
        <f t="shared" si="150"/>
        <v>8.38822377264558e-6</v>
      </c>
      <c r="O1184" s="35">
        <f>SUM($M$2:M1184)</f>
        <v>190569600</v>
      </c>
      <c r="P1184" s="34">
        <f t="shared" si="151"/>
        <v>0.999087780664725</v>
      </c>
      <c r="Q1184" s="37">
        <v>0.1</v>
      </c>
      <c r="R1184" s="31">
        <v>3</v>
      </c>
      <c r="S1184" s="31">
        <v>0</v>
      </c>
      <c r="T1184" s="31">
        <v>0</v>
      </c>
      <c r="U1184" s="37">
        <v>0.5</v>
      </c>
      <c r="V1184" s="31">
        <v>10</v>
      </c>
      <c r="W1184" s="31">
        <v>2</v>
      </c>
      <c r="X1184" s="38">
        <v>18</v>
      </c>
      <c r="Y1184" s="31">
        <v>0</v>
      </c>
      <c r="Z1184" s="31">
        <v>0</v>
      </c>
      <c r="AA1184" s="31" t="s">
        <v>199</v>
      </c>
      <c r="AB1184" s="31" t="s">
        <v>220</v>
      </c>
      <c r="AC1184" s="41">
        <f>IFERROR(LOOKUP(M1184,打分卡!$F$7:$J$7,打分卡!$K$7:$O$7),1)</f>
        <v>1</v>
      </c>
      <c r="AD1184" s="41">
        <f>IFERROR(LOOKUP(S1184,打分卡!$F$8:$J$8,打分卡!$K$8:$O$8),1)</f>
        <v>1</v>
      </c>
      <c r="AE1184" s="41">
        <f>IFERROR(LOOKUP(T1184,打分卡!$F$9:$I$9,打分卡!$K$9:$N$9),1)</f>
        <v>1</v>
      </c>
      <c r="AF1184" s="41">
        <f>IFERROR(LOOKUP(Q1184,打分卡!$F$10:$J$10,打分卡!$K$10:$O$10),1)</f>
        <v>1</v>
      </c>
      <c r="AG1184" s="41">
        <f>IFERROR(LOOKUP(R1184,打分卡!$F$11:$J$11,打分卡!$K$11:$O$11),1)</f>
        <v>2</v>
      </c>
      <c r="AH1184" s="41">
        <f>IFERROR(LOOKUP(U1184,打分卡!$F$12:$J$12,打分卡!$K$12:$O$12),1)</f>
        <v>1</v>
      </c>
      <c r="AI1184" s="41">
        <f>IFERROR(LOOKUP(X1184,打分卡!$F$13:$J$13,打分卡!$K$13:$O$13),1)</f>
        <v>2</v>
      </c>
      <c r="AJ1184" s="41">
        <f>IFERROR(LOOKUP(Y1184,打分卡!$F$14:$J$14,打分卡!$K$14:$O$14),1)</f>
        <v>1</v>
      </c>
      <c r="AK1184" s="41">
        <f>IFERROR(LOOKUP(W1184,打分卡!$F$15:$J$15,打分卡!$K$15:$O$15),1)</f>
        <v>2</v>
      </c>
      <c r="AL1184" s="43">
        <f t="shared" si="145"/>
        <v>5</v>
      </c>
      <c r="AM1184" s="41">
        <f>IFERROR(LOOKUP(Z1184,打分卡!$F$17:$H$17,打分卡!$K$17:$M$17),1)</f>
        <v>1</v>
      </c>
      <c r="AN1184" s="44">
        <f>(打分卡!$D$7*AC1184+打分卡!$D$8*AD1184+打分卡!$D$9*AE1184)/5</f>
        <v>8</v>
      </c>
      <c r="AO1184" s="44">
        <f>(打分卡!$D$10*AF1184+打分卡!$D$11*AG1184)/5</f>
        <v>6</v>
      </c>
      <c r="AP1184" s="44">
        <f>(打分卡!$D$12*AH1184+打分卡!$D$13*AI1184+打分卡!$D$14*AJ1184+打分卡!$D$15*AK1184)/5</f>
        <v>8.4</v>
      </c>
      <c r="AQ1184" s="44">
        <f>(打分卡!$D$16*AL1184+打分卡!$D$17*AM1184)/5</f>
        <v>6.8</v>
      </c>
      <c r="AR1184" s="47">
        <f t="shared" si="146"/>
        <v>29.2</v>
      </c>
      <c r="AS1184" s="43" t="str">
        <f t="shared" si="147"/>
        <v>基础长尾</v>
      </c>
      <c r="AT1184" s="43" t="str">
        <f t="shared" si="148"/>
        <v/>
      </c>
      <c r="AU1184" s="43" t="str">
        <f t="shared" si="149"/>
        <v>激活：企微+Push低成本先跑</v>
      </c>
    </row>
    <row r="1185" ht="15" customHeight="1" spans="1:47">
      <c r="A1185" s="20" t="s">
        <v>3154</v>
      </c>
      <c r="B1185" s="22" t="s">
        <v>3155</v>
      </c>
      <c r="C1185" s="22" t="s">
        <v>218</v>
      </c>
      <c r="D1185" s="22" t="s">
        <v>227</v>
      </c>
      <c r="E1185" s="22" t="s">
        <v>197</v>
      </c>
      <c r="F1185" s="20" t="s">
        <v>1102</v>
      </c>
      <c r="G1185" s="22">
        <v>3</v>
      </c>
      <c r="H1185" s="22" t="s">
        <v>642</v>
      </c>
      <c r="I1185" s="22" t="s">
        <v>302</v>
      </c>
      <c r="J1185" s="36">
        <v>900</v>
      </c>
      <c r="K1185" s="36">
        <v>600</v>
      </c>
      <c r="L1185" s="36">
        <v>100</v>
      </c>
      <c r="M1185" s="36">
        <f t="shared" si="144"/>
        <v>1600</v>
      </c>
      <c r="N1185" s="34">
        <f t="shared" si="150"/>
        <v>8.38822377264558e-6</v>
      </c>
      <c r="O1185" s="35">
        <f>SUM($M$2:M1185)</f>
        <v>190571200</v>
      </c>
      <c r="P1185" s="34">
        <f t="shared" si="151"/>
        <v>0.999096168888497</v>
      </c>
      <c r="Q1185" s="39">
        <v>0.1</v>
      </c>
      <c r="R1185" s="22">
        <v>3</v>
      </c>
      <c r="S1185" s="22">
        <v>0</v>
      </c>
      <c r="T1185" s="22">
        <v>0</v>
      </c>
      <c r="U1185" s="39">
        <v>33.4</v>
      </c>
      <c r="V1185" s="22">
        <v>9</v>
      </c>
      <c r="W1185" s="22">
        <v>2</v>
      </c>
      <c r="X1185" s="40">
        <v>28</v>
      </c>
      <c r="Y1185" s="22">
        <v>0</v>
      </c>
      <c r="Z1185" s="22">
        <v>0</v>
      </c>
      <c r="AA1185" s="22" t="s">
        <v>199</v>
      </c>
      <c r="AB1185" s="22" t="s">
        <v>220</v>
      </c>
      <c r="AC1185" s="42">
        <f>IFERROR(LOOKUP(M1185,打分卡!$F$7:$J$7,打分卡!$K$7:$O$7),1)</f>
        <v>1</v>
      </c>
      <c r="AD1185" s="42">
        <f>IFERROR(LOOKUP(S1185,打分卡!$F$8:$J$8,打分卡!$K$8:$O$8),1)</f>
        <v>1</v>
      </c>
      <c r="AE1185" s="42">
        <f>IFERROR(LOOKUP(T1185,打分卡!$F$9:$I$9,打分卡!$K$9:$N$9),1)</f>
        <v>1</v>
      </c>
      <c r="AF1185" s="42">
        <f>IFERROR(LOOKUP(Q1185,打分卡!$F$10:$J$10,打分卡!$K$10:$O$10),1)</f>
        <v>1</v>
      </c>
      <c r="AG1185" s="42">
        <f>IFERROR(LOOKUP(R1185,打分卡!$F$11:$J$11,打分卡!$K$11:$O$11),1)</f>
        <v>2</v>
      </c>
      <c r="AH1185" s="42">
        <f>IFERROR(LOOKUP(U1185,打分卡!$F$12:$J$12,打分卡!$K$12:$O$12),1)</f>
        <v>4</v>
      </c>
      <c r="AI1185" s="42">
        <f>IFERROR(LOOKUP(X1185,打分卡!$F$13:$J$13,打分卡!$K$13:$O$13),1)</f>
        <v>2</v>
      </c>
      <c r="AJ1185" s="42">
        <f>IFERROR(LOOKUP(Y1185,打分卡!$F$14:$J$14,打分卡!$K$14:$O$14),1)</f>
        <v>1</v>
      </c>
      <c r="AK1185" s="42">
        <f>IFERROR(LOOKUP(W1185,打分卡!$F$15:$J$15,打分卡!$K$15:$O$15),1)</f>
        <v>2</v>
      </c>
      <c r="AL1185" s="45">
        <f t="shared" si="145"/>
        <v>5</v>
      </c>
      <c r="AM1185" s="42">
        <f>IFERROR(LOOKUP(Z1185,打分卡!$F$17:$H$17,打分卡!$K$17:$M$17),1)</f>
        <v>1</v>
      </c>
      <c r="AN1185" s="46">
        <f>(打分卡!$D$7*AC1185+打分卡!$D$8*AD1185+打分卡!$D$9*AE1185)/5</f>
        <v>8</v>
      </c>
      <c r="AO1185" s="46">
        <f>(打分卡!$D$10*AF1185+打分卡!$D$11*AG1185)/5</f>
        <v>6</v>
      </c>
      <c r="AP1185" s="46">
        <f>(打分卡!$D$12*AH1185+打分卡!$D$13*AI1185+打分卡!$D$14*AJ1185+打分卡!$D$15*AK1185)/5</f>
        <v>15.6</v>
      </c>
      <c r="AQ1185" s="46">
        <f>(打分卡!$D$16*AL1185+打分卡!$D$17*AM1185)/5</f>
        <v>6.8</v>
      </c>
      <c r="AR1185" s="48">
        <f t="shared" si="146"/>
        <v>36.4</v>
      </c>
      <c r="AS1185" s="45" t="str">
        <f t="shared" si="147"/>
        <v>基础长尾</v>
      </c>
      <c r="AT1185" s="45" t="str">
        <f t="shared" si="148"/>
        <v/>
      </c>
      <c r="AU1185" s="45" t="str">
        <f t="shared" si="149"/>
        <v>激活：企微+Push低成本先跑</v>
      </c>
    </row>
    <row r="1186" ht="15" customHeight="1" spans="1:47">
      <c r="A1186" s="30" t="s">
        <v>3156</v>
      </c>
      <c r="B1186" s="31" t="s">
        <v>3157</v>
      </c>
      <c r="C1186" s="31" t="s">
        <v>218</v>
      </c>
      <c r="D1186" s="31" t="s">
        <v>202</v>
      </c>
      <c r="E1186" s="31" t="s">
        <v>181</v>
      </c>
      <c r="F1186" s="30" t="s">
        <v>837</v>
      </c>
      <c r="G1186" s="31">
        <v>3</v>
      </c>
      <c r="H1186" s="31" t="s">
        <v>642</v>
      </c>
      <c r="I1186" s="31" t="s">
        <v>302</v>
      </c>
      <c r="J1186" s="33">
        <v>1000</v>
      </c>
      <c r="K1186" s="33">
        <v>400</v>
      </c>
      <c r="L1186" s="33">
        <v>200</v>
      </c>
      <c r="M1186" s="33">
        <f t="shared" si="144"/>
        <v>1600</v>
      </c>
      <c r="N1186" s="34">
        <f t="shared" si="150"/>
        <v>8.38822377264558e-6</v>
      </c>
      <c r="O1186" s="35">
        <f>SUM($M$2:M1186)</f>
        <v>190572800</v>
      </c>
      <c r="P1186" s="34">
        <f t="shared" si="151"/>
        <v>0.99910455711227</v>
      </c>
      <c r="Q1186" s="37">
        <v>0.1</v>
      </c>
      <c r="R1186" s="31">
        <v>1</v>
      </c>
      <c r="S1186" s="31">
        <v>0</v>
      </c>
      <c r="T1186" s="31">
        <v>0</v>
      </c>
      <c r="U1186" s="37">
        <v>8.5</v>
      </c>
      <c r="V1186" s="31">
        <v>15</v>
      </c>
      <c r="W1186" s="31">
        <v>2</v>
      </c>
      <c r="X1186" s="38">
        <v>68</v>
      </c>
      <c r="Y1186" s="31">
        <v>0</v>
      </c>
      <c r="Z1186" s="31">
        <v>0</v>
      </c>
      <c r="AA1186" s="31" t="s">
        <v>199</v>
      </c>
      <c r="AB1186" s="31" t="s">
        <v>220</v>
      </c>
      <c r="AC1186" s="41">
        <f>IFERROR(LOOKUP(M1186,打分卡!$F$7:$J$7,打分卡!$K$7:$O$7),1)</f>
        <v>1</v>
      </c>
      <c r="AD1186" s="41">
        <f>IFERROR(LOOKUP(S1186,打分卡!$F$8:$J$8,打分卡!$K$8:$O$8),1)</f>
        <v>1</v>
      </c>
      <c r="AE1186" s="41">
        <f>IFERROR(LOOKUP(T1186,打分卡!$F$9:$I$9,打分卡!$K$9:$N$9),1)</f>
        <v>1</v>
      </c>
      <c r="AF1186" s="41">
        <f>IFERROR(LOOKUP(Q1186,打分卡!$F$10:$J$10,打分卡!$K$10:$O$10),1)</f>
        <v>1</v>
      </c>
      <c r="AG1186" s="41">
        <f>IFERROR(LOOKUP(R1186,打分卡!$F$11:$J$11,打分卡!$K$11:$O$11),1)</f>
        <v>1</v>
      </c>
      <c r="AH1186" s="41">
        <f>IFERROR(LOOKUP(U1186,打分卡!$F$12:$J$12,打分卡!$K$12:$O$12),1)</f>
        <v>2</v>
      </c>
      <c r="AI1186" s="41">
        <f>IFERROR(LOOKUP(X1186,打分卡!$F$13:$J$13,打分卡!$K$13:$O$13),1)</f>
        <v>3</v>
      </c>
      <c r="AJ1186" s="41">
        <f>IFERROR(LOOKUP(Y1186,打分卡!$F$14:$J$14,打分卡!$K$14:$O$14),1)</f>
        <v>1</v>
      </c>
      <c r="AK1186" s="41">
        <f>IFERROR(LOOKUP(W1186,打分卡!$F$15:$J$15,打分卡!$K$15:$O$15),1)</f>
        <v>2</v>
      </c>
      <c r="AL1186" s="43">
        <f t="shared" si="145"/>
        <v>5</v>
      </c>
      <c r="AM1186" s="41">
        <f>IFERROR(LOOKUP(Z1186,打分卡!$F$17:$H$17,打分卡!$K$17:$M$17),1)</f>
        <v>1</v>
      </c>
      <c r="AN1186" s="44">
        <f>(打分卡!$D$7*AC1186+打分卡!$D$8*AD1186+打分卡!$D$9*AE1186)/5</f>
        <v>8</v>
      </c>
      <c r="AO1186" s="44">
        <f>(打分卡!$D$10*AF1186+打分卡!$D$11*AG1186)/5</f>
        <v>4</v>
      </c>
      <c r="AP1186" s="44">
        <f>(打分卡!$D$12*AH1186+打分卡!$D$13*AI1186+打分卡!$D$14*AJ1186+打分卡!$D$15*AK1186)/5</f>
        <v>12.4</v>
      </c>
      <c r="AQ1186" s="44">
        <f>(打分卡!$D$16*AL1186+打分卡!$D$17*AM1186)/5</f>
        <v>6.8</v>
      </c>
      <c r="AR1186" s="47">
        <f t="shared" si="146"/>
        <v>31.2</v>
      </c>
      <c r="AS1186" s="43" t="str">
        <f t="shared" si="147"/>
        <v>基础长尾</v>
      </c>
      <c r="AT1186" s="43" t="str">
        <f t="shared" si="148"/>
        <v/>
      </c>
      <c r="AU1186" s="43" t="str">
        <f t="shared" si="149"/>
        <v>激活：企微+Push低成本先跑</v>
      </c>
    </row>
    <row r="1187" ht="15" customHeight="1" spans="1:47">
      <c r="A1187" s="20" t="s">
        <v>3158</v>
      </c>
      <c r="B1187" s="22" t="s">
        <v>3159</v>
      </c>
      <c r="C1187" s="22" t="s">
        <v>179</v>
      </c>
      <c r="D1187" s="22" t="s">
        <v>180</v>
      </c>
      <c r="E1187" s="22" t="s">
        <v>181</v>
      </c>
      <c r="F1187" s="20" t="s">
        <v>2834</v>
      </c>
      <c r="G1187" s="22">
        <v>1</v>
      </c>
      <c r="H1187" s="22" t="s">
        <v>642</v>
      </c>
      <c r="I1187" s="22" t="s">
        <v>302</v>
      </c>
      <c r="J1187" s="36">
        <v>1000</v>
      </c>
      <c r="K1187" s="36">
        <v>400</v>
      </c>
      <c r="L1187" s="36">
        <v>200</v>
      </c>
      <c r="M1187" s="36">
        <f t="shared" si="144"/>
        <v>1600</v>
      </c>
      <c r="N1187" s="34">
        <f t="shared" si="150"/>
        <v>8.38822377264558e-6</v>
      </c>
      <c r="O1187" s="35">
        <f>SUM($M$2:M1187)</f>
        <v>190574400</v>
      </c>
      <c r="P1187" s="34">
        <f t="shared" si="151"/>
        <v>0.999112945336043</v>
      </c>
      <c r="Q1187" s="39">
        <v>0.1</v>
      </c>
      <c r="R1187" s="22">
        <v>2</v>
      </c>
      <c r="S1187" s="22">
        <v>1</v>
      </c>
      <c r="T1187" s="22">
        <v>0</v>
      </c>
      <c r="U1187" s="39">
        <v>22.7</v>
      </c>
      <c r="V1187" s="22">
        <v>13</v>
      </c>
      <c r="W1187" s="22">
        <v>2</v>
      </c>
      <c r="X1187" s="40">
        <v>6</v>
      </c>
      <c r="Y1187" s="22">
        <v>1</v>
      </c>
      <c r="Z1187" s="22">
        <v>0</v>
      </c>
      <c r="AA1187" s="22" t="s">
        <v>199</v>
      </c>
      <c r="AB1187" s="22" t="s">
        <v>220</v>
      </c>
      <c r="AC1187" s="42">
        <f>IFERROR(LOOKUP(M1187,打分卡!$F$7:$J$7,打分卡!$K$7:$O$7),1)</f>
        <v>1</v>
      </c>
      <c r="AD1187" s="42">
        <f>IFERROR(LOOKUP(S1187,打分卡!$F$8:$J$8,打分卡!$K$8:$O$8),1)</f>
        <v>1</v>
      </c>
      <c r="AE1187" s="42">
        <f>IFERROR(LOOKUP(T1187,打分卡!$F$9:$I$9,打分卡!$K$9:$N$9),1)</f>
        <v>1</v>
      </c>
      <c r="AF1187" s="42">
        <f>IFERROR(LOOKUP(Q1187,打分卡!$F$10:$J$10,打分卡!$K$10:$O$10),1)</f>
        <v>1</v>
      </c>
      <c r="AG1187" s="42">
        <f>IFERROR(LOOKUP(R1187,打分卡!$F$11:$J$11,打分卡!$K$11:$O$11),1)</f>
        <v>1</v>
      </c>
      <c r="AH1187" s="42">
        <f>IFERROR(LOOKUP(U1187,打分卡!$F$12:$J$12,打分卡!$K$12:$O$12),1)</f>
        <v>3</v>
      </c>
      <c r="AI1187" s="42">
        <f>IFERROR(LOOKUP(X1187,打分卡!$F$13:$J$13,打分卡!$K$13:$O$13),1)</f>
        <v>1</v>
      </c>
      <c r="AJ1187" s="42">
        <f>IFERROR(LOOKUP(Y1187,打分卡!$F$14:$J$14,打分卡!$K$14:$O$14),1)</f>
        <v>2</v>
      </c>
      <c r="AK1187" s="42">
        <f>IFERROR(LOOKUP(W1187,打分卡!$F$15:$J$15,打分卡!$K$15:$O$15),1)</f>
        <v>2</v>
      </c>
      <c r="AL1187" s="45">
        <f t="shared" si="145"/>
        <v>5</v>
      </c>
      <c r="AM1187" s="42">
        <f>IFERROR(LOOKUP(Z1187,打分卡!$F$17:$H$17,打分卡!$K$17:$M$17),1)</f>
        <v>1</v>
      </c>
      <c r="AN1187" s="46">
        <f>(打分卡!$D$7*AC1187+打分卡!$D$8*AD1187+打分卡!$D$9*AE1187)/5</f>
        <v>8</v>
      </c>
      <c r="AO1187" s="46">
        <f>(打分卡!$D$10*AF1187+打分卡!$D$11*AG1187)/5</f>
        <v>4</v>
      </c>
      <c r="AP1187" s="46">
        <f>(打分卡!$D$12*AH1187+打分卡!$D$13*AI1187+打分卡!$D$14*AJ1187+打分卡!$D$15*AK1187)/5</f>
        <v>12.8</v>
      </c>
      <c r="AQ1187" s="46">
        <f>(打分卡!$D$16*AL1187+打分卡!$D$17*AM1187)/5</f>
        <v>6.8</v>
      </c>
      <c r="AR1187" s="48">
        <f t="shared" si="146"/>
        <v>40.6666666666667</v>
      </c>
      <c r="AS1187" s="45" t="str">
        <f t="shared" si="147"/>
        <v>腰部</v>
      </c>
      <c r="AT1187" s="45" t="str">
        <f t="shared" si="148"/>
        <v/>
      </c>
      <c r="AU1187" s="45" t="str">
        <f t="shared" si="149"/>
        <v>拉·主攻：主推AI外呼+大促作战包</v>
      </c>
    </row>
    <row r="1188" ht="15" customHeight="1" spans="1:47">
      <c r="A1188" s="30" t="s">
        <v>3160</v>
      </c>
      <c r="B1188" s="31" t="s">
        <v>3161</v>
      </c>
      <c r="C1188" s="31" t="s">
        <v>189</v>
      </c>
      <c r="D1188" s="31" t="s">
        <v>202</v>
      </c>
      <c r="E1188" s="31" t="s">
        <v>181</v>
      </c>
      <c r="F1188" s="30" t="s">
        <v>1430</v>
      </c>
      <c r="G1188" s="31">
        <v>2</v>
      </c>
      <c r="H1188" s="31" t="s">
        <v>642</v>
      </c>
      <c r="I1188" s="31" t="s">
        <v>302</v>
      </c>
      <c r="J1188" s="33">
        <v>1000</v>
      </c>
      <c r="K1188" s="33">
        <v>500</v>
      </c>
      <c r="L1188" s="33">
        <v>100</v>
      </c>
      <c r="M1188" s="33">
        <f t="shared" si="144"/>
        <v>1600</v>
      </c>
      <c r="N1188" s="34">
        <f t="shared" si="150"/>
        <v>8.38822377264558e-6</v>
      </c>
      <c r="O1188" s="35">
        <f>SUM($M$2:M1188)</f>
        <v>190576000</v>
      </c>
      <c r="P1188" s="34">
        <f t="shared" si="151"/>
        <v>0.999121333559815</v>
      </c>
      <c r="Q1188" s="37">
        <v>0.2</v>
      </c>
      <c r="R1188" s="31">
        <v>3</v>
      </c>
      <c r="S1188" s="31">
        <v>0</v>
      </c>
      <c r="T1188" s="31">
        <v>0</v>
      </c>
      <c r="U1188" s="37">
        <v>9.3</v>
      </c>
      <c r="V1188" s="31">
        <v>9</v>
      </c>
      <c r="W1188" s="31">
        <v>0</v>
      </c>
      <c r="X1188" s="38">
        <v>7</v>
      </c>
      <c r="Y1188" s="31">
        <v>0</v>
      </c>
      <c r="Z1188" s="31">
        <v>0</v>
      </c>
      <c r="AA1188" s="31" t="s">
        <v>199</v>
      </c>
      <c r="AB1188" s="31" t="s">
        <v>220</v>
      </c>
      <c r="AC1188" s="41">
        <f>IFERROR(LOOKUP(M1188,打分卡!$F$7:$J$7,打分卡!$K$7:$O$7),1)</f>
        <v>1</v>
      </c>
      <c r="AD1188" s="41">
        <f>IFERROR(LOOKUP(S1188,打分卡!$F$8:$J$8,打分卡!$K$8:$O$8),1)</f>
        <v>1</v>
      </c>
      <c r="AE1188" s="41">
        <f>IFERROR(LOOKUP(T1188,打分卡!$F$9:$I$9,打分卡!$K$9:$N$9),1)</f>
        <v>1</v>
      </c>
      <c r="AF1188" s="41">
        <f>IFERROR(LOOKUP(Q1188,打分卡!$F$10:$J$10,打分卡!$K$10:$O$10),1)</f>
        <v>1</v>
      </c>
      <c r="AG1188" s="41">
        <f>IFERROR(LOOKUP(R1188,打分卡!$F$11:$J$11,打分卡!$K$11:$O$11),1)</f>
        <v>2</v>
      </c>
      <c r="AH1188" s="41">
        <f>IFERROR(LOOKUP(U1188,打分卡!$F$12:$J$12,打分卡!$K$12:$O$12),1)</f>
        <v>2</v>
      </c>
      <c r="AI1188" s="41">
        <f>IFERROR(LOOKUP(X1188,打分卡!$F$13:$J$13,打分卡!$K$13:$O$13),1)</f>
        <v>1</v>
      </c>
      <c r="AJ1188" s="41">
        <f>IFERROR(LOOKUP(Y1188,打分卡!$F$14:$J$14,打分卡!$K$14:$O$14),1)</f>
        <v>1</v>
      </c>
      <c r="AK1188" s="41">
        <f>IFERROR(LOOKUP(W1188,打分卡!$F$15:$J$15,打分卡!$K$15:$O$15),1)</f>
        <v>1</v>
      </c>
      <c r="AL1188" s="43">
        <f t="shared" si="145"/>
        <v>5</v>
      </c>
      <c r="AM1188" s="41">
        <f>IFERROR(LOOKUP(Z1188,打分卡!$F$17:$H$17,打分卡!$K$17:$M$17),1)</f>
        <v>1</v>
      </c>
      <c r="AN1188" s="44">
        <f>(打分卡!$D$7*AC1188+打分卡!$D$8*AD1188+打分卡!$D$9*AE1188)/5</f>
        <v>8</v>
      </c>
      <c r="AO1188" s="44">
        <f>(打分卡!$D$10*AF1188+打分卡!$D$11*AG1188)/5</f>
        <v>6</v>
      </c>
      <c r="AP1188" s="44">
        <f>(打分卡!$D$12*AH1188+打分卡!$D$13*AI1188+打分卡!$D$14*AJ1188+打分卡!$D$15*AK1188)/5</f>
        <v>8.4</v>
      </c>
      <c r="AQ1188" s="44">
        <f>(打分卡!$D$16*AL1188+打分卡!$D$17*AM1188)/5</f>
        <v>6.8</v>
      </c>
      <c r="AR1188" s="47">
        <f t="shared" si="146"/>
        <v>32.4</v>
      </c>
      <c r="AS1188" s="43" t="str">
        <f t="shared" si="147"/>
        <v>基础长尾</v>
      </c>
      <c r="AT1188" s="43" t="str">
        <f t="shared" si="148"/>
        <v/>
      </c>
      <c r="AU1188" s="43" t="str">
        <f t="shared" si="149"/>
        <v>激活：企微+Push低成本先跑</v>
      </c>
    </row>
    <row r="1189" ht="15" customHeight="1" spans="1:47">
      <c r="A1189" s="20" t="s">
        <v>3162</v>
      </c>
      <c r="B1189" s="22" t="s">
        <v>3163</v>
      </c>
      <c r="C1189" s="22" t="s">
        <v>195</v>
      </c>
      <c r="D1189" s="22" t="s">
        <v>202</v>
      </c>
      <c r="E1189" s="22" t="s">
        <v>181</v>
      </c>
      <c r="F1189" s="20" t="s">
        <v>2898</v>
      </c>
      <c r="G1189" s="22">
        <v>2</v>
      </c>
      <c r="H1189" s="22" t="s">
        <v>642</v>
      </c>
      <c r="I1189" s="22" t="s">
        <v>302</v>
      </c>
      <c r="J1189" s="36">
        <v>700</v>
      </c>
      <c r="K1189" s="36">
        <v>500</v>
      </c>
      <c r="L1189" s="36">
        <v>400</v>
      </c>
      <c r="M1189" s="36">
        <f t="shared" si="144"/>
        <v>1600</v>
      </c>
      <c r="N1189" s="34">
        <f t="shared" si="150"/>
        <v>8.38822377264558e-6</v>
      </c>
      <c r="O1189" s="35">
        <f>SUM($M$2:M1189)</f>
        <v>190577600</v>
      </c>
      <c r="P1189" s="34">
        <f t="shared" si="151"/>
        <v>0.999129721783588</v>
      </c>
      <c r="Q1189" s="39">
        <v>0.2</v>
      </c>
      <c r="R1189" s="22">
        <v>3</v>
      </c>
      <c r="S1189" s="22">
        <v>1</v>
      </c>
      <c r="T1189" s="22">
        <v>0</v>
      </c>
      <c r="U1189" s="39">
        <v>1.1</v>
      </c>
      <c r="V1189" s="22">
        <v>2</v>
      </c>
      <c r="W1189" s="22">
        <v>0</v>
      </c>
      <c r="X1189" s="40">
        <v>10</v>
      </c>
      <c r="Y1189" s="22">
        <v>1</v>
      </c>
      <c r="Z1189" s="22">
        <v>0</v>
      </c>
      <c r="AA1189" s="22" t="s">
        <v>199</v>
      </c>
      <c r="AB1189" s="22" t="s">
        <v>220</v>
      </c>
      <c r="AC1189" s="42">
        <f>IFERROR(LOOKUP(M1189,打分卡!$F$7:$J$7,打分卡!$K$7:$O$7),1)</f>
        <v>1</v>
      </c>
      <c r="AD1189" s="42">
        <f>IFERROR(LOOKUP(S1189,打分卡!$F$8:$J$8,打分卡!$K$8:$O$8),1)</f>
        <v>1</v>
      </c>
      <c r="AE1189" s="42">
        <f>IFERROR(LOOKUP(T1189,打分卡!$F$9:$I$9,打分卡!$K$9:$N$9),1)</f>
        <v>1</v>
      </c>
      <c r="AF1189" s="42">
        <f>IFERROR(LOOKUP(Q1189,打分卡!$F$10:$J$10,打分卡!$K$10:$O$10),1)</f>
        <v>1</v>
      </c>
      <c r="AG1189" s="42">
        <f>IFERROR(LOOKUP(R1189,打分卡!$F$11:$J$11,打分卡!$K$11:$O$11),1)</f>
        <v>2</v>
      </c>
      <c r="AH1189" s="42">
        <f>IFERROR(LOOKUP(U1189,打分卡!$F$12:$J$12,打分卡!$K$12:$O$12),1)</f>
        <v>1</v>
      </c>
      <c r="AI1189" s="42">
        <f>IFERROR(LOOKUP(X1189,打分卡!$F$13:$J$13,打分卡!$K$13:$O$13),1)</f>
        <v>1</v>
      </c>
      <c r="AJ1189" s="42">
        <f>IFERROR(LOOKUP(Y1189,打分卡!$F$14:$J$14,打分卡!$K$14:$O$14),1)</f>
        <v>2</v>
      </c>
      <c r="AK1189" s="42">
        <f>IFERROR(LOOKUP(W1189,打分卡!$F$15:$J$15,打分卡!$K$15:$O$15),1)</f>
        <v>1</v>
      </c>
      <c r="AL1189" s="45">
        <f t="shared" si="145"/>
        <v>5</v>
      </c>
      <c r="AM1189" s="42">
        <f>IFERROR(LOOKUP(Z1189,打分卡!$F$17:$H$17,打分卡!$K$17:$M$17),1)</f>
        <v>1</v>
      </c>
      <c r="AN1189" s="46">
        <f>(打分卡!$D$7*AC1189+打分卡!$D$8*AD1189+打分卡!$D$9*AE1189)/5</f>
        <v>8</v>
      </c>
      <c r="AO1189" s="46">
        <f>(打分卡!$D$10*AF1189+打分卡!$D$11*AG1189)/5</f>
        <v>6</v>
      </c>
      <c r="AP1189" s="46">
        <f>(打分卡!$D$12*AH1189+打分卡!$D$13*AI1189+打分卡!$D$14*AJ1189+打分卡!$D$15*AK1189)/5</f>
        <v>7.2</v>
      </c>
      <c r="AQ1189" s="46">
        <f>(打分卡!$D$16*AL1189+打分卡!$D$17*AM1189)/5</f>
        <v>6.8</v>
      </c>
      <c r="AR1189" s="48">
        <f t="shared" si="146"/>
        <v>29.6</v>
      </c>
      <c r="AS1189" s="45" t="str">
        <f t="shared" si="147"/>
        <v>基础长尾</v>
      </c>
      <c r="AT1189" s="45" t="str">
        <f t="shared" si="148"/>
        <v/>
      </c>
      <c r="AU1189" s="45" t="str">
        <f t="shared" si="149"/>
        <v>激活：企微+Push低成本先跑</v>
      </c>
    </row>
    <row r="1190" ht="15" customHeight="1" spans="1:47">
      <c r="A1190" s="30" t="s">
        <v>3164</v>
      </c>
      <c r="B1190" s="31" t="s">
        <v>3165</v>
      </c>
      <c r="C1190" s="31" t="s">
        <v>195</v>
      </c>
      <c r="D1190" s="31" t="s">
        <v>235</v>
      </c>
      <c r="E1190" s="31" t="s">
        <v>181</v>
      </c>
      <c r="F1190" s="30" t="s">
        <v>3166</v>
      </c>
      <c r="G1190" s="31">
        <v>2</v>
      </c>
      <c r="H1190" s="31" t="s">
        <v>642</v>
      </c>
      <c r="I1190" s="31" t="s">
        <v>302</v>
      </c>
      <c r="J1190" s="33">
        <v>900</v>
      </c>
      <c r="K1190" s="33">
        <v>500</v>
      </c>
      <c r="L1190" s="33">
        <v>100</v>
      </c>
      <c r="M1190" s="33">
        <f t="shared" si="144"/>
        <v>1500</v>
      </c>
      <c r="N1190" s="34">
        <f t="shared" si="150"/>
        <v>7.86395978685523e-6</v>
      </c>
      <c r="O1190" s="35">
        <f>SUM($M$2:M1190)</f>
        <v>190579100</v>
      </c>
      <c r="P1190" s="34">
        <f t="shared" si="151"/>
        <v>0.999137585743375</v>
      </c>
      <c r="Q1190" s="37">
        <v>0.2</v>
      </c>
      <c r="R1190" s="31">
        <v>2</v>
      </c>
      <c r="S1190" s="31">
        <v>1</v>
      </c>
      <c r="T1190" s="31">
        <v>0</v>
      </c>
      <c r="U1190" s="37">
        <v>22.2</v>
      </c>
      <c r="V1190" s="31">
        <v>4</v>
      </c>
      <c r="W1190" s="31">
        <v>0</v>
      </c>
      <c r="X1190" s="38">
        <v>53</v>
      </c>
      <c r="Y1190" s="31">
        <v>0</v>
      </c>
      <c r="Z1190" s="31">
        <v>0</v>
      </c>
      <c r="AA1190" s="31" t="s">
        <v>199</v>
      </c>
      <c r="AB1190" s="31" t="s">
        <v>220</v>
      </c>
      <c r="AC1190" s="41">
        <f>IFERROR(LOOKUP(M1190,打分卡!$F$7:$J$7,打分卡!$K$7:$O$7),1)</f>
        <v>1</v>
      </c>
      <c r="AD1190" s="41">
        <f>IFERROR(LOOKUP(S1190,打分卡!$F$8:$J$8,打分卡!$K$8:$O$8),1)</f>
        <v>1</v>
      </c>
      <c r="AE1190" s="41">
        <f>IFERROR(LOOKUP(T1190,打分卡!$F$9:$I$9,打分卡!$K$9:$N$9),1)</f>
        <v>1</v>
      </c>
      <c r="AF1190" s="41">
        <f>IFERROR(LOOKUP(Q1190,打分卡!$F$10:$J$10,打分卡!$K$10:$O$10),1)</f>
        <v>1</v>
      </c>
      <c r="AG1190" s="41">
        <f>IFERROR(LOOKUP(R1190,打分卡!$F$11:$J$11,打分卡!$K$11:$O$11),1)</f>
        <v>1</v>
      </c>
      <c r="AH1190" s="41">
        <f>IFERROR(LOOKUP(U1190,打分卡!$F$12:$J$12,打分卡!$K$12:$O$12),1)</f>
        <v>3</v>
      </c>
      <c r="AI1190" s="41">
        <f>IFERROR(LOOKUP(X1190,打分卡!$F$13:$J$13,打分卡!$K$13:$O$13),1)</f>
        <v>3</v>
      </c>
      <c r="AJ1190" s="41">
        <f>IFERROR(LOOKUP(Y1190,打分卡!$F$14:$J$14,打分卡!$K$14:$O$14),1)</f>
        <v>1</v>
      </c>
      <c r="AK1190" s="41">
        <f>IFERROR(LOOKUP(W1190,打分卡!$F$15:$J$15,打分卡!$K$15:$O$15),1)</f>
        <v>1</v>
      </c>
      <c r="AL1190" s="43">
        <f t="shared" si="145"/>
        <v>5</v>
      </c>
      <c r="AM1190" s="41">
        <f>IFERROR(LOOKUP(Z1190,打分卡!$F$17:$H$17,打分卡!$K$17:$M$17),1)</f>
        <v>1</v>
      </c>
      <c r="AN1190" s="44">
        <f>(打分卡!$D$7*AC1190+打分卡!$D$8*AD1190+打分卡!$D$9*AE1190)/5</f>
        <v>8</v>
      </c>
      <c r="AO1190" s="44">
        <f>(打分卡!$D$10*AF1190+打分卡!$D$11*AG1190)/5</f>
        <v>4</v>
      </c>
      <c r="AP1190" s="44">
        <f>(打分卡!$D$12*AH1190+打分卡!$D$13*AI1190+打分卡!$D$14*AJ1190+打分卡!$D$15*AK1190)/5</f>
        <v>14</v>
      </c>
      <c r="AQ1190" s="44">
        <f>(打分卡!$D$16*AL1190+打分卡!$D$17*AM1190)/5</f>
        <v>6.8</v>
      </c>
      <c r="AR1190" s="47">
        <f t="shared" si="146"/>
        <v>43.4666666666667</v>
      </c>
      <c r="AS1190" s="43" t="str">
        <f t="shared" si="147"/>
        <v>腰部</v>
      </c>
      <c r="AT1190" s="43" t="str">
        <f t="shared" si="148"/>
        <v/>
      </c>
      <c r="AU1190" s="43" t="str">
        <f t="shared" si="149"/>
        <v>拉·主攻：主推AI外呼+大促作战包</v>
      </c>
    </row>
    <row r="1191" ht="15" customHeight="1" spans="1:47">
      <c r="A1191" s="20" t="s">
        <v>3167</v>
      </c>
      <c r="B1191" s="22" t="s">
        <v>3168</v>
      </c>
      <c r="C1191" s="22" t="s">
        <v>239</v>
      </c>
      <c r="D1191" s="22" t="s">
        <v>202</v>
      </c>
      <c r="E1191" s="22" t="s">
        <v>197</v>
      </c>
      <c r="F1191" s="20" t="s">
        <v>2906</v>
      </c>
      <c r="G1191" s="22">
        <v>1</v>
      </c>
      <c r="H1191" s="22" t="s">
        <v>642</v>
      </c>
      <c r="I1191" s="22" t="s">
        <v>302</v>
      </c>
      <c r="J1191" s="36">
        <v>900</v>
      </c>
      <c r="K1191" s="36">
        <v>500</v>
      </c>
      <c r="L1191" s="36">
        <v>100</v>
      </c>
      <c r="M1191" s="36">
        <f t="shared" si="144"/>
        <v>1500</v>
      </c>
      <c r="N1191" s="34">
        <f t="shared" si="150"/>
        <v>7.86395978685523e-6</v>
      </c>
      <c r="O1191" s="35">
        <f>SUM($M$2:M1191)</f>
        <v>190580600</v>
      </c>
      <c r="P1191" s="34">
        <f t="shared" si="151"/>
        <v>0.999145449703162</v>
      </c>
      <c r="Q1191" s="39">
        <v>0.1</v>
      </c>
      <c r="R1191" s="22">
        <v>1</v>
      </c>
      <c r="S1191" s="22">
        <v>0</v>
      </c>
      <c r="T1191" s="22">
        <v>0</v>
      </c>
      <c r="U1191" s="39">
        <v>4.3</v>
      </c>
      <c r="V1191" s="22">
        <v>8</v>
      </c>
      <c r="W1191" s="22">
        <v>1</v>
      </c>
      <c r="X1191" s="40">
        <v>33</v>
      </c>
      <c r="Y1191" s="22">
        <v>1</v>
      </c>
      <c r="Z1191" s="22">
        <v>0</v>
      </c>
      <c r="AA1191" s="22" t="s">
        <v>199</v>
      </c>
      <c r="AB1191" s="22" t="s">
        <v>220</v>
      </c>
      <c r="AC1191" s="42">
        <f>IFERROR(LOOKUP(M1191,打分卡!$F$7:$J$7,打分卡!$K$7:$O$7),1)</f>
        <v>1</v>
      </c>
      <c r="AD1191" s="42">
        <f>IFERROR(LOOKUP(S1191,打分卡!$F$8:$J$8,打分卡!$K$8:$O$8),1)</f>
        <v>1</v>
      </c>
      <c r="AE1191" s="42">
        <f>IFERROR(LOOKUP(T1191,打分卡!$F$9:$I$9,打分卡!$K$9:$N$9),1)</f>
        <v>1</v>
      </c>
      <c r="AF1191" s="42">
        <f>IFERROR(LOOKUP(Q1191,打分卡!$F$10:$J$10,打分卡!$K$10:$O$10),1)</f>
        <v>1</v>
      </c>
      <c r="AG1191" s="42">
        <f>IFERROR(LOOKUP(R1191,打分卡!$F$11:$J$11,打分卡!$K$11:$O$11),1)</f>
        <v>1</v>
      </c>
      <c r="AH1191" s="42">
        <f>IFERROR(LOOKUP(U1191,打分卡!$F$12:$J$12,打分卡!$K$12:$O$12),1)</f>
        <v>2</v>
      </c>
      <c r="AI1191" s="42">
        <f>IFERROR(LOOKUP(X1191,打分卡!$F$13:$J$13,打分卡!$K$13:$O$13),1)</f>
        <v>2</v>
      </c>
      <c r="AJ1191" s="42">
        <f>IFERROR(LOOKUP(Y1191,打分卡!$F$14:$J$14,打分卡!$K$14:$O$14),1)</f>
        <v>2</v>
      </c>
      <c r="AK1191" s="42">
        <f>IFERROR(LOOKUP(W1191,打分卡!$F$15:$J$15,打分卡!$K$15:$O$15),1)</f>
        <v>2</v>
      </c>
      <c r="AL1191" s="45">
        <f t="shared" si="145"/>
        <v>5</v>
      </c>
      <c r="AM1191" s="42">
        <f>IFERROR(LOOKUP(Z1191,打分卡!$F$17:$H$17,打分卡!$K$17:$M$17),1)</f>
        <v>1</v>
      </c>
      <c r="AN1191" s="46">
        <f>(打分卡!$D$7*AC1191+打分卡!$D$8*AD1191+打分卡!$D$9*AE1191)/5</f>
        <v>8</v>
      </c>
      <c r="AO1191" s="46">
        <f>(打分卡!$D$10*AF1191+打分卡!$D$11*AG1191)/5</f>
        <v>4</v>
      </c>
      <c r="AP1191" s="46">
        <f>(打分卡!$D$12*AH1191+打分卡!$D$13*AI1191+打分卡!$D$14*AJ1191+打分卡!$D$15*AK1191)/5</f>
        <v>12</v>
      </c>
      <c r="AQ1191" s="46">
        <f>(打分卡!$D$16*AL1191+打分卡!$D$17*AM1191)/5</f>
        <v>6.8</v>
      </c>
      <c r="AR1191" s="48">
        <f t="shared" si="146"/>
        <v>38.8</v>
      </c>
      <c r="AS1191" s="45" t="str">
        <f t="shared" si="147"/>
        <v>基础长尾</v>
      </c>
      <c r="AT1191" s="45" t="str">
        <f t="shared" si="148"/>
        <v/>
      </c>
      <c r="AU1191" s="45" t="str">
        <f t="shared" si="149"/>
        <v>激活：企微+Push低成本先跑</v>
      </c>
    </row>
    <row r="1192" ht="15" customHeight="1" spans="1:47">
      <c r="A1192" s="30" t="s">
        <v>3169</v>
      </c>
      <c r="B1192" s="31" t="s">
        <v>3170</v>
      </c>
      <c r="C1192" s="31" t="s">
        <v>189</v>
      </c>
      <c r="D1192" s="31" t="s">
        <v>235</v>
      </c>
      <c r="E1192" s="31" t="s">
        <v>197</v>
      </c>
      <c r="F1192" s="30" t="s">
        <v>2815</v>
      </c>
      <c r="G1192" s="31">
        <v>1</v>
      </c>
      <c r="H1192" s="31" t="s">
        <v>642</v>
      </c>
      <c r="I1192" s="31" t="s">
        <v>302</v>
      </c>
      <c r="J1192" s="33">
        <v>800</v>
      </c>
      <c r="K1192" s="33">
        <v>600</v>
      </c>
      <c r="L1192" s="33">
        <v>200</v>
      </c>
      <c r="M1192" s="33">
        <f t="shared" si="144"/>
        <v>1600</v>
      </c>
      <c r="N1192" s="34">
        <f t="shared" si="150"/>
        <v>8.38822377264558e-6</v>
      </c>
      <c r="O1192" s="35">
        <f>SUM($M$2:M1192)</f>
        <v>190582200</v>
      </c>
      <c r="P1192" s="34">
        <f t="shared" si="151"/>
        <v>0.999153837926934</v>
      </c>
      <c r="Q1192" s="37">
        <v>0.1</v>
      </c>
      <c r="R1192" s="31">
        <v>1</v>
      </c>
      <c r="S1192" s="31">
        <v>1</v>
      </c>
      <c r="T1192" s="31">
        <v>0</v>
      </c>
      <c r="U1192" s="37">
        <v>38.6</v>
      </c>
      <c r="V1192" s="31">
        <v>10</v>
      </c>
      <c r="W1192" s="31">
        <v>2</v>
      </c>
      <c r="X1192" s="38">
        <v>16</v>
      </c>
      <c r="Y1192" s="31">
        <v>1</v>
      </c>
      <c r="Z1192" s="31">
        <v>0</v>
      </c>
      <c r="AA1192" s="31" t="s">
        <v>199</v>
      </c>
      <c r="AB1192" s="31" t="s">
        <v>220</v>
      </c>
      <c r="AC1192" s="41">
        <f>IFERROR(LOOKUP(M1192,打分卡!$F$7:$J$7,打分卡!$K$7:$O$7),1)</f>
        <v>1</v>
      </c>
      <c r="AD1192" s="41">
        <f>IFERROR(LOOKUP(S1192,打分卡!$F$8:$J$8,打分卡!$K$8:$O$8),1)</f>
        <v>1</v>
      </c>
      <c r="AE1192" s="41">
        <f>IFERROR(LOOKUP(T1192,打分卡!$F$9:$I$9,打分卡!$K$9:$N$9),1)</f>
        <v>1</v>
      </c>
      <c r="AF1192" s="41">
        <f>IFERROR(LOOKUP(Q1192,打分卡!$F$10:$J$10,打分卡!$K$10:$O$10),1)</f>
        <v>1</v>
      </c>
      <c r="AG1192" s="41">
        <f>IFERROR(LOOKUP(R1192,打分卡!$F$11:$J$11,打分卡!$K$11:$O$11),1)</f>
        <v>1</v>
      </c>
      <c r="AH1192" s="41">
        <f>IFERROR(LOOKUP(U1192,打分卡!$F$12:$J$12,打分卡!$K$12:$O$12),1)</f>
        <v>4</v>
      </c>
      <c r="AI1192" s="41">
        <f>IFERROR(LOOKUP(X1192,打分卡!$F$13:$J$13,打分卡!$K$13:$O$13),1)</f>
        <v>1</v>
      </c>
      <c r="AJ1192" s="41">
        <f>IFERROR(LOOKUP(Y1192,打分卡!$F$14:$J$14,打分卡!$K$14:$O$14),1)</f>
        <v>2</v>
      </c>
      <c r="AK1192" s="41">
        <f>IFERROR(LOOKUP(W1192,打分卡!$F$15:$J$15,打分卡!$K$15:$O$15),1)</f>
        <v>2</v>
      </c>
      <c r="AL1192" s="43">
        <f t="shared" si="145"/>
        <v>5</v>
      </c>
      <c r="AM1192" s="41">
        <f>IFERROR(LOOKUP(Z1192,打分卡!$F$17:$H$17,打分卡!$K$17:$M$17),1)</f>
        <v>1</v>
      </c>
      <c r="AN1192" s="44">
        <f>(打分卡!$D$7*AC1192+打分卡!$D$8*AD1192+打分卡!$D$9*AE1192)/5</f>
        <v>8</v>
      </c>
      <c r="AO1192" s="44">
        <f>(打分卡!$D$10*AF1192+打分卡!$D$11*AG1192)/5</f>
        <v>4</v>
      </c>
      <c r="AP1192" s="44">
        <f>(打分卡!$D$12*AH1192+打分卡!$D$13*AI1192+打分卡!$D$14*AJ1192+打分卡!$D$15*AK1192)/5</f>
        <v>15.2</v>
      </c>
      <c r="AQ1192" s="44">
        <f>(打分卡!$D$16*AL1192+打分卡!$D$17*AM1192)/5</f>
        <v>6.8</v>
      </c>
      <c r="AR1192" s="47">
        <f t="shared" si="146"/>
        <v>46.2666666666667</v>
      </c>
      <c r="AS1192" s="43" t="str">
        <f t="shared" si="147"/>
        <v>腰部</v>
      </c>
      <c r="AT1192" s="43" t="str">
        <f t="shared" si="148"/>
        <v/>
      </c>
      <c r="AU1192" s="43" t="str">
        <f t="shared" si="149"/>
        <v>拉·主攻：主推AI外呼+大促作战包</v>
      </c>
    </row>
    <row r="1193" ht="15" customHeight="1" spans="1:47">
      <c r="A1193" s="20" t="s">
        <v>3171</v>
      </c>
      <c r="B1193" s="22" t="s">
        <v>3172</v>
      </c>
      <c r="C1193" s="22" t="s">
        <v>239</v>
      </c>
      <c r="D1193" s="22" t="s">
        <v>202</v>
      </c>
      <c r="E1193" s="22" t="s">
        <v>181</v>
      </c>
      <c r="F1193" s="20" t="s">
        <v>2721</v>
      </c>
      <c r="G1193" s="22">
        <v>2</v>
      </c>
      <c r="H1193" s="22" t="s">
        <v>642</v>
      </c>
      <c r="I1193" s="22" t="s">
        <v>302</v>
      </c>
      <c r="J1193" s="36">
        <v>1000</v>
      </c>
      <c r="K1193" s="36">
        <v>400</v>
      </c>
      <c r="L1193" s="36">
        <v>100</v>
      </c>
      <c r="M1193" s="36">
        <f t="shared" si="144"/>
        <v>1500</v>
      </c>
      <c r="N1193" s="34">
        <f t="shared" si="150"/>
        <v>7.86395978685523e-6</v>
      </c>
      <c r="O1193" s="35">
        <f>SUM($M$2:M1193)</f>
        <v>190583700</v>
      </c>
      <c r="P1193" s="34">
        <f t="shared" si="151"/>
        <v>0.999161701886721</v>
      </c>
      <c r="Q1193" s="39">
        <v>0.1</v>
      </c>
      <c r="R1193" s="22">
        <v>3</v>
      </c>
      <c r="S1193" s="22">
        <v>0</v>
      </c>
      <c r="T1193" s="22">
        <v>0</v>
      </c>
      <c r="U1193" s="39">
        <v>6.8</v>
      </c>
      <c r="V1193" s="22">
        <v>2</v>
      </c>
      <c r="W1193" s="22">
        <v>0</v>
      </c>
      <c r="X1193" s="40">
        <v>11</v>
      </c>
      <c r="Y1193" s="22">
        <v>0</v>
      </c>
      <c r="Z1193" s="22">
        <v>0</v>
      </c>
      <c r="AA1193" s="22" t="s">
        <v>199</v>
      </c>
      <c r="AB1193" s="22" t="s">
        <v>220</v>
      </c>
      <c r="AC1193" s="42">
        <f>IFERROR(LOOKUP(M1193,打分卡!$F$7:$J$7,打分卡!$K$7:$O$7),1)</f>
        <v>1</v>
      </c>
      <c r="AD1193" s="42">
        <f>IFERROR(LOOKUP(S1193,打分卡!$F$8:$J$8,打分卡!$K$8:$O$8),1)</f>
        <v>1</v>
      </c>
      <c r="AE1193" s="42">
        <f>IFERROR(LOOKUP(T1193,打分卡!$F$9:$I$9,打分卡!$K$9:$N$9),1)</f>
        <v>1</v>
      </c>
      <c r="AF1193" s="42">
        <f>IFERROR(LOOKUP(Q1193,打分卡!$F$10:$J$10,打分卡!$K$10:$O$10),1)</f>
        <v>1</v>
      </c>
      <c r="AG1193" s="42">
        <f>IFERROR(LOOKUP(R1193,打分卡!$F$11:$J$11,打分卡!$K$11:$O$11),1)</f>
        <v>2</v>
      </c>
      <c r="AH1193" s="42">
        <f>IFERROR(LOOKUP(U1193,打分卡!$F$12:$J$12,打分卡!$K$12:$O$12),1)</f>
        <v>2</v>
      </c>
      <c r="AI1193" s="42">
        <f>IFERROR(LOOKUP(X1193,打分卡!$F$13:$J$13,打分卡!$K$13:$O$13),1)</f>
        <v>1</v>
      </c>
      <c r="AJ1193" s="42">
        <f>IFERROR(LOOKUP(Y1193,打分卡!$F$14:$J$14,打分卡!$K$14:$O$14),1)</f>
        <v>1</v>
      </c>
      <c r="AK1193" s="42">
        <f>IFERROR(LOOKUP(W1193,打分卡!$F$15:$J$15,打分卡!$K$15:$O$15),1)</f>
        <v>1</v>
      </c>
      <c r="AL1193" s="45">
        <f t="shared" si="145"/>
        <v>5</v>
      </c>
      <c r="AM1193" s="42">
        <f>IFERROR(LOOKUP(Z1193,打分卡!$F$17:$H$17,打分卡!$K$17:$M$17),1)</f>
        <v>1</v>
      </c>
      <c r="AN1193" s="46">
        <f>(打分卡!$D$7*AC1193+打分卡!$D$8*AD1193+打分卡!$D$9*AE1193)/5</f>
        <v>8</v>
      </c>
      <c r="AO1193" s="46">
        <f>(打分卡!$D$10*AF1193+打分卡!$D$11*AG1193)/5</f>
        <v>6</v>
      </c>
      <c r="AP1193" s="46">
        <f>(打分卡!$D$12*AH1193+打分卡!$D$13*AI1193+打分卡!$D$14*AJ1193+打分卡!$D$15*AK1193)/5</f>
        <v>8.4</v>
      </c>
      <c r="AQ1193" s="46">
        <f>(打分卡!$D$16*AL1193+打分卡!$D$17*AM1193)/5</f>
        <v>6.8</v>
      </c>
      <c r="AR1193" s="48">
        <f t="shared" si="146"/>
        <v>32.4</v>
      </c>
      <c r="AS1193" s="45" t="str">
        <f t="shared" si="147"/>
        <v>基础长尾</v>
      </c>
      <c r="AT1193" s="45" t="str">
        <f t="shared" si="148"/>
        <v/>
      </c>
      <c r="AU1193" s="45" t="str">
        <f t="shared" si="149"/>
        <v>激活：企微+Push低成本先跑</v>
      </c>
    </row>
    <row r="1194" ht="15" customHeight="1" spans="1:47">
      <c r="A1194" s="30" t="s">
        <v>3173</v>
      </c>
      <c r="B1194" s="31" t="s">
        <v>3174</v>
      </c>
      <c r="C1194" s="31" t="s">
        <v>234</v>
      </c>
      <c r="D1194" s="31" t="s">
        <v>202</v>
      </c>
      <c r="E1194" s="31" t="s">
        <v>181</v>
      </c>
      <c r="F1194" s="30" t="s">
        <v>2841</v>
      </c>
      <c r="G1194" s="31">
        <v>1</v>
      </c>
      <c r="H1194" s="31" t="s">
        <v>642</v>
      </c>
      <c r="I1194" s="31" t="s">
        <v>302</v>
      </c>
      <c r="J1194" s="33">
        <v>800</v>
      </c>
      <c r="K1194" s="33">
        <v>400</v>
      </c>
      <c r="L1194" s="33">
        <v>300</v>
      </c>
      <c r="M1194" s="33">
        <f t="shared" si="144"/>
        <v>1500</v>
      </c>
      <c r="N1194" s="34">
        <f t="shared" si="150"/>
        <v>7.86395978685523e-6</v>
      </c>
      <c r="O1194" s="35">
        <f>SUM($M$2:M1194)</f>
        <v>190585200</v>
      </c>
      <c r="P1194" s="34">
        <f t="shared" si="151"/>
        <v>0.999169565846508</v>
      </c>
      <c r="Q1194" s="37">
        <v>0.2</v>
      </c>
      <c r="R1194" s="31">
        <v>1</v>
      </c>
      <c r="S1194" s="31">
        <v>0</v>
      </c>
      <c r="T1194" s="31">
        <v>0</v>
      </c>
      <c r="U1194" s="37">
        <v>9.9</v>
      </c>
      <c r="V1194" s="31">
        <v>13</v>
      </c>
      <c r="W1194" s="31">
        <v>0</v>
      </c>
      <c r="X1194" s="38">
        <v>7</v>
      </c>
      <c r="Y1194" s="31">
        <v>1</v>
      </c>
      <c r="Z1194" s="31">
        <v>0</v>
      </c>
      <c r="AA1194" s="31" t="s">
        <v>199</v>
      </c>
      <c r="AB1194" s="31" t="s">
        <v>220</v>
      </c>
      <c r="AC1194" s="41">
        <f>IFERROR(LOOKUP(M1194,打分卡!$F$7:$J$7,打分卡!$K$7:$O$7),1)</f>
        <v>1</v>
      </c>
      <c r="AD1194" s="41">
        <f>IFERROR(LOOKUP(S1194,打分卡!$F$8:$J$8,打分卡!$K$8:$O$8),1)</f>
        <v>1</v>
      </c>
      <c r="AE1194" s="41">
        <f>IFERROR(LOOKUP(T1194,打分卡!$F$9:$I$9,打分卡!$K$9:$N$9),1)</f>
        <v>1</v>
      </c>
      <c r="AF1194" s="41">
        <f>IFERROR(LOOKUP(Q1194,打分卡!$F$10:$J$10,打分卡!$K$10:$O$10),1)</f>
        <v>1</v>
      </c>
      <c r="AG1194" s="41">
        <f>IFERROR(LOOKUP(R1194,打分卡!$F$11:$J$11,打分卡!$K$11:$O$11),1)</f>
        <v>1</v>
      </c>
      <c r="AH1194" s="41">
        <f>IFERROR(LOOKUP(U1194,打分卡!$F$12:$J$12,打分卡!$K$12:$O$12),1)</f>
        <v>2</v>
      </c>
      <c r="AI1194" s="41">
        <f>IFERROR(LOOKUP(X1194,打分卡!$F$13:$J$13,打分卡!$K$13:$O$13),1)</f>
        <v>1</v>
      </c>
      <c r="AJ1194" s="41">
        <f>IFERROR(LOOKUP(Y1194,打分卡!$F$14:$J$14,打分卡!$K$14:$O$14),1)</f>
        <v>2</v>
      </c>
      <c r="AK1194" s="41">
        <f>IFERROR(LOOKUP(W1194,打分卡!$F$15:$J$15,打分卡!$K$15:$O$15),1)</f>
        <v>1</v>
      </c>
      <c r="AL1194" s="43">
        <f t="shared" si="145"/>
        <v>5</v>
      </c>
      <c r="AM1194" s="41">
        <f>IFERROR(LOOKUP(Z1194,打分卡!$F$17:$H$17,打分卡!$K$17:$M$17),1)</f>
        <v>1</v>
      </c>
      <c r="AN1194" s="44">
        <f>(打分卡!$D$7*AC1194+打分卡!$D$8*AD1194+打分卡!$D$9*AE1194)/5</f>
        <v>8</v>
      </c>
      <c r="AO1194" s="44">
        <f>(打分卡!$D$10*AF1194+打分卡!$D$11*AG1194)/5</f>
        <v>4</v>
      </c>
      <c r="AP1194" s="44">
        <f>(打分卡!$D$12*AH1194+打分卡!$D$13*AI1194+打分卡!$D$14*AJ1194+打分卡!$D$15*AK1194)/5</f>
        <v>9.6</v>
      </c>
      <c r="AQ1194" s="44">
        <f>(打分卡!$D$16*AL1194+打分卡!$D$17*AM1194)/5</f>
        <v>6.8</v>
      </c>
      <c r="AR1194" s="47">
        <f t="shared" si="146"/>
        <v>33.2</v>
      </c>
      <c r="AS1194" s="43" t="str">
        <f t="shared" si="147"/>
        <v>基础长尾</v>
      </c>
      <c r="AT1194" s="43" t="str">
        <f t="shared" si="148"/>
        <v/>
      </c>
      <c r="AU1194" s="43" t="str">
        <f t="shared" si="149"/>
        <v>激活：企微+Push低成本先跑</v>
      </c>
    </row>
    <row r="1195" ht="15" customHeight="1" spans="1:47">
      <c r="A1195" s="20" t="s">
        <v>3175</v>
      </c>
      <c r="B1195" s="22" t="s">
        <v>3176</v>
      </c>
      <c r="C1195" s="22" t="s">
        <v>179</v>
      </c>
      <c r="D1195" s="22" t="s">
        <v>227</v>
      </c>
      <c r="E1195" s="22" t="s">
        <v>197</v>
      </c>
      <c r="F1195" s="20" t="s">
        <v>1243</v>
      </c>
      <c r="G1195" s="22">
        <v>3</v>
      </c>
      <c r="H1195" s="22" t="s">
        <v>642</v>
      </c>
      <c r="I1195" s="22" t="s">
        <v>302</v>
      </c>
      <c r="J1195" s="36">
        <v>800</v>
      </c>
      <c r="K1195" s="36">
        <v>500</v>
      </c>
      <c r="L1195" s="36">
        <v>200</v>
      </c>
      <c r="M1195" s="36">
        <f t="shared" si="144"/>
        <v>1500</v>
      </c>
      <c r="N1195" s="34">
        <f t="shared" si="150"/>
        <v>7.86395978685523e-6</v>
      </c>
      <c r="O1195" s="35">
        <f>SUM($M$2:M1195)</f>
        <v>190586700</v>
      </c>
      <c r="P1195" s="34">
        <f t="shared" si="151"/>
        <v>0.999177429806295</v>
      </c>
      <c r="Q1195" s="39">
        <v>0.1</v>
      </c>
      <c r="R1195" s="22">
        <v>2</v>
      </c>
      <c r="S1195" s="22">
        <v>1</v>
      </c>
      <c r="T1195" s="22">
        <v>0</v>
      </c>
      <c r="U1195" s="39">
        <v>19.7</v>
      </c>
      <c r="V1195" s="22">
        <v>15</v>
      </c>
      <c r="W1195" s="22">
        <v>1</v>
      </c>
      <c r="X1195" s="40">
        <v>15</v>
      </c>
      <c r="Y1195" s="22">
        <v>1</v>
      </c>
      <c r="Z1195" s="22">
        <v>0</v>
      </c>
      <c r="AA1195" s="22" t="s">
        <v>199</v>
      </c>
      <c r="AB1195" s="22" t="s">
        <v>220</v>
      </c>
      <c r="AC1195" s="42">
        <f>IFERROR(LOOKUP(M1195,打分卡!$F$7:$J$7,打分卡!$K$7:$O$7),1)</f>
        <v>1</v>
      </c>
      <c r="AD1195" s="42">
        <f>IFERROR(LOOKUP(S1195,打分卡!$F$8:$J$8,打分卡!$K$8:$O$8),1)</f>
        <v>1</v>
      </c>
      <c r="AE1195" s="42">
        <f>IFERROR(LOOKUP(T1195,打分卡!$F$9:$I$9,打分卡!$K$9:$N$9),1)</f>
        <v>1</v>
      </c>
      <c r="AF1195" s="42">
        <f>IFERROR(LOOKUP(Q1195,打分卡!$F$10:$J$10,打分卡!$K$10:$O$10),1)</f>
        <v>1</v>
      </c>
      <c r="AG1195" s="42">
        <f>IFERROR(LOOKUP(R1195,打分卡!$F$11:$J$11,打分卡!$K$11:$O$11),1)</f>
        <v>1</v>
      </c>
      <c r="AH1195" s="42">
        <f>IFERROR(LOOKUP(U1195,打分卡!$F$12:$J$12,打分卡!$K$12:$O$12),1)</f>
        <v>3</v>
      </c>
      <c r="AI1195" s="42">
        <f>IFERROR(LOOKUP(X1195,打分卡!$F$13:$J$13,打分卡!$K$13:$O$13),1)</f>
        <v>1</v>
      </c>
      <c r="AJ1195" s="42">
        <f>IFERROR(LOOKUP(Y1195,打分卡!$F$14:$J$14,打分卡!$K$14:$O$14),1)</f>
        <v>2</v>
      </c>
      <c r="AK1195" s="42">
        <f>IFERROR(LOOKUP(W1195,打分卡!$F$15:$J$15,打分卡!$K$15:$O$15),1)</f>
        <v>2</v>
      </c>
      <c r="AL1195" s="45">
        <f t="shared" si="145"/>
        <v>5</v>
      </c>
      <c r="AM1195" s="42">
        <f>IFERROR(LOOKUP(Z1195,打分卡!$F$17:$H$17,打分卡!$K$17:$M$17),1)</f>
        <v>1</v>
      </c>
      <c r="AN1195" s="46">
        <f>(打分卡!$D$7*AC1195+打分卡!$D$8*AD1195+打分卡!$D$9*AE1195)/5</f>
        <v>8</v>
      </c>
      <c r="AO1195" s="46">
        <f>(打分卡!$D$10*AF1195+打分卡!$D$11*AG1195)/5</f>
        <v>4</v>
      </c>
      <c r="AP1195" s="46">
        <f>(打分卡!$D$12*AH1195+打分卡!$D$13*AI1195+打分卡!$D$14*AJ1195+打分卡!$D$15*AK1195)/5</f>
        <v>12.8</v>
      </c>
      <c r="AQ1195" s="46">
        <f>(打分卡!$D$16*AL1195+打分卡!$D$17*AM1195)/5</f>
        <v>6.8</v>
      </c>
      <c r="AR1195" s="48">
        <f t="shared" si="146"/>
        <v>31.6</v>
      </c>
      <c r="AS1195" s="45" t="str">
        <f t="shared" si="147"/>
        <v>基础长尾</v>
      </c>
      <c r="AT1195" s="45" t="str">
        <f t="shared" si="148"/>
        <v/>
      </c>
      <c r="AU1195" s="45" t="str">
        <f t="shared" si="149"/>
        <v>激活：企微+Push低成本先跑</v>
      </c>
    </row>
    <row r="1196" ht="15" customHeight="1" spans="1:47">
      <c r="A1196" s="30" t="s">
        <v>3177</v>
      </c>
      <c r="B1196" s="31" t="s">
        <v>3178</v>
      </c>
      <c r="C1196" s="31" t="s">
        <v>195</v>
      </c>
      <c r="D1196" s="31" t="s">
        <v>202</v>
      </c>
      <c r="E1196" s="31" t="s">
        <v>181</v>
      </c>
      <c r="F1196" s="30" t="s">
        <v>1997</v>
      </c>
      <c r="G1196" s="31">
        <v>3</v>
      </c>
      <c r="H1196" s="31" t="s">
        <v>642</v>
      </c>
      <c r="I1196" s="31" t="s">
        <v>302</v>
      </c>
      <c r="J1196" s="33">
        <v>900</v>
      </c>
      <c r="K1196" s="33">
        <v>500</v>
      </c>
      <c r="L1196" s="33">
        <v>100</v>
      </c>
      <c r="M1196" s="33">
        <f t="shared" si="144"/>
        <v>1500</v>
      </c>
      <c r="N1196" s="34">
        <f t="shared" si="150"/>
        <v>7.86395978685523e-6</v>
      </c>
      <c r="O1196" s="35">
        <f>SUM($M$2:M1196)</f>
        <v>190588200</v>
      </c>
      <c r="P1196" s="34">
        <f t="shared" si="151"/>
        <v>0.999185293766082</v>
      </c>
      <c r="Q1196" s="37">
        <v>0.1</v>
      </c>
      <c r="R1196" s="31">
        <v>3</v>
      </c>
      <c r="S1196" s="31">
        <v>0</v>
      </c>
      <c r="T1196" s="31">
        <v>0</v>
      </c>
      <c r="U1196" s="37">
        <v>40.1</v>
      </c>
      <c r="V1196" s="31">
        <v>3</v>
      </c>
      <c r="W1196" s="31">
        <v>2</v>
      </c>
      <c r="X1196" s="38">
        <v>60</v>
      </c>
      <c r="Y1196" s="31">
        <v>1</v>
      </c>
      <c r="Z1196" s="31">
        <v>0</v>
      </c>
      <c r="AA1196" s="31" t="s">
        <v>199</v>
      </c>
      <c r="AB1196" s="31" t="s">
        <v>220</v>
      </c>
      <c r="AC1196" s="41">
        <f>IFERROR(LOOKUP(M1196,打分卡!$F$7:$J$7,打分卡!$K$7:$O$7),1)</f>
        <v>1</v>
      </c>
      <c r="AD1196" s="41">
        <f>IFERROR(LOOKUP(S1196,打分卡!$F$8:$J$8,打分卡!$K$8:$O$8),1)</f>
        <v>1</v>
      </c>
      <c r="AE1196" s="41">
        <f>IFERROR(LOOKUP(T1196,打分卡!$F$9:$I$9,打分卡!$K$9:$N$9),1)</f>
        <v>1</v>
      </c>
      <c r="AF1196" s="41">
        <f>IFERROR(LOOKUP(Q1196,打分卡!$F$10:$J$10,打分卡!$K$10:$O$10),1)</f>
        <v>1</v>
      </c>
      <c r="AG1196" s="41">
        <f>IFERROR(LOOKUP(R1196,打分卡!$F$11:$J$11,打分卡!$K$11:$O$11),1)</f>
        <v>2</v>
      </c>
      <c r="AH1196" s="41">
        <f>IFERROR(LOOKUP(U1196,打分卡!$F$12:$J$12,打分卡!$K$12:$O$12),1)</f>
        <v>4</v>
      </c>
      <c r="AI1196" s="41">
        <f>IFERROR(LOOKUP(X1196,打分卡!$F$13:$J$13,打分卡!$K$13:$O$13),1)</f>
        <v>3</v>
      </c>
      <c r="AJ1196" s="41">
        <f>IFERROR(LOOKUP(Y1196,打分卡!$F$14:$J$14,打分卡!$K$14:$O$14),1)</f>
        <v>2</v>
      </c>
      <c r="AK1196" s="41">
        <f>IFERROR(LOOKUP(W1196,打分卡!$F$15:$J$15,打分卡!$K$15:$O$15),1)</f>
        <v>2</v>
      </c>
      <c r="AL1196" s="43">
        <f t="shared" si="145"/>
        <v>5</v>
      </c>
      <c r="AM1196" s="41">
        <f>IFERROR(LOOKUP(Z1196,打分卡!$F$17:$H$17,打分卡!$K$17:$M$17),1)</f>
        <v>1</v>
      </c>
      <c r="AN1196" s="44">
        <f>(打分卡!$D$7*AC1196+打分卡!$D$8*AD1196+打分卡!$D$9*AE1196)/5</f>
        <v>8</v>
      </c>
      <c r="AO1196" s="44">
        <f>(打分卡!$D$10*AF1196+打分卡!$D$11*AG1196)/5</f>
        <v>6</v>
      </c>
      <c r="AP1196" s="44">
        <f>(打分卡!$D$12*AH1196+打分卡!$D$13*AI1196+打分卡!$D$14*AJ1196+打分卡!$D$15*AK1196)/5</f>
        <v>18.4</v>
      </c>
      <c r="AQ1196" s="44">
        <f>(打分卡!$D$16*AL1196+打分卡!$D$17*AM1196)/5</f>
        <v>6.8</v>
      </c>
      <c r="AR1196" s="47">
        <f t="shared" si="146"/>
        <v>39.2</v>
      </c>
      <c r="AS1196" s="43" t="str">
        <f t="shared" si="147"/>
        <v>基础长尾</v>
      </c>
      <c r="AT1196" s="43" t="str">
        <f t="shared" si="148"/>
        <v/>
      </c>
      <c r="AU1196" s="43" t="str">
        <f t="shared" si="149"/>
        <v>激活：企微+Push低成本先跑</v>
      </c>
    </row>
    <row r="1197" ht="15" customHeight="1" spans="1:47">
      <c r="A1197" s="20" t="s">
        <v>3179</v>
      </c>
      <c r="B1197" s="22" t="s">
        <v>3180</v>
      </c>
      <c r="C1197" s="22" t="s">
        <v>234</v>
      </c>
      <c r="D1197" s="22" t="s">
        <v>202</v>
      </c>
      <c r="E1197" s="22" t="s">
        <v>197</v>
      </c>
      <c r="F1197" s="20" t="s">
        <v>1725</v>
      </c>
      <c r="G1197" s="22">
        <v>3</v>
      </c>
      <c r="H1197" s="22" t="s">
        <v>642</v>
      </c>
      <c r="I1197" s="22" t="s">
        <v>302</v>
      </c>
      <c r="J1197" s="36">
        <v>700</v>
      </c>
      <c r="K1197" s="36">
        <v>400</v>
      </c>
      <c r="L1197" s="36">
        <v>400</v>
      </c>
      <c r="M1197" s="36">
        <f t="shared" si="144"/>
        <v>1500</v>
      </c>
      <c r="N1197" s="34">
        <f t="shared" si="150"/>
        <v>7.86395978685523e-6</v>
      </c>
      <c r="O1197" s="35">
        <f>SUM($M$2:M1197)</f>
        <v>190589700</v>
      </c>
      <c r="P1197" s="34">
        <f t="shared" si="151"/>
        <v>0.999193157725869</v>
      </c>
      <c r="Q1197" s="39">
        <v>0.2</v>
      </c>
      <c r="R1197" s="22">
        <v>3</v>
      </c>
      <c r="S1197" s="22">
        <v>1</v>
      </c>
      <c r="T1197" s="22">
        <v>0</v>
      </c>
      <c r="U1197" s="39">
        <v>0.9</v>
      </c>
      <c r="V1197" s="22">
        <v>8</v>
      </c>
      <c r="W1197" s="22">
        <v>1</v>
      </c>
      <c r="X1197" s="40">
        <v>19</v>
      </c>
      <c r="Y1197" s="22">
        <v>1</v>
      </c>
      <c r="Z1197" s="22">
        <v>0</v>
      </c>
      <c r="AA1197" s="22" t="s">
        <v>199</v>
      </c>
      <c r="AB1197" s="22" t="s">
        <v>220</v>
      </c>
      <c r="AC1197" s="42">
        <f>IFERROR(LOOKUP(M1197,打分卡!$F$7:$J$7,打分卡!$K$7:$O$7),1)</f>
        <v>1</v>
      </c>
      <c r="AD1197" s="42">
        <f>IFERROR(LOOKUP(S1197,打分卡!$F$8:$J$8,打分卡!$K$8:$O$8),1)</f>
        <v>1</v>
      </c>
      <c r="AE1197" s="42">
        <f>IFERROR(LOOKUP(T1197,打分卡!$F$9:$I$9,打分卡!$K$9:$N$9),1)</f>
        <v>1</v>
      </c>
      <c r="AF1197" s="42">
        <f>IFERROR(LOOKUP(Q1197,打分卡!$F$10:$J$10,打分卡!$K$10:$O$10),1)</f>
        <v>1</v>
      </c>
      <c r="AG1197" s="42">
        <f>IFERROR(LOOKUP(R1197,打分卡!$F$11:$J$11,打分卡!$K$11:$O$11),1)</f>
        <v>2</v>
      </c>
      <c r="AH1197" s="42">
        <f>IFERROR(LOOKUP(U1197,打分卡!$F$12:$J$12,打分卡!$K$12:$O$12),1)</f>
        <v>1</v>
      </c>
      <c r="AI1197" s="42">
        <f>IFERROR(LOOKUP(X1197,打分卡!$F$13:$J$13,打分卡!$K$13:$O$13),1)</f>
        <v>2</v>
      </c>
      <c r="AJ1197" s="42">
        <f>IFERROR(LOOKUP(Y1197,打分卡!$F$14:$J$14,打分卡!$K$14:$O$14),1)</f>
        <v>2</v>
      </c>
      <c r="AK1197" s="42">
        <f>IFERROR(LOOKUP(W1197,打分卡!$F$15:$J$15,打分卡!$K$15:$O$15),1)</f>
        <v>2</v>
      </c>
      <c r="AL1197" s="45">
        <f t="shared" si="145"/>
        <v>5</v>
      </c>
      <c r="AM1197" s="42">
        <f>IFERROR(LOOKUP(Z1197,打分卡!$F$17:$H$17,打分卡!$K$17:$M$17),1)</f>
        <v>1</v>
      </c>
      <c r="AN1197" s="46">
        <f>(打分卡!$D$7*AC1197+打分卡!$D$8*AD1197+打分卡!$D$9*AE1197)/5</f>
        <v>8</v>
      </c>
      <c r="AO1197" s="46">
        <f>(打分卡!$D$10*AF1197+打分卡!$D$11*AG1197)/5</f>
        <v>6</v>
      </c>
      <c r="AP1197" s="46">
        <f>(打分卡!$D$12*AH1197+打分卡!$D$13*AI1197+打分卡!$D$14*AJ1197+打分卡!$D$15*AK1197)/5</f>
        <v>9.6</v>
      </c>
      <c r="AQ1197" s="46">
        <f>(打分卡!$D$16*AL1197+打分卡!$D$17*AM1197)/5</f>
        <v>6.8</v>
      </c>
      <c r="AR1197" s="48">
        <f t="shared" si="146"/>
        <v>30.4</v>
      </c>
      <c r="AS1197" s="45" t="str">
        <f t="shared" si="147"/>
        <v>基础长尾</v>
      </c>
      <c r="AT1197" s="45" t="str">
        <f t="shared" si="148"/>
        <v/>
      </c>
      <c r="AU1197" s="45" t="str">
        <f t="shared" si="149"/>
        <v>激活：企微+Push低成本先跑</v>
      </c>
    </row>
    <row r="1198" ht="15" customHeight="1" spans="1:47">
      <c r="A1198" s="30" t="s">
        <v>3181</v>
      </c>
      <c r="B1198" s="31" t="s">
        <v>3182</v>
      </c>
      <c r="C1198" s="31" t="s">
        <v>218</v>
      </c>
      <c r="D1198" s="31" t="s">
        <v>227</v>
      </c>
      <c r="E1198" s="31" t="s">
        <v>181</v>
      </c>
      <c r="F1198" s="30" t="s">
        <v>2791</v>
      </c>
      <c r="G1198" s="31">
        <v>2</v>
      </c>
      <c r="H1198" s="31" t="s">
        <v>642</v>
      </c>
      <c r="I1198" s="31" t="s">
        <v>302</v>
      </c>
      <c r="J1198" s="33">
        <v>900</v>
      </c>
      <c r="K1198" s="33">
        <v>500</v>
      </c>
      <c r="L1198" s="33">
        <v>100</v>
      </c>
      <c r="M1198" s="33">
        <f t="shared" si="144"/>
        <v>1500</v>
      </c>
      <c r="N1198" s="34">
        <f t="shared" si="150"/>
        <v>7.86395978685523e-6</v>
      </c>
      <c r="O1198" s="35">
        <f>SUM($M$2:M1198)</f>
        <v>190591200</v>
      </c>
      <c r="P1198" s="34">
        <f t="shared" si="151"/>
        <v>0.999201021685655</v>
      </c>
      <c r="Q1198" s="37">
        <v>0.1</v>
      </c>
      <c r="R1198" s="31">
        <v>1</v>
      </c>
      <c r="S1198" s="31">
        <v>0</v>
      </c>
      <c r="T1198" s="31">
        <v>0</v>
      </c>
      <c r="U1198" s="37">
        <v>17.4</v>
      </c>
      <c r="V1198" s="31">
        <v>8</v>
      </c>
      <c r="W1198" s="31">
        <v>0</v>
      </c>
      <c r="X1198" s="38">
        <v>56</v>
      </c>
      <c r="Y1198" s="31">
        <v>1</v>
      </c>
      <c r="Z1198" s="31">
        <v>0</v>
      </c>
      <c r="AA1198" s="31" t="s">
        <v>199</v>
      </c>
      <c r="AB1198" s="31" t="s">
        <v>220</v>
      </c>
      <c r="AC1198" s="41">
        <f>IFERROR(LOOKUP(M1198,打分卡!$F$7:$J$7,打分卡!$K$7:$O$7),1)</f>
        <v>1</v>
      </c>
      <c r="AD1198" s="41">
        <f>IFERROR(LOOKUP(S1198,打分卡!$F$8:$J$8,打分卡!$K$8:$O$8),1)</f>
        <v>1</v>
      </c>
      <c r="AE1198" s="41">
        <f>IFERROR(LOOKUP(T1198,打分卡!$F$9:$I$9,打分卡!$K$9:$N$9),1)</f>
        <v>1</v>
      </c>
      <c r="AF1198" s="41">
        <f>IFERROR(LOOKUP(Q1198,打分卡!$F$10:$J$10,打分卡!$K$10:$O$10),1)</f>
        <v>1</v>
      </c>
      <c r="AG1198" s="41">
        <f>IFERROR(LOOKUP(R1198,打分卡!$F$11:$J$11,打分卡!$K$11:$O$11),1)</f>
        <v>1</v>
      </c>
      <c r="AH1198" s="41">
        <f>IFERROR(LOOKUP(U1198,打分卡!$F$12:$J$12,打分卡!$K$12:$O$12),1)</f>
        <v>3</v>
      </c>
      <c r="AI1198" s="41">
        <f>IFERROR(LOOKUP(X1198,打分卡!$F$13:$J$13,打分卡!$K$13:$O$13),1)</f>
        <v>3</v>
      </c>
      <c r="AJ1198" s="41">
        <f>IFERROR(LOOKUP(Y1198,打分卡!$F$14:$J$14,打分卡!$K$14:$O$14),1)</f>
        <v>2</v>
      </c>
      <c r="AK1198" s="41">
        <f>IFERROR(LOOKUP(W1198,打分卡!$F$15:$J$15,打分卡!$K$15:$O$15),1)</f>
        <v>1</v>
      </c>
      <c r="AL1198" s="43">
        <f t="shared" si="145"/>
        <v>5</v>
      </c>
      <c r="AM1198" s="41">
        <f>IFERROR(LOOKUP(Z1198,打分卡!$F$17:$H$17,打分卡!$K$17:$M$17),1)</f>
        <v>1</v>
      </c>
      <c r="AN1198" s="44">
        <f>(打分卡!$D$7*AC1198+打分卡!$D$8*AD1198+打分卡!$D$9*AE1198)/5</f>
        <v>8</v>
      </c>
      <c r="AO1198" s="44">
        <f>(打分卡!$D$10*AF1198+打分卡!$D$11*AG1198)/5</f>
        <v>4</v>
      </c>
      <c r="AP1198" s="44">
        <f>(打分卡!$D$12*AH1198+打分卡!$D$13*AI1198+打分卡!$D$14*AJ1198+打分卡!$D$15*AK1198)/5</f>
        <v>15.2</v>
      </c>
      <c r="AQ1198" s="44">
        <f>(打分卡!$D$16*AL1198+打分卡!$D$17*AM1198)/5</f>
        <v>6.8</v>
      </c>
      <c r="AR1198" s="47">
        <f t="shared" si="146"/>
        <v>46.2666666666667</v>
      </c>
      <c r="AS1198" s="43" t="str">
        <f t="shared" si="147"/>
        <v>腰部</v>
      </c>
      <c r="AT1198" s="43" t="str">
        <f t="shared" si="148"/>
        <v/>
      </c>
      <c r="AU1198" s="43" t="str">
        <f t="shared" si="149"/>
        <v>拉·主攻：主推AI外呼+大促作战包</v>
      </c>
    </row>
    <row r="1199" ht="15" customHeight="1" spans="1:47">
      <c r="A1199" s="20" t="s">
        <v>3183</v>
      </c>
      <c r="B1199" s="22" t="s">
        <v>3184</v>
      </c>
      <c r="C1199" s="22" t="s">
        <v>239</v>
      </c>
      <c r="D1199" s="22" t="s">
        <v>202</v>
      </c>
      <c r="E1199" s="22" t="s">
        <v>181</v>
      </c>
      <c r="F1199" s="20" t="s">
        <v>746</v>
      </c>
      <c r="G1199" s="22">
        <v>3</v>
      </c>
      <c r="H1199" s="22" t="s">
        <v>642</v>
      </c>
      <c r="I1199" s="22" t="s">
        <v>302</v>
      </c>
      <c r="J1199" s="36">
        <v>800</v>
      </c>
      <c r="K1199" s="36">
        <v>500</v>
      </c>
      <c r="L1199" s="36">
        <v>200</v>
      </c>
      <c r="M1199" s="36">
        <f t="shared" si="144"/>
        <v>1500</v>
      </c>
      <c r="N1199" s="34">
        <f t="shared" si="150"/>
        <v>7.86395978685523e-6</v>
      </c>
      <c r="O1199" s="35">
        <f>SUM($M$2:M1199)</f>
        <v>190592700</v>
      </c>
      <c r="P1199" s="34">
        <f t="shared" si="151"/>
        <v>0.999208885645442</v>
      </c>
      <c r="Q1199" s="39">
        <v>0.1</v>
      </c>
      <c r="R1199" s="22">
        <v>2</v>
      </c>
      <c r="S1199" s="22">
        <v>0</v>
      </c>
      <c r="T1199" s="22">
        <v>0</v>
      </c>
      <c r="U1199" s="39">
        <v>4.7</v>
      </c>
      <c r="V1199" s="22">
        <v>12</v>
      </c>
      <c r="W1199" s="22">
        <v>2</v>
      </c>
      <c r="X1199" s="40">
        <v>6</v>
      </c>
      <c r="Y1199" s="22">
        <v>0</v>
      </c>
      <c r="Z1199" s="22">
        <v>0</v>
      </c>
      <c r="AA1199" s="22" t="s">
        <v>199</v>
      </c>
      <c r="AB1199" s="22" t="s">
        <v>220</v>
      </c>
      <c r="AC1199" s="42">
        <f>IFERROR(LOOKUP(M1199,打分卡!$F$7:$J$7,打分卡!$K$7:$O$7),1)</f>
        <v>1</v>
      </c>
      <c r="AD1199" s="42">
        <f>IFERROR(LOOKUP(S1199,打分卡!$F$8:$J$8,打分卡!$K$8:$O$8),1)</f>
        <v>1</v>
      </c>
      <c r="AE1199" s="42">
        <f>IFERROR(LOOKUP(T1199,打分卡!$F$9:$I$9,打分卡!$K$9:$N$9),1)</f>
        <v>1</v>
      </c>
      <c r="AF1199" s="42">
        <f>IFERROR(LOOKUP(Q1199,打分卡!$F$10:$J$10,打分卡!$K$10:$O$10),1)</f>
        <v>1</v>
      </c>
      <c r="AG1199" s="42">
        <f>IFERROR(LOOKUP(R1199,打分卡!$F$11:$J$11,打分卡!$K$11:$O$11),1)</f>
        <v>1</v>
      </c>
      <c r="AH1199" s="42">
        <f>IFERROR(LOOKUP(U1199,打分卡!$F$12:$J$12,打分卡!$K$12:$O$12),1)</f>
        <v>2</v>
      </c>
      <c r="AI1199" s="42">
        <f>IFERROR(LOOKUP(X1199,打分卡!$F$13:$J$13,打分卡!$K$13:$O$13),1)</f>
        <v>1</v>
      </c>
      <c r="AJ1199" s="42">
        <f>IFERROR(LOOKUP(Y1199,打分卡!$F$14:$J$14,打分卡!$K$14:$O$14),1)</f>
        <v>1</v>
      </c>
      <c r="AK1199" s="42">
        <f>IFERROR(LOOKUP(W1199,打分卡!$F$15:$J$15,打分卡!$K$15:$O$15),1)</f>
        <v>2</v>
      </c>
      <c r="AL1199" s="45">
        <f t="shared" si="145"/>
        <v>5</v>
      </c>
      <c r="AM1199" s="42">
        <f>IFERROR(LOOKUP(Z1199,打分卡!$F$17:$H$17,打分卡!$K$17:$M$17),1)</f>
        <v>1</v>
      </c>
      <c r="AN1199" s="46">
        <f>(打分卡!$D$7*AC1199+打分卡!$D$8*AD1199+打分卡!$D$9*AE1199)/5</f>
        <v>8</v>
      </c>
      <c r="AO1199" s="46">
        <f>(打分卡!$D$10*AF1199+打分卡!$D$11*AG1199)/5</f>
        <v>4</v>
      </c>
      <c r="AP1199" s="46">
        <f>(打分卡!$D$12*AH1199+打分卡!$D$13*AI1199+打分卡!$D$14*AJ1199+打分卡!$D$15*AK1199)/5</f>
        <v>9.2</v>
      </c>
      <c r="AQ1199" s="46">
        <f>(打分卡!$D$16*AL1199+打分卡!$D$17*AM1199)/5</f>
        <v>6.8</v>
      </c>
      <c r="AR1199" s="48">
        <f t="shared" si="146"/>
        <v>28</v>
      </c>
      <c r="AS1199" s="45" t="str">
        <f t="shared" si="147"/>
        <v>基础长尾</v>
      </c>
      <c r="AT1199" s="45" t="str">
        <f t="shared" si="148"/>
        <v/>
      </c>
      <c r="AU1199" s="45" t="str">
        <f t="shared" si="149"/>
        <v>激活：企微+Push低成本先跑</v>
      </c>
    </row>
    <row r="1200" ht="15" customHeight="1" spans="1:47">
      <c r="A1200" s="30" t="s">
        <v>3185</v>
      </c>
      <c r="B1200" s="31" t="s">
        <v>3186</v>
      </c>
      <c r="C1200" s="31" t="s">
        <v>189</v>
      </c>
      <c r="D1200" s="31" t="s">
        <v>202</v>
      </c>
      <c r="E1200" s="31" t="s">
        <v>197</v>
      </c>
      <c r="F1200" s="30" t="s">
        <v>2484</v>
      </c>
      <c r="G1200" s="31">
        <v>2</v>
      </c>
      <c r="H1200" s="31" t="s">
        <v>642</v>
      </c>
      <c r="I1200" s="31" t="s">
        <v>302</v>
      </c>
      <c r="J1200" s="33">
        <v>700</v>
      </c>
      <c r="K1200" s="33">
        <v>300</v>
      </c>
      <c r="L1200" s="33">
        <v>400</v>
      </c>
      <c r="M1200" s="33">
        <f t="shared" si="144"/>
        <v>1400</v>
      </c>
      <c r="N1200" s="34">
        <f t="shared" si="150"/>
        <v>7.33969580106488e-6</v>
      </c>
      <c r="O1200" s="35">
        <f>SUM($M$2:M1200)</f>
        <v>190594100</v>
      </c>
      <c r="P1200" s="34">
        <f t="shared" si="151"/>
        <v>0.999216225341243</v>
      </c>
      <c r="Q1200" s="37">
        <v>0.2</v>
      </c>
      <c r="R1200" s="31">
        <v>1</v>
      </c>
      <c r="S1200" s="31">
        <v>1</v>
      </c>
      <c r="T1200" s="31">
        <v>0</v>
      </c>
      <c r="U1200" s="37">
        <v>27.7</v>
      </c>
      <c r="V1200" s="31">
        <v>5</v>
      </c>
      <c r="W1200" s="31">
        <v>1</v>
      </c>
      <c r="X1200" s="38">
        <v>40</v>
      </c>
      <c r="Y1200" s="31">
        <v>1</v>
      </c>
      <c r="Z1200" s="31">
        <v>0</v>
      </c>
      <c r="AA1200" s="31" t="s">
        <v>199</v>
      </c>
      <c r="AB1200" s="31" t="s">
        <v>220</v>
      </c>
      <c r="AC1200" s="41">
        <f>IFERROR(LOOKUP(M1200,打分卡!$F$7:$J$7,打分卡!$K$7:$O$7),1)</f>
        <v>1</v>
      </c>
      <c r="AD1200" s="41">
        <f>IFERROR(LOOKUP(S1200,打分卡!$F$8:$J$8,打分卡!$K$8:$O$8),1)</f>
        <v>1</v>
      </c>
      <c r="AE1200" s="41">
        <f>IFERROR(LOOKUP(T1200,打分卡!$F$9:$I$9,打分卡!$K$9:$N$9),1)</f>
        <v>1</v>
      </c>
      <c r="AF1200" s="41">
        <f>IFERROR(LOOKUP(Q1200,打分卡!$F$10:$J$10,打分卡!$K$10:$O$10),1)</f>
        <v>1</v>
      </c>
      <c r="AG1200" s="41">
        <f>IFERROR(LOOKUP(R1200,打分卡!$F$11:$J$11,打分卡!$K$11:$O$11),1)</f>
        <v>1</v>
      </c>
      <c r="AH1200" s="41">
        <f>IFERROR(LOOKUP(U1200,打分卡!$F$12:$J$12,打分卡!$K$12:$O$12),1)</f>
        <v>3</v>
      </c>
      <c r="AI1200" s="41">
        <f>IFERROR(LOOKUP(X1200,打分卡!$F$13:$J$13,打分卡!$K$13:$O$13),1)</f>
        <v>3</v>
      </c>
      <c r="AJ1200" s="41">
        <f>IFERROR(LOOKUP(Y1200,打分卡!$F$14:$J$14,打分卡!$K$14:$O$14),1)</f>
        <v>2</v>
      </c>
      <c r="AK1200" s="41">
        <f>IFERROR(LOOKUP(W1200,打分卡!$F$15:$J$15,打分卡!$K$15:$O$15),1)</f>
        <v>2</v>
      </c>
      <c r="AL1200" s="43">
        <f t="shared" si="145"/>
        <v>5</v>
      </c>
      <c r="AM1200" s="41">
        <f>IFERROR(LOOKUP(Z1200,打分卡!$F$17:$H$17,打分卡!$K$17:$M$17),1)</f>
        <v>1</v>
      </c>
      <c r="AN1200" s="44">
        <f>(打分卡!$D$7*AC1200+打分卡!$D$8*AD1200+打分卡!$D$9*AE1200)/5</f>
        <v>8</v>
      </c>
      <c r="AO1200" s="44">
        <f>(打分卡!$D$10*AF1200+打分卡!$D$11*AG1200)/5</f>
        <v>4</v>
      </c>
      <c r="AP1200" s="44">
        <f>(打分卡!$D$12*AH1200+打分卡!$D$13*AI1200+打分卡!$D$14*AJ1200+打分卡!$D$15*AK1200)/5</f>
        <v>16</v>
      </c>
      <c r="AQ1200" s="44">
        <f>(打分卡!$D$16*AL1200+打分卡!$D$17*AM1200)/5</f>
        <v>6.8</v>
      </c>
      <c r="AR1200" s="47">
        <f t="shared" si="146"/>
        <v>48.1333333333333</v>
      </c>
      <c r="AS1200" s="43" t="str">
        <f t="shared" si="147"/>
        <v>腰部</v>
      </c>
      <c r="AT1200" s="43" t="str">
        <f t="shared" si="148"/>
        <v/>
      </c>
      <c r="AU1200" s="43" t="str">
        <f t="shared" si="149"/>
        <v>拉·主攻：主推AI外呼+大促作战包</v>
      </c>
    </row>
    <row r="1201" ht="15" customHeight="1" spans="1:47">
      <c r="A1201" s="20" t="s">
        <v>3187</v>
      </c>
      <c r="B1201" s="22" t="s">
        <v>3188</v>
      </c>
      <c r="C1201" s="22" t="s">
        <v>189</v>
      </c>
      <c r="D1201" s="22" t="s">
        <v>196</v>
      </c>
      <c r="E1201" s="22" t="s">
        <v>181</v>
      </c>
      <c r="F1201" s="20" t="s">
        <v>3064</v>
      </c>
      <c r="G1201" s="22">
        <v>2</v>
      </c>
      <c r="H1201" s="22" t="s">
        <v>642</v>
      </c>
      <c r="I1201" s="22" t="s">
        <v>302</v>
      </c>
      <c r="J1201" s="36">
        <v>900</v>
      </c>
      <c r="K1201" s="36">
        <v>400</v>
      </c>
      <c r="L1201" s="36">
        <v>200</v>
      </c>
      <c r="M1201" s="36">
        <f t="shared" si="144"/>
        <v>1500</v>
      </c>
      <c r="N1201" s="34">
        <f t="shared" si="150"/>
        <v>7.86395978685523e-6</v>
      </c>
      <c r="O1201" s="35">
        <f>SUM($M$2:M1201)</f>
        <v>190595600</v>
      </c>
      <c r="P1201" s="34">
        <f t="shared" si="151"/>
        <v>0.99922408930103</v>
      </c>
      <c r="Q1201" s="39">
        <v>0.2</v>
      </c>
      <c r="R1201" s="22">
        <v>2</v>
      </c>
      <c r="S1201" s="22">
        <v>1</v>
      </c>
      <c r="T1201" s="22">
        <v>0</v>
      </c>
      <c r="U1201" s="39">
        <v>8.5</v>
      </c>
      <c r="V1201" s="22">
        <v>10</v>
      </c>
      <c r="W1201" s="22">
        <v>2</v>
      </c>
      <c r="X1201" s="40">
        <v>7</v>
      </c>
      <c r="Y1201" s="22">
        <v>0</v>
      </c>
      <c r="Z1201" s="22">
        <v>0</v>
      </c>
      <c r="AA1201" s="22" t="s">
        <v>199</v>
      </c>
      <c r="AB1201" s="22" t="s">
        <v>220</v>
      </c>
      <c r="AC1201" s="42">
        <f>IFERROR(LOOKUP(M1201,打分卡!$F$7:$J$7,打分卡!$K$7:$O$7),1)</f>
        <v>1</v>
      </c>
      <c r="AD1201" s="42">
        <f>IFERROR(LOOKUP(S1201,打分卡!$F$8:$J$8,打分卡!$K$8:$O$8),1)</f>
        <v>1</v>
      </c>
      <c r="AE1201" s="42">
        <f>IFERROR(LOOKUP(T1201,打分卡!$F$9:$I$9,打分卡!$K$9:$N$9),1)</f>
        <v>1</v>
      </c>
      <c r="AF1201" s="42">
        <f>IFERROR(LOOKUP(Q1201,打分卡!$F$10:$J$10,打分卡!$K$10:$O$10),1)</f>
        <v>1</v>
      </c>
      <c r="AG1201" s="42">
        <f>IFERROR(LOOKUP(R1201,打分卡!$F$11:$J$11,打分卡!$K$11:$O$11),1)</f>
        <v>1</v>
      </c>
      <c r="AH1201" s="42">
        <f>IFERROR(LOOKUP(U1201,打分卡!$F$12:$J$12,打分卡!$K$12:$O$12),1)</f>
        <v>2</v>
      </c>
      <c r="AI1201" s="42">
        <f>IFERROR(LOOKUP(X1201,打分卡!$F$13:$J$13,打分卡!$K$13:$O$13),1)</f>
        <v>1</v>
      </c>
      <c r="AJ1201" s="42">
        <f>IFERROR(LOOKUP(Y1201,打分卡!$F$14:$J$14,打分卡!$K$14:$O$14),1)</f>
        <v>1</v>
      </c>
      <c r="AK1201" s="42">
        <f>IFERROR(LOOKUP(W1201,打分卡!$F$15:$J$15,打分卡!$K$15:$O$15),1)</f>
        <v>2</v>
      </c>
      <c r="AL1201" s="45">
        <f t="shared" si="145"/>
        <v>5</v>
      </c>
      <c r="AM1201" s="42">
        <f>IFERROR(LOOKUP(Z1201,打分卡!$F$17:$H$17,打分卡!$K$17:$M$17),1)</f>
        <v>1</v>
      </c>
      <c r="AN1201" s="46">
        <f>(打分卡!$D$7*AC1201+打分卡!$D$8*AD1201+打分卡!$D$9*AE1201)/5</f>
        <v>8</v>
      </c>
      <c r="AO1201" s="46">
        <f>(打分卡!$D$10*AF1201+打分卡!$D$11*AG1201)/5</f>
        <v>4</v>
      </c>
      <c r="AP1201" s="46">
        <f>(打分卡!$D$12*AH1201+打分卡!$D$13*AI1201+打分卡!$D$14*AJ1201+打分卡!$D$15*AK1201)/5</f>
        <v>9.2</v>
      </c>
      <c r="AQ1201" s="46">
        <f>(打分卡!$D$16*AL1201+打分卡!$D$17*AM1201)/5</f>
        <v>6.8</v>
      </c>
      <c r="AR1201" s="48">
        <f t="shared" si="146"/>
        <v>32.2666666666667</v>
      </c>
      <c r="AS1201" s="45" t="str">
        <f t="shared" si="147"/>
        <v>基础长尾</v>
      </c>
      <c r="AT1201" s="45" t="str">
        <f t="shared" si="148"/>
        <v/>
      </c>
      <c r="AU1201" s="45" t="str">
        <f t="shared" si="149"/>
        <v>激活：企微+Push低成本先跑</v>
      </c>
    </row>
    <row r="1202" ht="15" customHeight="1" spans="1:47">
      <c r="A1202" s="30" t="s">
        <v>3189</v>
      </c>
      <c r="B1202" s="31" t="s">
        <v>3190</v>
      </c>
      <c r="C1202" s="31" t="s">
        <v>239</v>
      </c>
      <c r="D1202" s="31" t="s">
        <v>196</v>
      </c>
      <c r="E1202" s="31" t="s">
        <v>181</v>
      </c>
      <c r="F1202" s="30" t="s">
        <v>3191</v>
      </c>
      <c r="G1202" s="31">
        <v>1</v>
      </c>
      <c r="H1202" s="31" t="s">
        <v>642</v>
      </c>
      <c r="I1202" s="31" t="s">
        <v>302</v>
      </c>
      <c r="J1202" s="33">
        <v>800</v>
      </c>
      <c r="K1202" s="33">
        <v>300</v>
      </c>
      <c r="L1202" s="33">
        <v>400</v>
      </c>
      <c r="M1202" s="33">
        <f t="shared" si="144"/>
        <v>1500</v>
      </c>
      <c r="N1202" s="34">
        <f t="shared" si="150"/>
        <v>7.86395978685523e-6</v>
      </c>
      <c r="O1202" s="35">
        <f>SUM($M$2:M1202)</f>
        <v>190597100</v>
      </c>
      <c r="P1202" s="34">
        <f t="shared" si="151"/>
        <v>0.999231953260817</v>
      </c>
      <c r="Q1202" s="37">
        <v>0.2</v>
      </c>
      <c r="R1202" s="31">
        <v>1</v>
      </c>
      <c r="S1202" s="31">
        <v>0</v>
      </c>
      <c r="T1202" s="31">
        <v>0</v>
      </c>
      <c r="U1202" s="37">
        <v>20</v>
      </c>
      <c r="V1202" s="31">
        <v>13</v>
      </c>
      <c r="W1202" s="31">
        <v>0</v>
      </c>
      <c r="X1202" s="38">
        <v>32</v>
      </c>
      <c r="Y1202" s="31">
        <v>0</v>
      </c>
      <c r="Z1202" s="31">
        <v>0</v>
      </c>
      <c r="AA1202" s="31" t="s">
        <v>199</v>
      </c>
      <c r="AB1202" s="31" t="s">
        <v>220</v>
      </c>
      <c r="AC1202" s="41">
        <f>IFERROR(LOOKUP(M1202,打分卡!$F$7:$J$7,打分卡!$K$7:$O$7),1)</f>
        <v>1</v>
      </c>
      <c r="AD1202" s="41">
        <f>IFERROR(LOOKUP(S1202,打分卡!$F$8:$J$8,打分卡!$K$8:$O$8),1)</f>
        <v>1</v>
      </c>
      <c r="AE1202" s="41">
        <f>IFERROR(LOOKUP(T1202,打分卡!$F$9:$I$9,打分卡!$K$9:$N$9),1)</f>
        <v>1</v>
      </c>
      <c r="AF1202" s="41">
        <f>IFERROR(LOOKUP(Q1202,打分卡!$F$10:$J$10,打分卡!$K$10:$O$10),1)</f>
        <v>1</v>
      </c>
      <c r="AG1202" s="41">
        <f>IFERROR(LOOKUP(R1202,打分卡!$F$11:$J$11,打分卡!$K$11:$O$11),1)</f>
        <v>1</v>
      </c>
      <c r="AH1202" s="41">
        <f>IFERROR(LOOKUP(U1202,打分卡!$F$12:$J$12,打分卡!$K$12:$O$12),1)</f>
        <v>3</v>
      </c>
      <c r="AI1202" s="41">
        <f>IFERROR(LOOKUP(X1202,打分卡!$F$13:$J$13,打分卡!$K$13:$O$13),1)</f>
        <v>2</v>
      </c>
      <c r="AJ1202" s="41">
        <f>IFERROR(LOOKUP(Y1202,打分卡!$F$14:$J$14,打分卡!$K$14:$O$14),1)</f>
        <v>1</v>
      </c>
      <c r="AK1202" s="41">
        <f>IFERROR(LOOKUP(W1202,打分卡!$F$15:$J$15,打分卡!$K$15:$O$15),1)</f>
        <v>1</v>
      </c>
      <c r="AL1202" s="43">
        <f t="shared" si="145"/>
        <v>5</v>
      </c>
      <c r="AM1202" s="41">
        <f>IFERROR(LOOKUP(Z1202,打分卡!$F$17:$H$17,打分卡!$K$17:$M$17),1)</f>
        <v>1</v>
      </c>
      <c r="AN1202" s="44">
        <f>(打分卡!$D$7*AC1202+打分卡!$D$8*AD1202+打分卡!$D$9*AE1202)/5</f>
        <v>8</v>
      </c>
      <c r="AO1202" s="44">
        <f>(打分卡!$D$10*AF1202+打分卡!$D$11*AG1202)/5</f>
        <v>4</v>
      </c>
      <c r="AP1202" s="44">
        <f>(打分卡!$D$12*AH1202+打分卡!$D$13*AI1202+打分卡!$D$14*AJ1202+打分卡!$D$15*AK1202)/5</f>
        <v>12.4</v>
      </c>
      <c r="AQ1202" s="44">
        <f>(打分卡!$D$16*AL1202+打分卡!$D$17*AM1202)/5</f>
        <v>6.8</v>
      </c>
      <c r="AR1202" s="47">
        <f t="shared" si="146"/>
        <v>39.7333333333333</v>
      </c>
      <c r="AS1202" s="43" t="str">
        <f t="shared" si="147"/>
        <v>基础长尾</v>
      </c>
      <c r="AT1202" s="43" t="str">
        <f t="shared" si="148"/>
        <v/>
      </c>
      <c r="AU1202" s="43" t="str">
        <f t="shared" si="149"/>
        <v>激活：企微+Push低成本先跑</v>
      </c>
    </row>
    <row r="1203" ht="15" customHeight="1" spans="1:47">
      <c r="A1203" s="20" t="s">
        <v>3192</v>
      </c>
      <c r="B1203" s="22" t="s">
        <v>3193</v>
      </c>
      <c r="C1203" s="22" t="s">
        <v>189</v>
      </c>
      <c r="D1203" s="22" t="s">
        <v>196</v>
      </c>
      <c r="E1203" s="22" t="s">
        <v>181</v>
      </c>
      <c r="F1203" s="20" t="s">
        <v>2852</v>
      </c>
      <c r="G1203" s="22">
        <v>3</v>
      </c>
      <c r="H1203" s="22" t="s">
        <v>642</v>
      </c>
      <c r="I1203" s="22" t="s">
        <v>302</v>
      </c>
      <c r="J1203" s="36">
        <v>900</v>
      </c>
      <c r="K1203" s="36">
        <v>500</v>
      </c>
      <c r="L1203" s="36">
        <v>100</v>
      </c>
      <c r="M1203" s="36">
        <f t="shared" si="144"/>
        <v>1500</v>
      </c>
      <c r="N1203" s="34">
        <f t="shared" si="150"/>
        <v>7.86395978685523e-6</v>
      </c>
      <c r="O1203" s="35">
        <f>SUM($M$2:M1203)</f>
        <v>190598600</v>
      </c>
      <c r="P1203" s="34">
        <f t="shared" si="151"/>
        <v>0.999239817220604</v>
      </c>
      <c r="Q1203" s="39">
        <v>0.2</v>
      </c>
      <c r="R1203" s="22">
        <v>2</v>
      </c>
      <c r="S1203" s="22">
        <v>0</v>
      </c>
      <c r="T1203" s="22">
        <v>0</v>
      </c>
      <c r="U1203" s="39">
        <v>3.7</v>
      </c>
      <c r="V1203" s="22">
        <v>11</v>
      </c>
      <c r="W1203" s="22">
        <v>1</v>
      </c>
      <c r="X1203" s="40">
        <v>17</v>
      </c>
      <c r="Y1203" s="22">
        <v>1</v>
      </c>
      <c r="Z1203" s="22">
        <v>0</v>
      </c>
      <c r="AA1203" s="22" t="s">
        <v>199</v>
      </c>
      <c r="AB1203" s="22" t="s">
        <v>220</v>
      </c>
      <c r="AC1203" s="42">
        <f>IFERROR(LOOKUP(M1203,打分卡!$F$7:$J$7,打分卡!$K$7:$O$7),1)</f>
        <v>1</v>
      </c>
      <c r="AD1203" s="42">
        <f>IFERROR(LOOKUP(S1203,打分卡!$F$8:$J$8,打分卡!$K$8:$O$8),1)</f>
        <v>1</v>
      </c>
      <c r="AE1203" s="42">
        <f>IFERROR(LOOKUP(T1203,打分卡!$F$9:$I$9,打分卡!$K$9:$N$9),1)</f>
        <v>1</v>
      </c>
      <c r="AF1203" s="42">
        <f>IFERROR(LOOKUP(Q1203,打分卡!$F$10:$J$10,打分卡!$K$10:$O$10),1)</f>
        <v>1</v>
      </c>
      <c r="AG1203" s="42">
        <f>IFERROR(LOOKUP(R1203,打分卡!$F$11:$J$11,打分卡!$K$11:$O$11),1)</f>
        <v>1</v>
      </c>
      <c r="AH1203" s="42">
        <f>IFERROR(LOOKUP(U1203,打分卡!$F$12:$J$12,打分卡!$K$12:$O$12),1)</f>
        <v>2</v>
      </c>
      <c r="AI1203" s="42">
        <f>IFERROR(LOOKUP(X1203,打分卡!$F$13:$J$13,打分卡!$K$13:$O$13),1)</f>
        <v>1</v>
      </c>
      <c r="AJ1203" s="42">
        <f>IFERROR(LOOKUP(Y1203,打分卡!$F$14:$J$14,打分卡!$K$14:$O$14),1)</f>
        <v>2</v>
      </c>
      <c r="AK1203" s="42">
        <f>IFERROR(LOOKUP(W1203,打分卡!$F$15:$J$15,打分卡!$K$15:$O$15),1)</f>
        <v>2</v>
      </c>
      <c r="AL1203" s="45">
        <f t="shared" si="145"/>
        <v>5</v>
      </c>
      <c r="AM1203" s="42">
        <f>IFERROR(LOOKUP(Z1203,打分卡!$F$17:$H$17,打分卡!$K$17:$M$17),1)</f>
        <v>1</v>
      </c>
      <c r="AN1203" s="46">
        <f>(打分卡!$D$7*AC1203+打分卡!$D$8*AD1203+打分卡!$D$9*AE1203)/5</f>
        <v>8</v>
      </c>
      <c r="AO1203" s="46">
        <f>(打分卡!$D$10*AF1203+打分卡!$D$11*AG1203)/5</f>
        <v>4</v>
      </c>
      <c r="AP1203" s="46">
        <f>(打分卡!$D$12*AH1203+打分卡!$D$13*AI1203+打分卡!$D$14*AJ1203+打分卡!$D$15*AK1203)/5</f>
        <v>10.4</v>
      </c>
      <c r="AQ1203" s="46">
        <f>(打分卡!$D$16*AL1203+打分卡!$D$17*AM1203)/5</f>
        <v>6.8</v>
      </c>
      <c r="AR1203" s="48">
        <f t="shared" si="146"/>
        <v>29.2</v>
      </c>
      <c r="AS1203" s="45" t="str">
        <f t="shared" si="147"/>
        <v>基础长尾</v>
      </c>
      <c r="AT1203" s="45" t="str">
        <f t="shared" si="148"/>
        <v/>
      </c>
      <c r="AU1203" s="45" t="str">
        <f t="shared" si="149"/>
        <v>激活：企微+Push低成本先跑</v>
      </c>
    </row>
    <row r="1204" ht="15" customHeight="1" spans="1:47">
      <c r="A1204" s="30" t="s">
        <v>3194</v>
      </c>
      <c r="B1204" s="31" t="s">
        <v>3195</v>
      </c>
      <c r="C1204" s="31" t="s">
        <v>179</v>
      </c>
      <c r="D1204" s="31" t="s">
        <v>202</v>
      </c>
      <c r="E1204" s="31" t="s">
        <v>181</v>
      </c>
      <c r="F1204" s="30" t="s">
        <v>2714</v>
      </c>
      <c r="G1204" s="31">
        <v>2</v>
      </c>
      <c r="H1204" s="31" t="s">
        <v>642</v>
      </c>
      <c r="I1204" s="31" t="s">
        <v>302</v>
      </c>
      <c r="J1204" s="33">
        <v>800</v>
      </c>
      <c r="K1204" s="33">
        <v>300</v>
      </c>
      <c r="L1204" s="33">
        <v>300</v>
      </c>
      <c r="M1204" s="33">
        <f t="shared" si="144"/>
        <v>1400</v>
      </c>
      <c r="N1204" s="34">
        <f t="shared" si="150"/>
        <v>7.33969580106488e-6</v>
      </c>
      <c r="O1204" s="35">
        <f>SUM($M$2:M1204)</f>
        <v>190600000</v>
      </c>
      <c r="P1204" s="34">
        <f t="shared" si="151"/>
        <v>0.999247156916405</v>
      </c>
      <c r="Q1204" s="37">
        <v>0.2</v>
      </c>
      <c r="R1204" s="31">
        <v>1</v>
      </c>
      <c r="S1204" s="31">
        <v>0</v>
      </c>
      <c r="T1204" s="31">
        <v>0</v>
      </c>
      <c r="U1204" s="37">
        <v>2.2</v>
      </c>
      <c r="V1204" s="31">
        <v>2</v>
      </c>
      <c r="W1204" s="31">
        <v>1</v>
      </c>
      <c r="X1204" s="38">
        <v>14</v>
      </c>
      <c r="Y1204" s="31">
        <v>1</v>
      </c>
      <c r="Z1204" s="31">
        <v>0</v>
      </c>
      <c r="AA1204" s="31" t="s">
        <v>199</v>
      </c>
      <c r="AB1204" s="31" t="s">
        <v>220</v>
      </c>
      <c r="AC1204" s="41">
        <f>IFERROR(LOOKUP(M1204,打分卡!$F$7:$J$7,打分卡!$K$7:$O$7),1)</f>
        <v>1</v>
      </c>
      <c r="AD1204" s="41">
        <f>IFERROR(LOOKUP(S1204,打分卡!$F$8:$J$8,打分卡!$K$8:$O$8),1)</f>
        <v>1</v>
      </c>
      <c r="AE1204" s="41">
        <f>IFERROR(LOOKUP(T1204,打分卡!$F$9:$I$9,打分卡!$K$9:$N$9),1)</f>
        <v>1</v>
      </c>
      <c r="AF1204" s="41">
        <f>IFERROR(LOOKUP(Q1204,打分卡!$F$10:$J$10,打分卡!$K$10:$O$10),1)</f>
        <v>1</v>
      </c>
      <c r="AG1204" s="41">
        <f>IFERROR(LOOKUP(R1204,打分卡!$F$11:$J$11,打分卡!$K$11:$O$11),1)</f>
        <v>1</v>
      </c>
      <c r="AH1204" s="41">
        <f>IFERROR(LOOKUP(U1204,打分卡!$F$12:$J$12,打分卡!$K$12:$O$12),1)</f>
        <v>1</v>
      </c>
      <c r="AI1204" s="41">
        <f>IFERROR(LOOKUP(X1204,打分卡!$F$13:$J$13,打分卡!$K$13:$O$13),1)</f>
        <v>1</v>
      </c>
      <c r="AJ1204" s="41">
        <f>IFERROR(LOOKUP(Y1204,打分卡!$F$14:$J$14,打分卡!$K$14:$O$14),1)</f>
        <v>2</v>
      </c>
      <c r="AK1204" s="41">
        <f>IFERROR(LOOKUP(W1204,打分卡!$F$15:$J$15,打分卡!$K$15:$O$15),1)</f>
        <v>2</v>
      </c>
      <c r="AL1204" s="43">
        <f t="shared" si="145"/>
        <v>5</v>
      </c>
      <c r="AM1204" s="41">
        <f>IFERROR(LOOKUP(Z1204,打分卡!$F$17:$H$17,打分卡!$K$17:$M$17),1)</f>
        <v>1</v>
      </c>
      <c r="AN1204" s="44">
        <f>(打分卡!$D$7*AC1204+打分卡!$D$8*AD1204+打分卡!$D$9*AE1204)/5</f>
        <v>8</v>
      </c>
      <c r="AO1204" s="44">
        <f>(打分卡!$D$10*AF1204+打分卡!$D$11*AG1204)/5</f>
        <v>4</v>
      </c>
      <c r="AP1204" s="44">
        <f>(打分卡!$D$12*AH1204+打分卡!$D$13*AI1204+打分卡!$D$14*AJ1204+打分卡!$D$15*AK1204)/5</f>
        <v>8</v>
      </c>
      <c r="AQ1204" s="44">
        <f>(打分卡!$D$16*AL1204+打分卡!$D$17*AM1204)/5</f>
        <v>6.8</v>
      </c>
      <c r="AR1204" s="47">
        <f t="shared" si="146"/>
        <v>29.4666666666667</v>
      </c>
      <c r="AS1204" s="43" t="str">
        <f t="shared" si="147"/>
        <v>基础长尾</v>
      </c>
      <c r="AT1204" s="43" t="str">
        <f t="shared" si="148"/>
        <v/>
      </c>
      <c r="AU1204" s="43" t="str">
        <f t="shared" si="149"/>
        <v>激活：企微+Push低成本先跑</v>
      </c>
    </row>
    <row r="1205" ht="15" customHeight="1" spans="1:47">
      <c r="A1205" s="20" t="s">
        <v>3196</v>
      </c>
      <c r="B1205" s="22" t="s">
        <v>3197</v>
      </c>
      <c r="C1205" s="22" t="s">
        <v>209</v>
      </c>
      <c r="D1205" s="22" t="s">
        <v>196</v>
      </c>
      <c r="E1205" s="22" t="s">
        <v>181</v>
      </c>
      <c r="F1205" s="20" t="s">
        <v>1725</v>
      </c>
      <c r="G1205" s="22">
        <v>3</v>
      </c>
      <c r="H1205" s="22" t="s">
        <v>642</v>
      </c>
      <c r="I1205" s="22" t="s">
        <v>302</v>
      </c>
      <c r="J1205" s="36">
        <v>700</v>
      </c>
      <c r="K1205" s="36">
        <v>400</v>
      </c>
      <c r="L1205" s="36">
        <v>300</v>
      </c>
      <c r="M1205" s="36">
        <f t="shared" si="144"/>
        <v>1400</v>
      </c>
      <c r="N1205" s="34">
        <f t="shared" si="150"/>
        <v>7.33969580106488e-6</v>
      </c>
      <c r="O1205" s="35">
        <f>SUM($M$2:M1205)</f>
        <v>190601400</v>
      </c>
      <c r="P1205" s="34">
        <f t="shared" si="151"/>
        <v>0.999254496612206</v>
      </c>
      <c r="Q1205" s="39">
        <v>0.1</v>
      </c>
      <c r="R1205" s="22">
        <v>3</v>
      </c>
      <c r="S1205" s="22">
        <v>1</v>
      </c>
      <c r="T1205" s="22">
        <v>0</v>
      </c>
      <c r="U1205" s="39">
        <v>0.6</v>
      </c>
      <c r="V1205" s="22">
        <v>3</v>
      </c>
      <c r="W1205" s="22">
        <v>0</v>
      </c>
      <c r="X1205" s="40">
        <v>10</v>
      </c>
      <c r="Y1205" s="22">
        <v>1</v>
      </c>
      <c r="Z1205" s="22">
        <v>0</v>
      </c>
      <c r="AA1205" s="22" t="s">
        <v>199</v>
      </c>
      <c r="AB1205" s="22" t="s">
        <v>220</v>
      </c>
      <c r="AC1205" s="42">
        <f>IFERROR(LOOKUP(M1205,打分卡!$F$7:$J$7,打分卡!$K$7:$O$7),1)</f>
        <v>1</v>
      </c>
      <c r="AD1205" s="42">
        <f>IFERROR(LOOKUP(S1205,打分卡!$F$8:$J$8,打分卡!$K$8:$O$8),1)</f>
        <v>1</v>
      </c>
      <c r="AE1205" s="42">
        <f>IFERROR(LOOKUP(T1205,打分卡!$F$9:$I$9,打分卡!$K$9:$N$9),1)</f>
        <v>1</v>
      </c>
      <c r="AF1205" s="42">
        <f>IFERROR(LOOKUP(Q1205,打分卡!$F$10:$J$10,打分卡!$K$10:$O$10),1)</f>
        <v>1</v>
      </c>
      <c r="AG1205" s="42">
        <f>IFERROR(LOOKUP(R1205,打分卡!$F$11:$J$11,打分卡!$K$11:$O$11),1)</f>
        <v>2</v>
      </c>
      <c r="AH1205" s="42">
        <f>IFERROR(LOOKUP(U1205,打分卡!$F$12:$J$12,打分卡!$K$12:$O$12),1)</f>
        <v>1</v>
      </c>
      <c r="AI1205" s="42">
        <f>IFERROR(LOOKUP(X1205,打分卡!$F$13:$J$13,打分卡!$K$13:$O$13),1)</f>
        <v>1</v>
      </c>
      <c r="AJ1205" s="42">
        <f>IFERROR(LOOKUP(Y1205,打分卡!$F$14:$J$14,打分卡!$K$14:$O$14),1)</f>
        <v>2</v>
      </c>
      <c r="AK1205" s="42">
        <f>IFERROR(LOOKUP(W1205,打分卡!$F$15:$J$15,打分卡!$K$15:$O$15),1)</f>
        <v>1</v>
      </c>
      <c r="AL1205" s="45">
        <f t="shared" si="145"/>
        <v>5</v>
      </c>
      <c r="AM1205" s="42">
        <f>IFERROR(LOOKUP(Z1205,打分卡!$F$17:$H$17,打分卡!$K$17:$M$17),1)</f>
        <v>1</v>
      </c>
      <c r="AN1205" s="46">
        <f>(打分卡!$D$7*AC1205+打分卡!$D$8*AD1205+打分卡!$D$9*AE1205)/5</f>
        <v>8</v>
      </c>
      <c r="AO1205" s="46">
        <f>(打分卡!$D$10*AF1205+打分卡!$D$11*AG1205)/5</f>
        <v>6</v>
      </c>
      <c r="AP1205" s="46">
        <f>(打分卡!$D$12*AH1205+打分卡!$D$13*AI1205+打分卡!$D$14*AJ1205+打分卡!$D$15*AK1205)/5</f>
        <v>7.2</v>
      </c>
      <c r="AQ1205" s="46">
        <f>(打分卡!$D$16*AL1205+打分卡!$D$17*AM1205)/5</f>
        <v>6.8</v>
      </c>
      <c r="AR1205" s="48">
        <f t="shared" si="146"/>
        <v>28</v>
      </c>
      <c r="AS1205" s="45" t="str">
        <f t="shared" si="147"/>
        <v>基础长尾</v>
      </c>
      <c r="AT1205" s="45" t="str">
        <f t="shared" si="148"/>
        <v/>
      </c>
      <c r="AU1205" s="45" t="str">
        <f t="shared" si="149"/>
        <v>激活：企微+Push低成本先跑</v>
      </c>
    </row>
    <row r="1206" ht="15" customHeight="1" spans="1:47">
      <c r="A1206" s="30" t="s">
        <v>3198</v>
      </c>
      <c r="B1206" s="31" t="s">
        <v>3199</v>
      </c>
      <c r="C1206" s="31" t="s">
        <v>195</v>
      </c>
      <c r="D1206" s="31" t="s">
        <v>202</v>
      </c>
      <c r="E1206" s="31" t="s">
        <v>181</v>
      </c>
      <c r="F1206" s="30" t="s">
        <v>1146</v>
      </c>
      <c r="G1206" s="31">
        <v>3</v>
      </c>
      <c r="H1206" s="31" t="s">
        <v>642</v>
      </c>
      <c r="I1206" s="31" t="s">
        <v>302</v>
      </c>
      <c r="J1206" s="33">
        <v>800</v>
      </c>
      <c r="K1206" s="33">
        <v>300</v>
      </c>
      <c r="L1206" s="33">
        <v>300</v>
      </c>
      <c r="M1206" s="33">
        <f t="shared" si="144"/>
        <v>1400</v>
      </c>
      <c r="N1206" s="34">
        <f t="shared" si="150"/>
        <v>7.33969580106488e-6</v>
      </c>
      <c r="O1206" s="35">
        <f>SUM($M$2:M1206)</f>
        <v>190602800</v>
      </c>
      <c r="P1206" s="34">
        <f t="shared" si="151"/>
        <v>0.999261836308007</v>
      </c>
      <c r="Q1206" s="37">
        <v>0.2</v>
      </c>
      <c r="R1206" s="31">
        <v>3</v>
      </c>
      <c r="S1206" s="31">
        <v>0</v>
      </c>
      <c r="T1206" s="31">
        <v>0</v>
      </c>
      <c r="U1206" s="37">
        <v>1.1</v>
      </c>
      <c r="V1206" s="31">
        <v>3</v>
      </c>
      <c r="W1206" s="31">
        <v>1</v>
      </c>
      <c r="X1206" s="38">
        <v>15</v>
      </c>
      <c r="Y1206" s="31">
        <v>1</v>
      </c>
      <c r="Z1206" s="31">
        <v>0</v>
      </c>
      <c r="AA1206" s="31" t="s">
        <v>199</v>
      </c>
      <c r="AB1206" s="31" t="s">
        <v>220</v>
      </c>
      <c r="AC1206" s="41">
        <f>IFERROR(LOOKUP(M1206,打分卡!$F$7:$J$7,打分卡!$K$7:$O$7),1)</f>
        <v>1</v>
      </c>
      <c r="AD1206" s="41">
        <f>IFERROR(LOOKUP(S1206,打分卡!$F$8:$J$8,打分卡!$K$8:$O$8),1)</f>
        <v>1</v>
      </c>
      <c r="AE1206" s="41">
        <f>IFERROR(LOOKUP(T1206,打分卡!$F$9:$I$9,打分卡!$K$9:$N$9),1)</f>
        <v>1</v>
      </c>
      <c r="AF1206" s="41">
        <f>IFERROR(LOOKUP(Q1206,打分卡!$F$10:$J$10,打分卡!$K$10:$O$10),1)</f>
        <v>1</v>
      </c>
      <c r="AG1206" s="41">
        <f>IFERROR(LOOKUP(R1206,打分卡!$F$11:$J$11,打分卡!$K$11:$O$11),1)</f>
        <v>2</v>
      </c>
      <c r="AH1206" s="41">
        <f>IFERROR(LOOKUP(U1206,打分卡!$F$12:$J$12,打分卡!$K$12:$O$12),1)</f>
        <v>1</v>
      </c>
      <c r="AI1206" s="41">
        <f>IFERROR(LOOKUP(X1206,打分卡!$F$13:$J$13,打分卡!$K$13:$O$13),1)</f>
        <v>1</v>
      </c>
      <c r="AJ1206" s="41">
        <f>IFERROR(LOOKUP(Y1206,打分卡!$F$14:$J$14,打分卡!$K$14:$O$14),1)</f>
        <v>2</v>
      </c>
      <c r="AK1206" s="41">
        <f>IFERROR(LOOKUP(W1206,打分卡!$F$15:$J$15,打分卡!$K$15:$O$15),1)</f>
        <v>2</v>
      </c>
      <c r="AL1206" s="43">
        <f t="shared" si="145"/>
        <v>5</v>
      </c>
      <c r="AM1206" s="41">
        <f>IFERROR(LOOKUP(Z1206,打分卡!$F$17:$H$17,打分卡!$K$17:$M$17),1)</f>
        <v>1</v>
      </c>
      <c r="AN1206" s="44">
        <f>(打分卡!$D$7*AC1206+打分卡!$D$8*AD1206+打分卡!$D$9*AE1206)/5</f>
        <v>8</v>
      </c>
      <c r="AO1206" s="44">
        <f>(打分卡!$D$10*AF1206+打分卡!$D$11*AG1206)/5</f>
        <v>6</v>
      </c>
      <c r="AP1206" s="44">
        <f>(打分卡!$D$12*AH1206+打分卡!$D$13*AI1206+打分卡!$D$14*AJ1206+打分卡!$D$15*AK1206)/5</f>
        <v>8</v>
      </c>
      <c r="AQ1206" s="44">
        <f>(打分卡!$D$16*AL1206+打分卡!$D$17*AM1206)/5</f>
        <v>6.8</v>
      </c>
      <c r="AR1206" s="47">
        <f t="shared" si="146"/>
        <v>28.8</v>
      </c>
      <c r="AS1206" s="43" t="str">
        <f t="shared" si="147"/>
        <v>基础长尾</v>
      </c>
      <c r="AT1206" s="43" t="str">
        <f t="shared" si="148"/>
        <v/>
      </c>
      <c r="AU1206" s="43" t="str">
        <f t="shared" si="149"/>
        <v>激活：企微+Push低成本先跑</v>
      </c>
    </row>
    <row r="1207" ht="15" customHeight="1" spans="1:47">
      <c r="A1207" s="20" t="s">
        <v>3200</v>
      </c>
      <c r="B1207" s="22" t="s">
        <v>3201</v>
      </c>
      <c r="C1207" s="22" t="s">
        <v>189</v>
      </c>
      <c r="D1207" s="22" t="s">
        <v>196</v>
      </c>
      <c r="E1207" s="22" t="s">
        <v>181</v>
      </c>
      <c r="F1207" s="20" t="s">
        <v>2788</v>
      </c>
      <c r="G1207" s="22">
        <v>2</v>
      </c>
      <c r="H1207" s="22" t="s">
        <v>642</v>
      </c>
      <c r="I1207" s="22" t="s">
        <v>302</v>
      </c>
      <c r="J1207" s="36">
        <v>700</v>
      </c>
      <c r="K1207" s="36">
        <v>300</v>
      </c>
      <c r="L1207" s="36">
        <v>300</v>
      </c>
      <c r="M1207" s="36">
        <f t="shared" si="144"/>
        <v>1300</v>
      </c>
      <c r="N1207" s="34">
        <f t="shared" si="150"/>
        <v>6.81543181527454e-6</v>
      </c>
      <c r="O1207" s="35">
        <f>SUM($M$2:M1207)</f>
        <v>190604100</v>
      </c>
      <c r="P1207" s="34">
        <f t="shared" si="151"/>
        <v>0.999268651739822</v>
      </c>
      <c r="Q1207" s="39">
        <v>0.1</v>
      </c>
      <c r="R1207" s="22">
        <v>2</v>
      </c>
      <c r="S1207" s="22">
        <v>1</v>
      </c>
      <c r="T1207" s="22">
        <v>0</v>
      </c>
      <c r="U1207" s="39">
        <v>41.3</v>
      </c>
      <c r="V1207" s="22">
        <v>2</v>
      </c>
      <c r="W1207" s="22">
        <v>1</v>
      </c>
      <c r="X1207" s="40">
        <v>39</v>
      </c>
      <c r="Y1207" s="22">
        <v>1</v>
      </c>
      <c r="Z1207" s="22">
        <v>0</v>
      </c>
      <c r="AA1207" s="22" t="s">
        <v>199</v>
      </c>
      <c r="AB1207" s="22" t="s">
        <v>220</v>
      </c>
      <c r="AC1207" s="42">
        <f>IFERROR(LOOKUP(M1207,打分卡!$F$7:$J$7,打分卡!$K$7:$O$7),1)</f>
        <v>1</v>
      </c>
      <c r="AD1207" s="42">
        <f>IFERROR(LOOKUP(S1207,打分卡!$F$8:$J$8,打分卡!$K$8:$O$8),1)</f>
        <v>1</v>
      </c>
      <c r="AE1207" s="42">
        <f>IFERROR(LOOKUP(T1207,打分卡!$F$9:$I$9,打分卡!$K$9:$N$9),1)</f>
        <v>1</v>
      </c>
      <c r="AF1207" s="42">
        <f>IFERROR(LOOKUP(Q1207,打分卡!$F$10:$J$10,打分卡!$K$10:$O$10),1)</f>
        <v>1</v>
      </c>
      <c r="AG1207" s="42">
        <f>IFERROR(LOOKUP(R1207,打分卡!$F$11:$J$11,打分卡!$K$11:$O$11),1)</f>
        <v>1</v>
      </c>
      <c r="AH1207" s="42">
        <f>IFERROR(LOOKUP(U1207,打分卡!$F$12:$J$12,打分卡!$K$12:$O$12),1)</f>
        <v>4</v>
      </c>
      <c r="AI1207" s="42">
        <f>IFERROR(LOOKUP(X1207,打分卡!$F$13:$J$13,打分卡!$K$13:$O$13),1)</f>
        <v>3</v>
      </c>
      <c r="AJ1207" s="42">
        <f>IFERROR(LOOKUP(Y1207,打分卡!$F$14:$J$14,打分卡!$K$14:$O$14),1)</f>
        <v>2</v>
      </c>
      <c r="AK1207" s="42">
        <f>IFERROR(LOOKUP(W1207,打分卡!$F$15:$J$15,打分卡!$K$15:$O$15),1)</f>
        <v>2</v>
      </c>
      <c r="AL1207" s="45">
        <f t="shared" si="145"/>
        <v>5</v>
      </c>
      <c r="AM1207" s="42">
        <f>IFERROR(LOOKUP(Z1207,打分卡!$F$17:$H$17,打分卡!$K$17:$M$17),1)</f>
        <v>1</v>
      </c>
      <c r="AN1207" s="46">
        <f>(打分卡!$D$7*AC1207+打分卡!$D$8*AD1207+打分卡!$D$9*AE1207)/5</f>
        <v>8</v>
      </c>
      <c r="AO1207" s="46">
        <f>(打分卡!$D$10*AF1207+打分卡!$D$11*AG1207)/5</f>
        <v>4</v>
      </c>
      <c r="AP1207" s="46">
        <f>(打分卡!$D$12*AH1207+打分卡!$D$13*AI1207+打分卡!$D$14*AJ1207+打分卡!$D$15*AK1207)/5</f>
        <v>18.4</v>
      </c>
      <c r="AQ1207" s="46">
        <f>(打分卡!$D$16*AL1207+打分卡!$D$17*AM1207)/5</f>
        <v>6.8</v>
      </c>
      <c r="AR1207" s="48">
        <f t="shared" si="146"/>
        <v>53.7333333333333</v>
      </c>
      <c r="AS1207" s="45" t="str">
        <f t="shared" si="147"/>
        <v>腰部</v>
      </c>
      <c r="AT1207" s="45" t="str">
        <f t="shared" si="148"/>
        <v/>
      </c>
      <c r="AU1207" s="45" t="str">
        <f t="shared" si="149"/>
        <v>拉·主攻：主推AI外呼+大促作战包</v>
      </c>
    </row>
    <row r="1208" ht="15" customHeight="1" spans="1:47">
      <c r="A1208" s="30" t="s">
        <v>3202</v>
      </c>
      <c r="B1208" s="31" t="s">
        <v>3203</v>
      </c>
      <c r="C1208" s="31" t="s">
        <v>189</v>
      </c>
      <c r="D1208" s="31" t="s">
        <v>202</v>
      </c>
      <c r="E1208" s="31" t="s">
        <v>181</v>
      </c>
      <c r="F1208" s="30" t="s">
        <v>2742</v>
      </c>
      <c r="G1208" s="31">
        <v>2</v>
      </c>
      <c r="H1208" s="31" t="s">
        <v>642</v>
      </c>
      <c r="I1208" s="31" t="s">
        <v>302</v>
      </c>
      <c r="J1208" s="33">
        <v>800</v>
      </c>
      <c r="K1208" s="33">
        <v>500</v>
      </c>
      <c r="L1208" s="33">
        <v>100</v>
      </c>
      <c r="M1208" s="33">
        <f t="shared" si="144"/>
        <v>1400</v>
      </c>
      <c r="N1208" s="34">
        <f t="shared" si="150"/>
        <v>7.33969580106488e-6</v>
      </c>
      <c r="O1208" s="35">
        <f>SUM($M$2:M1208)</f>
        <v>190605500</v>
      </c>
      <c r="P1208" s="34">
        <f t="shared" si="151"/>
        <v>0.999275991435624</v>
      </c>
      <c r="Q1208" s="37">
        <v>0.2</v>
      </c>
      <c r="R1208" s="31">
        <v>3</v>
      </c>
      <c r="S1208" s="31">
        <v>1</v>
      </c>
      <c r="T1208" s="31">
        <v>0</v>
      </c>
      <c r="U1208" s="37">
        <v>2.7</v>
      </c>
      <c r="V1208" s="31">
        <v>10</v>
      </c>
      <c r="W1208" s="31">
        <v>1</v>
      </c>
      <c r="X1208" s="38">
        <v>5</v>
      </c>
      <c r="Y1208" s="31">
        <v>1</v>
      </c>
      <c r="Z1208" s="31">
        <v>0</v>
      </c>
      <c r="AA1208" s="31" t="s">
        <v>199</v>
      </c>
      <c r="AB1208" s="31" t="s">
        <v>220</v>
      </c>
      <c r="AC1208" s="41">
        <f>IFERROR(LOOKUP(M1208,打分卡!$F$7:$J$7,打分卡!$K$7:$O$7),1)</f>
        <v>1</v>
      </c>
      <c r="AD1208" s="41">
        <f>IFERROR(LOOKUP(S1208,打分卡!$F$8:$J$8,打分卡!$K$8:$O$8),1)</f>
        <v>1</v>
      </c>
      <c r="AE1208" s="41">
        <f>IFERROR(LOOKUP(T1208,打分卡!$F$9:$I$9,打分卡!$K$9:$N$9),1)</f>
        <v>1</v>
      </c>
      <c r="AF1208" s="41">
        <f>IFERROR(LOOKUP(Q1208,打分卡!$F$10:$J$10,打分卡!$K$10:$O$10),1)</f>
        <v>1</v>
      </c>
      <c r="AG1208" s="41">
        <f>IFERROR(LOOKUP(R1208,打分卡!$F$11:$J$11,打分卡!$K$11:$O$11),1)</f>
        <v>2</v>
      </c>
      <c r="AH1208" s="41">
        <f>IFERROR(LOOKUP(U1208,打分卡!$F$12:$J$12,打分卡!$K$12:$O$12),1)</f>
        <v>1</v>
      </c>
      <c r="AI1208" s="41">
        <f>IFERROR(LOOKUP(X1208,打分卡!$F$13:$J$13,打分卡!$K$13:$O$13),1)</f>
        <v>1</v>
      </c>
      <c r="AJ1208" s="41">
        <f>IFERROR(LOOKUP(Y1208,打分卡!$F$14:$J$14,打分卡!$K$14:$O$14),1)</f>
        <v>2</v>
      </c>
      <c r="AK1208" s="41">
        <f>IFERROR(LOOKUP(W1208,打分卡!$F$15:$J$15,打分卡!$K$15:$O$15),1)</f>
        <v>2</v>
      </c>
      <c r="AL1208" s="43">
        <f t="shared" si="145"/>
        <v>5</v>
      </c>
      <c r="AM1208" s="41">
        <f>IFERROR(LOOKUP(Z1208,打分卡!$F$17:$H$17,打分卡!$K$17:$M$17),1)</f>
        <v>1</v>
      </c>
      <c r="AN1208" s="44">
        <f>(打分卡!$D$7*AC1208+打分卡!$D$8*AD1208+打分卡!$D$9*AE1208)/5</f>
        <v>8</v>
      </c>
      <c r="AO1208" s="44">
        <f>(打分卡!$D$10*AF1208+打分卡!$D$11*AG1208)/5</f>
        <v>6</v>
      </c>
      <c r="AP1208" s="44">
        <f>(打分卡!$D$12*AH1208+打分卡!$D$13*AI1208+打分卡!$D$14*AJ1208+打分卡!$D$15*AK1208)/5</f>
        <v>8</v>
      </c>
      <c r="AQ1208" s="44">
        <f>(打分卡!$D$16*AL1208+打分卡!$D$17*AM1208)/5</f>
        <v>6.8</v>
      </c>
      <c r="AR1208" s="47">
        <f t="shared" si="146"/>
        <v>31.4666666666667</v>
      </c>
      <c r="AS1208" s="43" t="str">
        <f t="shared" si="147"/>
        <v>基础长尾</v>
      </c>
      <c r="AT1208" s="43" t="str">
        <f t="shared" si="148"/>
        <v/>
      </c>
      <c r="AU1208" s="43" t="str">
        <f t="shared" si="149"/>
        <v>激活：企微+Push低成本先跑</v>
      </c>
    </row>
    <row r="1209" ht="15" customHeight="1" spans="1:47">
      <c r="A1209" s="20" t="s">
        <v>3204</v>
      </c>
      <c r="B1209" s="22" t="s">
        <v>3205</v>
      </c>
      <c r="C1209" s="22" t="s">
        <v>179</v>
      </c>
      <c r="D1209" s="22" t="s">
        <v>196</v>
      </c>
      <c r="E1209" s="22" t="s">
        <v>181</v>
      </c>
      <c r="F1209" s="20" t="s">
        <v>1551</v>
      </c>
      <c r="G1209" s="22">
        <v>3</v>
      </c>
      <c r="H1209" s="22" t="s">
        <v>642</v>
      </c>
      <c r="I1209" s="22" t="s">
        <v>302</v>
      </c>
      <c r="J1209" s="36">
        <v>600</v>
      </c>
      <c r="K1209" s="36">
        <v>400</v>
      </c>
      <c r="L1209" s="36">
        <v>300</v>
      </c>
      <c r="M1209" s="36">
        <f t="shared" si="144"/>
        <v>1300</v>
      </c>
      <c r="N1209" s="34">
        <f t="shared" si="150"/>
        <v>6.81543181527454e-6</v>
      </c>
      <c r="O1209" s="35">
        <f>SUM($M$2:M1209)</f>
        <v>190606800</v>
      </c>
      <c r="P1209" s="34">
        <f t="shared" si="151"/>
        <v>0.999282806867439</v>
      </c>
      <c r="Q1209" s="39">
        <v>0.1</v>
      </c>
      <c r="R1209" s="22">
        <v>1</v>
      </c>
      <c r="S1209" s="22">
        <v>0</v>
      </c>
      <c r="T1209" s="22">
        <v>0</v>
      </c>
      <c r="U1209" s="39">
        <v>6.2</v>
      </c>
      <c r="V1209" s="22">
        <v>10</v>
      </c>
      <c r="W1209" s="22">
        <v>0</v>
      </c>
      <c r="X1209" s="40">
        <v>32</v>
      </c>
      <c r="Y1209" s="22">
        <v>0</v>
      </c>
      <c r="Z1209" s="22">
        <v>0</v>
      </c>
      <c r="AA1209" s="22" t="s">
        <v>199</v>
      </c>
      <c r="AB1209" s="22" t="s">
        <v>220</v>
      </c>
      <c r="AC1209" s="42">
        <f>IFERROR(LOOKUP(M1209,打分卡!$F$7:$J$7,打分卡!$K$7:$O$7),1)</f>
        <v>1</v>
      </c>
      <c r="AD1209" s="42">
        <f>IFERROR(LOOKUP(S1209,打分卡!$F$8:$J$8,打分卡!$K$8:$O$8),1)</f>
        <v>1</v>
      </c>
      <c r="AE1209" s="42">
        <f>IFERROR(LOOKUP(T1209,打分卡!$F$9:$I$9,打分卡!$K$9:$N$9),1)</f>
        <v>1</v>
      </c>
      <c r="AF1209" s="42">
        <f>IFERROR(LOOKUP(Q1209,打分卡!$F$10:$J$10,打分卡!$K$10:$O$10),1)</f>
        <v>1</v>
      </c>
      <c r="AG1209" s="42">
        <f>IFERROR(LOOKUP(R1209,打分卡!$F$11:$J$11,打分卡!$K$11:$O$11),1)</f>
        <v>1</v>
      </c>
      <c r="AH1209" s="42">
        <f>IFERROR(LOOKUP(U1209,打分卡!$F$12:$J$12,打分卡!$K$12:$O$12),1)</f>
        <v>2</v>
      </c>
      <c r="AI1209" s="42">
        <f>IFERROR(LOOKUP(X1209,打分卡!$F$13:$J$13,打分卡!$K$13:$O$13),1)</f>
        <v>2</v>
      </c>
      <c r="AJ1209" s="42">
        <f>IFERROR(LOOKUP(Y1209,打分卡!$F$14:$J$14,打分卡!$K$14:$O$14),1)</f>
        <v>1</v>
      </c>
      <c r="AK1209" s="42">
        <f>IFERROR(LOOKUP(W1209,打分卡!$F$15:$J$15,打分卡!$K$15:$O$15),1)</f>
        <v>1</v>
      </c>
      <c r="AL1209" s="45">
        <f t="shared" si="145"/>
        <v>5</v>
      </c>
      <c r="AM1209" s="42">
        <f>IFERROR(LOOKUP(Z1209,打分卡!$F$17:$H$17,打分卡!$K$17:$M$17),1)</f>
        <v>1</v>
      </c>
      <c r="AN1209" s="46">
        <f>(打分卡!$D$7*AC1209+打分卡!$D$8*AD1209+打分卡!$D$9*AE1209)/5</f>
        <v>8</v>
      </c>
      <c r="AO1209" s="46">
        <f>(打分卡!$D$10*AF1209+打分卡!$D$11*AG1209)/5</f>
        <v>4</v>
      </c>
      <c r="AP1209" s="46">
        <f>(打分卡!$D$12*AH1209+打分卡!$D$13*AI1209+打分卡!$D$14*AJ1209+打分卡!$D$15*AK1209)/5</f>
        <v>10</v>
      </c>
      <c r="AQ1209" s="46">
        <f>(打分卡!$D$16*AL1209+打分卡!$D$17*AM1209)/5</f>
        <v>6.8</v>
      </c>
      <c r="AR1209" s="48">
        <f t="shared" si="146"/>
        <v>28.8</v>
      </c>
      <c r="AS1209" s="45" t="str">
        <f t="shared" si="147"/>
        <v>基础长尾</v>
      </c>
      <c r="AT1209" s="45" t="str">
        <f t="shared" si="148"/>
        <v/>
      </c>
      <c r="AU1209" s="45" t="str">
        <f t="shared" si="149"/>
        <v>激活：企微+Push低成本先跑</v>
      </c>
    </row>
    <row r="1210" ht="15" customHeight="1" spans="1:47">
      <c r="A1210" s="30" t="s">
        <v>3206</v>
      </c>
      <c r="B1210" s="31" t="s">
        <v>3207</v>
      </c>
      <c r="C1210" s="31" t="s">
        <v>189</v>
      </c>
      <c r="D1210" s="31" t="s">
        <v>227</v>
      </c>
      <c r="E1210" s="31" t="s">
        <v>181</v>
      </c>
      <c r="F1210" s="30" t="s">
        <v>2883</v>
      </c>
      <c r="G1210" s="31">
        <v>2</v>
      </c>
      <c r="H1210" s="31" t="s">
        <v>642</v>
      </c>
      <c r="I1210" s="31" t="s">
        <v>302</v>
      </c>
      <c r="J1210" s="33">
        <v>800</v>
      </c>
      <c r="K1210" s="33">
        <v>400</v>
      </c>
      <c r="L1210" s="33">
        <v>200</v>
      </c>
      <c r="M1210" s="33">
        <f t="shared" si="144"/>
        <v>1400</v>
      </c>
      <c r="N1210" s="34">
        <f t="shared" si="150"/>
        <v>7.33969580106488e-6</v>
      </c>
      <c r="O1210" s="35">
        <f>SUM($M$2:M1210)</f>
        <v>190608200</v>
      </c>
      <c r="P1210" s="34">
        <f t="shared" si="151"/>
        <v>0.99929014656324</v>
      </c>
      <c r="Q1210" s="37">
        <v>0.2</v>
      </c>
      <c r="R1210" s="31">
        <v>1</v>
      </c>
      <c r="S1210" s="31">
        <v>0</v>
      </c>
      <c r="T1210" s="31">
        <v>0</v>
      </c>
      <c r="U1210" s="37">
        <v>1.8</v>
      </c>
      <c r="V1210" s="31">
        <v>10</v>
      </c>
      <c r="W1210" s="31">
        <v>2</v>
      </c>
      <c r="X1210" s="38">
        <v>12</v>
      </c>
      <c r="Y1210" s="31">
        <v>1</v>
      </c>
      <c r="Z1210" s="31">
        <v>0</v>
      </c>
      <c r="AA1210" s="31" t="s">
        <v>199</v>
      </c>
      <c r="AB1210" s="31" t="s">
        <v>220</v>
      </c>
      <c r="AC1210" s="41">
        <f>IFERROR(LOOKUP(M1210,打分卡!$F$7:$J$7,打分卡!$K$7:$O$7),1)</f>
        <v>1</v>
      </c>
      <c r="AD1210" s="41">
        <f>IFERROR(LOOKUP(S1210,打分卡!$F$8:$J$8,打分卡!$K$8:$O$8),1)</f>
        <v>1</v>
      </c>
      <c r="AE1210" s="41">
        <f>IFERROR(LOOKUP(T1210,打分卡!$F$9:$I$9,打分卡!$K$9:$N$9),1)</f>
        <v>1</v>
      </c>
      <c r="AF1210" s="41">
        <f>IFERROR(LOOKUP(Q1210,打分卡!$F$10:$J$10,打分卡!$K$10:$O$10),1)</f>
        <v>1</v>
      </c>
      <c r="AG1210" s="41">
        <f>IFERROR(LOOKUP(R1210,打分卡!$F$11:$J$11,打分卡!$K$11:$O$11),1)</f>
        <v>1</v>
      </c>
      <c r="AH1210" s="41">
        <f>IFERROR(LOOKUP(U1210,打分卡!$F$12:$J$12,打分卡!$K$12:$O$12),1)</f>
        <v>1</v>
      </c>
      <c r="AI1210" s="41">
        <f>IFERROR(LOOKUP(X1210,打分卡!$F$13:$J$13,打分卡!$K$13:$O$13),1)</f>
        <v>1</v>
      </c>
      <c r="AJ1210" s="41">
        <f>IFERROR(LOOKUP(Y1210,打分卡!$F$14:$J$14,打分卡!$K$14:$O$14),1)</f>
        <v>2</v>
      </c>
      <c r="AK1210" s="41">
        <f>IFERROR(LOOKUP(W1210,打分卡!$F$15:$J$15,打分卡!$K$15:$O$15),1)</f>
        <v>2</v>
      </c>
      <c r="AL1210" s="43">
        <f t="shared" si="145"/>
        <v>5</v>
      </c>
      <c r="AM1210" s="41">
        <f>IFERROR(LOOKUP(Z1210,打分卡!$F$17:$H$17,打分卡!$K$17:$M$17),1)</f>
        <v>1</v>
      </c>
      <c r="AN1210" s="44">
        <f>(打分卡!$D$7*AC1210+打分卡!$D$8*AD1210+打分卡!$D$9*AE1210)/5</f>
        <v>8</v>
      </c>
      <c r="AO1210" s="44">
        <f>(打分卡!$D$10*AF1210+打分卡!$D$11*AG1210)/5</f>
        <v>4</v>
      </c>
      <c r="AP1210" s="44">
        <f>(打分卡!$D$12*AH1210+打分卡!$D$13*AI1210+打分卡!$D$14*AJ1210+打分卡!$D$15*AK1210)/5</f>
        <v>8</v>
      </c>
      <c r="AQ1210" s="44">
        <f>(打分卡!$D$16*AL1210+打分卡!$D$17*AM1210)/5</f>
        <v>6.8</v>
      </c>
      <c r="AR1210" s="47">
        <f t="shared" si="146"/>
        <v>29.4666666666667</v>
      </c>
      <c r="AS1210" s="43" t="str">
        <f t="shared" si="147"/>
        <v>基础长尾</v>
      </c>
      <c r="AT1210" s="43" t="str">
        <f t="shared" si="148"/>
        <v/>
      </c>
      <c r="AU1210" s="43" t="str">
        <f t="shared" si="149"/>
        <v>激活：企微+Push低成本先跑</v>
      </c>
    </row>
    <row r="1211" ht="15" customHeight="1" spans="1:47">
      <c r="A1211" s="20" t="s">
        <v>3208</v>
      </c>
      <c r="B1211" s="22" t="s">
        <v>3209</v>
      </c>
      <c r="C1211" s="22" t="s">
        <v>189</v>
      </c>
      <c r="D1211" s="22" t="s">
        <v>227</v>
      </c>
      <c r="E1211" s="22" t="s">
        <v>197</v>
      </c>
      <c r="F1211" s="20" t="s">
        <v>1336</v>
      </c>
      <c r="G1211" s="22">
        <v>2</v>
      </c>
      <c r="H1211" s="22" t="s">
        <v>642</v>
      </c>
      <c r="I1211" s="22" t="s">
        <v>302</v>
      </c>
      <c r="J1211" s="36">
        <v>800</v>
      </c>
      <c r="K1211" s="36">
        <v>500</v>
      </c>
      <c r="L1211" s="36">
        <v>100</v>
      </c>
      <c r="M1211" s="36">
        <f t="shared" si="144"/>
        <v>1400</v>
      </c>
      <c r="N1211" s="34">
        <f t="shared" si="150"/>
        <v>7.33969580106488e-6</v>
      </c>
      <c r="O1211" s="35">
        <f>SUM($M$2:M1211)</f>
        <v>190609600</v>
      </c>
      <c r="P1211" s="34">
        <f t="shared" si="151"/>
        <v>0.999297486259041</v>
      </c>
      <c r="Q1211" s="39">
        <v>0.1</v>
      </c>
      <c r="R1211" s="22">
        <v>1</v>
      </c>
      <c r="S1211" s="22">
        <v>1</v>
      </c>
      <c r="T1211" s="22">
        <v>0</v>
      </c>
      <c r="U1211" s="39">
        <v>3.3</v>
      </c>
      <c r="V1211" s="22">
        <v>0</v>
      </c>
      <c r="W1211" s="22">
        <v>2</v>
      </c>
      <c r="X1211" s="40">
        <v>25</v>
      </c>
      <c r="Y1211" s="22">
        <v>0</v>
      </c>
      <c r="Z1211" s="22">
        <v>0</v>
      </c>
      <c r="AA1211" s="22" t="s">
        <v>199</v>
      </c>
      <c r="AB1211" s="22" t="s">
        <v>220</v>
      </c>
      <c r="AC1211" s="42">
        <f>IFERROR(LOOKUP(M1211,打分卡!$F$7:$J$7,打分卡!$K$7:$O$7),1)</f>
        <v>1</v>
      </c>
      <c r="AD1211" s="42">
        <f>IFERROR(LOOKUP(S1211,打分卡!$F$8:$J$8,打分卡!$K$8:$O$8),1)</f>
        <v>1</v>
      </c>
      <c r="AE1211" s="42">
        <f>IFERROR(LOOKUP(T1211,打分卡!$F$9:$I$9,打分卡!$K$9:$N$9),1)</f>
        <v>1</v>
      </c>
      <c r="AF1211" s="42">
        <f>IFERROR(LOOKUP(Q1211,打分卡!$F$10:$J$10,打分卡!$K$10:$O$10),1)</f>
        <v>1</v>
      </c>
      <c r="AG1211" s="42">
        <f>IFERROR(LOOKUP(R1211,打分卡!$F$11:$J$11,打分卡!$K$11:$O$11),1)</f>
        <v>1</v>
      </c>
      <c r="AH1211" s="42">
        <f>IFERROR(LOOKUP(U1211,打分卡!$F$12:$J$12,打分卡!$K$12:$O$12),1)</f>
        <v>2</v>
      </c>
      <c r="AI1211" s="42">
        <f>IFERROR(LOOKUP(X1211,打分卡!$F$13:$J$13,打分卡!$K$13:$O$13),1)</f>
        <v>2</v>
      </c>
      <c r="AJ1211" s="42">
        <f>IFERROR(LOOKUP(Y1211,打分卡!$F$14:$J$14,打分卡!$K$14:$O$14),1)</f>
        <v>1</v>
      </c>
      <c r="AK1211" s="42">
        <f>IFERROR(LOOKUP(W1211,打分卡!$F$15:$J$15,打分卡!$K$15:$O$15),1)</f>
        <v>2</v>
      </c>
      <c r="AL1211" s="45">
        <f t="shared" si="145"/>
        <v>5</v>
      </c>
      <c r="AM1211" s="42">
        <f>IFERROR(LOOKUP(Z1211,打分卡!$F$17:$H$17,打分卡!$K$17:$M$17),1)</f>
        <v>1</v>
      </c>
      <c r="AN1211" s="46">
        <f>(打分卡!$D$7*AC1211+打分卡!$D$8*AD1211+打分卡!$D$9*AE1211)/5</f>
        <v>8</v>
      </c>
      <c r="AO1211" s="46">
        <f>(打分卡!$D$10*AF1211+打分卡!$D$11*AG1211)/5</f>
        <v>4</v>
      </c>
      <c r="AP1211" s="46">
        <f>(打分卡!$D$12*AH1211+打分卡!$D$13*AI1211+打分卡!$D$14*AJ1211+打分卡!$D$15*AK1211)/5</f>
        <v>10.8</v>
      </c>
      <c r="AQ1211" s="46">
        <f>(打分卡!$D$16*AL1211+打分卡!$D$17*AM1211)/5</f>
        <v>6.8</v>
      </c>
      <c r="AR1211" s="48">
        <f t="shared" si="146"/>
        <v>36</v>
      </c>
      <c r="AS1211" s="45" t="str">
        <f t="shared" si="147"/>
        <v>基础长尾</v>
      </c>
      <c r="AT1211" s="45" t="str">
        <f t="shared" si="148"/>
        <v/>
      </c>
      <c r="AU1211" s="45" t="str">
        <f t="shared" si="149"/>
        <v>激活：企微+Push低成本先跑</v>
      </c>
    </row>
    <row r="1212" ht="15" customHeight="1" spans="1:47">
      <c r="A1212" s="30" t="s">
        <v>3210</v>
      </c>
      <c r="B1212" s="31" t="s">
        <v>3211</v>
      </c>
      <c r="C1212" s="31" t="s">
        <v>218</v>
      </c>
      <c r="D1212" s="31" t="s">
        <v>202</v>
      </c>
      <c r="E1212" s="31" t="s">
        <v>181</v>
      </c>
      <c r="F1212" s="30" t="s">
        <v>2676</v>
      </c>
      <c r="G1212" s="31">
        <v>3</v>
      </c>
      <c r="H1212" s="31" t="s">
        <v>642</v>
      </c>
      <c r="I1212" s="31" t="s">
        <v>302</v>
      </c>
      <c r="J1212" s="33">
        <v>800</v>
      </c>
      <c r="K1212" s="33">
        <v>300</v>
      </c>
      <c r="L1212" s="33">
        <v>200</v>
      </c>
      <c r="M1212" s="33">
        <f t="shared" si="144"/>
        <v>1300</v>
      </c>
      <c r="N1212" s="34">
        <f t="shared" si="150"/>
        <v>6.81543181527454e-6</v>
      </c>
      <c r="O1212" s="35">
        <f>SUM($M$2:M1212)</f>
        <v>190610900</v>
      </c>
      <c r="P1212" s="34">
        <f t="shared" si="151"/>
        <v>0.999304301690856</v>
      </c>
      <c r="Q1212" s="37">
        <v>0.1</v>
      </c>
      <c r="R1212" s="31">
        <v>1</v>
      </c>
      <c r="S1212" s="31">
        <v>1</v>
      </c>
      <c r="T1212" s="31">
        <v>0</v>
      </c>
      <c r="U1212" s="37">
        <v>23.7</v>
      </c>
      <c r="V1212" s="31">
        <v>7</v>
      </c>
      <c r="W1212" s="31">
        <v>1</v>
      </c>
      <c r="X1212" s="38">
        <v>29</v>
      </c>
      <c r="Y1212" s="31">
        <v>0</v>
      </c>
      <c r="Z1212" s="31">
        <v>0</v>
      </c>
      <c r="AA1212" s="31" t="s">
        <v>199</v>
      </c>
      <c r="AB1212" s="31" t="s">
        <v>220</v>
      </c>
      <c r="AC1212" s="41">
        <f>IFERROR(LOOKUP(M1212,打分卡!$F$7:$J$7,打分卡!$K$7:$O$7),1)</f>
        <v>1</v>
      </c>
      <c r="AD1212" s="41">
        <f>IFERROR(LOOKUP(S1212,打分卡!$F$8:$J$8,打分卡!$K$8:$O$8),1)</f>
        <v>1</v>
      </c>
      <c r="AE1212" s="41">
        <f>IFERROR(LOOKUP(T1212,打分卡!$F$9:$I$9,打分卡!$K$9:$N$9),1)</f>
        <v>1</v>
      </c>
      <c r="AF1212" s="41">
        <f>IFERROR(LOOKUP(Q1212,打分卡!$F$10:$J$10,打分卡!$K$10:$O$10),1)</f>
        <v>1</v>
      </c>
      <c r="AG1212" s="41">
        <f>IFERROR(LOOKUP(R1212,打分卡!$F$11:$J$11,打分卡!$K$11:$O$11),1)</f>
        <v>1</v>
      </c>
      <c r="AH1212" s="41">
        <f>IFERROR(LOOKUP(U1212,打分卡!$F$12:$J$12,打分卡!$K$12:$O$12),1)</f>
        <v>3</v>
      </c>
      <c r="AI1212" s="41">
        <f>IFERROR(LOOKUP(X1212,打分卡!$F$13:$J$13,打分卡!$K$13:$O$13),1)</f>
        <v>2</v>
      </c>
      <c r="AJ1212" s="41">
        <f>IFERROR(LOOKUP(Y1212,打分卡!$F$14:$J$14,打分卡!$K$14:$O$14),1)</f>
        <v>1</v>
      </c>
      <c r="AK1212" s="41">
        <f>IFERROR(LOOKUP(W1212,打分卡!$F$15:$J$15,打分卡!$K$15:$O$15),1)</f>
        <v>2</v>
      </c>
      <c r="AL1212" s="43">
        <f t="shared" si="145"/>
        <v>5</v>
      </c>
      <c r="AM1212" s="41">
        <f>IFERROR(LOOKUP(Z1212,打分卡!$F$17:$H$17,打分卡!$K$17:$M$17),1)</f>
        <v>1</v>
      </c>
      <c r="AN1212" s="44">
        <f>(打分卡!$D$7*AC1212+打分卡!$D$8*AD1212+打分卡!$D$9*AE1212)/5</f>
        <v>8</v>
      </c>
      <c r="AO1212" s="44">
        <f>(打分卡!$D$10*AF1212+打分卡!$D$11*AG1212)/5</f>
        <v>4</v>
      </c>
      <c r="AP1212" s="44">
        <f>(打分卡!$D$12*AH1212+打分卡!$D$13*AI1212+打分卡!$D$14*AJ1212+打分卡!$D$15*AK1212)/5</f>
        <v>13.2</v>
      </c>
      <c r="AQ1212" s="44">
        <f>(打分卡!$D$16*AL1212+打分卡!$D$17*AM1212)/5</f>
        <v>6.8</v>
      </c>
      <c r="AR1212" s="47">
        <f t="shared" si="146"/>
        <v>32</v>
      </c>
      <c r="AS1212" s="43" t="str">
        <f t="shared" si="147"/>
        <v>基础长尾</v>
      </c>
      <c r="AT1212" s="43" t="str">
        <f t="shared" si="148"/>
        <v/>
      </c>
      <c r="AU1212" s="43" t="str">
        <f t="shared" si="149"/>
        <v>激活：企微+Push低成本先跑</v>
      </c>
    </row>
    <row r="1213" ht="15" customHeight="1" spans="1:47">
      <c r="A1213" s="20" t="s">
        <v>3212</v>
      </c>
      <c r="B1213" s="22" t="s">
        <v>3213</v>
      </c>
      <c r="C1213" s="22" t="s">
        <v>239</v>
      </c>
      <c r="D1213" s="22" t="s">
        <v>196</v>
      </c>
      <c r="E1213" s="22" t="s">
        <v>181</v>
      </c>
      <c r="F1213" s="20" t="s">
        <v>2841</v>
      </c>
      <c r="G1213" s="22">
        <v>1</v>
      </c>
      <c r="H1213" s="22" t="s">
        <v>642</v>
      </c>
      <c r="I1213" s="22" t="s">
        <v>302</v>
      </c>
      <c r="J1213" s="36">
        <v>800</v>
      </c>
      <c r="K1213" s="36">
        <v>400</v>
      </c>
      <c r="L1213" s="36">
        <v>200</v>
      </c>
      <c r="M1213" s="36">
        <f t="shared" si="144"/>
        <v>1400</v>
      </c>
      <c r="N1213" s="34">
        <f t="shared" si="150"/>
        <v>7.33969580106488e-6</v>
      </c>
      <c r="O1213" s="35">
        <f>SUM($M$2:M1213)</f>
        <v>190612300</v>
      </c>
      <c r="P1213" s="34">
        <f t="shared" si="151"/>
        <v>0.999311641386657</v>
      </c>
      <c r="Q1213" s="39">
        <v>0.1</v>
      </c>
      <c r="R1213" s="22">
        <v>3</v>
      </c>
      <c r="S1213" s="22">
        <v>1</v>
      </c>
      <c r="T1213" s="22">
        <v>0</v>
      </c>
      <c r="U1213" s="39">
        <v>40.8</v>
      </c>
      <c r="V1213" s="22">
        <v>4</v>
      </c>
      <c r="W1213" s="22">
        <v>1</v>
      </c>
      <c r="X1213" s="40">
        <v>38</v>
      </c>
      <c r="Y1213" s="22">
        <v>1</v>
      </c>
      <c r="Z1213" s="22">
        <v>0</v>
      </c>
      <c r="AA1213" s="22" t="s">
        <v>199</v>
      </c>
      <c r="AB1213" s="22" t="s">
        <v>220</v>
      </c>
      <c r="AC1213" s="42">
        <f>IFERROR(LOOKUP(M1213,打分卡!$F$7:$J$7,打分卡!$K$7:$O$7),1)</f>
        <v>1</v>
      </c>
      <c r="AD1213" s="42">
        <f>IFERROR(LOOKUP(S1213,打分卡!$F$8:$J$8,打分卡!$K$8:$O$8),1)</f>
        <v>1</v>
      </c>
      <c r="AE1213" s="42">
        <f>IFERROR(LOOKUP(T1213,打分卡!$F$9:$I$9,打分卡!$K$9:$N$9),1)</f>
        <v>1</v>
      </c>
      <c r="AF1213" s="42">
        <f>IFERROR(LOOKUP(Q1213,打分卡!$F$10:$J$10,打分卡!$K$10:$O$10),1)</f>
        <v>1</v>
      </c>
      <c r="AG1213" s="42">
        <f>IFERROR(LOOKUP(R1213,打分卡!$F$11:$J$11,打分卡!$K$11:$O$11),1)</f>
        <v>2</v>
      </c>
      <c r="AH1213" s="42">
        <f>IFERROR(LOOKUP(U1213,打分卡!$F$12:$J$12,打分卡!$K$12:$O$12),1)</f>
        <v>4</v>
      </c>
      <c r="AI1213" s="42">
        <f>IFERROR(LOOKUP(X1213,打分卡!$F$13:$J$13,打分卡!$K$13:$O$13),1)</f>
        <v>2</v>
      </c>
      <c r="AJ1213" s="42">
        <f>IFERROR(LOOKUP(Y1213,打分卡!$F$14:$J$14,打分卡!$K$14:$O$14),1)</f>
        <v>2</v>
      </c>
      <c r="AK1213" s="42">
        <f>IFERROR(LOOKUP(W1213,打分卡!$F$15:$J$15,打分卡!$K$15:$O$15),1)</f>
        <v>2</v>
      </c>
      <c r="AL1213" s="45">
        <f t="shared" si="145"/>
        <v>5</v>
      </c>
      <c r="AM1213" s="42">
        <f>IFERROR(LOOKUP(Z1213,打分卡!$F$17:$H$17,打分卡!$K$17:$M$17),1)</f>
        <v>1</v>
      </c>
      <c r="AN1213" s="46">
        <f>(打分卡!$D$7*AC1213+打分卡!$D$8*AD1213+打分卡!$D$9*AE1213)/5</f>
        <v>8</v>
      </c>
      <c r="AO1213" s="46">
        <f>(打分卡!$D$10*AF1213+打分卡!$D$11*AG1213)/5</f>
        <v>6</v>
      </c>
      <c r="AP1213" s="46">
        <f>(打分卡!$D$12*AH1213+打分卡!$D$13*AI1213+打分卡!$D$14*AJ1213+打分卡!$D$15*AK1213)/5</f>
        <v>16.8</v>
      </c>
      <c r="AQ1213" s="46">
        <f>(打分卡!$D$16*AL1213+打分卡!$D$17*AM1213)/5</f>
        <v>6.8</v>
      </c>
      <c r="AR1213" s="48">
        <f t="shared" si="146"/>
        <v>52</v>
      </c>
      <c r="AS1213" s="45" t="str">
        <f t="shared" si="147"/>
        <v>腰部</v>
      </c>
      <c r="AT1213" s="45" t="str">
        <f t="shared" si="148"/>
        <v/>
      </c>
      <c r="AU1213" s="45" t="str">
        <f t="shared" si="149"/>
        <v>拉·主攻：主推AI外呼+大促作战包</v>
      </c>
    </row>
    <row r="1214" ht="15" customHeight="1" spans="1:47">
      <c r="A1214" s="30" t="s">
        <v>3214</v>
      </c>
      <c r="B1214" s="31" t="s">
        <v>3215</v>
      </c>
      <c r="C1214" s="31" t="s">
        <v>223</v>
      </c>
      <c r="D1214" s="31" t="s">
        <v>202</v>
      </c>
      <c r="E1214" s="31" t="s">
        <v>181</v>
      </c>
      <c r="F1214" s="30" t="s">
        <v>2918</v>
      </c>
      <c r="G1214" s="31">
        <v>2</v>
      </c>
      <c r="H1214" s="31" t="s">
        <v>642</v>
      </c>
      <c r="I1214" s="31" t="s">
        <v>302</v>
      </c>
      <c r="J1214" s="33">
        <v>700</v>
      </c>
      <c r="K1214" s="33">
        <v>400</v>
      </c>
      <c r="L1214" s="33">
        <v>300</v>
      </c>
      <c r="M1214" s="33">
        <f t="shared" si="144"/>
        <v>1400</v>
      </c>
      <c r="N1214" s="34">
        <f t="shared" si="150"/>
        <v>7.33969580106488e-6</v>
      </c>
      <c r="O1214" s="35">
        <f>SUM($M$2:M1214)</f>
        <v>190613700</v>
      </c>
      <c r="P1214" s="34">
        <f t="shared" si="151"/>
        <v>0.999318981082458</v>
      </c>
      <c r="Q1214" s="37">
        <v>0.1</v>
      </c>
      <c r="R1214" s="31">
        <v>2</v>
      </c>
      <c r="S1214" s="31">
        <v>0</v>
      </c>
      <c r="T1214" s="31">
        <v>0</v>
      </c>
      <c r="U1214" s="37">
        <v>46.3</v>
      </c>
      <c r="V1214" s="31">
        <v>4</v>
      </c>
      <c r="W1214" s="31">
        <v>0</v>
      </c>
      <c r="X1214" s="38">
        <v>26</v>
      </c>
      <c r="Y1214" s="31">
        <v>1</v>
      </c>
      <c r="Z1214" s="31">
        <v>0</v>
      </c>
      <c r="AA1214" s="31" t="s">
        <v>199</v>
      </c>
      <c r="AB1214" s="31" t="s">
        <v>220</v>
      </c>
      <c r="AC1214" s="41">
        <f>IFERROR(LOOKUP(M1214,打分卡!$F$7:$J$7,打分卡!$K$7:$O$7),1)</f>
        <v>1</v>
      </c>
      <c r="AD1214" s="41">
        <f>IFERROR(LOOKUP(S1214,打分卡!$F$8:$J$8,打分卡!$K$8:$O$8),1)</f>
        <v>1</v>
      </c>
      <c r="AE1214" s="41">
        <f>IFERROR(LOOKUP(T1214,打分卡!$F$9:$I$9,打分卡!$K$9:$N$9),1)</f>
        <v>1</v>
      </c>
      <c r="AF1214" s="41">
        <f>IFERROR(LOOKUP(Q1214,打分卡!$F$10:$J$10,打分卡!$K$10:$O$10),1)</f>
        <v>1</v>
      </c>
      <c r="AG1214" s="41">
        <f>IFERROR(LOOKUP(R1214,打分卡!$F$11:$J$11,打分卡!$K$11:$O$11),1)</f>
        <v>1</v>
      </c>
      <c r="AH1214" s="41">
        <f>IFERROR(LOOKUP(U1214,打分卡!$F$12:$J$12,打分卡!$K$12:$O$12),1)</f>
        <v>4</v>
      </c>
      <c r="AI1214" s="41">
        <f>IFERROR(LOOKUP(X1214,打分卡!$F$13:$J$13,打分卡!$K$13:$O$13),1)</f>
        <v>2</v>
      </c>
      <c r="AJ1214" s="41">
        <f>IFERROR(LOOKUP(Y1214,打分卡!$F$14:$J$14,打分卡!$K$14:$O$14),1)</f>
        <v>2</v>
      </c>
      <c r="AK1214" s="41">
        <f>IFERROR(LOOKUP(W1214,打分卡!$F$15:$J$15,打分卡!$K$15:$O$15),1)</f>
        <v>1</v>
      </c>
      <c r="AL1214" s="43">
        <f t="shared" si="145"/>
        <v>5</v>
      </c>
      <c r="AM1214" s="41">
        <f>IFERROR(LOOKUP(Z1214,打分卡!$F$17:$H$17,打分卡!$K$17:$M$17),1)</f>
        <v>1</v>
      </c>
      <c r="AN1214" s="44">
        <f>(打分卡!$D$7*AC1214+打分卡!$D$8*AD1214+打分卡!$D$9*AE1214)/5</f>
        <v>8</v>
      </c>
      <c r="AO1214" s="44">
        <f>(打分卡!$D$10*AF1214+打分卡!$D$11*AG1214)/5</f>
        <v>4</v>
      </c>
      <c r="AP1214" s="44">
        <f>(打分卡!$D$12*AH1214+打分卡!$D$13*AI1214+打分卡!$D$14*AJ1214+打分卡!$D$15*AK1214)/5</f>
        <v>16</v>
      </c>
      <c r="AQ1214" s="44">
        <f>(打分卡!$D$16*AL1214+打分卡!$D$17*AM1214)/5</f>
        <v>6.8</v>
      </c>
      <c r="AR1214" s="47">
        <f t="shared" si="146"/>
        <v>48.1333333333333</v>
      </c>
      <c r="AS1214" s="43" t="str">
        <f t="shared" si="147"/>
        <v>腰部</v>
      </c>
      <c r="AT1214" s="43" t="str">
        <f t="shared" si="148"/>
        <v/>
      </c>
      <c r="AU1214" s="43" t="str">
        <f t="shared" si="149"/>
        <v>拉·主攻：主推AI外呼+大促作战包</v>
      </c>
    </row>
    <row r="1215" ht="15" customHeight="1" spans="1:47">
      <c r="A1215" s="20" t="s">
        <v>3216</v>
      </c>
      <c r="B1215" s="22" t="s">
        <v>3217</v>
      </c>
      <c r="C1215" s="22" t="s">
        <v>189</v>
      </c>
      <c r="D1215" s="22" t="s">
        <v>196</v>
      </c>
      <c r="E1215" s="22" t="s">
        <v>181</v>
      </c>
      <c r="F1215" s="20" t="s">
        <v>3218</v>
      </c>
      <c r="G1215" s="22">
        <v>2</v>
      </c>
      <c r="H1215" s="22" t="s">
        <v>642</v>
      </c>
      <c r="I1215" s="22" t="s">
        <v>302</v>
      </c>
      <c r="J1215" s="36">
        <v>700</v>
      </c>
      <c r="K1215" s="36">
        <v>500</v>
      </c>
      <c r="L1215" s="36">
        <v>100</v>
      </c>
      <c r="M1215" s="36">
        <f t="shared" si="144"/>
        <v>1300</v>
      </c>
      <c r="N1215" s="34">
        <f t="shared" si="150"/>
        <v>6.81543181527454e-6</v>
      </c>
      <c r="O1215" s="35">
        <f>SUM($M$2:M1215)</f>
        <v>190615000</v>
      </c>
      <c r="P1215" s="34">
        <f t="shared" si="151"/>
        <v>0.999325796514274</v>
      </c>
      <c r="Q1215" s="39">
        <v>0.1</v>
      </c>
      <c r="R1215" s="22">
        <v>2</v>
      </c>
      <c r="S1215" s="22">
        <v>0</v>
      </c>
      <c r="T1215" s="22">
        <v>0</v>
      </c>
      <c r="U1215" s="39">
        <v>0.8</v>
      </c>
      <c r="V1215" s="22">
        <v>9</v>
      </c>
      <c r="W1215" s="22">
        <v>2</v>
      </c>
      <c r="X1215" s="40">
        <v>26</v>
      </c>
      <c r="Y1215" s="22">
        <v>1</v>
      </c>
      <c r="Z1215" s="22">
        <v>0</v>
      </c>
      <c r="AA1215" s="22" t="s">
        <v>199</v>
      </c>
      <c r="AB1215" s="22" t="s">
        <v>220</v>
      </c>
      <c r="AC1215" s="42">
        <f>IFERROR(LOOKUP(M1215,打分卡!$F$7:$J$7,打分卡!$K$7:$O$7),1)</f>
        <v>1</v>
      </c>
      <c r="AD1215" s="42">
        <f>IFERROR(LOOKUP(S1215,打分卡!$F$8:$J$8,打分卡!$K$8:$O$8),1)</f>
        <v>1</v>
      </c>
      <c r="AE1215" s="42">
        <f>IFERROR(LOOKUP(T1215,打分卡!$F$9:$I$9,打分卡!$K$9:$N$9),1)</f>
        <v>1</v>
      </c>
      <c r="AF1215" s="42">
        <f>IFERROR(LOOKUP(Q1215,打分卡!$F$10:$J$10,打分卡!$K$10:$O$10),1)</f>
        <v>1</v>
      </c>
      <c r="AG1215" s="42">
        <f>IFERROR(LOOKUP(R1215,打分卡!$F$11:$J$11,打分卡!$K$11:$O$11),1)</f>
        <v>1</v>
      </c>
      <c r="AH1215" s="42">
        <f>IFERROR(LOOKUP(U1215,打分卡!$F$12:$J$12,打分卡!$K$12:$O$12),1)</f>
        <v>1</v>
      </c>
      <c r="AI1215" s="42">
        <f>IFERROR(LOOKUP(X1215,打分卡!$F$13:$J$13,打分卡!$K$13:$O$13),1)</f>
        <v>2</v>
      </c>
      <c r="AJ1215" s="42">
        <f>IFERROR(LOOKUP(Y1215,打分卡!$F$14:$J$14,打分卡!$K$14:$O$14),1)</f>
        <v>2</v>
      </c>
      <c r="AK1215" s="42">
        <f>IFERROR(LOOKUP(W1215,打分卡!$F$15:$J$15,打分卡!$K$15:$O$15),1)</f>
        <v>2</v>
      </c>
      <c r="AL1215" s="45">
        <f t="shared" si="145"/>
        <v>5</v>
      </c>
      <c r="AM1215" s="42">
        <f>IFERROR(LOOKUP(Z1215,打分卡!$F$17:$H$17,打分卡!$K$17:$M$17),1)</f>
        <v>1</v>
      </c>
      <c r="AN1215" s="46">
        <f>(打分卡!$D$7*AC1215+打分卡!$D$8*AD1215+打分卡!$D$9*AE1215)/5</f>
        <v>8</v>
      </c>
      <c r="AO1215" s="46">
        <f>(打分卡!$D$10*AF1215+打分卡!$D$11*AG1215)/5</f>
        <v>4</v>
      </c>
      <c r="AP1215" s="46">
        <f>(打分卡!$D$12*AH1215+打分卡!$D$13*AI1215+打分卡!$D$14*AJ1215+打分卡!$D$15*AK1215)/5</f>
        <v>9.6</v>
      </c>
      <c r="AQ1215" s="46">
        <f>(打分卡!$D$16*AL1215+打分卡!$D$17*AM1215)/5</f>
        <v>6.8</v>
      </c>
      <c r="AR1215" s="48">
        <f t="shared" si="146"/>
        <v>33.2</v>
      </c>
      <c r="AS1215" s="45" t="str">
        <f t="shared" si="147"/>
        <v>基础长尾</v>
      </c>
      <c r="AT1215" s="45" t="str">
        <f t="shared" si="148"/>
        <v/>
      </c>
      <c r="AU1215" s="45" t="str">
        <f t="shared" si="149"/>
        <v>激活：企微+Push低成本先跑</v>
      </c>
    </row>
    <row r="1216" ht="15" customHeight="1" spans="1:47">
      <c r="A1216" s="30" t="s">
        <v>3219</v>
      </c>
      <c r="B1216" s="31" t="s">
        <v>3220</v>
      </c>
      <c r="C1216" s="31" t="s">
        <v>239</v>
      </c>
      <c r="D1216" s="31" t="s">
        <v>202</v>
      </c>
      <c r="E1216" s="31" t="s">
        <v>197</v>
      </c>
      <c r="F1216" s="30" t="s">
        <v>641</v>
      </c>
      <c r="G1216" s="31">
        <v>3</v>
      </c>
      <c r="H1216" s="31" t="s">
        <v>642</v>
      </c>
      <c r="I1216" s="31" t="s">
        <v>302</v>
      </c>
      <c r="J1216" s="33">
        <v>700</v>
      </c>
      <c r="K1216" s="33">
        <v>500</v>
      </c>
      <c r="L1216" s="33">
        <v>100</v>
      </c>
      <c r="M1216" s="33">
        <f t="shared" si="144"/>
        <v>1300</v>
      </c>
      <c r="N1216" s="34">
        <f t="shared" si="150"/>
        <v>6.81543181527454e-6</v>
      </c>
      <c r="O1216" s="35">
        <f>SUM($M$2:M1216)</f>
        <v>190616300</v>
      </c>
      <c r="P1216" s="34">
        <f t="shared" si="151"/>
        <v>0.999332611946089</v>
      </c>
      <c r="Q1216" s="37">
        <v>0.1</v>
      </c>
      <c r="R1216" s="31">
        <v>1</v>
      </c>
      <c r="S1216" s="31">
        <v>0</v>
      </c>
      <c r="T1216" s="31">
        <v>0</v>
      </c>
      <c r="U1216" s="37">
        <v>2.7</v>
      </c>
      <c r="V1216" s="31">
        <v>12</v>
      </c>
      <c r="W1216" s="31">
        <v>1</v>
      </c>
      <c r="X1216" s="38">
        <v>10</v>
      </c>
      <c r="Y1216" s="31">
        <v>1</v>
      </c>
      <c r="Z1216" s="31">
        <v>0</v>
      </c>
      <c r="AA1216" s="31" t="s">
        <v>199</v>
      </c>
      <c r="AB1216" s="31" t="s">
        <v>220</v>
      </c>
      <c r="AC1216" s="41">
        <f>IFERROR(LOOKUP(M1216,打分卡!$F$7:$J$7,打分卡!$K$7:$O$7),1)</f>
        <v>1</v>
      </c>
      <c r="AD1216" s="41">
        <f>IFERROR(LOOKUP(S1216,打分卡!$F$8:$J$8,打分卡!$K$8:$O$8),1)</f>
        <v>1</v>
      </c>
      <c r="AE1216" s="41">
        <f>IFERROR(LOOKUP(T1216,打分卡!$F$9:$I$9,打分卡!$K$9:$N$9),1)</f>
        <v>1</v>
      </c>
      <c r="AF1216" s="41">
        <f>IFERROR(LOOKUP(Q1216,打分卡!$F$10:$J$10,打分卡!$K$10:$O$10),1)</f>
        <v>1</v>
      </c>
      <c r="AG1216" s="41">
        <f>IFERROR(LOOKUP(R1216,打分卡!$F$11:$J$11,打分卡!$K$11:$O$11),1)</f>
        <v>1</v>
      </c>
      <c r="AH1216" s="41">
        <f>IFERROR(LOOKUP(U1216,打分卡!$F$12:$J$12,打分卡!$K$12:$O$12),1)</f>
        <v>1</v>
      </c>
      <c r="AI1216" s="41">
        <f>IFERROR(LOOKUP(X1216,打分卡!$F$13:$J$13,打分卡!$K$13:$O$13),1)</f>
        <v>1</v>
      </c>
      <c r="AJ1216" s="41">
        <f>IFERROR(LOOKUP(Y1216,打分卡!$F$14:$J$14,打分卡!$K$14:$O$14),1)</f>
        <v>2</v>
      </c>
      <c r="AK1216" s="41">
        <f>IFERROR(LOOKUP(W1216,打分卡!$F$15:$J$15,打分卡!$K$15:$O$15),1)</f>
        <v>2</v>
      </c>
      <c r="AL1216" s="43">
        <f t="shared" si="145"/>
        <v>5</v>
      </c>
      <c r="AM1216" s="41">
        <f>IFERROR(LOOKUP(Z1216,打分卡!$F$17:$H$17,打分卡!$K$17:$M$17),1)</f>
        <v>1</v>
      </c>
      <c r="AN1216" s="44">
        <f>(打分卡!$D$7*AC1216+打分卡!$D$8*AD1216+打分卡!$D$9*AE1216)/5</f>
        <v>8</v>
      </c>
      <c r="AO1216" s="44">
        <f>(打分卡!$D$10*AF1216+打分卡!$D$11*AG1216)/5</f>
        <v>4</v>
      </c>
      <c r="AP1216" s="44">
        <f>(打分卡!$D$12*AH1216+打分卡!$D$13*AI1216+打分卡!$D$14*AJ1216+打分卡!$D$15*AK1216)/5</f>
        <v>8</v>
      </c>
      <c r="AQ1216" s="44">
        <f>(打分卡!$D$16*AL1216+打分卡!$D$17*AM1216)/5</f>
        <v>6.8</v>
      </c>
      <c r="AR1216" s="47">
        <f t="shared" si="146"/>
        <v>26.8</v>
      </c>
      <c r="AS1216" s="43" t="str">
        <f t="shared" si="147"/>
        <v>基础长尾</v>
      </c>
      <c r="AT1216" s="43" t="str">
        <f t="shared" si="148"/>
        <v/>
      </c>
      <c r="AU1216" s="43" t="str">
        <f t="shared" si="149"/>
        <v>激活：企微+Push低成本先跑</v>
      </c>
    </row>
    <row r="1217" ht="15" customHeight="1" spans="1:47">
      <c r="A1217" s="20" t="s">
        <v>3221</v>
      </c>
      <c r="B1217" s="22" t="s">
        <v>3222</v>
      </c>
      <c r="C1217" s="22" t="s">
        <v>195</v>
      </c>
      <c r="D1217" s="22" t="s">
        <v>202</v>
      </c>
      <c r="E1217" s="22" t="s">
        <v>181</v>
      </c>
      <c r="F1217" s="20" t="s">
        <v>1217</v>
      </c>
      <c r="G1217" s="22">
        <v>3</v>
      </c>
      <c r="H1217" s="22" t="s">
        <v>642</v>
      </c>
      <c r="I1217" s="22" t="s">
        <v>302</v>
      </c>
      <c r="J1217" s="36">
        <v>700</v>
      </c>
      <c r="K1217" s="36">
        <v>400</v>
      </c>
      <c r="L1217" s="36">
        <v>100</v>
      </c>
      <c r="M1217" s="36">
        <f t="shared" si="144"/>
        <v>1200</v>
      </c>
      <c r="N1217" s="34">
        <f t="shared" si="150"/>
        <v>6.29116782948419e-6</v>
      </c>
      <c r="O1217" s="35">
        <f>SUM($M$2:M1217)</f>
        <v>190617500</v>
      </c>
      <c r="P1217" s="34">
        <f t="shared" si="151"/>
        <v>0.999338903113918</v>
      </c>
      <c r="Q1217" s="39">
        <v>0.2</v>
      </c>
      <c r="R1217" s="22">
        <v>2</v>
      </c>
      <c r="S1217" s="22">
        <v>1</v>
      </c>
      <c r="T1217" s="22">
        <v>0</v>
      </c>
      <c r="U1217" s="39">
        <v>1.2</v>
      </c>
      <c r="V1217" s="22">
        <v>12</v>
      </c>
      <c r="W1217" s="22">
        <v>0</v>
      </c>
      <c r="X1217" s="40">
        <v>6</v>
      </c>
      <c r="Y1217" s="22">
        <v>1</v>
      </c>
      <c r="Z1217" s="22">
        <v>0</v>
      </c>
      <c r="AA1217" s="22" t="s">
        <v>199</v>
      </c>
      <c r="AB1217" s="22" t="s">
        <v>220</v>
      </c>
      <c r="AC1217" s="42">
        <f>IFERROR(LOOKUP(M1217,打分卡!$F$7:$J$7,打分卡!$K$7:$O$7),1)</f>
        <v>1</v>
      </c>
      <c r="AD1217" s="42">
        <f>IFERROR(LOOKUP(S1217,打分卡!$F$8:$J$8,打分卡!$K$8:$O$8),1)</f>
        <v>1</v>
      </c>
      <c r="AE1217" s="42">
        <f>IFERROR(LOOKUP(T1217,打分卡!$F$9:$I$9,打分卡!$K$9:$N$9),1)</f>
        <v>1</v>
      </c>
      <c r="AF1217" s="42">
        <f>IFERROR(LOOKUP(Q1217,打分卡!$F$10:$J$10,打分卡!$K$10:$O$10),1)</f>
        <v>1</v>
      </c>
      <c r="AG1217" s="42">
        <f>IFERROR(LOOKUP(R1217,打分卡!$F$11:$J$11,打分卡!$K$11:$O$11),1)</f>
        <v>1</v>
      </c>
      <c r="AH1217" s="42">
        <f>IFERROR(LOOKUP(U1217,打分卡!$F$12:$J$12,打分卡!$K$12:$O$12),1)</f>
        <v>1</v>
      </c>
      <c r="AI1217" s="42">
        <f>IFERROR(LOOKUP(X1217,打分卡!$F$13:$J$13,打分卡!$K$13:$O$13),1)</f>
        <v>1</v>
      </c>
      <c r="AJ1217" s="42">
        <f>IFERROR(LOOKUP(Y1217,打分卡!$F$14:$J$14,打分卡!$K$14:$O$14),1)</f>
        <v>2</v>
      </c>
      <c r="AK1217" s="42">
        <f>IFERROR(LOOKUP(W1217,打分卡!$F$15:$J$15,打分卡!$K$15:$O$15),1)</f>
        <v>1</v>
      </c>
      <c r="AL1217" s="45">
        <f t="shared" si="145"/>
        <v>5</v>
      </c>
      <c r="AM1217" s="42">
        <f>IFERROR(LOOKUP(Z1217,打分卡!$F$17:$H$17,打分卡!$K$17:$M$17),1)</f>
        <v>1</v>
      </c>
      <c r="AN1217" s="46">
        <f>(打分卡!$D$7*AC1217+打分卡!$D$8*AD1217+打分卡!$D$9*AE1217)/5</f>
        <v>8</v>
      </c>
      <c r="AO1217" s="46">
        <f>(打分卡!$D$10*AF1217+打分卡!$D$11*AG1217)/5</f>
        <v>4</v>
      </c>
      <c r="AP1217" s="46">
        <f>(打分卡!$D$12*AH1217+打分卡!$D$13*AI1217+打分卡!$D$14*AJ1217+打分卡!$D$15*AK1217)/5</f>
        <v>7.2</v>
      </c>
      <c r="AQ1217" s="46">
        <f>(打分卡!$D$16*AL1217+打分卡!$D$17*AM1217)/5</f>
        <v>6.8</v>
      </c>
      <c r="AR1217" s="48">
        <f t="shared" si="146"/>
        <v>26</v>
      </c>
      <c r="AS1217" s="45" t="str">
        <f t="shared" si="147"/>
        <v>基础长尾</v>
      </c>
      <c r="AT1217" s="45" t="str">
        <f t="shared" si="148"/>
        <v/>
      </c>
      <c r="AU1217" s="45" t="str">
        <f t="shared" si="149"/>
        <v>激活：企微+Push低成本先跑</v>
      </c>
    </row>
    <row r="1218" ht="15" customHeight="1" spans="1:47">
      <c r="A1218" s="30" t="s">
        <v>3223</v>
      </c>
      <c r="B1218" s="31" t="s">
        <v>3224</v>
      </c>
      <c r="C1218" s="31" t="s">
        <v>239</v>
      </c>
      <c r="D1218" s="31" t="s">
        <v>196</v>
      </c>
      <c r="E1218" s="31" t="s">
        <v>181</v>
      </c>
      <c r="F1218" s="30" t="s">
        <v>2806</v>
      </c>
      <c r="G1218" s="31">
        <v>3</v>
      </c>
      <c r="H1218" s="31" t="s">
        <v>642</v>
      </c>
      <c r="I1218" s="31" t="s">
        <v>302</v>
      </c>
      <c r="J1218" s="33">
        <v>600</v>
      </c>
      <c r="K1218" s="33">
        <v>500</v>
      </c>
      <c r="L1218" s="33">
        <v>200</v>
      </c>
      <c r="M1218" s="33">
        <f t="shared" ref="M1218:M1281" si="152">SUM(J1218:L1218)</f>
        <v>1300</v>
      </c>
      <c r="N1218" s="34">
        <f t="shared" si="150"/>
        <v>6.81543181527454e-6</v>
      </c>
      <c r="O1218" s="35">
        <f>SUM($M$2:M1218)</f>
        <v>190618800</v>
      </c>
      <c r="P1218" s="34">
        <f t="shared" si="151"/>
        <v>0.999345718545734</v>
      </c>
      <c r="Q1218" s="37">
        <v>0.1</v>
      </c>
      <c r="R1218" s="31">
        <v>2</v>
      </c>
      <c r="S1218" s="31">
        <v>0</v>
      </c>
      <c r="T1218" s="31">
        <v>0</v>
      </c>
      <c r="U1218" s="37">
        <v>1.8</v>
      </c>
      <c r="V1218" s="31">
        <v>2</v>
      </c>
      <c r="W1218" s="31">
        <v>2</v>
      </c>
      <c r="X1218" s="38">
        <v>9</v>
      </c>
      <c r="Y1218" s="31">
        <v>0</v>
      </c>
      <c r="Z1218" s="31">
        <v>0</v>
      </c>
      <c r="AA1218" s="31" t="s">
        <v>199</v>
      </c>
      <c r="AB1218" s="31" t="s">
        <v>220</v>
      </c>
      <c r="AC1218" s="41">
        <f>IFERROR(LOOKUP(M1218,打分卡!$F$7:$J$7,打分卡!$K$7:$O$7),1)</f>
        <v>1</v>
      </c>
      <c r="AD1218" s="41">
        <f>IFERROR(LOOKUP(S1218,打分卡!$F$8:$J$8,打分卡!$K$8:$O$8),1)</f>
        <v>1</v>
      </c>
      <c r="AE1218" s="41">
        <f>IFERROR(LOOKUP(T1218,打分卡!$F$9:$I$9,打分卡!$K$9:$N$9),1)</f>
        <v>1</v>
      </c>
      <c r="AF1218" s="41">
        <f>IFERROR(LOOKUP(Q1218,打分卡!$F$10:$J$10,打分卡!$K$10:$O$10),1)</f>
        <v>1</v>
      </c>
      <c r="AG1218" s="41">
        <f>IFERROR(LOOKUP(R1218,打分卡!$F$11:$J$11,打分卡!$K$11:$O$11),1)</f>
        <v>1</v>
      </c>
      <c r="AH1218" s="41">
        <f>IFERROR(LOOKUP(U1218,打分卡!$F$12:$J$12,打分卡!$K$12:$O$12),1)</f>
        <v>1</v>
      </c>
      <c r="AI1218" s="41">
        <f>IFERROR(LOOKUP(X1218,打分卡!$F$13:$J$13,打分卡!$K$13:$O$13),1)</f>
        <v>1</v>
      </c>
      <c r="AJ1218" s="41">
        <f>IFERROR(LOOKUP(Y1218,打分卡!$F$14:$J$14,打分卡!$K$14:$O$14),1)</f>
        <v>1</v>
      </c>
      <c r="AK1218" s="41">
        <f>IFERROR(LOOKUP(W1218,打分卡!$F$15:$J$15,打分卡!$K$15:$O$15),1)</f>
        <v>2</v>
      </c>
      <c r="AL1218" s="43">
        <f t="shared" ref="AL1218:AL1281" si="153">IF(AA1218="连续下降",1,IF(AA1218="下降",2,IF(AA1218="上升",5,3)))</f>
        <v>5</v>
      </c>
      <c r="AM1218" s="41">
        <f>IFERROR(LOOKUP(Z1218,打分卡!$F$17:$H$17,打分卡!$K$17:$M$17),1)</f>
        <v>1</v>
      </c>
      <c r="AN1218" s="44">
        <f>(打分卡!$D$7*AC1218+打分卡!$D$8*AD1218+打分卡!$D$9*AE1218)/5</f>
        <v>8</v>
      </c>
      <c r="AO1218" s="44">
        <f>(打分卡!$D$10*AF1218+打分卡!$D$11*AG1218)/5</f>
        <v>4</v>
      </c>
      <c r="AP1218" s="44">
        <f>(打分卡!$D$12*AH1218+打分卡!$D$13*AI1218+打分卡!$D$14*AJ1218+打分卡!$D$15*AK1218)/5</f>
        <v>6.8</v>
      </c>
      <c r="AQ1218" s="44">
        <f>(打分卡!$D$16*AL1218+打分卡!$D$17*AM1218)/5</f>
        <v>6.8</v>
      </c>
      <c r="AR1218" s="47">
        <f t="shared" ref="AR1218:AR1281" si="154">IF(G1218&lt;3,AP1218/30*40+AO1218+AP1218+AQ1218,AN1218+AO1218+AP1218+AQ1218)</f>
        <v>25.6</v>
      </c>
      <c r="AS1218" s="43" t="str">
        <f t="shared" ref="AS1218:AS1281" si="155">IF(M1218=0,IF(G1218&lt;3,"新客观察期","未激活"),IF(AR1218&gt;=90,"SKA",IF(AR1218&gt;=75,"KA",IF(AR1218&gt;=40,"腰部","基础长尾"))))</f>
        <v>基础长尾</v>
      </c>
      <c r="AT1218" s="43" t="str">
        <f t="shared" ref="AT1218:AT1281" si="156">IF(AA1218="连续下降","连续下降-预警","")</f>
        <v/>
      </c>
      <c r="AU1218" s="43" t="str">
        <f t="shared" ref="AU1218:AU1281" si="157">IF(AS1218="SKA","守·共创：卡片短信/AI外呼新场景POC",IF(AS1218="KA","扩·深化：AI外呼场景深化+Push/企微补全",IF(AS1218="腰部","拉·主攻：主推AI外呼+大促作战包",IF(AS1218="新客观察期","培育：入门包+1v1场景教育",IF(AS1218="基础长尾","激活：企微+Push低成本先跑","唤醒：短信模板+首充补贴")))))</f>
        <v>激活：企微+Push低成本先跑</v>
      </c>
    </row>
    <row r="1219" ht="15" customHeight="1" spans="1:47">
      <c r="A1219" s="20" t="s">
        <v>3225</v>
      </c>
      <c r="B1219" s="22" t="s">
        <v>3226</v>
      </c>
      <c r="C1219" s="22" t="s">
        <v>189</v>
      </c>
      <c r="D1219" s="22" t="s">
        <v>202</v>
      </c>
      <c r="E1219" s="22" t="s">
        <v>181</v>
      </c>
      <c r="F1219" s="20" t="s">
        <v>2906</v>
      </c>
      <c r="G1219" s="22">
        <v>1</v>
      </c>
      <c r="H1219" s="22" t="s">
        <v>642</v>
      </c>
      <c r="I1219" s="22" t="s">
        <v>302</v>
      </c>
      <c r="J1219" s="36">
        <v>800</v>
      </c>
      <c r="K1219" s="36">
        <v>400</v>
      </c>
      <c r="L1219" s="36">
        <v>100</v>
      </c>
      <c r="M1219" s="36">
        <f t="shared" si="152"/>
        <v>1300</v>
      </c>
      <c r="N1219" s="34">
        <f t="shared" ref="N1219:N1282" si="158">M1219/$M$2002</f>
        <v>6.81543181527454e-6</v>
      </c>
      <c r="O1219" s="35">
        <f>SUM($M$2:M1219)</f>
        <v>190620100</v>
      </c>
      <c r="P1219" s="34">
        <f t="shared" ref="P1219:P1282" si="159">O1219/$M$2002</f>
        <v>0.999352533977549</v>
      </c>
      <c r="Q1219" s="39">
        <v>0.1</v>
      </c>
      <c r="R1219" s="22">
        <v>3</v>
      </c>
      <c r="S1219" s="22">
        <v>0</v>
      </c>
      <c r="T1219" s="22">
        <v>0</v>
      </c>
      <c r="U1219" s="39">
        <v>48.5</v>
      </c>
      <c r="V1219" s="22">
        <v>11</v>
      </c>
      <c r="W1219" s="22">
        <v>2</v>
      </c>
      <c r="X1219" s="40">
        <v>10</v>
      </c>
      <c r="Y1219" s="22">
        <v>0</v>
      </c>
      <c r="Z1219" s="22">
        <v>0</v>
      </c>
      <c r="AA1219" s="22" t="s">
        <v>199</v>
      </c>
      <c r="AB1219" s="22" t="s">
        <v>220</v>
      </c>
      <c r="AC1219" s="42">
        <f>IFERROR(LOOKUP(M1219,打分卡!$F$7:$J$7,打分卡!$K$7:$O$7),1)</f>
        <v>1</v>
      </c>
      <c r="AD1219" s="42">
        <f>IFERROR(LOOKUP(S1219,打分卡!$F$8:$J$8,打分卡!$K$8:$O$8),1)</f>
        <v>1</v>
      </c>
      <c r="AE1219" s="42">
        <f>IFERROR(LOOKUP(T1219,打分卡!$F$9:$I$9,打分卡!$K$9:$N$9),1)</f>
        <v>1</v>
      </c>
      <c r="AF1219" s="42">
        <f>IFERROR(LOOKUP(Q1219,打分卡!$F$10:$J$10,打分卡!$K$10:$O$10),1)</f>
        <v>1</v>
      </c>
      <c r="AG1219" s="42">
        <f>IFERROR(LOOKUP(R1219,打分卡!$F$11:$J$11,打分卡!$K$11:$O$11),1)</f>
        <v>2</v>
      </c>
      <c r="AH1219" s="42">
        <f>IFERROR(LOOKUP(U1219,打分卡!$F$12:$J$12,打分卡!$K$12:$O$12),1)</f>
        <v>4</v>
      </c>
      <c r="AI1219" s="42">
        <f>IFERROR(LOOKUP(X1219,打分卡!$F$13:$J$13,打分卡!$K$13:$O$13),1)</f>
        <v>1</v>
      </c>
      <c r="AJ1219" s="42">
        <f>IFERROR(LOOKUP(Y1219,打分卡!$F$14:$J$14,打分卡!$K$14:$O$14),1)</f>
        <v>1</v>
      </c>
      <c r="AK1219" s="42">
        <f>IFERROR(LOOKUP(W1219,打分卡!$F$15:$J$15,打分卡!$K$15:$O$15),1)</f>
        <v>2</v>
      </c>
      <c r="AL1219" s="45">
        <f t="shared" si="153"/>
        <v>5</v>
      </c>
      <c r="AM1219" s="42">
        <f>IFERROR(LOOKUP(Z1219,打分卡!$F$17:$H$17,打分卡!$K$17:$M$17),1)</f>
        <v>1</v>
      </c>
      <c r="AN1219" s="46">
        <f>(打分卡!$D$7*AC1219+打分卡!$D$8*AD1219+打分卡!$D$9*AE1219)/5</f>
        <v>8</v>
      </c>
      <c r="AO1219" s="46">
        <f>(打分卡!$D$10*AF1219+打分卡!$D$11*AG1219)/5</f>
        <v>6</v>
      </c>
      <c r="AP1219" s="46">
        <f>(打分卡!$D$12*AH1219+打分卡!$D$13*AI1219+打分卡!$D$14*AJ1219+打分卡!$D$15*AK1219)/5</f>
        <v>14</v>
      </c>
      <c r="AQ1219" s="46">
        <f>(打分卡!$D$16*AL1219+打分卡!$D$17*AM1219)/5</f>
        <v>6.8</v>
      </c>
      <c r="AR1219" s="48">
        <f t="shared" si="154"/>
        <v>45.4666666666667</v>
      </c>
      <c r="AS1219" s="45" t="str">
        <f t="shared" si="155"/>
        <v>腰部</v>
      </c>
      <c r="AT1219" s="45" t="str">
        <f t="shared" si="156"/>
        <v/>
      </c>
      <c r="AU1219" s="45" t="str">
        <f t="shared" si="157"/>
        <v>拉·主攻：主推AI外呼+大促作战包</v>
      </c>
    </row>
    <row r="1220" ht="15" customHeight="1" spans="1:47">
      <c r="A1220" s="30" t="s">
        <v>3227</v>
      </c>
      <c r="B1220" s="31" t="s">
        <v>3228</v>
      </c>
      <c r="C1220" s="31" t="s">
        <v>179</v>
      </c>
      <c r="D1220" s="31" t="s">
        <v>202</v>
      </c>
      <c r="E1220" s="31" t="s">
        <v>197</v>
      </c>
      <c r="F1220" s="30" t="s">
        <v>1611</v>
      </c>
      <c r="G1220" s="31">
        <v>2</v>
      </c>
      <c r="H1220" s="31" t="s">
        <v>642</v>
      </c>
      <c r="I1220" s="31" t="s">
        <v>302</v>
      </c>
      <c r="J1220" s="33">
        <v>700</v>
      </c>
      <c r="K1220" s="33">
        <v>400</v>
      </c>
      <c r="L1220" s="33">
        <v>200</v>
      </c>
      <c r="M1220" s="33">
        <f t="shared" si="152"/>
        <v>1300</v>
      </c>
      <c r="N1220" s="34">
        <f t="shared" si="158"/>
        <v>6.81543181527454e-6</v>
      </c>
      <c r="O1220" s="35">
        <f>SUM($M$2:M1220)</f>
        <v>190621400</v>
      </c>
      <c r="P1220" s="34">
        <f t="shared" si="159"/>
        <v>0.999359349409364</v>
      </c>
      <c r="Q1220" s="37">
        <v>0.2</v>
      </c>
      <c r="R1220" s="31">
        <v>2</v>
      </c>
      <c r="S1220" s="31">
        <v>1</v>
      </c>
      <c r="T1220" s="31">
        <v>0</v>
      </c>
      <c r="U1220" s="37">
        <v>573</v>
      </c>
      <c r="V1220" s="31">
        <v>3</v>
      </c>
      <c r="W1220" s="31">
        <v>23</v>
      </c>
      <c r="X1220" s="38">
        <v>1336</v>
      </c>
      <c r="Y1220" s="31">
        <v>2</v>
      </c>
      <c r="Z1220" s="31">
        <v>0</v>
      </c>
      <c r="AA1220" s="31" t="s">
        <v>199</v>
      </c>
      <c r="AB1220" s="31" t="s">
        <v>220</v>
      </c>
      <c r="AC1220" s="41">
        <f>IFERROR(LOOKUP(M1220,打分卡!$F$7:$J$7,打分卡!$K$7:$O$7),1)</f>
        <v>1</v>
      </c>
      <c r="AD1220" s="41">
        <f>IFERROR(LOOKUP(S1220,打分卡!$F$8:$J$8,打分卡!$K$8:$O$8),1)</f>
        <v>1</v>
      </c>
      <c r="AE1220" s="41">
        <f>IFERROR(LOOKUP(T1220,打分卡!$F$9:$I$9,打分卡!$K$9:$N$9),1)</f>
        <v>1</v>
      </c>
      <c r="AF1220" s="41">
        <f>IFERROR(LOOKUP(Q1220,打分卡!$F$10:$J$10,打分卡!$K$10:$O$10),1)</f>
        <v>1</v>
      </c>
      <c r="AG1220" s="41">
        <f>IFERROR(LOOKUP(R1220,打分卡!$F$11:$J$11,打分卡!$K$11:$O$11),1)</f>
        <v>1</v>
      </c>
      <c r="AH1220" s="41">
        <f>IFERROR(LOOKUP(U1220,打分卡!$F$12:$J$12,打分卡!$K$12:$O$12),1)</f>
        <v>5</v>
      </c>
      <c r="AI1220" s="41">
        <f>IFERROR(LOOKUP(X1220,打分卡!$F$13:$J$13,打分卡!$K$13:$O$13),1)</f>
        <v>5</v>
      </c>
      <c r="AJ1220" s="41">
        <f>IFERROR(LOOKUP(Y1220,打分卡!$F$14:$J$14,打分卡!$K$14:$O$14),1)</f>
        <v>3</v>
      </c>
      <c r="AK1220" s="41">
        <f>IFERROR(LOOKUP(W1220,打分卡!$F$15:$J$15,打分卡!$K$15:$O$15),1)</f>
        <v>5</v>
      </c>
      <c r="AL1220" s="43">
        <f t="shared" si="153"/>
        <v>5</v>
      </c>
      <c r="AM1220" s="41">
        <f>IFERROR(LOOKUP(Z1220,打分卡!$F$17:$H$17,打分卡!$K$17:$M$17),1)</f>
        <v>1</v>
      </c>
      <c r="AN1220" s="44">
        <f>(打分卡!$D$7*AC1220+打分卡!$D$8*AD1220+打分卡!$D$9*AE1220)/5</f>
        <v>8</v>
      </c>
      <c r="AO1220" s="44">
        <f>(打分卡!$D$10*AF1220+打分卡!$D$11*AG1220)/5</f>
        <v>4</v>
      </c>
      <c r="AP1220" s="44">
        <f>(打分卡!$D$12*AH1220+打分卡!$D$13*AI1220+打分卡!$D$14*AJ1220+打分卡!$D$15*AK1220)/5</f>
        <v>27.6</v>
      </c>
      <c r="AQ1220" s="44">
        <f>(打分卡!$D$16*AL1220+打分卡!$D$17*AM1220)/5</f>
        <v>6.8</v>
      </c>
      <c r="AR1220" s="47">
        <f t="shared" si="154"/>
        <v>75.2</v>
      </c>
      <c r="AS1220" s="43" t="str">
        <f t="shared" si="155"/>
        <v>KA</v>
      </c>
      <c r="AT1220" s="43" t="str">
        <f t="shared" si="156"/>
        <v/>
      </c>
      <c r="AU1220" s="43" t="str">
        <f t="shared" si="157"/>
        <v>扩·深化：AI外呼场景深化+Push/企微补全</v>
      </c>
    </row>
    <row r="1221" ht="15" customHeight="1" spans="1:47">
      <c r="A1221" s="20" t="s">
        <v>3229</v>
      </c>
      <c r="B1221" s="22" t="s">
        <v>3230</v>
      </c>
      <c r="C1221" s="22" t="s">
        <v>179</v>
      </c>
      <c r="D1221" s="22" t="s">
        <v>227</v>
      </c>
      <c r="E1221" s="22" t="s">
        <v>181</v>
      </c>
      <c r="F1221" s="20" t="s">
        <v>2714</v>
      </c>
      <c r="G1221" s="22">
        <v>2</v>
      </c>
      <c r="H1221" s="22" t="s">
        <v>642</v>
      </c>
      <c r="I1221" s="22" t="s">
        <v>302</v>
      </c>
      <c r="J1221" s="36">
        <v>800</v>
      </c>
      <c r="K1221" s="36">
        <v>400</v>
      </c>
      <c r="L1221" s="36">
        <v>100</v>
      </c>
      <c r="M1221" s="36">
        <f t="shared" si="152"/>
        <v>1300</v>
      </c>
      <c r="N1221" s="34">
        <f t="shared" si="158"/>
        <v>6.81543181527454e-6</v>
      </c>
      <c r="O1221" s="35">
        <f>SUM($M$2:M1221)</f>
        <v>190622700</v>
      </c>
      <c r="P1221" s="34">
        <f t="shared" si="159"/>
        <v>0.999366164841179</v>
      </c>
      <c r="Q1221" s="39">
        <v>0.1</v>
      </c>
      <c r="R1221" s="22">
        <v>1</v>
      </c>
      <c r="S1221" s="22">
        <v>0</v>
      </c>
      <c r="T1221" s="22">
        <v>0</v>
      </c>
      <c r="U1221" s="39">
        <v>4.2</v>
      </c>
      <c r="V1221" s="22">
        <v>8</v>
      </c>
      <c r="W1221" s="22">
        <v>2</v>
      </c>
      <c r="X1221" s="40">
        <v>35</v>
      </c>
      <c r="Y1221" s="22">
        <v>1</v>
      </c>
      <c r="Z1221" s="22">
        <v>0</v>
      </c>
      <c r="AA1221" s="22" t="s">
        <v>199</v>
      </c>
      <c r="AB1221" s="22" t="s">
        <v>220</v>
      </c>
      <c r="AC1221" s="42">
        <f>IFERROR(LOOKUP(M1221,打分卡!$F$7:$J$7,打分卡!$K$7:$O$7),1)</f>
        <v>1</v>
      </c>
      <c r="AD1221" s="42">
        <f>IFERROR(LOOKUP(S1221,打分卡!$F$8:$J$8,打分卡!$K$8:$O$8),1)</f>
        <v>1</v>
      </c>
      <c r="AE1221" s="42">
        <f>IFERROR(LOOKUP(T1221,打分卡!$F$9:$I$9,打分卡!$K$9:$N$9),1)</f>
        <v>1</v>
      </c>
      <c r="AF1221" s="42">
        <f>IFERROR(LOOKUP(Q1221,打分卡!$F$10:$J$10,打分卡!$K$10:$O$10),1)</f>
        <v>1</v>
      </c>
      <c r="AG1221" s="42">
        <f>IFERROR(LOOKUP(R1221,打分卡!$F$11:$J$11,打分卡!$K$11:$O$11),1)</f>
        <v>1</v>
      </c>
      <c r="AH1221" s="42">
        <f>IFERROR(LOOKUP(U1221,打分卡!$F$12:$J$12,打分卡!$K$12:$O$12),1)</f>
        <v>2</v>
      </c>
      <c r="AI1221" s="42">
        <f>IFERROR(LOOKUP(X1221,打分卡!$F$13:$J$13,打分卡!$K$13:$O$13),1)</f>
        <v>2</v>
      </c>
      <c r="AJ1221" s="42">
        <f>IFERROR(LOOKUP(Y1221,打分卡!$F$14:$J$14,打分卡!$K$14:$O$14),1)</f>
        <v>2</v>
      </c>
      <c r="AK1221" s="42">
        <f>IFERROR(LOOKUP(W1221,打分卡!$F$15:$J$15,打分卡!$K$15:$O$15),1)</f>
        <v>2</v>
      </c>
      <c r="AL1221" s="45">
        <f t="shared" si="153"/>
        <v>5</v>
      </c>
      <c r="AM1221" s="42">
        <f>IFERROR(LOOKUP(Z1221,打分卡!$F$17:$H$17,打分卡!$K$17:$M$17),1)</f>
        <v>1</v>
      </c>
      <c r="AN1221" s="46">
        <f>(打分卡!$D$7*AC1221+打分卡!$D$8*AD1221+打分卡!$D$9*AE1221)/5</f>
        <v>8</v>
      </c>
      <c r="AO1221" s="46">
        <f>(打分卡!$D$10*AF1221+打分卡!$D$11*AG1221)/5</f>
        <v>4</v>
      </c>
      <c r="AP1221" s="46">
        <f>(打分卡!$D$12*AH1221+打分卡!$D$13*AI1221+打分卡!$D$14*AJ1221+打分卡!$D$15*AK1221)/5</f>
        <v>12</v>
      </c>
      <c r="AQ1221" s="46">
        <f>(打分卡!$D$16*AL1221+打分卡!$D$17*AM1221)/5</f>
        <v>6.8</v>
      </c>
      <c r="AR1221" s="48">
        <f t="shared" si="154"/>
        <v>38.8</v>
      </c>
      <c r="AS1221" s="45" t="str">
        <f t="shared" si="155"/>
        <v>基础长尾</v>
      </c>
      <c r="AT1221" s="45" t="str">
        <f t="shared" si="156"/>
        <v/>
      </c>
      <c r="AU1221" s="45" t="str">
        <f t="shared" si="157"/>
        <v>激活：企微+Push低成本先跑</v>
      </c>
    </row>
    <row r="1222" ht="15" customHeight="1" spans="1:47">
      <c r="A1222" s="30" t="s">
        <v>3231</v>
      </c>
      <c r="B1222" s="31" t="s">
        <v>3232</v>
      </c>
      <c r="C1222" s="31" t="s">
        <v>179</v>
      </c>
      <c r="D1222" s="31" t="s">
        <v>196</v>
      </c>
      <c r="E1222" s="31" t="s">
        <v>197</v>
      </c>
      <c r="F1222" s="30" t="s">
        <v>1146</v>
      </c>
      <c r="G1222" s="31">
        <v>3</v>
      </c>
      <c r="H1222" s="31" t="s">
        <v>642</v>
      </c>
      <c r="I1222" s="31" t="s">
        <v>302</v>
      </c>
      <c r="J1222" s="33">
        <v>700</v>
      </c>
      <c r="K1222" s="33">
        <v>500</v>
      </c>
      <c r="L1222" s="33">
        <v>100</v>
      </c>
      <c r="M1222" s="33">
        <f t="shared" si="152"/>
        <v>1300</v>
      </c>
      <c r="N1222" s="34">
        <f t="shared" si="158"/>
        <v>6.81543181527454e-6</v>
      </c>
      <c r="O1222" s="35">
        <f>SUM($M$2:M1222)</f>
        <v>190624000</v>
      </c>
      <c r="P1222" s="34">
        <f t="shared" si="159"/>
        <v>0.999372980272995</v>
      </c>
      <c r="Q1222" s="37">
        <v>0.1</v>
      </c>
      <c r="R1222" s="31">
        <v>3</v>
      </c>
      <c r="S1222" s="31">
        <v>1</v>
      </c>
      <c r="T1222" s="31">
        <v>0</v>
      </c>
      <c r="U1222" s="37">
        <v>15.4</v>
      </c>
      <c r="V1222" s="31">
        <v>10</v>
      </c>
      <c r="W1222" s="31">
        <v>2</v>
      </c>
      <c r="X1222" s="38">
        <v>39</v>
      </c>
      <c r="Y1222" s="31">
        <v>1</v>
      </c>
      <c r="Z1222" s="31">
        <v>0</v>
      </c>
      <c r="AA1222" s="31" t="s">
        <v>199</v>
      </c>
      <c r="AB1222" s="31" t="s">
        <v>220</v>
      </c>
      <c r="AC1222" s="41">
        <f>IFERROR(LOOKUP(M1222,打分卡!$F$7:$J$7,打分卡!$K$7:$O$7),1)</f>
        <v>1</v>
      </c>
      <c r="AD1222" s="41">
        <f>IFERROR(LOOKUP(S1222,打分卡!$F$8:$J$8,打分卡!$K$8:$O$8),1)</f>
        <v>1</v>
      </c>
      <c r="AE1222" s="41">
        <f>IFERROR(LOOKUP(T1222,打分卡!$F$9:$I$9,打分卡!$K$9:$N$9),1)</f>
        <v>1</v>
      </c>
      <c r="AF1222" s="41">
        <f>IFERROR(LOOKUP(Q1222,打分卡!$F$10:$J$10,打分卡!$K$10:$O$10),1)</f>
        <v>1</v>
      </c>
      <c r="AG1222" s="41">
        <f>IFERROR(LOOKUP(R1222,打分卡!$F$11:$J$11,打分卡!$K$11:$O$11),1)</f>
        <v>2</v>
      </c>
      <c r="AH1222" s="41">
        <f>IFERROR(LOOKUP(U1222,打分卡!$F$12:$J$12,打分卡!$K$12:$O$12),1)</f>
        <v>3</v>
      </c>
      <c r="AI1222" s="41">
        <f>IFERROR(LOOKUP(X1222,打分卡!$F$13:$J$13,打分卡!$K$13:$O$13),1)</f>
        <v>3</v>
      </c>
      <c r="AJ1222" s="41">
        <f>IFERROR(LOOKUP(Y1222,打分卡!$F$14:$J$14,打分卡!$K$14:$O$14),1)</f>
        <v>2</v>
      </c>
      <c r="AK1222" s="41">
        <f>IFERROR(LOOKUP(W1222,打分卡!$F$15:$J$15,打分卡!$K$15:$O$15),1)</f>
        <v>2</v>
      </c>
      <c r="AL1222" s="43">
        <f t="shared" si="153"/>
        <v>5</v>
      </c>
      <c r="AM1222" s="41">
        <f>IFERROR(LOOKUP(Z1222,打分卡!$F$17:$H$17,打分卡!$K$17:$M$17),1)</f>
        <v>1</v>
      </c>
      <c r="AN1222" s="44">
        <f>(打分卡!$D$7*AC1222+打分卡!$D$8*AD1222+打分卡!$D$9*AE1222)/5</f>
        <v>8</v>
      </c>
      <c r="AO1222" s="44">
        <f>(打分卡!$D$10*AF1222+打分卡!$D$11*AG1222)/5</f>
        <v>6</v>
      </c>
      <c r="AP1222" s="44">
        <f>(打分卡!$D$12*AH1222+打分卡!$D$13*AI1222+打分卡!$D$14*AJ1222+打分卡!$D$15*AK1222)/5</f>
        <v>16</v>
      </c>
      <c r="AQ1222" s="44">
        <f>(打分卡!$D$16*AL1222+打分卡!$D$17*AM1222)/5</f>
        <v>6.8</v>
      </c>
      <c r="AR1222" s="47">
        <f t="shared" si="154"/>
        <v>36.8</v>
      </c>
      <c r="AS1222" s="43" t="str">
        <f t="shared" si="155"/>
        <v>基础长尾</v>
      </c>
      <c r="AT1222" s="43" t="str">
        <f t="shared" si="156"/>
        <v/>
      </c>
      <c r="AU1222" s="43" t="str">
        <f t="shared" si="157"/>
        <v>激活：企微+Push低成本先跑</v>
      </c>
    </row>
    <row r="1223" ht="15" customHeight="1" spans="1:47">
      <c r="A1223" s="20" t="s">
        <v>3233</v>
      </c>
      <c r="B1223" s="22" t="s">
        <v>3234</v>
      </c>
      <c r="C1223" s="22" t="s">
        <v>179</v>
      </c>
      <c r="D1223" s="22" t="s">
        <v>202</v>
      </c>
      <c r="E1223" s="22" t="s">
        <v>197</v>
      </c>
      <c r="F1223" s="20" t="s">
        <v>1166</v>
      </c>
      <c r="G1223" s="22">
        <v>3</v>
      </c>
      <c r="H1223" s="22" t="s">
        <v>642</v>
      </c>
      <c r="I1223" s="22" t="s">
        <v>302</v>
      </c>
      <c r="J1223" s="36">
        <v>600</v>
      </c>
      <c r="K1223" s="36">
        <v>400</v>
      </c>
      <c r="L1223" s="36">
        <v>300</v>
      </c>
      <c r="M1223" s="36">
        <f t="shared" si="152"/>
        <v>1300</v>
      </c>
      <c r="N1223" s="34">
        <f t="shared" si="158"/>
        <v>6.81543181527454e-6</v>
      </c>
      <c r="O1223" s="35">
        <f>SUM($M$2:M1223)</f>
        <v>190625300</v>
      </c>
      <c r="P1223" s="34">
        <f t="shared" si="159"/>
        <v>0.99937979570481</v>
      </c>
      <c r="Q1223" s="39">
        <v>0.1</v>
      </c>
      <c r="R1223" s="22">
        <v>3</v>
      </c>
      <c r="S1223" s="22">
        <v>1</v>
      </c>
      <c r="T1223" s="22">
        <v>0</v>
      </c>
      <c r="U1223" s="39">
        <v>10.3</v>
      </c>
      <c r="V1223" s="22">
        <v>4</v>
      </c>
      <c r="W1223" s="22">
        <v>2</v>
      </c>
      <c r="X1223" s="40">
        <v>8</v>
      </c>
      <c r="Y1223" s="22">
        <v>1</v>
      </c>
      <c r="Z1223" s="22">
        <v>0</v>
      </c>
      <c r="AA1223" s="22" t="s">
        <v>199</v>
      </c>
      <c r="AB1223" s="22" t="s">
        <v>220</v>
      </c>
      <c r="AC1223" s="42">
        <f>IFERROR(LOOKUP(M1223,打分卡!$F$7:$J$7,打分卡!$K$7:$O$7),1)</f>
        <v>1</v>
      </c>
      <c r="AD1223" s="42">
        <f>IFERROR(LOOKUP(S1223,打分卡!$F$8:$J$8,打分卡!$K$8:$O$8),1)</f>
        <v>1</v>
      </c>
      <c r="AE1223" s="42">
        <f>IFERROR(LOOKUP(T1223,打分卡!$F$9:$I$9,打分卡!$K$9:$N$9),1)</f>
        <v>1</v>
      </c>
      <c r="AF1223" s="42">
        <f>IFERROR(LOOKUP(Q1223,打分卡!$F$10:$J$10,打分卡!$K$10:$O$10),1)</f>
        <v>1</v>
      </c>
      <c r="AG1223" s="42">
        <f>IFERROR(LOOKUP(R1223,打分卡!$F$11:$J$11,打分卡!$K$11:$O$11),1)</f>
        <v>2</v>
      </c>
      <c r="AH1223" s="42">
        <f>IFERROR(LOOKUP(U1223,打分卡!$F$12:$J$12,打分卡!$K$12:$O$12),1)</f>
        <v>2</v>
      </c>
      <c r="AI1223" s="42">
        <f>IFERROR(LOOKUP(X1223,打分卡!$F$13:$J$13,打分卡!$K$13:$O$13),1)</f>
        <v>1</v>
      </c>
      <c r="AJ1223" s="42">
        <f>IFERROR(LOOKUP(Y1223,打分卡!$F$14:$J$14,打分卡!$K$14:$O$14),1)</f>
        <v>2</v>
      </c>
      <c r="AK1223" s="42">
        <f>IFERROR(LOOKUP(W1223,打分卡!$F$15:$J$15,打分卡!$K$15:$O$15),1)</f>
        <v>2</v>
      </c>
      <c r="AL1223" s="45">
        <f t="shared" si="153"/>
        <v>5</v>
      </c>
      <c r="AM1223" s="42">
        <f>IFERROR(LOOKUP(Z1223,打分卡!$F$17:$H$17,打分卡!$K$17:$M$17),1)</f>
        <v>1</v>
      </c>
      <c r="AN1223" s="46">
        <f>(打分卡!$D$7*AC1223+打分卡!$D$8*AD1223+打分卡!$D$9*AE1223)/5</f>
        <v>8</v>
      </c>
      <c r="AO1223" s="46">
        <f>(打分卡!$D$10*AF1223+打分卡!$D$11*AG1223)/5</f>
        <v>6</v>
      </c>
      <c r="AP1223" s="46">
        <f>(打分卡!$D$12*AH1223+打分卡!$D$13*AI1223+打分卡!$D$14*AJ1223+打分卡!$D$15*AK1223)/5</f>
        <v>10.4</v>
      </c>
      <c r="AQ1223" s="46">
        <f>(打分卡!$D$16*AL1223+打分卡!$D$17*AM1223)/5</f>
        <v>6.8</v>
      </c>
      <c r="AR1223" s="48">
        <f t="shared" si="154"/>
        <v>31.2</v>
      </c>
      <c r="AS1223" s="45" t="str">
        <f t="shared" si="155"/>
        <v>基础长尾</v>
      </c>
      <c r="AT1223" s="45" t="str">
        <f t="shared" si="156"/>
        <v/>
      </c>
      <c r="AU1223" s="45" t="str">
        <f t="shared" si="157"/>
        <v>激活：企微+Push低成本先跑</v>
      </c>
    </row>
    <row r="1224" ht="15" customHeight="1" spans="1:47">
      <c r="A1224" s="30" t="s">
        <v>3235</v>
      </c>
      <c r="B1224" s="31" t="s">
        <v>3236</v>
      </c>
      <c r="C1224" s="31" t="s">
        <v>189</v>
      </c>
      <c r="D1224" s="31" t="s">
        <v>202</v>
      </c>
      <c r="E1224" s="31" t="s">
        <v>197</v>
      </c>
      <c r="F1224" s="30" t="s">
        <v>2737</v>
      </c>
      <c r="G1224" s="31">
        <v>1</v>
      </c>
      <c r="H1224" s="31" t="s">
        <v>642</v>
      </c>
      <c r="I1224" s="31" t="s">
        <v>302</v>
      </c>
      <c r="J1224" s="33">
        <v>800</v>
      </c>
      <c r="K1224" s="33">
        <v>400</v>
      </c>
      <c r="L1224" s="33">
        <v>100</v>
      </c>
      <c r="M1224" s="33">
        <f t="shared" si="152"/>
        <v>1300</v>
      </c>
      <c r="N1224" s="34">
        <f t="shared" si="158"/>
        <v>6.81543181527454e-6</v>
      </c>
      <c r="O1224" s="35">
        <f>SUM($M$2:M1224)</f>
        <v>190626600</v>
      </c>
      <c r="P1224" s="34">
        <f t="shared" si="159"/>
        <v>0.999386611136625</v>
      </c>
      <c r="Q1224" s="37">
        <v>0.2</v>
      </c>
      <c r="R1224" s="31">
        <v>2</v>
      </c>
      <c r="S1224" s="31">
        <v>0</v>
      </c>
      <c r="T1224" s="31">
        <v>0</v>
      </c>
      <c r="U1224" s="37">
        <v>38.1</v>
      </c>
      <c r="V1224" s="31">
        <v>8</v>
      </c>
      <c r="W1224" s="31">
        <v>1</v>
      </c>
      <c r="X1224" s="38">
        <v>8</v>
      </c>
      <c r="Y1224" s="31">
        <v>1</v>
      </c>
      <c r="Z1224" s="31">
        <v>0</v>
      </c>
      <c r="AA1224" s="31" t="s">
        <v>199</v>
      </c>
      <c r="AB1224" s="31" t="s">
        <v>220</v>
      </c>
      <c r="AC1224" s="41">
        <f>IFERROR(LOOKUP(M1224,打分卡!$F$7:$J$7,打分卡!$K$7:$O$7),1)</f>
        <v>1</v>
      </c>
      <c r="AD1224" s="41">
        <f>IFERROR(LOOKUP(S1224,打分卡!$F$8:$J$8,打分卡!$K$8:$O$8),1)</f>
        <v>1</v>
      </c>
      <c r="AE1224" s="41">
        <f>IFERROR(LOOKUP(T1224,打分卡!$F$9:$I$9,打分卡!$K$9:$N$9),1)</f>
        <v>1</v>
      </c>
      <c r="AF1224" s="41">
        <f>IFERROR(LOOKUP(Q1224,打分卡!$F$10:$J$10,打分卡!$K$10:$O$10),1)</f>
        <v>1</v>
      </c>
      <c r="AG1224" s="41">
        <f>IFERROR(LOOKUP(R1224,打分卡!$F$11:$J$11,打分卡!$K$11:$O$11),1)</f>
        <v>1</v>
      </c>
      <c r="AH1224" s="41">
        <f>IFERROR(LOOKUP(U1224,打分卡!$F$12:$J$12,打分卡!$K$12:$O$12),1)</f>
        <v>4</v>
      </c>
      <c r="AI1224" s="41">
        <f>IFERROR(LOOKUP(X1224,打分卡!$F$13:$J$13,打分卡!$K$13:$O$13),1)</f>
        <v>1</v>
      </c>
      <c r="AJ1224" s="41">
        <f>IFERROR(LOOKUP(Y1224,打分卡!$F$14:$J$14,打分卡!$K$14:$O$14),1)</f>
        <v>2</v>
      </c>
      <c r="AK1224" s="41">
        <f>IFERROR(LOOKUP(W1224,打分卡!$F$15:$J$15,打分卡!$K$15:$O$15),1)</f>
        <v>2</v>
      </c>
      <c r="AL1224" s="43">
        <f t="shared" si="153"/>
        <v>5</v>
      </c>
      <c r="AM1224" s="41">
        <f>IFERROR(LOOKUP(Z1224,打分卡!$F$17:$H$17,打分卡!$K$17:$M$17),1)</f>
        <v>1</v>
      </c>
      <c r="AN1224" s="44">
        <f>(打分卡!$D$7*AC1224+打分卡!$D$8*AD1224+打分卡!$D$9*AE1224)/5</f>
        <v>8</v>
      </c>
      <c r="AO1224" s="44">
        <f>(打分卡!$D$10*AF1224+打分卡!$D$11*AG1224)/5</f>
        <v>4</v>
      </c>
      <c r="AP1224" s="44">
        <f>(打分卡!$D$12*AH1224+打分卡!$D$13*AI1224+打分卡!$D$14*AJ1224+打分卡!$D$15*AK1224)/5</f>
        <v>15.2</v>
      </c>
      <c r="AQ1224" s="44">
        <f>(打分卡!$D$16*AL1224+打分卡!$D$17*AM1224)/5</f>
        <v>6.8</v>
      </c>
      <c r="AR1224" s="47">
        <f t="shared" si="154"/>
        <v>46.2666666666667</v>
      </c>
      <c r="AS1224" s="43" t="str">
        <f t="shared" si="155"/>
        <v>腰部</v>
      </c>
      <c r="AT1224" s="43" t="str">
        <f t="shared" si="156"/>
        <v/>
      </c>
      <c r="AU1224" s="43" t="str">
        <f t="shared" si="157"/>
        <v>拉·主攻：主推AI外呼+大促作战包</v>
      </c>
    </row>
    <row r="1225" ht="15" customHeight="1" spans="1:47">
      <c r="A1225" s="20" t="s">
        <v>3237</v>
      </c>
      <c r="B1225" s="22" t="s">
        <v>3238</v>
      </c>
      <c r="C1225" s="22" t="s">
        <v>239</v>
      </c>
      <c r="D1225" s="22" t="s">
        <v>202</v>
      </c>
      <c r="E1225" s="22" t="s">
        <v>197</v>
      </c>
      <c r="F1225" s="20" t="s">
        <v>2778</v>
      </c>
      <c r="G1225" s="22">
        <v>1</v>
      </c>
      <c r="H1225" s="22" t="s">
        <v>642</v>
      </c>
      <c r="I1225" s="22" t="s">
        <v>302</v>
      </c>
      <c r="J1225" s="36">
        <v>800</v>
      </c>
      <c r="K1225" s="36">
        <v>400</v>
      </c>
      <c r="L1225" s="36">
        <v>100</v>
      </c>
      <c r="M1225" s="36">
        <f t="shared" si="152"/>
        <v>1300</v>
      </c>
      <c r="N1225" s="34">
        <f t="shared" si="158"/>
        <v>6.81543181527454e-6</v>
      </c>
      <c r="O1225" s="35">
        <f>SUM($M$2:M1225)</f>
        <v>190627900</v>
      </c>
      <c r="P1225" s="34">
        <f t="shared" si="159"/>
        <v>0.999393426568441</v>
      </c>
      <c r="Q1225" s="39">
        <v>0.1</v>
      </c>
      <c r="R1225" s="22">
        <v>1</v>
      </c>
      <c r="S1225" s="22">
        <v>0</v>
      </c>
      <c r="T1225" s="22">
        <v>0</v>
      </c>
      <c r="U1225" s="39">
        <v>1.8</v>
      </c>
      <c r="V1225" s="22">
        <v>1</v>
      </c>
      <c r="W1225" s="22">
        <v>1</v>
      </c>
      <c r="X1225" s="40">
        <v>28</v>
      </c>
      <c r="Y1225" s="22">
        <v>0</v>
      </c>
      <c r="Z1225" s="22">
        <v>0</v>
      </c>
      <c r="AA1225" s="22" t="s">
        <v>199</v>
      </c>
      <c r="AB1225" s="22" t="s">
        <v>220</v>
      </c>
      <c r="AC1225" s="42">
        <f>IFERROR(LOOKUP(M1225,打分卡!$F$7:$J$7,打分卡!$K$7:$O$7),1)</f>
        <v>1</v>
      </c>
      <c r="AD1225" s="42">
        <f>IFERROR(LOOKUP(S1225,打分卡!$F$8:$J$8,打分卡!$K$8:$O$8),1)</f>
        <v>1</v>
      </c>
      <c r="AE1225" s="42">
        <f>IFERROR(LOOKUP(T1225,打分卡!$F$9:$I$9,打分卡!$K$9:$N$9),1)</f>
        <v>1</v>
      </c>
      <c r="AF1225" s="42">
        <f>IFERROR(LOOKUP(Q1225,打分卡!$F$10:$J$10,打分卡!$K$10:$O$10),1)</f>
        <v>1</v>
      </c>
      <c r="AG1225" s="42">
        <f>IFERROR(LOOKUP(R1225,打分卡!$F$11:$J$11,打分卡!$K$11:$O$11),1)</f>
        <v>1</v>
      </c>
      <c r="AH1225" s="42">
        <f>IFERROR(LOOKUP(U1225,打分卡!$F$12:$J$12,打分卡!$K$12:$O$12),1)</f>
        <v>1</v>
      </c>
      <c r="AI1225" s="42">
        <f>IFERROR(LOOKUP(X1225,打分卡!$F$13:$J$13,打分卡!$K$13:$O$13),1)</f>
        <v>2</v>
      </c>
      <c r="AJ1225" s="42">
        <f>IFERROR(LOOKUP(Y1225,打分卡!$F$14:$J$14,打分卡!$K$14:$O$14),1)</f>
        <v>1</v>
      </c>
      <c r="AK1225" s="42">
        <f>IFERROR(LOOKUP(W1225,打分卡!$F$15:$J$15,打分卡!$K$15:$O$15),1)</f>
        <v>2</v>
      </c>
      <c r="AL1225" s="45">
        <f t="shared" si="153"/>
        <v>5</v>
      </c>
      <c r="AM1225" s="42">
        <f>IFERROR(LOOKUP(Z1225,打分卡!$F$17:$H$17,打分卡!$K$17:$M$17),1)</f>
        <v>1</v>
      </c>
      <c r="AN1225" s="46">
        <f>(打分卡!$D$7*AC1225+打分卡!$D$8*AD1225+打分卡!$D$9*AE1225)/5</f>
        <v>8</v>
      </c>
      <c r="AO1225" s="46">
        <f>(打分卡!$D$10*AF1225+打分卡!$D$11*AG1225)/5</f>
        <v>4</v>
      </c>
      <c r="AP1225" s="46">
        <f>(打分卡!$D$12*AH1225+打分卡!$D$13*AI1225+打分卡!$D$14*AJ1225+打分卡!$D$15*AK1225)/5</f>
        <v>8.4</v>
      </c>
      <c r="AQ1225" s="46">
        <f>(打分卡!$D$16*AL1225+打分卡!$D$17*AM1225)/5</f>
        <v>6.8</v>
      </c>
      <c r="AR1225" s="48">
        <f t="shared" si="154"/>
        <v>30.4</v>
      </c>
      <c r="AS1225" s="45" t="str">
        <f t="shared" si="155"/>
        <v>基础长尾</v>
      </c>
      <c r="AT1225" s="45" t="str">
        <f t="shared" si="156"/>
        <v/>
      </c>
      <c r="AU1225" s="45" t="str">
        <f t="shared" si="157"/>
        <v>激活：企微+Push低成本先跑</v>
      </c>
    </row>
    <row r="1226" ht="15" customHeight="1" spans="1:47">
      <c r="A1226" s="30" t="s">
        <v>3239</v>
      </c>
      <c r="B1226" s="31" t="s">
        <v>3240</v>
      </c>
      <c r="C1226" s="31" t="s">
        <v>189</v>
      </c>
      <c r="D1226" s="31" t="s">
        <v>235</v>
      </c>
      <c r="E1226" s="31" t="s">
        <v>181</v>
      </c>
      <c r="F1226" s="30" t="s">
        <v>3025</v>
      </c>
      <c r="G1226" s="31">
        <v>1</v>
      </c>
      <c r="H1226" s="31" t="s">
        <v>642</v>
      </c>
      <c r="I1226" s="31" t="s">
        <v>302</v>
      </c>
      <c r="J1226" s="33">
        <v>800</v>
      </c>
      <c r="K1226" s="33">
        <v>400</v>
      </c>
      <c r="L1226" s="33">
        <v>100</v>
      </c>
      <c r="M1226" s="33">
        <f t="shared" si="152"/>
        <v>1300</v>
      </c>
      <c r="N1226" s="34">
        <f t="shared" si="158"/>
        <v>6.81543181527454e-6</v>
      </c>
      <c r="O1226" s="35">
        <f>SUM($M$2:M1226)</f>
        <v>190629200</v>
      </c>
      <c r="P1226" s="34">
        <f t="shared" si="159"/>
        <v>0.999400242000256</v>
      </c>
      <c r="Q1226" s="37">
        <v>0.1</v>
      </c>
      <c r="R1226" s="31">
        <v>2</v>
      </c>
      <c r="S1226" s="31">
        <v>0</v>
      </c>
      <c r="T1226" s="31">
        <v>0</v>
      </c>
      <c r="U1226" s="37">
        <v>29.7</v>
      </c>
      <c r="V1226" s="31">
        <v>14</v>
      </c>
      <c r="W1226" s="31">
        <v>0</v>
      </c>
      <c r="X1226" s="38">
        <v>31</v>
      </c>
      <c r="Y1226" s="31">
        <v>0</v>
      </c>
      <c r="Z1226" s="31">
        <v>0</v>
      </c>
      <c r="AA1226" s="31" t="s">
        <v>199</v>
      </c>
      <c r="AB1226" s="31" t="s">
        <v>220</v>
      </c>
      <c r="AC1226" s="41">
        <f>IFERROR(LOOKUP(M1226,打分卡!$F$7:$J$7,打分卡!$K$7:$O$7),1)</f>
        <v>1</v>
      </c>
      <c r="AD1226" s="41">
        <f>IFERROR(LOOKUP(S1226,打分卡!$F$8:$J$8,打分卡!$K$8:$O$8),1)</f>
        <v>1</v>
      </c>
      <c r="AE1226" s="41">
        <f>IFERROR(LOOKUP(T1226,打分卡!$F$9:$I$9,打分卡!$K$9:$N$9),1)</f>
        <v>1</v>
      </c>
      <c r="AF1226" s="41">
        <f>IFERROR(LOOKUP(Q1226,打分卡!$F$10:$J$10,打分卡!$K$10:$O$10),1)</f>
        <v>1</v>
      </c>
      <c r="AG1226" s="41">
        <f>IFERROR(LOOKUP(R1226,打分卡!$F$11:$J$11,打分卡!$K$11:$O$11),1)</f>
        <v>1</v>
      </c>
      <c r="AH1226" s="41">
        <f>IFERROR(LOOKUP(U1226,打分卡!$F$12:$J$12,打分卡!$K$12:$O$12),1)</f>
        <v>3</v>
      </c>
      <c r="AI1226" s="41">
        <f>IFERROR(LOOKUP(X1226,打分卡!$F$13:$J$13,打分卡!$K$13:$O$13),1)</f>
        <v>2</v>
      </c>
      <c r="AJ1226" s="41">
        <f>IFERROR(LOOKUP(Y1226,打分卡!$F$14:$J$14,打分卡!$K$14:$O$14),1)</f>
        <v>1</v>
      </c>
      <c r="AK1226" s="41">
        <f>IFERROR(LOOKUP(W1226,打分卡!$F$15:$J$15,打分卡!$K$15:$O$15),1)</f>
        <v>1</v>
      </c>
      <c r="AL1226" s="43">
        <f t="shared" si="153"/>
        <v>5</v>
      </c>
      <c r="AM1226" s="41">
        <f>IFERROR(LOOKUP(Z1226,打分卡!$F$17:$H$17,打分卡!$K$17:$M$17),1)</f>
        <v>1</v>
      </c>
      <c r="AN1226" s="44">
        <f>(打分卡!$D$7*AC1226+打分卡!$D$8*AD1226+打分卡!$D$9*AE1226)/5</f>
        <v>8</v>
      </c>
      <c r="AO1226" s="44">
        <f>(打分卡!$D$10*AF1226+打分卡!$D$11*AG1226)/5</f>
        <v>4</v>
      </c>
      <c r="AP1226" s="44">
        <f>(打分卡!$D$12*AH1226+打分卡!$D$13*AI1226+打分卡!$D$14*AJ1226+打分卡!$D$15*AK1226)/5</f>
        <v>12.4</v>
      </c>
      <c r="AQ1226" s="44">
        <f>(打分卡!$D$16*AL1226+打分卡!$D$17*AM1226)/5</f>
        <v>6.8</v>
      </c>
      <c r="AR1226" s="47">
        <f t="shared" si="154"/>
        <v>39.7333333333333</v>
      </c>
      <c r="AS1226" s="43" t="str">
        <f t="shared" si="155"/>
        <v>基础长尾</v>
      </c>
      <c r="AT1226" s="43" t="str">
        <f t="shared" si="156"/>
        <v/>
      </c>
      <c r="AU1226" s="43" t="str">
        <f t="shared" si="157"/>
        <v>激活：企微+Push低成本先跑</v>
      </c>
    </row>
    <row r="1227" ht="15" customHeight="1" spans="1:47">
      <c r="A1227" s="20" t="s">
        <v>3241</v>
      </c>
      <c r="B1227" s="22" t="s">
        <v>3242</v>
      </c>
      <c r="C1227" s="22" t="s">
        <v>179</v>
      </c>
      <c r="D1227" s="22" t="s">
        <v>202</v>
      </c>
      <c r="E1227" s="22" t="s">
        <v>181</v>
      </c>
      <c r="F1227" s="20" t="s">
        <v>2834</v>
      </c>
      <c r="G1227" s="22">
        <v>1</v>
      </c>
      <c r="H1227" s="22" t="s">
        <v>642</v>
      </c>
      <c r="I1227" s="22" t="s">
        <v>302</v>
      </c>
      <c r="J1227" s="36">
        <v>600</v>
      </c>
      <c r="K1227" s="36">
        <v>400</v>
      </c>
      <c r="L1227" s="36">
        <v>200</v>
      </c>
      <c r="M1227" s="36">
        <f t="shared" si="152"/>
        <v>1200</v>
      </c>
      <c r="N1227" s="34">
        <f t="shared" si="158"/>
        <v>6.29116782948419e-6</v>
      </c>
      <c r="O1227" s="35">
        <f>SUM($M$2:M1227)</f>
        <v>190630400</v>
      </c>
      <c r="P1227" s="34">
        <f t="shared" si="159"/>
        <v>0.999406533168085</v>
      </c>
      <c r="Q1227" s="39">
        <v>0.1</v>
      </c>
      <c r="R1227" s="22">
        <v>1</v>
      </c>
      <c r="S1227" s="22">
        <v>0</v>
      </c>
      <c r="T1227" s="22">
        <v>0</v>
      </c>
      <c r="U1227" s="39">
        <v>1.1</v>
      </c>
      <c r="V1227" s="22">
        <v>13</v>
      </c>
      <c r="W1227" s="22">
        <v>2</v>
      </c>
      <c r="X1227" s="40">
        <v>18</v>
      </c>
      <c r="Y1227" s="22">
        <v>1</v>
      </c>
      <c r="Z1227" s="22">
        <v>0</v>
      </c>
      <c r="AA1227" s="22" t="s">
        <v>199</v>
      </c>
      <c r="AB1227" s="22" t="s">
        <v>220</v>
      </c>
      <c r="AC1227" s="42">
        <f>IFERROR(LOOKUP(M1227,打分卡!$F$7:$J$7,打分卡!$K$7:$O$7),1)</f>
        <v>1</v>
      </c>
      <c r="AD1227" s="42">
        <f>IFERROR(LOOKUP(S1227,打分卡!$F$8:$J$8,打分卡!$K$8:$O$8),1)</f>
        <v>1</v>
      </c>
      <c r="AE1227" s="42">
        <f>IFERROR(LOOKUP(T1227,打分卡!$F$9:$I$9,打分卡!$K$9:$N$9),1)</f>
        <v>1</v>
      </c>
      <c r="AF1227" s="42">
        <f>IFERROR(LOOKUP(Q1227,打分卡!$F$10:$J$10,打分卡!$K$10:$O$10),1)</f>
        <v>1</v>
      </c>
      <c r="AG1227" s="42">
        <f>IFERROR(LOOKUP(R1227,打分卡!$F$11:$J$11,打分卡!$K$11:$O$11),1)</f>
        <v>1</v>
      </c>
      <c r="AH1227" s="42">
        <f>IFERROR(LOOKUP(U1227,打分卡!$F$12:$J$12,打分卡!$K$12:$O$12),1)</f>
        <v>1</v>
      </c>
      <c r="AI1227" s="42">
        <f>IFERROR(LOOKUP(X1227,打分卡!$F$13:$J$13,打分卡!$K$13:$O$13),1)</f>
        <v>2</v>
      </c>
      <c r="AJ1227" s="42">
        <f>IFERROR(LOOKUP(Y1227,打分卡!$F$14:$J$14,打分卡!$K$14:$O$14),1)</f>
        <v>2</v>
      </c>
      <c r="AK1227" s="42">
        <f>IFERROR(LOOKUP(W1227,打分卡!$F$15:$J$15,打分卡!$K$15:$O$15),1)</f>
        <v>2</v>
      </c>
      <c r="AL1227" s="45">
        <f t="shared" si="153"/>
        <v>5</v>
      </c>
      <c r="AM1227" s="42">
        <f>IFERROR(LOOKUP(Z1227,打分卡!$F$17:$H$17,打分卡!$K$17:$M$17),1)</f>
        <v>1</v>
      </c>
      <c r="AN1227" s="46">
        <f>(打分卡!$D$7*AC1227+打分卡!$D$8*AD1227+打分卡!$D$9*AE1227)/5</f>
        <v>8</v>
      </c>
      <c r="AO1227" s="46">
        <f>(打分卡!$D$10*AF1227+打分卡!$D$11*AG1227)/5</f>
        <v>4</v>
      </c>
      <c r="AP1227" s="46">
        <f>(打分卡!$D$12*AH1227+打分卡!$D$13*AI1227+打分卡!$D$14*AJ1227+打分卡!$D$15*AK1227)/5</f>
        <v>9.6</v>
      </c>
      <c r="AQ1227" s="46">
        <f>(打分卡!$D$16*AL1227+打分卡!$D$17*AM1227)/5</f>
        <v>6.8</v>
      </c>
      <c r="AR1227" s="48">
        <f t="shared" si="154"/>
        <v>33.2</v>
      </c>
      <c r="AS1227" s="45" t="str">
        <f t="shared" si="155"/>
        <v>基础长尾</v>
      </c>
      <c r="AT1227" s="45" t="str">
        <f t="shared" si="156"/>
        <v/>
      </c>
      <c r="AU1227" s="45" t="str">
        <f t="shared" si="157"/>
        <v>激活：企微+Push低成本先跑</v>
      </c>
    </row>
    <row r="1228" ht="15" customHeight="1" spans="1:47">
      <c r="A1228" s="30" t="s">
        <v>3243</v>
      </c>
      <c r="B1228" s="31" t="s">
        <v>3244</v>
      </c>
      <c r="C1228" s="31" t="s">
        <v>223</v>
      </c>
      <c r="D1228" s="31" t="s">
        <v>227</v>
      </c>
      <c r="E1228" s="31" t="s">
        <v>181</v>
      </c>
      <c r="F1228" s="30" t="s">
        <v>3245</v>
      </c>
      <c r="G1228" s="31">
        <v>1</v>
      </c>
      <c r="H1228" s="31" t="s">
        <v>642</v>
      </c>
      <c r="I1228" s="31" t="s">
        <v>302</v>
      </c>
      <c r="J1228" s="33">
        <v>600</v>
      </c>
      <c r="K1228" s="33">
        <v>400</v>
      </c>
      <c r="L1228" s="33">
        <v>200</v>
      </c>
      <c r="M1228" s="33">
        <f t="shared" si="152"/>
        <v>1200</v>
      </c>
      <c r="N1228" s="34">
        <f t="shared" si="158"/>
        <v>6.29116782948419e-6</v>
      </c>
      <c r="O1228" s="35">
        <f>SUM($M$2:M1228)</f>
        <v>190631600</v>
      </c>
      <c r="P1228" s="34">
        <f t="shared" si="159"/>
        <v>0.999412824335915</v>
      </c>
      <c r="Q1228" s="37">
        <v>0.1</v>
      </c>
      <c r="R1228" s="31">
        <v>2</v>
      </c>
      <c r="S1228" s="31">
        <v>1</v>
      </c>
      <c r="T1228" s="31">
        <v>0</v>
      </c>
      <c r="U1228" s="37">
        <v>12.6</v>
      </c>
      <c r="V1228" s="31">
        <v>5</v>
      </c>
      <c r="W1228" s="31">
        <v>2</v>
      </c>
      <c r="X1228" s="38">
        <v>9</v>
      </c>
      <c r="Y1228" s="31">
        <v>1</v>
      </c>
      <c r="Z1228" s="31">
        <v>0</v>
      </c>
      <c r="AA1228" s="31" t="s">
        <v>199</v>
      </c>
      <c r="AB1228" s="31" t="s">
        <v>220</v>
      </c>
      <c r="AC1228" s="41">
        <f>IFERROR(LOOKUP(M1228,打分卡!$F$7:$J$7,打分卡!$K$7:$O$7),1)</f>
        <v>1</v>
      </c>
      <c r="AD1228" s="41">
        <f>IFERROR(LOOKUP(S1228,打分卡!$F$8:$J$8,打分卡!$K$8:$O$8),1)</f>
        <v>1</v>
      </c>
      <c r="AE1228" s="41">
        <f>IFERROR(LOOKUP(T1228,打分卡!$F$9:$I$9,打分卡!$K$9:$N$9),1)</f>
        <v>1</v>
      </c>
      <c r="AF1228" s="41">
        <f>IFERROR(LOOKUP(Q1228,打分卡!$F$10:$J$10,打分卡!$K$10:$O$10),1)</f>
        <v>1</v>
      </c>
      <c r="AG1228" s="41">
        <f>IFERROR(LOOKUP(R1228,打分卡!$F$11:$J$11,打分卡!$K$11:$O$11),1)</f>
        <v>1</v>
      </c>
      <c r="AH1228" s="41">
        <f>IFERROR(LOOKUP(U1228,打分卡!$F$12:$J$12,打分卡!$K$12:$O$12),1)</f>
        <v>3</v>
      </c>
      <c r="AI1228" s="41">
        <f>IFERROR(LOOKUP(X1228,打分卡!$F$13:$J$13,打分卡!$K$13:$O$13),1)</f>
        <v>1</v>
      </c>
      <c r="AJ1228" s="41">
        <f>IFERROR(LOOKUP(Y1228,打分卡!$F$14:$J$14,打分卡!$K$14:$O$14),1)</f>
        <v>2</v>
      </c>
      <c r="AK1228" s="41">
        <f>IFERROR(LOOKUP(W1228,打分卡!$F$15:$J$15,打分卡!$K$15:$O$15),1)</f>
        <v>2</v>
      </c>
      <c r="AL1228" s="43">
        <f t="shared" si="153"/>
        <v>5</v>
      </c>
      <c r="AM1228" s="41">
        <f>IFERROR(LOOKUP(Z1228,打分卡!$F$17:$H$17,打分卡!$K$17:$M$17),1)</f>
        <v>1</v>
      </c>
      <c r="AN1228" s="44">
        <f>(打分卡!$D$7*AC1228+打分卡!$D$8*AD1228+打分卡!$D$9*AE1228)/5</f>
        <v>8</v>
      </c>
      <c r="AO1228" s="44">
        <f>(打分卡!$D$10*AF1228+打分卡!$D$11*AG1228)/5</f>
        <v>4</v>
      </c>
      <c r="AP1228" s="44">
        <f>(打分卡!$D$12*AH1228+打分卡!$D$13*AI1228+打分卡!$D$14*AJ1228+打分卡!$D$15*AK1228)/5</f>
        <v>12.8</v>
      </c>
      <c r="AQ1228" s="44">
        <f>(打分卡!$D$16*AL1228+打分卡!$D$17*AM1228)/5</f>
        <v>6.8</v>
      </c>
      <c r="AR1228" s="47">
        <f t="shared" si="154"/>
        <v>40.6666666666667</v>
      </c>
      <c r="AS1228" s="43" t="str">
        <f t="shared" si="155"/>
        <v>腰部</v>
      </c>
      <c r="AT1228" s="43" t="str">
        <f t="shared" si="156"/>
        <v/>
      </c>
      <c r="AU1228" s="43" t="str">
        <f t="shared" si="157"/>
        <v>拉·主攻：主推AI外呼+大促作战包</v>
      </c>
    </row>
    <row r="1229" ht="15" customHeight="1" spans="1:47">
      <c r="A1229" s="20" t="s">
        <v>3246</v>
      </c>
      <c r="B1229" s="22" t="s">
        <v>3247</v>
      </c>
      <c r="C1229" s="22" t="s">
        <v>218</v>
      </c>
      <c r="D1229" s="22" t="s">
        <v>196</v>
      </c>
      <c r="E1229" s="22" t="s">
        <v>197</v>
      </c>
      <c r="F1229" s="20" t="s">
        <v>2852</v>
      </c>
      <c r="G1229" s="22">
        <v>3</v>
      </c>
      <c r="H1229" s="22" t="s">
        <v>642</v>
      </c>
      <c r="I1229" s="22" t="s">
        <v>302</v>
      </c>
      <c r="J1229" s="36">
        <v>600</v>
      </c>
      <c r="K1229" s="36">
        <v>200</v>
      </c>
      <c r="L1229" s="36">
        <v>400</v>
      </c>
      <c r="M1229" s="36">
        <f t="shared" si="152"/>
        <v>1200</v>
      </c>
      <c r="N1229" s="34">
        <f t="shared" si="158"/>
        <v>6.29116782948419e-6</v>
      </c>
      <c r="O1229" s="35">
        <f>SUM($M$2:M1229)</f>
        <v>190632800</v>
      </c>
      <c r="P1229" s="34">
        <f t="shared" si="159"/>
        <v>0.999419115503744</v>
      </c>
      <c r="Q1229" s="39">
        <v>0.1</v>
      </c>
      <c r="R1229" s="22">
        <v>3</v>
      </c>
      <c r="S1229" s="22">
        <v>1</v>
      </c>
      <c r="T1229" s="22">
        <v>0</v>
      </c>
      <c r="U1229" s="39">
        <v>3.7</v>
      </c>
      <c r="V1229" s="22">
        <v>10</v>
      </c>
      <c r="W1229" s="22">
        <v>0</v>
      </c>
      <c r="X1229" s="40">
        <v>8</v>
      </c>
      <c r="Y1229" s="22">
        <v>0</v>
      </c>
      <c r="Z1229" s="22">
        <v>0</v>
      </c>
      <c r="AA1229" s="22" t="s">
        <v>199</v>
      </c>
      <c r="AB1229" s="22" t="s">
        <v>220</v>
      </c>
      <c r="AC1229" s="42">
        <f>IFERROR(LOOKUP(M1229,打分卡!$F$7:$J$7,打分卡!$K$7:$O$7),1)</f>
        <v>1</v>
      </c>
      <c r="AD1229" s="42">
        <f>IFERROR(LOOKUP(S1229,打分卡!$F$8:$J$8,打分卡!$K$8:$O$8),1)</f>
        <v>1</v>
      </c>
      <c r="AE1229" s="42">
        <f>IFERROR(LOOKUP(T1229,打分卡!$F$9:$I$9,打分卡!$K$9:$N$9),1)</f>
        <v>1</v>
      </c>
      <c r="AF1229" s="42">
        <f>IFERROR(LOOKUP(Q1229,打分卡!$F$10:$J$10,打分卡!$K$10:$O$10),1)</f>
        <v>1</v>
      </c>
      <c r="AG1229" s="42">
        <f>IFERROR(LOOKUP(R1229,打分卡!$F$11:$J$11,打分卡!$K$11:$O$11),1)</f>
        <v>2</v>
      </c>
      <c r="AH1229" s="42">
        <f>IFERROR(LOOKUP(U1229,打分卡!$F$12:$J$12,打分卡!$K$12:$O$12),1)</f>
        <v>2</v>
      </c>
      <c r="AI1229" s="42">
        <f>IFERROR(LOOKUP(X1229,打分卡!$F$13:$J$13,打分卡!$K$13:$O$13),1)</f>
        <v>1</v>
      </c>
      <c r="AJ1229" s="42">
        <f>IFERROR(LOOKUP(Y1229,打分卡!$F$14:$J$14,打分卡!$K$14:$O$14),1)</f>
        <v>1</v>
      </c>
      <c r="AK1229" s="42">
        <f>IFERROR(LOOKUP(W1229,打分卡!$F$15:$J$15,打分卡!$K$15:$O$15),1)</f>
        <v>1</v>
      </c>
      <c r="AL1229" s="45">
        <f t="shared" si="153"/>
        <v>5</v>
      </c>
      <c r="AM1229" s="42">
        <f>IFERROR(LOOKUP(Z1229,打分卡!$F$17:$H$17,打分卡!$K$17:$M$17),1)</f>
        <v>1</v>
      </c>
      <c r="AN1229" s="46">
        <f>(打分卡!$D$7*AC1229+打分卡!$D$8*AD1229+打分卡!$D$9*AE1229)/5</f>
        <v>8</v>
      </c>
      <c r="AO1229" s="46">
        <f>(打分卡!$D$10*AF1229+打分卡!$D$11*AG1229)/5</f>
        <v>6</v>
      </c>
      <c r="AP1229" s="46">
        <f>(打分卡!$D$12*AH1229+打分卡!$D$13*AI1229+打分卡!$D$14*AJ1229+打分卡!$D$15*AK1229)/5</f>
        <v>8.4</v>
      </c>
      <c r="AQ1229" s="46">
        <f>(打分卡!$D$16*AL1229+打分卡!$D$17*AM1229)/5</f>
        <v>6.8</v>
      </c>
      <c r="AR1229" s="48">
        <f t="shared" si="154"/>
        <v>29.2</v>
      </c>
      <c r="AS1229" s="45" t="str">
        <f t="shared" si="155"/>
        <v>基础长尾</v>
      </c>
      <c r="AT1229" s="45" t="str">
        <f t="shared" si="156"/>
        <v/>
      </c>
      <c r="AU1229" s="45" t="str">
        <f t="shared" si="157"/>
        <v>激活：企微+Push低成本先跑</v>
      </c>
    </row>
    <row r="1230" ht="15" customHeight="1" spans="1:47">
      <c r="A1230" s="30" t="s">
        <v>3248</v>
      </c>
      <c r="B1230" s="31" t="s">
        <v>3249</v>
      </c>
      <c r="C1230" s="31" t="s">
        <v>218</v>
      </c>
      <c r="D1230" s="31" t="s">
        <v>235</v>
      </c>
      <c r="E1230" s="31" t="s">
        <v>181</v>
      </c>
      <c r="F1230" s="30" t="s">
        <v>1647</v>
      </c>
      <c r="G1230" s="31">
        <v>3</v>
      </c>
      <c r="H1230" s="31" t="s">
        <v>642</v>
      </c>
      <c r="I1230" s="31" t="s">
        <v>302</v>
      </c>
      <c r="J1230" s="33">
        <v>700</v>
      </c>
      <c r="K1230" s="33">
        <v>400</v>
      </c>
      <c r="L1230" s="33">
        <v>100</v>
      </c>
      <c r="M1230" s="33">
        <f t="shared" si="152"/>
        <v>1200</v>
      </c>
      <c r="N1230" s="34">
        <f t="shared" si="158"/>
        <v>6.29116782948419e-6</v>
      </c>
      <c r="O1230" s="35">
        <f>SUM($M$2:M1230)</f>
        <v>190634000</v>
      </c>
      <c r="P1230" s="34">
        <f t="shared" si="159"/>
        <v>0.999425406671574</v>
      </c>
      <c r="Q1230" s="37">
        <v>0.1</v>
      </c>
      <c r="R1230" s="31">
        <v>1</v>
      </c>
      <c r="S1230" s="31">
        <v>0</v>
      </c>
      <c r="T1230" s="31">
        <v>0</v>
      </c>
      <c r="U1230" s="37">
        <v>2</v>
      </c>
      <c r="V1230" s="31">
        <v>6</v>
      </c>
      <c r="W1230" s="31">
        <v>1</v>
      </c>
      <c r="X1230" s="38">
        <v>13</v>
      </c>
      <c r="Y1230" s="31">
        <v>1</v>
      </c>
      <c r="Z1230" s="31">
        <v>0</v>
      </c>
      <c r="AA1230" s="31" t="s">
        <v>199</v>
      </c>
      <c r="AB1230" s="31" t="s">
        <v>220</v>
      </c>
      <c r="AC1230" s="41">
        <f>IFERROR(LOOKUP(M1230,打分卡!$F$7:$J$7,打分卡!$K$7:$O$7),1)</f>
        <v>1</v>
      </c>
      <c r="AD1230" s="41">
        <f>IFERROR(LOOKUP(S1230,打分卡!$F$8:$J$8,打分卡!$K$8:$O$8),1)</f>
        <v>1</v>
      </c>
      <c r="AE1230" s="41">
        <f>IFERROR(LOOKUP(T1230,打分卡!$F$9:$I$9,打分卡!$K$9:$N$9),1)</f>
        <v>1</v>
      </c>
      <c r="AF1230" s="41">
        <f>IFERROR(LOOKUP(Q1230,打分卡!$F$10:$J$10,打分卡!$K$10:$O$10),1)</f>
        <v>1</v>
      </c>
      <c r="AG1230" s="41">
        <f>IFERROR(LOOKUP(R1230,打分卡!$F$11:$J$11,打分卡!$K$11:$O$11),1)</f>
        <v>1</v>
      </c>
      <c r="AH1230" s="41">
        <f>IFERROR(LOOKUP(U1230,打分卡!$F$12:$J$12,打分卡!$K$12:$O$12),1)</f>
        <v>1</v>
      </c>
      <c r="AI1230" s="41">
        <f>IFERROR(LOOKUP(X1230,打分卡!$F$13:$J$13,打分卡!$K$13:$O$13),1)</f>
        <v>1</v>
      </c>
      <c r="AJ1230" s="41">
        <f>IFERROR(LOOKUP(Y1230,打分卡!$F$14:$J$14,打分卡!$K$14:$O$14),1)</f>
        <v>2</v>
      </c>
      <c r="AK1230" s="41">
        <f>IFERROR(LOOKUP(W1230,打分卡!$F$15:$J$15,打分卡!$K$15:$O$15),1)</f>
        <v>2</v>
      </c>
      <c r="AL1230" s="43">
        <f t="shared" si="153"/>
        <v>5</v>
      </c>
      <c r="AM1230" s="41">
        <f>IFERROR(LOOKUP(Z1230,打分卡!$F$17:$H$17,打分卡!$K$17:$M$17),1)</f>
        <v>1</v>
      </c>
      <c r="AN1230" s="44">
        <f>(打分卡!$D$7*AC1230+打分卡!$D$8*AD1230+打分卡!$D$9*AE1230)/5</f>
        <v>8</v>
      </c>
      <c r="AO1230" s="44">
        <f>(打分卡!$D$10*AF1230+打分卡!$D$11*AG1230)/5</f>
        <v>4</v>
      </c>
      <c r="AP1230" s="44">
        <f>(打分卡!$D$12*AH1230+打分卡!$D$13*AI1230+打分卡!$D$14*AJ1230+打分卡!$D$15*AK1230)/5</f>
        <v>8</v>
      </c>
      <c r="AQ1230" s="44">
        <f>(打分卡!$D$16*AL1230+打分卡!$D$17*AM1230)/5</f>
        <v>6.8</v>
      </c>
      <c r="AR1230" s="47">
        <f t="shared" si="154"/>
        <v>26.8</v>
      </c>
      <c r="AS1230" s="43" t="str">
        <f t="shared" si="155"/>
        <v>基础长尾</v>
      </c>
      <c r="AT1230" s="43" t="str">
        <f t="shared" si="156"/>
        <v/>
      </c>
      <c r="AU1230" s="43" t="str">
        <f t="shared" si="157"/>
        <v>激活：企微+Push低成本先跑</v>
      </c>
    </row>
    <row r="1231" ht="15" customHeight="1" spans="1:47">
      <c r="A1231" s="20" t="s">
        <v>3250</v>
      </c>
      <c r="B1231" s="22" t="s">
        <v>3251</v>
      </c>
      <c r="C1231" s="22" t="s">
        <v>223</v>
      </c>
      <c r="D1231" s="22" t="s">
        <v>202</v>
      </c>
      <c r="E1231" s="22" t="s">
        <v>181</v>
      </c>
      <c r="F1231" s="20" t="s">
        <v>1270</v>
      </c>
      <c r="G1231" s="22">
        <v>1</v>
      </c>
      <c r="H1231" s="22" t="s">
        <v>642</v>
      </c>
      <c r="I1231" s="22" t="s">
        <v>302</v>
      </c>
      <c r="J1231" s="36">
        <v>800</v>
      </c>
      <c r="K1231" s="36">
        <v>300</v>
      </c>
      <c r="L1231" s="36">
        <v>100</v>
      </c>
      <c r="M1231" s="36">
        <f t="shared" si="152"/>
        <v>1200</v>
      </c>
      <c r="N1231" s="34">
        <f t="shared" si="158"/>
        <v>6.29116782948419e-6</v>
      </c>
      <c r="O1231" s="35">
        <f>SUM($M$2:M1231)</f>
        <v>190635200</v>
      </c>
      <c r="P1231" s="34">
        <f t="shared" si="159"/>
        <v>0.999431697839403</v>
      </c>
      <c r="Q1231" s="39">
        <v>0.1</v>
      </c>
      <c r="R1231" s="22">
        <v>1</v>
      </c>
      <c r="S1231" s="22">
        <v>1</v>
      </c>
      <c r="T1231" s="22">
        <v>0</v>
      </c>
      <c r="U1231" s="39">
        <v>5.5</v>
      </c>
      <c r="V1231" s="22">
        <v>15</v>
      </c>
      <c r="W1231" s="22">
        <v>0</v>
      </c>
      <c r="X1231" s="40">
        <v>13</v>
      </c>
      <c r="Y1231" s="22">
        <v>0</v>
      </c>
      <c r="Z1231" s="22">
        <v>0</v>
      </c>
      <c r="AA1231" s="22" t="s">
        <v>199</v>
      </c>
      <c r="AB1231" s="22" t="s">
        <v>220</v>
      </c>
      <c r="AC1231" s="42">
        <f>IFERROR(LOOKUP(M1231,打分卡!$F$7:$J$7,打分卡!$K$7:$O$7),1)</f>
        <v>1</v>
      </c>
      <c r="AD1231" s="42">
        <f>IFERROR(LOOKUP(S1231,打分卡!$F$8:$J$8,打分卡!$K$8:$O$8),1)</f>
        <v>1</v>
      </c>
      <c r="AE1231" s="42">
        <f>IFERROR(LOOKUP(T1231,打分卡!$F$9:$I$9,打分卡!$K$9:$N$9),1)</f>
        <v>1</v>
      </c>
      <c r="AF1231" s="42">
        <f>IFERROR(LOOKUP(Q1231,打分卡!$F$10:$J$10,打分卡!$K$10:$O$10),1)</f>
        <v>1</v>
      </c>
      <c r="AG1231" s="42">
        <f>IFERROR(LOOKUP(R1231,打分卡!$F$11:$J$11,打分卡!$K$11:$O$11),1)</f>
        <v>1</v>
      </c>
      <c r="AH1231" s="42">
        <f>IFERROR(LOOKUP(U1231,打分卡!$F$12:$J$12,打分卡!$K$12:$O$12),1)</f>
        <v>2</v>
      </c>
      <c r="AI1231" s="42">
        <f>IFERROR(LOOKUP(X1231,打分卡!$F$13:$J$13,打分卡!$K$13:$O$13),1)</f>
        <v>1</v>
      </c>
      <c r="AJ1231" s="42">
        <f>IFERROR(LOOKUP(Y1231,打分卡!$F$14:$J$14,打分卡!$K$14:$O$14),1)</f>
        <v>1</v>
      </c>
      <c r="AK1231" s="42">
        <f>IFERROR(LOOKUP(W1231,打分卡!$F$15:$J$15,打分卡!$K$15:$O$15),1)</f>
        <v>1</v>
      </c>
      <c r="AL1231" s="45">
        <f t="shared" si="153"/>
        <v>5</v>
      </c>
      <c r="AM1231" s="42">
        <f>IFERROR(LOOKUP(Z1231,打分卡!$F$17:$H$17,打分卡!$K$17:$M$17),1)</f>
        <v>1</v>
      </c>
      <c r="AN1231" s="46">
        <f>(打分卡!$D$7*AC1231+打分卡!$D$8*AD1231+打分卡!$D$9*AE1231)/5</f>
        <v>8</v>
      </c>
      <c r="AO1231" s="46">
        <f>(打分卡!$D$10*AF1231+打分卡!$D$11*AG1231)/5</f>
        <v>4</v>
      </c>
      <c r="AP1231" s="46">
        <f>(打分卡!$D$12*AH1231+打分卡!$D$13*AI1231+打分卡!$D$14*AJ1231+打分卡!$D$15*AK1231)/5</f>
        <v>8.4</v>
      </c>
      <c r="AQ1231" s="46">
        <f>(打分卡!$D$16*AL1231+打分卡!$D$17*AM1231)/5</f>
        <v>6.8</v>
      </c>
      <c r="AR1231" s="48">
        <f t="shared" si="154"/>
        <v>30.4</v>
      </c>
      <c r="AS1231" s="45" t="str">
        <f t="shared" si="155"/>
        <v>基础长尾</v>
      </c>
      <c r="AT1231" s="45" t="str">
        <f t="shared" si="156"/>
        <v/>
      </c>
      <c r="AU1231" s="45" t="str">
        <f t="shared" si="157"/>
        <v>激活：企微+Push低成本先跑</v>
      </c>
    </row>
    <row r="1232" ht="15" customHeight="1" spans="1:47">
      <c r="A1232" s="30" t="s">
        <v>3252</v>
      </c>
      <c r="B1232" s="31" t="s">
        <v>3253</v>
      </c>
      <c r="C1232" s="31" t="s">
        <v>218</v>
      </c>
      <c r="D1232" s="31" t="s">
        <v>180</v>
      </c>
      <c r="E1232" s="31" t="s">
        <v>181</v>
      </c>
      <c r="F1232" s="30" t="s">
        <v>705</v>
      </c>
      <c r="G1232" s="31">
        <v>3</v>
      </c>
      <c r="H1232" s="31" t="s">
        <v>642</v>
      </c>
      <c r="I1232" s="31" t="s">
        <v>302</v>
      </c>
      <c r="J1232" s="33">
        <v>700</v>
      </c>
      <c r="K1232" s="33">
        <v>300</v>
      </c>
      <c r="L1232" s="33">
        <v>200</v>
      </c>
      <c r="M1232" s="33">
        <f t="shared" si="152"/>
        <v>1200</v>
      </c>
      <c r="N1232" s="34">
        <f t="shared" si="158"/>
        <v>6.29116782948419e-6</v>
      </c>
      <c r="O1232" s="35">
        <f>SUM($M$2:M1232)</f>
        <v>190636400</v>
      </c>
      <c r="P1232" s="34">
        <f t="shared" si="159"/>
        <v>0.999437989007233</v>
      </c>
      <c r="Q1232" s="37">
        <v>0.1</v>
      </c>
      <c r="R1232" s="31">
        <v>2</v>
      </c>
      <c r="S1232" s="31">
        <v>0</v>
      </c>
      <c r="T1232" s="31">
        <v>0</v>
      </c>
      <c r="U1232" s="37">
        <v>2</v>
      </c>
      <c r="V1232" s="31">
        <v>2</v>
      </c>
      <c r="W1232" s="31">
        <v>2</v>
      </c>
      <c r="X1232" s="38">
        <v>16</v>
      </c>
      <c r="Y1232" s="31">
        <v>0</v>
      </c>
      <c r="Z1232" s="31">
        <v>0</v>
      </c>
      <c r="AA1232" s="31" t="s">
        <v>199</v>
      </c>
      <c r="AB1232" s="31" t="s">
        <v>220</v>
      </c>
      <c r="AC1232" s="41">
        <f>IFERROR(LOOKUP(M1232,打分卡!$F$7:$J$7,打分卡!$K$7:$O$7),1)</f>
        <v>1</v>
      </c>
      <c r="AD1232" s="41">
        <f>IFERROR(LOOKUP(S1232,打分卡!$F$8:$J$8,打分卡!$K$8:$O$8),1)</f>
        <v>1</v>
      </c>
      <c r="AE1232" s="41">
        <f>IFERROR(LOOKUP(T1232,打分卡!$F$9:$I$9,打分卡!$K$9:$N$9),1)</f>
        <v>1</v>
      </c>
      <c r="AF1232" s="41">
        <f>IFERROR(LOOKUP(Q1232,打分卡!$F$10:$J$10,打分卡!$K$10:$O$10),1)</f>
        <v>1</v>
      </c>
      <c r="AG1232" s="41">
        <f>IFERROR(LOOKUP(R1232,打分卡!$F$11:$J$11,打分卡!$K$11:$O$11),1)</f>
        <v>1</v>
      </c>
      <c r="AH1232" s="41">
        <f>IFERROR(LOOKUP(U1232,打分卡!$F$12:$J$12,打分卡!$K$12:$O$12),1)</f>
        <v>1</v>
      </c>
      <c r="AI1232" s="41">
        <f>IFERROR(LOOKUP(X1232,打分卡!$F$13:$J$13,打分卡!$K$13:$O$13),1)</f>
        <v>1</v>
      </c>
      <c r="AJ1232" s="41">
        <f>IFERROR(LOOKUP(Y1232,打分卡!$F$14:$J$14,打分卡!$K$14:$O$14),1)</f>
        <v>1</v>
      </c>
      <c r="AK1232" s="41">
        <f>IFERROR(LOOKUP(W1232,打分卡!$F$15:$J$15,打分卡!$K$15:$O$15),1)</f>
        <v>2</v>
      </c>
      <c r="AL1232" s="43">
        <f t="shared" si="153"/>
        <v>5</v>
      </c>
      <c r="AM1232" s="41">
        <f>IFERROR(LOOKUP(Z1232,打分卡!$F$17:$H$17,打分卡!$K$17:$M$17),1)</f>
        <v>1</v>
      </c>
      <c r="AN1232" s="44">
        <f>(打分卡!$D$7*AC1232+打分卡!$D$8*AD1232+打分卡!$D$9*AE1232)/5</f>
        <v>8</v>
      </c>
      <c r="AO1232" s="44">
        <f>(打分卡!$D$10*AF1232+打分卡!$D$11*AG1232)/5</f>
        <v>4</v>
      </c>
      <c r="AP1232" s="44">
        <f>(打分卡!$D$12*AH1232+打分卡!$D$13*AI1232+打分卡!$D$14*AJ1232+打分卡!$D$15*AK1232)/5</f>
        <v>6.8</v>
      </c>
      <c r="AQ1232" s="44">
        <f>(打分卡!$D$16*AL1232+打分卡!$D$17*AM1232)/5</f>
        <v>6.8</v>
      </c>
      <c r="AR1232" s="47">
        <f t="shared" si="154"/>
        <v>25.6</v>
      </c>
      <c r="AS1232" s="43" t="str">
        <f t="shared" si="155"/>
        <v>基础长尾</v>
      </c>
      <c r="AT1232" s="43" t="str">
        <f t="shared" si="156"/>
        <v/>
      </c>
      <c r="AU1232" s="43" t="str">
        <f t="shared" si="157"/>
        <v>激活：企微+Push低成本先跑</v>
      </c>
    </row>
    <row r="1233" ht="15" customHeight="1" spans="1:47">
      <c r="A1233" s="20" t="s">
        <v>3254</v>
      </c>
      <c r="B1233" s="22" t="s">
        <v>3255</v>
      </c>
      <c r="C1233" s="22" t="s">
        <v>239</v>
      </c>
      <c r="D1233" s="22" t="s">
        <v>235</v>
      </c>
      <c r="E1233" s="22" t="s">
        <v>197</v>
      </c>
      <c r="F1233" s="20" t="s">
        <v>2818</v>
      </c>
      <c r="G1233" s="22">
        <v>1</v>
      </c>
      <c r="H1233" s="22" t="s">
        <v>642</v>
      </c>
      <c r="I1233" s="22" t="s">
        <v>302</v>
      </c>
      <c r="J1233" s="36">
        <v>700</v>
      </c>
      <c r="K1233" s="36">
        <v>200</v>
      </c>
      <c r="L1233" s="36">
        <v>300</v>
      </c>
      <c r="M1233" s="36">
        <f t="shared" si="152"/>
        <v>1200</v>
      </c>
      <c r="N1233" s="34">
        <f t="shared" si="158"/>
        <v>6.29116782948419e-6</v>
      </c>
      <c r="O1233" s="35">
        <f>SUM($M$2:M1233)</f>
        <v>190637600</v>
      </c>
      <c r="P1233" s="34">
        <f t="shared" si="159"/>
        <v>0.999444280175062</v>
      </c>
      <c r="Q1233" s="39">
        <v>0.2</v>
      </c>
      <c r="R1233" s="22">
        <v>3</v>
      </c>
      <c r="S1233" s="22">
        <v>1</v>
      </c>
      <c r="T1233" s="22">
        <v>0</v>
      </c>
      <c r="U1233" s="39">
        <v>5.7</v>
      </c>
      <c r="V1233" s="22">
        <v>12</v>
      </c>
      <c r="W1233" s="22">
        <v>1</v>
      </c>
      <c r="X1233" s="40">
        <v>15</v>
      </c>
      <c r="Y1233" s="22">
        <v>0</v>
      </c>
      <c r="Z1233" s="22">
        <v>0</v>
      </c>
      <c r="AA1233" s="22" t="s">
        <v>199</v>
      </c>
      <c r="AB1233" s="22" t="s">
        <v>220</v>
      </c>
      <c r="AC1233" s="42">
        <f>IFERROR(LOOKUP(M1233,打分卡!$F$7:$J$7,打分卡!$K$7:$O$7),1)</f>
        <v>1</v>
      </c>
      <c r="AD1233" s="42">
        <f>IFERROR(LOOKUP(S1233,打分卡!$F$8:$J$8,打分卡!$K$8:$O$8),1)</f>
        <v>1</v>
      </c>
      <c r="AE1233" s="42">
        <f>IFERROR(LOOKUP(T1233,打分卡!$F$9:$I$9,打分卡!$K$9:$N$9),1)</f>
        <v>1</v>
      </c>
      <c r="AF1233" s="42">
        <f>IFERROR(LOOKUP(Q1233,打分卡!$F$10:$J$10,打分卡!$K$10:$O$10),1)</f>
        <v>1</v>
      </c>
      <c r="AG1233" s="42">
        <f>IFERROR(LOOKUP(R1233,打分卡!$F$11:$J$11,打分卡!$K$11:$O$11),1)</f>
        <v>2</v>
      </c>
      <c r="AH1233" s="42">
        <f>IFERROR(LOOKUP(U1233,打分卡!$F$12:$J$12,打分卡!$K$12:$O$12),1)</f>
        <v>2</v>
      </c>
      <c r="AI1233" s="42">
        <f>IFERROR(LOOKUP(X1233,打分卡!$F$13:$J$13,打分卡!$K$13:$O$13),1)</f>
        <v>1</v>
      </c>
      <c r="AJ1233" s="42">
        <f>IFERROR(LOOKUP(Y1233,打分卡!$F$14:$J$14,打分卡!$K$14:$O$14),1)</f>
        <v>1</v>
      </c>
      <c r="AK1233" s="42">
        <f>IFERROR(LOOKUP(W1233,打分卡!$F$15:$J$15,打分卡!$K$15:$O$15),1)</f>
        <v>2</v>
      </c>
      <c r="AL1233" s="45">
        <f t="shared" si="153"/>
        <v>5</v>
      </c>
      <c r="AM1233" s="42">
        <f>IFERROR(LOOKUP(Z1233,打分卡!$F$17:$H$17,打分卡!$K$17:$M$17),1)</f>
        <v>1</v>
      </c>
      <c r="AN1233" s="46">
        <f>(打分卡!$D$7*AC1233+打分卡!$D$8*AD1233+打分卡!$D$9*AE1233)/5</f>
        <v>8</v>
      </c>
      <c r="AO1233" s="46">
        <f>(打分卡!$D$10*AF1233+打分卡!$D$11*AG1233)/5</f>
        <v>6</v>
      </c>
      <c r="AP1233" s="46">
        <f>(打分卡!$D$12*AH1233+打分卡!$D$13*AI1233+打分卡!$D$14*AJ1233+打分卡!$D$15*AK1233)/5</f>
        <v>9.2</v>
      </c>
      <c r="AQ1233" s="46">
        <f>(打分卡!$D$16*AL1233+打分卡!$D$17*AM1233)/5</f>
        <v>6.8</v>
      </c>
      <c r="AR1233" s="48">
        <f t="shared" si="154"/>
        <v>34.2666666666667</v>
      </c>
      <c r="AS1233" s="45" t="str">
        <f t="shared" si="155"/>
        <v>基础长尾</v>
      </c>
      <c r="AT1233" s="45" t="str">
        <f t="shared" si="156"/>
        <v/>
      </c>
      <c r="AU1233" s="45" t="str">
        <f t="shared" si="157"/>
        <v>激活：企微+Push低成本先跑</v>
      </c>
    </row>
    <row r="1234" ht="15" customHeight="1" spans="1:47">
      <c r="A1234" s="30" t="s">
        <v>3256</v>
      </c>
      <c r="B1234" s="31" t="s">
        <v>3257</v>
      </c>
      <c r="C1234" s="31" t="s">
        <v>234</v>
      </c>
      <c r="D1234" s="31" t="s">
        <v>202</v>
      </c>
      <c r="E1234" s="31" t="s">
        <v>197</v>
      </c>
      <c r="F1234" s="30" t="s">
        <v>2972</v>
      </c>
      <c r="G1234" s="31">
        <v>2</v>
      </c>
      <c r="H1234" s="31" t="s">
        <v>642</v>
      </c>
      <c r="I1234" s="31" t="s">
        <v>302</v>
      </c>
      <c r="J1234" s="33">
        <v>700</v>
      </c>
      <c r="K1234" s="33">
        <v>300</v>
      </c>
      <c r="L1234" s="33">
        <v>200</v>
      </c>
      <c r="M1234" s="33">
        <f t="shared" si="152"/>
        <v>1200</v>
      </c>
      <c r="N1234" s="34">
        <f t="shared" si="158"/>
        <v>6.29116782948419e-6</v>
      </c>
      <c r="O1234" s="35">
        <f>SUM($M$2:M1234)</f>
        <v>190638800</v>
      </c>
      <c r="P1234" s="34">
        <f t="shared" si="159"/>
        <v>0.999450571342892</v>
      </c>
      <c r="Q1234" s="37">
        <v>0.1</v>
      </c>
      <c r="R1234" s="31">
        <v>2</v>
      </c>
      <c r="S1234" s="31">
        <v>1</v>
      </c>
      <c r="T1234" s="31">
        <v>0</v>
      </c>
      <c r="U1234" s="37">
        <v>0.6</v>
      </c>
      <c r="V1234" s="31">
        <v>1</v>
      </c>
      <c r="W1234" s="31">
        <v>2</v>
      </c>
      <c r="X1234" s="38">
        <v>10</v>
      </c>
      <c r="Y1234" s="31">
        <v>1</v>
      </c>
      <c r="Z1234" s="31">
        <v>0</v>
      </c>
      <c r="AA1234" s="31" t="s">
        <v>199</v>
      </c>
      <c r="AB1234" s="31" t="s">
        <v>220</v>
      </c>
      <c r="AC1234" s="41">
        <f>IFERROR(LOOKUP(M1234,打分卡!$F$7:$J$7,打分卡!$K$7:$O$7),1)</f>
        <v>1</v>
      </c>
      <c r="AD1234" s="41">
        <f>IFERROR(LOOKUP(S1234,打分卡!$F$8:$J$8,打分卡!$K$8:$O$8),1)</f>
        <v>1</v>
      </c>
      <c r="AE1234" s="41">
        <f>IFERROR(LOOKUP(T1234,打分卡!$F$9:$I$9,打分卡!$K$9:$N$9),1)</f>
        <v>1</v>
      </c>
      <c r="AF1234" s="41">
        <f>IFERROR(LOOKUP(Q1234,打分卡!$F$10:$J$10,打分卡!$K$10:$O$10),1)</f>
        <v>1</v>
      </c>
      <c r="AG1234" s="41">
        <f>IFERROR(LOOKUP(R1234,打分卡!$F$11:$J$11,打分卡!$K$11:$O$11),1)</f>
        <v>1</v>
      </c>
      <c r="AH1234" s="41">
        <f>IFERROR(LOOKUP(U1234,打分卡!$F$12:$J$12,打分卡!$K$12:$O$12),1)</f>
        <v>1</v>
      </c>
      <c r="AI1234" s="41">
        <f>IFERROR(LOOKUP(X1234,打分卡!$F$13:$J$13,打分卡!$K$13:$O$13),1)</f>
        <v>1</v>
      </c>
      <c r="AJ1234" s="41">
        <f>IFERROR(LOOKUP(Y1234,打分卡!$F$14:$J$14,打分卡!$K$14:$O$14),1)</f>
        <v>2</v>
      </c>
      <c r="AK1234" s="41">
        <f>IFERROR(LOOKUP(W1234,打分卡!$F$15:$J$15,打分卡!$K$15:$O$15),1)</f>
        <v>2</v>
      </c>
      <c r="AL1234" s="43">
        <f t="shared" si="153"/>
        <v>5</v>
      </c>
      <c r="AM1234" s="41">
        <f>IFERROR(LOOKUP(Z1234,打分卡!$F$17:$H$17,打分卡!$K$17:$M$17),1)</f>
        <v>1</v>
      </c>
      <c r="AN1234" s="44">
        <f>(打分卡!$D$7*AC1234+打分卡!$D$8*AD1234+打分卡!$D$9*AE1234)/5</f>
        <v>8</v>
      </c>
      <c r="AO1234" s="44">
        <f>(打分卡!$D$10*AF1234+打分卡!$D$11*AG1234)/5</f>
        <v>4</v>
      </c>
      <c r="AP1234" s="44">
        <f>(打分卡!$D$12*AH1234+打分卡!$D$13*AI1234+打分卡!$D$14*AJ1234+打分卡!$D$15*AK1234)/5</f>
        <v>8</v>
      </c>
      <c r="AQ1234" s="44">
        <f>(打分卡!$D$16*AL1234+打分卡!$D$17*AM1234)/5</f>
        <v>6.8</v>
      </c>
      <c r="AR1234" s="47">
        <f t="shared" si="154"/>
        <v>29.4666666666667</v>
      </c>
      <c r="AS1234" s="43" t="str">
        <f t="shared" si="155"/>
        <v>基础长尾</v>
      </c>
      <c r="AT1234" s="43" t="str">
        <f t="shared" si="156"/>
        <v/>
      </c>
      <c r="AU1234" s="43" t="str">
        <f t="shared" si="157"/>
        <v>激活：企微+Push低成本先跑</v>
      </c>
    </row>
    <row r="1235" ht="15" customHeight="1" spans="1:47">
      <c r="A1235" s="20" t="s">
        <v>3258</v>
      </c>
      <c r="B1235" s="22" t="s">
        <v>3259</v>
      </c>
      <c r="C1235" s="22" t="s">
        <v>189</v>
      </c>
      <c r="D1235" s="22" t="s">
        <v>202</v>
      </c>
      <c r="E1235" s="22" t="s">
        <v>181</v>
      </c>
      <c r="F1235" s="20" t="s">
        <v>2752</v>
      </c>
      <c r="G1235" s="22">
        <v>2</v>
      </c>
      <c r="H1235" s="22" t="s">
        <v>642</v>
      </c>
      <c r="I1235" s="22" t="s">
        <v>302</v>
      </c>
      <c r="J1235" s="36">
        <v>600</v>
      </c>
      <c r="K1235" s="36">
        <v>400</v>
      </c>
      <c r="L1235" s="36">
        <v>100</v>
      </c>
      <c r="M1235" s="36">
        <f t="shared" si="152"/>
        <v>1100</v>
      </c>
      <c r="N1235" s="34">
        <f t="shared" si="158"/>
        <v>5.76690384369384e-6</v>
      </c>
      <c r="O1235" s="35">
        <f>SUM($M$2:M1235)</f>
        <v>190639900</v>
      </c>
      <c r="P1235" s="34">
        <f t="shared" si="159"/>
        <v>0.999456338246735</v>
      </c>
      <c r="Q1235" s="39">
        <v>0.1</v>
      </c>
      <c r="R1235" s="22">
        <v>3</v>
      </c>
      <c r="S1235" s="22">
        <v>0</v>
      </c>
      <c r="T1235" s="22">
        <v>0</v>
      </c>
      <c r="U1235" s="39">
        <v>5.3</v>
      </c>
      <c r="V1235" s="22">
        <v>11</v>
      </c>
      <c r="W1235" s="22">
        <v>1</v>
      </c>
      <c r="X1235" s="40">
        <v>10</v>
      </c>
      <c r="Y1235" s="22">
        <v>1</v>
      </c>
      <c r="Z1235" s="22">
        <v>0</v>
      </c>
      <c r="AA1235" s="22" t="s">
        <v>199</v>
      </c>
      <c r="AB1235" s="22" t="s">
        <v>220</v>
      </c>
      <c r="AC1235" s="42">
        <f>IFERROR(LOOKUP(M1235,打分卡!$F$7:$J$7,打分卡!$K$7:$O$7),1)</f>
        <v>1</v>
      </c>
      <c r="AD1235" s="42">
        <f>IFERROR(LOOKUP(S1235,打分卡!$F$8:$J$8,打分卡!$K$8:$O$8),1)</f>
        <v>1</v>
      </c>
      <c r="AE1235" s="42">
        <f>IFERROR(LOOKUP(T1235,打分卡!$F$9:$I$9,打分卡!$K$9:$N$9),1)</f>
        <v>1</v>
      </c>
      <c r="AF1235" s="42">
        <f>IFERROR(LOOKUP(Q1235,打分卡!$F$10:$J$10,打分卡!$K$10:$O$10),1)</f>
        <v>1</v>
      </c>
      <c r="AG1235" s="42">
        <f>IFERROR(LOOKUP(R1235,打分卡!$F$11:$J$11,打分卡!$K$11:$O$11),1)</f>
        <v>2</v>
      </c>
      <c r="AH1235" s="42">
        <f>IFERROR(LOOKUP(U1235,打分卡!$F$12:$J$12,打分卡!$K$12:$O$12),1)</f>
        <v>2</v>
      </c>
      <c r="AI1235" s="42">
        <f>IFERROR(LOOKUP(X1235,打分卡!$F$13:$J$13,打分卡!$K$13:$O$13),1)</f>
        <v>1</v>
      </c>
      <c r="AJ1235" s="42">
        <f>IFERROR(LOOKUP(Y1235,打分卡!$F$14:$J$14,打分卡!$K$14:$O$14),1)</f>
        <v>2</v>
      </c>
      <c r="AK1235" s="42">
        <f>IFERROR(LOOKUP(W1235,打分卡!$F$15:$J$15,打分卡!$K$15:$O$15),1)</f>
        <v>2</v>
      </c>
      <c r="AL1235" s="45">
        <f t="shared" si="153"/>
        <v>5</v>
      </c>
      <c r="AM1235" s="42">
        <f>IFERROR(LOOKUP(Z1235,打分卡!$F$17:$H$17,打分卡!$K$17:$M$17),1)</f>
        <v>1</v>
      </c>
      <c r="AN1235" s="46">
        <f>(打分卡!$D$7*AC1235+打分卡!$D$8*AD1235+打分卡!$D$9*AE1235)/5</f>
        <v>8</v>
      </c>
      <c r="AO1235" s="46">
        <f>(打分卡!$D$10*AF1235+打分卡!$D$11*AG1235)/5</f>
        <v>6</v>
      </c>
      <c r="AP1235" s="46">
        <f>(打分卡!$D$12*AH1235+打分卡!$D$13*AI1235+打分卡!$D$14*AJ1235+打分卡!$D$15*AK1235)/5</f>
        <v>10.4</v>
      </c>
      <c r="AQ1235" s="46">
        <f>(打分卡!$D$16*AL1235+打分卡!$D$17*AM1235)/5</f>
        <v>6.8</v>
      </c>
      <c r="AR1235" s="48">
        <f t="shared" si="154"/>
        <v>37.0666666666667</v>
      </c>
      <c r="AS1235" s="45" t="str">
        <f t="shared" si="155"/>
        <v>基础长尾</v>
      </c>
      <c r="AT1235" s="45" t="str">
        <f t="shared" si="156"/>
        <v/>
      </c>
      <c r="AU1235" s="45" t="str">
        <f t="shared" si="157"/>
        <v>激活：企微+Push低成本先跑</v>
      </c>
    </row>
    <row r="1236" ht="15" customHeight="1" spans="1:47">
      <c r="A1236" s="30" t="s">
        <v>3260</v>
      </c>
      <c r="B1236" s="31" t="s">
        <v>3261</v>
      </c>
      <c r="C1236" s="31" t="s">
        <v>209</v>
      </c>
      <c r="D1236" s="31" t="s">
        <v>227</v>
      </c>
      <c r="E1236" s="31" t="s">
        <v>181</v>
      </c>
      <c r="F1236" s="30" t="s">
        <v>3262</v>
      </c>
      <c r="G1236" s="31">
        <v>1</v>
      </c>
      <c r="H1236" s="31" t="s">
        <v>642</v>
      </c>
      <c r="I1236" s="31" t="s">
        <v>302</v>
      </c>
      <c r="J1236" s="33">
        <v>700</v>
      </c>
      <c r="K1236" s="33">
        <v>400</v>
      </c>
      <c r="L1236" s="33">
        <v>100</v>
      </c>
      <c r="M1236" s="33">
        <f t="shared" si="152"/>
        <v>1200</v>
      </c>
      <c r="N1236" s="34">
        <f t="shared" si="158"/>
        <v>6.29116782948419e-6</v>
      </c>
      <c r="O1236" s="35">
        <f>SUM($M$2:M1236)</f>
        <v>190641100</v>
      </c>
      <c r="P1236" s="34">
        <f t="shared" si="159"/>
        <v>0.999462629414565</v>
      </c>
      <c r="Q1236" s="37">
        <v>0.1</v>
      </c>
      <c r="R1236" s="31">
        <v>3</v>
      </c>
      <c r="S1236" s="31">
        <v>1</v>
      </c>
      <c r="T1236" s="31">
        <v>0</v>
      </c>
      <c r="U1236" s="37">
        <v>0.7</v>
      </c>
      <c r="V1236" s="31">
        <v>13</v>
      </c>
      <c r="W1236" s="31">
        <v>1</v>
      </c>
      <c r="X1236" s="38">
        <v>50</v>
      </c>
      <c r="Y1236" s="31">
        <v>1</v>
      </c>
      <c r="Z1236" s="31">
        <v>0</v>
      </c>
      <c r="AA1236" s="31" t="s">
        <v>199</v>
      </c>
      <c r="AB1236" s="31" t="s">
        <v>220</v>
      </c>
      <c r="AC1236" s="41">
        <f>IFERROR(LOOKUP(M1236,打分卡!$F$7:$J$7,打分卡!$K$7:$O$7),1)</f>
        <v>1</v>
      </c>
      <c r="AD1236" s="41">
        <f>IFERROR(LOOKUP(S1236,打分卡!$F$8:$J$8,打分卡!$K$8:$O$8),1)</f>
        <v>1</v>
      </c>
      <c r="AE1236" s="41">
        <f>IFERROR(LOOKUP(T1236,打分卡!$F$9:$I$9,打分卡!$K$9:$N$9),1)</f>
        <v>1</v>
      </c>
      <c r="AF1236" s="41">
        <f>IFERROR(LOOKUP(Q1236,打分卡!$F$10:$J$10,打分卡!$K$10:$O$10),1)</f>
        <v>1</v>
      </c>
      <c r="AG1236" s="41">
        <f>IFERROR(LOOKUP(R1236,打分卡!$F$11:$J$11,打分卡!$K$11:$O$11),1)</f>
        <v>2</v>
      </c>
      <c r="AH1236" s="41">
        <f>IFERROR(LOOKUP(U1236,打分卡!$F$12:$J$12,打分卡!$K$12:$O$12),1)</f>
        <v>1</v>
      </c>
      <c r="AI1236" s="41">
        <f>IFERROR(LOOKUP(X1236,打分卡!$F$13:$J$13,打分卡!$K$13:$O$13),1)</f>
        <v>3</v>
      </c>
      <c r="AJ1236" s="41">
        <f>IFERROR(LOOKUP(Y1236,打分卡!$F$14:$J$14,打分卡!$K$14:$O$14),1)</f>
        <v>2</v>
      </c>
      <c r="AK1236" s="41">
        <f>IFERROR(LOOKUP(W1236,打分卡!$F$15:$J$15,打分卡!$K$15:$O$15),1)</f>
        <v>2</v>
      </c>
      <c r="AL1236" s="43">
        <f t="shared" si="153"/>
        <v>5</v>
      </c>
      <c r="AM1236" s="41">
        <f>IFERROR(LOOKUP(Z1236,打分卡!$F$17:$H$17,打分卡!$K$17:$M$17),1)</f>
        <v>1</v>
      </c>
      <c r="AN1236" s="44">
        <f>(打分卡!$D$7*AC1236+打分卡!$D$8*AD1236+打分卡!$D$9*AE1236)/5</f>
        <v>8</v>
      </c>
      <c r="AO1236" s="44">
        <f>(打分卡!$D$10*AF1236+打分卡!$D$11*AG1236)/5</f>
        <v>6</v>
      </c>
      <c r="AP1236" s="44">
        <f>(打分卡!$D$12*AH1236+打分卡!$D$13*AI1236+打分卡!$D$14*AJ1236+打分卡!$D$15*AK1236)/5</f>
        <v>11.2</v>
      </c>
      <c r="AQ1236" s="44">
        <f>(打分卡!$D$16*AL1236+打分卡!$D$17*AM1236)/5</f>
        <v>6.8</v>
      </c>
      <c r="AR1236" s="47">
        <f t="shared" si="154"/>
        <v>38.9333333333333</v>
      </c>
      <c r="AS1236" s="43" t="str">
        <f t="shared" si="155"/>
        <v>基础长尾</v>
      </c>
      <c r="AT1236" s="43" t="str">
        <f t="shared" si="156"/>
        <v/>
      </c>
      <c r="AU1236" s="43" t="str">
        <f t="shared" si="157"/>
        <v>激活：企微+Push低成本先跑</v>
      </c>
    </row>
    <row r="1237" ht="15" customHeight="1" spans="1:47">
      <c r="A1237" s="20" t="s">
        <v>3263</v>
      </c>
      <c r="B1237" s="22" t="s">
        <v>3264</v>
      </c>
      <c r="C1237" s="22" t="s">
        <v>209</v>
      </c>
      <c r="D1237" s="22" t="s">
        <v>196</v>
      </c>
      <c r="E1237" s="22" t="s">
        <v>181</v>
      </c>
      <c r="F1237" s="20" t="s">
        <v>1064</v>
      </c>
      <c r="G1237" s="22">
        <v>1</v>
      </c>
      <c r="H1237" s="22" t="s">
        <v>642</v>
      </c>
      <c r="I1237" s="22" t="s">
        <v>302</v>
      </c>
      <c r="J1237" s="36">
        <v>600</v>
      </c>
      <c r="K1237" s="36">
        <v>300</v>
      </c>
      <c r="L1237" s="36">
        <v>200</v>
      </c>
      <c r="M1237" s="36">
        <f t="shared" si="152"/>
        <v>1100</v>
      </c>
      <c r="N1237" s="34">
        <f t="shared" si="158"/>
        <v>5.76690384369384e-6</v>
      </c>
      <c r="O1237" s="35">
        <f>SUM($M$2:M1237)</f>
        <v>190642200</v>
      </c>
      <c r="P1237" s="34">
        <f t="shared" si="159"/>
        <v>0.999468396318409</v>
      </c>
      <c r="Q1237" s="39">
        <v>0.1</v>
      </c>
      <c r="R1237" s="22">
        <v>3</v>
      </c>
      <c r="S1237" s="22">
        <v>1</v>
      </c>
      <c r="T1237" s="22">
        <v>0</v>
      </c>
      <c r="U1237" s="39">
        <v>24.7</v>
      </c>
      <c r="V1237" s="22">
        <v>5</v>
      </c>
      <c r="W1237" s="22">
        <v>1</v>
      </c>
      <c r="X1237" s="40">
        <v>5</v>
      </c>
      <c r="Y1237" s="22">
        <v>1</v>
      </c>
      <c r="Z1237" s="22">
        <v>0</v>
      </c>
      <c r="AA1237" s="22" t="s">
        <v>199</v>
      </c>
      <c r="AB1237" s="22" t="s">
        <v>220</v>
      </c>
      <c r="AC1237" s="42">
        <f>IFERROR(LOOKUP(M1237,打分卡!$F$7:$J$7,打分卡!$K$7:$O$7),1)</f>
        <v>1</v>
      </c>
      <c r="AD1237" s="42">
        <f>IFERROR(LOOKUP(S1237,打分卡!$F$8:$J$8,打分卡!$K$8:$O$8),1)</f>
        <v>1</v>
      </c>
      <c r="AE1237" s="42">
        <f>IFERROR(LOOKUP(T1237,打分卡!$F$9:$I$9,打分卡!$K$9:$N$9),1)</f>
        <v>1</v>
      </c>
      <c r="AF1237" s="42">
        <f>IFERROR(LOOKUP(Q1237,打分卡!$F$10:$J$10,打分卡!$K$10:$O$10),1)</f>
        <v>1</v>
      </c>
      <c r="AG1237" s="42">
        <f>IFERROR(LOOKUP(R1237,打分卡!$F$11:$J$11,打分卡!$K$11:$O$11),1)</f>
        <v>2</v>
      </c>
      <c r="AH1237" s="42">
        <f>IFERROR(LOOKUP(U1237,打分卡!$F$12:$J$12,打分卡!$K$12:$O$12),1)</f>
        <v>3</v>
      </c>
      <c r="AI1237" s="42">
        <f>IFERROR(LOOKUP(X1237,打分卡!$F$13:$J$13,打分卡!$K$13:$O$13),1)</f>
        <v>1</v>
      </c>
      <c r="AJ1237" s="42">
        <f>IFERROR(LOOKUP(Y1237,打分卡!$F$14:$J$14,打分卡!$K$14:$O$14),1)</f>
        <v>2</v>
      </c>
      <c r="AK1237" s="42">
        <f>IFERROR(LOOKUP(W1237,打分卡!$F$15:$J$15,打分卡!$K$15:$O$15),1)</f>
        <v>2</v>
      </c>
      <c r="AL1237" s="45">
        <f t="shared" si="153"/>
        <v>5</v>
      </c>
      <c r="AM1237" s="42">
        <f>IFERROR(LOOKUP(Z1237,打分卡!$F$17:$H$17,打分卡!$K$17:$M$17),1)</f>
        <v>1</v>
      </c>
      <c r="AN1237" s="46">
        <f>(打分卡!$D$7*AC1237+打分卡!$D$8*AD1237+打分卡!$D$9*AE1237)/5</f>
        <v>8</v>
      </c>
      <c r="AO1237" s="46">
        <f>(打分卡!$D$10*AF1237+打分卡!$D$11*AG1237)/5</f>
        <v>6</v>
      </c>
      <c r="AP1237" s="46">
        <f>(打分卡!$D$12*AH1237+打分卡!$D$13*AI1237+打分卡!$D$14*AJ1237+打分卡!$D$15*AK1237)/5</f>
        <v>12.8</v>
      </c>
      <c r="AQ1237" s="46">
        <f>(打分卡!$D$16*AL1237+打分卡!$D$17*AM1237)/5</f>
        <v>6.8</v>
      </c>
      <c r="AR1237" s="48">
        <f t="shared" si="154"/>
        <v>42.6666666666667</v>
      </c>
      <c r="AS1237" s="45" t="str">
        <f t="shared" si="155"/>
        <v>腰部</v>
      </c>
      <c r="AT1237" s="45" t="str">
        <f t="shared" si="156"/>
        <v/>
      </c>
      <c r="AU1237" s="45" t="str">
        <f t="shared" si="157"/>
        <v>拉·主攻：主推AI外呼+大促作战包</v>
      </c>
    </row>
    <row r="1238" ht="15" customHeight="1" spans="1:47">
      <c r="A1238" s="30" t="s">
        <v>3265</v>
      </c>
      <c r="B1238" s="31" t="s">
        <v>3266</v>
      </c>
      <c r="C1238" s="31" t="s">
        <v>179</v>
      </c>
      <c r="D1238" s="31" t="s">
        <v>202</v>
      </c>
      <c r="E1238" s="31" t="s">
        <v>181</v>
      </c>
      <c r="F1238" s="30" t="s">
        <v>2861</v>
      </c>
      <c r="G1238" s="31">
        <v>2</v>
      </c>
      <c r="H1238" s="31" t="s">
        <v>642</v>
      </c>
      <c r="I1238" s="31" t="s">
        <v>302</v>
      </c>
      <c r="J1238" s="33">
        <v>700</v>
      </c>
      <c r="K1238" s="33">
        <v>300</v>
      </c>
      <c r="L1238" s="33">
        <v>100</v>
      </c>
      <c r="M1238" s="33">
        <f t="shared" si="152"/>
        <v>1100</v>
      </c>
      <c r="N1238" s="34">
        <f t="shared" si="158"/>
        <v>5.76690384369384e-6</v>
      </c>
      <c r="O1238" s="35">
        <f>SUM($M$2:M1238)</f>
        <v>190643300</v>
      </c>
      <c r="P1238" s="34">
        <f t="shared" si="159"/>
        <v>0.999474163222252</v>
      </c>
      <c r="Q1238" s="37">
        <v>0.1</v>
      </c>
      <c r="R1238" s="31">
        <v>3</v>
      </c>
      <c r="S1238" s="31">
        <v>1</v>
      </c>
      <c r="T1238" s="31">
        <v>0</v>
      </c>
      <c r="U1238" s="37">
        <v>3.4</v>
      </c>
      <c r="V1238" s="31">
        <v>9</v>
      </c>
      <c r="W1238" s="31">
        <v>1</v>
      </c>
      <c r="X1238" s="38">
        <v>10</v>
      </c>
      <c r="Y1238" s="31">
        <v>1</v>
      </c>
      <c r="Z1238" s="31">
        <v>0</v>
      </c>
      <c r="AA1238" s="31" t="s">
        <v>199</v>
      </c>
      <c r="AB1238" s="31" t="s">
        <v>220</v>
      </c>
      <c r="AC1238" s="41">
        <f>IFERROR(LOOKUP(M1238,打分卡!$F$7:$J$7,打分卡!$K$7:$O$7),1)</f>
        <v>1</v>
      </c>
      <c r="AD1238" s="41">
        <f>IFERROR(LOOKUP(S1238,打分卡!$F$8:$J$8,打分卡!$K$8:$O$8),1)</f>
        <v>1</v>
      </c>
      <c r="AE1238" s="41">
        <f>IFERROR(LOOKUP(T1238,打分卡!$F$9:$I$9,打分卡!$K$9:$N$9),1)</f>
        <v>1</v>
      </c>
      <c r="AF1238" s="41">
        <f>IFERROR(LOOKUP(Q1238,打分卡!$F$10:$J$10,打分卡!$K$10:$O$10),1)</f>
        <v>1</v>
      </c>
      <c r="AG1238" s="41">
        <f>IFERROR(LOOKUP(R1238,打分卡!$F$11:$J$11,打分卡!$K$11:$O$11),1)</f>
        <v>2</v>
      </c>
      <c r="AH1238" s="41">
        <f>IFERROR(LOOKUP(U1238,打分卡!$F$12:$J$12,打分卡!$K$12:$O$12),1)</f>
        <v>2</v>
      </c>
      <c r="AI1238" s="41">
        <f>IFERROR(LOOKUP(X1238,打分卡!$F$13:$J$13,打分卡!$K$13:$O$13),1)</f>
        <v>1</v>
      </c>
      <c r="AJ1238" s="41">
        <f>IFERROR(LOOKUP(Y1238,打分卡!$F$14:$J$14,打分卡!$K$14:$O$14),1)</f>
        <v>2</v>
      </c>
      <c r="AK1238" s="41">
        <f>IFERROR(LOOKUP(W1238,打分卡!$F$15:$J$15,打分卡!$K$15:$O$15),1)</f>
        <v>2</v>
      </c>
      <c r="AL1238" s="43">
        <f t="shared" si="153"/>
        <v>5</v>
      </c>
      <c r="AM1238" s="41">
        <f>IFERROR(LOOKUP(Z1238,打分卡!$F$17:$H$17,打分卡!$K$17:$M$17),1)</f>
        <v>1</v>
      </c>
      <c r="AN1238" s="44">
        <f>(打分卡!$D$7*AC1238+打分卡!$D$8*AD1238+打分卡!$D$9*AE1238)/5</f>
        <v>8</v>
      </c>
      <c r="AO1238" s="44">
        <f>(打分卡!$D$10*AF1238+打分卡!$D$11*AG1238)/5</f>
        <v>6</v>
      </c>
      <c r="AP1238" s="44">
        <f>(打分卡!$D$12*AH1238+打分卡!$D$13*AI1238+打分卡!$D$14*AJ1238+打分卡!$D$15*AK1238)/5</f>
        <v>10.4</v>
      </c>
      <c r="AQ1238" s="44">
        <f>(打分卡!$D$16*AL1238+打分卡!$D$17*AM1238)/5</f>
        <v>6.8</v>
      </c>
      <c r="AR1238" s="47">
        <f t="shared" si="154"/>
        <v>37.0666666666667</v>
      </c>
      <c r="AS1238" s="43" t="str">
        <f t="shared" si="155"/>
        <v>基础长尾</v>
      </c>
      <c r="AT1238" s="43" t="str">
        <f t="shared" si="156"/>
        <v/>
      </c>
      <c r="AU1238" s="43" t="str">
        <f t="shared" si="157"/>
        <v>激活：企微+Push低成本先跑</v>
      </c>
    </row>
    <row r="1239" ht="15" customHeight="1" spans="1:47">
      <c r="A1239" s="20" t="s">
        <v>3267</v>
      </c>
      <c r="B1239" s="22" t="s">
        <v>3268</v>
      </c>
      <c r="C1239" s="22" t="s">
        <v>239</v>
      </c>
      <c r="D1239" s="22" t="s">
        <v>227</v>
      </c>
      <c r="E1239" s="22" t="s">
        <v>181</v>
      </c>
      <c r="F1239" s="20" t="s">
        <v>2841</v>
      </c>
      <c r="G1239" s="22">
        <v>1</v>
      </c>
      <c r="H1239" s="22" t="s">
        <v>642</v>
      </c>
      <c r="I1239" s="22" t="s">
        <v>302</v>
      </c>
      <c r="J1239" s="36">
        <v>500</v>
      </c>
      <c r="K1239" s="36">
        <v>300</v>
      </c>
      <c r="L1239" s="36">
        <v>300</v>
      </c>
      <c r="M1239" s="36">
        <f t="shared" si="152"/>
        <v>1100</v>
      </c>
      <c r="N1239" s="34">
        <f t="shared" si="158"/>
        <v>5.76690384369384e-6</v>
      </c>
      <c r="O1239" s="35">
        <f>SUM($M$2:M1239)</f>
        <v>190644400</v>
      </c>
      <c r="P1239" s="34">
        <f t="shared" si="159"/>
        <v>0.999479930126096</v>
      </c>
      <c r="Q1239" s="39">
        <v>0.1</v>
      </c>
      <c r="R1239" s="22">
        <v>3</v>
      </c>
      <c r="S1239" s="22">
        <v>1</v>
      </c>
      <c r="T1239" s="22">
        <v>0</v>
      </c>
      <c r="U1239" s="39">
        <v>7.8</v>
      </c>
      <c r="V1239" s="22">
        <v>2</v>
      </c>
      <c r="W1239" s="22">
        <v>0</v>
      </c>
      <c r="X1239" s="40">
        <v>12</v>
      </c>
      <c r="Y1239" s="22">
        <v>1</v>
      </c>
      <c r="Z1239" s="22">
        <v>0</v>
      </c>
      <c r="AA1239" s="22" t="s">
        <v>199</v>
      </c>
      <c r="AB1239" s="22" t="s">
        <v>220</v>
      </c>
      <c r="AC1239" s="42">
        <f>IFERROR(LOOKUP(M1239,打分卡!$F$7:$J$7,打分卡!$K$7:$O$7),1)</f>
        <v>1</v>
      </c>
      <c r="AD1239" s="42">
        <f>IFERROR(LOOKUP(S1239,打分卡!$F$8:$J$8,打分卡!$K$8:$O$8),1)</f>
        <v>1</v>
      </c>
      <c r="AE1239" s="42">
        <f>IFERROR(LOOKUP(T1239,打分卡!$F$9:$I$9,打分卡!$K$9:$N$9),1)</f>
        <v>1</v>
      </c>
      <c r="AF1239" s="42">
        <f>IFERROR(LOOKUP(Q1239,打分卡!$F$10:$J$10,打分卡!$K$10:$O$10),1)</f>
        <v>1</v>
      </c>
      <c r="AG1239" s="42">
        <f>IFERROR(LOOKUP(R1239,打分卡!$F$11:$J$11,打分卡!$K$11:$O$11),1)</f>
        <v>2</v>
      </c>
      <c r="AH1239" s="42">
        <f>IFERROR(LOOKUP(U1239,打分卡!$F$12:$J$12,打分卡!$K$12:$O$12),1)</f>
        <v>2</v>
      </c>
      <c r="AI1239" s="42">
        <f>IFERROR(LOOKUP(X1239,打分卡!$F$13:$J$13,打分卡!$K$13:$O$13),1)</f>
        <v>1</v>
      </c>
      <c r="AJ1239" s="42">
        <f>IFERROR(LOOKUP(Y1239,打分卡!$F$14:$J$14,打分卡!$K$14:$O$14),1)</f>
        <v>2</v>
      </c>
      <c r="AK1239" s="42">
        <f>IFERROR(LOOKUP(W1239,打分卡!$F$15:$J$15,打分卡!$K$15:$O$15),1)</f>
        <v>1</v>
      </c>
      <c r="AL1239" s="45">
        <f t="shared" si="153"/>
        <v>5</v>
      </c>
      <c r="AM1239" s="42">
        <f>IFERROR(LOOKUP(Z1239,打分卡!$F$17:$H$17,打分卡!$K$17:$M$17),1)</f>
        <v>1</v>
      </c>
      <c r="AN1239" s="46">
        <f>(打分卡!$D$7*AC1239+打分卡!$D$8*AD1239+打分卡!$D$9*AE1239)/5</f>
        <v>8</v>
      </c>
      <c r="AO1239" s="46">
        <f>(打分卡!$D$10*AF1239+打分卡!$D$11*AG1239)/5</f>
        <v>6</v>
      </c>
      <c r="AP1239" s="46">
        <f>(打分卡!$D$12*AH1239+打分卡!$D$13*AI1239+打分卡!$D$14*AJ1239+打分卡!$D$15*AK1239)/5</f>
        <v>9.6</v>
      </c>
      <c r="AQ1239" s="46">
        <f>(打分卡!$D$16*AL1239+打分卡!$D$17*AM1239)/5</f>
        <v>6.8</v>
      </c>
      <c r="AR1239" s="48">
        <f t="shared" si="154"/>
        <v>35.2</v>
      </c>
      <c r="AS1239" s="45" t="str">
        <f t="shared" si="155"/>
        <v>基础长尾</v>
      </c>
      <c r="AT1239" s="45" t="str">
        <f t="shared" si="156"/>
        <v/>
      </c>
      <c r="AU1239" s="45" t="str">
        <f t="shared" si="157"/>
        <v>激活：企微+Push低成本先跑</v>
      </c>
    </row>
    <row r="1240" ht="15" customHeight="1" spans="1:47">
      <c r="A1240" s="30" t="s">
        <v>3269</v>
      </c>
      <c r="B1240" s="31" t="s">
        <v>3270</v>
      </c>
      <c r="C1240" s="31" t="s">
        <v>195</v>
      </c>
      <c r="D1240" s="31" t="s">
        <v>190</v>
      </c>
      <c r="E1240" s="31" t="s">
        <v>181</v>
      </c>
      <c r="F1240" s="30" t="s">
        <v>1120</v>
      </c>
      <c r="G1240" s="31">
        <v>1</v>
      </c>
      <c r="H1240" s="31" t="s">
        <v>642</v>
      </c>
      <c r="I1240" s="31" t="s">
        <v>302</v>
      </c>
      <c r="J1240" s="33">
        <v>700</v>
      </c>
      <c r="K1240" s="33">
        <v>400</v>
      </c>
      <c r="L1240" s="33">
        <v>100</v>
      </c>
      <c r="M1240" s="33">
        <f t="shared" si="152"/>
        <v>1200</v>
      </c>
      <c r="N1240" s="34">
        <f t="shared" si="158"/>
        <v>6.29116782948419e-6</v>
      </c>
      <c r="O1240" s="35">
        <f>SUM($M$2:M1240)</f>
        <v>190645600</v>
      </c>
      <c r="P1240" s="34">
        <f t="shared" si="159"/>
        <v>0.999486221293926</v>
      </c>
      <c r="Q1240" s="37">
        <v>0.1</v>
      </c>
      <c r="R1240" s="31">
        <v>2</v>
      </c>
      <c r="S1240" s="31">
        <v>1</v>
      </c>
      <c r="T1240" s="31">
        <v>0</v>
      </c>
      <c r="U1240" s="37">
        <v>2</v>
      </c>
      <c r="V1240" s="31">
        <v>7</v>
      </c>
      <c r="W1240" s="31">
        <v>0</v>
      </c>
      <c r="X1240" s="38">
        <v>37</v>
      </c>
      <c r="Y1240" s="31">
        <v>1</v>
      </c>
      <c r="Z1240" s="31">
        <v>0</v>
      </c>
      <c r="AA1240" s="31" t="s">
        <v>199</v>
      </c>
      <c r="AB1240" s="31" t="s">
        <v>220</v>
      </c>
      <c r="AC1240" s="41">
        <f>IFERROR(LOOKUP(M1240,打分卡!$F$7:$J$7,打分卡!$K$7:$O$7),1)</f>
        <v>1</v>
      </c>
      <c r="AD1240" s="41">
        <f>IFERROR(LOOKUP(S1240,打分卡!$F$8:$J$8,打分卡!$K$8:$O$8),1)</f>
        <v>1</v>
      </c>
      <c r="AE1240" s="41">
        <f>IFERROR(LOOKUP(T1240,打分卡!$F$9:$I$9,打分卡!$K$9:$N$9),1)</f>
        <v>1</v>
      </c>
      <c r="AF1240" s="41">
        <f>IFERROR(LOOKUP(Q1240,打分卡!$F$10:$J$10,打分卡!$K$10:$O$10),1)</f>
        <v>1</v>
      </c>
      <c r="AG1240" s="41">
        <f>IFERROR(LOOKUP(R1240,打分卡!$F$11:$J$11,打分卡!$K$11:$O$11),1)</f>
        <v>1</v>
      </c>
      <c r="AH1240" s="41">
        <f>IFERROR(LOOKUP(U1240,打分卡!$F$12:$J$12,打分卡!$K$12:$O$12),1)</f>
        <v>1</v>
      </c>
      <c r="AI1240" s="41">
        <f>IFERROR(LOOKUP(X1240,打分卡!$F$13:$J$13,打分卡!$K$13:$O$13),1)</f>
        <v>2</v>
      </c>
      <c r="AJ1240" s="41">
        <f>IFERROR(LOOKUP(Y1240,打分卡!$F$14:$J$14,打分卡!$K$14:$O$14),1)</f>
        <v>2</v>
      </c>
      <c r="AK1240" s="41">
        <f>IFERROR(LOOKUP(W1240,打分卡!$F$15:$J$15,打分卡!$K$15:$O$15),1)</f>
        <v>1</v>
      </c>
      <c r="AL1240" s="43">
        <f t="shared" si="153"/>
        <v>5</v>
      </c>
      <c r="AM1240" s="41">
        <f>IFERROR(LOOKUP(Z1240,打分卡!$F$17:$H$17,打分卡!$K$17:$M$17),1)</f>
        <v>1</v>
      </c>
      <c r="AN1240" s="44">
        <f>(打分卡!$D$7*AC1240+打分卡!$D$8*AD1240+打分卡!$D$9*AE1240)/5</f>
        <v>8</v>
      </c>
      <c r="AO1240" s="44">
        <f>(打分卡!$D$10*AF1240+打分卡!$D$11*AG1240)/5</f>
        <v>4</v>
      </c>
      <c r="AP1240" s="44">
        <f>(打分卡!$D$12*AH1240+打分卡!$D$13*AI1240+打分卡!$D$14*AJ1240+打分卡!$D$15*AK1240)/5</f>
        <v>8.8</v>
      </c>
      <c r="AQ1240" s="44">
        <f>(打分卡!$D$16*AL1240+打分卡!$D$17*AM1240)/5</f>
        <v>6.8</v>
      </c>
      <c r="AR1240" s="47">
        <f t="shared" si="154"/>
        <v>31.3333333333333</v>
      </c>
      <c r="AS1240" s="43" t="str">
        <f t="shared" si="155"/>
        <v>基础长尾</v>
      </c>
      <c r="AT1240" s="43" t="str">
        <f t="shared" si="156"/>
        <v/>
      </c>
      <c r="AU1240" s="43" t="str">
        <f t="shared" si="157"/>
        <v>激活：企微+Push低成本先跑</v>
      </c>
    </row>
    <row r="1241" ht="15" customHeight="1" spans="1:47">
      <c r="A1241" s="20" t="s">
        <v>3271</v>
      </c>
      <c r="B1241" s="22" t="s">
        <v>3272</v>
      </c>
      <c r="C1241" s="22" t="s">
        <v>189</v>
      </c>
      <c r="D1241" s="22" t="s">
        <v>202</v>
      </c>
      <c r="E1241" s="22" t="s">
        <v>197</v>
      </c>
      <c r="F1241" s="20" t="s">
        <v>931</v>
      </c>
      <c r="G1241" s="22">
        <v>3</v>
      </c>
      <c r="H1241" s="22" t="s">
        <v>642</v>
      </c>
      <c r="I1241" s="22" t="s">
        <v>302</v>
      </c>
      <c r="J1241" s="36">
        <v>500</v>
      </c>
      <c r="K1241" s="36">
        <v>400</v>
      </c>
      <c r="L1241" s="36">
        <v>200</v>
      </c>
      <c r="M1241" s="36">
        <f t="shared" si="152"/>
        <v>1100</v>
      </c>
      <c r="N1241" s="34">
        <f t="shared" si="158"/>
        <v>5.76690384369384e-6</v>
      </c>
      <c r="O1241" s="35">
        <f>SUM($M$2:M1241)</f>
        <v>190646700</v>
      </c>
      <c r="P1241" s="34">
        <f t="shared" si="159"/>
        <v>0.999491988197769</v>
      </c>
      <c r="Q1241" s="39">
        <v>0.1</v>
      </c>
      <c r="R1241" s="22">
        <v>1</v>
      </c>
      <c r="S1241" s="22">
        <v>0</v>
      </c>
      <c r="T1241" s="22">
        <v>0</v>
      </c>
      <c r="U1241" s="39">
        <v>8.4</v>
      </c>
      <c r="V1241" s="22">
        <v>8</v>
      </c>
      <c r="W1241" s="22">
        <v>1</v>
      </c>
      <c r="X1241" s="40">
        <v>44</v>
      </c>
      <c r="Y1241" s="22">
        <v>1</v>
      </c>
      <c r="Z1241" s="22">
        <v>0</v>
      </c>
      <c r="AA1241" s="22" t="s">
        <v>199</v>
      </c>
      <c r="AB1241" s="22" t="s">
        <v>220</v>
      </c>
      <c r="AC1241" s="42">
        <f>IFERROR(LOOKUP(M1241,打分卡!$F$7:$J$7,打分卡!$K$7:$O$7),1)</f>
        <v>1</v>
      </c>
      <c r="AD1241" s="42">
        <f>IFERROR(LOOKUP(S1241,打分卡!$F$8:$J$8,打分卡!$K$8:$O$8),1)</f>
        <v>1</v>
      </c>
      <c r="AE1241" s="42">
        <f>IFERROR(LOOKUP(T1241,打分卡!$F$9:$I$9,打分卡!$K$9:$N$9),1)</f>
        <v>1</v>
      </c>
      <c r="AF1241" s="42">
        <f>IFERROR(LOOKUP(Q1241,打分卡!$F$10:$J$10,打分卡!$K$10:$O$10),1)</f>
        <v>1</v>
      </c>
      <c r="AG1241" s="42">
        <f>IFERROR(LOOKUP(R1241,打分卡!$F$11:$J$11,打分卡!$K$11:$O$11),1)</f>
        <v>1</v>
      </c>
      <c r="AH1241" s="42">
        <f>IFERROR(LOOKUP(U1241,打分卡!$F$12:$J$12,打分卡!$K$12:$O$12),1)</f>
        <v>2</v>
      </c>
      <c r="AI1241" s="42">
        <f>IFERROR(LOOKUP(X1241,打分卡!$F$13:$J$13,打分卡!$K$13:$O$13),1)</f>
        <v>3</v>
      </c>
      <c r="AJ1241" s="42">
        <f>IFERROR(LOOKUP(Y1241,打分卡!$F$14:$J$14,打分卡!$K$14:$O$14),1)</f>
        <v>2</v>
      </c>
      <c r="AK1241" s="42">
        <f>IFERROR(LOOKUP(W1241,打分卡!$F$15:$J$15,打分卡!$K$15:$O$15),1)</f>
        <v>2</v>
      </c>
      <c r="AL1241" s="45">
        <f t="shared" si="153"/>
        <v>5</v>
      </c>
      <c r="AM1241" s="42">
        <f>IFERROR(LOOKUP(Z1241,打分卡!$F$17:$H$17,打分卡!$K$17:$M$17),1)</f>
        <v>1</v>
      </c>
      <c r="AN1241" s="46">
        <f>(打分卡!$D$7*AC1241+打分卡!$D$8*AD1241+打分卡!$D$9*AE1241)/5</f>
        <v>8</v>
      </c>
      <c r="AO1241" s="46">
        <f>(打分卡!$D$10*AF1241+打分卡!$D$11*AG1241)/5</f>
        <v>4</v>
      </c>
      <c r="AP1241" s="46">
        <f>(打分卡!$D$12*AH1241+打分卡!$D$13*AI1241+打分卡!$D$14*AJ1241+打分卡!$D$15*AK1241)/5</f>
        <v>13.6</v>
      </c>
      <c r="AQ1241" s="46">
        <f>(打分卡!$D$16*AL1241+打分卡!$D$17*AM1241)/5</f>
        <v>6.8</v>
      </c>
      <c r="AR1241" s="48">
        <f t="shared" si="154"/>
        <v>32.4</v>
      </c>
      <c r="AS1241" s="45" t="str">
        <f t="shared" si="155"/>
        <v>基础长尾</v>
      </c>
      <c r="AT1241" s="45" t="str">
        <f t="shared" si="156"/>
        <v/>
      </c>
      <c r="AU1241" s="45" t="str">
        <f t="shared" si="157"/>
        <v>激活：企微+Push低成本先跑</v>
      </c>
    </row>
    <row r="1242" ht="15" customHeight="1" spans="1:47">
      <c r="A1242" s="30" t="s">
        <v>3273</v>
      </c>
      <c r="B1242" s="31" t="s">
        <v>3274</v>
      </c>
      <c r="C1242" s="31" t="s">
        <v>223</v>
      </c>
      <c r="D1242" s="31" t="s">
        <v>196</v>
      </c>
      <c r="E1242" s="31" t="s">
        <v>197</v>
      </c>
      <c r="F1242" s="30" t="s">
        <v>860</v>
      </c>
      <c r="G1242" s="31">
        <v>3</v>
      </c>
      <c r="H1242" s="31" t="s">
        <v>642</v>
      </c>
      <c r="I1242" s="31" t="s">
        <v>302</v>
      </c>
      <c r="J1242" s="33">
        <v>500</v>
      </c>
      <c r="K1242" s="33">
        <v>300</v>
      </c>
      <c r="L1242" s="33">
        <v>200</v>
      </c>
      <c r="M1242" s="33">
        <f t="shared" si="152"/>
        <v>1000</v>
      </c>
      <c r="N1242" s="34">
        <f t="shared" si="158"/>
        <v>5.24263985790349e-6</v>
      </c>
      <c r="O1242" s="35">
        <f>SUM($M$2:M1242)</f>
        <v>190647700</v>
      </c>
      <c r="P1242" s="34">
        <f t="shared" si="159"/>
        <v>0.999497230837627</v>
      </c>
      <c r="Q1242" s="37">
        <v>0.1</v>
      </c>
      <c r="R1242" s="31">
        <v>2</v>
      </c>
      <c r="S1242" s="31">
        <v>0</v>
      </c>
      <c r="T1242" s="31">
        <v>0</v>
      </c>
      <c r="U1242" s="37">
        <v>2.4</v>
      </c>
      <c r="V1242" s="31">
        <v>5</v>
      </c>
      <c r="W1242" s="31">
        <v>0</v>
      </c>
      <c r="X1242" s="38">
        <v>45</v>
      </c>
      <c r="Y1242" s="31">
        <v>0</v>
      </c>
      <c r="Z1242" s="31">
        <v>0</v>
      </c>
      <c r="AA1242" s="31" t="s">
        <v>199</v>
      </c>
      <c r="AB1242" s="31" t="s">
        <v>220</v>
      </c>
      <c r="AC1242" s="41">
        <f>IFERROR(LOOKUP(M1242,打分卡!$F$7:$J$7,打分卡!$K$7:$O$7),1)</f>
        <v>1</v>
      </c>
      <c r="AD1242" s="41">
        <f>IFERROR(LOOKUP(S1242,打分卡!$F$8:$J$8,打分卡!$K$8:$O$8),1)</f>
        <v>1</v>
      </c>
      <c r="AE1242" s="41">
        <f>IFERROR(LOOKUP(T1242,打分卡!$F$9:$I$9,打分卡!$K$9:$N$9),1)</f>
        <v>1</v>
      </c>
      <c r="AF1242" s="41">
        <f>IFERROR(LOOKUP(Q1242,打分卡!$F$10:$J$10,打分卡!$K$10:$O$10),1)</f>
        <v>1</v>
      </c>
      <c r="AG1242" s="41">
        <f>IFERROR(LOOKUP(R1242,打分卡!$F$11:$J$11,打分卡!$K$11:$O$11),1)</f>
        <v>1</v>
      </c>
      <c r="AH1242" s="41">
        <f>IFERROR(LOOKUP(U1242,打分卡!$F$12:$J$12,打分卡!$K$12:$O$12),1)</f>
        <v>1</v>
      </c>
      <c r="AI1242" s="41">
        <f>IFERROR(LOOKUP(X1242,打分卡!$F$13:$J$13,打分卡!$K$13:$O$13),1)</f>
        <v>3</v>
      </c>
      <c r="AJ1242" s="41">
        <f>IFERROR(LOOKUP(Y1242,打分卡!$F$14:$J$14,打分卡!$K$14:$O$14),1)</f>
        <v>1</v>
      </c>
      <c r="AK1242" s="41">
        <f>IFERROR(LOOKUP(W1242,打分卡!$F$15:$J$15,打分卡!$K$15:$O$15),1)</f>
        <v>1</v>
      </c>
      <c r="AL1242" s="43">
        <f t="shared" si="153"/>
        <v>5</v>
      </c>
      <c r="AM1242" s="41">
        <f>IFERROR(LOOKUP(Z1242,打分卡!$F$17:$H$17,打分卡!$K$17:$M$17),1)</f>
        <v>1</v>
      </c>
      <c r="AN1242" s="44">
        <f>(打分卡!$D$7*AC1242+打分卡!$D$8*AD1242+打分卡!$D$9*AE1242)/5</f>
        <v>8</v>
      </c>
      <c r="AO1242" s="44">
        <f>(打分卡!$D$10*AF1242+打分卡!$D$11*AG1242)/5</f>
        <v>4</v>
      </c>
      <c r="AP1242" s="44">
        <f>(打分卡!$D$12*AH1242+打分卡!$D$13*AI1242+打分卡!$D$14*AJ1242+打分卡!$D$15*AK1242)/5</f>
        <v>9.2</v>
      </c>
      <c r="AQ1242" s="44">
        <f>(打分卡!$D$16*AL1242+打分卡!$D$17*AM1242)/5</f>
        <v>6.8</v>
      </c>
      <c r="AR1242" s="47">
        <f t="shared" si="154"/>
        <v>28</v>
      </c>
      <c r="AS1242" s="43" t="str">
        <f t="shared" si="155"/>
        <v>基础长尾</v>
      </c>
      <c r="AT1242" s="43" t="str">
        <f t="shared" si="156"/>
        <v/>
      </c>
      <c r="AU1242" s="43" t="str">
        <f t="shared" si="157"/>
        <v>激活：企微+Push低成本先跑</v>
      </c>
    </row>
    <row r="1243" ht="15" customHeight="1" spans="1:47">
      <c r="A1243" s="20" t="s">
        <v>3275</v>
      </c>
      <c r="B1243" s="22" t="s">
        <v>3276</v>
      </c>
      <c r="C1243" s="22" t="s">
        <v>189</v>
      </c>
      <c r="D1243" s="22" t="s">
        <v>196</v>
      </c>
      <c r="E1243" s="22" t="s">
        <v>181</v>
      </c>
      <c r="F1243" s="20" t="s">
        <v>3125</v>
      </c>
      <c r="G1243" s="22">
        <v>1</v>
      </c>
      <c r="H1243" s="22" t="s">
        <v>642</v>
      </c>
      <c r="I1243" s="22" t="s">
        <v>302</v>
      </c>
      <c r="J1243" s="36">
        <v>600</v>
      </c>
      <c r="K1243" s="36">
        <v>300</v>
      </c>
      <c r="L1243" s="36">
        <v>100</v>
      </c>
      <c r="M1243" s="36">
        <f t="shared" si="152"/>
        <v>1000</v>
      </c>
      <c r="N1243" s="34">
        <f t="shared" si="158"/>
        <v>5.24263985790349e-6</v>
      </c>
      <c r="O1243" s="35">
        <f>SUM($M$2:M1243)</f>
        <v>190648700</v>
      </c>
      <c r="P1243" s="34">
        <f t="shared" si="159"/>
        <v>0.999502473477485</v>
      </c>
      <c r="Q1243" s="39">
        <v>0.1</v>
      </c>
      <c r="R1243" s="22">
        <v>3</v>
      </c>
      <c r="S1243" s="22">
        <v>1</v>
      </c>
      <c r="T1243" s="22">
        <v>0</v>
      </c>
      <c r="U1243" s="39">
        <v>3.9</v>
      </c>
      <c r="V1243" s="22">
        <v>5</v>
      </c>
      <c r="W1243" s="22">
        <v>0</v>
      </c>
      <c r="X1243" s="40">
        <v>18</v>
      </c>
      <c r="Y1243" s="22">
        <v>1</v>
      </c>
      <c r="Z1243" s="22">
        <v>0</v>
      </c>
      <c r="AA1243" s="22" t="s">
        <v>199</v>
      </c>
      <c r="AB1243" s="22" t="s">
        <v>220</v>
      </c>
      <c r="AC1243" s="42">
        <f>IFERROR(LOOKUP(M1243,打分卡!$F$7:$J$7,打分卡!$K$7:$O$7),1)</f>
        <v>1</v>
      </c>
      <c r="AD1243" s="42">
        <f>IFERROR(LOOKUP(S1243,打分卡!$F$8:$J$8,打分卡!$K$8:$O$8),1)</f>
        <v>1</v>
      </c>
      <c r="AE1243" s="42">
        <f>IFERROR(LOOKUP(T1243,打分卡!$F$9:$I$9,打分卡!$K$9:$N$9),1)</f>
        <v>1</v>
      </c>
      <c r="AF1243" s="42">
        <f>IFERROR(LOOKUP(Q1243,打分卡!$F$10:$J$10,打分卡!$K$10:$O$10),1)</f>
        <v>1</v>
      </c>
      <c r="AG1243" s="42">
        <f>IFERROR(LOOKUP(R1243,打分卡!$F$11:$J$11,打分卡!$K$11:$O$11),1)</f>
        <v>2</v>
      </c>
      <c r="AH1243" s="42">
        <f>IFERROR(LOOKUP(U1243,打分卡!$F$12:$J$12,打分卡!$K$12:$O$12),1)</f>
        <v>2</v>
      </c>
      <c r="AI1243" s="42">
        <f>IFERROR(LOOKUP(X1243,打分卡!$F$13:$J$13,打分卡!$K$13:$O$13),1)</f>
        <v>2</v>
      </c>
      <c r="AJ1243" s="42">
        <f>IFERROR(LOOKUP(Y1243,打分卡!$F$14:$J$14,打分卡!$K$14:$O$14),1)</f>
        <v>2</v>
      </c>
      <c r="AK1243" s="42">
        <f>IFERROR(LOOKUP(W1243,打分卡!$F$15:$J$15,打分卡!$K$15:$O$15),1)</f>
        <v>1</v>
      </c>
      <c r="AL1243" s="45">
        <f t="shared" si="153"/>
        <v>5</v>
      </c>
      <c r="AM1243" s="42">
        <f>IFERROR(LOOKUP(Z1243,打分卡!$F$17:$H$17,打分卡!$K$17:$M$17),1)</f>
        <v>1</v>
      </c>
      <c r="AN1243" s="46">
        <f>(打分卡!$D$7*AC1243+打分卡!$D$8*AD1243+打分卡!$D$9*AE1243)/5</f>
        <v>8</v>
      </c>
      <c r="AO1243" s="46">
        <f>(打分卡!$D$10*AF1243+打分卡!$D$11*AG1243)/5</f>
        <v>6</v>
      </c>
      <c r="AP1243" s="46">
        <f>(打分卡!$D$12*AH1243+打分卡!$D$13*AI1243+打分卡!$D$14*AJ1243+打分卡!$D$15*AK1243)/5</f>
        <v>11.2</v>
      </c>
      <c r="AQ1243" s="46">
        <f>(打分卡!$D$16*AL1243+打分卡!$D$17*AM1243)/5</f>
        <v>6.8</v>
      </c>
      <c r="AR1243" s="48">
        <f t="shared" si="154"/>
        <v>38.9333333333333</v>
      </c>
      <c r="AS1243" s="45" t="str">
        <f t="shared" si="155"/>
        <v>基础长尾</v>
      </c>
      <c r="AT1243" s="45" t="str">
        <f t="shared" si="156"/>
        <v/>
      </c>
      <c r="AU1243" s="45" t="str">
        <f t="shared" si="157"/>
        <v>激活：企微+Push低成本先跑</v>
      </c>
    </row>
    <row r="1244" ht="15" customHeight="1" spans="1:47">
      <c r="A1244" s="30" t="s">
        <v>3277</v>
      </c>
      <c r="B1244" s="31" t="s">
        <v>3278</v>
      </c>
      <c r="C1244" s="31" t="s">
        <v>234</v>
      </c>
      <c r="D1244" s="31" t="s">
        <v>235</v>
      </c>
      <c r="E1244" s="31" t="s">
        <v>197</v>
      </c>
      <c r="F1244" s="30" t="s">
        <v>1064</v>
      </c>
      <c r="G1244" s="31">
        <v>1</v>
      </c>
      <c r="H1244" s="31" t="s">
        <v>642</v>
      </c>
      <c r="I1244" s="31" t="s">
        <v>302</v>
      </c>
      <c r="J1244" s="33">
        <v>600</v>
      </c>
      <c r="K1244" s="33">
        <v>300</v>
      </c>
      <c r="L1244" s="33">
        <v>300</v>
      </c>
      <c r="M1244" s="33">
        <f t="shared" si="152"/>
        <v>1200</v>
      </c>
      <c r="N1244" s="34">
        <f t="shared" si="158"/>
        <v>6.29116782948419e-6</v>
      </c>
      <c r="O1244" s="35">
        <f>SUM($M$2:M1244)</f>
        <v>190649900</v>
      </c>
      <c r="P1244" s="34">
        <f t="shared" si="159"/>
        <v>0.999508764645314</v>
      </c>
      <c r="Q1244" s="37">
        <v>0.1</v>
      </c>
      <c r="R1244" s="31">
        <v>2</v>
      </c>
      <c r="S1244" s="31">
        <v>0</v>
      </c>
      <c r="T1244" s="31">
        <v>0</v>
      </c>
      <c r="U1244" s="37">
        <v>2.5</v>
      </c>
      <c r="V1244" s="31">
        <v>4</v>
      </c>
      <c r="W1244" s="31">
        <v>1</v>
      </c>
      <c r="X1244" s="38">
        <v>7</v>
      </c>
      <c r="Y1244" s="31">
        <v>0</v>
      </c>
      <c r="Z1244" s="31">
        <v>0</v>
      </c>
      <c r="AA1244" s="31" t="s">
        <v>199</v>
      </c>
      <c r="AB1244" s="31" t="s">
        <v>220</v>
      </c>
      <c r="AC1244" s="41">
        <f>IFERROR(LOOKUP(M1244,打分卡!$F$7:$J$7,打分卡!$K$7:$O$7),1)</f>
        <v>1</v>
      </c>
      <c r="AD1244" s="41">
        <f>IFERROR(LOOKUP(S1244,打分卡!$F$8:$J$8,打分卡!$K$8:$O$8),1)</f>
        <v>1</v>
      </c>
      <c r="AE1244" s="41">
        <f>IFERROR(LOOKUP(T1244,打分卡!$F$9:$I$9,打分卡!$K$9:$N$9),1)</f>
        <v>1</v>
      </c>
      <c r="AF1244" s="41">
        <f>IFERROR(LOOKUP(Q1244,打分卡!$F$10:$J$10,打分卡!$K$10:$O$10),1)</f>
        <v>1</v>
      </c>
      <c r="AG1244" s="41">
        <f>IFERROR(LOOKUP(R1244,打分卡!$F$11:$J$11,打分卡!$K$11:$O$11),1)</f>
        <v>1</v>
      </c>
      <c r="AH1244" s="41">
        <f>IFERROR(LOOKUP(U1244,打分卡!$F$12:$J$12,打分卡!$K$12:$O$12),1)</f>
        <v>1</v>
      </c>
      <c r="AI1244" s="41">
        <f>IFERROR(LOOKUP(X1244,打分卡!$F$13:$J$13,打分卡!$K$13:$O$13),1)</f>
        <v>1</v>
      </c>
      <c r="AJ1244" s="41">
        <f>IFERROR(LOOKUP(Y1244,打分卡!$F$14:$J$14,打分卡!$K$14:$O$14),1)</f>
        <v>1</v>
      </c>
      <c r="AK1244" s="41">
        <f>IFERROR(LOOKUP(W1244,打分卡!$F$15:$J$15,打分卡!$K$15:$O$15),1)</f>
        <v>2</v>
      </c>
      <c r="AL1244" s="43">
        <f t="shared" si="153"/>
        <v>5</v>
      </c>
      <c r="AM1244" s="41">
        <f>IFERROR(LOOKUP(Z1244,打分卡!$F$17:$H$17,打分卡!$K$17:$M$17),1)</f>
        <v>1</v>
      </c>
      <c r="AN1244" s="44">
        <f>(打分卡!$D$7*AC1244+打分卡!$D$8*AD1244+打分卡!$D$9*AE1244)/5</f>
        <v>8</v>
      </c>
      <c r="AO1244" s="44">
        <f>(打分卡!$D$10*AF1244+打分卡!$D$11*AG1244)/5</f>
        <v>4</v>
      </c>
      <c r="AP1244" s="44">
        <f>(打分卡!$D$12*AH1244+打分卡!$D$13*AI1244+打分卡!$D$14*AJ1244+打分卡!$D$15*AK1244)/5</f>
        <v>6.8</v>
      </c>
      <c r="AQ1244" s="44">
        <f>(打分卡!$D$16*AL1244+打分卡!$D$17*AM1244)/5</f>
        <v>6.8</v>
      </c>
      <c r="AR1244" s="47">
        <f t="shared" si="154"/>
        <v>26.6666666666667</v>
      </c>
      <c r="AS1244" s="43" t="str">
        <f t="shared" si="155"/>
        <v>基础长尾</v>
      </c>
      <c r="AT1244" s="43" t="str">
        <f t="shared" si="156"/>
        <v/>
      </c>
      <c r="AU1244" s="43" t="str">
        <f t="shared" si="157"/>
        <v>激活：企微+Push低成本先跑</v>
      </c>
    </row>
    <row r="1245" ht="15" customHeight="1" spans="1:47">
      <c r="A1245" s="20" t="s">
        <v>3279</v>
      </c>
      <c r="B1245" s="22" t="s">
        <v>3280</v>
      </c>
      <c r="C1245" s="22" t="s">
        <v>218</v>
      </c>
      <c r="D1245" s="22" t="s">
        <v>202</v>
      </c>
      <c r="E1245" s="22" t="s">
        <v>197</v>
      </c>
      <c r="F1245" s="20" t="s">
        <v>2778</v>
      </c>
      <c r="G1245" s="22">
        <v>1</v>
      </c>
      <c r="H1245" s="22" t="s">
        <v>642</v>
      </c>
      <c r="I1245" s="22" t="s">
        <v>302</v>
      </c>
      <c r="J1245" s="36">
        <v>600</v>
      </c>
      <c r="K1245" s="36">
        <v>200</v>
      </c>
      <c r="L1245" s="36">
        <v>300</v>
      </c>
      <c r="M1245" s="36">
        <f t="shared" si="152"/>
        <v>1100</v>
      </c>
      <c r="N1245" s="34">
        <f t="shared" si="158"/>
        <v>5.76690384369384e-6</v>
      </c>
      <c r="O1245" s="35">
        <f>SUM($M$2:M1245)</f>
        <v>190651000</v>
      </c>
      <c r="P1245" s="34">
        <f t="shared" si="159"/>
        <v>0.999514531549158</v>
      </c>
      <c r="Q1245" s="39">
        <v>0.1</v>
      </c>
      <c r="R1245" s="22">
        <v>1</v>
      </c>
      <c r="S1245" s="22">
        <v>0</v>
      </c>
      <c r="T1245" s="22">
        <v>0</v>
      </c>
      <c r="U1245" s="39">
        <v>0.6</v>
      </c>
      <c r="V1245" s="22">
        <v>10</v>
      </c>
      <c r="W1245" s="22">
        <v>2</v>
      </c>
      <c r="X1245" s="40">
        <v>79</v>
      </c>
      <c r="Y1245" s="22">
        <v>1</v>
      </c>
      <c r="Z1245" s="22">
        <v>0</v>
      </c>
      <c r="AA1245" s="22" t="s">
        <v>199</v>
      </c>
      <c r="AB1245" s="22" t="s">
        <v>220</v>
      </c>
      <c r="AC1245" s="42">
        <f>IFERROR(LOOKUP(M1245,打分卡!$F$7:$J$7,打分卡!$K$7:$O$7),1)</f>
        <v>1</v>
      </c>
      <c r="AD1245" s="42">
        <f>IFERROR(LOOKUP(S1245,打分卡!$F$8:$J$8,打分卡!$K$8:$O$8),1)</f>
        <v>1</v>
      </c>
      <c r="AE1245" s="42">
        <f>IFERROR(LOOKUP(T1245,打分卡!$F$9:$I$9,打分卡!$K$9:$N$9),1)</f>
        <v>1</v>
      </c>
      <c r="AF1245" s="42">
        <f>IFERROR(LOOKUP(Q1245,打分卡!$F$10:$J$10,打分卡!$K$10:$O$10),1)</f>
        <v>1</v>
      </c>
      <c r="AG1245" s="42">
        <f>IFERROR(LOOKUP(R1245,打分卡!$F$11:$J$11,打分卡!$K$11:$O$11),1)</f>
        <v>1</v>
      </c>
      <c r="AH1245" s="42">
        <f>IFERROR(LOOKUP(U1245,打分卡!$F$12:$J$12,打分卡!$K$12:$O$12),1)</f>
        <v>1</v>
      </c>
      <c r="AI1245" s="42">
        <f>IFERROR(LOOKUP(X1245,打分卡!$F$13:$J$13,打分卡!$K$13:$O$13),1)</f>
        <v>3</v>
      </c>
      <c r="AJ1245" s="42">
        <f>IFERROR(LOOKUP(Y1245,打分卡!$F$14:$J$14,打分卡!$K$14:$O$14),1)</f>
        <v>2</v>
      </c>
      <c r="AK1245" s="42">
        <f>IFERROR(LOOKUP(W1245,打分卡!$F$15:$J$15,打分卡!$K$15:$O$15),1)</f>
        <v>2</v>
      </c>
      <c r="AL1245" s="45">
        <f t="shared" si="153"/>
        <v>5</v>
      </c>
      <c r="AM1245" s="42">
        <f>IFERROR(LOOKUP(Z1245,打分卡!$F$17:$H$17,打分卡!$K$17:$M$17),1)</f>
        <v>1</v>
      </c>
      <c r="AN1245" s="46">
        <f>(打分卡!$D$7*AC1245+打分卡!$D$8*AD1245+打分卡!$D$9*AE1245)/5</f>
        <v>8</v>
      </c>
      <c r="AO1245" s="46">
        <f>(打分卡!$D$10*AF1245+打分卡!$D$11*AG1245)/5</f>
        <v>4</v>
      </c>
      <c r="AP1245" s="46">
        <f>(打分卡!$D$12*AH1245+打分卡!$D$13*AI1245+打分卡!$D$14*AJ1245+打分卡!$D$15*AK1245)/5</f>
        <v>11.2</v>
      </c>
      <c r="AQ1245" s="46">
        <f>(打分卡!$D$16*AL1245+打分卡!$D$17*AM1245)/5</f>
        <v>6.8</v>
      </c>
      <c r="AR1245" s="48">
        <f t="shared" si="154"/>
        <v>36.9333333333333</v>
      </c>
      <c r="AS1245" s="45" t="str">
        <f t="shared" si="155"/>
        <v>基础长尾</v>
      </c>
      <c r="AT1245" s="45" t="str">
        <f t="shared" si="156"/>
        <v/>
      </c>
      <c r="AU1245" s="45" t="str">
        <f t="shared" si="157"/>
        <v>激活：企微+Push低成本先跑</v>
      </c>
    </row>
    <row r="1246" ht="15" customHeight="1" spans="1:47">
      <c r="A1246" s="30" t="s">
        <v>3281</v>
      </c>
      <c r="B1246" s="31" t="s">
        <v>3282</v>
      </c>
      <c r="C1246" s="31" t="s">
        <v>189</v>
      </c>
      <c r="D1246" s="31" t="s">
        <v>202</v>
      </c>
      <c r="E1246" s="31" t="s">
        <v>181</v>
      </c>
      <c r="F1246" s="30" t="s">
        <v>1430</v>
      </c>
      <c r="G1246" s="31">
        <v>2</v>
      </c>
      <c r="H1246" s="31" t="s">
        <v>642</v>
      </c>
      <c r="I1246" s="31" t="s">
        <v>302</v>
      </c>
      <c r="J1246" s="33">
        <v>600</v>
      </c>
      <c r="K1246" s="33">
        <v>300</v>
      </c>
      <c r="L1246" s="33">
        <v>100</v>
      </c>
      <c r="M1246" s="33">
        <f t="shared" si="152"/>
        <v>1000</v>
      </c>
      <c r="N1246" s="34">
        <f t="shared" si="158"/>
        <v>5.24263985790349e-6</v>
      </c>
      <c r="O1246" s="35">
        <f>SUM($M$2:M1246)</f>
        <v>190652000</v>
      </c>
      <c r="P1246" s="34">
        <f t="shared" si="159"/>
        <v>0.999519774189016</v>
      </c>
      <c r="Q1246" s="37">
        <v>0.1</v>
      </c>
      <c r="R1246" s="31">
        <v>2</v>
      </c>
      <c r="S1246" s="31">
        <v>1</v>
      </c>
      <c r="T1246" s="31">
        <v>0</v>
      </c>
      <c r="U1246" s="37">
        <v>1.2</v>
      </c>
      <c r="V1246" s="31">
        <v>10</v>
      </c>
      <c r="W1246" s="31">
        <v>0</v>
      </c>
      <c r="X1246" s="38">
        <v>7</v>
      </c>
      <c r="Y1246" s="31">
        <v>1</v>
      </c>
      <c r="Z1246" s="31">
        <v>0</v>
      </c>
      <c r="AA1246" s="31" t="s">
        <v>199</v>
      </c>
      <c r="AB1246" s="31" t="s">
        <v>220</v>
      </c>
      <c r="AC1246" s="41">
        <f>IFERROR(LOOKUP(M1246,打分卡!$F$7:$J$7,打分卡!$K$7:$O$7),1)</f>
        <v>1</v>
      </c>
      <c r="AD1246" s="41">
        <f>IFERROR(LOOKUP(S1246,打分卡!$F$8:$J$8,打分卡!$K$8:$O$8),1)</f>
        <v>1</v>
      </c>
      <c r="AE1246" s="41">
        <f>IFERROR(LOOKUP(T1246,打分卡!$F$9:$I$9,打分卡!$K$9:$N$9),1)</f>
        <v>1</v>
      </c>
      <c r="AF1246" s="41">
        <f>IFERROR(LOOKUP(Q1246,打分卡!$F$10:$J$10,打分卡!$K$10:$O$10),1)</f>
        <v>1</v>
      </c>
      <c r="AG1246" s="41">
        <f>IFERROR(LOOKUP(R1246,打分卡!$F$11:$J$11,打分卡!$K$11:$O$11),1)</f>
        <v>1</v>
      </c>
      <c r="AH1246" s="41">
        <f>IFERROR(LOOKUP(U1246,打分卡!$F$12:$J$12,打分卡!$K$12:$O$12),1)</f>
        <v>1</v>
      </c>
      <c r="AI1246" s="41">
        <f>IFERROR(LOOKUP(X1246,打分卡!$F$13:$J$13,打分卡!$K$13:$O$13),1)</f>
        <v>1</v>
      </c>
      <c r="AJ1246" s="41">
        <f>IFERROR(LOOKUP(Y1246,打分卡!$F$14:$J$14,打分卡!$K$14:$O$14),1)</f>
        <v>2</v>
      </c>
      <c r="AK1246" s="41">
        <f>IFERROR(LOOKUP(W1246,打分卡!$F$15:$J$15,打分卡!$K$15:$O$15),1)</f>
        <v>1</v>
      </c>
      <c r="AL1246" s="43">
        <f t="shared" si="153"/>
        <v>5</v>
      </c>
      <c r="AM1246" s="41">
        <f>IFERROR(LOOKUP(Z1246,打分卡!$F$17:$H$17,打分卡!$K$17:$M$17),1)</f>
        <v>1</v>
      </c>
      <c r="AN1246" s="44">
        <f>(打分卡!$D$7*AC1246+打分卡!$D$8*AD1246+打分卡!$D$9*AE1246)/5</f>
        <v>8</v>
      </c>
      <c r="AO1246" s="44">
        <f>(打分卡!$D$10*AF1246+打分卡!$D$11*AG1246)/5</f>
        <v>4</v>
      </c>
      <c r="AP1246" s="44">
        <f>(打分卡!$D$12*AH1246+打分卡!$D$13*AI1246+打分卡!$D$14*AJ1246+打分卡!$D$15*AK1246)/5</f>
        <v>7.2</v>
      </c>
      <c r="AQ1246" s="44">
        <f>(打分卡!$D$16*AL1246+打分卡!$D$17*AM1246)/5</f>
        <v>6.8</v>
      </c>
      <c r="AR1246" s="47">
        <f t="shared" si="154"/>
        <v>27.6</v>
      </c>
      <c r="AS1246" s="43" t="str">
        <f t="shared" si="155"/>
        <v>基础长尾</v>
      </c>
      <c r="AT1246" s="43" t="str">
        <f t="shared" si="156"/>
        <v/>
      </c>
      <c r="AU1246" s="43" t="str">
        <f t="shared" si="157"/>
        <v>激活：企微+Push低成本先跑</v>
      </c>
    </row>
    <row r="1247" ht="15" customHeight="1" spans="1:47">
      <c r="A1247" s="20" t="s">
        <v>3283</v>
      </c>
      <c r="B1247" s="22" t="s">
        <v>3284</v>
      </c>
      <c r="C1247" s="22" t="s">
        <v>218</v>
      </c>
      <c r="D1247" s="22" t="s">
        <v>196</v>
      </c>
      <c r="E1247" s="22" t="s">
        <v>197</v>
      </c>
      <c r="F1247" s="20" t="s">
        <v>2747</v>
      </c>
      <c r="G1247" s="22">
        <v>2</v>
      </c>
      <c r="H1247" s="22" t="s">
        <v>642</v>
      </c>
      <c r="I1247" s="22" t="s">
        <v>302</v>
      </c>
      <c r="J1247" s="36">
        <v>500</v>
      </c>
      <c r="K1247" s="36">
        <v>200</v>
      </c>
      <c r="L1247" s="36">
        <v>300</v>
      </c>
      <c r="M1247" s="36">
        <f t="shared" si="152"/>
        <v>1000</v>
      </c>
      <c r="N1247" s="34">
        <f t="shared" si="158"/>
        <v>5.24263985790349e-6</v>
      </c>
      <c r="O1247" s="35">
        <f>SUM($M$2:M1247)</f>
        <v>190653000</v>
      </c>
      <c r="P1247" s="34">
        <f t="shared" si="159"/>
        <v>0.999525016828874</v>
      </c>
      <c r="Q1247" s="39">
        <v>0.1</v>
      </c>
      <c r="R1247" s="22">
        <v>1</v>
      </c>
      <c r="S1247" s="22">
        <v>1</v>
      </c>
      <c r="T1247" s="22">
        <v>0</v>
      </c>
      <c r="U1247" s="39">
        <v>8.9</v>
      </c>
      <c r="V1247" s="22">
        <v>11</v>
      </c>
      <c r="W1247" s="22">
        <v>2</v>
      </c>
      <c r="X1247" s="40">
        <v>6</v>
      </c>
      <c r="Y1247" s="22">
        <v>1</v>
      </c>
      <c r="Z1247" s="22">
        <v>0</v>
      </c>
      <c r="AA1247" s="22" t="s">
        <v>199</v>
      </c>
      <c r="AB1247" s="22" t="s">
        <v>220</v>
      </c>
      <c r="AC1247" s="42">
        <f>IFERROR(LOOKUP(M1247,打分卡!$F$7:$J$7,打分卡!$K$7:$O$7),1)</f>
        <v>1</v>
      </c>
      <c r="AD1247" s="42">
        <f>IFERROR(LOOKUP(S1247,打分卡!$F$8:$J$8,打分卡!$K$8:$O$8),1)</f>
        <v>1</v>
      </c>
      <c r="AE1247" s="42">
        <f>IFERROR(LOOKUP(T1247,打分卡!$F$9:$I$9,打分卡!$K$9:$N$9),1)</f>
        <v>1</v>
      </c>
      <c r="AF1247" s="42">
        <f>IFERROR(LOOKUP(Q1247,打分卡!$F$10:$J$10,打分卡!$K$10:$O$10),1)</f>
        <v>1</v>
      </c>
      <c r="AG1247" s="42">
        <f>IFERROR(LOOKUP(R1247,打分卡!$F$11:$J$11,打分卡!$K$11:$O$11),1)</f>
        <v>1</v>
      </c>
      <c r="AH1247" s="42">
        <f>IFERROR(LOOKUP(U1247,打分卡!$F$12:$J$12,打分卡!$K$12:$O$12),1)</f>
        <v>2</v>
      </c>
      <c r="AI1247" s="42">
        <f>IFERROR(LOOKUP(X1247,打分卡!$F$13:$J$13,打分卡!$K$13:$O$13),1)</f>
        <v>1</v>
      </c>
      <c r="AJ1247" s="42">
        <f>IFERROR(LOOKUP(Y1247,打分卡!$F$14:$J$14,打分卡!$K$14:$O$14),1)</f>
        <v>2</v>
      </c>
      <c r="AK1247" s="42">
        <f>IFERROR(LOOKUP(W1247,打分卡!$F$15:$J$15,打分卡!$K$15:$O$15),1)</f>
        <v>2</v>
      </c>
      <c r="AL1247" s="45">
        <f t="shared" si="153"/>
        <v>5</v>
      </c>
      <c r="AM1247" s="42">
        <f>IFERROR(LOOKUP(Z1247,打分卡!$F$17:$H$17,打分卡!$K$17:$M$17),1)</f>
        <v>1</v>
      </c>
      <c r="AN1247" s="46">
        <f>(打分卡!$D$7*AC1247+打分卡!$D$8*AD1247+打分卡!$D$9*AE1247)/5</f>
        <v>8</v>
      </c>
      <c r="AO1247" s="46">
        <f>(打分卡!$D$10*AF1247+打分卡!$D$11*AG1247)/5</f>
        <v>4</v>
      </c>
      <c r="AP1247" s="46">
        <f>(打分卡!$D$12*AH1247+打分卡!$D$13*AI1247+打分卡!$D$14*AJ1247+打分卡!$D$15*AK1247)/5</f>
        <v>10.4</v>
      </c>
      <c r="AQ1247" s="46">
        <f>(打分卡!$D$16*AL1247+打分卡!$D$17*AM1247)/5</f>
        <v>6.8</v>
      </c>
      <c r="AR1247" s="48">
        <f t="shared" si="154"/>
        <v>35.0666666666667</v>
      </c>
      <c r="AS1247" s="45" t="str">
        <f t="shared" si="155"/>
        <v>基础长尾</v>
      </c>
      <c r="AT1247" s="45" t="str">
        <f t="shared" si="156"/>
        <v/>
      </c>
      <c r="AU1247" s="45" t="str">
        <f t="shared" si="157"/>
        <v>激活：企微+Push低成本先跑</v>
      </c>
    </row>
    <row r="1248" ht="15" customHeight="1" spans="1:47">
      <c r="A1248" s="30" t="s">
        <v>3285</v>
      </c>
      <c r="B1248" s="31" t="s">
        <v>3286</v>
      </c>
      <c r="C1248" s="31" t="s">
        <v>239</v>
      </c>
      <c r="D1248" s="31" t="s">
        <v>202</v>
      </c>
      <c r="E1248" s="31" t="s">
        <v>181</v>
      </c>
      <c r="F1248" s="30" t="s">
        <v>3218</v>
      </c>
      <c r="G1248" s="31">
        <v>2</v>
      </c>
      <c r="H1248" s="31" t="s">
        <v>642</v>
      </c>
      <c r="I1248" s="31" t="s">
        <v>302</v>
      </c>
      <c r="J1248" s="33">
        <v>600</v>
      </c>
      <c r="K1248" s="33">
        <v>300</v>
      </c>
      <c r="L1248" s="33">
        <v>100</v>
      </c>
      <c r="M1248" s="33">
        <f t="shared" si="152"/>
        <v>1000</v>
      </c>
      <c r="N1248" s="34">
        <f t="shared" si="158"/>
        <v>5.24263985790349e-6</v>
      </c>
      <c r="O1248" s="35">
        <f>SUM($M$2:M1248)</f>
        <v>190654000</v>
      </c>
      <c r="P1248" s="34">
        <f t="shared" si="159"/>
        <v>0.999530259468732</v>
      </c>
      <c r="Q1248" s="37">
        <v>0.1</v>
      </c>
      <c r="R1248" s="31">
        <v>3</v>
      </c>
      <c r="S1248" s="31">
        <v>1</v>
      </c>
      <c r="T1248" s="31">
        <v>0</v>
      </c>
      <c r="U1248" s="37">
        <v>4.1</v>
      </c>
      <c r="V1248" s="31">
        <v>1</v>
      </c>
      <c r="W1248" s="31">
        <v>0</v>
      </c>
      <c r="X1248" s="38">
        <v>78</v>
      </c>
      <c r="Y1248" s="31">
        <v>0</v>
      </c>
      <c r="Z1248" s="31">
        <v>0</v>
      </c>
      <c r="AA1248" s="31" t="s">
        <v>199</v>
      </c>
      <c r="AB1248" s="31" t="s">
        <v>220</v>
      </c>
      <c r="AC1248" s="41">
        <f>IFERROR(LOOKUP(M1248,打分卡!$F$7:$J$7,打分卡!$K$7:$O$7),1)</f>
        <v>1</v>
      </c>
      <c r="AD1248" s="41">
        <f>IFERROR(LOOKUP(S1248,打分卡!$F$8:$J$8,打分卡!$K$8:$O$8),1)</f>
        <v>1</v>
      </c>
      <c r="AE1248" s="41">
        <f>IFERROR(LOOKUP(T1248,打分卡!$F$9:$I$9,打分卡!$K$9:$N$9),1)</f>
        <v>1</v>
      </c>
      <c r="AF1248" s="41">
        <f>IFERROR(LOOKUP(Q1248,打分卡!$F$10:$J$10,打分卡!$K$10:$O$10),1)</f>
        <v>1</v>
      </c>
      <c r="AG1248" s="41">
        <f>IFERROR(LOOKUP(R1248,打分卡!$F$11:$J$11,打分卡!$K$11:$O$11),1)</f>
        <v>2</v>
      </c>
      <c r="AH1248" s="41">
        <f>IFERROR(LOOKUP(U1248,打分卡!$F$12:$J$12,打分卡!$K$12:$O$12),1)</f>
        <v>2</v>
      </c>
      <c r="AI1248" s="41">
        <f>IFERROR(LOOKUP(X1248,打分卡!$F$13:$J$13,打分卡!$K$13:$O$13),1)</f>
        <v>3</v>
      </c>
      <c r="AJ1248" s="41">
        <f>IFERROR(LOOKUP(Y1248,打分卡!$F$14:$J$14,打分卡!$K$14:$O$14),1)</f>
        <v>1</v>
      </c>
      <c r="AK1248" s="41">
        <f>IFERROR(LOOKUP(W1248,打分卡!$F$15:$J$15,打分卡!$K$15:$O$15),1)</f>
        <v>1</v>
      </c>
      <c r="AL1248" s="43">
        <f t="shared" si="153"/>
        <v>5</v>
      </c>
      <c r="AM1248" s="41">
        <f>IFERROR(LOOKUP(Z1248,打分卡!$F$17:$H$17,打分卡!$K$17:$M$17),1)</f>
        <v>1</v>
      </c>
      <c r="AN1248" s="44">
        <f>(打分卡!$D$7*AC1248+打分卡!$D$8*AD1248+打分卡!$D$9*AE1248)/5</f>
        <v>8</v>
      </c>
      <c r="AO1248" s="44">
        <f>(打分卡!$D$10*AF1248+打分卡!$D$11*AG1248)/5</f>
        <v>6</v>
      </c>
      <c r="AP1248" s="44">
        <f>(打分卡!$D$12*AH1248+打分卡!$D$13*AI1248+打分卡!$D$14*AJ1248+打分卡!$D$15*AK1248)/5</f>
        <v>11.6</v>
      </c>
      <c r="AQ1248" s="44">
        <f>(打分卡!$D$16*AL1248+打分卡!$D$17*AM1248)/5</f>
        <v>6.8</v>
      </c>
      <c r="AR1248" s="47">
        <f t="shared" si="154"/>
        <v>39.8666666666667</v>
      </c>
      <c r="AS1248" s="43" t="str">
        <f t="shared" si="155"/>
        <v>基础长尾</v>
      </c>
      <c r="AT1248" s="43" t="str">
        <f t="shared" si="156"/>
        <v/>
      </c>
      <c r="AU1248" s="43" t="str">
        <f t="shared" si="157"/>
        <v>激活：企微+Push低成本先跑</v>
      </c>
    </row>
    <row r="1249" ht="15" customHeight="1" spans="1:47">
      <c r="A1249" s="20" t="s">
        <v>3287</v>
      </c>
      <c r="B1249" s="22" t="s">
        <v>3288</v>
      </c>
      <c r="C1249" s="22" t="s">
        <v>234</v>
      </c>
      <c r="D1249" s="22" t="s">
        <v>180</v>
      </c>
      <c r="E1249" s="22" t="s">
        <v>181</v>
      </c>
      <c r="F1249" s="20" t="s">
        <v>2895</v>
      </c>
      <c r="G1249" s="22">
        <v>1</v>
      </c>
      <c r="H1249" s="22" t="s">
        <v>642</v>
      </c>
      <c r="I1249" s="22" t="s">
        <v>302</v>
      </c>
      <c r="J1249" s="36">
        <v>600</v>
      </c>
      <c r="K1249" s="36">
        <v>300</v>
      </c>
      <c r="L1249" s="36">
        <v>100</v>
      </c>
      <c r="M1249" s="36">
        <f t="shared" si="152"/>
        <v>1000</v>
      </c>
      <c r="N1249" s="34">
        <f t="shared" si="158"/>
        <v>5.24263985790349e-6</v>
      </c>
      <c r="O1249" s="35">
        <f>SUM($M$2:M1249)</f>
        <v>190655000</v>
      </c>
      <c r="P1249" s="34">
        <f t="shared" si="159"/>
        <v>0.99953550210859</v>
      </c>
      <c r="Q1249" s="39">
        <v>0.1</v>
      </c>
      <c r="R1249" s="22">
        <v>3</v>
      </c>
      <c r="S1249" s="22">
        <v>0</v>
      </c>
      <c r="T1249" s="22">
        <v>0</v>
      </c>
      <c r="U1249" s="39">
        <v>0.5</v>
      </c>
      <c r="V1249" s="22">
        <v>3</v>
      </c>
      <c r="W1249" s="22">
        <v>2</v>
      </c>
      <c r="X1249" s="40">
        <v>18</v>
      </c>
      <c r="Y1249" s="22">
        <v>0</v>
      </c>
      <c r="Z1249" s="22">
        <v>0</v>
      </c>
      <c r="AA1249" s="22" t="s">
        <v>199</v>
      </c>
      <c r="AB1249" s="22" t="s">
        <v>220</v>
      </c>
      <c r="AC1249" s="42">
        <f>IFERROR(LOOKUP(M1249,打分卡!$F$7:$J$7,打分卡!$K$7:$O$7),1)</f>
        <v>1</v>
      </c>
      <c r="AD1249" s="42">
        <f>IFERROR(LOOKUP(S1249,打分卡!$F$8:$J$8,打分卡!$K$8:$O$8),1)</f>
        <v>1</v>
      </c>
      <c r="AE1249" s="42">
        <f>IFERROR(LOOKUP(T1249,打分卡!$F$9:$I$9,打分卡!$K$9:$N$9),1)</f>
        <v>1</v>
      </c>
      <c r="AF1249" s="42">
        <f>IFERROR(LOOKUP(Q1249,打分卡!$F$10:$J$10,打分卡!$K$10:$O$10),1)</f>
        <v>1</v>
      </c>
      <c r="AG1249" s="42">
        <f>IFERROR(LOOKUP(R1249,打分卡!$F$11:$J$11,打分卡!$K$11:$O$11),1)</f>
        <v>2</v>
      </c>
      <c r="AH1249" s="42">
        <f>IFERROR(LOOKUP(U1249,打分卡!$F$12:$J$12,打分卡!$K$12:$O$12),1)</f>
        <v>1</v>
      </c>
      <c r="AI1249" s="42">
        <f>IFERROR(LOOKUP(X1249,打分卡!$F$13:$J$13,打分卡!$K$13:$O$13),1)</f>
        <v>2</v>
      </c>
      <c r="AJ1249" s="42">
        <f>IFERROR(LOOKUP(Y1249,打分卡!$F$14:$J$14,打分卡!$K$14:$O$14),1)</f>
        <v>1</v>
      </c>
      <c r="AK1249" s="42">
        <f>IFERROR(LOOKUP(W1249,打分卡!$F$15:$J$15,打分卡!$K$15:$O$15),1)</f>
        <v>2</v>
      </c>
      <c r="AL1249" s="45">
        <f t="shared" si="153"/>
        <v>5</v>
      </c>
      <c r="AM1249" s="42">
        <f>IFERROR(LOOKUP(Z1249,打分卡!$F$17:$H$17,打分卡!$K$17:$M$17),1)</f>
        <v>1</v>
      </c>
      <c r="AN1249" s="46">
        <f>(打分卡!$D$7*AC1249+打分卡!$D$8*AD1249+打分卡!$D$9*AE1249)/5</f>
        <v>8</v>
      </c>
      <c r="AO1249" s="46">
        <f>(打分卡!$D$10*AF1249+打分卡!$D$11*AG1249)/5</f>
        <v>6</v>
      </c>
      <c r="AP1249" s="46">
        <f>(打分卡!$D$12*AH1249+打分卡!$D$13*AI1249+打分卡!$D$14*AJ1249+打分卡!$D$15*AK1249)/5</f>
        <v>8.4</v>
      </c>
      <c r="AQ1249" s="46">
        <f>(打分卡!$D$16*AL1249+打分卡!$D$17*AM1249)/5</f>
        <v>6.8</v>
      </c>
      <c r="AR1249" s="48">
        <f t="shared" si="154"/>
        <v>32.4</v>
      </c>
      <c r="AS1249" s="45" t="str">
        <f t="shared" si="155"/>
        <v>基础长尾</v>
      </c>
      <c r="AT1249" s="45" t="str">
        <f t="shared" si="156"/>
        <v/>
      </c>
      <c r="AU1249" s="45" t="str">
        <f t="shared" si="157"/>
        <v>激活：企微+Push低成本先跑</v>
      </c>
    </row>
    <row r="1250" ht="15" customHeight="1" spans="1:47">
      <c r="A1250" s="30" t="s">
        <v>3289</v>
      </c>
      <c r="B1250" s="31" t="s">
        <v>3290</v>
      </c>
      <c r="C1250" s="31" t="s">
        <v>218</v>
      </c>
      <c r="D1250" s="31" t="s">
        <v>180</v>
      </c>
      <c r="E1250" s="31" t="s">
        <v>181</v>
      </c>
      <c r="F1250" s="30" t="s">
        <v>2791</v>
      </c>
      <c r="G1250" s="31">
        <v>2</v>
      </c>
      <c r="H1250" s="31" t="s">
        <v>642</v>
      </c>
      <c r="I1250" s="31" t="s">
        <v>302</v>
      </c>
      <c r="J1250" s="33">
        <v>600</v>
      </c>
      <c r="K1250" s="33">
        <v>300</v>
      </c>
      <c r="L1250" s="33">
        <v>200</v>
      </c>
      <c r="M1250" s="33">
        <f t="shared" si="152"/>
        <v>1100</v>
      </c>
      <c r="N1250" s="34">
        <f t="shared" si="158"/>
        <v>5.76690384369384e-6</v>
      </c>
      <c r="O1250" s="35">
        <f>SUM($M$2:M1250)</f>
        <v>190656100</v>
      </c>
      <c r="P1250" s="34">
        <f t="shared" si="159"/>
        <v>0.999541269012433</v>
      </c>
      <c r="Q1250" s="37">
        <v>0.1</v>
      </c>
      <c r="R1250" s="31">
        <v>2</v>
      </c>
      <c r="S1250" s="31">
        <v>1</v>
      </c>
      <c r="T1250" s="31">
        <v>0</v>
      </c>
      <c r="U1250" s="37">
        <v>2.5</v>
      </c>
      <c r="V1250" s="31">
        <v>4</v>
      </c>
      <c r="W1250" s="31">
        <v>2</v>
      </c>
      <c r="X1250" s="38">
        <v>17</v>
      </c>
      <c r="Y1250" s="31">
        <v>0</v>
      </c>
      <c r="Z1250" s="31">
        <v>0</v>
      </c>
      <c r="AA1250" s="31" t="s">
        <v>199</v>
      </c>
      <c r="AB1250" s="31" t="s">
        <v>220</v>
      </c>
      <c r="AC1250" s="41">
        <f>IFERROR(LOOKUP(M1250,打分卡!$F$7:$J$7,打分卡!$K$7:$O$7),1)</f>
        <v>1</v>
      </c>
      <c r="AD1250" s="41">
        <f>IFERROR(LOOKUP(S1250,打分卡!$F$8:$J$8,打分卡!$K$8:$O$8),1)</f>
        <v>1</v>
      </c>
      <c r="AE1250" s="41">
        <f>IFERROR(LOOKUP(T1250,打分卡!$F$9:$I$9,打分卡!$K$9:$N$9),1)</f>
        <v>1</v>
      </c>
      <c r="AF1250" s="41">
        <f>IFERROR(LOOKUP(Q1250,打分卡!$F$10:$J$10,打分卡!$K$10:$O$10),1)</f>
        <v>1</v>
      </c>
      <c r="AG1250" s="41">
        <f>IFERROR(LOOKUP(R1250,打分卡!$F$11:$J$11,打分卡!$K$11:$O$11),1)</f>
        <v>1</v>
      </c>
      <c r="AH1250" s="41">
        <f>IFERROR(LOOKUP(U1250,打分卡!$F$12:$J$12,打分卡!$K$12:$O$12),1)</f>
        <v>1</v>
      </c>
      <c r="AI1250" s="41">
        <f>IFERROR(LOOKUP(X1250,打分卡!$F$13:$J$13,打分卡!$K$13:$O$13),1)</f>
        <v>1</v>
      </c>
      <c r="AJ1250" s="41">
        <f>IFERROR(LOOKUP(Y1250,打分卡!$F$14:$J$14,打分卡!$K$14:$O$14),1)</f>
        <v>1</v>
      </c>
      <c r="AK1250" s="41">
        <f>IFERROR(LOOKUP(W1250,打分卡!$F$15:$J$15,打分卡!$K$15:$O$15),1)</f>
        <v>2</v>
      </c>
      <c r="AL1250" s="43">
        <f t="shared" si="153"/>
        <v>5</v>
      </c>
      <c r="AM1250" s="41">
        <f>IFERROR(LOOKUP(Z1250,打分卡!$F$17:$H$17,打分卡!$K$17:$M$17),1)</f>
        <v>1</v>
      </c>
      <c r="AN1250" s="44">
        <f>(打分卡!$D$7*AC1250+打分卡!$D$8*AD1250+打分卡!$D$9*AE1250)/5</f>
        <v>8</v>
      </c>
      <c r="AO1250" s="44">
        <f>(打分卡!$D$10*AF1250+打分卡!$D$11*AG1250)/5</f>
        <v>4</v>
      </c>
      <c r="AP1250" s="44">
        <f>(打分卡!$D$12*AH1250+打分卡!$D$13*AI1250+打分卡!$D$14*AJ1250+打分卡!$D$15*AK1250)/5</f>
        <v>6.8</v>
      </c>
      <c r="AQ1250" s="44">
        <f>(打分卡!$D$16*AL1250+打分卡!$D$17*AM1250)/5</f>
        <v>6.8</v>
      </c>
      <c r="AR1250" s="47">
        <f t="shared" si="154"/>
        <v>26.6666666666667</v>
      </c>
      <c r="AS1250" s="43" t="str">
        <f t="shared" si="155"/>
        <v>基础长尾</v>
      </c>
      <c r="AT1250" s="43" t="str">
        <f t="shared" si="156"/>
        <v/>
      </c>
      <c r="AU1250" s="43" t="str">
        <f t="shared" si="157"/>
        <v>激活：企微+Push低成本先跑</v>
      </c>
    </row>
    <row r="1251" ht="15" customHeight="1" spans="1:47">
      <c r="A1251" s="20" t="s">
        <v>3291</v>
      </c>
      <c r="B1251" s="22" t="s">
        <v>3292</v>
      </c>
      <c r="C1251" s="22" t="s">
        <v>189</v>
      </c>
      <c r="D1251" s="22" t="s">
        <v>196</v>
      </c>
      <c r="E1251" s="22" t="s">
        <v>181</v>
      </c>
      <c r="F1251" s="20" t="s">
        <v>2763</v>
      </c>
      <c r="G1251" s="22">
        <v>2</v>
      </c>
      <c r="H1251" s="22" t="s">
        <v>642</v>
      </c>
      <c r="I1251" s="22" t="s">
        <v>302</v>
      </c>
      <c r="J1251" s="36">
        <v>600</v>
      </c>
      <c r="K1251" s="36">
        <v>300</v>
      </c>
      <c r="L1251" s="36">
        <v>200</v>
      </c>
      <c r="M1251" s="36">
        <f t="shared" si="152"/>
        <v>1100</v>
      </c>
      <c r="N1251" s="34">
        <f t="shared" si="158"/>
        <v>5.76690384369384e-6</v>
      </c>
      <c r="O1251" s="35">
        <f>SUM($M$2:M1251)</f>
        <v>190657200</v>
      </c>
      <c r="P1251" s="34">
        <f t="shared" si="159"/>
        <v>0.999547035916277</v>
      </c>
      <c r="Q1251" s="39">
        <v>0.1</v>
      </c>
      <c r="R1251" s="22">
        <v>2</v>
      </c>
      <c r="S1251" s="22">
        <v>0</v>
      </c>
      <c r="T1251" s="22">
        <v>0</v>
      </c>
      <c r="U1251" s="39">
        <v>1.4</v>
      </c>
      <c r="V1251" s="22">
        <v>2</v>
      </c>
      <c r="W1251" s="22">
        <v>2</v>
      </c>
      <c r="X1251" s="40">
        <v>16</v>
      </c>
      <c r="Y1251" s="22">
        <v>0</v>
      </c>
      <c r="Z1251" s="22">
        <v>0</v>
      </c>
      <c r="AA1251" s="22" t="s">
        <v>199</v>
      </c>
      <c r="AB1251" s="22" t="s">
        <v>220</v>
      </c>
      <c r="AC1251" s="42">
        <f>IFERROR(LOOKUP(M1251,打分卡!$F$7:$J$7,打分卡!$K$7:$O$7),1)</f>
        <v>1</v>
      </c>
      <c r="AD1251" s="42">
        <f>IFERROR(LOOKUP(S1251,打分卡!$F$8:$J$8,打分卡!$K$8:$O$8),1)</f>
        <v>1</v>
      </c>
      <c r="AE1251" s="42">
        <f>IFERROR(LOOKUP(T1251,打分卡!$F$9:$I$9,打分卡!$K$9:$N$9),1)</f>
        <v>1</v>
      </c>
      <c r="AF1251" s="42">
        <f>IFERROR(LOOKUP(Q1251,打分卡!$F$10:$J$10,打分卡!$K$10:$O$10),1)</f>
        <v>1</v>
      </c>
      <c r="AG1251" s="42">
        <f>IFERROR(LOOKUP(R1251,打分卡!$F$11:$J$11,打分卡!$K$11:$O$11),1)</f>
        <v>1</v>
      </c>
      <c r="AH1251" s="42">
        <f>IFERROR(LOOKUP(U1251,打分卡!$F$12:$J$12,打分卡!$K$12:$O$12),1)</f>
        <v>1</v>
      </c>
      <c r="AI1251" s="42">
        <f>IFERROR(LOOKUP(X1251,打分卡!$F$13:$J$13,打分卡!$K$13:$O$13),1)</f>
        <v>1</v>
      </c>
      <c r="AJ1251" s="42">
        <f>IFERROR(LOOKUP(Y1251,打分卡!$F$14:$J$14,打分卡!$K$14:$O$14),1)</f>
        <v>1</v>
      </c>
      <c r="AK1251" s="42">
        <f>IFERROR(LOOKUP(W1251,打分卡!$F$15:$J$15,打分卡!$K$15:$O$15),1)</f>
        <v>2</v>
      </c>
      <c r="AL1251" s="45">
        <f t="shared" si="153"/>
        <v>5</v>
      </c>
      <c r="AM1251" s="42">
        <f>IFERROR(LOOKUP(Z1251,打分卡!$F$17:$H$17,打分卡!$K$17:$M$17),1)</f>
        <v>1</v>
      </c>
      <c r="AN1251" s="46">
        <f>(打分卡!$D$7*AC1251+打分卡!$D$8*AD1251+打分卡!$D$9*AE1251)/5</f>
        <v>8</v>
      </c>
      <c r="AO1251" s="46">
        <f>(打分卡!$D$10*AF1251+打分卡!$D$11*AG1251)/5</f>
        <v>4</v>
      </c>
      <c r="AP1251" s="46">
        <f>(打分卡!$D$12*AH1251+打分卡!$D$13*AI1251+打分卡!$D$14*AJ1251+打分卡!$D$15*AK1251)/5</f>
        <v>6.8</v>
      </c>
      <c r="AQ1251" s="46">
        <f>(打分卡!$D$16*AL1251+打分卡!$D$17*AM1251)/5</f>
        <v>6.8</v>
      </c>
      <c r="AR1251" s="48">
        <f t="shared" si="154"/>
        <v>26.6666666666667</v>
      </c>
      <c r="AS1251" s="45" t="str">
        <f t="shared" si="155"/>
        <v>基础长尾</v>
      </c>
      <c r="AT1251" s="45" t="str">
        <f t="shared" si="156"/>
        <v/>
      </c>
      <c r="AU1251" s="45" t="str">
        <f t="shared" si="157"/>
        <v>激活：企微+Push低成本先跑</v>
      </c>
    </row>
    <row r="1252" ht="15" customHeight="1" spans="1:47">
      <c r="A1252" s="30" t="s">
        <v>3293</v>
      </c>
      <c r="B1252" s="31" t="s">
        <v>3294</v>
      </c>
      <c r="C1252" s="31" t="s">
        <v>239</v>
      </c>
      <c r="D1252" s="31" t="s">
        <v>202</v>
      </c>
      <c r="E1252" s="31" t="s">
        <v>181</v>
      </c>
      <c r="F1252" s="30" t="s">
        <v>1560</v>
      </c>
      <c r="G1252" s="31">
        <v>1</v>
      </c>
      <c r="H1252" s="31" t="s">
        <v>642</v>
      </c>
      <c r="I1252" s="31" t="s">
        <v>302</v>
      </c>
      <c r="J1252" s="33">
        <v>500</v>
      </c>
      <c r="K1252" s="33">
        <v>400</v>
      </c>
      <c r="L1252" s="33">
        <v>200</v>
      </c>
      <c r="M1252" s="33">
        <f t="shared" si="152"/>
        <v>1100</v>
      </c>
      <c r="N1252" s="34">
        <f t="shared" si="158"/>
        <v>5.76690384369384e-6</v>
      </c>
      <c r="O1252" s="35">
        <f>SUM($M$2:M1252)</f>
        <v>190658300</v>
      </c>
      <c r="P1252" s="34">
        <f t="shared" si="159"/>
        <v>0.999552802820121</v>
      </c>
      <c r="Q1252" s="37">
        <v>0.1</v>
      </c>
      <c r="R1252" s="31">
        <v>3</v>
      </c>
      <c r="S1252" s="31">
        <v>1</v>
      </c>
      <c r="T1252" s="31">
        <v>0</v>
      </c>
      <c r="U1252" s="37">
        <v>33.5</v>
      </c>
      <c r="V1252" s="31">
        <v>10</v>
      </c>
      <c r="W1252" s="31">
        <v>1</v>
      </c>
      <c r="X1252" s="38">
        <v>54</v>
      </c>
      <c r="Y1252" s="31">
        <v>1</v>
      </c>
      <c r="Z1252" s="31">
        <v>0</v>
      </c>
      <c r="AA1252" s="31" t="s">
        <v>199</v>
      </c>
      <c r="AB1252" s="31" t="s">
        <v>220</v>
      </c>
      <c r="AC1252" s="41">
        <f>IFERROR(LOOKUP(M1252,打分卡!$F$7:$J$7,打分卡!$K$7:$O$7),1)</f>
        <v>1</v>
      </c>
      <c r="AD1252" s="41">
        <f>IFERROR(LOOKUP(S1252,打分卡!$F$8:$J$8,打分卡!$K$8:$O$8),1)</f>
        <v>1</v>
      </c>
      <c r="AE1252" s="41">
        <f>IFERROR(LOOKUP(T1252,打分卡!$F$9:$I$9,打分卡!$K$9:$N$9),1)</f>
        <v>1</v>
      </c>
      <c r="AF1252" s="41">
        <f>IFERROR(LOOKUP(Q1252,打分卡!$F$10:$J$10,打分卡!$K$10:$O$10),1)</f>
        <v>1</v>
      </c>
      <c r="AG1252" s="41">
        <f>IFERROR(LOOKUP(R1252,打分卡!$F$11:$J$11,打分卡!$K$11:$O$11),1)</f>
        <v>2</v>
      </c>
      <c r="AH1252" s="41">
        <f>IFERROR(LOOKUP(U1252,打分卡!$F$12:$J$12,打分卡!$K$12:$O$12),1)</f>
        <v>4</v>
      </c>
      <c r="AI1252" s="41">
        <f>IFERROR(LOOKUP(X1252,打分卡!$F$13:$J$13,打分卡!$K$13:$O$13),1)</f>
        <v>3</v>
      </c>
      <c r="AJ1252" s="41">
        <f>IFERROR(LOOKUP(Y1252,打分卡!$F$14:$J$14,打分卡!$K$14:$O$14),1)</f>
        <v>2</v>
      </c>
      <c r="AK1252" s="41">
        <f>IFERROR(LOOKUP(W1252,打分卡!$F$15:$J$15,打分卡!$K$15:$O$15),1)</f>
        <v>2</v>
      </c>
      <c r="AL1252" s="43">
        <f t="shared" si="153"/>
        <v>5</v>
      </c>
      <c r="AM1252" s="41">
        <f>IFERROR(LOOKUP(Z1252,打分卡!$F$17:$H$17,打分卡!$K$17:$M$17),1)</f>
        <v>1</v>
      </c>
      <c r="AN1252" s="44">
        <f>(打分卡!$D$7*AC1252+打分卡!$D$8*AD1252+打分卡!$D$9*AE1252)/5</f>
        <v>8</v>
      </c>
      <c r="AO1252" s="44">
        <f>(打分卡!$D$10*AF1252+打分卡!$D$11*AG1252)/5</f>
        <v>6</v>
      </c>
      <c r="AP1252" s="44">
        <f>(打分卡!$D$12*AH1252+打分卡!$D$13*AI1252+打分卡!$D$14*AJ1252+打分卡!$D$15*AK1252)/5</f>
        <v>18.4</v>
      </c>
      <c r="AQ1252" s="44">
        <f>(打分卡!$D$16*AL1252+打分卡!$D$17*AM1252)/5</f>
        <v>6.8</v>
      </c>
      <c r="AR1252" s="47">
        <f t="shared" si="154"/>
        <v>55.7333333333333</v>
      </c>
      <c r="AS1252" s="43" t="str">
        <f t="shared" si="155"/>
        <v>腰部</v>
      </c>
      <c r="AT1252" s="43" t="str">
        <f t="shared" si="156"/>
        <v/>
      </c>
      <c r="AU1252" s="43" t="str">
        <f t="shared" si="157"/>
        <v>拉·主攻：主推AI外呼+大促作战包</v>
      </c>
    </row>
    <row r="1253" ht="15" customHeight="1" spans="1:47">
      <c r="A1253" s="20" t="s">
        <v>3295</v>
      </c>
      <c r="B1253" s="22" t="s">
        <v>3296</v>
      </c>
      <c r="C1253" s="22" t="s">
        <v>179</v>
      </c>
      <c r="D1253" s="22" t="s">
        <v>196</v>
      </c>
      <c r="E1253" s="22" t="s">
        <v>181</v>
      </c>
      <c r="F1253" s="20" t="s">
        <v>3064</v>
      </c>
      <c r="G1253" s="22">
        <v>2</v>
      </c>
      <c r="H1253" s="22" t="s">
        <v>642</v>
      </c>
      <c r="I1253" s="22" t="s">
        <v>302</v>
      </c>
      <c r="J1253" s="36">
        <v>600</v>
      </c>
      <c r="K1253" s="36">
        <v>300</v>
      </c>
      <c r="L1253" s="36">
        <v>100</v>
      </c>
      <c r="M1253" s="36">
        <f t="shared" si="152"/>
        <v>1000</v>
      </c>
      <c r="N1253" s="34">
        <f t="shared" si="158"/>
        <v>5.24263985790349e-6</v>
      </c>
      <c r="O1253" s="35">
        <f>SUM($M$2:M1253)</f>
        <v>190659300</v>
      </c>
      <c r="P1253" s="34">
        <f t="shared" si="159"/>
        <v>0.999558045459979</v>
      </c>
      <c r="Q1253" s="39">
        <v>0.1</v>
      </c>
      <c r="R1253" s="22">
        <v>2</v>
      </c>
      <c r="S1253" s="22">
        <v>0</v>
      </c>
      <c r="T1253" s="22">
        <v>0</v>
      </c>
      <c r="U1253" s="39">
        <v>3</v>
      </c>
      <c r="V1253" s="22">
        <v>2</v>
      </c>
      <c r="W1253" s="22">
        <v>2</v>
      </c>
      <c r="X1253" s="40">
        <v>25</v>
      </c>
      <c r="Y1253" s="22">
        <v>1</v>
      </c>
      <c r="Z1253" s="22">
        <v>0</v>
      </c>
      <c r="AA1253" s="22" t="s">
        <v>199</v>
      </c>
      <c r="AB1253" s="22" t="s">
        <v>220</v>
      </c>
      <c r="AC1253" s="42">
        <f>IFERROR(LOOKUP(M1253,打分卡!$F$7:$J$7,打分卡!$K$7:$O$7),1)</f>
        <v>1</v>
      </c>
      <c r="AD1253" s="42">
        <f>IFERROR(LOOKUP(S1253,打分卡!$F$8:$J$8,打分卡!$K$8:$O$8),1)</f>
        <v>1</v>
      </c>
      <c r="AE1253" s="42">
        <f>IFERROR(LOOKUP(T1253,打分卡!$F$9:$I$9,打分卡!$K$9:$N$9),1)</f>
        <v>1</v>
      </c>
      <c r="AF1253" s="42">
        <f>IFERROR(LOOKUP(Q1253,打分卡!$F$10:$J$10,打分卡!$K$10:$O$10),1)</f>
        <v>1</v>
      </c>
      <c r="AG1253" s="42">
        <f>IFERROR(LOOKUP(R1253,打分卡!$F$11:$J$11,打分卡!$K$11:$O$11),1)</f>
        <v>1</v>
      </c>
      <c r="AH1253" s="42">
        <f>IFERROR(LOOKUP(U1253,打分卡!$F$12:$J$12,打分卡!$K$12:$O$12),1)</f>
        <v>2</v>
      </c>
      <c r="AI1253" s="42">
        <f>IFERROR(LOOKUP(X1253,打分卡!$F$13:$J$13,打分卡!$K$13:$O$13),1)</f>
        <v>2</v>
      </c>
      <c r="AJ1253" s="42">
        <f>IFERROR(LOOKUP(Y1253,打分卡!$F$14:$J$14,打分卡!$K$14:$O$14),1)</f>
        <v>2</v>
      </c>
      <c r="AK1253" s="42">
        <f>IFERROR(LOOKUP(W1253,打分卡!$F$15:$J$15,打分卡!$K$15:$O$15),1)</f>
        <v>2</v>
      </c>
      <c r="AL1253" s="45">
        <f t="shared" si="153"/>
        <v>5</v>
      </c>
      <c r="AM1253" s="42">
        <f>IFERROR(LOOKUP(Z1253,打分卡!$F$17:$H$17,打分卡!$K$17:$M$17),1)</f>
        <v>1</v>
      </c>
      <c r="AN1253" s="46">
        <f>(打分卡!$D$7*AC1253+打分卡!$D$8*AD1253+打分卡!$D$9*AE1253)/5</f>
        <v>8</v>
      </c>
      <c r="AO1253" s="46">
        <f>(打分卡!$D$10*AF1253+打分卡!$D$11*AG1253)/5</f>
        <v>4</v>
      </c>
      <c r="AP1253" s="46">
        <f>(打分卡!$D$12*AH1253+打分卡!$D$13*AI1253+打分卡!$D$14*AJ1253+打分卡!$D$15*AK1253)/5</f>
        <v>12</v>
      </c>
      <c r="AQ1253" s="46">
        <f>(打分卡!$D$16*AL1253+打分卡!$D$17*AM1253)/5</f>
        <v>6.8</v>
      </c>
      <c r="AR1253" s="48">
        <f t="shared" si="154"/>
        <v>38.8</v>
      </c>
      <c r="AS1253" s="45" t="str">
        <f t="shared" si="155"/>
        <v>基础长尾</v>
      </c>
      <c r="AT1253" s="45" t="str">
        <f t="shared" si="156"/>
        <v/>
      </c>
      <c r="AU1253" s="45" t="str">
        <f t="shared" si="157"/>
        <v>激活：企微+Push低成本先跑</v>
      </c>
    </row>
    <row r="1254" ht="15" customHeight="1" spans="1:47">
      <c r="A1254" s="30" t="s">
        <v>3297</v>
      </c>
      <c r="B1254" s="31" t="s">
        <v>3298</v>
      </c>
      <c r="C1254" s="31" t="s">
        <v>195</v>
      </c>
      <c r="D1254" s="31" t="s">
        <v>202</v>
      </c>
      <c r="E1254" s="31" t="s">
        <v>197</v>
      </c>
      <c r="F1254" s="30" t="s">
        <v>2737</v>
      </c>
      <c r="G1254" s="31">
        <v>1</v>
      </c>
      <c r="H1254" s="31" t="s">
        <v>642</v>
      </c>
      <c r="I1254" s="31" t="s">
        <v>302</v>
      </c>
      <c r="J1254" s="33">
        <v>600</v>
      </c>
      <c r="K1254" s="33">
        <v>300</v>
      </c>
      <c r="L1254" s="33">
        <v>100</v>
      </c>
      <c r="M1254" s="33">
        <f t="shared" si="152"/>
        <v>1000</v>
      </c>
      <c r="N1254" s="34">
        <f t="shared" si="158"/>
        <v>5.24263985790349e-6</v>
      </c>
      <c r="O1254" s="35">
        <f>SUM($M$2:M1254)</f>
        <v>190660300</v>
      </c>
      <c r="P1254" s="34">
        <f t="shared" si="159"/>
        <v>0.999563288099837</v>
      </c>
      <c r="Q1254" s="37">
        <v>0.1</v>
      </c>
      <c r="R1254" s="31">
        <v>1</v>
      </c>
      <c r="S1254" s="31">
        <v>1</v>
      </c>
      <c r="T1254" s="31">
        <v>0</v>
      </c>
      <c r="U1254" s="37">
        <v>11.7</v>
      </c>
      <c r="V1254" s="31">
        <v>2</v>
      </c>
      <c r="W1254" s="31">
        <v>1</v>
      </c>
      <c r="X1254" s="38">
        <v>68</v>
      </c>
      <c r="Y1254" s="31">
        <v>1</v>
      </c>
      <c r="Z1254" s="31">
        <v>0</v>
      </c>
      <c r="AA1254" s="31" t="s">
        <v>199</v>
      </c>
      <c r="AB1254" s="31" t="s">
        <v>220</v>
      </c>
      <c r="AC1254" s="41">
        <f>IFERROR(LOOKUP(M1254,打分卡!$F$7:$J$7,打分卡!$K$7:$O$7),1)</f>
        <v>1</v>
      </c>
      <c r="AD1254" s="41">
        <f>IFERROR(LOOKUP(S1254,打分卡!$F$8:$J$8,打分卡!$K$8:$O$8),1)</f>
        <v>1</v>
      </c>
      <c r="AE1254" s="41">
        <f>IFERROR(LOOKUP(T1254,打分卡!$F$9:$I$9,打分卡!$K$9:$N$9),1)</f>
        <v>1</v>
      </c>
      <c r="AF1254" s="41">
        <f>IFERROR(LOOKUP(Q1254,打分卡!$F$10:$J$10,打分卡!$K$10:$O$10),1)</f>
        <v>1</v>
      </c>
      <c r="AG1254" s="41">
        <f>IFERROR(LOOKUP(R1254,打分卡!$F$11:$J$11,打分卡!$K$11:$O$11),1)</f>
        <v>1</v>
      </c>
      <c r="AH1254" s="41">
        <f>IFERROR(LOOKUP(U1254,打分卡!$F$12:$J$12,打分卡!$K$12:$O$12),1)</f>
        <v>3</v>
      </c>
      <c r="AI1254" s="41">
        <f>IFERROR(LOOKUP(X1254,打分卡!$F$13:$J$13,打分卡!$K$13:$O$13),1)</f>
        <v>3</v>
      </c>
      <c r="AJ1254" s="41">
        <f>IFERROR(LOOKUP(Y1254,打分卡!$F$14:$J$14,打分卡!$K$14:$O$14),1)</f>
        <v>2</v>
      </c>
      <c r="AK1254" s="41">
        <f>IFERROR(LOOKUP(W1254,打分卡!$F$15:$J$15,打分卡!$K$15:$O$15),1)</f>
        <v>2</v>
      </c>
      <c r="AL1254" s="43">
        <f t="shared" si="153"/>
        <v>5</v>
      </c>
      <c r="AM1254" s="41">
        <f>IFERROR(LOOKUP(Z1254,打分卡!$F$17:$H$17,打分卡!$K$17:$M$17),1)</f>
        <v>1</v>
      </c>
      <c r="AN1254" s="44">
        <f>(打分卡!$D$7*AC1254+打分卡!$D$8*AD1254+打分卡!$D$9*AE1254)/5</f>
        <v>8</v>
      </c>
      <c r="AO1254" s="44">
        <f>(打分卡!$D$10*AF1254+打分卡!$D$11*AG1254)/5</f>
        <v>4</v>
      </c>
      <c r="AP1254" s="44">
        <f>(打分卡!$D$12*AH1254+打分卡!$D$13*AI1254+打分卡!$D$14*AJ1254+打分卡!$D$15*AK1254)/5</f>
        <v>16</v>
      </c>
      <c r="AQ1254" s="44">
        <f>(打分卡!$D$16*AL1254+打分卡!$D$17*AM1254)/5</f>
        <v>6.8</v>
      </c>
      <c r="AR1254" s="47">
        <f t="shared" si="154"/>
        <v>48.1333333333333</v>
      </c>
      <c r="AS1254" s="43" t="str">
        <f t="shared" si="155"/>
        <v>腰部</v>
      </c>
      <c r="AT1254" s="43" t="str">
        <f t="shared" si="156"/>
        <v/>
      </c>
      <c r="AU1254" s="43" t="str">
        <f t="shared" si="157"/>
        <v>拉·主攻：主推AI外呼+大促作战包</v>
      </c>
    </row>
    <row r="1255" ht="15" customHeight="1" spans="1:47">
      <c r="A1255" s="20" t="s">
        <v>3299</v>
      </c>
      <c r="B1255" s="22" t="s">
        <v>3300</v>
      </c>
      <c r="C1255" s="22" t="s">
        <v>223</v>
      </c>
      <c r="D1255" s="22" t="s">
        <v>227</v>
      </c>
      <c r="E1255" s="22" t="s">
        <v>181</v>
      </c>
      <c r="F1255" s="20" t="s">
        <v>1623</v>
      </c>
      <c r="G1255" s="22">
        <v>3</v>
      </c>
      <c r="H1255" s="22" t="s">
        <v>642</v>
      </c>
      <c r="I1255" s="22" t="s">
        <v>302</v>
      </c>
      <c r="J1255" s="36">
        <v>500</v>
      </c>
      <c r="K1255" s="36">
        <v>200</v>
      </c>
      <c r="L1255" s="36">
        <v>200</v>
      </c>
      <c r="M1255" s="36">
        <f t="shared" si="152"/>
        <v>900</v>
      </c>
      <c r="N1255" s="34">
        <f t="shared" si="158"/>
        <v>4.71837587211314e-6</v>
      </c>
      <c r="O1255" s="35">
        <f>SUM($M$2:M1255)</f>
        <v>190661200</v>
      </c>
      <c r="P1255" s="34">
        <f t="shared" si="159"/>
        <v>0.999568006475709</v>
      </c>
      <c r="Q1255" s="39">
        <v>0.1</v>
      </c>
      <c r="R1255" s="22">
        <v>3</v>
      </c>
      <c r="S1255" s="22">
        <v>0</v>
      </c>
      <c r="T1255" s="22">
        <v>0</v>
      </c>
      <c r="U1255" s="39">
        <v>33.1</v>
      </c>
      <c r="V1255" s="22">
        <v>13</v>
      </c>
      <c r="W1255" s="22">
        <v>1</v>
      </c>
      <c r="X1255" s="40">
        <v>36</v>
      </c>
      <c r="Y1255" s="22">
        <v>0</v>
      </c>
      <c r="Z1255" s="22">
        <v>0</v>
      </c>
      <c r="AA1255" s="22" t="s">
        <v>199</v>
      </c>
      <c r="AB1255" s="22" t="s">
        <v>220</v>
      </c>
      <c r="AC1255" s="42">
        <f>IFERROR(LOOKUP(M1255,打分卡!$F$7:$J$7,打分卡!$K$7:$O$7),1)</f>
        <v>1</v>
      </c>
      <c r="AD1255" s="42">
        <f>IFERROR(LOOKUP(S1255,打分卡!$F$8:$J$8,打分卡!$K$8:$O$8),1)</f>
        <v>1</v>
      </c>
      <c r="AE1255" s="42">
        <f>IFERROR(LOOKUP(T1255,打分卡!$F$9:$I$9,打分卡!$K$9:$N$9),1)</f>
        <v>1</v>
      </c>
      <c r="AF1255" s="42">
        <f>IFERROR(LOOKUP(Q1255,打分卡!$F$10:$J$10,打分卡!$K$10:$O$10),1)</f>
        <v>1</v>
      </c>
      <c r="AG1255" s="42">
        <f>IFERROR(LOOKUP(R1255,打分卡!$F$11:$J$11,打分卡!$K$11:$O$11),1)</f>
        <v>2</v>
      </c>
      <c r="AH1255" s="42">
        <f>IFERROR(LOOKUP(U1255,打分卡!$F$12:$J$12,打分卡!$K$12:$O$12),1)</f>
        <v>4</v>
      </c>
      <c r="AI1255" s="42">
        <f>IFERROR(LOOKUP(X1255,打分卡!$F$13:$J$13,打分卡!$K$13:$O$13),1)</f>
        <v>2</v>
      </c>
      <c r="AJ1255" s="42">
        <f>IFERROR(LOOKUP(Y1255,打分卡!$F$14:$J$14,打分卡!$K$14:$O$14),1)</f>
        <v>1</v>
      </c>
      <c r="AK1255" s="42">
        <f>IFERROR(LOOKUP(W1255,打分卡!$F$15:$J$15,打分卡!$K$15:$O$15),1)</f>
        <v>2</v>
      </c>
      <c r="AL1255" s="45">
        <f t="shared" si="153"/>
        <v>5</v>
      </c>
      <c r="AM1255" s="42">
        <f>IFERROR(LOOKUP(Z1255,打分卡!$F$17:$H$17,打分卡!$K$17:$M$17),1)</f>
        <v>1</v>
      </c>
      <c r="AN1255" s="46">
        <f>(打分卡!$D$7*AC1255+打分卡!$D$8*AD1255+打分卡!$D$9*AE1255)/5</f>
        <v>8</v>
      </c>
      <c r="AO1255" s="46">
        <f>(打分卡!$D$10*AF1255+打分卡!$D$11*AG1255)/5</f>
        <v>6</v>
      </c>
      <c r="AP1255" s="46">
        <f>(打分卡!$D$12*AH1255+打分卡!$D$13*AI1255+打分卡!$D$14*AJ1255+打分卡!$D$15*AK1255)/5</f>
        <v>15.6</v>
      </c>
      <c r="AQ1255" s="46">
        <f>(打分卡!$D$16*AL1255+打分卡!$D$17*AM1255)/5</f>
        <v>6.8</v>
      </c>
      <c r="AR1255" s="48">
        <f t="shared" si="154"/>
        <v>36.4</v>
      </c>
      <c r="AS1255" s="45" t="str">
        <f t="shared" si="155"/>
        <v>基础长尾</v>
      </c>
      <c r="AT1255" s="45" t="str">
        <f t="shared" si="156"/>
        <v/>
      </c>
      <c r="AU1255" s="45" t="str">
        <f t="shared" si="157"/>
        <v>激活：企微+Push低成本先跑</v>
      </c>
    </row>
    <row r="1256" ht="15" customHeight="1" spans="1:47">
      <c r="A1256" s="30" t="s">
        <v>3301</v>
      </c>
      <c r="B1256" s="31" t="s">
        <v>3302</v>
      </c>
      <c r="C1256" s="31" t="s">
        <v>223</v>
      </c>
      <c r="D1256" s="31" t="s">
        <v>202</v>
      </c>
      <c r="E1256" s="31" t="s">
        <v>181</v>
      </c>
      <c r="F1256" s="30" t="s">
        <v>1120</v>
      </c>
      <c r="G1256" s="31">
        <v>1</v>
      </c>
      <c r="H1256" s="31" t="s">
        <v>642</v>
      </c>
      <c r="I1256" s="31" t="s">
        <v>302</v>
      </c>
      <c r="J1256" s="33">
        <v>500</v>
      </c>
      <c r="K1256" s="33">
        <v>300</v>
      </c>
      <c r="L1256" s="33">
        <v>300</v>
      </c>
      <c r="M1256" s="33">
        <f t="shared" si="152"/>
        <v>1100</v>
      </c>
      <c r="N1256" s="34">
        <f t="shared" si="158"/>
        <v>5.76690384369384e-6</v>
      </c>
      <c r="O1256" s="35">
        <f>SUM($M$2:M1256)</f>
        <v>190662300</v>
      </c>
      <c r="P1256" s="34">
        <f t="shared" si="159"/>
        <v>0.999573773379552</v>
      </c>
      <c r="Q1256" s="37">
        <v>0.1</v>
      </c>
      <c r="R1256" s="31">
        <v>1</v>
      </c>
      <c r="S1256" s="31">
        <v>0</v>
      </c>
      <c r="T1256" s="31">
        <v>0</v>
      </c>
      <c r="U1256" s="37">
        <v>1.1</v>
      </c>
      <c r="V1256" s="31">
        <v>1</v>
      </c>
      <c r="W1256" s="31">
        <v>1</v>
      </c>
      <c r="X1256" s="38">
        <v>35</v>
      </c>
      <c r="Y1256" s="31">
        <v>1</v>
      </c>
      <c r="Z1256" s="31">
        <v>0</v>
      </c>
      <c r="AA1256" s="31" t="s">
        <v>199</v>
      </c>
      <c r="AB1256" s="31" t="s">
        <v>220</v>
      </c>
      <c r="AC1256" s="41">
        <f>IFERROR(LOOKUP(M1256,打分卡!$F$7:$J$7,打分卡!$K$7:$O$7),1)</f>
        <v>1</v>
      </c>
      <c r="AD1256" s="41">
        <f>IFERROR(LOOKUP(S1256,打分卡!$F$8:$J$8,打分卡!$K$8:$O$8),1)</f>
        <v>1</v>
      </c>
      <c r="AE1256" s="41">
        <f>IFERROR(LOOKUP(T1256,打分卡!$F$9:$I$9,打分卡!$K$9:$N$9),1)</f>
        <v>1</v>
      </c>
      <c r="AF1256" s="41">
        <f>IFERROR(LOOKUP(Q1256,打分卡!$F$10:$J$10,打分卡!$K$10:$O$10),1)</f>
        <v>1</v>
      </c>
      <c r="AG1256" s="41">
        <f>IFERROR(LOOKUP(R1256,打分卡!$F$11:$J$11,打分卡!$K$11:$O$11),1)</f>
        <v>1</v>
      </c>
      <c r="AH1256" s="41">
        <f>IFERROR(LOOKUP(U1256,打分卡!$F$12:$J$12,打分卡!$K$12:$O$12),1)</f>
        <v>1</v>
      </c>
      <c r="AI1256" s="41">
        <f>IFERROR(LOOKUP(X1256,打分卡!$F$13:$J$13,打分卡!$K$13:$O$13),1)</f>
        <v>2</v>
      </c>
      <c r="AJ1256" s="41">
        <f>IFERROR(LOOKUP(Y1256,打分卡!$F$14:$J$14,打分卡!$K$14:$O$14),1)</f>
        <v>2</v>
      </c>
      <c r="AK1256" s="41">
        <f>IFERROR(LOOKUP(W1256,打分卡!$F$15:$J$15,打分卡!$K$15:$O$15),1)</f>
        <v>2</v>
      </c>
      <c r="AL1256" s="43">
        <f t="shared" si="153"/>
        <v>5</v>
      </c>
      <c r="AM1256" s="41">
        <f>IFERROR(LOOKUP(Z1256,打分卡!$F$17:$H$17,打分卡!$K$17:$M$17),1)</f>
        <v>1</v>
      </c>
      <c r="AN1256" s="44">
        <f>(打分卡!$D$7*AC1256+打分卡!$D$8*AD1256+打分卡!$D$9*AE1256)/5</f>
        <v>8</v>
      </c>
      <c r="AO1256" s="44">
        <f>(打分卡!$D$10*AF1256+打分卡!$D$11*AG1256)/5</f>
        <v>4</v>
      </c>
      <c r="AP1256" s="44">
        <f>(打分卡!$D$12*AH1256+打分卡!$D$13*AI1256+打分卡!$D$14*AJ1256+打分卡!$D$15*AK1256)/5</f>
        <v>9.6</v>
      </c>
      <c r="AQ1256" s="44">
        <f>(打分卡!$D$16*AL1256+打分卡!$D$17*AM1256)/5</f>
        <v>6.8</v>
      </c>
      <c r="AR1256" s="47">
        <f t="shared" si="154"/>
        <v>33.2</v>
      </c>
      <c r="AS1256" s="43" t="str">
        <f t="shared" si="155"/>
        <v>基础长尾</v>
      </c>
      <c r="AT1256" s="43" t="str">
        <f t="shared" si="156"/>
        <v/>
      </c>
      <c r="AU1256" s="43" t="str">
        <f t="shared" si="157"/>
        <v>激活：企微+Push低成本先跑</v>
      </c>
    </row>
    <row r="1257" ht="15" customHeight="1" spans="1:47">
      <c r="A1257" s="20" t="s">
        <v>3303</v>
      </c>
      <c r="B1257" s="22" t="s">
        <v>3304</v>
      </c>
      <c r="C1257" s="22" t="s">
        <v>234</v>
      </c>
      <c r="D1257" s="22" t="s">
        <v>227</v>
      </c>
      <c r="E1257" s="22" t="s">
        <v>181</v>
      </c>
      <c r="F1257" s="20" t="s">
        <v>1725</v>
      </c>
      <c r="G1257" s="22">
        <v>3</v>
      </c>
      <c r="H1257" s="22" t="s">
        <v>642</v>
      </c>
      <c r="I1257" s="22" t="s">
        <v>302</v>
      </c>
      <c r="J1257" s="36">
        <v>600</v>
      </c>
      <c r="K1257" s="36">
        <v>300</v>
      </c>
      <c r="L1257" s="36">
        <v>100</v>
      </c>
      <c r="M1257" s="36">
        <f t="shared" si="152"/>
        <v>1000</v>
      </c>
      <c r="N1257" s="34">
        <f t="shared" si="158"/>
        <v>5.24263985790349e-6</v>
      </c>
      <c r="O1257" s="35">
        <f>SUM($M$2:M1257)</f>
        <v>190663300</v>
      </c>
      <c r="P1257" s="34">
        <f t="shared" si="159"/>
        <v>0.99957901601941</v>
      </c>
      <c r="Q1257" s="39">
        <v>0.1</v>
      </c>
      <c r="R1257" s="22">
        <v>3</v>
      </c>
      <c r="S1257" s="22">
        <v>0</v>
      </c>
      <c r="T1257" s="22">
        <v>0</v>
      </c>
      <c r="U1257" s="39">
        <v>7.4</v>
      </c>
      <c r="V1257" s="22">
        <v>0</v>
      </c>
      <c r="W1257" s="22">
        <v>1</v>
      </c>
      <c r="X1257" s="40">
        <v>9</v>
      </c>
      <c r="Y1257" s="22">
        <v>0</v>
      </c>
      <c r="Z1257" s="22">
        <v>0</v>
      </c>
      <c r="AA1257" s="22" t="s">
        <v>199</v>
      </c>
      <c r="AB1257" s="22" t="s">
        <v>220</v>
      </c>
      <c r="AC1257" s="42">
        <f>IFERROR(LOOKUP(M1257,打分卡!$F$7:$J$7,打分卡!$K$7:$O$7),1)</f>
        <v>1</v>
      </c>
      <c r="AD1257" s="42">
        <f>IFERROR(LOOKUP(S1257,打分卡!$F$8:$J$8,打分卡!$K$8:$O$8),1)</f>
        <v>1</v>
      </c>
      <c r="AE1257" s="42">
        <f>IFERROR(LOOKUP(T1257,打分卡!$F$9:$I$9,打分卡!$K$9:$N$9),1)</f>
        <v>1</v>
      </c>
      <c r="AF1257" s="42">
        <f>IFERROR(LOOKUP(Q1257,打分卡!$F$10:$J$10,打分卡!$K$10:$O$10),1)</f>
        <v>1</v>
      </c>
      <c r="AG1257" s="42">
        <f>IFERROR(LOOKUP(R1257,打分卡!$F$11:$J$11,打分卡!$K$11:$O$11),1)</f>
        <v>2</v>
      </c>
      <c r="AH1257" s="42">
        <f>IFERROR(LOOKUP(U1257,打分卡!$F$12:$J$12,打分卡!$K$12:$O$12),1)</f>
        <v>2</v>
      </c>
      <c r="AI1257" s="42">
        <f>IFERROR(LOOKUP(X1257,打分卡!$F$13:$J$13,打分卡!$K$13:$O$13),1)</f>
        <v>1</v>
      </c>
      <c r="AJ1257" s="42">
        <f>IFERROR(LOOKUP(Y1257,打分卡!$F$14:$J$14,打分卡!$K$14:$O$14),1)</f>
        <v>1</v>
      </c>
      <c r="AK1257" s="42">
        <f>IFERROR(LOOKUP(W1257,打分卡!$F$15:$J$15,打分卡!$K$15:$O$15),1)</f>
        <v>2</v>
      </c>
      <c r="AL1257" s="45">
        <f t="shared" si="153"/>
        <v>5</v>
      </c>
      <c r="AM1257" s="42">
        <f>IFERROR(LOOKUP(Z1257,打分卡!$F$17:$H$17,打分卡!$K$17:$M$17),1)</f>
        <v>1</v>
      </c>
      <c r="AN1257" s="46">
        <f>(打分卡!$D$7*AC1257+打分卡!$D$8*AD1257+打分卡!$D$9*AE1257)/5</f>
        <v>8</v>
      </c>
      <c r="AO1257" s="46">
        <f>(打分卡!$D$10*AF1257+打分卡!$D$11*AG1257)/5</f>
        <v>6</v>
      </c>
      <c r="AP1257" s="46">
        <f>(打分卡!$D$12*AH1257+打分卡!$D$13*AI1257+打分卡!$D$14*AJ1257+打分卡!$D$15*AK1257)/5</f>
        <v>9.2</v>
      </c>
      <c r="AQ1257" s="46">
        <f>(打分卡!$D$16*AL1257+打分卡!$D$17*AM1257)/5</f>
        <v>6.8</v>
      </c>
      <c r="AR1257" s="48">
        <f t="shared" si="154"/>
        <v>30</v>
      </c>
      <c r="AS1257" s="45" t="str">
        <f t="shared" si="155"/>
        <v>基础长尾</v>
      </c>
      <c r="AT1257" s="45" t="str">
        <f t="shared" si="156"/>
        <v/>
      </c>
      <c r="AU1257" s="45" t="str">
        <f t="shared" si="157"/>
        <v>激活：企微+Push低成本先跑</v>
      </c>
    </row>
    <row r="1258" ht="15" customHeight="1" spans="1:47">
      <c r="A1258" s="30" t="s">
        <v>3305</v>
      </c>
      <c r="B1258" s="31" t="s">
        <v>3306</v>
      </c>
      <c r="C1258" s="31" t="s">
        <v>179</v>
      </c>
      <c r="D1258" s="31" t="s">
        <v>196</v>
      </c>
      <c r="E1258" s="31" t="s">
        <v>197</v>
      </c>
      <c r="F1258" s="30" t="s">
        <v>956</v>
      </c>
      <c r="G1258" s="31">
        <v>3</v>
      </c>
      <c r="H1258" s="31" t="s">
        <v>642</v>
      </c>
      <c r="I1258" s="31" t="s">
        <v>302</v>
      </c>
      <c r="J1258" s="33">
        <v>600</v>
      </c>
      <c r="K1258" s="33">
        <v>300</v>
      </c>
      <c r="L1258" s="33">
        <v>100</v>
      </c>
      <c r="M1258" s="33">
        <f t="shared" si="152"/>
        <v>1000</v>
      </c>
      <c r="N1258" s="34">
        <f t="shared" si="158"/>
        <v>5.24263985790349e-6</v>
      </c>
      <c r="O1258" s="35">
        <f>SUM($M$2:M1258)</f>
        <v>190664300</v>
      </c>
      <c r="P1258" s="34">
        <f t="shared" si="159"/>
        <v>0.999584258659268</v>
      </c>
      <c r="Q1258" s="37">
        <v>0.1</v>
      </c>
      <c r="R1258" s="31">
        <v>2</v>
      </c>
      <c r="S1258" s="31">
        <v>0</v>
      </c>
      <c r="T1258" s="31">
        <v>0</v>
      </c>
      <c r="U1258" s="37">
        <v>49.9</v>
      </c>
      <c r="V1258" s="31">
        <v>10</v>
      </c>
      <c r="W1258" s="31">
        <v>2</v>
      </c>
      <c r="X1258" s="38">
        <v>35</v>
      </c>
      <c r="Y1258" s="31">
        <v>0</v>
      </c>
      <c r="Z1258" s="31">
        <v>0</v>
      </c>
      <c r="AA1258" s="31" t="s">
        <v>199</v>
      </c>
      <c r="AB1258" s="31" t="s">
        <v>220</v>
      </c>
      <c r="AC1258" s="41">
        <f>IFERROR(LOOKUP(M1258,打分卡!$F$7:$J$7,打分卡!$K$7:$O$7),1)</f>
        <v>1</v>
      </c>
      <c r="AD1258" s="41">
        <f>IFERROR(LOOKUP(S1258,打分卡!$F$8:$J$8,打分卡!$K$8:$O$8),1)</f>
        <v>1</v>
      </c>
      <c r="AE1258" s="41">
        <f>IFERROR(LOOKUP(T1258,打分卡!$F$9:$I$9,打分卡!$K$9:$N$9),1)</f>
        <v>1</v>
      </c>
      <c r="AF1258" s="41">
        <f>IFERROR(LOOKUP(Q1258,打分卡!$F$10:$J$10,打分卡!$K$10:$O$10),1)</f>
        <v>1</v>
      </c>
      <c r="AG1258" s="41">
        <f>IFERROR(LOOKUP(R1258,打分卡!$F$11:$J$11,打分卡!$K$11:$O$11),1)</f>
        <v>1</v>
      </c>
      <c r="AH1258" s="41">
        <f>IFERROR(LOOKUP(U1258,打分卡!$F$12:$J$12,打分卡!$K$12:$O$12),1)</f>
        <v>4</v>
      </c>
      <c r="AI1258" s="41">
        <f>IFERROR(LOOKUP(X1258,打分卡!$F$13:$J$13,打分卡!$K$13:$O$13),1)</f>
        <v>2</v>
      </c>
      <c r="AJ1258" s="41">
        <f>IFERROR(LOOKUP(Y1258,打分卡!$F$14:$J$14,打分卡!$K$14:$O$14),1)</f>
        <v>1</v>
      </c>
      <c r="AK1258" s="41">
        <f>IFERROR(LOOKUP(W1258,打分卡!$F$15:$J$15,打分卡!$K$15:$O$15),1)</f>
        <v>2</v>
      </c>
      <c r="AL1258" s="43">
        <f t="shared" si="153"/>
        <v>5</v>
      </c>
      <c r="AM1258" s="41">
        <f>IFERROR(LOOKUP(Z1258,打分卡!$F$17:$H$17,打分卡!$K$17:$M$17),1)</f>
        <v>1</v>
      </c>
      <c r="AN1258" s="44">
        <f>(打分卡!$D$7*AC1258+打分卡!$D$8*AD1258+打分卡!$D$9*AE1258)/5</f>
        <v>8</v>
      </c>
      <c r="AO1258" s="44">
        <f>(打分卡!$D$10*AF1258+打分卡!$D$11*AG1258)/5</f>
        <v>4</v>
      </c>
      <c r="AP1258" s="44">
        <f>(打分卡!$D$12*AH1258+打分卡!$D$13*AI1258+打分卡!$D$14*AJ1258+打分卡!$D$15*AK1258)/5</f>
        <v>15.6</v>
      </c>
      <c r="AQ1258" s="44">
        <f>(打分卡!$D$16*AL1258+打分卡!$D$17*AM1258)/5</f>
        <v>6.8</v>
      </c>
      <c r="AR1258" s="47">
        <f t="shared" si="154"/>
        <v>34.4</v>
      </c>
      <c r="AS1258" s="43" t="str">
        <f t="shared" si="155"/>
        <v>基础长尾</v>
      </c>
      <c r="AT1258" s="43" t="str">
        <f t="shared" si="156"/>
        <v/>
      </c>
      <c r="AU1258" s="43" t="str">
        <f t="shared" si="157"/>
        <v>激活：企微+Push低成本先跑</v>
      </c>
    </row>
    <row r="1259" ht="15" customHeight="1" spans="1:47">
      <c r="A1259" s="20" t="s">
        <v>3307</v>
      </c>
      <c r="B1259" s="22" t="s">
        <v>3308</v>
      </c>
      <c r="C1259" s="22" t="s">
        <v>218</v>
      </c>
      <c r="D1259" s="22" t="s">
        <v>180</v>
      </c>
      <c r="E1259" s="22" t="s">
        <v>197</v>
      </c>
      <c r="F1259" s="20" t="s">
        <v>1557</v>
      </c>
      <c r="G1259" s="22">
        <v>3</v>
      </c>
      <c r="H1259" s="22" t="s">
        <v>642</v>
      </c>
      <c r="I1259" s="22" t="s">
        <v>302</v>
      </c>
      <c r="J1259" s="36">
        <v>500</v>
      </c>
      <c r="K1259" s="36">
        <v>300</v>
      </c>
      <c r="L1259" s="36">
        <v>200</v>
      </c>
      <c r="M1259" s="36">
        <f t="shared" si="152"/>
        <v>1000</v>
      </c>
      <c r="N1259" s="34">
        <f t="shared" si="158"/>
        <v>5.24263985790349e-6</v>
      </c>
      <c r="O1259" s="35">
        <f>SUM($M$2:M1259)</f>
        <v>190665300</v>
      </c>
      <c r="P1259" s="34">
        <f t="shared" si="159"/>
        <v>0.999589501299126</v>
      </c>
      <c r="Q1259" s="39">
        <v>0.1</v>
      </c>
      <c r="R1259" s="22">
        <v>3</v>
      </c>
      <c r="S1259" s="22">
        <v>1</v>
      </c>
      <c r="T1259" s="22">
        <v>0</v>
      </c>
      <c r="U1259" s="39">
        <v>20.5</v>
      </c>
      <c r="V1259" s="22">
        <v>12</v>
      </c>
      <c r="W1259" s="22">
        <v>2</v>
      </c>
      <c r="X1259" s="40">
        <v>5</v>
      </c>
      <c r="Y1259" s="22">
        <v>1</v>
      </c>
      <c r="Z1259" s="22">
        <v>0</v>
      </c>
      <c r="AA1259" s="22" t="s">
        <v>199</v>
      </c>
      <c r="AB1259" s="22" t="s">
        <v>220</v>
      </c>
      <c r="AC1259" s="42">
        <f>IFERROR(LOOKUP(M1259,打分卡!$F$7:$J$7,打分卡!$K$7:$O$7),1)</f>
        <v>1</v>
      </c>
      <c r="AD1259" s="42">
        <f>IFERROR(LOOKUP(S1259,打分卡!$F$8:$J$8,打分卡!$K$8:$O$8),1)</f>
        <v>1</v>
      </c>
      <c r="AE1259" s="42">
        <f>IFERROR(LOOKUP(T1259,打分卡!$F$9:$I$9,打分卡!$K$9:$N$9),1)</f>
        <v>1</v>
      </c>
      <c r="AF1259" s="42">
        <f>IFERROR(LOOKUP(Q1259,打分卡!$F$10:$J$10,打分卡!$K$10:$O$10),1)</f>
        <v>1</v>
      </c>
      <c r="AG1259" s="42">
        <f>IFERROR(LOOKUP(R1259,打分卡!$F$11:$J$11,打分卡!$K$11:$O$11),1)</f>
        <v>2</v>
      </c>
      <c r="AH1259" s="42">
        <f>IFERROR(LOOKUP(U1259,打分卡!$F$12:$J$12,打分卡!$K$12:$O$12),1)</f>
        <v>3</v>
      </c>
      <c r="AI1259" s="42">
        <f>IFERROR(LOOKUP(X1259,打分卡!$F$13:$J$13,打分卡!$K$13:$O$13),1)</f>
        <v>1</v>
      </c>
      <c r="AJ1259" s="42">
        <f>IFERROR(LOOKUP(Y1259,打分卡!$F$14:$J$14,打分卡!$K$14:$O$14),1)</f>
        <v>2</v>
      </c>
      <c r="AK1259" s="42">
        <f>IFERROR(LOOKUP(W1259,打分卡!$F$15:$J$15,打分卡!$K$15:$O$15),1)</f>
        <v>2</v>
      </c>
      <c r="AL1259" s="45">
        <f t="shared" si="153"/>
        <v>5</v>
      </c>
      <c r="AM1259" s="42">
        <f>IFERROR(LOOKUP(Z1259,打分卡!$F$17:$H$17,打分卡!$K$17:$M$17),1)</f>
        <v>1</v>
      </c>
      <c r="AN1259" s="46">
        <f>(打分卡!$D$7*AC1259+打分卡!$D$8*AD1259+打分卡!$D$9*AE1259)/5</f>
        <v>8</v>
      </c>
      <c r="AO1259" s="46">
        <f>(打分卡!$D$10*AF1259+打分卡!$D$11*AG1259)/5</f>
        <v>6</v>
      </c>
      <c r="AP1259" s="46">
        <f>(打分卡!$D$12*AH1259+打分卡!$D$13*AI1259+打分卡!$D$14*AJ1259+打分卡!$D$15*AK1259)/5</f>
        <v>12.8</v>
      </c>
      <c r="AQ1259" s="46">
        <f>(打分卡!$D$16*AL1259+打分卡!$D$17*AM1259)/5</f>
        <v>6.8</v>
      </c>
      <c r="AR1259" s="48">
        <f t="shared" si="154"/>
        <v>33.6</v>
      </c>
      <c r="AS1259" s="45" t="str">
        <f t="shared" si="155"/>
        <v>基础长尾</v>
      </c>
      <c r="AT1259" s="45" t="str">
        <f t="shared" si="156"/>
        <v/>
      </c>
      <c r="AU1259" s="45" t="str">
        <f t="shared" si="157"/>
        <v>激活：企微+Push低成本先跑</v>
      </c>
    </row>
    <row r="1260" ht="15" customHeight="1" spans="1:47">
      <c r="A1260" s="30" t="s">
        <v>3309</v>
      </c>
      <c r="B1260" s="31" t="s">
        <v>3310</v>
      </c>
      <c r="C1260" s="31" t="s">
        <v>189</v>
      </c>
      <c r="D1260" s="31" t="s">
        <v>202</v>
      </c>
      <c r="E1260" s="31" t="s">
        <v>197</v>
      </c>
      <c r="F1260" s="30" t="s">
        <v>2852</v>
      </c>
      <c r="G1260" s="31">
        <v>3</v>
      </c>
      <c r="H1260" s="31" t="s">
        <v>642</v>
      </c>
      <c r="I1260" s="31" t="s">
        <v>302</v>
      </c>
      <c r="J1260" s="33">
        <v>500</v>
      </c>
      <c r="K1260" s="33">
        <v>200</v>
      </c>
      <c r="L1260" s="33">
        <v>200</v>
      </c>
      <c r="M1260" s="33">
        <f t="shared" si="152"/>
        <v>900</v>
      </c>
      <c r="N1260" s="34">
        <f t="shared" si="158"/>
        <v>4.71837587211314e-6</v>
      </c>
      <c r="O1260" s="35">
        <f>SUM($M$2:M1260)</f>
        <v>190666200</v>
      </c>
      <c r="P1260" s="34">
        <f t="shared" si="159"/>
        <v>0.999594219674998</v>
      </c>
      <c r="Q1260" s="37">
        <v>0.1</v>
      </c>
      <c r="R1260" s="31">
        <v>3</v>
      </c>
      <c r="S1260" s="31">
        <v>1</v>
      </c>
      <c r="T1260" s="31">
        <v>0</v>
      </c>
      <c r="U1260" s="37">
        <v>44.5</v>
      </c>
      <c r="V1260" s="31">
        <v>2</v>
      </c>
      <c r="W1260" s="31">
        <v>1</v>
      </c>
      <c r="X1260" s="38">
        <v>66</v>
      </c>
      <c r="Y1260" s="31">
        <v>1</v>
      </c>
      <c r="Z1260" s="31">
        <v>0</v>
      </c>
      <c r="AA1260" s="31" t="s">
        <v>199</v>
      </c>
      <c r="AB1260" s="31" t="s">
        <v>220</v>
      </c>
      <c r="AC1260" s="41">
        <f>IFERROR(LOOKUP(M1260,打分卡!$F$7:$J$7,打分卡!$K$7:$O$7),1)</f>
        <v>1</v>
      </c>
      <c r="AD1260" s="41">
        <f>IFERROR(LOOKUP(S1260,打分卡!$F$8:$J$8,打分卡!$K$8:$O$8),1)</f>
        <v>1</v>
      </c>
      <c r="AE1260" s="41">
        <f>IFERROR(LOOKUP(T1260,打分卡!$F$9:$I$9,打分卡!$K$9:$N$9),1)</f>
        <v>1</v>
      </c>
      <c r="AF1260" s="41">
        <f>IFERROR(LOOKUP(Q1260,打分卡!$F$10:$J$10,打分卡!$K$10:$O$10),1)</f>
        <v>1</v>
      </c>
      <c r="AG1260" s="41">
        <f>IFERROR(LOOKUP(R1260,打分卡!$F$11:$J$11,打分卡!$K$11:$O$11),1)</f>
        <v>2</v>
      </c>
      <c r="AH1260" s="41">
        <f>IFERROR(LOOKUP(U1260,打分卡!$F$12:$J$12,打分卡!$K$12:$O$12),1)</f>
        <v>4</v>
      </c>
      <c r="AI1260" s="41">
        <f>IFERROR(LOOKUP(X1260,打分卡!$F$13:$J$13,打分卡!$K$13:$O$13),1)</f>
        <v>3</v>
      </c>
      <c r="AJ1260" s="41">
        <f>IFERROR(LOOKUP(Y1260,打分卡!$F$14:$J$14,打分卡!$K$14:$O$14),1)</f>
        <v>2</v>
      </c>
      <c r="AK1260" s="41">
        <f>IFERROR(LOOKUP(W1260,打分卡!$F$15:$J$15,打分卡!$K$15:$O$15),1)</f>
        <v>2</v>
      </c>
      <c r="AL1260" s="43">
        <f t="shared" si="153"/>
        <v>5</v>
      </c>
      <c r="AM1260" s="41">
        <f>IFERROR(LOOKUP(Z1260,打分卡!$F$17:$H$17,打分卡!$K$17:$M$17),1)</f>
        <v>1</v>
      </c>
      <c r="AN1260" s="44">
        <f>(打分卡!$D$7*AC1260+打分卡!$D$8*AD1260+打分卡!$D$9*AE1260)/5</f>
        <v>8</v>
      </c>
      <c r="AO1260" s="44">
        <f>(打分卡!$D$10*AF1260+打分卡!$D$11*AG1260)/5</f>
        <v>6</v>
      </c>
      <c r="AP1260" s="44">
        <f>(打分卡!$D$12*AH1260+打分卡!$D$13*AI1260+打分卡!$D$14*AJ1260+打分卡!$D$15*AK1260)/5</f>
        <v>18.4</v>
      </c>
      <c r="AQ1260" s="44">
        <f>(打分卡!$D$16*AL1260+打分卡!$D$17*AM1260)/5</f>
        <v>6.8</v>
      </c>
      <c r="AR1260" s="47">
        <f t="shared" si="154"/>
        <v>39.2</v>
      </c>
      <c r="AS1260" s="43" t="str">
        <f t="shared" si="155"/>
        <v>基础长尾</v>
      </c>
      <c r="AT1260" s="43" t="str">
        <f t="shared" si="156"/>
        <v/>
      </c>
      <c r="AU1260" s="43" t="str">
        <f t="shared" si="157"/>
        <v>激活：企微+Push低成本先跑</v>
      </c>
    </row>
    <row r="1261" ht="15" customHeight="1" spans="1:47">
      <c r="A1261" s="20" t="s">
        <v>3311</v>
      </c>
      <c r="B1261" s="22" t="s">
        <v>3312</v>
      </c>
      <c r="C1261" s="22" t="s">
        <v>234</v>
      </c>
      <c r="D1261" s="22" t="s">
        <v>252</v>
      </c>
      <c r="E1261" s="22" t="s">
        <v>181</v>
      </c>
      <c r="F1261" s="20" t="s">
        <v>2818</v>
      </c>
      <c r="G1261" s="22">
        <v>1</v>
      </c>
      <c r="H1261" s="22" t="s">
        <v>642</v>
      </c>
      <c r="I1261" s="22" t="s">
        <v>302</v>
      </c>
      <c r="J1261" s="36">
        <v>500</v>
      </c>
      <c r="K1261" s="36">
        <v>300</v>
      </c>
      <c r="L1261" s="36">
        <v>200</v>
      </c>
      <c r="M1261" s="36">
        <f t="shared" si="152"/>
        <v>1000</v>
      </c>
      <c r="N1261" s="34">
        <f t="shared" si="158"/>
        <v>5.24263985790349e-6</v>
      </c>
      <c r="O1261" s="35">
        <f>SUM($M$2:M1261)</f>
        <v>190667200</v>
      </c>
      <c r="P1261" s="34">
        <f t="shared" si="159"/>
        <v>0.999599462314856</v>
      </c>
      <c r="Q1261" s="39">
        <v>0.1</v>
      </c>
      <c r="R1261" s="22">
        <v>2</v>
      </c>
      <c r="S1261" s="22">
        <v>0</v>
      </c>
      <c r="T1261" s="22">
        <v>0</v>
      </c>
      <c r="U1261" s="39">
        <v>2.2</v>
      </c>
      <c r="V1261" s="22">
        <v>7</v>
      </c>
      <c r="W1261" s="22">
        <v>2</v>
      </c>
      <c r="X1261" s="40">
        <v>31</v>
      </c>
      <c r="Y1261" s="22">
        <v>0</v>
      </c>
      <c r="Z1261" s="22">
        <v>0</v>
      </c>
      <c r="AA1261" s="22" t="s">
        <v>199</v>
      </c>
      <c r="AB1261" s="22" t="s">
        <v>220</v>
      </c>
      <c r="AC1261" s="42">
        <f>IFERROR(LOOKUP(M1261,打分卡!$F$7:$J$7,打分卡!$K$7:$O$7),1)</f>
        <v>1</v>
      </c>
      <c r="AD1261" s="42">
        <f>IFERROR(LOOKUP(S1261,打分卡!$F$8:$J$8,打分卡!$K$8:$O$8),1)</f>
        <v>1</v>
      </c>
      <c r="AE1261" s="42">
        <f>IFERROR(LOOKUP(T1261,打分卡!$F$9:$I$9,打分卡!$K$9:$N$9),1)</f>
        <v>1</v>
      </c>
      <c r="AF1261" s="42">
        <f>IFERROR(LOOKUP(Q1261,打分卡!$F$10:$J$10,打分卡!$K$10:$O$10),1)</f>
        <v>1</v>
      </c>
      <c r="AG1261" s="42">
        <f>IFERROR(LOOKUP(R1261,打分卡!$F$11:$J$11,打分卡!$K$11:$O$11),1)</f>
        <v>1</v>
      </c>
      <c r="AH1261" s="42">
        <f>IFERROR(LOOKUP(U1261,打分卡!$F$12:$J$12,打分卡!$K$12:$O$12),1)</f>
        <v>1</v>
      </c>
      <c r="AI1261" s="42">
        <f>IFERROR(LOOKUP(X1261,打分卡!$F$13:$J$13,打分卡!$K$13:$O$13),1)</f>
        <v>2</v>
      </c>
      <c r="AJ1261" s="42">
        <f>IFERROR(LOOKUP(Y1261,打分卡!$F$14:$J$14,打分卡!$K$14:$O$14),1)</f>
        <v>1</v>
      </c>
      <c r="AK1261" s="42">
        <f>IFERROR(LOOKUP(W1261,打分卡!$F$15:$J$15,打分卡!$K$15:$O$15),1)</f>
        <v>2</v>
      </c>
      <c r="AL1261" s="45">
        <f t="shared" si="153"/>
        <v>5</v>
      </c>
      <c r="AM1261" s="42">
        <f>IFERROR(LOOKUP(Z1261,打分卡!$F$17:$H$17,打分卡!$K$17:$M$17),1)</f>
        <v>1</v>
      </c>
      <c r="AN1261" s="46">
        <f>(打分卡!$D$7*AC1261+打分卡!$D$8*AD1261+打分卡!$D$9*AE1261)/5</f>
        <v>8</v>
      </c>
      <c r="AO1261" s="46">
        <f>(打分卡!$D$10*AF1261+打分卡!$D$11*AG1261)/5</f>
        <v>4</v>
      </c>
      <c r="AP1261" s="46">
        <f>(打分卡!$D$12*AH1261+打分卡!$D$13*AI1261+打分卡!$D$14*AJ1261+打分卡!$D$15*AK1261)/5</f>
        <v>8.4</v>
      </c>
      <c r="AQ1261" s="46">
        <f>(打分卡!$D$16*AL1261+打分卡!$D$17*AM1261)/5</f>
        <v>6.8</v>
      </c>
      <c r="AR1261" s="48">
        <f t="shared" si="154"/>
        <v>30.4</v>
      </c>
      <c r="AS1261" s="45" t="str">
        <f t="shared" si="155"/>
        <v>基础长尾</v>
      </c>
      <c r="AT1261" s="45" t="str">
        <f t="shared" si="156"/>
        <v/>
      </c>
      <c r="AU1261" s="45" t="str">
        <f t="shared" si="157"/>
        <v>激活：企微+Push低成本先跑</v>
      </c>
    </row>
    <row r="1262" ht="15" customHeight="1" spans="1:47">
      <c r="A1262" s="30" t="s">
        <v>3313</v>
      </c>
      <c r="B1262" s="31" t="s">
        <v>3314</v>
      </c>
      <c r="C1262" s="31" t="s">
        <v>218</v>
      </c>
      <c r="D1262" s="31" t="s">
        <v>252</v>
      </c>
      <c r="E1262" s="31" t="s">
        <v>197</v>
      </c>
      <c r="F1262" s="30" t="s">
        <v>2906</v>
      </c>
      <c r="G1262" s="31">
        <v>1</v>
      </c>
      <c r="H1262" s="31" t="s">
        <v>642</v>
      </c>
      <c r="I1262" s="31" t="s">
        <v>302</v>
      </c>
      <c r="J1262" s="33">
        <v>500</v>
      </c>
      <c r="K1262" s="33">
        <v>200</v>
      </c>
      <c r="L1262" s="33">
        <v>200</v>
      </c>
      <c r="M1262" s="33">
        <f t="shared" si="152"/>
        <v>900</v>
      </c>
      <c r="N1262" s="34">
        <f t="shared" si="158"/>
        <v>4.71837587211314e-6</v>
      </c>
      <c r="O1262" s="35">
        <f>SUM($M$2:M1262)</f>
        <v>190668100</v>
      </c>
      <c r="P1262" s="34">
        <f t="shared" si="159"/>
        <v>0.999604180690728</v>
      </c>
      <c r="Q1262" s="37">
        <v>0.1</v>
      </c>
      <c r="R1262" s="31">
        <v>3</v>
      </c>
      <c r="S1262" s="31">
        <v>0</v>
      </c>
      <c r="T1262" s="31">
        <v>0</v>
      </c>
      <c r="U1262" s="37">
        <v>0.9</v>
      </c>
      <c r="V1262" s="31">
        <v>4</v>
      </c>
      <c r="W1262" s="31">
        <v>0</v>
      </c>
      <c r="X1262" s="38">
        <v>15</v>
      </c>
      <c r="Y1262" s="31">
        <v>1</v>
      </c>
      <c r="Z1262" s="31">
        <v>0</v>
      </c>
      <c r="AA1262" s="31" t="s">
        <v>199</v>
      </c>
      <c r="AB1262" s="31" t="s">
        <v>220</v>
      </c>
      <c r="AC1262" s="41">
        <f>IFERROR(LOOKUP(M1262,打分卡!$F$7:$J$7,打分卡!$K$7:$O$7),1)</f>
        <v>1</v>
      </c>
      <c r="AD1262" s="41">
        <f>IFERROR(LOOKUP(S1262,打分卡!$F$8:$J$8,打分卡!$K$8:$O$8),1)</f>
        <v>1</v>
      </c>
      <c r="AE1262" s="41">
        <f>IFERROR(LOOKUP(T1262,打分卡!$F$9:$I$9,打分卡!$K$9:$N$9),1)</f>
        <v>1</v>
      </c>
      <c r="AF1262" s="41">
        <f>IFERROR(LOOKUP(Q1262,打分卡!$F$10:$J$10,打分卡!$K$10:$O$10),1)</f>
        <v>1</v>
      </c>
      <c r="AG1262" s="41">
        <f>IFERROR(LOOKUP(R1262,打分卡!$F$11:$J$11,打分卡!$K$11:$O$11),1)</f>
        <v>2</v>
      </c>
      <c r="AH1262" s="41">
        <f>IFERROR(LOOKUP(U1262,打分卡!$F$12:$J$12,打分卡!$K$12:$O$12),1)</f>
        <v>1</v>
      </c>
      <c r="AI1262" s="41">
        <f>IFERROR(LOOKUP(X1262,打分卡!$F$13:$J$13,打分卡!$K$13:$O$13),1)</f>
        <v>1</v>
      </c>
      <c r="AJ1262" s="41">
        <f>IFERROR(LOOKUP(Y1262,打分卡!$F$14:$J$14,打分卡!$K$14:$O$14),1)</f>
        <v>2</v>
      </c>
      <c r="AK1262" s="41">
        <f>IFERROR(LOOKUP(W1262,打分卡!$F$15:$J$15,打分卡!$K$15:$O$15),1)</f>
        <v>1</v>
      </c>
      <c r="AL1262" s="43">
        <f t="shared" si="153"/>
        <v>5</v>
      </c>
      <c r="AM1262" s="41">
        <f>IFERROR(LOOKUP(Z1262,打分卡!$F$17:$H$17,打分卡!$K$17:$M$17),1)</f>
        <v>1</v>
      </c>
      <c r="AN1262" s="44">
        <f>(打分卡!$D$7*AC1262+打分卡!$D$8*AD1262+打分卡!$D$9*AE1262)/5</f>
        <v>8</v>
      </c>
      <c r="AO1262" s="44">
        <f>(打分卡!$D$10*AF1262+打分卡!$D$11*AG1262)/5</f>
        <v>6</v>
      </c>
      <c r="AP1262" s="44">
        <f>(打分卡!$D$12*AH1262+打分卡!$D$13*AI1262+打分卡!$D$14*AJ1262+打分卡!$D$15*AK1262)/5</f>
        <v>7.2</v>
      </c>
      <c r="AQ1262" s="44">
        <f>(打分卡!$D$16*AL1262+打分卡!$D$17*AM1262)/5</f>
        <v>6.8</v>
      </c>
      <c r="AR1262" s="47">
        <f t="shared" si="154"/>
        <v>29.6</v>
      </c>
      <c r="AS1262" s="43" t="str">
        <f t="shared" si="155"/>
        <v>基础长尾</v>
      </c>
      <c r="AT1262" s="43" t="str">
        <f t="shared" si="156"/>
        <v/>
      </c>
      <c r="AU1262" s="43" t="str">
        <f t="shared" si="157"/>
        <v>激活：企微+Push低成本先跑</v>
      </c>
    </row>
    <row r="1263" ht="15" customHeight="1" spans="1:47">
      <c r="A1263" s="20" t="s">
        <v>3315</v>
      </c>
      <c r="B1263" s="22" t="s">
        <v>3316</v>
      </c>
      <c r="C1263" s="22" t="s">
        <v>223</v>
      </c>
      <c r="D1263" s="22" t="s">
        <v>202</v>
      </c>
      <c r="E1263" s="22" t="s">
        <v>197</v>
      </c>
      <c r="F1263" s="20" t="s">
        <v>2714</v>
      </c>
      <c r="G1263" s="22">
        <v>2</v>
      </c>
      <c r="H1263" s="22" t="s">
        <v>642</v>
      </c>
      <c r="I1263" s="22" t="s">
        <v>302</v>
      </c>
      <c r="J1263" s="36">
        <v>500</v>
      </c>
      <c r="K1263" s="36">
        <v>300</v>
      </c>
      <c r="L1263" s="36">
        <v>200</v>
      </c>
      <c r="M1263" s="36">
        <f t="shared" si="152"/>
        <v>1000</v>
      </c>
      <c r="N1263" s="34">
        <f t="shared" si="158"/>
        <v>5.24263985790349e-6</v>
      </c>
      <c r="O1263" s="35">
        <f>SUM($M$2:M1263)</f>
        <v>190669100</v>
      </c>
      <c r="P1263" s="34">
        <f t="shared" si="159"/>
        <v>0.999609423330586</v>
      </c>
      <c r="Q1263" s="39">
        <v>0.1</v>
      </c>
      <c r="R1263" s="22">
        <v>3</v>
      </c>
      <c r="S1263" s="22">
        <v>0</v>
      </c>
      <c r="T1263" s="22">
        <v>0</v>
      </c>
      <c r="U1263" s="39">
        <v>3.9</v>
      </c>
      <c r="V1263" s="22">
        <v>3</v>
      </c>
      <c r="W1263" s="22">
        <v>1</v>
      </c>
      <c r="X1263" s="40">
        <v>22</v>
      </c>
      <c r="Y1263" s="22">
        <v>1</v>
      </c>
      <c r="Z1263" s="22">
        <v>0</v>
      </c>
      <c r="AA1263" s="22" t="s">
        <v>199</v>
      </c>
      <c r="AB1263" s="22" t="s">
        <v>220</v>
      </c>
      <c r="AC1263" s="42">
        <f>IFERROR(LOOKUP(M1263,打分卡!$F$7:$J$7,打分卡!$K$7:$O$7),1)</f>
        <v>1</v>
      </c>
      <c r="AD1263" s="42">
        <f>IFERROR(LOOKUP(S1263,打分卡!$F$8:$J$8,打分卡!$K$8:$O$8),1)</f>
        <v>1</v>
      </c>
      <c r="AE1263" s="42">
        <f>IFERROR(LOOKUP(T1263,打分卡!$F$9:$I$9,打分卡!$K$9:$N$9),1)</f>
        <v>1</v>
      </c>
      <c r="AF1263" s="42">
        <f>IFERROR(LOOKUP(Q1263,打分卡!$F$10:$J$10,打分卡!$K$10:$O$10),1)</f>
        <v>1</v>
      </c>
      <c r="AG1263" s="42">
        <f>IFERROR(LOOKUP(R1263,打分卡!$F$11:$J$11,打分卡!$K$11:$O$11),1)</f>
        <v>2</v>
      </c>
      <c r="AH1263" s="42">
        <f>IFERROR(LOOKUP(U1263,打分卡!$F$12:$J$12,打分卡!$K$12:$O$12),1)</f>
        <v>2</v>
      </c>
      <c r="AI1263" s="42">
        <f>IFERROR(LOOKUP(X1263,打分卡!$F$13:$J$13,打分卡!$K$13:$O$13),1)</f>
        <v>2</v>
      </c>
      <c r="AJ1263" s="42">
        <f>IFERROR(LOOKUP(Y1263,打分卡!$F$14:$J$14,打分卡!$K$14:$O$14),1)</f>
        <v>2</v>
      </c>
      <c r="AK1263" s="42">
        <f>IFERROR(LOOKUP(W1263,打分卡!$F$15:$J$15,打分卡!$K$15:$O$15),1)</f>
        <v>2</v>
      </c>
      <c r="AL1263" s="45">
        <f t="shared" si="153"/>
        <v>5</v>
      </c>
      <c r="AM1263" s="42">
        <f>IFERROR(LOOKUP(Z1263,打分卡!$F$17:$H$17,打分卡!$K$17:$M$17),1)</f>
        <v>1</v>
      </c>
      <c r="AN1263" s="46">
        <f>(打分卡!$D$7*AC1263+打分卡!$D$8*AD1263+打分卡!$D$9*AE1263)/5</f>
        <v>8</v>
      </c>
      <c r="AO1263" s="46">
        <f>(打分卡!$D$10*AF1263+打分卡!$D$11*AG1263)/5</f>
        <v>6</v>
      </c>
      <c r="AP1263" s="46">
        <f>(打分卡!$D$12*AH1263+打分卡!$D$13*AI1263+打分卡!$D$14*AJ1263+打分卡!$D$15*AK1263)/5</f>
        <v>12</v>
      </c>
      <c r="AQ1263" s="46">
        <f>(打分卡!$D$16*AL1263+打分卡!$D$17*AM1263)/5</f>
        <v>6.8</v>
      </c>
      <c r="AR1263" s="48">
        <f t="shared" si="154"/>
        <v>40.8</v>
      </c>
      <c r="AS1263" s="45" t="str">
        <f t="shared" si="155"/>
        <v>腰部</v>
      </c>
      <c r="AT1263" s="45" t="str">
        <f t="shared" si="156"/>
        <v/>
      </c>
      <c r="AU1263" s="45" t="str">
        <f t="shared" si="157"/>
        <v>拉·主攻：主推AI外呼+大促作战包</v>
      </c>
    </row>
    <row r="1264" ht="15" customHeight="1" spans="1:47">
      <c r="A1264" s="30" t="s">
        <v>3317</v>
      </c>
      <c r="B1264" s="31" t="s">
        <v>3318</v>
      </c>
      <c r="C1264" s="31" t="s">
        <v>195</v>
      </c>
      <c r="D1264" s="31" t="s">
        <v>227</v>
      </c>
      <c r="E1264" s="31" t="s">
        <v>181</v>
      </c>
      <c r="F1264" s="30" t="s">
        <v>3218</v>
      </c>
      <c r="G1264" s="31">
        <v>2</v>
      </c>
      <c r="H1264" s="31" t="s">
        <v>642</v>
      </c>
      <c r="I1264" s="31" t="s">
        <v>302</v>
      </c>
      <c r="J1264" s="33">
        <v>500</v>
      </c>
      <c r="K1264" s="33">
        <v>300</v>
      </c>
      <c r="L1264" s="33">
        <v>100</v>
      </c>
      <c r="M1264" s="33">
        <f t="shared" si="152"/>
        <v>900</v>
      </c>
      <c r="N1264" s="34">
        <f t="shared" si="158"/>
        <v>4.71837587211314e-6</v>
      </c>
      <c r="O1264" s="35">
        <f>SUM($M$2:M1264)</f>
        <v>190670000</v>
      </c>
      <c r="P1264" s="34">
        <f t="shared" si="159"/>
        <v>0.999614141706458</v>
      </c>
      <c r="Q1264" s="37">
        <v>0.1</v>
      </c>
      <c r="R1264" s="31">
        <v>2</v>
      </c>
      <c r="S1264" s="31">
        <v>1</v>
      </c>
      <c r="T1264" s="31">
        <v>0</v>
      </c>
      <c r="U1264" s="37">
        <v>18.2</v>
      </c>
      <c r="V1264" s="31">
        <v>13</v>
      </c>
      <c r="W1264" s="31">
        <v>2</v>
      </c>
      <c r="X1264" s="38">
        <v>62</v>
      </c>
      <c r="Y1264" s="31">
        <v>0</v>
      </c>
      <c r="Z1264" s="31">
        <v>0</v>
      </c>
      <c r="AA1264" s="31" t="s">
        <v>199</v>
      </c>
      <c r="AB1264" s="31" t="s">
        <v>220</v>
      </c>
      <c r="AC1264" s="41">
        <f>IFERROR(LOOKUP(M1264,打分卡!$F$7:$J$7,打分卡!$K$7:$O$7),1)</f>
        <v>1</v>
      </c>
      <c r="AD1264" s="41">
        <f>IFERROR(LOOKUP(S1264,打分卡!$F$8:$J$8,打分卡!$K$8:$O$8),1)</f>
        <v>1</v>
      </c>
      <c r="AE1264" s="41">
        <f>IFERROR(LOOKUP(T1264,打分卡!$F$9:$I$9,打分卡!$K$9:$N$9),1)</f>
        <v>1</v>
      </c>
      <c r="AF1264" s="41">
        <f>IFERROR(LOOKUP(Q1264,打分卡!$F$10:$J$10,打分卡!$K$10:$O$10),1)</f>
        <v>1</v>
      </c>
      <c r="AG1264" s="41">
        <f>IFERROR(LOOKUP(R1264,打分卡!$F$11:$J$11,打分卡!$K$11:$O$11),1)</f>
        <v>1</v>
      </c>
      <c r="AH1264" s="41">
        <f>IFERROR(LOOKUP(U1264,打分卡!$F$12:$J$12,打分卡!$K$12:$O$12),1)</f>
        <v>3</v>
      </c>
      <c r="AI1264" s="41">
        <f>IFERROR(LOOKUP(X1264,打分卡!$F$13:$J$13,打分卡!$K$13:$O$13),1)</f>
        <v>3</v>
      </c>
      <c r="AJ1264" s="41">
        <f>IFERROR(LOOKUP(Y1264,打分卡!$F$14:$J$14,打分卡!$K$14:$O$14),1)</f>
        <v>1</v>
      </c>
      <c r="AK1264" s="41">
        <f>IFERROR(LOOKUP(W1264,打分卡!$F$15:$J$15,打分卡!$K$15:$O$15),1)</f>
        <v>2</v>
      </c>
      <c r="AL1264" s="43">
        <f t="shared" si="153"/>
        <v>5</v>
      </c>
      <c r="AM1264" s="41">
        <f>IFERROR(LOOKUP(Z1264,打分卡!$F$17:$H$17,打分卡!$K$17:$M$17),1)</f>
        <v>1</v>
      </c>
      <c r="AN1264" s="44">
        <f>(打分卡!$D$7*AC1264+打分卡!$D$8*AD1264+打分卡!$D$9*AE1264)/5</f>
        <v>8</v>
      </c>
      <c r="AO1264" s="44">
        <f>(打分卡!$D$10*AF1264+打分卡!$D$11*AG1264)/5</f>
        <v>4</v>
      </c>
      <c r="AP1264" s="44">
        <f>(打分卡!$D$12*AH1264+打分卡!$D$13*AI1264+打分卡!$D$14*AJ1264+打分卡!$D$15*AK1264)/5</f>
        <v>14.8</v>
      </c>
      <c r="AQ1264" s="44">
        <f>(打分卡!$D$16*AL1264+打分卡!$D$17*AM1264)/5</f>
        <v>6.8</v>
      </c>
      <c r="AR1264" s="47">
        <f t="shared" si="154"/>
        <v>45.3333333333333</v>
      </c>
      <c r="AS1264" s="43" t="str">
        <f t="shared" si="155"/>
        <v>腰部</v>
      </c>
      <c r="AT1264" s="43" t="str">
        <f t="shared" si="156"/>
        <v/>
      </c>
      <c r="AU1264" s="43" t="str">
        <f t="shared" si="157"/>
        <v>拉·主攻：主推AI外呼+大促作战包</v>
      </c>
    </row>
    <row r="1265" ht="15" customHeight="1" spans="1:47">
      <c r="A1265" s="20" t="s">
        <v>3319</v>
      </c>
      <c r="B1265" s="22" t="s">
        <v>3320</v>
      </c>
      <c r="C1265" s="22" t="s">
        <v>239</v>
      </c>
      <c r="D1265" s="22" t="s">
        <v>196</v>
      </c>
      <c r="E1265" s="22" t="s">
        <v>181</v>
      </c>
      <c r="F1265" s="20" t="s">
        <v>2898</v>
      </c>
      <c r="G1265" s="22">
        <v>2</v>
      </c>
      <c r="H1265" s="22" t="s">
        <v>642</v>
      </c>
      <c r="I1265" s="22" t="s">
        <v>302</v>
      </c>
      <c r="J1265" s="36">
        <v>500</v>
      </c>
      <c r="K1265" s="36">
        <v>200</v>
      </c>
      <c r="L1265" s="36">
        <v>200</v>
      </c>
      <c r="M1265" s="36">
        <f t="shared" si="152"/>
        <v>900</v>
      </c>
      <c r="N1265" s="34">
        <f t="shared" si="158"/>
        <v>4.71837587211314e-6</v>
      </c>
      <c r="O1265" s="35">
        <f>SUM($M$2:M1265)</f>
        <v>190670900</v>
      </c>
      <c r="P1265" s="34">
        <f t="shared" si="159"/>
        <v>0.99961886008233</v>
      </c>
      <c r="Q1265" s="39">
        <v>0.1</v>
      </c>
      <c r="R1265" s="22">
        <v>3</v>
      </c>
      <c r="S1265" s="22">
        <v>1</v>
      </c>
      <c r="T1265" s="22">
        <v>0</v>
      </c>
      <c r="U1265" s="39">
        <v>260</v>
      </c>
      <c r="V1265" s="22">
        <v>7</v>
      </c>
      <c r="W1265" s="22">
        <v>9</v>
      </c>
      <c r="X1265" s="40">
        <v>905</v>
      </c>
      <c r="Y1265" s="22">
        <v>4</v>
      </c>
      <c r="Z1265" s="22">
        <v>0</v>
      </c>
      <c r="AA1265" s="22" t="s">
        <v>199</v>
      </c>
      <c r="AB1265" s="22" t="s">
        <v>220</v>
      </c>
      <c r="AC1265" s="42">
        <f>IFERROR(LOOKUP(M1265,打分卡!$F$7:$J$7,打分卡!$K$7:$O$7),1)</f>
        <v>1</v>
      </c>
      <c r="AD1265" s="42">
        <f>IFERROR(LOOKUP(S1265,打分卡!$F$8:$J$8,打分卡!$K$8:$O$8),1)</f>
        <v>1</v>
      </c>
      <c r="AE1265" s="42">
        <f>IFERROR(LOOKUP(T1265,打分卡!$F$9:$I$9,打分卡!$K$9:$N$9),1)</f>
        <v>1</v>
      </c>
      <c r="AF1265" s="42">
        <f>IFERROR(LOOKUP(Q1265,打分卡!$F$10:$J$10,打分卡!$K$10:$O$10),1)</f>
        <v>1</v>
      </c>
      <c r="AG1265" s="42">
        <f>IFERROR(LOOKUP(R1265,打分卡!$F$11:$J$11,打分卡!$K$11:$O$11),1)</f>
        <v>2</v>
      </c>
      <c r="AH1265" s="42">
        <f>IFERROR(LOOKUP(U1265,打分卡!$F$12:$J$12,打分卡!$K$12:$O$12),1)</f>
        <v>5</v>
      </c>
      <c r="AI1265" s="42">
        <f>IFERROR(LOOKUP(X1265,打分卡!$F$13:$J$13,打分卡!$K$13:$O$13),1)</f>
        <v>5</v>
      </c>
      <c r="AJ1265" s="42">
        <f>IFERROR(LOOKUP(Y1265,打分卡!$F$14:$J$14,打分卡!$K$14:$O$14),1)</f>
        <v>4</v>
      </c>
      <c r="AK1265" s="42">
        <f>IFERROR(LOOKUP(W1265,打分卡!$F$15:$J$15,打分卡!$K$15:$O$15),1)</f>
        <v>4</v>
      </c>
      <c r="AL1265" s="45">
        <f t="shared" si="153"/>
        <v>5</v>
      </c>
      <c r="AM1265" s="42">
        <f>IFERROR(LOOKUP(Z1265,打分卡!$F$17:$H$17,打分卡!$K$17:$M$17),1)</f>
        <v>1</v>
      </c>
      <c r="AN1265" s="46">
        <f>(打分卡!$D$7*AC1265+打分卡!$D$8*AD1265+打分卡!$D$9*AE1265)/5</f>
        <v>8</v>
      </c>
      <c r="AO1265" s="46">
        <f>(打分卡!$D$10*AF1265+打分卡!$D$11*AG1265)/5</f>
        <v>6</v>
      </c>
      <c r="AP1265" s="46">
        <f>(打分卡!$D$12*AH1265+打分卡!$D$13*AI1265+打分卡!$D$14*AJ1265+打分卡!$D$15*AK1265)/5</f>
        <v>28</v>
      </c>
      <c r="AQ1265" s="46">
        <f>(打分卡!$D$16*AL1265+打分卡!$D$17*AM1265)/5</f>
        <v>6.8</v>
      </c>
      <c r="AR1265" s="48">
        <f t="shared" si="154"/>
        <v>78.1333333333333</v>
      </c>
      <c r="AS1265" s="45" t="str">
        <f t="shared" si="155"/>
        <v>KA</v>
      </c>
      <c r="AT1265" s="45" t="str">
        <f t="shared" si="156"/>
        <v/>
      </c>
      <c r="AU1265" s="45" t="str">
        <f t="shared" si="157"/>
        <v>扩·深化：AI外呼场景深化+Push/企微补全</v>
      </c>
    </row>
    <row r="1266" ht="15" customHeight="1" spans="1:47">
      <c r="A1266" s="30" t="s">
        <v>3321</v>
      </c>
      <c r="B1266" s="31" t="s">
        <v>3322</v>
      </c>
      <c r="C1266" s="31" t="s">
        <v>189</v>
      </c>
      <c r="D1266" s="31" t="s">
        <v>235</v>
      </c>
      <c r="E1266" s="31" t="s">
        <v>197</v>
      </c>
      <c r="F1266" s="30" t="s">
        <v>2883</v>
      </c>
      <c r="G1266" s="31">
        <v>2</v>
      </c>
      <c r="H1266" s="31" t="s">
        <v>642</v>
      </c>
      <c r="I1266" s="31" t="s">
        <v>302</v>
      </c>
      <c r="J1266" s="33">
        <v>600</v>
      </c>
      <c r="K1266" s="33">
        <v>300</v>
      </c>
      <c r="L1266" s="33">
        <v>0</v>
      </c>
      <c r="M1266" s="33">
        <f t="shared" si="152"/>
        <v>900</v>
      </c>
      <c r="N1266" s="34">
        <f t="shared" si="158"/>
        <v>4.71837587211314e-6</v>
      </c>
      <c r="O1266" s="35">
        <f>SUM($M$2:M1266)</f>
        <v>190671800</v>
      </c>
      <c r="P1266" s="34">
        <f t="shared" si="159"/>
        <v>0.999623578458202</v>
      </c>
      <c r="Q1266" s="37">
        <v>0.1</v>
      </c>
      <c r="R1266" s="31">
        <v>3</v>
      </c>
      <c r="S1266" s="31">
        <v>0</v>
      </c>
      <c r="T1266" s="31">
        <v>0</v>
      </c>
      <c r="U1266" s="37">
        <v>5.5</v>
      </c>
      <c r="V1266" s="31">
        <v>3</v>
      </c>
      <c r="W1266" s="31">
        <v>0</v>
      </c>
      <c r="X1266" s="38">
        <v>50</v>
      </c>
      <c r="Y1266" s="31">
        <v>1</v>
      </c>
      <c r="Z1266" s="31">
        <v>0</v>
      </c>
      <c r="AA1266" s="31" t="s">
        <v>199</v>
      </c>
      <c r="AB1266" s="31" t="s">
        <v>220</v>
      </c>
      <c r="AC1266" s="41">
        <f>IFERROR(LOOKUP(M1266,打分卡!$F$7:$J$7,打分卡!$K$7:$O$7),1)</f>
        <v>1</v>
      </c>
      <c r="AD1266" s="41">
        <f>IFERROR(LOOKUP(S1266,打分卡!$F$8:$J$8,打分卡!$K$8:$O$8),1)</f>
        <v>1</v>
      </c>
      <c r="AE1266" s="41">
        <f>IFERROR(LOOKUP(T1266,打分卡!$F$9:$I$9,打分卡!$K$9:$N$9),1)</f>
        <v>1</v>
      </c>
      <c r="AF1266" s="41">
        <f>IFERROR(LOOKUP(Q1266,打分卡!$F$10:$J$10,打分卡!$K$10:$O$10),1)</f>
        <v>1</v>
      </c>
      <c r="AG1266" s="41">
        <f>IFERROR(LOOKUP(R1266,打分卡!$F$11:$J$11,打分卡!$K$11:$O$11),1)</f>
        <v>2</v>
      </c>
      <c r="AH1266" s="41">
        <f>IFERROR(LOOKUP(U1266,打分卡!$F$12:$J$12,打分卡!$K$12:$O$12),1)</f>
        <v>2</v>
      </c>
      <c r="AI1266" s="41">
        <f>IFERROR(LOOKUP(X1266,打分卡!$F$13:$J$13,打分卡!$K$13:$O$13),1)</f>
        <v>3</v>
      </c>
      <c r="AJ1266" s="41">
        <f>IFERROR(LOOKUP(Y1266,打分卡!$F$14:$J$14,打分卡!$K$14:$O$14),1)</f>
        <v>2</v>
      </c>
      <c r="AK1266" s="41">
        <f>IFERROR(LOOKUP(W1266,打分卡!$F$15:$J$15,打分卡!$K$15:$O$15),1)</f>
        <v>1</v>
      </c>
      <c r="AL1266" s="43">
        <f t="shared" si="153"/>
        <v>5</v>
      </c>
      <c r="AM1266" s="41">
        <f>IFERROR(LOOKUP(Z1266,打分卡!$F$17:$H$17,打分卡!$K$17:$M$17),1)</f>
        <v>1</v>
      </c>
      <c r="AN1266" s="44">
        <f>(打分卡!$D$7*AC1266+打分卡!$D$8*AD1266+打分卡!$D$9*AE1266)/5</f>
        <v>8</v>
      </c>
      <c r="AO1266" s="44">
        <f>(打分卡!$D$10*AF1266+打分卡!$D$11*AG1266)/5</f>
        <v>6</v>
      </c>
      <c r="AP1266" s="44">
        <f>(打分卡!$D$12*AH1266+打分卡!$D$13*AI1266+打分卡!$D$14*AJ1266+打分卡!$D$15*AK1266)/5</f>
        <v>12.8</v>
      </c>
      <c r="AQ1266" s="44">
        <f>(打分卡!$D$16*AL1266+打分卡!$D$17*AM1266)/5</f>
        <v>6.8</v>
      </c>
      <c r="AR1266" s="47">
        <f t="shared" si="154"/>
        <v>42.6666666666667</v>
      </c>
      <c r="AS1266" s="43" t="str">
        <f t="shared" si="155"/>
        <v>腰部</v>
      </c>
      <c r="AT1266" s="43" t="str">
        <f t="shared" si="156"/>
        <v/>
      </c>
      <c r="AU1266" s="43" t="str">
        <f t="shared" si="157"/>
        <v>拉·主攻：主推AI外呼+大促作战包</v>
      </c>
    </row>
    <row r="1267" ht="15" customHeight="1" spans="1:47">
      <c r="A1267" s="20" t="s">
        <v>3323</v>
      </c>
      <c r="B1267" s="22" t="s">
        <v>3324</v>
      </c>
      <c r="C1267" s="22" t="s">
        <v>189</v>
      </c>
      <c r="D1267" s="22" t="s">
        <v>227</v>
      </c>
      <c r="E1267" s="22" t="s">
        <v>181</v>
      </c>
      <c r="F1267" s="20" t="s">
        <v>1611</v>
      </c>
      <c r="G1267" s="22">
        <v>2</v>
      </c>
      <c r="H1267" s="22" t="s">
        <v>642</v>
      </c>
      <c r="I1267" s="22" t="s">
        <v>302</v>
      </c>
      <c r="J1267" s="36">
        <v>400</v>
      </c>
      <c r="K1267" s="36">
        <v>200</v>
      </c>
      <c r="L1267" s="36">
        <v>300</v>
      </c>
      <c r="M1267" s="36">
        <f t="shared" si="152"/>
        <v>900</v>
      </c>
      <c r="N1267" s="34">
        <f t="shared" si="158"/>
        <v>4.71837587211314e-6</v>
      </c>
      <c r="O1267" s="35">
        <f>SUM($M$2:M1267)</f>
        <v>190672700</v>
      </c>
      <c r="P1267" s="34">
        <f t="shared" si="159"/>
        <v>0.999628296834075</v>
      </c>
      <c r="Q1267" s="39">
        <v>0.1</v>
      </c>
      <c r="R1267" s="22">
        <v>1</v>
      </c>
      <c r="S1267" s="22">
        <v>1</v>
      </c>
      <c r="T1267" s="22">
        <v>0</v>
      </c>
      <c r="U1267" s="39">
        <v>1.6</v>
      </c>
      <c r="V1267" s="22">
        <v>10</v>
      </c>
      <c r="W1267" s="22">
        <v>1</v>
      </c>
      <c r="X1267" s="40">
        <v>8</v>
      </c>
      <c r="Y1267" s="22">
        <v>1</v>
      </c>
      <c r="Z1267" s="22">
        <v>0</v>
      </c>
      <c r="AA1267" s="22" t="s">
        <v>199</v>
      </c>
      <c r="AB1267" s="22" t="s">
        <v>220</v>
      </c>
      <c r="AC1267" s="42">
        <f>IFERROR(LOOKUP(M1267,打分卡!$F$7:$J$7,打分卡!$K$7:$O$7),1)</f>
        <v>1</v>
      </c>
      <c r="AD1267" s="42">
        <f>IFERROR(LOOKUP(S1267,打分卡!$F$8:$J$8,打分卡!$K$8:$O$8),1)</f>
        <v>1</v>
      </c>
      <c r="AE1267" s="42">
        <f>IFERROR(LOOKUP(T1267,打分卡!$F$9:$I$9,打分卡!$K$9:$N$9),1)</f>
        <v>1</v>
      </c>
      <c r="AF1267" s="42">
        <f>IFERROR(LOOKUP(Q1267,打分卡!$F$10:$J$10,打分卡!$K$10:$O$10),1)</f>
        <v>1</v>
      </c>
      <c r="AG1267" s="42">
        <f>IFERROR(LOOKUP(R1267,打分卡!$F$11:$J$11,打分卡!$K$11:$O$11),1)</f>
        <v>1</v>
      </c>
      <c r="AH1267" s="42">
        <f>IFERROR(LOOKUP(U1267,打分卡!$F$12:$J$12,打分卡!$K$12:$O$12),1)</f>
        <v>1</v>
      </c>
      <c r="AI1267" s="42">
        <f>IFERROR(LOOKUP(X1267,打分卡!$F$13:$J$13,打分卡!$K$13:$O$13),1)</f>
        <v>1</v>
      </c>
      <c r="AJ1267" s="42">
        <f>IFERROR(LOOKUP(Y1267,打分卡!$F$14:$J$14,打分卡!$K$14:$O$14),1)</f>
        <v>2</v>
      </c>
      <c r="AK1267" s="42">
        <f>IFERROR(LOOKUP(W1267,打分卡!$F$15:$J$15,打分卡!$K$15:$O$15),1)</f>
        <v>2</v>
      </c>
      <c r="AL1267" s="45">
        <f t="shared" si="153"/>
        <v>5</v>
      </c>
      <c r="AM1267" s="42">
        <f>IFERROR(LOOKUP(Z1267,打分卡!$F$17:$H$17,打分卡!$K$17:$M$17),1)</f>
        <v>1</v>
      </c>
      <c r="AN1267" s="46">
        <f>(打分卡!$D$7*AC1267+打分卡!$D$8*AD1267+打分卡!$D$9*AE1267)/5</f>
        <v>8</v>
      </c>
      <c r="AO1267" s="46">
        <f>(打分卡!$D$10*AF1267+打分卡!$D$11*AG1267)/5</f>
        <v>4</v>
      </c>
      <c r="AP1267" s="46">
        <f>(打分卡!$D$12*AH1267+打分卡!$D$13*AI1267+打分卡!$D$14*AJ1267+打分卡!$D$15*AK1267)/5</f>
        <v>8</v>
      </c>
      <c r="AQ1267" s="46">
        <f>(打分卡!$D$16*AL1267+打分卡!$D$17*AM1267)/5</f>
        <v>6.8</v>
      </c>
      <c r="AR1267" s="48">
        <f t="shared" si="154"/>
        <v>29.4666666666667</v>
      </c>
      <c r="AS1267" s="45" t="str">
        <f t="shared" si="155"/>
        <v>基础长尾</v>
      </c>
      <c r="AT1267" s="45" t="str">
        <f t="shared" si="156"/>
        <v/>
      </c>
      <c r="AU1267" s="45" t="str">
        <f t="shared" si="157"/>
        <v>激活：企微+Push低成本先跑</v>
      </c>
    </row>
    <row r="1268" ht="15" customHeight="1" spans="1:47">
      <c r="A1268" s="30" t="s">
        <v>3325</v>
      </c>
      <c r="B1268" s="31" t="s">
        <v>3326</v>
      </c>
      <c r="C1268" s="31" t="s">
        <v>189</v>
      </c>
      <c r="D1268" s="31" t="s">
        <v>252</v>
      </c>
      <c r="E1268" s="31" t="s">
        <v>197</v>
      </c>
      <c r="F1268" s="30" t="s">
        <v>931</v>
      </c>
      <c r="G1268" s="31">
        <v>3</v>
      </c>
      <c r="H1268" s="31" t="s">
        <v>642</v>
      </c>
      <c r="I1268" s="31" t="s">
        <v>302</v>
      </c>
      <c r="J1268" s="33">
        <v>400</v>
      </c>
      <c r="K1268" s="33">
        <v>300</v>
      </c>
      <c r="L1268" s="33">
        <v>200</v>
      </c>
      <c r="M1268" s="33">
        <f t="shared" si="152"/>
        <v>900</v>
      </c>
      <c r="N1268" s="34">
        <f t="shared" si="158"/>
        <v>4.71837587211314e-6</v>
      </c>
      <c r="O1268" s="35">
        <f>SUM($M$2:M1268)</f>
        <v>190673600</v>
      </c>
      <c r="P1268" s="34">
        <f t="shared" si="159"/>
        <v>0.999633015209947</v>
      </c>
      <c r="Q1268" s="37">
        <v>0.1</v>
      </c>
      <c r="R1268" s="31">
        <v>2</v>
      </c>
      <c r="S1268" s="31">
        <v>1</v>
      </c>
      <c r="T1268" s="31">
        <v>0</v>
      </c>
      <c r="U1268" s="37">
        <v>13.7</v>
      </c>
      <c r="V1268" s="31">
        <v>3</v>
      </c>
      <c r="W1268" s="31">
        <v>0</v>
      </c>
      <c r="X1268" s="38">
        <v>66</v>
      </c>
      <c r="Y1268" s="31">
        <v>0</v>
      </c>
      <c r="Z1268" s="31">
        <v>0</v>
      </c>
      <c r="AA1268" s="31" t="s">
        <v>199</v>
      </c>
      <c r="AB1268" s="31" t="s">
        <v>220</v>
      </c>
      <c r="AC1268" s="41">
        <f>IFERROR(LOOKUP(M1268,打分卡!$F$7:$J$7,打分卡!$K$7:$O$7),1)</f>
        <v>1</v>
      </c>
      <c r="AD1268" s="41">
        <f>IFERROR(LOOKUP(S1268,打分卡!$F$8:$J$8,打分卡!$K$8:$O$8),1)</f>
        <v>1</v>
      </c>
      <c r="AE1268" s="41">
        <f>IFERROR(LOOKUP(T1268,打分卡!$F$9:$I$9,打分卡!$K$9:$N$9),1)</f>
        <v>1</v>
      </c>
      <c r="AF1268" s="41">
        <f>IFERROR(LOOKUP(Q1268,打分卡!$F$10:$J$10,打分卡!$K$10:$O$10),1)</f>
        <v>1</v>
      </c>
      <c r="AG1268" s="41">
        <f>IFERROR(LOOKUP(R1268,打分卡!$F$11:$J$11,打分卡!$K$11:$O$11),1)</f>
        <v>1</v>
      </c>
      <c r="AH1268" s="41">
        <f>IFERROR(LOOKUP(U1268,打分卡!$F$12:$J$12,打分卡!$K$12:$O$12),1)</f>
        <v>3</v>
      </c>
      <c r="AI1268" s="41">
        <f>IFERROR(LOOKUP(X1268,打分卡!$F$13:$J$13,打分卡!$K$13:$O$13),1)</f>
        <v>3</v>
      </c>
      <c r="AJ1268" s="41">
        <f>IFERROR(LOOKUP(Y1268,打分卡!$F$14:$J$14,打分卡!$K$14:$O$14),1)</f>
        <v>1</v>
      </c>
      <c r="AK1268" s="41">
        <f>IFERROR(LOOKUP(W1268,打分卡!$F$15:$J$15,打分卡!$K$15:$O$15),1)</f>
        <v>1</v>
      </c>
      <c r="AL1268" s="43">
        <f t="shared" si="153"/>
        <v>5</v>
      </c>
      <c r="AM1268" s="41">
        <f>IFERROR(LOOKUP(Z1268,打分卡!$F$17:$H$17,打分卡!$K$17:$M$17),1)</f>
        <v>1</v>
      </c>
      <c r="AN1268" s="44">
        <f>(打分卡!$D$7*AC1268+打分卡!$D$8*AD1268+打分卡!$D$9*AE1268)/5</f>
        <v>8</v>
      </c>
      <c r="AO1268" s="44">
        <f>(打分卡!$D$10*AF1268+打分卡!$D$11*AG1268)/5</f>
        <v>4</v>
      </c>
      <c r="AP1268" s="44">
        <f>(打分卡!$D$12*AH1268+打分卡!$D$13*AI1268+打分卡!$D$14*AJ1268+打分卡!$D$15*AK1268)/5</f>
        <v>14</v>
      </c>
      <c r="AQ1268" s="44">
        <f>(打分卡!$D$16*AL1268+打分卡!$D$17*AM1268)/5</f>
        <v>6.8</v>
      </c>
      <c r="AR1268" s="47">
        <f t="shared" si="154"/>
        <v>32.8</v>
      </c>
      <c r="AS1268" s="43" t="str">
        <f t="shared" si="155"/>
        <v>基础长尾</v>
      </c>
      <c r="AT1268" s="43" t="str">
        <f t="shared" si="156"/>
        <v/>
      </c>
      <c r="AU1268" s="43" t="str">
        <f t="shared" si="157"/>
        <v>激活：企微+Push低成本先跑</v>
      </c>
    </row>
    <row r="1269" ht="15" customHeight="1" spans="1:47">
      <c r="A1269" s="20" t="s">
        <v>3327</v>
      </c>
      <c r="B1269" s="22" t="s">
        <v>3328</v>
      </c>
      <c r="C1269" s="22" t="s">
        <v>195</v>
      </c>
      <c r="D1269" s="22" t="s">
        <v>196</v>
      </c>
      <c r="E1269" s="22" t="s">
        <v>181</v>
      </c>
      <c r="F1269" s="20" t="s">
        <v>612</v>
      </c>
      <c r="G1269" s="22">
        <v>3</v>
      </c>
      <c r="H1269" s="22" t="s">
        <v>642</v>
      </c>
      <c r="I1269" s="22" t="s">
        <v>302</v>
      </c>
      <c r="J1269" s="36">
        <v>600</v>
      </c>
      <c r="K1269" s="36">
        <v>300</v>
      </c>
      <c r="L1269" s="36">
        <v>0</v>
      </c>
      <c r="M1269" s="36">
        <f t="shared" si="152"/>
        <v>900</v>
      </c>
      <c r="N1269" s="34">
        <f t="shared" si="158"/>
        <v>4.71837587211314e-6</v>
      </c>
      <c r="O1269" s="35">
        <f>SUM($M$2:M1269)</f>
        <v>190674500</v>
      </c>
      <c r="P1269" s="34">
        <f t="shared" si="159"/>
        <v>0.999637733585819</v>
      </c>
      <c r="Q1269" s="39">
        <v>0.1</v>
      </c>
      <c r="R1269" s="22">
        <v>2</v>
      </c>
      <c r="S1269" s="22">
        <v>1</v>
      </c>
      <c r="T1269" s="22">
        <v>0</v>
      </c>
      <c r="U1269" s="39">
        <v>1.1</v>
      </c>
      <c r="V1269" s="22">
        <v>10</v>
      </c>
      <c r="W1269" s="22">
        <v>2</v>
      </c>
      <c r="X1269" s="40">
        <v>18</v>
      </c>
      <c r="Y1269" s="22">
        <v>1</v>
      </c>
      <c r="Z1269" s="22">
        <v>0</v>
      </c>
      <c r="AA1269" s="22" t="s">
        <v>199</v>
      </c>
      <c r="AB1269" s="22" t="s">
        <v>220</v>
      </c>
      <c r="AC1269" s="42">
        <f>IFERROR(LOOKUP(M1269,打分卡!$F$7:$J$7,打分卡!$K$7:$O$7),1)</f>
        <v>1</v>
      </c>
      <c r="AD1269" s="42">
        <f>IFERROR(LOOKUP(S1269,打分卡!$F$8:$J$8,打分卡!$K$8:$O$8),1)</f>
        <v>1</v>
      </c>
      <c r="AE1269" s="42">
        <f>IFERROR(LOOKUP(T1269,打分卡!$F$9:$I$9,打分卡!$K$9:$N$9),1)</f>
        <v>1</v>
      </c>
      <c r="AF1269" s="42">
        <f>IFERROR(LOOKUP(Q1269,打分卡!$F$10:$J$10,打分卡!$K$10:$O$10),1)</f>
        <v>1</v>
      </c>
      <c r="AG1269" s="42">
        <f>IFERROR(LOOKUP(R1269,打分卡!$F$11:$J$11,打分卡!$K$11:$O$11),1)</f>
        <v>1</v>
      </c>
      <c r="AH1269" s="42">
        <f>IFERROR(LOOKUP(U1269,打分卡!$F$12:$J$12,打分卡!$K$12:$O$12),1)</f>
        <v>1</v>
      </c>
      <c r="AI1269" s="42">
        <f>IFERROR(LOOKUP(X1269,打分卡!$F$13:$J$13,打分卡!$K$13:$O$13),1)</f>
        <v>2</v>
      </c>
      <c r="AJ1269" s="42">
        <f>IFERROR(LOOKUP(Y1269,打分卡!$F$14:$J$14,打分卡!$K$14:$O$14),1)</f>
        <v>2</v>
      </c>
      <c r="AK1269" s="42">
        <f>IFERROR(LOOKUP(W1269,打分卡!$F$15:$J$15,打分卡!$K$15:$O$15),1)</f>
        <v>2</v>
      </c>
      <c r="AL1269" s="45">
        <f t="shared" si="153"/>
        <v>5</v>
      </c>
      <c r="AM1269" s="42">
        <f>IFERROR(LOOKUP(Z1269,打分卡!$F$17:$H$17,打分卡!$K$17:$M$17),1)</f>
        <v>1</v>
      </c>
      <c r="AN1269" s="46">
        <f>(打分卡!$D$7*AC1269+打分卡!$D$8*AD1269+打分卡!$D$9*AE1269)/5</f>
        <v>8</v>
      </c>
      <c r="AO1269" s="46">
        <f>(打分卡!$D$10*AF1269+打分卡!$D$11*AG1269)/5</f>
        <v>4</v>
      </c>
      <c r="AP1269" s="46">
        <f>(打分卡!$D$12*AH1269+打分卡!$D$13*AI1269+打分卡!$D$14*AJ1269+打分卡!$D$15*AK1269)/5</f>
        <v>9.6</v>
      </c>
      <c r="AQ1269" s="46">
        <f>(打分卡!$D$16*AL1269+打分卡!$D$17*AM1269)/5</f>
        <v>6.8</v>
      </c>
      <c r="AR1269" s="48">
        <f t="shared" si="154"/>
        <v>28.4</v>
      </c>
      <c r="AS1269" s="45" t="str">
        <f t="shared" si="155"/>
        <v>基础长尾</v>
      </c>
      <c r="AT1269" s="45" t="str">
        <f t="shared" si="156"/>
        <v/>
      </c>
      <c r="AU1269" s="45" t="str">
        <f t="shared" si="157"/>
        <v>激活：企微+Push低成本先跑</v>
      </c>
    </row>
    <row r="1270" ht="15" customHeight="1" spans="1:47">
      <c r="A1270" s="30" t="s">
        <v>3329</v>
      </c>
      <c r="B1270" s="31" t="s">
        <v>3330</v>
      </c>
      <c r="C1270" s="31" t="s">
        <v>189</v>
      </c>
      <c r="D1270" s="31" t="s">
        <v>202</v>
      </c>
      <c r="E1270" s="31" t="s">
        <v>197</v>
      </c>
      <c r="F1270" s="30" t="s">
        <v>1166</v>
      </c>
      <c r="G1270" s="31">
        <v>3</v>
      </c>
      <c r="H1270" s="31" t="s">
        <v>642</v>
      </c>
      <c r="I1270" s="31" t="s">
        <v>302</v>
      </c>
      <c r="J1270" s="33">
        <v>500</v>
      </c>
      <c r="K1270" s="33">
        <v>300</v>
      </c>
      <c r="L1270" s="33">
        <v>100</v>
      </c>
      <c r="M1270" s="33">
        <f t="shared" si="152"/>
        <v>900</v>
      </c>
      <c r="N1270" s="34">
        <f t="shared" si="158"/>
        <v>4.71837587211314e-6</v>
      </c>
      <c r="O1270" s="35">
        <f>SUM($M$2:M1270)</f>
        <v>190675400</v>
      </c>
      <c r="P1270" s="34">
        <f t="shared" si="159"/>
        <v>0.999642451961691</v>
      </c>
      <c r="Q1270" s="37">
        <v>0.1</v>
      </c>
      <c r="R1270" s="31">
        <v>3</v>
      </c>
      <c r="S1270" s="31">
        <v>1</v>
      </c>
      <c r="T1270" s="31">
        <v>0</v>
      </c>
      <c r="U1270" s="37">
        <v>32.7</v>
      </c>
      <c r="V1270" s="31">
        <v>12</v>
      </c>
      <c r="W1270" s="31">
        <v>2</v>
      </c>
      <c r="X1270" s="38">
        <v>59</v>
      </c>
      <c r="Y1270" s="31">
        <v>1</v>
      </c>
      <c r="Z1270" s="31">
        <v>0</v>
      </c>
      <c r="AA1270" s="31" t="s">
        <v>199</v>
      </c>
      <c r="AB1270" s="31" t="s">
        <v>220</v>
      </c>
      <c r="AC1270" s="41">
        <f>IFERROR(LOOKUP(M1270,打分卡!$F$7:$J$7,打分卡!$K$7:$O$7),1)</f>
        <v>1</v>
      </c>
      <c r="AD1270" s="41">
        <f>IFERROR(LOOKUP(S1270,打分卡!$F$8:$J$8,打分卡!$K$8:$O$8),1)</f>
        <v>1</v>
      </c>
      <c r="AE1270" s="41">
        <f>IFERROR(LOOKUP(T1270,打分卡!$F$9:$I$9,打分卡!$K$9:$N$9),1)</f>
        <v>1</v>
      </c>
      <c r="AF1270" s="41">
        <f>IFERROR(LOOKUP(Q1270,打分卡!$F$10:$J$10,打分卡!$K$10:$O$10),1)</f>
        <v>1</v>
      </c>
      <c r="AG1270" s="41">
        <f>IFERROR(LOOKUP(R1270,打分卡!$F$11:$J$11,打分卡!$K$11:$O$11),1)</f>
        <v>2</v>
      </c>
      <c r="AH1270" s="41">
        <f>IFERROR(LOOKUP(U1270,打分卡!$F$12:$J$12,打分卡!$K$12:$O$12),1)</f>
        <v>3</v>
      </c>
      <c r="AI1270" s="41">
        <f>IFERROR(LOOKUP(X1270,打分卡!$F$13:$J$13,打分卡!$K$13:$O$13),1)</f>
        <v>3</v>
      </c>
      <c r="AJ1270" s="41">
        <f>IFERROR(LOOKUP(Y1270,打分卡!$F$14:$J$14,打分卡!$K$14:$O$14),1)</f>
        <v>2</v>
      </c>
      <c r="AK1270" s="41">
        <f>IFERROR(LOOKUP(W1270,打分卡!$F$15:$J$15,打分卡!$K$15:$O$15),1)</f>
        <v>2</v>
      </c>
      <c r="AL1270" s="43">
        <f t="shared" si="153"/>
        <v>5</v>
      </c>
      <c r="AM1270" s="41">
        <f>IFERROR(LOOKUP(Z1270,打分卡!$F$17:$H$17,打分卡!$K$17:$M$17),1)</f>
        <v>1</v>
      </c>
      <c r="AN1270" s="44">
        <f>(打分卡!$D$7*AC1270+打分卡!$D$8*AD1270+打分卡!$D$9*AE1270)/5</f>
        <v>8</v>
      </c>
      <c r="AO1270" s="44">
        <f>(打分卡!$D$10*AF1270+打分卡!$D$11*AG1270)/5</f>
        <v>6</v>
      </c>
      <c r="AP1270" s="44">
        <f>(打分卡!$D$12*AH1270+打分卡!$D$13*AI1270+打分卡!$D$14*AJ1270+打分卡!$D$15*AK1270)/5</f>
        <v>16</v>
      </c>
      <c r="AQ1270" s="44">
        <f>(打分卡!$D$16*AL1270+打分卡!$D$17*AM1270)/5</f>
        <v>6.8</v>
      </c>
      <c r="AR1270" s="47">
        <f t="shared" si="154"/>
        <v>36.8</v>
      </c>
      <c r="AS1270" s="43" t="str">
        <f t="shared" si="155"/>
        <v>基础长尾</v>
      </c>
      <c r="AT1270" s="43" t="str">
        <f t="shared" si="156"/>
        <v/>
      </c>
      <c r="AU1270" s="43" t="str">
        <f t="shared" si="157"/>
        <v>激活：企微+Push低成本先跑</v>
      </c>
    </row>
    <row r="1271" ht="15" customHeight="1" spans="1:47">
      <c r="A1271" s="20" t="s">
        <v>3331</v>
      </c>
      <c r="B1271" s="22" t="s">
        <v>3332</v>
      </c>
      <c r="C1271" s="22" t="s">
        <v>218</v>
      </c>
      <c r="D1271" s="22" t="s">
        <v>180</v>
      </c>
      <c r="E1271" s="22" t="s">
        <v>181</v>
      </c>
      <c r="F1271" s="20" t="s">
        <v>2763</v>
      </c>
      <c r="G1271" s="22">
        <v>2</v>
      </c>
      <c r="H1271" s="22" t="s">
        <v>642</v>
      </c>
      <c r="I1271" s="22" t="s">
        <v>302</v>
      </c>
      <c r="J1271" s="36">
        <v>600</v>
      </c>
      <c r="K1271" s="36">
        <v>200</v>
      </c>
      <c r="L1271" s="36">
        <v>200</v>
      </c>
      <c r="M1271" s="36">
        <f t="shared" si="152"/>
        <v>1000</v>
      </c>
      <c r="N1271" s="34">
        <f t="shared" si="158"/>
        <v>5.24263985790349e-6</v>
      </c>
      <c r="O1271" s="35">
        <f>SUM($M$2:M1271)</f>
        <v>190676400</v>
      </c>
      <c r="P1271" s="34">
        <f t="shared" si="159"/>
        <v>0.999647694601549</v>
      </c>
      <c r="Q1271" s="39">
        <v>0.1</v>
      </c>
      <c r="R1271" s="22">
        <v>3</v>
      </c>
      <c r="S1271" s="22">
        <v>0</v>
      </c>
      <c r="T1271" s="22">
        <v>0</v>
      </c>
      <c r="U1271" s="39">
        <v>24.2</v>
      </c>
      <c r="V1271" s="22">
        <v>2</v>
      </c>
      <c r="W1271" s="22">
        <v>2</v>
      </c>
      <c r="X1271" s="40">
        <v>73</v>
      </c>
      <c r="Y1271" s="22">
        <v>0</v>
      </c>
      <c r="Z1271" s="22">
        <v>0</v>
      </c>
      <c r="AA1271" s="22" t="s">
        <v>199</v>
      </c>
      <c r="AB1271" s="22" t="s">
        <v>220</v>
      </c>
      <c r="AC1271" s="42">
        <f>IFERROR(LOOKUP(M1271,打分卡!$F$7:$J$7,打分卡!$K$7:$O$7),1)</f>
        <v>1</v>
      </c>
      <c r="AD1271" s="42">
        <f>IFERROR(LOOKUP(S1271,打分卡!$F$8:$J$8,打分卡!$K$8:$O$8),1)</f>
        <v>1</v>
      </c>
      <c r="AE1271" s="42">
        <f>IFERROR(LOOKUP(T1271,打分卡!$F$9:$I$9,打分卡!$K$9:$N$9),1)</f>
        <v>1</v>
      </c>
      <c r="AF1271" s="42">
        <f>IFERROR(LOOKUP(Q1271,打分卡!$F$10:$J$10,打分卡!$K$10:$O$10),1)</f>
        <v>1</v>
      </c>
      <c r="AG1271" s="42">
        <f>IFERROR(LOOKUP(R1271,打分卡!$F$11:$J$11,打分卡!$K$11:$O$11),1)</f>
        <v>2</v>
      </c>
      <c r="AH1271" s="42">
        <f>IFERROR(LOOKUP(U1271,打分卡!$F$12:$J$12,打分卡!$K$12:$O$12),1)</f>
        <v>3</v>
      </c>
      <c r="AI1271" s="42">
        <f>IFERROR(LOOKUP(X1271,打分卡!$F$13:$J$13,打分卡!$K$13:$O$13),1)</f>
        <v>3</v>
      </c>
      <c r="AJ1271" s="42">
        <f>IFERROR(LOOKUP(Y1271,打分卡!$F$14:$J$14,打分卡!$K$14:$O$14),1)</f>
        <v>1</v>
      </c>
      <c r="AK1271" s="42">
        <f>IFERROR(LOOKUP(W1271,打分卡!$F$15:$J$15,打分卡!$K$15:$O$15),1)</f>
        <v>2</v>
      </c>
      <c r="AL1271" s="45">
        <f t="shared" si="153"/>
        <v>5</v>
      </c>
      <c r="AM1271" s="42">
        <f>IFERROR(LOOKUP(Z1271,打分卡!$F$17:$H$17,打分卡!$K$17:$M$17),1)</f>
        <v>1</v>
      </c>
      <c r="AN1271" s="46">
        <f>(打分卡!$D$7*AC1271+打分卡!$D$8*AD1271+打分卡!$D$9*AE1271)/5</f>
        <v>8</v>
      </c>
      <c r="AO1271" s="46">
        <f>(打分卡!$D$10*AF1271+打分卡!$D$11*AG1271)/5</f>
        <v>6</v>
      </c>
      <c r="AP1271" s="46">
        <f>(打分卡!$D$12*AH1271+打分卡!$D$13*AI1271+打分卡!$D$14*AJ1271+打分卡!$D$15*AK1271)/5</f>
        <v>14.8</v>
      </c>
      <c r="AQ1271" s="46">
        <f>(打分卡!$D$16*AL1271+打分卡!$D$17*AM1271)/5</f>
        <v>6.8</v>
      </c>
      <c r="AR1271" s="48">
        <f t="shared" si="154"/>
        <v>47.3333333333333</v>
      </c>
      <c r="AS1271" s="45" t="str">
        <f t="shared" si="155"/>
        <v>腰部</v>
      </c>
      <c r="AT1271" s="45" t="str">
        <f t="shared" si="156"/>
        <v/>
      </c>
      <c r="AU1271" s="45" t="str">
        <f t="shared" si="157"/>
        <v>拉·主攻：主推AI外呼+大促作战包</v>
      </c>
    </row>
    <row r="1272" ht="15" customHeight="1" spans="1:47">
      <c r="A1272" s="30" t="s">
        <v>3333</v>
      </c>
      <c r="B1272" s="31" t="s">
        <v>3334</v>
      </c>
      <c r="C1272" s="31" t="s">
        <v>179</v>
      </c>
      <c r="D1272" s="31" t="s">
        <v>180</v>
      </c>
      <c r="E1272" s="31" t="s">
        <v>181</v>
      </c>
      <c r="F1272" s="30" t="s">
        <v>1336</v>
      </c>
      <c r="G1272" s="31">
        <v>2</v>
      </c>
      <c r="H1272" s="31" t="s">
        <v>642</v>
      </c>
      <c r="I1272" s="31" t="s">
        <v>302</v>
      </c>
      <c r="J1272" s="33">
        <v>600</v>
      </c>
      <c r="K1272" s="33">
        <v>200</v>
      </c>
      <c r="L1272" s="33">
        <v>100</v>
      </c>
      <c r="M1272" s="33">
        <f t="shared" si="152"/>
        <v>900</v>
      </c>
      <c r="N1272" s="34">
        <f t="shared" si="158"/>
        <v>4.71837587211314e-6</v>
      </c>
      <c r="O1272" s="35">
        <f>SUM($M$2:M1272)</f>
        <v>190677300</v>
      </c>
      <c r="P1272" s="34">
        <f t="shared" si="159"/>
        <v>0.999652412977421</v>
      </c>
      <c r="Q1272" s="37">
        <v>0</v>
      </c>
      <c r="R1272" s="31">
        <v>1</v>
      </c>
      <c r="S1272" s="31">
        <v>0</v>
      </c>
      <c r="T1272" s="31">
        <v>0</v>
      </c>
      <c r="U1272" s="37">
        <v>1</v>
      </c>
      <c r="V1272" s="31">
        <v>9</v>
      </c>
      <c r="W1272" s="31">
        <v>1</v>
      </c>
      <c r="X1272" s="38">
        <v>14</v>
      </c>
      <c r="Y1272" s="31">
        <v>1</v>
      </c>
      <c r="Z1272" s="31">
        <v>0</v>
      </c>
      <c r="AA1272" s="31" t="s">
        <v>199</v>
      </c>
      <c r="AB1272" s="31" t="s">
        <v>220</v>
      </c>
      <c r="AC1272" s="41">
        <f>IFERROR(LOOKUP(M1272,打分卡!$F$7:$J$7,打分卡!$K$7:$O$7),1)</f>
        <v>1</v>
      </c>
      <c r="AD1272" s="41">
        <f>IFERROR(LOOKUP(S1272,打分卡!$F$8:$J$8,打分卡!$K$8:$O$8),1)</f>
        <v>1</v>
      </c>
      <c r="AE1272" s="41">
        <f>IFERROR(LOOKUP(T1272,打分卡!$F$9:$I$9,打分卡!$K$9:$N$9),1)</f>
        <v>1</v>
      </c>
      <c r="AF1272" s="41">
        <f>IFERROR(LOOKUP(Q1272,打分卡!$F$10:$J$10,打分卡!$K$10:$O$10),1)</f>
        <v>1</v>
      </c>
      <c r="AG1272" s="41">
        <f>IFERROR(LOOKUP(R1272,打分卡!$F$11:$J$11,打分卡!$K$11:$O$11),1)</f>
        <v>1</v>
      </c>
      <c r="AH1272" s="41">
        <f>IFERROR(LOOKUP(U1272,打分卡!$F$12:$J$12,打分卡!$K$12:$O$12),1)</f>
        <v>1</v>
      </c>
      <c r="AI1272" s="41">
        <f>IFERROR(LOOKUP(X1272,打分卡!$F$13:$J$13,打分卡!$K$13:$O$13),1)</f>
        <v>1</v>
      </c>
      <c r="AJ1272" s="41">
        <f>IFERROR(LOOKUP(Y1272,打分卡!$F$14:$J$14,打分卡!$K$14:$O$14),1)</f>
        <v>2</v>
      </c>
      <c r="AK1272" s="41">
        <f>IFERROR(LOOKUP(W1272,打分卡!$F$15:$J$15,打分卡!$K$15:$O$15),1)</f>
        <v>2</v>
      </c>
      <c r="AL1272" s="43">
        <f t="shared" si="153"/>
        <v>5</v>
      </c>
      <c r="AM1272" s="41">
        <f>IFERROR(LOOKUP(Z1272,打分卡!$F$17:$H$17,打分卡!$K$17:$M$17),1)</f>
        <v>1</v>
      </c>
      <c r="AN1272" s="44">
        <f>(打分卡!$D$7*AC1272+打分卡!$D$8*AD1272+打分卡!$D$9*AE1272)/5</f>
        <v>8</v>
      </c>
      <c r="AO1272" s="44">
        <f>(打分卡!$D$10*AF1272+打分卡!$D$11*AG1272)/5</f>
        <v>4</v>
      </c>
      <c r="AP1272" s="44">
        <f>(打分卡!$D$12*AH1272+打分卡!$D$13*AI1272+打分卡!$D$14*AJ1272+打分卡!$D$15*AK1272)/5</f>
        <v>8</v>
      </c>
      <c r="AQ1272" s="44">
        <f>(打分卡!$D$16*AL1272+打分卡!$D$17*AM1272)/5</f>
        <v>6.8</v>
      </c>
      <c r="AR1272" s="47">
        <f t="shared" si="154"/>
        <v>29.4666666666667</v>
      </c>
      <c r="AS1272" s="43" t="str">
        <f t="shared" si="155"/>
        <v>基础长尾</v>
      </c>
      <c r="AT1272" s="43" t="str">
        <f t="shared" si="156"/>
        <v/>
      </c>
      <c r="AU1272" s="43" t="str">
        <f t="shared" si="157"/>
        <v>激活：企微+Push低成本先跑</v>
      </c>
    </row>
    <row r="1273" ht="15" customHeight="1" spans="1:47">
      <c r="A1273" s="20" t="s">
        <v>3335</v>
      </c>
      <c r="B1273" s="22" t="s">
        <v>3336</v>
      </c>
      <c r="C1273" s="22" t="s">
        <v>189</v>
      </c>
      <c r="D1273" s="22" t="s">
        <v>196</v>
      </c>
      <c r="E1273" s="22" t="s">
        <v>181</v>
      </c>
      <c r="F1273" s="20" t="s">
        <v>1243</v>
      </c>
      <c r="G1273" s="22">
        <v>3</v>
      </c>
      <c r="H1273" s="22" t="s">
        <v>642</v>
      </c>
      <c r="I1273" s="22" t="s">
        <v>302</v>
      </c>
      <c r="J1273" s="36">
        <v>600</v>
      </c>
      <c r="K1273" s="36">
        <v>200</v>
      </c>
      <c r="L1273" s="36">
        <v>100</v>
      </c>
      <c r="M1273" s="36">
        <f t="shared" si="152"/>
        <v>900</v>
      </c>
      <c r="N1273" s="34">
        <f t="shared" si="158"/>
        <v>4.71837587211314e-6</v>
      </c>
      <c r="O1273" s="35">
        <f>SUM($M$2:M1273)</f>
        <v>190678200</v>
      </c>
      <c r="P1273" s="34">
        <f t="shared" si="159"/>
        <v>0.999657131353293</v>
      </c>
      <c r="Q1273" s="39">
        <v>0.1</v>
      </c>
      <c r="R1273" s="22">
        <v>1</v>
      </c>
      <c r="S1273" s="22">
        <v>1</v>
      </c>
      <c r="T1273" s="22">
        <v>0</v>
      </c>
      <c r="U1273" s="39">
        <v>5.9</v>
      </c>
      <c r="V1273" s="22">
        <v>15</v>
      </c>
      <c r="W1273" s="22">
        <v>1</v>
      </c>
      <c r="X1273" s="40">
        <v>5</v>
      </c>
      <c r="Y1273" s="22">
        <v>1</v>
      </c>
      <c r="Z1273" s="22">
        <v>0</v>
      </c>
      <c r="AA1273" s="22" t="s">
        <v>199</v>
      </c>
      <c r="AB1273" s="22" t="s">
        <v>220</v>
      </c>
      <c r="AC1273" s="42">
        <f>IFERROR(LOOKUP(M1273,打分卡!$F$7:$J$7,打分卡!$K$7:$O$7),1)</f>
        <v>1</v>
      </c>
      <c r="AD1273" s="42">
        <f>IFERROR(LOOKUP(S1273,打分卡!$F$8:$J$8,打分卡!$K$8:$O$8),1)</f>
        <v>1</v>
      </c>
      <c r="AE1273" s="42">
        <f>IFERROR(LOOKUP(T1273,打分卡!$F$9:$I$9,打分卡!$K$9:$N$9),1)</f>
        <v>1</v>
      </c>
      <c r="AF1273" s="42">
        <f>IFERROR(LOOKUP(Q1273,打分卡!$F$10:$J$10,打分卡!$K$10:$O$10),1)</f>
        <v>1</v>
      </c>
      <c r="AG1273" s="42">
        <f>IFERROR(LOOKUP(R1273,打分卡!$F$11:$J$11,打分卡!$K$11:$O$11),1)</f>
        <v>1</v>
      </c>
      <c r="AH1273" s="42">
        <f>IFERROR(LOOKUP(U1273,打分卡!$F$12:$J$12,打分卡!$K$12:$O$12),1)</f>
        <v>2</v>
      </c>
      <c r="AI1273" s="42">
        <f>IFERROR(LOOKUP(X1273,打分卡!$F$13:$J$13,打分卡!$K$13:$O$13),1)</f>
        <v>1</v>
      </c>
      <c r="AJ1273" s="42">
        <f>IFERROR(LOOKUP(Y1273,打分卡!$F$14:$J$14,打分卡!$K$14:$O$14),1)</f>
        <v>2</v>
      </c>
      <c r="AK1273" s="42">
        <f>IFERROR(LOOKUP(W1273,打分卡!$F$15:$J$15,打分卡!$K$15:$O$15),1)</f>
        <v>2</v>
      </c>
      <c r="AL1273" s="45">
        <f t="shared" si="153"/>
        <v>5</v>
      </c>
      <c r="AM1273" s="42">
        <f>IFERROR(LOOKUP(Z1273,打分卡!$F$17:$H$17,打分卡!$K$17:$M$17),1)</f>
        <v>1</v>
      </c>
      <c r="AN1273" s="46">
        <f>(打分卡!$D$7*AC1273+打分卡!$D$8*AD1273+打分卡!$D$9*AE1273)/5</f>
        <v>8</v>
      </c>
      <c r="AO1273" s="46">
        <f>(打分卡!$D$10*AF1273+打分卡!$D$11*AG1273)/5</f>
        <v>4</v>
      </c>
      <c r="AP1273" s="46">
        <f>(打分卡!$D$12*AH1273+打分卡!$D$13*AI1273+打分卡!$D$14*AJ1273+打分卡!$D$15*AK1273)/5</f>
        <v>10.4</v>
      </c>
      <c r="AQ1273" s="46">
        <f>(打分卡!$D$16*AL1273+打分卡!$D$17*AM1273)/5</f>
        <v>6.8</v>
      </c>
      <c r="AR1273" s="48">
        <f t="shared" si="154"/>
        <v>29.2</v>
      </c>
      <c r="AS1273" s="45" t="str">
        <f t="shared" si="155"/>
        <v>基础长尾</v>
      </c>
      <c r="AT1273" s="45" t="str">
        <f t="shared" si="156"/>
        <v/>
      </c>
      <c r="AU1273" s="45" t="str">
        <f t="shared" si="157"/>
        <v>激活：企微+Push低成本先跑</v>
      </c>
    </row>
    <row r="1274" ht="15" customHeight="1" spans="1:47">
      <c r="A1274" s="30" t="s">
        <v>3337</v>
      </c>
      <c r="B1274" s="31" t="s">
        <v>3338</v>
      </c>
      <c r="C1274" s="31" t="s">
        <v>195</v>
      </c>
      <c r="D1274" s="31" t="s">
        <v>202</v>
      </c>
      <c r="E1274" s="31" t="s">
        <v>181</v>
      </c>
      <c r="F1274" s="30" t="s">
        <v>743</v>
      </c>
      <c r="G1274" s="31">
        <v>3</v>
      </c>
      <c r="H1274" s="31" t="s">
        <v>642</v>
      </c>
      <c r="I1274" s="31" t="s">
        <v>302</v>
      </c>
      <c r="J1274" s="33">
        <v>400</v>
      </c>
      <c r="K1274" s="33">
        <v>200</v>
      </c>
      <c r="L1274" s="33">
        <v>200</v>
      </c>
      <c r="M1274" s="33">
        <f t="shared" si="152"/>
        <v>800</v>
      </c>
      <c r="N1274" s="34">
        <f t="shared" si="158"/>
        <v>4.19411188632279e-6</v>
      </c>
      <c r="O1274" s="35">
        <f>SUM($M$2:M1274)</f>
        <v>190679000</v>
      </c>
      <c r="P1274" s="34">
        <f t="shared" si="159"/>
        <v>0.999661325465179</v>
      </c>
      <c r="Q1274" s="37">
        <v>0.1</v>
      </c>
      <c r="R1274" s="31">
        <v>2</v>
      </c>
      <c r="S1274" s="31">
        <v>1</v>
      </c>
      <c r="T1274" s="31">
        <v>0</v>
      </c>
      <c r="U1274" s="37">
        <v>29.9</v>
      </c>
      <c r="V1274" s="31">
        <v>1</v>
      </c>
      <c r="W1274" s="31">
        <v>2</v>
      </c>
      <c r="X1274" s="38">
        <v>9</v>
      </c>
      <c r="Y1274" s="31">
        <v>0</v>
      </c>
      <c r="Z1274" s="31">
        <v>0</v>
      </c>
      <c r="AA1274" s="31" t="s">
        <v>199</v>
      </c>
      <c r="AB1274" s="31" t="s">
        <v>220</v>
      </c>
      <c r="AC1274" s="41">
        <f>IFERROR(LOOKUP(M1274,打分卡!$F$7:$J$7,打分卡!$K$7:$O$7),1)</f>
        <v>1</v>
      </c>
      <c r="AD1274" s="41">
        <f>IFERROR(LOOKUP(S1274,打分卡!$F$8:$J$8,打分卡!$K$8:$O$8),1)</f>
        <v>1</v>
      </c>
      <c r="AE1274" s="41">
        <f>IFERROR(LOOKUP(T1274,打分卡!$F$9:$I$9,打分卡!$K$9:$N$9),1)</f>
        <v>1</v>
      </c>
      <c r="AF1274" s="41">
        <f>IFERROR(LOOKUP(Q1274,打分卡!$F$10:$J$10,打分卡!$K$10:$O$10),1)</f>
        <v>1</v>
      </c>
      <c r="AG1274" s="41">
        <f>IFERROR(LOOKUP(R1274,打分卡!$F$11:$J$11,打分卡!$K$11:$O$11),1)</f>
        <v>1</v>
      </c>
      <c r="AH1274" s="41">
        <f>IFERROR(LOOKUP(U1274,打分卡!$F$12:$J$12,打分卡!$K$12:$O$12),1)</f>
        <v>3</v>
      </c>
      <c r="AI1274" s="41">
        <f>IFERROR(LOOKUP(X1274,打分卡!$F$13:$J$13,打分卡!$K$13:$O$13),1)</f>
        <v>1</v>
      </c>
      <c r="AJ1274" s="41">
        <f>IFERROR(LOOKUP(Y1274,打分卡!$F$14:$J$14,打分卡!$K$14:$O$14),1)</f>
        <v>1</v>
      </c>
      <c r="AK1274" s="41">
        <f>IFERROR(LOOKUP(W1274,打分卡!$F$15:$J$15,打分卡!$K$15:$O$15),1)</f>
        <v>2</v>
      </c>
      <c r="AL1274" s="43">
        <f t="shared" si="153"/>
        <v>5</v>
      </c>
      <c r="AM1274" s="41">
        <f>IFERROR(LOOKUP(Z1274,打分卡!$F$17:$H$17,打分卡!$K$17:$M$17),1)</f>
        <v>1</v>
      </c>
      <c r="AN1274" s="44">
        <f>(打分卡!$D$7*AC1274+打分卡!$D$8*AD1274+打分卡!$D$9*AE1274)/5</f>
        <v>8</v>
      </c>
      <c r="AO1274" s="44">
        <f>(打分卡!$D$10*AF1274+打分卡!$D$11*AG1274)/5</f>
        <v>4</v>
      </c>
      <c r="AP1274" s="44">
        <f>(打分卡!$D$12*AH1274+打分卡!$D$13*AI1274+打分卡!$D$14*AJ1274+打分卡!$D$15*AK1274)/5</f>
        <v>11.6</v>
      </c>
      <c r="AQ1274" s="44">
        <f>(打分卡!$D$16*AL1274+打分卡!$D$17*AM1274)/5</f>
        <v>6.8</v>
      </c>
      <c r="AR1274" s="47">
        <f t="shared" si="154"/>
        <v>30.4</v>
      </c>
      <c r="AS1274" s="43" t="str">
        <f t="shared" si="155"/>
        <v>基础长尾</v>
      </c>
      <c r="AT1274" s="43" t="str">
        <f t="shared" si="156"/>
        <v/>
      </c>
      <c r="AU1274" s="43" t="str">
        <f t="shared" si="157"/>
        <v>激活：企微+Push低成本先跑</v>
      </c>
    </row>
    <row r="1275" ht="15" customHeight="1" spans="1:47">
      <c r="A1275" s="20" t="s">
        <v>3339</v>
      </c>
      <c r="B1275" s="22" t="s">
        <v>3340</v>
      </c>
      <c r="C1275" s="22" t="s">
        <v>179</v>
      </c>
      <c r="D1275" s="22" t="s">
        <v>202</v>
      </c>
      <c r="E1275" s="22" t="s">
        <v>181</v>
      </c>
      <c r="F1275" s="20" t="s">
        <v>956</v>
      </c>
      <c r="G1275" s="22">
        <v>3</v>
      </c>
      <c r="H1275" s="22" t="s">
        <v>642</v>
      </c>
      <c r="I1275" s="22" t="s">
        <v>302</v>
      </c>
      <c r="J1275" s="36">
        <v>500</v>
      </c>
      <c r="K1275" s="36">
        <v>200</v>
      </c>
      <c r="L1275" s="36">
        <v>200</v>
      </c>
      <c r="M1275" s="36">
        <f t="shared" si="152"/>
        <v>900</v>
      </c>
      <c r="N1275" s="34">
        <f t="shared" si="158"/>
        <v>4.71837587211314e-6</v>
      </c>
      <c r="O1275" s="35">
        <f>SUM($M$2:M1275)</f>
        <v>190679900</v>
      </c>
      <c r="P1275" s="34">
        <f t="shared" si="159"/>
        <v>0.999666043841052</v>
      </c>
      <c r="Q1275" s="39">
        <v>0.1</v>
      </c>
      <c r="R1275" s="22">
        <v>3</v>
      </c>
      <c r="S1275" s="22">
        <v>1</v>
      </c>
      <c r="T1275" s="22">
        <v>0</v>
      </c>
      <c r="U1275" s="39">
        <v>0.7</v>
      </c>
      <c r="V1275" s="22">
        <v>9</v>
      </c>
      <c r="W1275" s="22">
        <v>2</v>
      </c>
      <c r="X1275" s="40">
        <v>6</v>
      </c>
      <c r="Y1275" s="22">
        <v>0</v>
      </c>
      <c r="Z1275" s="22">
        <v>0</v>
      </c>
      <c r="AA1275" s="22" t="s">
        <v>199</v>
      </c>
      <c r="AB1275" s="22" t="s">
        <v>220</v>
      </c>
      <c r="AC1275" s="42">
        <f>IFERROR(LOOKUP(M1275,打分卡!$F$7:$J$7,打分卡!$K$7:$O$7),1)</f>
        <v>1</v>
      </c>
      <c r="AD1275" s="42">
        <f>IFERROR(LOOKUP(S1275,打分卡!$F$8:$J$8,打分卡!$K$8:$O$8),1)</f>
        <v>1</v>
      </c>
      <c r="AE1275" s="42">
        <f>IFERROR(LOOKUP(T1275,打分卡!$F$9:$I$9,打分卡!$K$9:$N$9),1)</f>
        <v>1</v>
      </c>
      <c r="AF1275" s="42">
        <f>IFERROR(LOOKUP(Q1275,打分卡!$F$10:$J$10,打分卡!$K$10:$O$10),1)</f>
        <v>1</v>
      </c>
      <c r="AG1275" s="42">
        <f>IFERROR(LOOKUP(R1275,打分卡!$F$11:$J$11,打分卡!$K$11:$O$11),1)</f>
        <v>2</v>
      </c>
      <c r="AH1275" s="42">
        <f>IFERROR(LOOKUP(U1275,打分卡!$F$12:$J$12,打分卡!$K$12:$O$12),1)</f>
        <v>1</v>
      </c>
      <c r="AI1275" s="42">
        <f>IFERROR(LOOKUP(X1275,打分卡!$F$13:$J$13,打分卡!$K$13:$O$13),1)</f>
        <v>1</v>
      </c>
      <c r="AJ1275" s="42">
        <f>IFERROR(LOOKUP(Y1275,打分卡!$F$14:$J$14,打分卡!$K$14:$O$14),1)</f>
        <v>1</v>
      </c>
      <c r="AK1275" s="42">
        <f>IFERROR(LOOKUP(W1275,打分卡!$F$15:$J$15,打分卡!$K$15:$O$15),1)</f>
        <v>2</v>
      </c>
      <c r="AL1275" s="45">
        <f t="shared" si="153"/>
        <v>5</v>
      </c>
      <c r="AM1275" s="42">
        <f>IFERROR(LOOKUP(Z1275,打分卡!$F$17:$H$17,打分卡!$K$17:$M$17),1)</f>
        <v>1</v>
      </c>
      <c r="AN1275" s="46">
        <f>(打分卡!$D$7*AC1275+打分卡!$D$8*AD1275+打分卡!$D$9*AE1275)/5</f>
        <v>8</v>
      </c>
      <c r="AO1275" s="46">
        <f>(打分卡!$D$10*AF1275+打分卡!$D$11*AG1275)/5</f>
        <v>6</v>
      </c>
      <c r="AP1275" s="46">
        <f>(打分卡!$D$12*AH1275+打分卡!$D$13*AI1275+打分卡!$D$14*AJ1275+打分卡!$D$15*AK1275)/5</f>
        <v>6.8</v>
      </c>
      <c r="AQ1275" s="46">
        <f>(打分卡!$D$16*AL1275+打分卡!$D$17*AM1275)/5</f>
        <v>6.8</v>
      </c>
      <c r="AR1275" s="48">
        <f t="shared" si="154"/>
        <v>27.6</v>
      </c>
      <c r="AS1275" s="45" t="str">
        <f t="shared" si="155"/>
        <v>基础长尾</v>
      </c>
      <c r="AT1275" s="45" t="str">
        <f t="shared" si="156"/>
        <v/>
      </c>
      <c r="AU1275" s="45" t="str">
        <f t="shared" si="157"/>
        <v>激活：企微+Push低成本先跑</v>
      </c>
    </row>
    <row r="1276" ht="15" customHeight="1" spans="1:47">
      <c r="A1276" s="30" t="s">
        <v>3341</v>
      </c>
      <c r="B1276" s="31" t="s">
        <v>3342</v>
      </c>
      <c r="C1276" s="31" t="s">
        <v>239</v>
      </c>
      <c r="D1276" s="31" t="s">
        <v>227</v>
      </c>
      <c r="E1276" s="31" t="s">
        <v>181</v>
      </c>
      <c r="F1276" s="30" t="s">
        <v>2758</v>
      </c>
      <c r="G1276" s="31">
        <v>1</v>
      </c>
      <c r="H1276" s="31" t="s">
        <v>642</v>
      </c>
      <c r="I1276" s="31" t="s">
        <v>302</v>
      </c>
      <c r="J1276" s="33">
        <v>500</v>
      </c>
      <c r="K1276" s="33">
        <v>200</v>
      </c>
      <c r="L1276" s="33">
        <v>200</v>
      </c>
      <c r="M1276" s="33">
        <f t="shared" si="152"/>
        <v>900</v>
      </c>
      <c r="N1276" s="34">
        <f t="shared" si="158"/>
        <v>4.71837587211314e-6</v>
      </c>
      <c r="O1276" s="35">
        <f>SUM($M$2:M1276)</f>
        <v>190680800</v>
      </c>
      <c r="P1276" s="34">
        <f t="shared" si="159"/>
        <v>0.999670762216924</v>
      </c>
      <c r="Q1276" s="37">
        <v>0.1</v>
      </c>
      <c r="R1276" s="31">
        <v>1</v>
      </c>
      <c r="S1276" s="31">
        <v>1</v>
      </c>
      <c r="T1276" s="31">
        <v>0</v>
      </c>
      <c r="U1276" s="37">
        <v>3.3</v>
      </c>
      <c r="V1276" s="31">
        <v>9</v>
      </c>
      <c r="W1276" s="31">
        <v>1</v>
      </c>
      <c r="X1276" s="38">
        <v>69</v>
      </c>
      <c r="Y1276" s="31">
        <v>1</v>
      </c>
      <c r="Z1276" s="31">
        <v>0</v>
      </c>
      <c r="AA1276" s="31" t="s">
        <v>199</v>
      </c>
      <c r="AB1276" s="31" t="s">
        <v>220</v>
      </c>
      <c r="AC1276" s="41">
        <f>IFERROR(LOOKUP(M1276,打分卡!$F$7:$J$7,打分卡!$K$7:$O$7),1)</f>
        <v>1</v>
      </c>
      <c r="AD1276" s="41">
        <f>IFERROR(LOOKUP(S1276,打分卡!$F$8:$J$8,打分卡!$K$8:$O$8),1)</f>
        <v>1</v>
      </c>
      <c r="AE1276" s="41">
        <f>IFERROR(LOOKUP(T1276,打分卡!$F$9:$I$9,打分卡!$K$9:$N$9),1)</f>
        <v>1</v>
      </c>
      <c r="AF1276" s="41">
        <f>IFERROR(LOOKUP(Q1276,打分卡!$F$10:$J$10,打分卡!$K$10:$O$10),1)</f>
        <v>1</v>
      </c>
      <c r="AG1276" s="41">
        <f>IFERROR(LOOKUP(R1276,打分卡!$F$11:$J$11,打分卡!$K$11:$O$11),1)</f>
        <v>1</v>
      </c>
      <c r="AH1276" s="41">
        <f>IFERROR(LOOKUP(U1276,打分卡!$F$12:$J$12,打分卡!$K$12:$O$12),1)</f>
        <v>2</v>
      </c>
      <c r="AI1276" s="41">
        <f>IFERROR(LOOKUP(X1276,打分卡!$F$13:$J$13,打分卡!$K$13:$O$13),1)</f>
        <v>3</v>
      </c>
      <c r="AJ1276" s="41">
        <f>IFERROR(LOOKUP(Y1276,打分卡!$F$14:$J$14,打分卡!$K$14:$O$14),1)</f>
        <v>2</v>
      </c>
      <c r="AK1276" s="41">
        <f>IFERROR(LOOKUP(W1276,打分卡!$F$15:$J$15,打分卡!$K$15:$O$15),1)</f>
        <v>2</v>
      </c>
      <c r="AL1276" s="43">
        <f t="shared" si="153"/>
        <v>5</v>
      </c>
      <c r="AM1276" s="41">
        <f>IFERROR(LOOKUP(Z1276,打分卡!$F$17:$H$17,打分卡!$K$17:$M$17),1)</f>
        <v>1</v>
      </c>
      <c r="AN1276" s="44">
        <f>(打分卡!$D$7*AC1276+打分卡!$D$8*AD1276+打分卡!$D$9*AE1276)/5</f>
        <v>8</v>
      </c>
      <c r="AO1276" s="44">
        <f>(打分卡!$D$10*AF1276+打分卡!$D$11*AG1276)/5</f>
        <v>4</v>
      </c>
      <c r="AP1276" s="44">
        <f>(打分卡!$D$12*AH1276+打分卡!$D$13*AI1276+打分卡!$D$14*AJ1276+打分卡!$D$15*AK1276)/5</f>
        <v>13.6</v>
      </c>
      <c r="AQ1276" s="44">
        <f>(打分卡!$D$16*AL1276+打分卡!$D$17*AM1276)/5</f>
        <v>6.8</v>
      </c>
      <c r="AR1276" s="47">
        <f t="shared" si="154"/>
        <v>42.5333333333333</v>
      </c>
      <c r="AS1276" s="43" t="str">
        <f t="shared" si="155"/>
        <v>腰部</v>
      </c>
      <c r="AT1276" s="43" t="str">
        <f t="shared" si="156"/>
        <v/>
      </c>
      <c r="AU1276" s="43" t="str">
        <f t="shared" si="157"/>
        <v>拉·主攻：主推AI外呼+大促作战包</v>
      </c>
    </row>
    <row r="1277" ht="15" customHeight="1" spans="1:47">
      <c r="A1277" s="20" t="s">
        <v>3343</v>
      </c>
      <c r="B1277" s="22" t="s">
        <v>3344</v>
      </c>
      <c r="C1277" s="22" t="s">
        <v>234</v>
      </c>
      <c r="D1277" s="22" t="s">
        <v>190</v>
      </c>
      <c r="E1277" s="22" t="s">
        <v>181</v>
      </c>
      <c r="F1277" s="20" t="s">
        <v>1647</v>
      </c>
      <c r="G1277" s="22">
        <v>3</v>
      </c>
      <c r="H1277" s="22" t="s">
        <v>642</v>
      </c>
      <c r="I1277" s="22" t="s">
        <v>302</v>
      </c>
      <c r="J1277" s="36">
        <v>600</v>
      </c>
      <c r="K1277" s="36">
        <v>200</v>
      </c>
      <c r="L1277" s="36">
        <v>100</v>
      </c>
      <c r="M1277" s="36">
        <f t="shared" si="152"/>
        <v>900</v>
      </c>
      <c r="N1277" s="34">
        <f t="shared" si="158"/>
        <v>4.71837587211314e-6</v>
      </c>
      <c r="O1277" s="35">
        <f>SUM($M$2:M1277)</f>
        <v>190681700</v>
      </c>
      <c r="P1277" s="34">
        <f t="shared" si="159"/>
        <v>0.999675480592796</v>
      </c>
      <c r="Q1277" s="39">
        <v>0.1</v>
      </c>
      <c r="R1277" s="22">
        <v>2</v>
      </c>
      <c r="S1277" s="22">
        <v>1</v>
      </c>
      <c r="T1277" s="22">
        <v>0</v>
      </c>
      <c r="U1277" s="39">
        <v>1.3</v>
      </c>
      <c r="V1277" s="22">
        <v>14</v>
      </c>
      <c r="W1277" s="22">
        <v>2</v>
      </c>
      <c r="X1277" s="40">
        <v>10</v>
      </c>
      <c r="Y1277" s="22">
        <v>0</v>
      </c>
      <c r="Z1277" s="22">
        <v>0</v>
      </c>
      <c r="AA1277" s="22" t="s">
        <v>199</v>
      </c>
      <c r="AB1277" s="22" t="s">
        <v>220</v>
      </c>
      <c r="AC1277" s="42">
        <f>IFERROR(LOOKUP(M1277,打分卡!$F$7:$J$7,打分卡!$K$7:$O$7),1)</f>
        <v>1</v>
      </c>
      <c r="AD1277" s="42">
        <f>IFERROR(LOOKUP(S1277,打分卡!$F$8:$J$8,打分卡!$K$8:$O$8),1)</f>
        <v>1</v>
      </c>
      <c r="AE1277" s="42">
        <f>IFERROR(LOOKUP(T1277,打分卡!$F$9:$I$9,打分卡!$K$9:$N$9),1)</f>
        <v>1</v>
      </c>
      <c r="AF1277" s="42">
        <f>IFERROR(LOOKUP(Q1277,打分卡!$F$10:$J$10,打分卡!$K$10:$O$10),1)</f>
        <v>1</v>
      </c>
      <c r="AG1277" s="42">
        <f>IFERROR(LOOKUP(R1277,打分卡!$F$11:$J$11,打分卡!$K$11:$O$11),1)</f>
        <v>1</v>
      </c>
      <c r="AH1277" s="42">
        <f>IFERROR(LOOKUP(U1277,打分卡!$F$12:$J$12,打分卡!$K$12:$O$12),1)</f>
        <v>1</v>
      </c>
      <c r="AI1277" s="42">
        <f>IFERROR(LOOKUP(X1277,打分卡!$F$13:$J$13,打分卡!$K$13:$O$13),1)</f>
        <v>1</v>
      </c>
      <c r="AJ1277" s="42">
        <f>IFERROR(LOOKUP(Y1277,打分卡!$F$14:$J$14,打分卡!$K$14:$O$14),1)</f>
        <v>1</v>
      </c>
      <c r="AK1277" s="42">
        <f>IFERROR(LOOKUP(W1277,打分卡!$F$15:$J$15,打分卡!$K$15:$O$15),1)</f>
        <v>2</v>
      </c>
      <c r="AL1277" s="45">
        <f t="shared" si="153"/>
        <v>5</v>
      </c>
      <c r="AM1277" s="42">
        <f>IFERROR(LOOKUP(Z1277,打分卡!$F$17:$H$17,打分卡!$K$17:$M$17),1)</f>
        <v>1</v>
      </c>
      <c r="AN1277" s="46">
        <f>(打分卡!$D$7*AC1277+打分卡!$D$8*AD1277+打分卡!$D$9*AE1277)/5</f>
        <v>8</v>
      </c>
      <c r="AO1277" s="46">
        <f>(打分卡!$D$10*AF1277+打分卡!$D$11*AG1277)/5</f>
        <v>4</v>
      </c>
      <c r="AP1277" s="46">
        <f>(打分卡!$D$12*AH1277+打分卡!$D$13*AI1277+打分卡!$D$14*AJ1277+打分卡!$D$15*AK1277)/5</f>
        <v>6.8</v>
      </c>
      <c r="AQ1277" s="46">
        <f>(打分卡!$D$16*AL1277+打分卡!$D$17*AM1277)/5</f>
        <v>6.8</v>
      </c>
      <c r="AR1277" s="48">
        <f t="shared" si="154"/>
        <v>25.6</v>
      </c>
      <c r="AS1277" s="45" t="str">
        <f t="shared" si="155"/>
        <v>基础长尾</v>
      </c>
      <c r="AT1277" s="45" t="str">
        <f t="shared" si="156"/>
        <v/>
      </c>
      <c r="AU1277" s="45" t="str">
        <f t="shared" si="157"/>
        <v>激活：企微+Push低成本先跑</v>
      </c>
    </row>
    <row r="1278" ht="15" customHeight="1" spans="1:47">
      <c r="A1278" s="30" t="s">
        <v>3345</v>
      </c>
      <c r="B1278" s="31" t="s">
        <v>3346</v>
      </c>
      <c r="C1278" s="31" t="s">
        <v>189</v>
      </c>
      <c r="D1278" s="31" t="s">
        <v>252</v>
      </c>
      <c r="E1278" s="31" t="s">
        <v>181</v>
      </c>
      <c r="F1278" s="30" t="s">
        <v>2752</v>
      </c>
      <c r="G1278" s="31">
        <v>2</v>
      </c>
      <c r="H1278" s="31" t="s">
        <v>642</v>
      </c>
      <c r="I1278" s="31" t="s">
        <v>302</v>
      </c>
      <c r="J1278" s="33">
        <v>500</v>
      </c>
      <c r="K1278" s="33">
        <v>300</v>
      </c>
      <c r="L1278" s="33">
        <v>100</v>
      </c>
      <c r="M1278" s="33">
        <f t="shared" si="152"/>
        <v>900</v>
      </c>
      <c r="N1278" s="34">
        <f t="shared" si="158"/>
        <v>4.71837587211314e-6</v>
      </c>
      <c r="O1278" s="35">
        <f>SUM($M$2:M1278)</f>
        <v>190682600</v>
      </c>
      <c r="P1278" s="34">
        <f t="shared" si="159"/>
        <v>0.999680198968668</v>
      </c>
      <c r="Q1278" s="37">
        <v>0.1</v>
      </c>
      <c r="R1278" s="31">
        <v>1</v>
      </c>
      <c r="S1278" s="31">
        <v>0</v>
      </c>
      <c r="T1278" s="31">
        <v>0</v>
      </c>
      <c r="U1278" s="37">
        <v>2.5</v>
      </c>
      <c r="V1278" s="31">
        <v>5</v>
      </c>
      <c r="W1278" s="31">
        <v>1</v>
      </c>
      <c r="X1278" s="38">
        <v>58</v>
      </c>
      <c r="Y1278" s="31">
        <v>1</v>
      </c>
      <c r="Z1278" s="31">
        <v>0</v>
      </c>
      <c r="AA1278" s="31" t="s">
        <v>199</v>
      </c>
      <c r="AB1278" s="31" t="s">
        <v>220</v>
      </c>
      <c r="AC1278" s="41">
        <f>IFERROR(LOOKUP(M1278,打分卡!$F$7:$J$7,打分卡!$K$7:$O$7),1)</f>
        <v>1</v>
      </c>
      <c r="AD1278" s="41">
        <f>IFERROR(LOOKUP(S1278,打分卡!$F$8:$J$8,打分卡!$K$8:$O$8),1)</f>
        <v>1</v>
      </c>
      <c r="AE1278" s="41">
        <f>IFERROR(LOOKUP(T1278,打分卡!$F$9:$I$9,打分卡!$K$9:$N$9),1)</f>
        <v>1</v>
      </c>
      <c r="AF1278" s="41">
        <f>IFERROR(LOOKUP(Q1278,打分卡!$F$10:$J$10,打分卡!$K$10:$O$10),1)</f>
        <v>1</v>
      </c>
      <c r="AG1278" s="41">
        <f>IFERROR(LOOKUP(R1278,打分卡!$F$11:$J$11,打分卡!$K$11:$O$11),1)</f>
        <v>1</v>
      </c>
      <c r="AH1278" s="41">
        <f>IFERROR(LOOKUP(U1278,打分卡!$F$12:$J$12,打分卡!$K$12:$O$12),1)</f>
        <v>1</v>
      </c>
      <c r="AI1278" s="41">
        <f>IFERROR(LOOKUP(X1278,打分卡!$F$13:$J$13,打分卡!$K$13:$O$13),1)</f>
        <v>3</v>
      </c>
      <c r="AJ1278" s="41">
        <f>IFERROR(LOOKUP(Y1278,打分卡!$F$14:$J$14,打分卡!$K$14:$O$14),1)</f>
        <v>2</v>
      </c>
      <c r="AK1278" s="41">
        <f>IFERROR(LOOKUP(W1278,打分卡!$F$15:$J$15,打分卡!$K$15:$O$15),1)</f>
        <v>2</v>
      </c>
      <c r="AL1278" s="43">
        <f t="shared" si="153"/>
        <v>5</v>
      </c>
      <c r="AM1278" s="41">
        <f>IFERROR(LOOKUP(Z1278,打分卡!$F$17:$H$17,打分卡!$K$17:$M$17),1)</f>
        <v>1</v>
      </c>
      <c r="AN1278" s="44">
        <f>(打分卡!$D$7*AC1278+打分卡!$D$8*AD1278+打分卡!$D$9*AE1278)/5</f>
        <v>8</v>
      </c>
      <c r="AO1278" s="44">
        <f>(打分卡!$D$10*AF1278+打分卡!$D$11*AG1278)/5</f>
        <v>4</v>
      </c>
      <c r="AP1278" s="44">
        <f>(打分卡!$D$12*AH1278+打分卡!$D$13*AI1278+打分卡!$D$14*AJ1278+打分卡!$D$15*AK1278)/5</f>
        <v>11.2</v>
      </c>
      <c r="AQ1278" s="44">
        <f>(打分卡!$D$16*AL1278+打分卡!$D$17*AM1278)/5</f>
        <v>6.8</v>
      </c>
      <c r="AR1278" s="47">
        <f t="shared" si="154"/>
        <v>36.9333333333333</v>
      </c>
      <c r="AS1278" s="43" t="str">
        <f t="shared" si="155"/>
        <v>基础长尾</v>
      </c>
      <c r="AT1278" s="43" t="str">
        <f t="shared" si="156"/>
        <v/>
      </c>
      <c r="AU1278" s="43" t="str">
        <f t="shared" si="157"/>
        <v>激活：企微+Push低成本先跑</v>
      </c>
    </row>
    <row r="1279" ht="15" customHeight="1" spans="1:47">
      <c r="A1279" s="20" t="s">
        <v>3347</v>
      </c>
      <c r="B1279" s="22" t="s">
        <v>3348</v>
      </c>
      <c r="C1279" s="22" t="s">
        <v>189</v>
      </c>
      <c r="D1279" s="22" t="s">
        <v>227</v>
      </c>
      <c r="E1279" s="22" t="s">
        <v>197</v>
      </c>
      <c r="F1279" s="20" t="s">
        <v>2841</v>
      </c>
      <c r="G1279" s="22">
        <v>1</v>
      </c>
      <c r="H1279" s="22" t="s">
        <v>642</v>
      </c>
      <c r="I1279" s="22" t="s">
        <v>302</v>
      </c>
      <c r="J1279" s="36">
        <v>500</v>
      </c>
      <c r="K1279" s="36">
        <v>300</v>
      </c>
      <c r="L1279" s="36">
        <v>100</v>
      </c>
      <c r="M1279" s="36">
        <f t="shared" si="152"/>
        <v>900</v>
      </c>
      <c r="N1279" s="34">
        <f t="shared" si="158"/>
        <v>4.71837587211314e-6</v>
      </c>
      <c r="O1279" s="35">
        <f>SUM($M$2:M1279)</f>
        <v>190683500</v>
      </c>
      <c r="P1279" s="34">
        <f t="shared" si="159"/>
        <v>0.99968491734454</v>
      </c>
      <c r="Q1279" s="39">
        <v>0.1</v>
      </c>
      <c r="R1279" s="22">
        <v>3</v>
      </c>
      <c r="S1279" s="22">
        <v>1</v>
      </c>
      <c r="T1279" s="22">
        <v>0</v>
      </c>
      <c r="U1279" s="39">
        <v>0.7</v>
      </c>
      <c r="V1279" s="22">
        <v>3</v>
      </c>
      <c r="W1279" s="22">
        <v>0</v>
      </c>
      <c r="X1279" s="40">
        <v>18</v>
      </c>
      <c r="Y1279" s="22">
        <v>0</v>
      </c>
      <c r="Z1279" s="22">
        <v>0</v>
      </c>
      <c r="AA1279" s="22" t="s">
        <v>199</v>
      </c>
      <c r="AB1279" s="22" t="s">
        <v>220</v>
      </c>
      <c r="AC1279" s="42">
        <f>IFERROR(LOOKUP(M1279,打分卡!$F$7:$J$7,打分卡!$K$7:$O$7),1)</f>
        <v>1</v>
      </c>
      <c r="AD1279" s="42">
        <f>IFERROR(LOOKUP(S1279,打分卡!$F$8:$J$8,打分卡!$K$8:$O$8),1)</f>
        <v>1</v>
      </c>
      <c r="AE1279" s="42">
        <f>IFERROR(LOOKUP(T1279,打分卡!$F$9:$I$9,打分卡!$K$9:$N$9),1)</f>
        <v>1</v>
      </c>
      <c r="AF1279" s="42">
        <f>IFERROR(LOOKUP(Q1279,打分卡!$F$10:$J$10,打分卡!$K$10:$O$10),1)</f>
        <v>1</v>
      </c>
      <c r="AG1279" s="42">
        <f>IFERROR(LOOKUP(R1279,打分卡!$F$11:$J$11,打分卡!$K$11:$O$11),1)</f>
        <v>2</v>
      </c>
      <c r="AH1279" s="42">
        <f>IFERROR(LOOKUP(U1279,打分卡!$F$12:$J$12,打分卡!$K$12:$O$12),1)</f>
        <v>1</v>
      </c>
      <c r="AI1279" s="42">
        <f>IFERROR(LOOKUP(X1279,打分卡!$F$13:$J$13,打分卡!$K$13:$O$13),1)</f>
        <v>2</v>
      </c>
      <c r="AJ1279" s="42">
        <f>IFERROR(LOOKUP(Y1279,打分卡!$F$14:$J$14,打分卡!$K$14:$O$14),1)</f>
        <v>1</v>
      </c>
      <c r="AK1279" s="42">
        <f>IFERROR(LOOKUP(W1279,打分卡!$F$15:$J$15,打分卡!$K$15:$O$15),1)</f>
        <v>1</v>
      </c>
      <c r="AL1279" s="45">
        <f t="shared" si="153"/>
        <v>5</v>
      </c>
      <c r="AM1279" s="42">
        <f>IFERROR(LOOKUP(Z1279,打分卡!$F$17:$H$17,打分卡!$K$17:$M$17),1)</f>
        <v>1</v>
      </c>
      <c r="AN1279" s="46">
        <f>(打分卡!$D$7*AC1279+打分卡!$D$8*AD1279+打分卡!$D$9*AE1279)/5</f>
        <v>8</v>
      </c>
      <c r="AO1279" s="46">
        <f>(打分卡!$D$10*AF1279+打分卡!$D$11*AG1279)/5</f>
        <v>6</v>
      </c>
      <c r="AP1279" s="46">
        <f>(打分卡!$D$12*AH1279+打分卡!$D$13*AI1279+打分卡!$D$14*AJ1279+打分卡!$D$15*AK1279)/5</f>
        <v>7.6</v>
      </c>
      <c r="AQ1279" s="46">
        <f>(打分卡!$D$16*AL1279+打分卡!$D$17*AM1279)/5</f>
        <v>6.8</v>
      </c>
      <c r="AR1279" s="48">
        <f t="shared" si="154"/>
        <v>30.5333333333333</v>
      </c>
      <c r="AS1279" s="45" t="str">
        <f t="shared" si="155"/>
        <v>基础长尾</v>
      </c>
      <c r="AT1279" s="45" t="str">
        <f t="shared" si="156"/>
        <v/>
      </c>
      <c r="AU1279" s="45" t="str">
        <f t="shared" si="157"/>
        <v>激活：企微+Push低成本先跑</v>
      </c>
    </row>
    <row r="1280" ht="15" customHeight="1" spans="1:47">
      <c r="A1280" s="30" t="s">
        <v>3349</v>
      </c>
      <c r="B1280" s="31" t="s">
        <v>3350</v>
      </c>
      <c r="C1280" s="31" t="s">
        <v>189</v>
      </c>
      <c r="D1280" s="31" t="s">
        <v>227</v>
      </c>
      <c r="E1280" s="31" t="s">
        <v>181</v>
      </c>
      <c r="F1280" s="30" t="s">
        <v>2913</v>
      </c>
      <c r="G1280" s="31">
        <v>2</v>
      </c>
      <c r="H1280" s="31" t="s">
        <v>642</v>
      </c>
      <c r="I1280" s="31" t="s">
        <v>302</v>
      </c>
      <c r="J1280" s="33">
        <v>400</v>
      </c>
      <c r="K1280" s="33">
        <v>200</v>
      </c>
      <c r="L1280" s="33">
        <v>300</v>
      </c>
      <c r="M1280" s="33">
        <f t="shared" si="152"/>
        <v>900</v>
      </c>
      <c r="N1280" s="34">
        <f t="shared" si="158"/>
        <v>4.71837587211314e-6</v>
      </c>
      <c r="O1280" s="35">
        <f>SUM($M$2:M1280)</f>
        <v>190684400</v>
      </c>
      <c r="P1280" s="34">
        <f t="shared" si="159"/>
        <v>0.999689635720412</v>
      </c>
      <c r="Q1280" s="37">
        <v>0.1</v>
      </c>
      <c r="R1280" s="31">
        <v>1</v>
      </c>
      <c r="S1280" s="31">
        <v>0</v>
      </c>
      <c r="T1280" s="31">
        <v>0</v>
      </c>
      <c r="U1280" s="37">
        <v>2.8</v>
      </c>
      <c r="V1280" s="31">
        <v>3</v>
      </c>
      <c r="W1280" s="31">
        <v>0</v>
      </c>
      <c r="X1280" s="38">
        <v>15</v>
      </c>
      <c r="Y1280" s="31">
        <v>1</v>
      </c>
      <c r="Z1280" s="31">
        <v>0</v>
      </c>
      <c r="AA1280" s="31" t="s">
        <v>199</v>
      </c>
      <c r="AB1280" s="31" t="s">
        <v>220</v>
      </c>
      <c r="AC1280" s="41">
        <f>IFERROR(LOOKUP(M1280,打分卡!$F$7:$J$7,打分卡!$K$7:$O$7),1)</f>
        <v>1</v>
      </c>
      <c r="AD1280" s="41">
        <f>IFERROR(LOOKUP(S1280,打分卡!$F$8:$J$8,打分卡!$K$8:$O$8),1)</f>
        <v>1</v>
      </c>
      <c r="AE1280" s="41">
        <f>IFERROR(LOOKUP(T1280,打分卡!$F$9:$I$9,打分卡!$K$9:$N$9),1)</f>
        <v>1</v>
      </c>
      <c r="AF1280" s="41">
        <f>IFERROR(LOOKUP(Q1280,打分卡!$F$10:$J$10,打分卡!$K$10:$O$10),1)</f>
        <v>1</v>
      </c>
      <c r="AG1280" s="41">
        <f>IFERROR(LOOKUP(R1280,打分卡!$F$11:$J$11,打分卡!$K$11:$O$11),1)</f>
        <v>1</v>
      </c>
      <c r="AH1280" s="41">
        <f>IFERROR(LOOKUP(U1280,打分卡!$F$12:$J$12,打分卡!$K$12:$O$12),1)</f>
        <v>2</v>
      </c>
      <c r="AI1280" s="41">
        <f>IFERROR(LOOKUP(X1280,打分卡!$F$13:$J$13,打分卡!$K$13:$O$13),1)</f>
        <v>1</v>
      </c>
      <c r="AJ1280" s="41">
        <f>IFERROR(LOOKUP(Y1280,打分卡!$F$14:$J$14,打分卡!$K$14:$O$14),1)</f>
        <v>2</v>
      </c>
      <c r="AK1280" s="41">
        <f>IFERROR(LOOKUP(W1280,打分卡!$F$15:$J$15,打分卡!$K$15:$O$15),1)</f>
        <v>1</v>
      </c>
      <c r="AL1280" s="43">
        <f t="shared" si="153"/>
        <v>5</v>
      </c>
      <c r="AM1280" s="41">
        <f>IFERROR(LOOKUP(Z1280,打分卡!$F$17:$H$17,打分卡!$K$17:$M$17),1)</f>
        <v>1</v>
      </c>
      <c r="AN1280" s="44">
        <f>(打分卡!$D$7*AC1280+打分卡!$D$8*AD1280+打分卡!$D$9*AE1280)/5</f>
        <v>8</v>
      </c>
      <c r="AO1280" s="44">
        <f>(打分卡!$D$10*AF1280+打分卡!$D$11*AG1280)/5</f>
        <v>4</v>
      </c>
      <c r="AP1280" s="44">
        <f>(打分卡!$D$12*AH1280+打分卡!$D$13*AI1280+打分卡!$D$14*AJ1280+打分卡!$D$15*AK1280)/5</f>
        <v>9.6</v>
      </c>
      <c r="AQ1280" s="44">
        <f>(打分卡!$D$16*AL1280+打分卡!$D$17*AM1280)/5</f>
        <v>6.8</v>
      </c>
      <c r="AR1280" s="47">
        <f t="shared" si="154"/>
        <v>33.2</v>
      </c>
      <c r="AS1280" s="43" t="str">
        <f t="shared" si="155"/>
        <v>基础长尾</v>
      </c>
      <c r="AT1280" s="43" t="str">
        <f t="shared" si="156"/>
        <v/>
      </c>
      <c r="AU1280" s="43" t="str">
        <f t="shared" si="157"/>
        <v>激活：企微+Push低成本先跑</v>
      </c>
    </row>
    <row r="1281" ht="15" customHeight="1" spans="1:47">
      <c r="A1281" s="20" t="s">
        <v>3351</v>
      </c>
      <c r="B1281" s="22" t="s">
        <v>3352</v>
      </c>
      <c r="C1281" s="22" t="s">
        <v>195</v>
      </c>
      <c r="D1281" s="22" t="s">
        <v>202</v>
      </c>
      <c r="E1281" s="22" t="s">
        <v>181</v>
      </c>
      <c r="F1281" s="20" t="s">
        <v>3025</v>
      </c>
      <c r="G1281" s="22">
        <v>1</v>
      </c>
      <c r="H1281" s="22" t="s">
        <v>642</v>
      </c>
      <c r="I1281" s="22" t="s">
        <v>302</v>
      </c>
      <c r="J1281" s="36">
        <v>400</v>
      </c>
      <c r="K1281" s="36">
        <v>200</v>
      </c>
      <c r="L1281" s="36">
        <v>200</v>
      </c>
      <c r="M1281" s="36">
        <f t="shared" si="152"/>
        <v>800</v>
      </c>
      <c r="N1281" s="34">
        <f t="shared" si="158"/>
        <v>4.19411188632279e-6</v>
      </c>
      <c r="O1281" s="35">
        <f>SUM($M$2:M1281)</f>
        <v>190685200</v>
      </c>
      <c r="P1281" s="34">
        <f t="shared" si="159"/>
        <v>0.999693829832298</v>
      </c>
      <c r="Q1281" s="39">
        <v>0.1</v>
      </c>
      <c r="R1281" s="22">
        <v>1</v>
      </c>
      <c r="S1281" s="22">
        <v>1</v>
      </c>
      <c r="T1281" s="22">
        <v>0</v>
      </c>
      <c r="U1281" s="39">
        <v>11.2</v>
      </c>
      <c r="V1281" s="22">
        <v>1</v>
      </c>
      <c r="W1281" s="22">
        <v>0</v>
      </c>
      <c r="X1281" s="40">
        <v>25</v>
      </c>
      <c r="Y1281" s="22">
        <v>0</v>
      </c>
      <c r="Z1281" s="22">
        <v>0</v>
      </c>
      <c r="AA1281" s="22" t="s">
        <v>199</v>
      </c>
      <c r="AB1281" s="22" t="s">
        <v>220</v>
      </c>
      <c r="AC1281" s="42">
        <f>IFERROR(LOOKUP(M1281,打分卡!$F$7:$J$7,打分卡!$K$7:$O$7),1)</f>
        <v>1</v>
      </c>
      <c r="AD1281" s="42">
        <f>IFERROR(LOOKUP(S1281,打分卡!$F$8:$J$8,打分卡!$K$8:$O$8),1)</f>
        <v>1</v>
      </c>
      <c r="AE1281" s="42">
        <f>IFERROR(LOOKUP(T1281,打分卡!$F$9:$I$9,打分卡!$K$9:$N$9),1)</f>
        <v>1</v>
      </c>
      <c r="AF1281" s="42">
        <f>IFERROR(LOOKUP(Q1281,打分卡!$F$10:$J$10,打分卡!$K$10:$O$10),1)</f>
        <v>1</v>
      </c>
      <c r="AG1281" s="42">
        <f>IFERROR(LOOKUP(R1281,打分卡!$F$11:$J$11,打分卡!$K$11:$O$11),1)</f>
        <v>1</v>
      </c>
      <c r="AH1281" s="42">
        <f>IFERROR(LOOKUP(U1281,打分卡!$F$12:$J$12,打分卡!$K$12:$O$12),1)</f>
        <v>3</v>
      </c>
      <c r="AI1281" s="42">
        <f>IFERROR(LOOKUP(X1281,打分卡!$F$13:$J$13,打分卡!$K$13:$O$13),1)</f>
        <v>2</v>
      </c>
      <c r="AJ1281" s="42">
        <f>IFERROR(LOOKUP(Y1281,打分卡!$F$14:$J$14,打分卡!$K$14:$O$14),1)</f>
        <v>1</v>
      </c>
      <c r="AK1281" s="42">
        <f>IFERROR(LOOKUP(W1281,打分卡!$F$15:$J$15,打分卡!$K$15:$O$15),1)</f>
        <v>1</v>
      </c>
      <c r="AL1281" s="45">
        <f t="shared" si="153"/>
        <v>5</v>
      </c>
      <c r="AM1281" s="42">
        <f>IFERROR(LOOKUP(Z1281,打分卡!$F$17:$H$17,打分卡!$K$17:$M$17),1)</f>
        <v>1</v>
      </c>
      <c r="AN1281" s="46">
        <f>(打分卡!$D$7*AC1281+打分卡!$D$8*AD1281+打分卡!$D$9*AE1281)/5</f>
        <v>8</v>
      </c>
      <c r="AO1281" s="46">
        <f>(打分卡!$D$10*AF1281+打分卡!$D$11*AG1281)/5</f>
        <v>4</v>
      </c>
      <c r="AP1281" s="46">
        <f>(打分卡!$D$12*AH1281+打分卡!$D$13*AI1281+打分卡!$D$14*AJ1281+打分卡!$D$15*AK1281)/5</f>
        <v>12.4</v>
      </c>
      <c r="AQ1281" s="46">
        <f>(打分卡!$D$16*AL1281+打分卡!$D$17*AM1281)/5</f>
        <v>6.8</v>
      </c>
      <c r="AR1281" s="48">
        <f t="shared" si="154"/>
        <v>39.7333333333333</v>
      </c>
      <c r="AS1281" s="45" t="str">
        <f t="shared" si="155"/>
        <v>基础长尾</v>
      </c>
      <c r="AT1281" s="45" t="str">
        <f t="shared" si="156"/>
        <v/>
      </c>
      <c r="AU1281" s="45" t="str">
        <f t="shared" si="157"/>
        <v>激活：企微+Push低成本先跑</v>
      </c>
    </row>
    <row r="1282" ht="15" customHeight="1" spans="1:47">
      <c r="A1282" s="30" t="s">
        <v>3353</v>
      </c>
      <c r="B1282" s="31" t="s">
        <v>3354</v>
      </c>
      <c r="C1282" s="31" t="s">
        <v>189</v>
      </c>
      <c r="D1282" s="31" t="s">
        <v>227</v>
      </c>
      <c r="E1282" s="31" t="s">
        <v>181</v>
      </c>
      <c r="F1282" s="30" t="s">
        <v>705</v>
      </c>
      <c r="G1282" s="31">
        <v>3</v>
      </c>
      <c r="H1282" s="31" t="s">
        <v>642</v>
      </c>
      <c r="I1282" s="31" t="s">
        <v>302</v>
      </c>
      <c r="J1282" s="33">
        <v>400</v>
      </c>
      <c r="K1282" s="33">
        <v>300</v>
      </c>
      <c r="L1282" s="33">
        <v>200</v>
      </c>
      <c r="M1282" s="33">
        <f t="shared" ref="M1282:M1345" si="160">SUM(J1282:L1282)</f>
        <v>900</v>
      </c>
      <c r="N1282" s="34">
        <f t="shared" si="158"/>
        <v>4.71837587211314e-6</v>
      </c>
      <c r="O1282" s="35">
        <f>SUM($M$2:M1282)</f>
        <v>190686100</v>
      </c>
      <c r="P1282" s="34">
        <f t="shared" si="159"/>
        <v>0.999698548208171</v>
      </c>
      <c r="Q1282" s="37">
        <v>0.1</v>
      </c>
      <c r="R1282" s="31">
        <v>1</v>
      </c>
      <c r="S1282" s="31">
        <v>0</v>
      </c>
      <c r="T1282" s="31">
        <v>0</v>
      </c>
      <c r="U1282" s="37">
        <v>30.4</v>
      </c>
      <c r="V1282" s="31">
        <v>0</v>
      </c>
      <c r="W1282" s="31">
        <v>1</v>
      </c>
      <c r="X1282" s="38">
        <v>5</v>
      </c>
      <c r="Y1282" s="31">
        <v>1</v>
      </c>
      <c r="Z1282" s="31">
        <v>0</v>
      </c>
      <c r="AA1282" s="31" t="s">
        <v>199</v>
      </c>
      <c r="AB1282" s="31" t="s">
        <v>220</v>
      </c>
      <c r="AC1282" s="41">
        <f>IFERROR(LOOKUP(M1282,打分卡!$F$7:$J$7,打分卡!$K$7:$O$7),1)</f>
        <v>1</v>
      </c>
      <c r="AD1282" s="41">
        <f>IFERROR(LOOKUP(S1282,打分卡!$F$8:$J$8,打分卡!$K$8:$O$8),1)</f>
        <v>1</v>
      </c>
      <c r="AE1282" s="41">
        <f>IFERROR(LOOKUP(T1282,打分卡!$F$9:$I$9,打分卡!$K$9:$N$9),1)</f>
        <v>1</v>
      </c>
      <c r="AF1282" s="41">
        <f>IFERROR(LOOKUP(Q1282,打分卡!$F$10:$J$10,打分卡!$K$10:$O$10),1)</f>
        <v>1</v>
      </c>
      <c r="AG1282" s="41">
        <f>IFERROR(LOOKUP(R1282,打分卡!$F$11:$J$11,打分卡!$K$11:$O$11),1)</f>
        <v>1</v>
      </c>
      <c r="AH1282" s="41">
        <f>IFERROR(LOOKUP(U1282,打分卡!$F$12:$J$12,打分卡!$K$12:$O$12),1)</f>
        <v>3</v>
      </c>
      <c r="AI1282" s="41">
        <f>IFERROR(LOOKUP(X1282,打分卡!$F$13:$J$13,打分卡!$K$13:$O$13),1)</f>
        <v>1</v>
      </c>
      <c r="AJ1282" s="41">
        <f>IFERROR(LOOKUP(Y1282,打分卡!$F$14:$J$14,打分卡!$K$14:$O$14),1)</f>
        <v>2</v>
      </c>
      <c r="AK1282" s="41">
        <f>IFERROR(LOOKUP(W1282,打分卡!$F$15:$J$15,打分卡!$K$15:$O$15),1)</f>
        <v>2</v>
      </c>
      <c r="AL1282" s="43">
        <f t="shared" ref="AL1282:AL1345" si="161">IF(AA1282="连续下降",1,IF(AA1282="下降",2,IF(AA1282="上升",5,3)))</f>
        <v>5</v>
      </c>
      <c r="AM1282" s="41">
        <f>IFERROR(LOOKUP(Z1282,打分卡!$F$17:$H$17,打分卡!$K$17:$M$17),1)</f>
        <v>1</v>
      </c>
      <c r="AN1282" s="44">
        <f>(打分卡!$D$7*AC1282+打分卡!$D$8*AD1282+打分卡!$D$9*AE1282)/5</f>
        <v>8</v>
      </c>
      <c r="AO1282" s="44">
        <f>(打分卡!$D$10*AF1282+打分卡!$D$11*AG1282)/5</f>
        <v>4</v>
      </c>
      <c r="AP1282" s="44">
        <f>(打分卡!$D$12*AH1282+打分卡!$D$13*AI1282+打分卡!$D$14*AJ1282+打分卡!$D$15*AK1282)/5</f>
        <v>12.8</v>
      </c>
      <c r="AQ1282" s="44">
        <f>(打分卡!$D$16*AL1282+打分卡!$D$17*AM1282)/5</f>
        <v>6.8</v>
      </c>
      <c r="AR1282" s="47">
        <f t="shared" ref="AR1282:AR1345" si="162">IF(G1282&lt;3,AP1282/30*40+AO1282+AP1282+AQ1282,AN1282+AO1282+AP1282+AQ1282)</f>
        <v>31.6</v>
      </c>
      <c r="AS1282" s="43" t="str">
        <f t="shared" ref="AS1282:AS1345" si="163">IF(M1282=0,IF(G1282&lt;3,"新客观察期","未激活"),IF(AR1282&gt;=90,"SKA",IF(AR1282&gt;=75,"KA",IF(AR1282&gt;=40,"腰部","基础长尾"))))</f>
        <v>基础长尾</v>
      </c>
      <c r="AT1282" s="43" t="str">
        <f t="shared" ref="AT1282:AT1345" si="164">IF(AA1282="连续下降","连续下降-预警","")</f>
        <v/>
      </c>
      <c r="AU1282" s="43" t="str">
        <f t="shared" ref="AU1282:AU1345" si="165">IF(AS1282="SKA","守·共创：卡片短信/AI外呼新场景POC",IF(AS1282="KA","扩·深化：AI外呼场景深化+Push/企微补全",IF(AS1282="腰部","拉·主攻：主推AI外呼+大促作战包",IF(AS1282="新客观察期","培育：入门包+1v1场景教育",IF(AS1282="基础长尾","激活：企微+Push低成本先跑","唤醒：短信模板+首充补贴")))))</f>
        <v>激活：企微+Push低成本先跑</v>
      </c>
    </row>
    <row r="1283" ht="15" customHeight="1" spans="1:47">
      <c r="A1283" s="20" t="s">
        <v>3355</v>
      </c>
      <c r="B1283" s="22" t="s">
        <v>3356</v>
      </c>
      <c r="C1283" s="22" t="s">
        <v>218</v>
      </c>
      <c r="D1283" s="22" t="s">
        <v>252</v>
      </c>
      <c r="E1283" s="22" t="s">
        <v>181</v>
      </c>
      <c r="F1283" s="20" t="s">
        <v>2898</v>
      </c>
      <c r="G1283" s="22">
        <v>2</v>
      </c>
      <c r="H1283" s="22" t="s">
        <v>642</v>
      </c>
      <c r="I1283" s="22" t="s">
        <v>302</v>
      </c>
      <c r="J1283" s="36">
        <v>400</v>
      </c>
      <c r="K1283" s="36">
        <v>300</v>
      </c>
      <c r="L1283" s="36">
        <v>200</v>
      </c>
      <c r="M1283" s="36">
        <f t="shared" si="160"/>
        <v>900</v>
      </c>
      <c r="N1283" s="34">
        <f t="shared" ref="N1283:N1346" si="166">M1283/$M$2002</f>
        <v>4.71837587211314e-6</v>
      </c>
      <c r="O1283" s="35">
        <f>SUM($M$2:M1283)</f>
        <v>190687000</v>
      </c>
      <c r="P1283" s="34">
        <f t="shared" ref="P1283:P1346" si="167">O1283/$M$2002</f>
        <v>0.999703266584043</v>
      </c>
      <c r="Q1283" s="39">
        <v>0.1</v>
      </c>
      <c r="R1283" s="22">
        <v>3</v>
      </c>
      <c r="S1283" s="22">
        <v>0</v>
      </c>
      <c r="T1283" s="22">
        <v>0</v>
      </c>
      <c r="U1283" s="39">
        <v>1.8</v>
      </c>
      <c r="V1283" s="22">
        <v>0</v>
      </c>
      <c r="W1283" s="22">
        <v>0</v>
      </c>
      <c r="X1283" s="40">
        <v>14</v>
      </c>
      <c r="Y1283" s="22">
        <v>0</v>
      </c>
      <c r="Z1283" s="22">
        <v>0</v>
      </c>
      <c r="AA1283" s="22" t="s">
        <v>199</v>
      </c>
      <c r="AB1283" s="22" t="s">
        <v>220</v>
      </c>
      <c r="AC1283" s="42">
        <f>IFERROR(LOOKUP(M1283,打分卡!$F$7:$J$7,打分卡!$K$7:$O$7),1)</f>
        <v>1</v>
      </c>
      <c r="AD1283" s="42">
        <f>IFERROR(LOOKUP(S1283,打分卡!$F$8:$J$8,打分卡!$K$8:$O$8),1)</f>
        <v>1</v>
      </c>
      <c r="AE1283" s="42">
        <f>IFERROR(LOOKUP(T1283,打分卡!$F$9:$I$9,打分卡!$K$9:$N$9),1)</f>
        <v>1</v>
      </c>
      <c r="AF1283" s="42">
        <f>IFERROR(LOOKUP(Q1283,打分卡!$F$10:$J$10,打分卡!$K$10:$O$10),1)</f>
        <v>1</v>
      </c>
      <c r="AG1283" s="42">
        <f>IFERROR(LOOKUP(R1283,打分卡!$F$11:$J$11,打分卡!$K$11:$O$11),1)</f>
        <v>2</v>
      </c>
      <c r="AH1283" s="42">
        <f>IFERROR(LOOKUP(U1283,打分卡!$F$12:$J$12,打分卡!$K$12:$O$12),1)</f>
        <v>1</v>
      </c>
      <c r="AI1283" s="42">
        <f>IFERROR(LOOKUP(X1283,打分卡!$F$13:$J$13,打分卡!$K$13:$O$13),1)</f>
        <v>1</v>
      </c>
      <c r="AJ1283" s="42">
        <f>IFERROR(LOOKUP(Y1283,打分卡!$F$14:$J$14,打分卡!$K$14:$O$14),1)</f>
        <v>1</v>
      </c>
      <c r="AK1283" s="42">
        <f>IFERROR(LOOKUP(W1283,打分卡!$F$15:$J$15,打分卡!$K$15:$O$15),1)</f>
        <v>1</v>
      </c>
      <c r="AL1283" s="45">
        <f t="shared" si="161"/>
        <v>5</v>
      </c>
      <c r="AM1283" s="42">
        <f>IFERROR(LOOKUP(Z1283,打分卡!$F$17:$H$17,打分卡!$K$17:$M$17),1)</f>
        <v>1</v>
      </c>
      <c r="AN1283" s="46">
        <f>(打分卡!$D$7*AC1283+打分卡!$D$8*AD1283+打分卡!$D$9*AE1283)/5</f>
        <v>8</v>
      </c>
      <c r="AO1283" s="46">
        <f>(打分卡!$D$10*AF1283+打分卡!$D$11*AG1283)/5</f>
        <v>6</v>
      </c>
      <c r="AP1283" s="46">
        <f>(打分卡!$D$12*AH1283+打分卡!$D$13*AI1283+打分卡!$D$14*AJ1283+打分卡!$D$15*AK1283)/5</f>
        <v>6</v>
      </c>
      <c r="AQ1283" s="46">
        <f>(打分卡!$D$16*AL1283+打分卡!$D$17*AM1283)/5</f>
        <v>6.8</v>
      </c>
      <c r="AR1283" s="48">
        <f t="shared" si="162"/>
        <v>26.8</v>
      </c>
      <c r="AS1283" s="45" t="str">
        <f t="shared" si="163"/>
        <v>基础长尾</v>
      </c>
      <c r="AT1283" s="45" t="str">
        <f t="shared" si="164"/>
        <v/>
      </c>
      <c r="AU1283" s="45" t="str">
        <f t="shared" si="165"/>
        <v>激活：企微+Push低成本先跑</v>
      </c>
    </row>
    <row r="1284" ht="15" customHeight="1" spans="1:47">
      <c r="A1284" s="30" t="s">
        <v>3357</v>
      </c>
      <c r="B1284" s="31" t="s">
        <v>3358</v>
      </c>
      <c r="C1284" s="31" t="s">
        <v>179</v>
      </c>
      <c r="D1284" s="31" t="s">
        <v>196</v>
      </c>
      <c r="E1284" s="31" t="s">
        <v>181</v>
      </c>
      <c r="F1284" s="30" t="s">
        <v>2852</v>
      </c>
      <c r="G1284" s="31">
        <v>3</v>
      </c>
      <c r="H1284" s="31" t="s">
        <v>642</v>
      </c>
      <c r="I1284" s="31" t="s">
        <v>302</v>
      </c>
      <c r="J1284" s="33">
        <v>400</v>
      </c>
      <c r="K1284" s="33">
        <v>200</v>
      </c>
      <c r="L1284" s="33">
        <v>200</v>
      </c>
      <c r="M1284" s="33">
        <f t="shared" si="160"/>
        <v>800</v>
      </c>
      <c r="N1284" s="34">
        <f t="shared" si="166"/>
        <v>4.19411188632279e-6</v>
      </c>
      <c r="O1284" s="35">
        <f>SUM($M$2:M1284)</f>
        <v>190687800</v>
      </c>
      <c r="P1284" s="34">
        <f t="shared" si="167"/>
        <v>0.999707460695929</v>
      </c>
      <c r="Q1284" s="37">
        <v>0</v>
      </c>
      <c r="R1284" s="31">
        <v>3</v>
      </c>
      <c r="S1284" s="31">
        <v>1</v>
      </c>
      <c r="T1284" s="31">
        <v>0</v>
      </c>
      <c r="U1284" s="37">
        <v>17.4</v>
      </c>
      <c r="V1284" s="31">
        <v>12</v>
      </c>
      <c r="W1284" s="31">
        <v>2</v>
      </c>
      <c r="X1284" s="38">
        <v>8</v>
      </c>
      <c r="Y1284" s="31">
        <v>0</v>
      </c>
      <c r="Z1284" s="31">
        <v>0</v>
      </c>
      <c r="AA1284" s="31" t="s">
        <v>199</v>
      </c>
      <c r="AB1284" s="31" t="s">
        <v>220</v>
      </c>
      <c r="AC1284" s="41">
        <f>IFERROR(LOOKUP(M1284,打分卡!$F$7:$J$7,打分卡!$K$7:$O$7),1)</f>
        <v>1</v>
      </c>
      <c r="AD1284" s="41">
        <f>IFERROR(LOOKUP(S1284,打分卡!$F$8:$J$8,打分卡!$K$8:$O$8),1)</f>
        <v>1</v>
      </c>
      <c r="AE1284" s="41">
        <f>IFERROR(LOOKUP(T1284,打分卡!$F$9:$I$9,打分卡!$K$9:$N$9),1)</f>
        <v>1</v>
      </c>
      <c r="AF1284" s="41">
        <f>IFERROR(LOOKUP(Q1284,打分卡!$F$10:$J$10,打分卡!$K$10:$O$10),1)</f>
        <v>1</v>
      </c>
      <c r="AG1284" s="41">
        <f>IFERROR(LOOKUP(R1284,打分卡!$F$11:$J$11,打分卡!$K$11:$O$11),1)</f>
        <v>2</v>
      </c>
      <c r="AH1284" s="41">
        <f>IFERROR(LOOKUP(U1284,打分卡!$F$12:$J$12,打分卡!$K$12:$O$12),1)</f>
        <v>3</v>
      </c>
      <c r="AI1284" s="41">
        <f>IFERROR(LOOKUP(X1284,打分卡!$F$13:$J$13,打分卡!$K$13:$O$13),1)</f>
        <v>1</v>
      </c>
      <c r="AJ1284" s="41">
        <f>IFERROR(LOOKUP(Y1284,打分卡!$F$14:$J$14,打分卡!$K$14:$O$14),1)</f>
        <v>1</v>
      </c>
      <c r="AK1284" s="41">
        <f>IFERROR(LOOKUP(W1284,打分卡!$F$15:$J$15,打分卡!$K$15:$O$15),1)</f>
        <v>2</v>
      </c>
      <c r="AL1284" s="43">
        <f t="shared" si="161"/>
        <v>5</v>
      </c>
      <c r="AM1284" s="41">
        <f>IFERROR(LOOKUP(Z1284,打分卡!$F$17:$H$17,打分卡!$K$17:$M$17),1)</f>
        <v>1</v>
      </c>
      <c r="AN1284" s="44">
        <f>(打分卡!$D$7*AC1284+打分卡!$D$8*AD1284+打分卡!$D$9*AE1284)/5</f>
        <v>8</v>
      </c>
      <c r="AO1284" s="44">
        <f>(打分卡!$D$10*AF1284+打分卡!$D$11*AG1284)/5</f>
        <v>6</v>
      </c>
      <c r="AP1284" s="44">
        <f>(打分卡!$D$12*AH1284+打分卡!$D$13*AI1284+打分卡!$D$14*AJ1284+打分卡!$D$15*AK1284)/5</f>
        <v>11.6</v>
      </c>
      <c r="AQ1284" s="44">
        <f>(打分卡!$D$16*AL1284+打分卡!$D$17*AM1284)/5</f>
        <v>6.8</v>
      </c>
      <c r="AR1284" s="47">
        <f t="shared" si="162"/>
        <v>32.4</v>
      </c>
      <c r="AS1284" s="43" t="str">
        <f t="shared" si="163"/>
        <v>基础长尾</v>
      </c>
      <c r="AT1284" s="43" t="str">
        <f t="shared" si="164"/>
        <v/>
      </c>
      <c r="AU1284" s="43" t="str">
        <f t="shared" si="165"/>
        <v>激活：企微+Push低成本先跑</v>
      </c>
    </row>
    <row r="1285" ht="15" customHeight="1" spans="1:47">
      <c r="A1285" s="20" t="s">
        <v>3359</v>
      </c>
      <c r="B1285" s="22" t="s">
        <v>3360</v>
      </c>
      <c r="C1285" s="22" t="s">
        <v>239</v>
      </c>
      <c r="D1285" s="22" t="s">
        <v>252</v>
      </c>
      <c r="E1285" s="22" t="s">
        <v>181</v>
      </c>
      <c r="F1285" s="20" t="s">
        <v>2998</v>
      </c>
      <c r="G1285" s="22">
        <v>2</v>
      </c>
      <c r="H1285" s="22" t="s">
        <v>642</v>
      </c>
      <c r="I1285" s="22" t="s">
        <v>302</v>
      </c>
      <c r="J1285" s="36">
        <v>400</v>
      </c>
      <c r="K1285" s="36">
        <v>300</v>
      </c>
      <c r="L1285" s="36">
        <v>100</v>
      </c>
      <c r="M1285" s="36">
        <f t="shared" si="160"/>
        <v>800</v>
      </c>
      <c r="N1285" s="34">
        <f t="shared" si="166"/>
        <v>4.19411188632279e-6</v>
      </c>
      <c r="O1285" s="35">
        <f>SUM($M$2:M1285)</f>
        <v>190688600</v>
      </c>
      <c r="P1285" s="34">
        <f t="shared" si="167"/>
        <v>0.999711654807815</v>
      </c>
      <c r="Q1285" s="39">
        <v>0.1</v>
      </c>
      <c r="R1285" s="22">
        <v>3</v>
      </c>
      <c r="S1285" s="22">
        <v>0</v>
      </c>
      <c r="T1285" s="22">
        <v>0</v>
      </c>
      <c r="U1285" s="39">
        <v>953</v>
      </c>
      <c r="V1285" s="22">
        <v>6</v>
      </c>
      <c r="W1285" s="22">
        <v>25</v>
      </c>
      <c r="X1285" s="40">
        <v>656</v>
      </c>
      <c r="Y1285" s="22">
        <v>2</v>
      </c>
      <c r="Z1285" s="22">
        <v>0</v>
      </c>
      <c r="AA1285" s="22" t="s">
        <v>199</v>
      </c>
      <c r="AB1285" s="22" t="s">
        <v>220</v>
      </c>
      <c r="AC1285" s="42">
        <f>IFERROR(LOOKUP(M1285,打分卡!$F$7:$J$7,打分卡!$K$7:$O$7),1)</f>
        <v>1</v>
      </c>
      <c r="AD1285" s="42">
        <f>IFERROR(LOOKUP(S1285,打分卡!$F$8:$J$8,打分卡!$K$8:$O$8),1)</f>
        <v>1</v>
      </c>
      <c r="AE1285" s="42">
        <f>IFERROR(LOOKUP(T1285,打分卡!$F$9:$I$9,打分卡!$K$9:$N$9),1)</f>
        <v>1</v>
      </c>
      <c r="AF1285" s="42">
        <f>IFERROR(LOOKUP(Q1285,打分卡!$F$10:$J$10,打分卡!$K$10:$O$10),1)</f>
        <v>1</v>
      </c>
      <c r="AG1285" s="42">
        <f>IFERROR(LOOKUP(R1285,打分卡!$F$11:$J$11,打分卡!$K$11:$O$11),1)</f>
        <v>2</v>
      </c>
      <c r="AH1285" s="42">
        <f>IFERROR(LOOKUP(U1285,打分卡!$F$12:$J$12,打分卡!$K$12:$O$12),1)</f>
        <v>5</v>
      </c>
      <c r="AI1285" s="42">
        <f>IFERROR(LOOKUP(X1285,打分卡!$F$13:$J$13,打分卡!$K$13:$O$13),1)</f>
        <v>5</v>
      </c>
      <c r="AJ1285" s="42">
        <f>IFERROR(LOOKUP(Y1285,打分卡!$F$14:$J$14,打分卡!$K$14:$O$14),1)</f>
        <v>3</v>
      </c>
      <c r="AK1285" s="42">
        <f>IFERROR(LOOKUP(W1285,打分卡!$F$15:$J$15,打分卡!$K$15:$O$15),1)</f>
        <v>5</v>
      </c>
      <c r="AL1285" s="45">
        <f t="shared" si="161"/>
        <v>5</v>
      </c>
      <c r="AM1285" s="42">
        <f>IFERROR(LOOKUP(Z1285,打分卡!$F$17:$H$17,打分卡!$K$17:$M$17),1)</f>
        <v>1</v>
      </c>
      <c r="AN1285" s="46">
        <f>(打分卡!$D$7*AC1285+打分卡!$D$8*AD1285+打分卡!$D$9*AE1285)/5</f>
        <v>8</v>
      </c>
      <c r="AO1285" s="46">
        <f>(打分卡!$D$10*AF1285+打分卡!$D$11*AG1285)/5</f>
        <v>6</v>
      </c>
      <c r="AP1285" s="46">
        <f>(打分卡!$D$12*AH1285+打分卡!$D$13*AI1285+打分卡!$D$14*AJ1285+打分卡!$D$15*AK1285)/5</f>
        <v>27.6</v>
      </c>
      <c r="AQ1285" s="46">
        <f>(打分卡!$D$16*AL1285+打分卡!$D$17*AM1285)/5</f>
        <v>6.8</v>
      </c>
      <c r="AR1285" s="48">
        <f t="shared" si="162"/>
        <v>77.2</v>
      </c>
      <c r="AS1285" s="45" t="str">
        <f t="shared" si="163"/>
        <v>KA</v>
      </c>
      <c r="AT1285" s="45" t="str">
        <f t="shared" si="164"/>
        <v/>
      </c>
      <c r="AU1285" s="45" t="str">
        <f t="shared" si="165"/>
        <v>扩·深化：AI外呼场景深化+Push/企微补全</v>
      </c>
    </row>
    <row r="1286" ht="15" customHeight="1" spans="1:47">
      <c r="A1286" s="30" t="s">
        <v>3361</v>
      </c>
      <c r="B1286" s="31" t="s">
        <v>3362</v>
      </c>
      <c r="C1286" s="31" t="s">
        <v>189</v>
      </c>
      <c r="D1286" s="31" t="s">
        <v>202</v>
      </c>
      <c r="E1286" s="31" t="s">
        <v>181</v>
      </c>
      <c r="F1286" s="30" t="s">
        <v>2785</v>
      </c>
      <c r="G1286" s="31">
        <v>1</v>
      </c>
      <c r="H1286" s="31" t="s">
        <v>642</v>
      </c>
      <c r="I1286" s="31" t="s">
        <v>302</v>
      </c>
      <c r="J1286" s="33">
        <v>500</v>
      </c>
      <c r="K1286" s="33">
        <v>300</v>
      </c>
      <c r="L1286" s="33">
        <v>0</v>
      </c>
      <c r="M1286" s="33">
        <f t="shared" si="160"/>
        <v>800</v>
      </c>
      <c r="N1286" s="34">
        <f t="shared" si="166"/>
        <v>4.19411188632279e-6</v>
      </c>
      <c r="O1286" s="35">
        <f>SUM($M$2:M1286)</f>
        <v>190689400</v>
      </c>
      <c r="P1286" s="34">
        <f t="shared" si="167"/>
        <v>0.999715848919702</v>
      </c>
      <c r="Q1286" s="37">
        <v>0.1</v>
      </c>
      <c r="R1286" s="31">
        <v>1</v>
      </c>
      <c r="S1286" s="31">
        <v>1</v>
      </c>
      <c r="T1286" s="31">
        <v>0</v>
      </c>
      <c r="U1286" s="37">
        <v>2.8</v>
      </c>
      <c r="V1286" s="31">
        <v>1</v>
      </c>
      <c r="W1286" s="31">
        <v>1</v>
      </c>
      <c r="X1286" s="38">
        <v>18</v>
      </c>
      <c r="Y1286" s="31">
        <v>0</v>
      </c>
      <c r="Z1286" s="31">
        <v>0</v>
      </c>
      <c r="AA1286" s="31" t="s">
        <v>199</v>
      </c>
      <c r="AB1286" s="31" t="s">
        <v>220</v>
      </c>
      <c r="AC1286" s="41">
        <f>IFERROR(LOOKUP(M1286,打分卡!$F$7:$J$7,打分卡!$K$7:$O$7),1)</f>
        <v>1</v>
      </c>
      <c r="AD1286" s="41">
        <f>IFERROR(LOOKUP(S1286,打分卡!$F$8:$J$8,打分卡!$K$8:$O$8),1)</f>
        <v>1</v>
      </c>
      <c r="AE1286" s="41">
        <f>IFERROR(LOOKUP(T1286,打分卡!$F$9:$I$9,打分卡!$K$9:$N$9),1)</f>
        <v>1</v>
      </c>
      <c r="AF1286" s="41">
        <f>IFERROR(LOOKUP(Q1286,打分卡!$F$10:$J$10,打分卡!$K$10:$O$10),1)</f>
        <v>1</v>
      </c>
      <c r="AG1286" s="41">
        <f>IFERROR(LOOKUP(R1286,打分卡!$F$11:$J$11,打分卡!$K$11:$O$11),1)</f>
        <v>1</v>
      </c>
      <c r="AH1286" s="41">
        <f>IFERROR(LOOKUP(U1286,打分卡!$F$12:$J$12,打分卡!$K$12:$O$12),1)</f>
        <v>2</v>
      </c>
      <c r="AI1286" s="41">
        <f>IFERROR(LOOKUP(X1286,打分卡!$F$13:$J$13,打分卡!$K$13:$O$13),1)</f>
        <v>2</v>
      </c>
      <c r="AJ1286" s="41">
        <f>IFERROR(LOOKUP(Y1286,打分卡!$F$14:$J$14,打分卡!$K$14:$O$14),1)</f>
        <v>1</v>
      </c>
      <c r="AK1286" s="41">
        <f>IFERROR(LOOKUP(W1286,打分卡!$F$15:$J$15,打分卡!$K$15:$O$15),1)</f>
        <v>2</v>
      </c>
      <c r="AL1286" s="43">
        <f t="shared" si="161"/>
        <v>5</v>
      </c>
      <c r="AM1286" s="41">
        <f>IFERROR(LOOKUP(Z1286,打分卡!$F$17:$H$17,打分卡!$K$17:$M$17),1)</f>
        <v>1</v>
      </c>
      <c r="AN1286" s="44">
        <f>(打分卡!$D$7*AC1286+打分卡!$D$8*AD1286+打分卡!$D$9*AE1286)/5</f>
        <v>8</v>
      </c>
      <c r="AO1286" s="44">
        <f>(打分卡!$D$10*AF1286+打分卡!$D$11*AG1286)/5</f>
        <v>4</v>
      </c>
      <c r="AP1286" s="44">
        <f>(打分卡!$D$12*AH1286+打分卡!$D$13*AI1286+打分卡!$D$14*AJ1286+打分卡!$D$15*AK1286)/5</f>
        <v>10.8</v>
      </c>
      <c r="AQ1286" s="44">
        <f>(打分卡!$D$16*AL1286+打分卡!$D$17*AM1286)/5</f>
        <v>6.8</v>
      </c>
      <c r="AR1286" s="47">
        <f t="shared" si="162"/>
        <v>36</v>
      </c>
      <c r="AS1286" s="43" t="str">
        <f t="shared" si="163"/>
        <v>基础长尾</v>
      </c>
      <c r="AT1286" s="43" t="str">
        <f t="shared" si="164"/>
        <v/>
      </c>
      <c r="AU1286" s="43" t="str">
        <f t="shared" si="165"/>
        <v>激活：企微+Push低成本先跑</v>
      </c>
    </row>
    <row r="1287" ht="15" customHeight="1" spans="1:47">
      <c r="A1287" s="20" t="s">
        <v>3363</v>
      </c>
      <c r="B1287" s="22" t="s">
        <v>3364</v>
      </c>
      <c r="C1287" s="22" t="s">
        <v>234</v>
      </c>
      <c r="D1287" s="22" t="s">
        <v>235</v>
      </c>
      <c r="E1287" s="22" t="s">
        <v>181</v>
      </c>
      <c r="F1287" s="20" t="s">
        <v>705</v>
      </c>
      <c r="G1287" s="22">
        <v>3</v>
      </c>
      <c r="H1287" s="22" t="s">
        <v>642</v>
      </c>
      <c r="I1287" s="22" t="s">
        <v>302</v>
      </c>
      <c r="J1287" s="36">
        <v>500</v>
      </c>
      <c r="K1287" s="36">
        <v>200</v>
      </c>
      <c r="L1287" s="36">
        <v>100</v>
      </c>
      <c r="M1287" s="36">
        <f t="shared" si="160"/>
        <v>800</v>
      </c>
      <c r="N1287" s="34">
        <f t="shared" si="166"/>
        <v>4.19411188632279e-6</v>
      </c>
      <c r="O1287" s="35">
        <f>SUM($M$2:M1287)</f>
        <v>190690200</v>
      </c>
      <c r="P1287" s="34">
        <f t="shared" si="167"/>
        <v>0.999720043031588</v>
      </c>
      <c r="Q1287" s="39">
        <v>0.1</v>
      </c>
      <c r="R1287" s="22">
        <v>2</v>
      </c>
      <c r="S1287" s="22">
        <v>0</v>
      </c>
      <c r="T1287" s="22">
        <v>0</v>
      </c>
      <c r="U1287" s="39">
        <v>0.8</v>
      </c>
      <c r="V1287" s="22">
        <v>12</v>
      </c>
      <c r="W1287" s="22">
        <v>1</v>
      </c>
      <c r="X1287" s="40">
        <v>27</v>
      </c>
      <c r="Y1287" s="22">
        <v>0</v>
      </c>
      <c r="Z1287" s="22">
        <v>0</v>
      </c>
      <c r="AA1287" s="22" t="s">
        <v>199</v>
      </c>
      <c r="AB1287" s="22" t="s">
        <v>220</v>
      </c>
      <c r="AC1287" s="42">
        <f>IFERROR(LOOKUP(M1287,打分卡!$F$7:$J$7,打分卡!$K$7:$O$7),1)</f>
        <v>1</v>
      </c>
      <c r="AD1287" s="42">
        <f>IFERROR(LOOKUP(S1287,打分卡!$F$8:$J$8,打分卡!$K$8:$O$8),1)</f>
        <v>1</v>
      </c>
      <c r="AE1287" s="42">
        <f>IFERROR(LOOKUP(T1287,打分卡!$F$9:$I$9,打分卡!$K$9:$N$9),1)</f>
        <v>1</v>
      </c>
      <c r="AF1287" s="42">
        <f>IFERROR(LOOKUP(Q1287,打分卡!$F$10:$J$10,打分卡!$K$10:$O$10),1)</f>
        <v>1</v>
      </c>
      <c r="AG1287" s="42">
        <f>IFERROR(LOOKUP(R1287,打分卡!$F$11:$J$11,打分卡!$K$11:$O$11),1)</f>
        <v>1</v>
      </c>
      <c r="AH1287" s="42">
        <f>IFERROR(LOOKUP(U1287,打分卡!$F$12:$J$12,打分卡!$K$12:$O$12),1)</f>
        <v>1</v>
      </c>
      <c r="AI1287" s="42">
        <f>IFERROR(LOOKUP(X1287,打分卡!$F$13:$J$13,打分卡!$K$13:$O$13),1)</f>
        <v>2</v>
      </c>
      <c r="AJ1287" s="42">
        <f>IFERROR(LOOKUP(Y1287,打分卡!$F$14:$J$14,打分卡!$K$14:$O$14),1)</f>
        <v>1</v>
      </c>
      <c r="AK1287" s="42">
        <f>IFERROR(LOOKUP(W1287,打分卡!$F$15:$J$15,打分卡!$K$15:$O$15),1)</f>
        <v>2</v>
      </c>
      <c r="AL1287" s="45">
        <f t="shared" si="161"/>
        <v>5</v>
      </c>
      <c r="AM1287" s="42">
        <f>IFERROR(LOOKUP(Z1287,打分卡!$F$17:$H$17,打分卡!$K$17:$M$17),1)</f>
        <v>1</v>
      </c>
      <c r="AN1287" s="46">
        <f>(打分卡!$D$7*AC1287+打分卡!$D$8*AD1287+打分卡!$D$9*AE1287)/5</f>
        <v>8</v>
      </c>
      <c r="AO1287" s="46">
        <f>(打分卡!$D$10*AF1287+打分卡!$D$11*AG1287)/5</f>
        <v>4</v>
      </c>
      <c r="AP1287" s="46">
        <f>(打分卡!$D$12*AH1287+打分卡!$D$13*AI1287+打分卡!$D$14*AJ1287+打分卡!$D$15*AK1287)/5</f>
        <v>8.4</v>
      </c>
      <c r="AQ1287" s="46">
        <f>(打分卡!$D$16*AL1287+打分卡!$D$17*AM1287)/5</f>
        <v>6.8</v>
      </c>
      <c r="AR1287" s="48">
        <f t="shared" si="162"/>
        <v>27.2</v>
      </c>
      <c r="AS1287" s="45" t="str">
        <f t="shared" si="163"/>
        <v>基础长尾</v>
      </c>
      <c r="AT1287" s="45" t="str">
        <f t="shared" si="164"/>
        <v/>
      </c>
      <c r="AU1287" s="45" t="str">
        <f t="shared" si="165"/>
        <v>激活：企微+Push低成本先跑</v>
      </c>
    </row>
    <row r="1288" ht="15" customHeight="1" spans="1:47">
      <c r="A1288" s="30" t="s">
        <v>3365</v>
      </c>
      <c r="B1288" s="31" t="s">
        <v>3366</v>
      </c>
      <c r="C1288" s="31" t="s">
        <v>239</v>
      </c>
      <c r="D1288" s="31" t="s">
        <v>227</v>
      </c>
      <c r="E1288" s="31" t="s">
        <v>181</v>
      </c>
      <c r="F1288" s="30" t="s">
        <v>1217</v>
      </c>
      <c r="G1288" s="31">
        <v>3</v>
      </c>
      <c r="H1288" s="31" t="s">
        <v>642</v>
      </c>
      <c r="I1288" s="31" t="s">
        <v>302</v>
      </c>
      <c r="J1288" s="33">
        <v>500</v>
      </c>
      <c r="K1288" s="33">
        <v>200</v>
      </c>
      <c r="L1288" s="33">
        <v>100</v>
      </c>
      <c r="M1288" s="33">
        <f t="shared" si="160"/>
        <v>800</v>
      </c>
      <c r="N1288" s="34">
        <f t="shared" si="166"/>
        <v>4.19411188632279e-6</v>
      </c>
      <c r="O1288" s="35">
        <f>SUM($M$2:M1288)</f>
        <v>190691000</v>
      </c>
      <c r="P1288" s="34">
        <f t="shared" si="167"/>
        <v>0.999724237143474</v>
      </c>
      <c r="Q1288" s="37">
        <v>0.1</v>
      </c>
      <c r="R1288" s="31">
        <v>2</v>
      </c>
      <c r="S1288" s="31">
        <v>1</v>
      </c>
      <c r="T1288" s="31">
        <v>0</v>
      </c>
      <c r="U1288" s="37">
        <v>3.4</v>
      </c>
      <c r="V1288" s="31">
        <v>7</v>
      </c>
      <c r="W1288" s="31">
        <v>0</v>
      </c>
      <c r="X1288" s="38">
        <v>49</v>
      </c>
      <c r="Y1288" s="31">
        <v>0</v>
      </c>
      <c r="Z1288" s="31">
        <v>0</v>
      </c>
      <c r="AA1288" s="31" t="s">
        <v>199</v>
      </c>
      <c r="AB1288" s="31" t="s">
        <v>220</v>
      </c>
      <c r="AC1288" s="41">
        <f>IFERROR(LOOKUP(M1288,打分卡!$F$7:$J$7,打分卡!$K$7:$O$7),1)</f>
        <v>1</v>
      </c>
      <c r="AD1288" s="41">
        <f>IFERROR(LOOKUP(S1288,打分卡!$F$8:$J$8,打分卡!$K$8:$O$8),1)</f>
        <v>1</v>
      </c>
      <c r="AE1288" s="41">
        <f>IFERROR(LOOKUP(T1288,打分卡!$F$9:$I$9,打分卡!$K$9:$N$9),1)</f>
        <v>1</v>
      </c>
      <c r="AF1288" s="41">
        <f>IFERROR(LOOKUP(Q1288,打分卡!$F$10:$J$10,打分卡!$K$10:$O$10),1)</f>
        <v>1</v>
      </c>
      <c r="AG1288" s="41">
        <f>IFERROR(LOOKUP(R1288,打分卡!$F$11:$J$11,打分卡!$K$11:$O$11),1)</f>
        <v>1</v>
      </c>
      <c r="AH1288" s="41">
        <f>IFERROR(LOOKUP(U1288,打分卡!$F$12:$J$12,打分卡!$K$12:$O$12),1)</f>
        <v>2</v>
      </c>
      <c r="AI1288" s="41">
        <f>IFERROR(LOOKUP(X1288,打分卡!$F$13:$J$13,打分卡!$K$13:$O$13),1)</f>
        <v>3</v>
      </c>
      <c r="AJ1288" s="41">
        <f>IFERROR(LOOKUP(Y1288,打分卡!$F$14:$J$14,打分卡!$K$14:$O$14),1)</f>
        <v>1</v>
      </c>
      <c r="AK1288" s="41">
        <f>IFERROR(LOOKUP(W1288,打分卡!$F$15:$J$15,打分卡!$K$15:$O$15),1)</f>
        <v>1</v>
      </c>
      <c r="AL1288" s="43">
        <f t="shared" si="161"/>
        <v>5</v>
      </c>
      <c r="AM1288" s="41">
        <f>IFERROR(LOOKUP(Z1288,打分卡!$F$17:$H$17,打分卡!$K$17:$M$17),1)</f>
        <v>1</v>
      </c>
      <c r="AN1288" s="44">
        <f>(打分卡!$D$7*AC1288+打分卡!$D$8*AD1288+打分卡!$D$9*AE1288)/5</f>
        <v>8</v>
      </c>
      <c r="AO1288" s="44">
        <f>(打分卡!$D$10*AF1288+打分卡!$D$11*AG1288)/5</f>
        <v>4</v>
      </c>
      <c r="AP1288" s="44">
        <f>(打分卡!$D$12*AH1288+打分卡!$D$13*AI1288+打分卡!$D$14*AJ1288+打分卡!$D$15*AK1288)/5</f>
        <v>11.6</v>
      </c>
      <c r="AQ1288" s="44">
        <f>(打分卡!$D$16*AL1288+打分卡!$D$17*AM1288)/5</f>
        <v>6.8</v>
      </c>
      <c r="AR1288" s="47">
        <f t="shared" si="162"/>
        <v>30.4</v>
      </c>
      <c r="AS1288" s="43" t="str">
        <f t="shared" si="163"/>
        <v>基础长尾</v>
      </c>
      <c r="AT1288" s="43" t="str">
        <f t="shared" si="164"/>
        <v/>
      </c>
      <c r="AU1288" s="43" t="str">
        <f t="shared" si="165"/>
        <v>激活：企微+Push低成本先跑</v>
      </c>
    </row>
    <row r="1289" ht="15" customHeight="1" spans="1:47">
      <c r="A1289" s="20" t="s">
        <v>3367</v>
      </c>
      <c r="B1289" s="22" t="s">
        <v>3368</v>
      </c>
      <c r="C1289" s="22" t="s">
        <v>189</v>
      </c>
      <c r="D1289" s="22" t="s">
        <v>196</v>
      </c>
      <c r="E1289" s="22" t="s">
        <v>181</v>
      </c>
      <c r="F1289" s="20" t="s">
        <v>2998</v>
      </c>
      <c r="G1289" s="22">
        <v>2</v>
      </c>
      <c r="H1289" s="22" t="s">
        <v>642</v>
      </c>
      <c r="I1289" s="22" t="s">
        <v>302</v>
      </c>
      <c r="J1289" s="36">
        <v>500</v>
      </c>
      <c r="K1289" s="36">
        <v>300</v>
      </c>
      <c r="L1289" s="36">
        <v>100</v>
      </c>
      <c r="M1289" s="36">
        <f t="shared" si="160"/>
        <v>900</v>
      </c>
      <c r="N1289" s="34">
        <f t="shared" si="166"/>
        <v>4.71837587211314e-6</v>
      </c>
      <c r="O1289" s="35">
        <f>SUM($M$2:M1289)</f>
        <v>190691900</v>
      </c>
      <c r="P1289" s="34">
        <f t="shared" si="167"/>
        <v>0.999728955519346</v>
      </c>
      <c r="Q1289" s="39">
        <v>0.1</v>
      </c>
      <c r="R1289" s="22">
        <v>3</v>
      </c>
      <c r="S1289" s="22">
        <v>1</v>
      </c>
      <c r="T1289" s="22">
        <v>0</v>
      </c>
      <c r="U1289" s="39">
        <v>1.6</v>
      </c>
      <c r="V1289" s="22">
        <v>13</v>
      </c>
      <c r="W1289" s="22">
        <v>1</v>
      </c>
      <c r="X1289" s="40">
        <v>13</v>
      </c>
      <c r="Y1289" s="22">
        <v>0</v>
      </c>
      <c r="Z1289" s="22">
        <v>0</v>
      </c>
      <c r="AA1289" s="22" t="s">
        <v>199</v>
      </c>
      <c r="AB1289" s="22" t="s">
        <v>220</v>
      </c>
      <c r="AC1289" s="42">
        <f>IFERROR(LOOKUP(M1289,打分卡!$F$7:$J$7,打分卡!$K$7:$O$7),1)</f>
        <v>1</v>
      </c>
      <c r="AD1289" s="42">
        <f>IFERROR(LOOKUP(S1289,打分卡!$F$8:$J$8,打分卡!$K$8:$O$8),1)</f>
        <v>1</v>
      </c>
      <c r="AE1289" s="42">
        <f>IFERROR(LOOKUP(T1289,打分卡!$F$9:$I$9,打分卡!$K$9:$N$9),1)</f>
        <v>1</v>
      </c>
      <c r="AF1289" s="42">
        <f>IFERROR(LOOKUP(Q1289,打分卡!$F$10:$J$10,打分卡!$K$10:$O$10),1)</f>
        <v>1</v>
      </c>
      <c r="AG1289" s="42">
        <f>IFERROR(LOOKUP(R1289,打分卡!$F$11:$J$11,打分卡!$K$11:$O$11),1)</f>
        <v>2</v>
      </c>
      <c r="AH1289" s="42">
        <f>IFERROR(LOOKUP(U1289,打分卡!$F$12:$J$12,打分卡!$K$12:$O$12),1)</f>
        <v>1</v>
      </c>
      <c r="AI1289" s="42">
        <f>IFERROR(LOOKUP(X1289,打分卡!$F$13:$J$13,打分卡!$K$13:$O$13),1)</f>
        <v>1</v>
      </c>
      <c r="AJ1289" s="42">
        <f>IFERROR(LOOKUP(Y1289,打分卡!$F$14:$J$14,打分卡!$K$14:$O$14),1)</f>
        <v>1</v>
      </c>
      <c r="AK1289" s="42">
        <f>IFERROR(LOOKUP(W1289,打分卡!$F$15:$J$15,打分卡!$K$15:$O$15),1)</f>
        <v>2</v>
      </c>
      <c r="AL1289" s="45">
        <f t="shared" si="161"/>
        <v>5</v>
      </c>
      <c r="AM1289" s="42">
        <f>IFERROR(LOOKUP(Z1289,打分卡!$F$17:$H$17,打分卡!$K$17:$M$17),1)</f>
        <v>1</v>
      </c>
      <c r="AN1289" s="46">
        <f>(打分卡!$D$7*AC1289+打分卡!$D$8*AD1289+打分卡!$D$9*AE1289)/5</f>
        <v>8</v>
      </c>
      <c r="AO1289" s="46">
        <f>(打分卡!$D$10*AF1289+打分卡!$D$11*AG1289)/5</f>
        <v>6</v>
      </c>
      <c r="AP1289" s="46">
        <f>(打分卡!$D$12*AH1289+打分卡!$D$13*AI1289+打分卡!$D$14*AJ1289+打分卡!$D$15*AK1289)/5</f>
        <v>6.8</v>
      </c>
      <c r="AQ1289" s="46">
        <f>(打分卡!$D$16*AL1289+打分卡!$D$17*AM1289)/5</f>
        <v>6.8</v>
      </c>
      <c r="AR1289" s="48">
        <f t="shared" si="162"/>
        <v>28.6666666666667</v>
      </c>
      <c r="AS1289" s="45" t="str">
        <f t="shared" si="163"/>
        <v>基础长尾</v>
      </c>
      <c r="AT1289" s="45" t="str">
        <f t="shared" si="164"/>
        <v/>
      </c>
      <c r="AU1289" s="45" t="str">
        <f t="shared" si="165"/>
        <v>激活：企微+Push低成本先跑</v>
      </c>
    </row>
    <row r="1290" ht="15" customHeight="1" spans="1:47">
      <c r="A1290" s="30" t="s">
        <v>3369</v>
      </c>
      <c r="B1290" s="31" t="s">
        <v>3370</v>
      </c>
      <c r="C1290" s="31" t="s">
        <v>195</v>
      </c>
      <c r="D1290" s="31" t="s">
        <v>252</v>
      </c>
      <c r="E1290" s="31" t="s">
        <v>197</v>
      </c>
      <c r="F1290" s="30" t="s">
        <v>1102</v>
      </c>
      <c r="G1290" s="31">
        <v>3</v>
      </c>
      <c r="H1290" s="31" t="s">
        <v>642</v>
      </c>
      <c r="I1290" s="31" t="s">
        <v>302</v>
      </c>
      <c r="J1290" s="33">
        <v>500</v>
      </c>
      <c r="K1290" s="33">
        <v>200</v>
      </c>
      <c r="L1290" s="33">
        <v>100</v>
      </c>
      <c r="M1290" s="33">
        <f t="shared" si="160"/>
        <v>800</v>
      </c>
      <c r="N1290" s="34">
        <f t="shared" si="166"/>
        <v>4.19411188632279e-6</v>
      </c>
      <c r="O1290" s="35">
        <f>SUM($M$2:M1290)</f>
        <v>190692700</v>
      </c>
      <c r="P1290" s="34">
        <f t="shared" si="167"/>
        <v>0.999733149631233</v>
      </c>
      <c r="Q1290" s="37">
        <v>0.1</v>
      </c>
      <c r="R1290" s="31">
        <v>2</v>
      </c>
      <c r="S1290" s="31">
        <v>0</v>
      </c>
      <c r="T1290" s="31">
        <v>0</v>
      </c>
      <c r="U1290" s="37">
        <v>2.2</v>
      </c>
      <c r="V1290" s="31">
        <v>11</v>
      </c>
      <c r="W1290" s="31">
        <v>1</v>
      </c>
      <c r="X1290" s="38">
        <v>41</v>
      </c>
      <c r="Y1290" s="31">
        <v>0</v>
      </c>
      <c r="Z1290" s="31">
        <v>0</v>
      </c>
      <c r="AA1290" s="31" t="s">
        <v>199</v>
      </c>
      <c r="AB1290" s="31" t="s">
        <v>220</v>
      </c>
      <c r="AC1290" s="41">
        <f>IFERROR(LOOKUP(M1290,打分卡!$F$7:$J$7,打分卡!$K$7:$O$7),1)</f>
        <v>1</v>
      </c>
      <c r="AD1290" s="41">
        <f>IFERROR(LOOKUP(S1290,打分卡!$F$8:$J$8,打分卡!$K$8:$O$8),1)</f>
        <v>1</v>
      </c>
      <c r="AE1290" s="41">
        <f>IFERROR(LOOKUP(T1290,打分卡!$F$9:$I$9,打分卡!$K$9:$N$9),1)</f>
        <v>1</v>
      </c>
      <c r="AF1290" s="41">
        <f>IFERROR(LOOKUP(Q1290,打分卡!$F$10:$J$10,打分卡!$K$10:$O$10),1)</f>
        <v>1</v>
      </c>
      <c r="AG1290" s="41">
        <f>IFERROR(LOOKUP(R1290,打分卡!$F$11:$J$11,打分卡!$K$11:$O$11),1)</f>
        <v>1</v>
      </c>
      <c r="AH1290" s="41">
        <f>IFERROR(LOOKUP(U1290,打分卡!$F$12:$J$12,打分卡!$K$12:$O$12),1)</f>
        <v>1</v>
      </c>
      <c r="AI1290" s="41">
        <f>IFERROR(LOOKUP(X1290,打分卡!$F$13:$J$13,打分卡!$K$13:$O$13),1)</f>
        <v>3</v>
      </c>
      <c r="AJ1290" s="41">
        <f>IFERROR(LOOKUP(Y1290,打分卡!$F$14:$J$14,打分卡!$K$14:$O$14),1)</f>
        <v>1</v>
      </c>
      <c r="AK1290" s="41">
        <f>IFERROR(LOOKUP(W1290,打分卡!$F$15:$J$15,打分卡!$K$15:$O$15),1)</f>
        <v>2</v>
      </c>
      <c r="AL1290" s="43">
        <f t="shared" si="161"/>
        <v>5</v>
      </c>
      <c r="AM1290" s="41">
        <f>IFERROR(LOOKUP(Z1290,打分卡!$F$17:$H$17,打分卡!$K$17:$M$17),1)</f>
        <v>1</v>
      </c>
      <c r="AN1290" s="44">
        <f>(打分卡!$D$7*AC1290+打分卡!$D$8*AD1290+打分卡!$D$9*AE1290)/5</f>
        <v>8</v>
      </c>
      <c r="AO1290" s="44">
        <f>(打分卡!$D$10*AF1290+打分卡!$D$11*AG1290)/5</f>
        <v>4</v>
      </c>
      <c r="AP1290" s="44">
        <f>(打分卡!$D$12*AH1290+打分卡!$D$13*AI1290+打分卡!$D$14*AJ1290+打分卡!$D$15*AK1290)/5</f>
        <v>10</v>
      </c>
      <c r="AQ1290" s="44">
        <f>(打分卡!$D$16*AL1290+打分卡!$D$17*AM1290)/5</f>
        <v>6.8</v>
      </c>
      <c r="AR1290" s="47">
        <f t="shared" si="162"/>
        <v>28.8</v>
      </c>
      <c r="AS1290" s="43" t="str">
        <f t="shared" si="163"/>
        <v>基础长尾</v>
      </c>
      <c r="AT1290" s="43" t="str">
        <f t="shared" si="164"/>
        <v/>
      </c>
      <c r="AU1290" s="43" t="str">
        <f t="shared" si="165"/>
        <v>激活：企微+Push低成本先跑</v>
      </c>
    </row>
    <row r="1291" ht="15" customHeight="1" spans="1:47">
      <c r="A1291" s="20" t="s">
        <v>3371</v>
      </c>
      <c r="B1291" s="22" t="s">
        <v>3372</v>
      </c>
      <c r="C1291" s="22" t="s">
        <v>209</v>
      </c>
      <c r="D1291" s="22" t="s">
        <v>202</v>
      </c>
      <c r="E1291" s="22" t="s">
        <v>197</v>
      </c>
      <c r="F1291" s="20" t="s">
        <v>2742</v>
      </c>
      <c r="G1291" s="22">
        <v>2</v>
      </c>
      <c r="H1291" s="22" t="s">
        <v>642</v>
      </c>
      <c r="I1291" s="22" t="s">
        <v>302</v>
      </c>
      <c r="J1291" s="36">
        <v>500</v>
      </c>
      <c r="K1291" s="36">
        <v>200</v>
      </c>
      <c r="L1291" s="36">
        <v>100</v>
      </c>
      <c r="M1291" s="36">
        <f t="shared" si="160"/>
        <v>800</v>
      </c>
      <c r="N1291" s="34">
        <f t="shared" si="166"/>
        <v>4.19411188632279e-6</v>
      </c>
      <c r="O1291" s="35">
        <f>SUM($M$2:M1291)</f>
        <v>190693500</v>
      </c>
      <c r="P1291" s="34">
        <f t="shared" si="167"/>
        <v>0.999737343743119</v>
      </c>
      <c r="Q1291" s="39">
        <v>0.1</v>
      </c>
      <c r="R1291" s="22">
        <v>1</v>
      </c>
      <c r="S1291" s="22">
        <v>1</v>
      </c>
      <c r="T1291" s="22">
        <v>0</v>
      </c>
      <c r="U1291" s="39">
        <v>773</v>
      </c>
      <c r="V1291" s="22">
        <v>0</v>
      </c>
      <c r="W1291" s="22">
        <v>20</v>
      </c>
      <c r="X1291" s="40">
        <v>1164</v>
      </c>
      <c r="Y1291" s="22">
        <v>3</v>
      </c>
      <c r="Z1291" s="22">
        <v>0</v>
      </c>
      <c r="AA1291" s="22" t="s">
        <v>199</v>
      </c>
      <c r="AB1291" s="22" t="s">
        <v>220</v>
      </c>
      <c r="AC1291" s="42">
        <f>IFERROR(LOOKUP(M1291,打分卡!$F$7:$J$7,打分卡!$K$7:$O$7),1)</f>
        <v>1</v>
      </c>
      <c r="AD1291" s="42">
        <f>IFERROR(LOOKUP(S1291,打分卡!$F$8:$J$8,打分卡!$K$8:$O$8),1)</f>
        <v>1</v>
      </c>
      <c r="AE1291" s="42">
        <f>IFERROR(LOOKUP(T1291,打分卡!$F$9:$I$9,打分卡!$K$9:$N$9),1)</f>
        <v>1</v>
      </c>
      <c r="AF1291" s="42">
        <f>IFERROR(LOOKUP(Q1291,打分卡!$F$10:$J$10,打分卡!$K$10:$O$10),1)</f>
        <v>1</v>
      </c>
      <c r="AG1291" s="42">
        <f>IFERROR(LOOKUP(R1291,打分卡!$F$11:$J$11,打分卡!$K$11:$O$11),1)</f>
        <v>1</v>
      </c>
      <c r="AH1291" s="42">
        <f>IFERROR(LOOKUP(U1291,打分卡!$F$12:$J$12,打分卡!$K$12:$O$12),1)</f>
        <v>5</v>
      </c>
      <c r="AI1291" s="42">
        <f>IFERROR(LOOKUP(X1291,打分卡!$F$13:$J$13,打分卡!$K$13:$O$13),1)</f>
        <v>5</v>
      </c>
      <c r="AJ1291" s="42">
        <f>IFERROR(LOOKUP(Y1291,打分卡!$F$14:$J$14,打分卡!$K$14:$O$14),1)</f>
        <v>4</v>
      </c>
      <c r="AK1291" s="42">
        <f>IFERROR(LOOKUP(W1291,打分卡!$F$15:$J$15,打分卡!$K$15:$O$15),1)</f>
        <v>5</v>
      </c>
      <c r="AL1291" s="45">
        <f t="shared" si="161"/>
        <v>5</v>
      </c>
      <c r="AM1291" s="42">
        <f>IFERROR(LOOKUP(Z1291,打分卡!$F$17:$H$17,打分卡!$K$17:$M$17),1)</f>
        <v>1</v>
      </c>
      <c r="AN1291" s="46">
        <f>(打分卡!$D$7*AC1291+打分卡!$D$8*AD1291+打分卡!$D$9*AE1291)/5</f>
        <v>8</v>
      </c>
      <c r="AO1291" s="46">
        <f>(打分卡!$D$10*AF1291+打分卡!$D$11*AG1291)/5</f>
        <v>4</v>
      </c>
      <c r="AP1291" s="46">
        <f>(打分卡!$D$12*AH1291+打分卡!$D$13*AI1291+打分卡!$D$14*AJ1291+打分卡!$D$15*AK1291)/5</f>
        <v>28.8</v>
      </c>
      <c r="AQ1291" s="46">
        <f>(打分卡!$D$16*AL1291+打分卡!$D$17*AM1291)/5</f>
        <v>6.8</v>
      </c>
      <c r="AR1291" s="48">
        <f t="shared" si="162"/>
        <v>78</v>
      </c>
      <c r="AS1291" s="45" t="str">
        <f t="shared" si="163"/>
        <v>KA</v>
      </c>
      <c r="AT1291" s="45" t="str">
        <f t="shared" si="164"/>
        <v/>
      </c>
      <c r="AU1291" s="45" t="str">
        <f t="shared" si="165"/>
        <v>扩·深化：AI外呼场景深化+Push/企微补全</v>
      </c>
    </row>
    <row r="1292" ht="15" customHeight="1" spans="1:47">
      <c r="A1292" s="30" t="s">
        <v>3373</v>
      </c>
      <c r="B1292" s="31" t="s">
        <v>3374</v>
      </c>
      <c r="C1292" s="31" t="s">
        <v>218</v>
      </c>
      <c r="D1292" s="31" t="s">
        <v>196</v>
      </c>
      <c r="E1292" s="31" t="s">
        <v>181</v>
      </c>
      <c r="F1292" s="30" t="s">
        <v>2755</v>
      </c>
      <c r="G1292" s="31">
        <v>3</v>
      </c>
      <c r="H1292" s="31" t="s">
        <v>642</v>
      </c>
      <c r="I1292" s="31" t="s">
        <v>302</v>
      </c>
      <c r="J1292" s="33">
        <v>500</v>
      </c>
      <c r="K1292" s="33">
        <v>300</v>
      </c>
      <c r="L1292" s="33">
        <v>0</v>
      </c>
      <c r="M1292" s="33">
        <f t="shared" si="160"/>
        <v>800</v>
      </c>
      <c r="N1292" s="34">
        <f t="shared" si="166"/>
        <v>4.19411188632279e-6</v>
      </c>
      <c r="O1292" s="35">
        <f>SUM($M$2:M1292)</f>
        <v>190694300</v>
      </c>
      <c r="P1292" s="34">
        <f t="shared" si="167"/>
        <v>0.999741537855005</v>
      </c>
      <c r="Q1292" s="37">
        <v>0.1</v>
      </c>
      <c r="R1292" s="31">
        <v>1</v>
      </c>
      <c r="S1292" s="31">
        <v>0</v>
      </c>
      <c r="T1292" s="31">
        <v>0</v>
      </c>
      <c r="U1292" s="37">
        <v>22.7</v>
      </c>
      <c r="V1292" s="31">
        <v>11</v>
      </c>
      <c r="W1292" s="31">
        <v>0</v>
      </c>
      <c r="X1292" s="38">
        <v>22</v>
      </c>
      <c r="Y1292" s="31">
        <v>0</v>
      </c>
      <c r="Z1292" s="31">
        <v>0</v>
      </c>
      <c r="AA1292" s="31" t="s">
        <v>199</v>
      </c>
      <c r="AB1292" s="31" t="s">
        <v>220</v>
      </c>
      <c r="AC1292" s="41">
        <f>IFERROR(LOOKUP(M1292,打分卡!$F$7:$J$7,打分卡!$K$7:$O$7),1)</f>
        <v>1</v>
      </c>
      <c r="AD1292" s="41">
        <f>IFERROR(LOOKUP(S1292,打分卡!$F$8:$J$8,打分卡!$K$8:$O$8),1)</f>
        <v>1</v>
      </c>
      <c r="AE1292" s="41">
        <f>IFERROR(LOOKUP(T1292,打分卡!$F$9:$I$9,打分卡!$K$9:$N$9),1)</f>
        <v>1</v>
      </c>
      <c r="AF1292" s="41">
        <f>IFERROR(LOOKUP(Q1292,打分卡!$F$10:$J$10,打分卡!$K$10:$O$10),1)</f>
        <v>1</v>
      </c>
      <c r="AG1292" s="41">
        <f>IFERROR(LOOKUP(R1292,打分卡!$F$11:$J$11,打分卡!$K$11:$O$11),1)</f>
        <v>1</v>
      </c>
      <c r="AH1292" s="41">
        <f>IFERROR(LOOKUP(U1292,打分卡!$F$12:$J$12,打分卡!$K$12:$O$12),1)</f>
        <v>3</v>
      </c>
      <c r="AI1292" s="41">
        <f>IFERROR(LOOKUP(X1292,打分卡!$F$13:$J$13,打分卡!$K$13:$O$13),1)</f>
        <v>2</v>
      </c>
      <c r="AJ1292" s="41">
        <f>IFERROR(LOOKUP(Y1292,打分卡!$F$14:$J$14,打分卡!$K$14:$O$14),1)</f>
        <v>1</v>
      </c>
      <c r="AK1292" s="41">
        <f>IFERROR(LOOKUP(W1292,打分卡!$F$15:$J$15,打分卡!$K$15:$O$15),1)</f>
        <v>1</v>
      </c>
      <c r="AL1292" s="43">
        <f t="shared" si="161"/>
        <v>5</v>
      </c>
      <c r="AM1292" s="41">
        <f>IFERROR(LOOKUP(Z1292,打分卡!$F$17:$H$17,打分卡!$K$17:$M$17),1)</f>
        <v>1</v>
      </c>
      <c r="AN1292" s="44">
        <f>(打分卡!$D$7*AC1292+打分卡!$D$8*AD1292+打分卡!$D$9*AE1292)/5</f>
        <v>8</v>
      </c>
      <c r="AO1292" s="44">
        <f>(打分卡!$D$10*AF1292+打分卡!$D$11*AG1292)/5</f>
        <v>4</v>
      </c>
      <c r="AP1292" s="44">
        <f>(打分卡!$D$12*AH1292+打分卡!$D$13*AI1292+打分卡!$D$14*AJ1292+打分卡!$D$15*AK1292)/5</f>
        <v>12.4</v>
      </c>
      <c r="AQ1292" s="44">
        <f>(打分卡!$D$16*AL1292+打分卡!$D$17*AM1292)/5</f>
        <v>6.8</v>
      </c>
      <c r="AR1292" s="47">
        <f t="shared" si="162"/>
        <v>31.2</v>
      </c>
      <c r="AS1292" s="43" t="str">
        <f t="shared" si="163"/>
        <v>基础长尾</v>
      </c>
      <c r="AT1292" s="43" t="str">
        <f t="shared" si="164"/>
        <v/>
      </c>
      <c r="AU1292" s="43" t="str">
        <f t="shared" si="165"/>
        <v>激活：企微+Push低成本先跑</v>
      </c>
    </row>
    <row r="1293" ht="15" customHeight="1" spans="1:47">
      <c r="A1293" s="20" t="s">
        <v>3375</v>
      </c>
      <c r="B1293" s="22" t="s">
        <v>3376</v>
      </c>
      <c r="C1293" s="22" t="s">
        <v>218</v>
      </c>
      <c r="D1293" s="22" t="s">
        <v>180</v>
      </c>
      <c r="E1293" s="22" t="s">
        <v>197</v>
      </c>
      <c r="F1293" s="20" t="s">
        <v>1120</v>
      </c>
      <c r="G1293" s="22">
        <v>1</v>
      </c>
      <c r="H1293" s="22" t="s">
        <v>642</v>
      </c>
      <c r="I1293" s="22" t="s">
        <v>302</v>
      </c>
      <c r="J1293" s="36">
        <v>400</v>
      </c>
      <c r="K1293" s="36">
        <v>300</v>
      </c>
      <c r="L1293" s="36">
        <v>0</v>
      </c>
      <c r="M1293" s="36">
        <f t="shared" si="160"/>
        <v>700</v>
      </c>
      <c r="N1293" s="34">
        <f t="shared" si="166"/>
        <v>3.66984790053244e-6</v>
      </c>
      <c r="O1293" s="35">
        <f>SUM($M$2:M1293)</f>
        <v>190695000</v>
      </c>
      <c r="P1293" s="34">
        <f t="shared" si="167"/>
        <v>0.999745207702906</v>
      </c>
      <c r="Q1293" s="39">
        <v>0</v>
      </c>
      <c r="R1293" s="22">
        <v>1</v>
      </c>
      <c r="S1293" s="22">
        <v>0</v>
      </c>
      <c r="T1293" s="22">
        <v>0</v>
      </c>
      <c r="U1293" s="39">
        <v>1.6</v>
      </c>
      <c r="V1293" s="22">
        <v>8</v>
      </c>
      <c r="W1293" s="22">
        <v>1</v>
      </c>
      <c r="X1293" s="40">
        <v>41</v>
      </c>
      <c r="Y1293" s="22">
        <v>0</v>
      </c>
      <c r="Z1293" s="22">
        <v>0</v>
      </c>
      <c r="AA1293" s="22" t="s">
        <v>199</v>
      </c>
      <c r="AB1293" s="22" t="s">
        <v>220</v>
      </c>
      <c r="AC1293" s="42">
        <f>IFERROR(LOOKUP(M1293,打分卡!$F$7:$J$7,打分卡!$K$7:$O$7),1)</f>
        <v>1</v>
      </c>
      <c r="AD1293" s="42">
        <f>IFERROR(LOOKUP(S1293,打分卡!$F$8:$J$8,打分卡!$K$8:$O$8),1)</f>
        <v>1</v>
      </c>
      <c r="AE1293" s="42">
        <f>IFERROR(LOOKUP(T1293,打分卡!$F$9:$I$9,打分卡!$K$9:$N$9),1)</f>
        <v>1</v>
      </c>
      <c r="AF1293" s="42">
        <f>IFERROR(LOOKUP(Q1293,打分卡!$F$10:$J$10,打分卡!$K$10:$O$10),1)</f>
        <v>1</v>
      </c>
      <c r="AG1293" s="42">
        <f>IFERROR(LOOKUP(R1293,打分卡!$F$11:$J$11,打分卡!$K$11:$O$11),1)</f>
        <v>1</v>
      </c>
      <c r="AH1293" s="42">
        <f>IFERROR(LOOKUP(U1293,打分卡!$F$12:$J$12,打分卡!$K$12:$O$12),1)</f>
        <v>1</v>
      </c>
      <c r="AI1293" s="42">
        <f>IFERROR(LOOKUP(X1293,打分卡!$F$13:$J$13,打分卡!$K$13:$O$13),1)</f>
        <v>3</v>
      </c>
      <c r="AJ1293" s="42">
        <f>IFERROR(LOOKUP(Y1293,打分卡!$F$14:$J$14,打分卡!$K$14:$O$14),1)</f>
        <v>1</v>
      </c>
      <c r="AK1293" s="42">
        <f>IFERROR(LOOKUP(W1293,打分卡!$F$15:$J$15,打分卡!$K$15:$O$15),1)</f>
        <v>2</v>
      </c>
      <c r="AL1293" s="45">
        <f t="shared" si="161"/>
        <v>5</v>
      </c>
      <c r="AM1293" s="42">
        <f>IFERROR(LOOKUP(Z1293,打分卡!$F$17:$H$17,打分卡!$K$17:$M$17),1)</f>
        <v>1</v>
      </c>
      <c r="AN1293" s="46">
        <f>(打分卡!$D$7*AC1293+打分卡!$D$8*AD1293+打分卡!$D$9*AE1293)/5</f>
        <v>8</v>
      </c>
      <c r="AO1293" s="46">
        <f>(打分卡!$D$10*AF1293+打分卡!$D$11*AG1293)/5</f>
        <v>4</v>
      </c>
      <c r="AP1293" s="46">
        <f>(打分卡!$D$12*AH1293+打分卡!$D$13*AI1293+打分卡!$D$14*AJ1293+打分卡!$D$15*AK1293)/5</f>
        <v>10</v>
      </c>
      <c r="AQ1293" s="46">
        <f>(打分卡!$D$16*AL1293+打分卡!$D$17*AM1293)/5</f>
        <v>6.8</v>
      </c>
      <c r="AR1293" s="48">
        <f t="shared" si="162"/>
        <v>34.1333333333333</v>
      </c>
      <c r="AS1293" s="45" t="str">
        <f t="shared" si="163"/>
        <v>基础长尾</v>
      </c>
      <c r="AT1293" s="45" t="str">
        <f t="shared" si="164"/>
        <v/>
      </c>
      <c r="AU1293" s="45" t="str">
        <f t="shared" si="165"/>
        <v>激活：企微+Push低成本先跑</v>
      </c>
    </row>
    <row r="1294" ht="15" customHeight="1" spans="1:47">
      <c r="A1294" s="30" t="s">
        <v>3377</v>
      </c>
      <c r="B1294" s="31" t="s">
        <v>3378</v>
      </c>
      <c r="C1294" s="31" t="s">
        <v>179</v>
      </c>
      <c r="D1294" s="31" t="s">
        <v>227</v>
      </c>
      <c r="E1294" s="31" t="s">
        <v>181</v>
      </c>
      <c r="F1294" s="30" t="s">
        <v>3218</v>
      </c>
      <c r="G1294" s="31">
        <v>2</v>
      </c>
      <c r="H1294" s="31" t="s">
        <v>642</v>
      </c>
      <c r="I1294" s="31" t="s">
        <v>302</v>
      </c>
      <c r="J1294" s="33">
        <v>400</v>
      </c>
      <c r="K1294" s="33">
        <v>300</v>
      </c>
      <c r="L1294" s="33">
        <v>100</v>
      </c>
      <c r="M1294" s="33">
        <f t="shared" si="160"/>
        <v>800</v>
      </c>
      <c r="N1294" s="34">
        <f t="shared" si="166"/>
        <v>4.19411188632279e-6</v>
      </c>
      <c r="O1294" s="35">
        <f>SUM($M$2:M1294)</f>
        <v>190695800</v>
      </c>
      <c r="P1294" s="34">
        <f t="shared" si="167"/>
        <v>0.999749401814792</v>
      </c>
      <c r="Q1294" s="37">
        <v>0.1</v>
      </c>
      <c r="R1294" s="31">
        <v>2</v>
      </c>
      <c r="S1294" s="31">
        <v>0</v>
      </c>
      <c r="T1294" s="31">
        <v>0</v>
      </c>
      <c r="U1294" s="37">
        <v>0.5</v>
      </c>
      <c r="V1294" s="31">
        <v>15</v>
      </c>
      <c r="W1294" s="31">
        <v>2</v>
      </c>
      <c r="X1294" s="38">
        <v>51</v>
      </c>
      <c r="Y1294" s="31">
        <v>0</v>
      </c>
      <c r="Z1294" s="31">
        <v>0</v>
      </c>
      <c r="AA1294" s="31" t="s">
        <v>199</v>
      </c>
      <c r="AB1294" s="31" t="s">
        <v>220</v>
      </c>
      <c r="AC1294" s="41">
        <f>IFERROR(LOOKUP(M1294,打分卡!$F$7:$J$7,打分卡!$K$7:$O$7),1)</f>
        <v>1</v>
      </c>
      <c r="AD1294" s="41">
        <f>IFERROR(LOOKUP(S1294,打分卡!$F$8:$J$8,打分卡!$K$8:$O$8),1)</f>
        <v>1</v>
      </c>
      <c r="AE1294" s="41">
        <f>IFERROR(LOOKUP(T1294,打分卡!$F$9:$I$9,打分卡!$K$9:$N$9),1)</f>
        <v>1</v>
      </c>
      <c r="AF1294" s="41">
        <f>IFERROR(LOOKUP(Q1294,打分卡!$F$10:$J$10,打分卡!$K$10:$O$10),1)</f>
        <v>1</v>
      </c>
      <c r="AG1294" s="41">
        <f>IFERROR(LOOKUP(R1294,打分卡!$F$11:$J$11,打分卡!$K$11:$O$11),1)</f>
        <v>1</v>
      </c>
      <c r="AH1294" s="41">
        <f>IFERROR(LOOKUP(U1294,打分卡!$F$12:$J$12,打分卡!$K$12:$O$12),1)</f>
        <v>1</v>
      </c>
      <c r="AI1294" s="41">
        <f>IFERROR(LOOKUP(X1294,打分卡!$F$13:$J$13,打分卡!$K$13:$O$13),1)</f>
        <v>3</v>
      </c>
      <c r="AJ1294" s="41">
        <f>IFERROR(LOOKUP(Y1294,打分卡!$F$14:$J$14,打分卡!$K$14:$O$14),1)</f>
        <v>1</v>
      </c>
      <c r="AK1294" s="41">
        <f>IFERROR(LOOKUP(W1294,打分卡!$F$15:$J$15,打分卡!$K$15:$O$15),1)</f>
        <v>2</v>
      </c>
      <c r="AL1294" s="43">
        <f t="shared" si="161"/>
        <v>5</v>
      </c>
      <c r="AM1294" s="41">
        <f>IFERROR(LOOKUP(Z1294,打分卡!$F$17:$H$17,打分卡!$K$17:$M$17),1)</f>
        <v>1</v>
      </c>
      <c r="AN1294" s="44">
        <f>(打分卡!$D$7*AC1294+打分卡!$D$8*AD1294+打分卡!$D$9*AE1294)/5</f>
        <v>8</v>
      </c>
      <c r="AO1294" s="44">
        <f>(打分卡!$D$10*AF1294+打分卡!$D$11*AG1294)/5</f>
        <v>4</v>
      </c>
      <c r="AP1294" s="44">
        <f>(打分卡!$D$12*AH1294+打分卡!$D$13*AI1294+打分卡!$D$14*AJ1294+打分卡!$D$15*AK1294)/5</f>
        <v>10</v>
      </c>
      <c r="AQ1294" s="44">
        <f>(打分卡!$D$16*AL1294+打分卡!$D$17*AM1294)/5</f>
        <v>6.8</v>
      </c>
      <c r="AR1294" s="47">
        <f t="shared" si="162"/>
        <v>34.1333333333333</v>
      </c>
      <c r="AS1294" s="43" t="str">
        <f t="shared" si="163"/>
        <v>基础长尾</v>
      </c>
      <c r="AT1294" s="43" t="str">
        <f t="shared" si="164"/>
        <v/>
      </c>
      <c r="AU1294" s="43" t="str">
        <f t="shared" si="165"/>
        <v>激活：企微+Push低成本先跑</v>
      </c>
    </row>
    <row r="1295" ht="15" customHeight="1" spans="1:47">
      <c r="A1295" s="20" t="s">
        <v>3379</v>
      </c>
      <c r="B1295" s="22" t="s">
        <v>3380</v>
      </c>
      <c r="C1295" s="22" t="s">
        <v>234</v>
      </c>
      <c r="D1295" s="22" t="s">
        <v>190</v>
      </c>
      <c r="E1295" s="22" t="s">
        <v>181</v>
      </c>
      <c r="F1295" s="20" t="s">
        <v>3245</v>
      </c>
      <c r="G1295" s="22">
        <v>1</v>
      </c>
      <c r="H1295" s="22" t="s">
        <v>642</v>
      </c>
      <c r="I1295" s="22" t="s">
        <v>302</v>
      </c>
      <c r="J1295" s="36">
        <v>400</v>
      </c>
      <c r="K1295" s="36">
        <v>200</v>
      </c>
      <c r="L1295" s="36">
        <v>100</v>
      </c>
      <c r="M1295" s="36">
        <f t="shared" si="160"/>
        <v>700</v>
      </c>
      <c r="N1295" s="34">
        <f t="shared" si="166"/>
        <v>3.66984790053244e-6</v>
      </c>
      <c r="O1295" s="35">
        <f>SUM($M$2:M1295)</f>
        <v>190696500</v>
      </c>
      <c r="P1295" s="34">
        <f t="shared" si="167"/>
        <v>0.999753071662693</v>
      </c>
      <c r="Q1295" s="39">
        <v>0.1</v>
      </c>
      <c r="R1295" s="22">
        <v>2</v>
      </c>
      <c r="S1295" s="22">
        <v>1</v>
      </c>
      <c r="T1295" s="22">
        <v>0</v>
      </c>
      <c r="U1295" s="39">
        <v>1.5</v>
      </c>
      <c r="V1295" s="22">
        <v>6</v>
      </c>
      <c r="W1295" s="22">
        <v>0</v>
      </c>
      <c r="X1295" s="40">
        <v>32</v>
      </c>
      <c r="Y1295" s="22">
        <v>1</v>
      </c>
      <c r="Z1295" s="22">
        <v>0</v>
      </c>
      <c r="AA1295" s="22" t="s">
        <v>199</v>
      </c>
      <c r="AB1295" s="22" t="s">
        <v>220</v>
      </c>
      <c r="AC1295" s="42">
        <f>IFERROR(LOOKUP(M1295,打分卡!$F$7:$J$7,打分卡!$K$7:$O$7),1)</f>
        <v>1</v>
      </c>
      <c r="AD1295" s="42">
        <f>IFERROR(LOOKUP(S1295,打分卡!$F$8:$J$8,打分卡!$K$8:$O$8),1)</f>
        <v>1</v>
      </c>
      <c r="AE1295" s="42">
        <f>IFERROR(LOOKUP(T1295,打分卡!$F$9:$I$9,打分卡!$K$9:$N$9),1)</f>
        <v>1</v>
      </c>
      <c r="AF1295" s="42">
        <f>IFERROR(LOOKUP(Q1295,打分卡!$F$10:$J$10,打分卡!$K$10:$O$10),1)</f>
        <v>1</v>
      </c>
      <c r="AG1295" s="42">
        <f>IFERROR(LOOKUP(R1295,打分卡!$F$11:$J$11,打分卡!$K$11:$O$11),1)</f>
        <v>1</v>
      </c>
      <c r="AH1295" s="42">
        <f>IFERROR(LOOKUP(U1295,打分卡!$F$12:$J$12,打分卡!$K$12:$O$12),1)</f>
        <v>1</v>
      </c>
      <c r="AI1295" s="42">
        <f>IFERROR(LOOKUP(X1295,打分卡!$F$13:$J$13,打分卡!$K$13:$O$13),1)</f>
        <v>2</v>
      </c>
      <c r="AJ1295" s="42">
        <f>IFERROR(LOOKUP(Y1295,打分卡!$F$14:$J$14,打分卡!$K$14:$O$14),1)</f>
        <v>2</v>
      </c>
      <c r="AK1295" s="42">
        <f>IFERROR(LOOKUP(W1295,打分卡!$F$15:$J$15,打分卡!$K$15:$O$15),1)</f>
        <v>1</v>
      </c>
      <c r="AL1295" s="45">
        <f t="shared" si="161"/>
        <v>5</v>
      </c>
      <c r="AM1295" s="42">
        <f>IFERROR(LOOKUP(Z1295,打分卡!$F$17:$H$17,打分卡!$K$17:$M$17),1)</f>
        <v>1</v>
      </c>
      <c r="AN1295" s="46">
        <f>(打分卡!$D$7*AC1295+打分卡!$D$8*AD1295+打分卡!$D$9*AE1295)/5</f>
        <v>8</v>
      </c>
      <c r="AO1295" s="46">
        <f>(打分卡!$D$10*AF1295+打分卡!$D$11*AG1295)/5</f>
        <v>4</v>
      </c>
      <c r="AP1295" s="46">
        <f>(打分卡!$D$12*AH1295+打分卡!$D$13*AI1295+打分卡!$D$14*AJ1295+打分卡!$D$15*AK1295)/5</f>
        <v>8.8</v>
      </c>
      <c r="AQ1295" s="46">
        <f>(打分卡!$D$16*AL1295+打分卡!$D$17*AM1295)/5</f>
        <v>6.8</v>
      </c>
      <c r="AR1295" s="48">
        <f t="shared" si="162"/>
        <v>31.3333333333333</v>
      </c>
      <c r="AS1295" s="45" t="str">
        <f t="shared" si="163"/>
        <v>基础长尾</v>
      </c>
      <c r="AT1295" s="45" t="str">
        <f t="shared" si="164"/>
        <v/>
      </c>
      <c r="AU1295" s="45" t="str">
        <f t="shared" si="165"/>
        <v>激活：企微+Push低成本先跑</v>
      </c>
    </row>
    <row r="1296" ht="15" customHeight="1" spans="1:47">
      <c r="A1296" s="30" t="s">
        <v>3381</v>
      </c>
      <c r="B1296" s="31" t="s">
        <v>3382</v>
      </c>
      <c r="C1296" s="31" t="s">
        <v>234</v>
      </c>
      <c r="D1296" s="31" t="s">
        <v>227</v>
      </c>
      <c r="E1296" s="31" t="s">
        <v>197</v>
      </c>
      <c r="F1296" s="30" t="s">
        <v>2872</v>
      </c>
      <c r="G1296" s="31">
        <v>1</v>
      </c>
      <c r="H1296" s="31" t="s">
        <v>642</v>
      </c>
      <c r="I1296" s="31" t="s">
        <v>302</v>
      </c>
      <c r="J1296" s="33">
        <v>500</v>
      </c>
      <c r="K1296" s="33">
        <v>300</v>
      </c>
      <c r="L1296" s="33">
        <v>0</v>
      </c>
      <c r="M1296" s="33">
        <f t="shared" si="160"/>
        <v>800</v>
      </c>
      <c r="N1296" s="34">
        <f t="shared" si="166"/>
        <v>4.19411188632279e-6</v>
      </c>
      <c r="O1296" s="35">
        <f>SUM($M$2:M1296)</f>
        <v>190697300</v>
      </c>
      <c r="P1296" s="34">
        <f t="shared" si="167"/>
        <v>0.999757265774579</v>
      </c>
      <c r="Q1296" s="37">
        <v>0.1</v>
      </c>
      <c r="R1296" s="31">
        <v>2</v>
      </c>
      <c r="S1296" s="31">
        <v>0</v>
      </c>
      <c r="T1296" s="31">
        <v>0</v>
      </c>
      <c r="U1296" s="37">
        <v>18.8</v>
      </c>
      <c r="V1296" s="31">
        <v>4</v>
      </c>
      <c r="W1296" s="31">
        <v>0</v>
      </c>
      <c r="X1296" s="38">
        <v>9</v>
      </c>
      <c r="Y1296" s="31">
        <v>0</v>
      </c>
      <c r="Z1296" s="31">
        <v>0</v>
      </c>
      <c r="AA1296" s="31" t="s">
        <v>199</v>
      </c>
      <c r="AB1296" s="31" t="s">
        <v>220</v>
      </c>
      <c r="AC1296" s="41">
        <f>IFERROR(LOOKUP(M1296,打分卡!$F$7:$J$7,打分卡!$K$7:$O$7),1)</f>
        <v>1</v>
      </c>
      <c r="AD1296" s="41">
        <f>IFERROR(LOOKUP(S1296,打分卡!$F$8:$J$8,打分卡!$K$8:$O$8),1)</f>
        <v>1</v>
      </c>
      <c r="AE1296" s="41">
        <f>IFERROR(LOOKUP(T1296,打分卡!$F$9:$I$9,打分卡!$K$9:$N$9),1)</f>
        <v>1</v>
      </c>
      <c r="AF1296" s="41">
        <f>IFERROR(LOOKUP(Q1296,打分卡!$F$10:$J$10,打分卡!$K$10:$O$10),1)</f>
        <v>1</v>
      </c>
      <c r="AG1296" s="41">
        <f>IFERROR(LOOKUP(R1296,打分卡!$F$11:$J$11,打分卡!$K$11:$O$11),1)</f>
        <v>1</v>
      </c>
      <c r="AH1296" s="41">
        <f>IFERROR(LOOKUP(U1296,打分卡!$F$12:$J$12,打分卡!$K$12:$O$12),1)</f>
        <v>3</v>
      </c>
      <c r="AI1296" s="41">
        <f>IFERROR(LOOKUP(X1296,打分卡!$F$13:$J$13,打分卡!$K$13:$O$13),1)</f>
        <v>1</v>
      </c>
      <c r="AJ1296" s="41">
        <f>IFERROR(LOOKUP(Y1296,打分卡!$F$14:$J$14,打分卡!$K$14:$O$14),1)</f>
        <v>1</v>
      </c>
      <c r="AK1296" s="41">
        <f>IFERROR(LOOKUP(W1296,打分卡!$F$15:$J$15,打分卡!$K$15:$O$15),1)</f>
        <v>1</v>
      </c>
      <c r="AL1296" s="43">
        <f t="shared" si="161"/>
        <v>5</v>
      </c>
      <c r="AM1296" s="41">
        <f>IFERROR(LOOKUP(Z1296,打分卡!$F$17:$H$17,打分卡!$K$17:$M$17),1)</f>
        <v>1</v>
      </c>
      <c r="AN1296" s="44">
        <f>(打分卡!$D$7*AC1296+打分卡!$D$8*AD1296+打分卡!$D$9*AE1296)/5</f>
        <v>8</v>
      </c>
      <c r="AO1296" s="44">
        <f>(打分卡!$D$10*AF1296+打分卡!$D$11*AG1296)/5</f>
        <v>4</v>
      </c>
      <c r="AP1296" s="44">
        <f>(打分卡!$D$12*AH1296+打分卡!$D$13*AI1296+打分卡!$D$14*AJ1296+打分卡!$D$15*AK1296)/5</f>
        <v>10.8</v>
      </c>
      <c r="AQ1296" s="44">
        <f>(打分卡!$D$16*AL1296+打分卡!$D$17*AM1296)/5</f>
        <v>6.8</v>
      </c>
      <c r="AR1296" s="47">
        <f t="shared" si="162"/>
        <v>36</v>
      </c>
      <c r="AS1296" s="43" t="str">
        <f t="shared" si="163"/>
        <v>基础长尾</v>
      </c>
      <c r="AT1296" s="43" t="str">
        <f t="shared" si="164"/>
        <v/>
      </c>
      <c r="AU1296" s="43" t="str">
        <f t="shared" si="165"/>
        <v>激活：企微+Push低成本先跑</v>
      </c>
    </row>
    <row r="1297" ht="15" customHeight="1" spans="1:47">
      <c r="A1297" s="20" t="s">
        <v>3383</v>
      </c>
      <c r="B1297" s="22" t="s">
        <v>3384</v>
      </c>
      <c r="C1297" s="22" t="s">
        <v>179</v>
      </c>
      <c r="D1297" s="22" t="s">
        <v>190</v>
      </c>
      <c r="E1297" s="22" t="s">
        <v>197</v>
      </c>
      <c r="F1297" s="20" t="s">
        <v>2676</v>
      </c>
      <c r="G1297" s="22">
        <v>3</v>
      </c>
      <c r="H1297" s="22" t="s">
        <v>642</v>
      </c>
      <c r="I1297" s="22" t="s">
        <v>302</v>
      </c>
      <c r="J1297" s="36">
        <v>400</v>
      </c>
      <c r="K1297" s="36">
        <v>200</v>
      </c>
      <c r="L1297" s="36">
        <v>200</v>
      </c>
      <c r="M1297" s="36">
        <f t="shared" si="160"/>
        <v>800</v>
      </c>
      <c r="N1297" s="34">
        <f t="shared" si="166"/>
        <v>4.19411188632279e-6</v>
      </c>
      <c r="O1297" s="35">
        <f>SUM($M$2:M1297)</f>
        <v>190698100</v>
      </c>
      <c r="P1297" s="34">
        <f t="shared" si="167"/>
        <v>0.999761459886465</v>
      </c>
      <c r="Q1297" s="39">
        <v>0.1</v>
      </c>
      <c r="R1297" s="22">
        <v>1</v>
      </c>
      <c r="S1297" s="22">
        <v>1</v>
      </c>
      <c r="T1297" s="22">
        <v>0</v>
      </c>
      <c r="U1297" s="39">
        <v>8.7</v>
      </c>
      <c r="V1297" s="22">
        <v>14</v>
      </c>
      <c r="W1297" s="22">
        <v>1</v>
      </c>
      <c r="X1297" s="40">
        <v>57</v>
      </c>
      <c r="Y1297" s="22">
        <v>0</v>
      </c>
      <c r="Z1297" s="22">
        <v>0</v>
      </c>
      <c r="AA1297" s="22" t="s">
        <v>199</v>
      </c>
      <c r="AB1297" s="22" t="s">
        <v>220</v>
      </c>
      <c r="AC1297" s="42">
        <f>IFERROR(LOOKUP(M1297,打分卡!$F$7:$J$7,打分卡!$K$7:$O$7),1)</f>
        <v>1</v>
      </c>
      <c r="AD1297" s="42">
        <f>IFERROR(LOOKUP(S1297,打分卡!$F$8:$J$8,打分卡!$K$8:$O$8),1)</f>
        <v>1</v>
      </c>
      <c r="AE1297" s="42">
        <f>IFERROR(LOOKUP(T1297,打分卡!$F$9:$I$9,打分卡!$K$9:$N$9),1)</f>
        <v>1</v>
      </c>
      <c r="AF1297" s="42">
        <f>IFERROR(LOOKUP(Q1297,打分卡!$F$10:$J$10,打分卡!$K$10:$O$10),1)</f>
        <v>1</v>
      </c>
      <c r="AG1297" s="42">
        <f>IFERROR(LOOKUP(R1297,打分卡!$F$11:$J$11,打分卡!$K$11:$O$11),1)</f>
        <v>1</v>
      </c>
      <c r="AH1297" s="42">
        <f>IFERROR(LOOKUP(U1297,打分卡!$F$12:$J$12,打分卡!$K$12:$O$12),1)</f>
        <v>2</v>
      </c>
      <c r="AI1297" s="42">
        <f>IFERROR(LOOKUP(X1297,打分卡!$F$13:$J$13,打分卡!$K$13:$O$13),1)</f>
        <v>3</v>
      </c>
      <c r="AJ1297" s="42">
        <f>IFERROR(LOOKUP(Y1297,打分卡!$F$14:$J$14,打分卡!$K$14:$O$14),1)</f>
        <v>1</v>
      </c>
      <c r="AK1297" s="42">
        <f>IFERROR(LOOKUP(W1297,打分卡!$F$15:$J$15,打分卡!$K$15:$O$15),1)</f>
        <v>2</v>
      </c>
      <c r="AL1297" s="45">
        <f t="shared" si="161"/>
        <v>5</v>
      </c>
      <c r="AM1297" s="42">
        <f>IFERROR(LOOKUP(Z1297,打分卡!$F$17:$H$17,打分卡!$K$17:$M$17),1)</f>
        <v>1</v>
      </c>
      <c r="AN1297" s="46">
        <f>(打分卡!$D$7*AC1297+打分卡!$D$8*AD1297+打分卡!$D$9*AE1297)/5</f>
        <v>8</v>
      </c>
      <c r="AO1297" s="46">
        <f>(打分卡!$D$10*AF1297+打分卡!$D$11*AG1297)/5</f>
        <v>4</v>
      </c>
      <c r="AP1297" s="46">
        <f>(打分卡!$D$12*AH1297+打分卡!$D$13*AI1297+打分卡!$D$14*AJ1297+打分卡!$D$15*AK1297)/5</f>
        <v>12.4</v>
      </c>
      <c r="AQ1297" s="46">
        <f>(打分卡!$D$16*AL1297+打分卡!$D$17*AM1297)/5</f>
        <v>6.8</v>
      </c>
      <c r="AR1297" s="48">
        <f t="shared" si="162"/>
        <v>31.2</v>
      </c>
      <c r="AS1297" s="45" t="str">
        <f t="shared" si="163"/>
        <v>基础长尾</v>
      </c>
      <c r="AT1297" s="45" t="str">
        <f t="shared" si="164"/>
        <v/>
      </c>
      <c r="AU1297" s="45" t="str">
        <f t="shared" si="165"/>
        <v>激活：企微+Push低成本先跑</v>
      </c>
    </row>
    <row r="1298" ht="15" customHeight="1" spans="1:47">
      <c r="A1298" s="30" t="s">
        <v>3385</v>
      </c>
      <c r="B1298" s="31" t="s">
        <v>3386</v>
      </c>
      <c r="C1298" s="31" t="s">
        <v>189</v>
      </c>
      <c r="D1298" s="31" t="s">
        <v>252</v>
      </c>
      <c r="E1298" s="31" t="s">
        <v>197</v>
      </c>
      <c r="F1298" s="30" t="s">
        <v>2985</v>
      </c>
      <c r="G1298" s="31">
        <v>1</v>
      </c>
      <c r="H1298" s="31" t="s">
        <v>642</v>
      </c>
      <c r="I1298" s="31" t="s">
        <v>302</v>
      </c>
      <c r="J1298" s="33">
        <v>400</v>
      </c>
      <c r="K1298" s="33">
        <v>300</v>
      </c>
      <c r="L1298" s="33">
        <v>100</v>
      </c>
      <c r="M1298" s="33">
        <f t="shared" si="160"/>
        <v>800</v>
      </c>
      <c r="N1298" s="34">
        <f t="shared" si="166"/>
        <v>4.19411188632279e-6</v>
      </c>
      <c r="O1298" s="35">
        <f>SUM($M$2:M1298)</f>
        <v>190698900</v>
      </c>
      <c r="P1298" s="34">
        <f t="shared" si="167"/>
        <v>0.999765653998352</v>
      </c>
      <c r="Q1298" s="37">
        <v>0.1</v>
      </c>
      <c r="R1298" s="31">
        <v>1</v>
      </c>
      <c r="S1298" s="31">
        <v>0</v>
      </c>
      <c r="T1298" s="31">
        <v>0</v>
      </c>
      <c r="U1298" s="37">
        <v>1.4</v>
      </c>
      <c r="V1298" s="31">
        <v>3</v>
      </c>
      <c r="W1298" s="31">
        <v>0</v>
      </c>
      <c r="X1298" s="38">
        <v>59</v>
      </c>
      <c r="Y1298" s="31">
        <v>1</v>
      </c>
      <c r="Z1298" s="31">
        <v>0</v>
      </c>
      <c r="AA1298" s="31" t="s">
        <v>199</v>
      </c>
      <c r="AB1298" s="31" t="s">
        <v>220</v>
      </c>
      <c r="AC1298" s="41">
        <f>IFERROR(LOOKUP(M1298,打分卡!$F$7:$J$7,打分卡!$K$7:$O$7),1)</f>
        <v>1</v>
      </c>
      <c r="AD1298" s="41">
        <f>IFERROR(LOOKUP(S1298,打分卡!$F$8:$J$8,打分卡!$K$8:$O$8),1)</f>
        <v>1</v>
      </c>
      <c r="AE1298" s="41">
        <f>IFERROR(LOOKUP(T1298,打分卡!$F$9:$I$9,打分卡!$K$9:$N$9),1)</f>
        <v>1</v>
      </c>
      <c r="AF1298" s="41">
        <f>IFERROR(LOOKUP(Q1298,打分卡!$F$10:$J$10,打分卡!$K$10:$O$10),1)</f>
        <v>1</v>
      </c>
      <c r="AG1298" s="41">
        <f>IFERROR(LOOKUP(R1298,打分卡!$F$11:$J$11,打分卡!$K$11:$O$11),1)</f>
        <v>1</v>
      </c>
      <c r="AH1298" s="41">
        <f>IFERROR(LOOKUP(U1298,打分卡!$F$12:$J$12,打分卡!$K$12:$O$12),1)</f>
        <v>1</v>
      </c>
      <c r="AI1298" s="41">
        <f>IFERROR(LOOKUP(X1298,打分卡!$F$13:$J$13,打分卡!$K$13:$O$13),1)</f>
        <v>3</v>
      </c>
      <c r="AJ1298" s="41">
        <f>IFERROR(LOOKUP(Y1298,打分卡!$F$14:$J$14,打分卡!$K$14:$O$14),1)</f>
        <v>2</v>
      </c>
      <c r="AK1298" s="41">
        <f>IFERROR(LOOKUP(W1298,打分卡!$F$15:$J$15,打分卡!$K$15:$O$15),1)</f>
        <v>1</v>
      </c>
      <c r="AL1298" s="43">
        <f t="shared" si="161"/>
        <v>5</v>
      </c>
      <c r="AM1298" s="41">
        <f>IFERROR(LOOKUP(Z1298,打分卡!$F$17:$H$17,打分卡!$K$17:$M$17),1)</f>
        <v>1</v>
      </c>
      <c r="AN1298" s="44">
        <f>(打分卡!$D$7*AC1298+打分卡!$D$8*AD1298+打分卡!$D$9*AE1298)/5</f>
        <v>8</v>
      </c>
      <c r="AO1298" s="44">
        <f>(打分卡!$D$10*AF1298+打分卡!$D$11*AG1298)/5</f>
        <v>4</v>
      </c>
      <c r="AP1298" s="44">
        <f>(打分卡!$D$12*AH1298+打分卡!$D$13*AI1298+打分卡!$D$14*AJ1298+打分卡!$D$15*AK1298)/5</f>
        <v>10.4</v>
      </c>
      <c r="AQ1298" s="44">
        <f>(打分卡!$D$16*AL1298+打分卡!$D$17*AM1298)/5</f>
        <v>6.8</v>
      </c>
      <c r="AR1298" s="47">
        <f t="shared" si="162"/>
        <v>35.0666666666667</v>
      </c>
      <c r="AS1298" s="43" t="str">
        <f t="shared" si="163"/>
        <v>基础长尾</v>
      </c>
      <c r="AT1298" s="43" t="str">
        <f t="shared" si="164"/>
        <v/>
      </c>
      <c r="AU1298" s="43" t="str">
        <f t="shared" si="165"/>
        <v>激活：企微+Push低成本先跑</v>
      </c>
    </row>
    <row r="1299" ht="15" customHeight="1" spans="1:47">
      <c r="A1299" s="20" t="s">
        <v>3387</v>
      </c>
      <c r="B1299" s="22" t="s">
        <v>3388</v>
      </c>
      <c r="C1299" s="22" t="s">
        <v>189</v>
      </c>
      <c r="D1299" s="22" t="s">
        <v>202</v>
      </c>
      <c r="E1299" s="22" t="s">
        <v>197</v>
      </c>
      <c r="F1299" s="20" t="s">
        <v>2758</v>
      </c>
      <c r="G1299" s="22">
        <v>1</v>
      </c>
      <c r="H1299" s="22" t="s">
        <v>642</v>
      </c>
      <c r="I1299" s="22" t="s">
        <v>302</v>
      </c>
      <c r="J1299" s="36">
        <v>400</v>
      </c>
      <c r="K1299" s="36">
        <v>300</v>
      </c>
      <c r="L1299" s="36">
        <v>100</v>
      </c>
      <c r="M1299" s="36">
        <f t="shared" si="160"/>
        <v>800</v>
      </c>
      <c r="N1299" s="34">
        <f t="shared" si="166"/>
        <v>4.19411188632279e-6</v>
      </c>
      <c r="O1299" s="35">
        <f>SUM($M$2:M1299)</f>
        <v>190699700</v>
      </c>
      <c r="P1299" s="34">
        <f t="shared" si="167"/>
        <v>0.999769848110238</v>
      </c>
      <c r="Q1299" s="39">
        <v>0.1</v>
      </c>
      <c r="R1299" s="22">
        <v>3</v>
      </c>
      <c r="S1299" s="22">
        <v>1</v>
      </c>
      <c r="T1299" s="22">
        <v>0</v>
      </c>
      <c r="U1299" s="39">
        <v>5</v>
      </c>
      <c r="V1299" s="22">
        <v>13</v>
      </c>
      <c r="W1299" s="22">
        <v>1</v>
      </c>
      <c r="X1299" s="40">
        <v>14</v>
      </c>
      <c r="Y1299" s="22">
        <v>0</v>
      </c>
      <c r="Z1299" s="22">
        <v>0</v>
      </c>
      <c r="AA1299" s="22" t="s">
        <v>199</v>
      </c>
      <c r="AB1299" s="22" t="s">
        <v>220</v>
      </c>
      <c r="AC1299" s="42">
        <f>IFERROR(LOOKUP(M1299,打分卡!$F$7:$J$7,打分卡!$K$7:$O$7),1)</f>
        <v>1</v>
      </c>
      <c r="AD1299" s="42">
        <f>IFERROR(LOOKUP(S1299,打分卡!$F$8:$J$8,打分卡!$K$8:$O$8),1)</f>
        <v>1</v>
      </c>
      <c r="AE1299" s="42">
        <f>IFERROR(LOOKUP(T1299,打分卡!$F$9:$I$9,打分卡!$K$9:$N$9),1)</f>
        <v>1</v>
      </c>
      <c r="AF1299" s="42">
        <f>IFERROR(LOOKUP(Q1299,打分卡!$F$10:$J$10,打分卡!$K$10:$O$10),1)</f>
        <v>1</v>
      </c>
      <c r="AG1299" s="42">
        <f>IFERROR(LOOKUP(R1299,打分卡!$F$11:$J$11,打分卡!$K$11:$O$11),1)</f>
        <v>2</v>
      </c>
      <c r="AH1299" s="42">
        <f>IFERROR(LOOKUP(U1299,打分卡!$F$12:$J$12,打分卡!$K$12:$O$12),1)</f>
        <v>2</v>
      </c>
      <c r="AI1299" s="42">
        <f>IFERROR(LOOKUP(X1299,打分卡!$F$13:$J$13,打分卡!$K$13:$O$13),1)</f>
        <v>1</v>
      </c>
      <c r="AJ1299" s="42">
        <f>IFERROR(LOOKUP(Y1299,打分卡!$F$14:$J$14,打分卡!$K$14:$O$14),1)</f>
        <v>1</v>
      </c>
      <c r="AK1299" s="42">
        <f>IFERROR(LOOKUP(W1299,打分卡!$F$15:$J$15,打分卡!$K$15:$O$15),1)</f>
        <v>2</v>
      </c>
      <c r="AL1299" s="45">
        <f t="shared" si="161"/>
        <v>5</v>
      </c>
      <c r="AM1299" s="42">
        <f>IFERROR(LOOKUP(Z1299,打分卡!$F$17:$H$17,打分卡!$K$17:$M$17),1)</f>
        <v>1</v>
      </c>
      <c r="AN1299" s="46">
        <f>(打分卡!$D$7*AC1299+打分卡!$D$8*AD1299+打分卡!$D$9*AE1299)/5</f>
        <v>8</v>
      </c>
      <c r="AO1299" s="46">
        <f>(打分卡!$D$10*AF1299+打分卡!$D$11*AG1299)/5</f>
        <v>6</v>
      </c>
      <c r="AP1299" s="46">
        <f>(打分卡!$D$12*AH1299+打分卡!$D$13*AI1299+打分卡!$D$14*AJ1299+打分卡!$D$15*AK1299)/5</f>
        <v>9.2</v>
      </c>
      <c r="AQ1299" s="46">
        <f>(打分卡!$D$16*AL1299+打分卡!$D$17*AM1299)/5</f>
        <v>6.8</v>
      </c>
      <c r="AR1299" s="48">
        <f t="shared" si="162"/>
        <v>34.2666666666667</v>
      </c>
      <c r="AS1299" s="45" t="str">
        <f t="shared" si="163"/>
        <v>基础长尾</v>
      </c>
      <c r="AT1299" s="45" t="str">
        <f t="shared" si="164"/>
        <v/>
      </c>
      <c r="AU1299" s="45" t="str">
        <f t="shared" si="165"/>
        <v>激活：企微+Push低成本先跑</v>
      </c>
    </row>
    <row r="1300" ht="15" customHeight="1" spans="1:47">
      <c r="A1300" s="30" t="s">
        <v>3389</v>
      </c>
      <c r="B1300" s="31" t="s">
        <v>3390</v>
      </c>
      <c r="C1300" s="31" t="s">
        <v>239</v>
      </c>
      <c r="D1300" s="31" t="s">
        <v>202</v>
      </c>
      <c r="E1300" s="31" t="s">
        <v>181</v>
      </c>
      <c r="F1300" s="30" t="s">
        <v>2883</v>
      </c>
      <c r="G1300" s="31">
        <v>2</v>
      </c>
      <c r="H1300" s="31" t="s">
        <v>642</v>
      </c>
      <c r="I1300" s="31" t="s">
        <v>302</v>
      </c>
      <c r="J1300" s="33">
        <v>400</v>
      </c>
      <c r="K1300" s="33">
        <v>200</v>
      </c>
      <c r="L1300" s="33">
        <v>200</v>
      </c>
      <c r="M1300" s="33">
        <f t="shared" si="160"/>
        <v>800</v>
      </c>
      <c r="N1300" s="34">
        <f t="shared" si="166"/>
        <v>4.19411188632279e-6</v>
      </c>
      <c r="O1300" s="35">
        <f>SUM($M$2:M1300)</f>
        <v>190700500</v>
      </c>
      <c r="P1300" s="34">
        <f t="shared" si="167"/>
        <v>0.999774042222124</v>
      </c>
      <c r="Q1300" s="37">
        <v>0.1</v>
      </c>
      <c r="R1300" s="31">
        <v>3</v>
      </c>
      <c r="S1300" s="31">
        <v>0</v>
      </c>
      <c r="T1300" s="31">
        <v>0</v>
      </c>
      <c r="U1300" s="37">
        <v>1.1</v>
      </c>
      <c r="V1300" s="31">
        <v>9</v>
      </c>
      <c r="W1300" s="31">
        <v>0</v>
      </c>
      <c r="X1300" s="38">
        <v>9</v>
      </c>
      <c r="Y1300" s="31">
        <v>1</v>
      </c>
      <c r="Z1300" s="31">
        <v>0</v>
      </c>
      <c r="AA1300" s="31" t="s">
        <v>199</v>
      </c>
      <c r="AB1300" s="31" t="s">
        <v>220</v>
      </c>
      <c r="AC1300" s="41">
        <f>IFERROR(LOOKUP(M1300,打分卡!$F$7:$J$7,打分卡!$K$7:$O$7),1)</f>
        <v>1</v>
      </c>
      <c r="AD1300" s="41">
        <f>IFERROR(LOOKUP(S1300,打分卡!$F$8:$J$8,打分卡!$K$8:$O$8),1)</f>
        <v>1</v>
      </c>
      <c r="AE1300" s="41">
        <f>IFERROR(LOOKUP(T1300,打分卡!$F$9:$I$9,打分卡!$K$9:$N$9),1)</f>
        <v>1</v>
      </c>
      <c r="AF1300" s="41">
        <f>IFERROR(LOOKUP(Q1300,打分卡!$F$10:$J$10,打分卡!$K$10:$O$10),1)</f>
        <v>1</v>
      </c>
      <c r="AG1300" s="41">
        <f>IFERROR(LOOKUP(R1300,打分卡!$F$11:$J$11,打分卡!$K$11:$O$11),1)</f>
        <v>2</v>
      </c>
      <c r="AH1300" s="41">
        <f>IFERROR(LOOKUP(U1300,打分卡!$F$12:$J$12,打分卡!$K$12:$O$12),1)</f>
        <v>1</v>
      </c>
      <c r="AI1300" s="41">
        <f>IFERROR(LOOKUP(X1300,打分卡!$F$13:$J$13,打分卡!$K$13:$O$13),1)</f>
        <v>1</v>
      </c>
      <c r="AJ1300" s="41">
        <f>IFERROR(LOOKUP(Y1300,打分卡!$F$14:$J$14,打分卡!$K$14:$O$14),1)</f>
        <v>2</v>
      </c>
      <c r="AK1300" s="41">
        <f>IFERROR(LOOKUP(W1300,打分卡!$F$15:$J$15,打分卡!$K$15:$O$15),1)</f>
        <v>1</v>
      </c>
      <c r="AL1300" s="43">
        <f t="shared" si="161"/>
        <v>5</v>
      </c>
      <c r="AM1300" s="41">
        <f>IFERROR(LOOKUP(Z1300,打分卡!$F$17:$H$17,打分卡!$K$17:$M$17),1)</f>
        <v>1</v>
      </c>
      <c r="AN1300" s="44">
        <f>(打分卡!$D$7*AC1300+打分卡!$D$8*AD1300+打分卡!$D$9*AE1300)/5</f>
        <v>8</v>
      </c>
      <c r="AO1300" s="44">
        <f>(打分卡!$D$10*AF1300+打分卡!$D$11*AG1300)/5</f>
        <v>6</v>
      </c>
      <c r="AP1300" s="44">
        <f>(打分卡!$D$12*AH1300+打分卡!$D$13*AI1300+打分卡!$D$14*AJ1300+打分卡!$D$15*AK1300)/5</f>
        <v>7.2</v>
      </c>
      <c r="AQ1300" s="44">
        <f>(打分卡!$D$16*AL1300+打分卡!$D$17*AM1300)/5</f>
        <v>6.8</v>
      </c>
      <c r="AR1300" s="47">
        <f t="shared" si="162"/>
        <v>29.6</v>
      </c>
      <c r="AS1300" s="43" t="str">
        <f t="shared" si="163"/>
        <v>基础长尾</v>
      </c>
      <c r="AT1300" s="43" t="str">
        <f t="shared" si="164"/>
        <v/>
      </c>
      <c r="AU1300" s="43" t="str">
        <f t="shared" si="165"/>
        <v>激活：企微+Push低成本先跑</v>
      </c>
    </row>
    <row r="1301" ht="15" customHeight="1" spans="1:47">
      <c r="A1301" s="20" t="s">
        <v>3391</v>
      </c>
      <c r="B1301" s="22" t="s">
        <v>3392</v>
      </c>
      <c r="C1301" s="22" t="s">
        <v>223</v>
      </c>
      <c r="D1301" s="22" t="s">
        <v>202</v>
      </c>
      <c r="E1301" s="22" t="s">
        <v>181</v>
      </c>
      <c r="F1301" s="20" t="s">
        <v>2503</v>
      </c>
      <c r="G1301" s="22">
        <v>3</v>
      </c>
      <c r="H1301" s="22" t="s">
        <v>642</v>
      </c>
      <c r="I1301" s="22" t="s">
        <v>302</v>
      </c>
      <c r="J1301" s="36">
        <v>500</v>
      </c>
      <c r="K1301" s="36">
        <v>200</v>
      </c>
      <c r="L1301" s="36">
        <v>100</v>
      </c>
      <c r="M1301" s="36">
        <f t="shared" si="160"/>
        <v>800</v>
      </c>
      <c r="N1301" s="34">
        <f t="shared" si="166"/>
        <v>4.19411188632279e-6</v>
      </c>
      <c r="O1301" s="35">
        <f>SUM($M$2:M1301)</f>
        <v>190701300</v>
      </c>
      <c r="P1301" s="34">
        <f t="shared" si="167"/>
        <v>0.999778236334011</v>
      </c>
      <c r="Q1301" s="39">
        <v>0.1</v>
      </c>
      <c r="R1301" s="22">
        <v>2</v>
      </c>
      <c r="S1301" s="22">
        <v>1</v>
      </c>
      <c r="T1301" s="22">
        <v>0</v>
      </c>
      <c r="U1301" s="39">
        <v>9</v>
      </c>
      <c r="V1301" s="22">
        <v>2</v>
      </c>
      <c r="W1301" s="22">
        <v>1</v>
      </c>
      <c r="X1301" s="40">
        <v>6</v>
      </c>
      <c r="Y1301" s="22">
        <v>0</v>
      </c>
      <c r="Z1301" s="22">
        <v>0</v>
      </c>
      <c r="AA1301" s="22" t="s">
        <v>199</v>
      </c>
      <c r="AB1301" s="22" t="s">
        <v>220</v>
      </c>
      <c r="AC1301" s="42">
        <f>IFERROR(LOOKUP(M1301,打分卡!$F$7:$J$7,打分卡!$K$7:$O$7),1)</f>
        <v>1</v>
      </c>
      <c r="AD1301" s="42">
        <f>IFERROR(LOOKUP(S1301,打分卡!$F$8:$J$8,打分卡!$K$8:$O$8),1)</f>
        <v>1</v>
      </c>
      <c r="AE1301" s="42">
        <f>IFERROR(LOOKUP(T1301,打分卡!$F$9:$I$9,打分卡!$K$9:$N$9),1)</f>
        <v>1</v>
      </c>
      <c r="AF1301" s="42">
        <f>IFERROR(LOOKUP(Q1301,打分卡!$F$10:$J$10,打分卡!$K$10:$O$10),1)</f>
        <v>1</v>
      </c>
      <c r="AG1301" s="42">
        <f>IFERROR(LOOKUP(R1301,打分卡!$F$11:$J$11,打分卡!$K$11:$O$11),1)</f>
        <v>1</v>
      </c>
      <c r="AH1301" s="42">
        <f>IFERROR(LOOKUP(U1301,打分卡!$F$12:$J$12,打分卡!$K$12:$O$12),1)</f>
        <v>2</v>
      </c>
      <c r="AI1301" s="42">
        <f>IFERROR(LOOKUP(X1301,打分卡!$F$13:$J$13,打分卡!$K$13:$O$13),1)</f>
        <v>1</v>
      </c>
      <c r="AJ1301" s="42">
        <f>IFERROR(LOOKUP(Y1301,打分卡!$F$14:$J$14,打分卡!$K$14:$O$14),1)</f>
        <v>1</v>
      </c>
      <c r="AK1301" s="42">
        <f>IFERROR(LOOKUP(W1301,打分卡!$F$15:$J$15,打分卡!$K$15:$O$15),1)</f>
        <v>2</v>
      </c>
      <c r="AL1301" s="45">
        <f t="shared" si="161"/>
        <v>5</v>
      </c>
      <c r="AM1301" s="42">
        <f>IFERROR(LOOKUP(Z1301,打分卡!$F$17:$H$17,打分卡!$K$17:$M$17),1)</f>
        <v>1</v>
      </c>
      <c r="AN1301" s="46">
        <f>(打分卡!$D$7*AC1301+打分卡!$D$8*AD1301+打分卡!$D$9*AE1301)/5</f>
        <v>8</v>
      </c>
      <c r="AO1301" s="46">
        <f>(打分卡!$D$10*AF1301+打分卡!$D$11*AG1301)/5</f>
        <v>4</v>
      </c>
      <c r="AP1301" s="46">
        <f>(打分卡!$D$12*AH1301+打分卡!$D$13*AI1301+打分卡!$D$14*AJ1301+打分卡!$D$15*AK1301)/5</f>
        <v>9.2</v>
      </c>
      <c r="AQ1301" s="46">
        <f>(打分卡!$D$16*AL1301+打分卡!$D$17*AM1301)/5</f>
        <v>6.8</v>
      </c>
      <c r="AR1301" s="48">
        <f t="shared" si="162"/>
        <v>28</v>
      </c>
      <c r="AS1301" s="45" t="str">
        <f t="shared" si="163"/>
        <v>基础长尾</v>
      </c>
      <c r="AT1301" s="45" t="str">
        <f t="shared" si="164"/>
        <v/>
      </c>
      <c r="AU1301" s="45" t="str">
        <f t="shared" si="165"/>
        <v>激活：企微+Push低成本先跑</v>
      </c>
    </row>
    <row r="1302" ht="15" customHeight="1" spans="1:47">
      <c r="A1302" s="30" t="s">
        <v>3393</v>
      </c>
      <c r="B1302" s="31" t="s">
        <v>3394</v>
      </c>
      <c r="C1302" s="31" t="s">
        <v>223</v>
      </c>
      <c r="D1302" s="31" t="s">
        <v>252</v>
      </c>
      <c r="E1302" s="31" t="s">
        <v>197</v>
      </c>
      <c r="F1302" s="30" t="s">
        <v>1270</v>
      </c>
      <c r="G1302" s="31">
        <v>1</v>
      </c>
      <c r="H1302" s="31" t="s">
        <v>642</v>
      </c>
      <c r="I1302" s="31" t="s">
        <v>302</v>
      </c>
      <c r="J1302" s="33">
        <v>500</v>
      </c>
      <c r="K1302" s="33">
        <v>200</v>
      </c>
      <c r="L1302" s="33">
        <v>100</v>
      </c>
      <c r="M1302" s="33">
        <f t="shared" si="160"/>
        <v>800</v>
      </c>
      <c r="N1302" s="34">
        <f t="shared" si="166"/>
        <v>4.19411188632279e-6</v>
      </c>
      <c r="O1302" s="35">
        <f>SUM($M$2:M1302)</f>
        <v>190702100</v>
      </c>
      <c r="P1302" s="34">
        <f t="shared" si="167"/>
        <v>0.999782430445897</v>
      </c>
      <c r="Q1302" s="37">
        <v>0</v>
      </c>
      <c r="R1302" s="31">
        <v>2</v>
      </c>
      <c r="S1302" s="31">
        <v>1</v>
      </c>
      <c r="T1302" s="31">
        <v>0</v>
      </c>
      <c r="U1302" s="37">
        <v>2.4</v>
      </c>
      <c r="V1302" s="31">
        <v>6</v>
      </c>
      <c r="W1302" s="31">
        <v>2</v>
      </c>
      <c r="X1302" s="38">
        <v>10</v>
      </c>
      <c r="Y1302" s="31">
        <v>1</v>
      </c>
      <c r="Z1302" s="31">
        <v>0</v>
      </c>
      <c r="AA1302" s="31" t="s">
        <v>199</v>
      </c>
      <c r="AB1302" s="31" t="s">
        <v>220</v>
      </c>
      <c r="AC1302" s="41">
        <f>IFERROR(LOOKUP(M1302,打分卡!$F$7:$J$7,打分卡!$K$7:$O$7),1)</f>
        <v>1</v>
      </c>
      <c r="AD1302" s="41">
        <f>IFERROR(LOOKUP(S1302,打分卡!$F$8:$J$8,打分卡!$K$8:$O$8),1)</f>
        <v>1</v>
      </c>
      <c r="AE1302" s="41">
        <f>IFERROR(LOOKUP(T1302,打分卡!$F$9:$I$9,打分卡!$K$9:$N$9),1)</f>
        <v>1</v>
      </c>
      <c r="AF1302" s="41">
        <f>IFERROR(LOOKUP(Q1302,打分卡!$F$10:$J$10,打分卡!$K$10:$O$10),1)</f>
        <v>1</v>
      </c>
      <c r="AG1302" s="41">
        <f>IFERROR(LOOKUP(R1302,打分卡!$F$11:$J$11,打分卡!$K$11:$O$11),1)</f>
        <v>1</v>
      </c>
      <c r="AH1302" s="41">
        <f>IFERROR(LOOKUP(U1302,打分卡!$F$12:$J$12,打分卡!$K$12:$O$12),1)</f>
        <v>1</v>
      </c>
      <c r="AI1302" s="41">
        <f>IFERROR(LOOKUP(X1302,打分卡!$F$13:$J$13,打分卡!$K$13:$O$13),1)</f>
        <v>1</v>
      </c>
      <c r="AJ1302" s="41">
        <f>IFERROR(LOOKUP(Y1302,打分卡!$F$14:$J$14,打分卡!$K$14:$O$14),1)</f>
        <v>2</v>
      </c>
      <c r="AK1302" s="41">
        <f>IFERROR(LOOKUP(W1302,打分卡!$F$15:$J$15,打分卡!$K$15:$O$15),1)</f>
        <v>2</v>
      </c>
      <c r="AL1302" s="43">
        <f t="shared" si="161"/>
        <v>5</v>
      </c>
      <c r="AM1302" s="41">
        <f>IFERROR(LOOKUP(Z1302,打分卡!$F$17:$H$17,打分卡!$K$17:$M$17),1)</f>
        <v>1</v>
      </c>
      <c r="AN1302" s="44">
        <f>(打分卡!$D$7*AC1302+打分卡!$D$8*AD1302+打分卡!$D$9*AE1302)/5</f>
        <v>8</v>
      </c>
      <c r="AO1302" s="44">
        <f>(打分卡!$D$10*AF1302+打分卡!$D$11*AG1302)/5</f>
        <v>4</v>
      </c>
      <c r="AP1302" s="44">
        <f>(打分卡!$D$12*AH1302+打分卡!$D$13*AI1302+打分卡!$D$14*AJ1302+打分卡!$D$15*AK1302)/5</f>
        <v>8</v>
      </c>
      <c r="AQ1302" s="44">
        <f>(打分卡!$D$16*AL1302+打分卡!$D$17*AM1302)/5</f>
        <v>6.8</v>
      </c>
      <c r="AR1302" s="47">
        <f t="shared" si="162"/>
        <v>29.4666666666667</v>
      </c>
      <c r="AS1302" s="43" t="str">
        <f t="shared" si="163"/>
        <v>基础长尾</v>
      </c>
      <c r="AT1302" s="43" t="str">
        <f t="shared" si="164"/>
        <v/>
      </c>
      <c r="AU1302" s="43" t="str">
        <f t="shared" si="165"/>
        <v>激活：企微+Push低成本先跑</v>
      </c>
    </row>
    <row r="1303" ht="15" customHeight="1" spans="1:47">
      <c r="A1303" s="20" t="s">
        <v>3395</v>
      </c>
      <c r="B1303" s="22" t="s">
        <v>3396</v>
      </c>
      <c r="C1303" s="22" t="s">
        <v>209</v>
      </c>
      <c r="D1303" s="22" t="s">
        <v>190</v>
      </c>
      <c r="E1303" s="22" t="s">
        <v>181</v>
      </c>
      <c r="F1303" s="20" t="s">
        <v>2895</v>
      </c>
      <c r="G1303" s="22">
        <v>1</v>
      </c>
      <c r="H1303" s="22" t="s">
        <v>642</v>
      </c>
      <c r="I1303" s="22" t="s">
        <v>302</v>
      </c>
      <c r="J1303" s="36">
        <v>400</v>
      </c>
      <c r="K1303" s="36">
        <v>300</v>
      </c>
      <c r="L1303" s="36">
        <v>100</v>
      </c>
      <c r="M1303" s="36">
        <f t="shared" si="160"/>
        <v>800</v>
      </c>
      <c r="N1303" s="34">
        <f t="shared" si="166"/>
        <v>4.19411188632279e-6</v>
      </c>
      <c r="O1303" s="35">
        <f>SUM($M$2:M1303)</f>
        <v>190702900</v>
      </c>
      <c r="P1303" s="34">
        <f t="shared" si="167"/>
        <v>0.999786624557783</v>
      </c>
      <c r="Q1303" s="39">
        <v>0.1</v>
      </c>
      <c r="R1303" s="22">
        <v>3</v>
      </c>
      <c r="S1303" s="22">
        <v>0</v>
      </c>
      <c r="T1303" s="22">
        <v>0</v>
      </c>
      <c r="U1303" s="39">
        <v>1.6</v>
      </c>
      <c r="V1303" s="22">
        <v>5</v>
      </c>
      <c r="W1303" s="22">
        <v>0</v>
      </c>
      <c r="X1303" s="40">
        <v>37</v>
      </c>
      <c r="Y1303" s="22">
        <v>1</v>
      </c>
      <c r="Z1303" s="22">
        <v>0</v>
      </c>
      <c r="AA1303" s="22" t="s">
        <v>199</v>
      </c>
      <c r="AB1303" s="22" t="s">
        <v>220</v>
      </c>
      <c r="AC1303" s="42">
        <f>IFERROR(LOOKUP(M1303,打分卡!$F$7:$J$7,打分卡!$K$7:$O$7),1)</f>
        <v>1</v>
      </c>
      <c r="AD1303" s="42">
        <f>IFERROR(LOOKUP(S1303,打分卡!$F$8:$J$8,打分卡!$K$8:$O$8),1)</f>
        <v>1</v>
      </c>
      <c r="AE1303" s="42">
        <f>IFERROR(LOOKUP(T1303,打分卡!$F$9:$I$9,打分卡!$K$9:$N$9),1)</f>
        <v>1</v>
      </c>
      <c r="AF1303" s="42">
        <f>IFERROR(LOOKUP(Q1303,打分卡!$F$10:$J$10,打分卡!$K$10:$O$10),1)</f>
        <v>1</v>
      </c>
      <c r="AG1303" s="42">
        <f>IFERROR(LOOKUP(R1303,打分卡!$F$11:$J$11,打分卡!$K$11:$O$11),1)</f>
        <v>2</v>
      </c>
      <c r="AH1303" s="42">
        <f>IFERROR(LOOKUP(U1303,打分卡!$F$12:$J$12,打分卡!$K$12:$O$12),1)</f>
        <v>1</v>
      </c>
      <c r="AI1303" s="42">
        <f>IFERROR(LOOKUP(X1303,打分卡!$F$13:$J$13,打分卡!$K$13:$O$13),1)</f>
        <v>2</v>
      </c>
      <c r="AJ1303" s="42">
        <f>IFERROR(LOOKUP(Y1303,打分卡!$F$14:$J$14,打分卡!$K$14:$O$14),1)</f>
        <v>2</v>
      </c>
      <c r="AK1303" s="42">
        <f>IFERROR(LOOKUP(W1303,打分卡!$F$15:$J$15,打分卡!$K$15:$O$15),1)</f>
        <v>1</v>
      </c>
      <c r="AL1303" s="45">
        <f t="shared" si="161"/>
        <v>5</v>
      </c>
      <c r="AM1303" s="42">
        <f>IFERROR(LOOKUP(Z1303,打分卡!$F$17:$H$17,打分卡!$K$17:$M$17),1)</f>
        <v>1</v>
      </c>
      <c r="AN1303" s="46">
        <f>(打分卡!$D$7*AC1303+打分卡!$D$8*AD1303+打分卡!$D$9*AE1303)/5</f>
        <v>8</v>
      </c>
      <c r="AO1303" s="46">
        <f>(打分卡!$D$10*AF1303+打分卡!$D$11*AG1303)/5</f>
        <v>6</v>
      </c>
      <c r="AP1303" s="46">
        <f>(打分卡!$D$12*AH1303+打分卡!$D$13*AI1303+打分卡!$D$14*AJ1303+打分卡!$D$15*AK1303)/5</f>
        <v>8.8</v>
      </c>
      <c r="AQ1303" s="46">
        <f>(打分卡!$D$16*AL1303+打分卡!$D$17*AM1303)/5</f>
        <v>6.8</v>
      </c>
      <c r="AR1303" s="48">
        <f t="shared" si="162"/>
        <v>33.3333333333333</v>
      </c>
      <c r="AS1303" s="45" t="str">
        <f t="shared" si="163"/>
        <v>基础长尾</v>
      </c>
      <c r="AT1303" s="45" t="str">
        <f t="shared" si="164"/>
        <v/>
      </c>
      <c r="AU1303" s="45" t="str">
        <f t="shared" si="165"/>
        <v>激活：企微+Push低成本先跑</v>
      </c>
    </row>
    <row r="1304" ht="15" customHeight="1" spans="1:47">
      <c r="A1304" s="30" t="s">
        <v>3397</v>
      </c>
      <c r="B1304" s="31" t="s">
        <v>3398</v>
      </c>
      <c r="C1304" s="31" t="s">
        <v>195</v>
      </c>
      <c r="D1304" s="31" t="s">
        <v>190</v>
      </c>
      <c r="E1304" s="31" t="s">
        <v>181</v>
      </c>
      <c r="F1304" s="30" t="s">
        <v>2998</v>
      </c>
      <c r="G1304" s="31">
        <v>2</v>
      </c>
      <c r="H1304" s="31" t="s">
        <v>642</v>
      </c>
      <c r="I1304" s="31" t="s">
        <v>302</v>
      </c>
      <c r="J1304" s="33">
        <v>400</v>
      </c>
      <c r="K1304" s="33">
        <v>200</v>
      </c>
      <c r="L1304" s="33">
        <v>200</v>
      </c>
      <c r="M1304" s="33">
        <f t="shared" si="160"/>
        <v>800</v>
      </c>
      <c r="N1304" s="34">
        <f t="shared" si="166"/>
        <v>4.19411188632279e-6</v>
      </c>
      <c r="O1304" s="35">
        <f>SUM($M$2:M1304)</f>
        <v>190703700</v>
      </c>
      <c r="P1304" s="34">
        <f t="shared" si="167"/>
        <v>0.99979081866967</v>
      </c>
      <c r="Q1304" s="37">
        <v>0.1</v>
      </c>
      <c r="R1304" s="31">
        <v>2</v>
      </c>
      <c r="S1304" s="31">
        <v>1</v>
      </c>
      <c r="T1304" s="31">
        <v>0</v>
      </c>
      <c r="U1304" s="37">
        <v>13.2</v>
      </c>
      <c r="V1304" s="31">
        <v>14</v>
      </c>
      <c r="W1304" s="31">
        <v>2</v>
      </c>
      <c r="X1304" s="38">
        <v>57</v>
      </c>
      <c r="Y1304" s="31">
        <v>1</v>
      </c>
      <c r="Z1304" s="31">
        <v>0</v>
      </c>
      <c r="AA1304" s="31" t="s">
        <v>199</v>
      </c>
      <c r="AB1304" s="31" t="s">
        <v>220</v>
      </c>
      <c r="AC1304" s="41">
        <f>IFERROR(LOOKUP(M1304,打分卡!$F$7:$J$7,打分卡!$K$7:$O$7),1)</f>
        <v>1</v>
      </c>
      <c r="AD1304" s="41">
        <f>IFERROR(LOOKUP(S1304,打分卡!$F$8:$J$8,打分卡!$K$8:$O$8),1)</f>
        <v>1</v>
      </c>
      <c r="AE1304" s="41">
        <f>IFERROR(LOOKUP(T1304,打分卡!$F$9:$I$9,打分卡!$K$9:$N$9),1)</f>
        <v>1</v>
      </c>
      <c r="AF1304" s="41">
        <f>IFERROR(LOOKUP(Q1304,打分卡!$F$10:$J$10,打分卡!$K$10:$O$10),1)</f>
        <v>1</v>
      </c>
      <c r="AG1304" s="41">
        <f>IFERROR(LOOKUP(R1304,打分卡!$F$11:$J$11,打分卡!$K$11:$O$11),1)</f>
        <v>1</v>
      </c>
      <c r="AH1304" s="41">
        <f>IFERROR(LOOKUP(U1304,打分卡!$F$12:$J$12,打分卡!$K$12:$O$12),1)</f>
        <v>3</v>
      </c>
      <c r="AI1304" s="41">
        <f>IFERROR(LOOKUP(X1304,打分卡!$F$13:$J$13,打分卡!$K$13:$O$13),1)</f>
        <v>3</v>
      </c>
      <c r="AJ1304" s="41">
        <f>IFERROR(LOOKUP(Y1304,打分卡!$F$14:$J$14,打分卡!$K$14:$O$14),1)</f>
        <v>2</v>
      </c>
      <c r="AK1304" s="41">
        <f>IFERROR(LOOKUP(W1304,打分卡!$F$15:$J$15,打分卡!$K$15:$O$15),1)</f>
        <v>2</v>
      </c>
      <c r="AL1304" s="43">
        <f t="shared" si="161"/>
        <v>5</v>
      </c>
      <c r="AM1304" s="41">
        <f>IFERROR(LOOKUP(Z1304,打分卡!$F$17:$H$17,打分卡!$K$17:$M$17),1)</f>
        <v>1</v>
      </c>
      <c r="AN1304" s="44">
        <f>(打分卡!$D$7*AC1304+打分卡!$D$8*AD1304+打分卡!$D$9*AE1304)/5</f>
        <v>8</v>
      </c>
      <c r="AO1304" s="44">
        <f>(打分卡!$D$10*AF1304+打分卡!$D$11*AG1304)/5</f>
        <v>4</v>
      </c>
      <c r="AP1304" s="44">
        <f>(打分卡!$D$12*AH1304+打分卡!$D$13*AI1304+打分卡!$D$14*AJ1304+打分卡!$D$15*AK1304)/5</f>
        <v>16</v>
      </c>
      <c r="AQ1304" s="44">
        <f>(打分卡!$D$16*AL1304+打分卡!$D$17*AM1304)/5</f>
        <v>6.8</v>
      </c>
      <c r="AR1304" s="47">
        <f t="shared" si="162"/>
        <v>48.1333333333333</v>
      </c>
      <c r="AS1304" s="43" t="str">
        <f t="shared" si="163"/>
        <v>腰部</v>
      </c>
      <c r="AT1304" s="43" t="str">
        <f t="shared" si="164"/>
        <v/>
      </c>
      <c r="AU1304" s="43" t="str">
        <f t="shared" si="165"/>
        <v>拉·主攻：主推AI外呼+大促作战包</v>
      </c>
    </row>
    <row r="1305" ht="15" customHeight="1" spans="1:47">
      <c r="A1305" s="20" t="s">
        <v>3399</v>
      </c>
      <c r="B1305" s="22" t="s">
        <v>3400</v>
      </c>
      <c r="C1305" s="22" t="s">
        <v>179</v>
      </c>
      <c r="D1305" s="22" t="s">
        <v>202</v>
      </c>
      <c r="E1305" s="22" t="s">
        <v>181</v>
      </c>
      <c r="F1305" s="20" t="s">
        <v>3262</v>
      </c>
      <c r="G1305" s="22">
        <v>1</v>
      </c>
      <c r="H1305" s="22" t="s">
        <v>642</v>
      </c>
      <c r="I1305" s="22" t="s">
        <v>302</v>
      </c>
      <c r="J1305" s="36">
        <v>400</v>
      </c>
      <c r="K1305" s="36">
        <v>200</v>
      </c>
      <c r="L1305" s="36">
        <v>200</v>
      </c>
      <c r="M1305" s="36">
        <f t="shared" si="160"/>
        <v>800</v>
      </c>
      <c r="N1305" s="34">
        <f t="shared" si="166"/>
        <v>4.19411188632279e-6</v>
      </c>
      <c r="O1305" s="35">
        <f>SUM($M$2:M1305)</f>
        <v>190704500</v>
      </c>
      <c r="P1305" s="34">
        <f t="shared" si="167"/>
        <v>0.999795012781556</v>
      </c>
      <c r="Q1305" s="39">
        <v>0.1</v>
      </c>
      <c r="R1305" s="22">
        <v>3</v>
      </c>
      <c r="S1305" s="22">
        <v>0</v>
      </c>
      <c r="T1305" s="22">
        <v>0</v>
      </c>
      <c r="U1305" s="39">
        <v>1</v>
      </c>
      <c r="V1305" s="22">
        <v>7</v>
      </c>
      <c r="W1305" s="22">
        <v>1</v>
      </c>
      <c r="X1305" s="40">
        <v>29</v>
      </c>
      <c r="Y1305" s="22">
        <v>1</v>
      </c>
      <c r="Z1305" s="22">
        <v>0</v>
      </c>
      <c r="AA1305" s="22" t="s">
        <v>199</v>
      </c>
      <c r="AB1305" s="22" t="s">
        <v>220</v>
      </c>
      <c r="AC1305" s="42">
        <f>IFERROR(LOOKUP(M1305,打分卡!$F$7:$J$7,打分卡!$K$7:$O$7),1)</f>
        <v>1</v>
      </c>
      <c r="AD1305" s="42">
        <f>IFERROR(LOOKUP(S1305,打分卡!$F$8:$J$8,打分卡!$K$8:$O$8),1)</f>
        <v>1</v>
      </c>
      <c r="AE1305" s="42">
        <f>IFERROR(LOOKUP(T1305,打分卡!$F$9:$I$9,打分卡!$K$9:$N$9),1)</f>
        <v>1</v>
      </c>
      <c r="AF1305" s="42">
        <f>IFERROR(LOOKUP(Q1305,打分卡!$F$10:$J$10,打分卡!$K$10:$O$10),1)</f>
        <v>1</v>
      </c>
      <c r="AG1305" s="42">
        <f>IFERROR(LOOKUP(R1305,打分卡!$F$11:$J$11,打分卡!$K$11:$O$11),1)</f>
        <v>2</v>
      </c>
      <c r="AH1305" s="42">
        <f>IFERROR(LOOKUP(U1305,打分卡!$F$12:$J$12,打分卡!$K$12:$O$12),1)</f>
        <v>1</v>
      </c>
      <c r="AI1305" s="42">
        <f>IFERROR(LOOKUP(X1305,打分卡!$F$13:$J$13,打分卡!$K$13:$O$13),1)</f>
        <v>2</v>
      </c>
      <c r="AJ1305" s="42">
        <f>IFERROR(LOOKUP(Y1305,打分卡!$F$14:$J$14,打分卡!$K$14:$O$14),1)</f>
        <v>2</v>
      </c>
      <c r="AK1305" s="42">
        <f>IFERROR(LOOKUP(W1305,打分卡!$F$15:$J$15,打分卡!$K$15:$O$15),1)</f>
        <v>2</v>
      </c>
      <c r="AL1305" s="45">
        <f t="shared" si="161"/>
        <v>5</v>
      </c>
      <c r="AM1305" s="42">
        <f>IFERROR(LOOKUP(Z1305,打分卡!$F$17:$H$17,打分卡!$K$17:$M$17),1)</f>
        <v>1</v>
      </c>
      <c r="AN1305" s="46">
        <f>(打分卡!$D$7*AC1305+打分卡!$D$8*AD1305+打分卡!$D$9*AE1305)/5</f>
        <v>8</v>
      </c>
      <c r="AO1305" s="46">
        <f>(打分卡!$D$10*AF1305+打分卡!$D$11*AG1305)/5</f>
        <v>6</v>
      </c>
      <c r="AP1305" s="46">
        <f>(打分卡!$D$12*AH1305+打分卡!$D$13*AI1305+打分卡!$D$14*AJ1305+打分卡!$D$15*AK1305)/5</f>
        <v>9.6</v>
      </c>
      <c r="AQ1305" s="46">
        <f>(打分卡!$D$16*AL1305+打分卡!$D$17*AM1305)/5</f>
        <v>6.8</v>
      </c>
      <c r="AR1305" s="48">
        <f t="shared" si="162"/>
        <v>35.2</v>
      </c>
      <c r="AS1305" s="45" t="str">
        <f t="shared" si="163"/>
        <v>基础长尾</v>
      </c>
      <c r="AT1305" s="45" t="str">
        <f t="shared" si="164"/>
        <v/>
      </c>
      <c r="AU1305" s="45" t="str">
        <f t="shared" si="165"/>
        <v>激活：企微+Push低成本先跑</v>
      </c>
    </row>
    <row r="1306" ht="15" customHeight="1" spans="1:47">
      <c r="A1306" s="30" t="s">
        <v>3401</v>
      </c>
      <c r="B1306" s="31" t="s">
        <v>3402</v>
      </c>
      <c r="C1306" s="31" t="s">
        <v>195</v>
      </c>
      <c r="D1306" s="31" t="s">
        <v>190</v>
      </c>
      <c r="E1306" s="31" t="s">
        <v>181</v>
      </c>
      <c r="F1306" s="30" t="s">
        <v>2841</v>
      </c>
      <c r="G1306" s="31">
        <v>1</v>
      </c>
      <c r="H1306" s="31" t="s">
        <v>642</v>
      </c>
      <c r="I1306" s="31" t="s">
        <v>302</v>
      </c>
      <c r="J1306" s="33">
        <v>400</v>
      </c>
      <c r="K1306" s="33">
        <v>200</v>
      </c>
      <c r="L1306" s="33">
        <v>200</v>
      </c>
      <c r="M1306" s="33">
        <f t="shared" si="160"/>
        <v>800</v>
      </c>
      <c r="N1306" s="34">
        <f t="shared" si="166"/>
        <v>4.19411188632279e-6</v>
      </c>
      <c r="O1306" s="35">
        <f>SUM($M$2:M1306)</f>
        <v>190705300</v>
      </c>
      <c r="P1306" s="34">
        <f t="shared" si="167"/>
        <v>0.999799206893442</v>
      </c>
      <c r="Q1306" s="37">
        <v>0.1</v>
      </c>
      <c r="R1306" s="31">
        <v>1</v>
      </c>
      <c r="S1306" s="31">
        <v>0</v>
      </c>
      <c r="T1306" s="31">
        <v>0</v>
      </c>
      <c r="U1306" s="37">
        <v>21.5</v>
      </c>
      <c r="V1306" s="31">
        <v>15</v>
      </c>
      <c r="W1306" s="31">
        <v>2</v>
      </c>
      <c r="X1306" s="38">
        <v>73</v>
      </c>
      <c r="Y1306" s="31">
        <v>1</v>
      </c>
      <c r="Z1306" s="31">
        <v>0</v>
      </c>
      <c r="AA1306" s="31" t="s">
        <v>199</v>
      </c>
      <c r="AB1306" s="31" t="s">
        <v>220</v>
      </c>
      <c r="AC1306" s="41">
        <f>IFERROR(LOOKUP(M1306,打分卡!$F$7:$J$7,打分卡!$K$7:$O$7),1)</f>
        <v>1</v>
      </c>
      <c r="AD1306" s="41">
        <f>IFERROR(LOOKUP(S1306,打分卡!$F$8:$J$8,打分卡!$K$8:$O$8),1)</f>
        <v>1</v>
      </c>
      <c r="AE1306" s="41">
        <f>IFERROR(LOOKUP(T1306,打分卡!$F$9:$I$9,打分卡!$K$9:$N$9),1)</f>
        <v>1</v>
      </c>
      <c r="AF1306" s="41">
        <f>IFERROR(LOOKUP(Q1306,打分卡!$F$10:$J$10,打分卡!$K$10:$O$10),1)</f>
        <v>1</v>
      </c>
      <c r="AG1306" s="41">
        <f>IFERROR(LOOKUP(R1306,打分卡!$F$11:$J$11,打分卡!$K$11:$O$11),1)</f>
        <v>1</v>
      </c>
      <c r="AH1306" s="41">
        <f>IFERROR(LOOKUP(U1306,打分卡!$F$12:$J$12,打分卡!$K$12:$O$12),1)</f>
        <v>3</v>
      </c>
      <c r="AI1306" s="41">
        <f>IFERROR(LOOKUP(X1306,打分卡!$F$13:$J$13,打分卡!$K$13:$O$13),1)</f>
        <v>3</v>
      </c>
      <c r="AJ1306" s="41">
        <f>IFERROR(LOOKUP(Y1306,打分卡!$F$14:$J$14,打分卡!$K$14:$O$14),1)</f>
        <v>2</v>
      </c>
      <c r="AK1306" s="41">
        <f>IFERROR(LOOKUP(W1306,打分卡!$F$15:$J$15,打分卡!$K$15:$O$15),1)</f>
        <v>2</v>
      </c>
      <c r="AL1306" s="43">
        <f t="shared" si="161"/>
        <v>5</v>
      </c>
      <c r="AM1306" s="41">
        <f>IFERROR(LOOKUP(Z1306,打分卡!$F$17:$H$17,打分卡!$K$17:$M$17),1)</f>
        <v>1</v>
      </c>
      <c r="AN1306" s="44">
        <f>(打分卡!$D$7*AC1306+打分卡!$D$8*AD1306+打分卡!$D$9*AE1306)/5</f>
        <v>8</v>
      </c>
      <c r="AO1306" s="44">
        <f>(打分卡!$D$10*AF1306+打分卡!$D$11*AG1306)/5</f>
        <v>4</v>
      </c>
      <c r="AP1306" s="44">
        <f>(打分卡!$D$12*AH1306+打分卡!$D$13*AI1306+打分卡!$D$14*AJ1306+打分卡!$D$15*AK1306)/5</f>
        <v>16</v>
      </c>
      <c r="AQ1306" s="44">
        <f>(打分卡!$D$16*AL1306+打分卡!$D$17*AM1306)/5</f>
        <v>6.8</v>
      </c>
      <c r="AR1306" s="47">
        <f t="shared" si="162"/>
        <v>48.1333333333333</v>
      </c>
      <c r="AS1306" s="43" t="str">
        <f t="shared" si="163"/>
        <v>腰部</v>
      </c>
      <c r="AT1306" s="43" t="str">
        <f t="shared" si="164"/>
        <v/>
      </c>
      <c r="AU1306" s="43" t="str">
        <f t="shared" si="165"/>
        <v>拉·主攻：主推AI外呼+大促作战包</v>
      </c>
    </row>
    <row r="1307" ht="15" customHeight="1" spans="1:47">
      <c r="A1307" s="20" t="s">
        <v>3403</v>
      </c>
      <c r="B1307" s="22" t="s">
        <v>3404</v>
      </c>
      <c r="C1307" s="22" t="s">
        <v>234</v>
      </c>
      <c r="D1307" s="22" t="s">
        <v>227</v>
      </c>
      <c r="E1307" s="22" t="s">
        <v>197</v>
      </c>
      <c r="F1307" s="20" t="s">
        <v>2888</v>
      </c>
      <c r="G1307" s="22">
        <v>1</v>
      </c>
      <c r="H1307" s="22" t="s">
        <v>642</v>
      </c>
      <c r="I1307" s="22" t="s">
        <v>302</v>
      </c>
      <c r="J1307" s="36">
        <v>500</v>
      </c>
      <c r="K1307" s="36">
        <v>300</v>
      </c>
      <c r="L1307" s="36">
        <v>0</v>
      </c>
      <c r="M1307" s="36">
        <f t="shared" si="160"/>
        <v>800</v>
      </c>
      <c r="N1307" s="34">
        <f t="shared" si="166"/>
        <v>4.19411188632279e-6</v>
      </c>
      <c r="O1307" s="35">
        <f>SUM($M$2:M1307)</f>
        <v>190706100</v>
      </c>
      <c r="P1307" s="34">
        <f t="shared" si="167"/>
        <v>0.999803401005329</v>
      </c>
      <c r="Q1307" s="39">
        <v>0.1</v>
      </c>
      <c r="R1307" s="22">
        <v>1</v>
      </c>
      <c r="S1307" s="22">
        <v>0</v>
      </c>
      <c r="T1307" s="22">
        <v>0</v>
      </c>
      <c r="U1307" s="39">
        <v>32.6</v>
      </c>
      <c r="V1307" s="22">
        <v>10</v>
      </c>
      <c r="W1307" s="22">
        <v>0</v>
      </c>
      <c r="X1307" s="40">
        <v>12</v>
      </c>
      <c r="Y1307" s="22">
        <v>0</v>
      </c>
      <c r="Z1307" s="22">
        <v>0</v>
      </c>
      <c r="AA1307" s="22" t="s">
        <v>199</v>
      </c>
      <c r="AB1307" s="22" t="s">
        <v>220</v>
      </c>
      <c r="AC1307" s="42">
        <f>IFERROR(LOOKUP(M1307,打分卡!$F$7:$J$7,打分卡!$K$7:$O$7),1)</f>
        <v>1</v>
      </c>
      <c r="AD1307" s="42">
        <f>IFERROR(LOOKUP(S1307,打分卡!$F$8:$J$8,打分卡!$K$8:$O$8),1)</f>
        <v>1</v>
      </c>
      <c r="AE1307" s="42">
        <f>IFERROR(LOOKUP(T1307,打分卡!$F$9:$I$9,打分卡!$K$9:$N$9),1)</f>
        <v>1</v>
      </c>
      <c r="AF1307" s="42">
        <f>IFERROR(LOOKUP(Q1307,打分卡!$F$10:$J$10,打分卡!$K$10:$O$10),1)</f>
        <v>1</v>
      </c>
      <c r="AG1307" s="42">
        <f>IFERROR(LOOKUP(R1307,打分卡!$F$11:$J$11,打分卡!$K$11:$O$11),1)</f>
        <v>1</v>
      </c>
      <c r="AH1307" s="42">
        <f>IFERROR(LOOKUP(U1307,打分卡!$F$12:$J$12,打分卡!$K$12:$O$12),1)</f>
        <v>3</v>
      </c>
      <c r="AI1307" s="42">
        <f>IFERROR(LOOKUP(X1307,打分卡!$F$13:$J$13,打分卡!$K$13:$O$13),1)</f>
        <v>1</v>
      </c>
      <c r="AJ1307" s="42">
        <f>IFERROR(LOOKUP(Y1307,打分卡!$F$14:$J$14,打分卡!$K$14:$O$14),1)</f>
        <v>1</v>
      </c>
      <c r="AK1307" s="42">
        <f>IFERROR(LOOKUP(W1307,打分卡!$F$15:$J$15,打分卡!$K$15:$O$15),1)</f>
        <v>1</v>
      </c>
      <c r="AL1307" s="45">
        <f t="shared" si="161"/>
        <v>5</v>
      </c>
      <c r="AM1307" s="42">
        <f>IFERROR(LOOKUP(Z1307,打分卡!$F$17:$H$17,打分卡!$K$17:$M$17),1)</f>
        <v>1</v>
      </c>
      <c r="AN1307" s="46">
        <f>(打分卡!$D$7*AC1307+打分卡!$D$8*AD1307+打分卡!$D$9*AE1307)/5</f>
        <v>8</v>
      </c>
      <c r="AO1307" s="46">
        <f>(打分卡!$D$10*AF1307+打分卡!$D$11*AG1307)/5</f>
        <v>4</v>
      </c>
      <c r="AP1307" s="46">
        <f>(打分卡!$D$12*AH1307+打分卡!$D$13*AI1307+打分卡!$D$14*AJ1307+打分卡!$D$15*AK1307)/5</f>
        <v>10.8</v>
      </c>
      <c r="AQ1307" s="46">
        <f>(打分卡!$D$16*AL1307+打分卡!$D$17*AM1307)/5</f>
        <v>6.8</v>
      </c>
      <c r="AR1307" s="48">
        <f t="shared" si="162"/>
        <v>36</v>
      </c>
      <c r="AS1307" s="45" t="str">
        <f t="shared" si="163"/>
        <v>基础长尾</v>
      </c>
      <c r="AT1307" s="45" t="str">
        <f t="shared" si="164"/>
        <v/>
      </c>
      <c r="AU1307" s="45" t="str">
        <f t="shared" si="165"/>
        <v>激活：企微+Push低成本先跑</v>
      </c>
    </row>
    <row r="1308" ht="15" customHeight="1" spans="1:47">
      <c r="A1308" s="30" t="s">
        <v>3405</v>
      </c>
      <c r="B1308" s="31" t="s">
        <v>3406</v>
      </c>
      <c r="C1308" s="31" t="s">
        <v>195</v>
      </c>
      <c r="D1308" s="31" t="s">
        <v>196</v>
      </c>
      <c r="E1308" s="31" t="s">
        <v>181</v>
      </c>
      <c r="F1308" s="30" t="s">
        <v>1166</v>
      </c>
      <c r="G1308" s="31">
        <v>3</v>
      </c>
      <c r="H1308" s="31" t="s">
        <v>642</v>
      </c>
      <c r="I1308" s="31" t="s">
        <v>302</v>
      </c>
      <c r="J1308" s="33">
        <v>500</v>
      </c>
      <c r="K1308" s="33">
        <v>200</v>
      </c>
      <c r="L1308" s="33">
        <v>100</v>
      </c>
      <c r="M1308" s="33">
        <f t="shared" si="160"/>
        <v>800</v>
      </c>
      <c r="N1308" s="34">
        <f t="shared" si="166"/>
        <v>4.19411188632279e-6</v>
      </c>
      <c r="O1308" s="35">
        <f>SUM($M$2:M1308)</f>
        <v>190706900</v>
      </c>
      <c r="P1308" s="34">
        <f t="shared" si="167"/>
        <v>0.999807595117215</v>
      </c>
      <c r="Q1308" s="37">
        <v>0.1</v>
      </c>
      <c r="R1308" s="31">
        <v>1</v>
      </c>
      <c r="S1308" s="31">
        <v>0</v>
      </c>
      <c r="T1308" s="31">
        <v>0</v>
      </c>
      <c r="U1308" s="37">
        <v>14.3</v>
      </c>
      <c r="V1308" s="31">
        <v>15</v>
      </c>
      <c r="W1308" s="31">
        <v>0</v>
      </c>
      <c r="X1308" s="38">
        <v>37</v>
      </c>
      <c r="Y1308" s="31">
        <v>0</v>
      </c>
      <c r="Z1308" s="31">
        <v>0</v>
      </c>
      <c r="AA1308" s="31" t="s">
        <v>199</v>
      </c>
      <c r="AB1308" s="31" t="s">
        <v>220</v>
      </c>
      <c r="AC1308" s="41">
        <f>IFERROR(LOOKUP(M1308,打分卡!$F$7:$J$7,打分卡!$K$7:$O$7),1)</f>
        <v>1</v>
      </c>
      <c r="AD1308" s="41">
        <f>IFERROR(LOOKUP(S1308,打分卡!$F$8:$J$8,打分卡!$K$8:$O$8),1)</f>
        <v>1</v>
      </c>
      <c r="AE1308" s="41">
        <f>IFERROR(LOOKUP(T1308,打分卡!$F$9:$I$9,打分卡!$K$9:$N$9),1)</f>
        <v>1</v>
      </c>
      <c r="AF1308" s="41">
        <f>IFERROR(LOOKUP(Q1308,打分卡!$F$10:$J$10,打分卡!$K$10:$O$10),1)</f>
        <v>1</v>
      </c>
      <c r="AG1308" s="41">
        <f>IFERROR(LOOKUP(R1308,打分卡!$F$11:$J$11,打分卡!$K$11:$O$11),1)</f>
        <v>1</v>
      </c>
      <c r="AH1308" s="41">
        <f>IFERROR(LOOKUP(U1308,打分卡!$F$12:$J$12,打分卡!$K$12:$O$12),1)</f>
        <v>3</v>
      </c>
      <c r="AI1308" s="41">
        <f>IFERROR(LOOKUP(X1308,打分卡!$F$13:$J$13,打分卡!$K$13:$O$13),1)</f>
        <v>2</v>
      </c>
      <c r="AJ1308" s="41">
        <f>IFERROR(LOOKUP(Y1308,打分卡!$F$14:$J$14,打分卡!$K$14:$O$14),1)</f>
        <v>1</v>
      </c>
      <c r="AK1308" s="41">
        <f>IFERROR(LOOKUP(W1308,打分卡!$F$15:$J$15,打分卡!$K$15:$O$15),1)</f>
        <v>1</v>
      </c>
      <c r="AL1308" s="43">
        <f t="shared" si="161"/>
        <v>5</v>
      </c>
      <c r="AM1308" s="41">
        <f>IFERROR(LOOKUP(Z1308,打分卡!$F$17:$H$17,打分卡!$K$17:$M$17),1)</f>
        <v>1</v>
      </c>
      <c r="AN1308" s="44">
        <f>(打分卡!$D$7*AC1308+打分卡!$D$8*AD1308+打分卡!$D$9*AE1308)/5</f>
        <v>8</v>
      </c>
      <c r="AO1308" s="44">
        <f>(打分卡!$D$10*AF1308+打分卡!$D$11*AG1308)/5</f>
        <v>4</v>
      </c>
      <c r="AP1308" s="44">
        <f>(打分卡!$D$12*AH1308+打分卡!$D$13*AI1308+打分卡!$D$14*AJ1308+打分卡!$D$15*AK1308)/5</f>
        <v>12.4</v>
      </c>
      <c r="AQ1308" s="44">
        <f>(打分卡!$D$16*AL1308+打分卡!$D$17*AM1308)/5</f>
        <v>6.8</v>
      </c>
      <c r="AR1308" s="47">
        <f t="shared" si="162"/>
        <v>31.2</v>
      </c>
      <c r="AS1308" s="43" t="str">
        <f t="shared" si="163"/>
        <v>基础长尾</v>
      </c>
      <c r="AT1308" s="43" t="str">
        <f t="shared" si="164"/>
        <v/>
      </c>
      <c r="AU1308" s="43" t="str">
        <f t="shared" si="165"/>
        <v>激活：企微+Push低成本先跑</v>
      </c>
    </row>
    <row r="1309" ht="15" customHeight="1" spans="1:47">
      <c r="A1309" s="20" t="s">
        <v>3407</v>
      </c>
      <c r="B1309" s="22" t="s">
        <v>3408</v>
      </c>
      <c r="C1309" s="22" t="s">
        <v>239</v>
      </c>
      <c r="D1309" s="22" t="s">
        <v>196</v>
      </c>
      <c r="E1309" s="22" t="s">
        <v>181</v>
      </c>
      <c r="F1309" s="20" t="s">
        <v>2806</v>
      </c>
      <c r="G1309" s="22">
        <v>3</v>
      </c>
      <c r="H1309" s="22" t="s">
        <v>642</v>
      </c>
      <c r="I1309" s="22" t="s">
        <v>302</v>
      </c>
      <c r="J1309" s="36">
        <v>300</v>
      </c>
      <c r="K1309" s="36">
        <v>200</v>
      </c>
      <c r="L1309" s="36">
        <v>200</v>
      </c>
      <c r="M1309" s="36">
        <f t="shared" si="160"/>
        <v>700</v>
      </c>
      <c r="N1309" s="34">
        <f t="shared" si="166"/>
        <v>3.66984790053244e-6</v>
      </c>
      <c r="O1309" s="35">
        <f>SUM($M$2:M1309)</f>
        <v>190707600</v>
      </c>
      <c r="P1309" s="34">
        <f t="shared" si="167"/>
        <v>0.999811264965116</v>
      </c>
      <c r="Q1309" s="39">
        <v>0.1</v>
      </c>
      <c r="R1309" s="22">
        <v>2</v>
      </c>
      <c r="S1309" s="22">
        <v>1</v>
      </c>
      <c r="T1309" s="22">
        <v>0</v>
      </c>
      <c r="U1309" s="39">
        <v>1.7</v>
      </c>
      <c r="V1309" s="22">
        <v>0</v>
      </c>
      <c r="W1309" s="22">
        <v>2</v>
      </c>
      <c r="X1309" s="40">
        <v>32</v>
      </c>
      <c r="Y1309" s="22">
        <v>0</v>
      </c>
      <c r="Z1309" s="22">
        <v>0</v>
      </c>
      <c r="AA1309" s="22" t="s">
        <v>199</v>
      </c>
      <c r="AB1309" s="22" t="s">
        <v>220</v>
      </c>
      <c r="AC1309" s="42">
        <f>IFERROR(LOOKUP(M1309,打分卡!$F$7:$J$7,打分卡!$K$7:$O$7),1)</f>
        <v>1</v>
      </c>
      <c r="AD1309" s="42">
        <f>IFERROR(LOOKUP(S1309,打分卡!$F$8:$J$8,打分卡!$K$8:$O$8),1)</f>
        <v>1</v>
      </c>
      <c r="AE1309" s="42">
        <f>IFERROR(LOOKUP(T1309,打分卡!$F$9:$I$9,打分卡!$K$9:$N$9),1)</f>
        <v>1</v>
      </c>
      <c r="AF1309" s="42">
        <f>IFERROR(LOOKUP(Q1309,打分卡!$F$10:$J$10,打分卡!$K$10:$O$10),1)</f>
        <v>1</v>
      </c>
      <c r="AG1309" s="42">
        <f>IFERROR(LOOKUP(R1309,打分卡!$F$11:$J$11,打分卡!$K$11:$O$11),1)</f>
        <v>1</v>
      </c>
      <c r="AH1309" s="42">
        <f>IFERROR(LOOKUP(U1309,打分卡!$F$12:$J$12,打分卡!$K$12:$O$12),1)</f>
        <v>1</v>
      </c>
      <c r="AI1309" s="42">
        <f>IFERROR(LOOKUP(X1309,打分卡!$F$13:$J$13,打分卡!$K$13:$O$13),1)</f>
        <v>2</v>
      </c>
      <c r="AJ1309" s="42">
        <f>IFERROR(LOOKUP(Y1309,打分卡!$F$14:$J$14,打分卡!$K$14:$O$14),1)</f>
        <v>1</v>
      </c>
      <c r="AK1309" s="42">
        <f>IFERROR(LOOKUP(W1309,打分卡!$F$15:$J$15,打分卡!$K$15:$O$15),1)</f>
        <v>2</v>
      </c>
      <c r="AL1309" s="45">
        <f t="shared" si="161"/>
        <v>5</v>
      </c>
      <c r="AM1309" s="42">
        <f>IFERROR(LOOKUP(Z1309,打分卡!$F$17:$H$17,打分卡!$K$17:$M$17),1)</f>
        <v>1</v>
      </c>
      <c r="AN1309" s="46">
        <f>(打分卡!$D$7*AC1309+打分卡!$D$8*AD1309+打分卡!$D$9*AE1309)/5</f>
        <v>8</v>
      </c>
      <c r="AO1309" s="46">
        <f>(打分卡!$D$10*AF1309+打分卡!$D$11*AG1309)/5</f>
        <v>4</v>
      </c>
      <c r="AP1309" s="46">
        <f>(打分卡!$D$12*AH1309+打分卡!$D$13*AI1309+打分卡!$D$14*AJ1309+打分卡!$D$15*AK1309)/5</f>
        <v>8.4</v>
      </c>
      <c r="AQ1309" s="46">
        <f>(打分卡!$D$16*AL1309+打分卡!$D$17*AM1309)/5</f>
        <v>6.8</v>
      </c>
      <c r="AR1309" s="48">
        <f t="shared" si="162"/>
        <v>27.2</v>
      </c>
      <c r="AS1309" s="45" t="str">
        <f t="shared" si="163"/>
        <v>基础长尾</v>
      </c>
      <c r="AT1309" s="45" t="str">
        <f t="shared" si="164"/>
        <v/>
      </c>
      <c r="AU1309" s="45" t="str">
        <f t="shared" si="165"/>
        <v>激活：企微+Push低成本先跑</v>
      </c>
    </row>
    <row r="1310" ht="15" customHeight="1" spans="1:47">
      <c r="A1310" s="30" t="s">
        <v>3409</v>
      </c>
      <c r="B1310" s="31" t="s">
        <v>3410</v>
      </c>
      <c r="C1310" s="31" t="s">
        <v>189</v>
      </c>
      <c r="D1310" s="31" t="s">
        <v>196</v>
      </c>
      <c r="E1310" s="31" t="s">
        <v>181</v>
      </c>
      <c r="F1310" s="30" t="s">
        <v>3218</v>
      </c>
      <c r="G1310" s="31">
        <v>2</v>
      </c>
      <c r="H1310" s="31" t="s">
        <v>642</v>
      </c>
      <c r="I1310" s="31" t="s">
        <v>302</v>
      </c>
      <c r="J1310" s="33">
        <v>500</v>
      </c>
      <c r="K1310" s="33">
        <v>200</v>
      </c>
      <c r="L1310" s="33">
        <v>100</v>
      </c>
      <c r="M1310" s="33">
        <f t="shared" si="160"/>
        <v>800</v>
      </c>
      <c r="N1310" s="34">
        <f t="shared" si="166"/>
        <v>4.19411188632279e-6</v>
      </c>
      <c r="O1310" s="35">
        <f>SUM($M$2:M1310)</f>
        <v>190708400</v>
      </c>
      <c r="P1310" s="34">
        <f t="shared" si="167"/>
        <v>0.999815459077002</v>
      </c>
      <c r="Q1310" s="37">
        <v>0.1</v>
      </c>
      <c r="R1310" s="31">
        <v>2</v>
      </c>
      <c r="S1310" s="31">
        <v>1</v>
      </c>
      <c r="T1310" s="31">
        <v>0</v>
      </c>
      <c r="U1310" s="37">
        <v>5.7</v>
      </c>
      <c r="V1310" s="31">
        <v>7</v>
      </c>
      <c r="W1310" s="31">
        <v>0</v>
      </c>
      <c r="X1310" s="38">
        <v>23</v>
      </c>
      <c r="Y1310" s="31">
        <v>0</v>
      </c>
      <c r="Z1310" s="31">
        <v>0</v>
      </c>
      <c r="AA1310" s="31" t="s">
        <v>199</v>
      </c>
      <c r="AB1310" s="31" t="s">
        <v>220</v>
      </c>
      <c r="AC1310" s="41">
        <f>IFERROR(LOOKUP(M1310,打分卡!$F$7:$J$7,打分卡!$K$7:$O$7),1)</f>
        <v>1</v>
      </c>
      <c r="AD1310" s="41">
        <f>IFERROR(LOOKUP(S1310,打分卡!$F$8:$J$8,打分卡!$K$8:$O$8),1)</f>
        <v>1</v>
      </c>
      <c r="AE1310" s="41">
        <f>IFERROR(LOOKUP(T1310,打分卡!$F$9:$I$9,打分卡!$K$9:$N$9),1)</f>
        <v>1</v>
      </c>
      <c r="AF1310" s="41">
        <f>IFERROR(LOOKUP(Q1310,打分卡!$F$10:$J$10,打分卡!$K$10:$O$10),1)</f>
        <v>1</v>
      </c>
      <c r="AG1310" s="41">
        <f>IFERROR(LOOKUP(R1310,打分卡!$F$11:$J$11,打分卡!$K$11:$O$11),1)</f>
        <v>1</v>
      </c>
      <c r="AH1310" s="41">
        <f>IFERROR(LOOKUP(U1310,打分卡!$F$12:$J$12,打分卡!$K$12:$O$12),1)</f>
        <v>2</v>
      </c>
      <c r="AI1310" s="41">
        <f>IFERROR(LOOKUP(X1310,打分卡!$F$13:$J$13,打分卡!$K$13:$O$13),1)</f>
        <v>2</v>
      </c>
      <c r="AJ1310" s="41">
        <f>IFERROR(LOOKUP(Y1310,打分卡!$F$14:$J$14,打分卡!$K$14:$O$14),1)</f>
        <v>1</v>
      </c>
      <c r="AK1310" s="41">
        <f>IFERROR(LOOKUP(W1310,打分卡!$F$15:$J$15,打分卡!$K$15:$O$15),1)</f>
        <v>1</v>
      </c>
      <c r="AL1310" s="43">
        <f t="shared" si="161"/>
        <v>5</v>
      </c>
      <c r="AM1310" s="41">
        <f>IFERROR(LOOKUP(Z1310,打分卡!$F$17:$H$17,打分卡!$K$17:$M$17),1)</f>
        <v>1</v>
      </c>
      <c r="AN1310" s="44">
        <f>(打分卡!$D$7*AC1310+打分卡!$D$8*AD1310+打分卡!$D$9*AE1310)/5</f>
        <v>8</v>
      </c>
      <c r="AO1310" s="44">
        <f>(打分卡!$D$10*AF1310+打分卡!$D$11*AG1310)/5</f>
        <v>4</v>
      </c>
      <c r="AP1310" s="44">
        <f>(打分卡!$D$12*AH1310+打分卡!$D$13*AI1310+打分卡!$D$14*AJ1310+打分卡!$D$15*AK1310)/5</f>
        <v>10</v>
      </c>
      <c r="AQ1310" s="44">
        <f>(打分卡!$D$16*AL1310+打分卡!$D$17*AM1310)/5</f>
        <v>6.8</v>
      </c>
      <c r="AR1310" s="47">
        <f t="shared" si="162"/>
        <v>34.1333333333333</v>
      </c>
      <c r="AS1310" s="43" t="str">
        <f t="shared" si="163"/>
        <v>基础长尾</v>
      </c>
      <c r="AT1310" s="43" t="str">
        <f t="shared" si="164"/>
        <v/>
      </c>
      <c r="AU1310" s="43" t="str">
        <f t="shared" si="165"/>
        <v>激活：企微+Push低成本先跑</v>
      </c>
    </row>
    <row r="1311" ht="15" customHeight="1" spans="1:47">
      <c r="A1311" s="20" t="s">
        <v>3411</v>
      </c>
      <c r="B1311" s="22" t="s">
        <v>3412</v>
      </c>
      <c r="C1311" s="22" t="s">
        <v>179</v>
      </c>
      <c r="D1311" s="22" t="s">
        <v>190</v>
      </c>
      <c r="E1311" s="22" t="s">
        <v>181</v>
      </c>
      <c r="F1311" s="20" t="s">
        <v>2325</v>
      </c>
      <c r="G1311" s="22">
        <v>2</v>
      </c>
      <c r="H1311" s="22" t="s">
        <v>642</v>
      </c>
      <c r="I1311" s="22" t="s">
        <v>302</v>
      </c>
      <c r="J1311" s="36">
        <v>400</v>
      </c>
      <c r="K1311" s="36">
        <v>200</v>
      </c>
      <c r="L1311" s="36">
        <v>100</v>
      </c>
      <c r="M1311" s="36">
        <f t="shared" si="160"/>
        <v>700</v>
      </c>
      <c r="N1311" s="34">
        <f t="shared" si="166"/>
        <v>3.66984790053244e-6</v>
      </c>
      <c r="O1311" s="35">
        <f>SUM($M$2:M1311)</f>
        <v>190709100</v>
      </c>
      <c r="P1311" s="34">
        <f t="shared" si="167"/>
        <v>0.999819128924902</v>
      </c>
      <c r="Q1311" s="39">
        <v>0.1</v>
      </c>
      <c r="R1311" s="22">
        <v>2</v>
      </c>
      <c r="S1311" s="22">
        <v>1</v>
      </c>
      <c r="T1311" s="22">
        <v>0</v>
      </c>
      <c r="U1311" s="39">
        <v>24.9</v>
      </c>
      <c r="V1311" s="22">
        <v>11</v>
      </c>
      <c r="W1311" s="22">
        <v>2</v>
      </c>
      <c r="X1311" s="40">
        <v>28</v>
      </c>
      <c r="Y1311" s="22">
        <v>1</v>
      </c>
      <c r="Z1311" s="22">
        <v>0</v>
      </c>
      <c r="AA1311" s="22" t="s">
        <v>199</v>
      </c>
      <c r="AB1311" s="22" t="s">
        <v>220</v>
      </c>
      <c r="AC1311" s="42">
        <f>IFERROR(LOOKUP(M1311,打分卡!$F$7:$J$7,打分卡!$K$7:$O$7),1)</f>
        <v>1</v>
      </c>
      <c r="AD1311" s="42">
        <f>IFERROR(LOOKUP(S1311,打分卡!$F$8:$J$8,打分卡!$K$8:$O$8),1)</f>
        <v>1</v>
      </c>
      <c r="AE1311" s="42">
        <f>IFERROR(LOOKUP(T1311,打分卡!$F$9:$I$9,打分卡!$K$9:$N$9),1)</f>
        <v>1</v>
      </c>
      <c r="AF1311" s="42">
        <f>IFERROR(LOOKUP(Q1311,打分卡!$F$10:$J$10,打分卡!$K$10:$O$10),1)</f>
        <v>1</v>
      </c>
      <c r="AG1311" s="42">
        <f>IFERROR(LOOKUP(R1311,打分卡!$F$11:$J$11,打分卡!$K$11:$O$11),1)</f>
        <v>1</v>
      </c>
      <c r="AH1311" s="42">
        <f>IFERROR(LOOKUP(U1311,打分卡!$F$12:$J$12,打分卡!$K$12:$O$12),1)</f>
        <v>3</v>
      </c>
      <c r="AI1311" s="42">
        <f>IFERROR(LOOKUP(X1311,打分卡!$F$13:$J$13,打分卡!$K$13:$O$13),1)</f>
        <v>2</v>
      </c>
      <c r="AJ1311" s="42">
        <f>IFERROR(LOOKUP(Y1311,打分卡!$F$14:$J$14,打分卡!$K$14:$O$14),1)</f>
        <v>2</v>
      </c>
      <c r="AK1311" s="42">
        <f>IFERROR(LOOKUP(W1311,打分卡!$F$15:$J$15,打分卡!$K$15:$O$15),1)</f>
        <v>2</v>
      </c>
      <c r="AL1311" s="45">
        <f t="shared" si="161"/>
        <v>5</v>
      </c>
      <c r="AM1311" s="42">
        <f>IFERROR(LOOKUP(Z1311,打分卡!$F$17:$H$17,打分卡!$K$17:$M$17),1)</f>
        <v>1</v>
      </c>
      <c r="AN1311" s="46">
        <f>(打分卡!$D$7*AC1311+打分卡!$D$8*AD1311+打分卡!$D$9*AE1311)/5</f>
        <v>8</v>
      </c>
      <c r="AO1311" s="46">
        <f>(打分卡!$D$10*AF1311+打分卡!$D$11*AG1311)/5</f>
        <v>4</v>
      </c>
      <c r="AP1311" s="46">
        <f>(打分卡!$D$12*AH1311+打分卡!$D$13*AI1311+打分卡!$D$14*AJ1311+打分卡!$D$15*AK1311)/5</f>
        <v>14.4</v>
      </c>
      <c r="AQ1311" s="46">
        <f>(打分卡!$D$16*AL1311+打分卡!$D$17*AM1311)/5</f>
        <v>6.8</v>
      </c>
      <c r="AR1311" s="48">
        <f t="shared" si="162"/>
        <v>44.4</v>
      </c>
      <c r="AS1311" s="45" t="str">
        <f t="shared" si="163"/>
        <v>腰部</v>
      </c>
      <c r="AT1311" s="45" t="str">
        <f t="shared" si="164"/>
        <v/>
      </c>
      <c r="AU1311" s="45" t="str">
        <f t="shared" si="165"/>
        <v>拉·主攻：主推AI外呼+大促作战包</v>
      </c>
    </row>
    <row r="1312" ht="15" customHeight="1" spans="1:47">
      <c r="A1312" s="30" t="s">
        <v>3413</v>
      </c>
      <c r="B1312" s="31" t="s">
        <v>3414</v>
      </c>
      <c r="C1312" s="31" t="s">
        <v>179</v>
      </c>
      <c r="D1312" s="31" t="s">
        <v>202</v>
      </c>
      <c r="E1312" s="31" t="s">
        <v>197</v>
      </c>
      <c r="F1312" s="30" t="s">
        <v>1166</v>
      </c>
      <c r="G1312" s="31">
        <v>3</v>
      </c>
      <c r="H1312" s="31" t="s">
        <v>642</v>
      </c>
      <c r="I1312" s="31" t="s">
        <v>302</v>
      </c>
      <c r="J1312" s="33">
        <v>400</v>
      </c>
      <c r="K1312" s="33">
        <v>200</v>
      </c>
      <c r="L1312" s="33">
        <v>100</v>
      </c>
      <c r="M1312" s="33">
        <f t="shared" si="160"/>
        <v>700</v>
      </c>
      <c r="N1312" s="34">
        <f t="shared" si="166"/>
        <v>3.66984790053244e-6</v>
      </c>
      <c r="O1312" s="35">
        <f>SUM($M$2:M1312)</f>
        <v>190709800</v>
      </c>
      <c r="P1312" s="34">
        <f t="shared" si="167"/>
        <v>0.999822798772803</v>
      </c>
      <c r="Q1312" s="37">
        <v>0</v>
      </c>
      <c r="R1312" s="31">
        <v>3</v>
      </c>
      <c r="S1312" s="31">
        <v>0</v>
      </c>
      <c r="T1312" s="31">
        <v>0</v>
      </c>
      <c r="U1312" s="37">
        <v>18.8</v>
      </c>
      <c r="V1312" s="31">
        <v>10</v>
      </c>
      <c r="W1312" s="31">
        <v>2</v>
      </c>
      <c r="X1312" s="38">
        <v>41</v>
      </c>
      <c r="Y1312" s="31">
        <v>1</v>
      </c>
      <c r="Z1312" s="31">
        <v>0</v>
      </c>
      <c r="AA1312" s="31" t="s">
        <v>199</v>
      </c>
      <c r="AB1312" s="31" t="s">
        <v>220</v>
      </c>
      <c r="AC1312" s="41">
        <f>IFERROR(LOOKUP(M1312,打分卡!$F$7:$J$7,打分卡!$K$7:$O$7),1)</f>
        <v>1</v>
      </c>
      <c r="AD1312" s="41">
        <f>IFERROR(LOOKUP(S1312,打分卡!$F$8:$J$8,打分卡!$K$8:$O$8),1)</f>
        <v>1</v>
      </c>
      <c r="AE1312" s="41">
        <f>IFERROR(LOOKUP(T1312,打分卡!$F$9:$I$9,打分卡!$K$9:$N$9),1)</f>
        <v>1</v>
      </c>
      <c r="AF1312" s="41">
        <f>IFERROR(LOOKUP(Q1312,打分卡!$F$10:$J$10,打分卡!$K$10:$O$10),1)</f>
        <v>1</v>
      </c>
      <c r="AG1312" s="41">
        <f>IFERROR(LOOKUP(R1312,打分卡!$F$11:$J$11,打分卡!$K$11:$O$11),1)</f>
        <v>2</v>
      </c>
      <c r="AH1312" s="41">
        <f>IFERROR(LOOKUP(U1312,打分卡!$F$12:$J$12,打分卡!$K$12:$O$12),1)</f>
        <v>3</v>
      </c>
      <c r="AI1312" s="41">
        <f>IFERROR(LOOKUP(X1312,打分卡!$F$13:$J$13,打分卡!$K$13:$O$13),1)</f>
        <v>3</v>
      </c>
      <c r="AJ1312" s="41">
        <f>IFERROR(LOOKUP(Y1312,打分卡!$F$14:$J$14,打分卡!$K$14:$O$14),1)</f>
        <v>2</v>
      </c>
      <c r="AK1312" s="41">
        <f>IFERROR(LOOKUP(W1312,打分卡!$F$15:$J$15,打分卡!$K$15:$O$15),1)</f>
        <v>2</v>
      </c>
      <c r="AL1312" s="43">
        <f t="shared" si="161"/>
        <v>5</v>
      </c>
      <c r="AM1312" s="41">
        <f>IFERROR(LOOKUP(Z1312,打分卡!$F$17:$H$17,打分卡!$K$17:$M$17),1)</f>
        <v>1</v>
      </c>
      <c r="AN1312" s="44">
        <f>(打分卡!$D$7*AC1312+打分卡!$D$8*AD1312+打分卡!$D$9*AE1312)/5</f>
        <v>8</v>
      </c>
      <c r="AO1312" s="44">
        <f>(打分卡!$D$10*AF1312+打分卡!$D$11*AG1312)/5</f>
        <v>6</v>
      </c>
      <c r="AP1312" s="44">
        <f>(打分卡!$D$12*AH1312+打分卡!$D$13*AI1312+打分卡!$D$14*AJ1312+打分卡!$D$15*AK1312)/5</f>
        <v>16</v>
      </c>
      <c r="AQ1312" s="44">
        <f>(打分卡!$D$16*AL1312+打分卡!$D$17*AM1312)/5</f>
        <v>6.8</v>
      </c>
      <c r="AR1312" s="47">
        <f t="shared" si="162"/>
        <v>36.8</v>
      </c>
      <c r="AS1312" s="43" t="str">
        <f t="shared" si="163"/>
        <v>基础长尾</v>
      </c>
      <c r="AT1312" s="43" t="str">
        <f t="shared" si="164"/>
        <v/>
      </c>
      <c r="AU1312" s="43" t="str">
        <f t="shared" si="165"/>
        <v>激活：企微+Push低成本先跑</v>
      </c>
    </row>
    <row r="1313" ht="15" customHeight="1" spans="1:47">
      <c r="A1313" s="20" t="s">
        <v>3415</v>
      </c>
      <c r="B1313" s="22" t="s">
        <v>3416</v>
      </c>
      <c r="C1313" s="22" t="s">
        <v>218</v>
      </c>
      <c r="D1313" s="22" t="s">
        <v>235</v>
      </c>
      <c r="E1313" s="22" t="s">
        <v>181</v>
      </c>
      <c r="F1313" s="20" t="s">
        <v>2883</v>
      </c>
      <c r="G1313" s="22">
        <v>2</v>
      </c>
      <c r="H1313" s="22" t="s">
        <v>642</v>
      </c>
      <c r="I1313" s="22" t="s">
        <v>302</v>
      </c>
      <c r="J1313" s="36">
        <v>400</v>
      </c>
      <c r="K1313" s="36">
        <v>200</v>
      </c>
      <c r="L1313" s="36">
        <v>100</v>
      </c>
      <c r="M1313" s="36">
        <f t="shared" si="160"/>
        <v>700</v>
      </c>
      <c r="N1313" s="34">
        <f t="shared" si="166"/>
        <v>3.66984790053244e-6</v>
      </c>
      <c r="O1313" s="35">
        <f>SUM($M$2:M1313)</f>
        <v>190710500</v>
      </c>
      <c r="P1313" s="34">
        <f t="shared" si="167"/>
        <v>0.999826468620703</v>
      </c>
      <c r="Q1313" s="39">
        <v>0.1</v>
      </c>
      <c r="R1313" s="22">
        <v>2</v>
      </c>
      <c r="S1313" s="22">
        <v>1</v>
      </c>
      <c r="T1313" s="22">
        <v>0</v>
      </c>
      <c r="U1313" s="39">
        <v>1.5</v>
      </c>
      <c r="V1313" s="22">
        <v>4</v>
      </c>
      <c r="W1313" s="22">
        <v>2</v>
      </c>
      <c r="X1313" s="40">
        <v>13</v>
      </c>
      <c r="Y1313" s="22">
        <v>1</v>
      </c>
      <c r="Z1313" s="22">
        <v>0</v>
      </c>
      <c r="AA1313" s="22" t="s">
        <v>199</v>
      </c>
      <c r="AB1313" s="22" t="s">
        <v>220</v>
      </c>
      <c r="AC1313" s="42">
        <f>IFERROR(LOOKUP(M1313,打分卡!$F$7:$J$7,打分卡!$K$7:$O$7),1)</f>
        <v>1</v>
      </c>
      <c r="AD1313" s="42">
        <f>IFERROR(LOOKUP(S1313,打分卡!$F$8:$J$8,打分卡!$K$8:$O$8),1)</f>
        <v>1</v>
      </c>
      <c r="AE1313" s="42">
        <f>IFERROR(LOOKUP(T1313,打分卡!$F$9:$I$9,打分卡!$K$9:$N$9),1)</f>
        <v>1</v>
      </c>
      <c r="AF1313" s="42">
        <f>IFERROR(LOOKUP(Q1313,打分卡!$F$10:$J$10,打分卡!$K$10:$O$10),1)</f>
        <v>1</v>
      </c>
      <c r="AG1313" s="42">
        <f>IFERROR(LOOKUP(R1313,打分卡!$F$11:$J$11,打分卡!$K$11:$O$11),1)</f>
        <v>1</v>
      </c>
      <c r="AH1313" s="42">
        <f>IFERROR(LOOKUP(U1313,打分卡!$F$12:$J$12,打分卡!$K$12:$O$12),1)</f>
        <v>1</v>
      </c>
      <c r="AI1313" s="42">
        <f>IFERROR(LOOKUP(X1313,打分卡!$F$13:$J$13,打分卡!$K$13:$O$13),1)</f>
        <v>1</v>
      </c>
      <c r="AJ1313" s="42">
        <f>IFERROR(LOOKUP(Y1313,打分卡!$F$14:$J$14,打分卡!$K$14:$O$14),1)</f>
        <v>2</v>
      </c>
      <c r="AK1313" s="42">
        <f>IFERROR(LOOKUP(W1313,打分卡!$F$15:$J$15,打分卡!$K$15:$O$15),1)</f>
        <v>2</v>
      </c>
      <c r="AL1313" s="45">
        <f t="shared" si="161"/>
        <v>5</v>
      </c>
      <c r="AM1313" s="42">
        <f>IFERROR(LOOKUP(Z1313,打分卡!$F$17:$H$17,打分卡!$K$17:$M$17),1)</f>
        <v>1</v>
      </c>
      <c r="AN1313" s="46">
        <f>(打分卡!$D$7*AC1313+打分卡!$D$8*AD1313+打分卡!$D$9*AE1313)/5</f>
        <v>8</v>
      </c>
      <c r="AO1313" s="46">
        <f>(打分卡!$D$10*AF1313+打分卡!$D$11*AG1313)/5</f>
        <v>4</v>
      </c>
      <c r="AP1313" s="46">
        <f>(打分卡!$D$12*AH1313+打分卡!$D$13*AI1313+打分卡!$D$14*AJ1313+打分卡!$D$15*AK1313)/5</f>
        <v>8</v>
      </c>
      <c r="AQ1313" s="46">
        <f>(打分卡!$D$16*AL1313+打分卡!$D$17*AM1313)/5</f>
        <v>6.8</v>
      </c>
      <c r="AR1313" s="48">
        <f t="shared" si="162"/>
        <v>29.4666666666667</v>
      </c>
      <c r="AS1313" s="45" t="str">
        <f t="shared" si="163"/>
        <v>基础长尾</v>
      </c>
      <c r="AT1313" s="45" t="str">
        <f t="shared" si="164"/>
        <v/>
      </c>
      <c r="AU1313" s="45" t="str">
        <f t="shared" si="165"/>
        <v>激活：企微+Push低成本先跑</v>
      </c>
    </row>
    <row r="1314" ht="15" customHeight="1" spans="1:47">
      <c r="A1314" s="30" t="s">
        <v>3417</v>
      </c>
      <c r="B1314" s="31" t="s">
        <v>3418</v>
      </c>
      <c r="C1314" s="31" t="s">
        <v>189</v>
      </c>
      <c r="D1314" s="31" t="s">
        <v>196</v>
      </c>
      <c r="E1314" s="31" t="s">
        <v>197</v>
      </c>
      <c r="F1314" s="30" t="s">
        <v>2755</v>
      </c>
      <c r="G1314" s="31">
        <v>3</v>
      </c>
      <c r="H1314" s="31" t="s">
        <v>642</v>
      </c>
      <c r="I1314" s="31" t="s">
        <v>302</v>
      </c>
      <c r="J1314" s="33">
        <v>400</v>
      </c>
      <c r="K1314" s="33">
        <v>300</v>
      </c>
      <c r="L1314" s="33">
        <v>0</v>
      </c>
      <c r="M1314" s="33">
        <f t="shared" si="160"/>
        <v>700</v>
      </c>
      <c r="N1314" s="34">
        <f t="shared" si="166"/>
        <v>3.66984790053244e-6</v>
      </c>
      <c r="O1314" s="35">
        <f>SUM($M$2:M1314)</f>
        <v>190711200</v>
      </c>
      <c r="P1314" s="34">
        <f t="shared" si="167"/>
        <v>0.999830138468604</v>
      </c>
      <c r="Q1314" s="37">
        <v>0.1</v>
      </c>
      <c r="R1314" s="31">
        <v>1</v>
      </c>
      <c r="S1314" s="31">
        <v>1</v>
      </c>
      <c r="T1314" s="31">
        <v>0</v>
      </c>
      <c r="U1314" s="37">
        <v>3.6</v>
      </c>
      <c r="V1314" s="31">
        <v>5</v>
      </c>
      <c r="W1314" s="31">
        <v>2</v>
      </c>
      <c r="X1314" s="38">
        <v>51</v>
      </c>
      <c r="Y1314" s="31">
        <v>1</v>
      </c>
      <c r="Z1314" s="31">
        <v>0</v>
      </c>
      <c r="AA1314" s="31" t="s">
        <v>199</v>
      </c>
      <c r="AB1314" s="31" t="s">
        <v>220</v>
      </c>
      <c r="AC1314" s="41">
        <f>IFERROR(LOOKUP(M1314,打分卡!$F$7:$J$7,打分卡!$K$7:$O$7),1)</f>
        <v>1</v>
      </c>
      <c r="AD1314" s="41">
        <f>IFERROR(LOOKUP(S1314,打分卡!$F$8:$J$8,打分卡!$K$8:$O$8),1)</f>
        <v>1</v>
      </c>
      <c r="AE1314" s="41">
        <f>IFERROR(LOOKUP(T1314,打分卡!$F$9:$I$9,打分卡!$K$9:$N$9),1)</f>
        <v>1</v>
      </c>
      <c r="AF1314" s="41">
        <f>IFERROR(LOOKUP(Q1314,打分卡!$F$10:$J$10,打分卡!$K$10:$O$10),1)</f>
        <v>1</v>
      </c>
      <c r="AG1314" s="41">
        <f>IFERROR(LOOKUP(R1314,打分卡!$F$11:$J$11,打分卡!$K$11:$O$11),1)</f>
        <v>1</v>
      </c>
      <c r="AH1314" s="41">
        <f>IFERROR(LOOKUP(U1314,打分卡!$F$12:$J$12,打分卡!$K$12:$O$12),1)</f>
        <v>2</v>
      </c>
      <c r="AI1314" s="41">
        <f>IFERROR(LOOKUP(X1314,打分卡!$F$13:$J$13,打分卡!$K$13:$O$13),1)</f>
        <v>3</v>
      </c>
      <c r="AJ1314" s="41">
        <f>IFERROR(LOOKUP(Y1314,打分卡!$F$14:$J$14,打分卡!$K$14:$O$14),1)</f>
        <v>2</v>
      </c>
      <c r="AK1314" s="41">
        <f>IFERROR(LOOKUP(W1314,打分卡!$F$15:$J$15,打分卡!$K$15:$O$15),1)</f>
        <v>2</v>
      </c>
      <c r="AL1314" s="43">
        <f t="shared" si="161"/>
        <v>5</v>
      </c>
      <c r="AM1314" s="41">
        <f>IFERROR(LOOKUP(Z1314,打分卡!$F$17:$H$17,打分卡!$K$17:$M$17),1)</f>
        <v>1</v>
      </c>
      <c r="AN1314" s="44">
        <f>(打分卡!$D$7*AC1314+打分卡!$D$8*AD1314+打分卡!$D$9*AE1314)/5</f>
        <v>8</v>
      </c>
      <c r="AO1314" s="44">
        <f>(打分卡!$D$10*AF1314+打分卡!$D$11*AG1314)/5</f>
        <v>4</v>
      </c>
      <c r="AP1314" s="44">
        <f>(打分卡!$D$12*AH1314+打分卡!$D$13*AI1314+打分卡!$D$14*AJ1314+打分卡!$D$15*AK1314)/5</f>
        <v>13.6</v>
      </c>
      <c r="AQ1314" s="44">
        <f>(打分卡!$D$16*AL1314+打分卡!$D$17*AM1314)/5</f>
        <v>6.8</v>
      </c>
      <c r="AR1314" s="47">
        <f t="shared" si="162"/>
        <v>32.4</v>
      </c>
      <c r="AS1314" s="43" t="str">
        <f t="shared" si="163"/>
        <v>基础长尾</v>
      </c>
      <c r="AT1314" s="43" t="str">
        <f t="shared" si="164"/>
        <v/>
      </c>
      <c r="AU1314" s="43" t="str">
        <f t="shared" si="165"/>
        <v>激活：企微+Push低成本先跑</v>
      </c>
    </row>
    <row r="1315" ht="15" customHeight="1" spans="1:47">
      <c r="A1315" s="20" t="s">
        <v>3419</v>
      </c>
      <c r="B1315" s="22" t="s">
        <v>3420</v>
      </c>
      <c r="C1315" s="22" t="s">
        <v>209</v>
      </c>
      <c r="D1315" s="22" t="s">
        <v>196</v>
      </c>
      <c r="E1315" s="22" t="s">
        <v>197</v>
      </c>
      <c r="F1315" s="20" t="s">
        <v>837</v>
      </c>
      <c r="G1315" s="22">
        <v>3</v>
      </c>
      <c r="H1315" s="22" t="s">
        <v>642</v>
      </c>
      <c r="I1315" s="22" t="s">
        <v>302</v>
      </c>
      <c r="J1315" s="36">
        <v>400</v>
      </c>
      <c r="K1315" s="36">
        <v>200</v>
      </c>
      <c r="L1315" s="36">
        <v>0</v>
      </c>
      <c r="M1315" s="36">
        <f t="shared" si="160"/>
        <v>600</v>
      </c>
      <c r="N1315" s="34">
        <f t="shared" si="166"/>
        <v>3.14558391474209e-6</v>
      </c>
      <c r="O1315" s="35">
        <f>SUM($M$2:M1315)</f>
        <v>190711800</v>
      </c>
      <c r="P1315" s="34">
        <f t="shared" si="167"/>
        <v>0.999833284052519</v>
      </c>
      <c r="Q1315" s="39">
        <v>0.1</v>
      </c>
      <c r="R1315" s="22">
        <v>2</v>
      </c>
      <c r="S1315" s="22">
        <v>1</v>
      </c>
      <c r="T1315" s="22">
        <v>0</v>
      </c>
      <c r="U1315" s="39">
        <v>11.1</v>
      </c>
      <c r="V1315" s="22">
        <v>4</v>
      </c>
      <c r="W1315" s="22">
        <v>0</v>
      </c>
      <c r="X1315" s="40">
        <v>40</v>
      </c>
      <c r="Y1315" s="22">
        <v>1</v>
      </c>
      <c r="Z1315" s="22">
        <v>0</v>
      </c>
      <c r="AA1315" s="22" t="s">
        <v>199</v>
      </c>
      <c r="AB1315" s="22" t="s">
        <v>220</v>
      </c>
      <c r="AC1315" s="42">
        <f>IFERROR(LOOKUP(M1315,打分卡!$F$7:$J$7,打分卡!$K$7:$O$7),1)</f>
        <v>1</v>
      </c>
      <c r="AD1315" s="42">
        <f>IFERROR(LOOKUP(S1315,打分卡!$F$8:$J$8,打分卡!$K$8:$O$8),1)</f>
        <v>1</v>
      </c>
      <c r="AE1315" s="42">
        <f>IFERROR(LOOKUP(T1315,打分卡!$F$9:$I$9,打分卡!$K$9:$N$9),1)</f>
        <v>1</v>
      </c>
      <c r="AF1315" s="42">
        <f>IFERROR(LOOKUP(Q1315,打分卡!$F$10:$J$10,打分卡!$K$10:$O$10),1)</f>
        <v>1</v>
      </c>
      <c r="AG1315" s="42">
        <f>IFERROR(LOOKUP(R1315,打分卡!$F$11:$J$11,打分卡!$K$11:$O$11),1)</f>
        <v>1</v>
      </c>
      <c r="AH1315" s="42">
        <f>IFERROR(LOOKUP(U1315,打分卡!$F$12:$J$12,打分卡!$K$12:$O$12),1)</f>
        <v>3</v>
      </c>
      <c r="AI1315" s="42">
        <f>IFERROR(LOOKUP(X1315,打分卡!$F$13:$J$13,打分卡!$K$13:$O$13),1)</f>
        <v>3</v>
      </c>
      <c r="AJ1315" s="42">
        <f>IFERROR(LOOKUP(Y1315,打分卡!$F$14:$J$14,打分卡!$K$14:$O$14),1)</f>
        <v>2</v>
      </c>
      <c r="AK1315" s="42">
        <f>IFERROR(LOOKUP(W1315,打分卡!$F$15:$J$15,打分卡!$K$15:$O$15),1)</f>
        <v>1</v>
      </c>
      <c r="AL1315" s="45">
        <f t="shared" si="161"/>
        <v>5</v>
      </c>
      <c r="AM1315" s="42">
        <f>IFERROR(LOOKUP(Z1315,打分卡!$F$17:$H$17,打分卡!$K$17:$M$17),1)</f>
        <v>1</v>
      </c>
      <c r="AN1315" s="46">
        <f>(打分卡!$D$7*AC1315+打分卡!$D$8*AD1315+打分卡!$D$9*AE1315)/5</f>
        <v>8</v>
      </c>
      <c r="AO1315" s="46">
        <f>(打分卡!$D$10*AF1315+打分卡!$D$11*AG1315)/5</f>
        <v>4</v>
      </c>
      <c r="AP1315" s="46">
        <f>(打分卡!$D$12*AH1315+打分卡!$D$13*AI1315+打分卡!$D$14*AJ1315+打分卡!$D$15*AK1315)/5</f>
        <v>15.2</v>
      </c>
      <c r="AQ1315" s="46">
        <f>(打分卡!$D$16*AL1315+打分卡!$D$17*AM1315)/5</f>
        <v>6.8</v>
      </c>
      <c r="AR1315" s="48">
        <f t="shared" si="162"/>
        <v>34</v>
      </c>
      <c r="AS1315" s="45" t="str">
        <f t="shared" si="163"/>
        <v>基础长尾</v>
      </c>
      <c r="AT1315" s="45" t="str">
        <f t="shared" si="164"/>
        <v/>
      </c>
      <c r="AU1315" s="45" t="str">
        <f t="shared" si="165"/>
        <v>激活：企微+Push低成本先跑</v>
      </c>
    </row>
    <row r="1316" ht="15" customHeight="1" spans="1:47">
      <c r="A1316" s="30" t="s">
        <v>3421</v>
      </c>
      <c r="B1316" s="31" t="s">
        <v>3422</v>
      </c>
      <c r="C1316" s="31" t="s">
        <v>195</v>
      </c>
      <c r="D1316" s="31" t="s">
        <v>180</v>
      </c>
      <c r="E1316" s="31" t="s">
        <v>181</v>
      </c>
      <c r="F1316" s="30" t="s">
        <v>2758</v>
      </c>
      <c r="G1316" s="31">
        <v>1</v>
      </c>
      <c r="H1316" s="31" t="s">
        <v>642</v>
      </c>
      <c r="I1316" s="31" t="s">
        <v>302</v>
      </c>
      <c r="J1316" s="33">
        <v>300</v>
      </c>
      <c r="K1316" s="33">
        <v>200</v>
      </c>
      <c r="L1316" s="33">
        <v>200</v>
      </c>
      <c r="M1316" s="33">
        <f t="shared" si="160"/>
        <v>700</v>
      </c>
      <c r="N1316" s="34">
        <f t="shared" si="166"/>
        <v>3.66984790053244e-6</v>
      </c>
      <c r="O1316" s="35">
        <f>SUM($M$2:M1316)</f>
        <v>190712500</v>
      </c>
      <c r="P1316" s="34">
        <f t="shared" si="167"/>
        <v>0.999836953900419</v>
      </c>
      <c r="Q1316" s="37">
        <v>0.1</v>
      </c>
      <c r="R1316" s="31">
        <v>1</v>
      </c>
      <c r="S1316" s="31">
        <v>1</v>
      </c>
      <c r="T1316" s="31">
        <v>0</v>
      </c>
      <c r="U1316" s="37">
        <v>1.4</v>
      </c>
      <c r="V1316" s="31">
        <v>7</v>
      </c>
      <c r="W1316" s="31">
        <v>2</v>
      </c>
      <c r="X1316" s="38">
        <v>5</v>
      </c>
      <c r="Y1316" s="31">
        <v>1</v>
      </c>
      <c r="Z1316" s="31">
        <v>0</v>
      </c>
      <c r="AA1316" s="31" t="s">
        <v>199</v>
      </c>
      <c r="AB1316" s="31" t="s">
        <v>220</v>
      </c>
      <c r="AC1316" s="41">
        <f>IFERROR(LOOKUP(M1316,打分卡!$F$7:$J$7,打分卡!$K$7:$O$7),1)</f>
        <v>1</v>
      </c>
      <c r="AD1316" s="41">
        <f>IFERROR(LOOKUP(S1316,打分卡!$F$8:$J$8,打分卡!$K$8:$O$8),1)</f>
        <v>1</v>
      </c>
      <c r="AE1316" s="41">
        <f>IFERROR(LOOKUP(T1316,打分卡!$F$9:$I$9,打分卡!$K$9:$N$9),1)</f>
        <v>1</v>
      </c>
      <c r="AF1316" s="41">
        <f>IFERROR(LOOKUP(Q1316,打分卡!$F$10:$J$10,打分卡!$K$10:$O$10),1)</f>
        <v>1</v>
      </c>
      <c r="AG1316" s="41">
        <f>IFERROR(LOOKUP(R1316,打分卡!$F$11:$J$11,打分卡!$K$11:$O$11),1)</f>
        <v>1</v>
      </c>
      <c r="AH1316" s="41">
        <f>IFERROR(LOOKUP(U1316,打分卡!$F$12:$J$12,打分卡!$K$12:$O$12),1)</f>
        <v>1</v>
      </c>
      <c r="AI1316" s="41">
        <f>IFERROR(LOOKUP(X1316,打分卡!$F$13:$J$13,打分卡!$K$13:$O$13),1)</f>
        <v>1</v>
      </c>
      <c r="AJ1316" s="41">
        <f>IFERROR(LOOKUP(Y1316,打分卡!$F$14:$J$14,打分卡!$K$14:$O$14),1)</f>
        <v>2</v>
      </c>
      <c r="AK1316" s="41">
        <f>IFERROR(LOOKUP(W1316,打分卡!$F$15:$J$15,打分卡!$K$15:$O$15),1)</f>
        <v>2</v>
      </c>
      <c r="AL1316" s="43">
        <f t="shared" si="161"/>
        <v>5</v>
      </c>
      <c r="AM1316" s="41">
        <f>IFERROR(LOOKUP(Z1316,打分卡!$F$17:$H$17,打分卡!$K$17:$M$17),1)</f>
        <v>1</v>
      </c>
      <c r="AN1316" s="44">
        <f>(打分卡!$D$7*AC1316+打分卡!$D$8*AD1316+打分卡!$D$9*AE1316)/5</f>
        <v>8</v>
      </c>
      <c r="AO1316" s="44">
        <f>(打分卡!$D$10*AF1316+打分卡!$D$11*AG1316)/5</f>
        <v>4</v>
      </c>
      <c r="AP1316" s="44">
        <f>(打分卡!$D$12*AH1316+打分卡!$D$13*AI1316+打分卡!$D$14*AJ1316+打分卡!$D$15*AK1316)/5</f>
        <v>8</v>
      </c>
      <c r="AQ1316" s="44">
        <f>(打分卡!$D$16*AL1316+打分卡!$D$17*AM1316)/5</f>
        <v>6.8</v>
      </c>
      <c r="AR1316" s="47">
        <f t="shared" si="162"/>
        <v>29.4666666666667</v>
      </c>
      <c r="AS1316" s="43" t="str">
        <f t="shared" si="163"/>
        <v>基础长尾</v>
      </c>
      <c r="AT1316" s="43" t="str">
        <f t="shared" si="164"/>
        <v/>
      </c>
      <c r="AU1316" s="43" t="str">
        <f t="shared" si="165"/>
        <v>激活：企微+Push低成本先跑</v>
      </c>
    </row>
    <row r="1317" ht="15" customHeight="1" spans="1:47">
      <c r="A1317" s="20" t="s">
        <v>3423</v>
      </c>
      <c r="B1317" s="22" t="s">
        <v>3424</v>
      </c>
      <c r="C1317" s="22" t="s">
        <v>189</v>
      </c>
      <c r="D1317" s="22" t="s">
        <v>196</v>
      </c>
      <c r="E1317" s="22" t="s">
        <v>197</v>
      </c>
      <c r="F1317" s="20" t="s">
        <v>1064</v>
      </c>
      <c r="G1317" s="22">
        <v>1</v>
      </c>
      <c r="H1317" s="22" t="s">
        <v>642</v>
      </c>
      <c r="I1317" s="22" t="s">
        <v>302</v>
      </c>
      <c r="J1317" s="36">
        <v>300</v>
      </c>
      <c r="K1317" s="36">
        <v>200</v>
      </c>
      <c r="L1317" s="36">
        <v>100</v>
      </c>
      <c r="M1317" s="36">
        <f t="shared" si="160"/>
        <v>600</v>
      </c>
      <c r="N1317" s="34">
        <f t="shared" si="166"/>
        <v>3.14558391474209e-6</v>
      </c>
      <c r="O1317" s="35">
        <f>SUM($M$2:M1317)</f>
        <v>190713100</v>
      </c>
      <c r="P1317" s="34">
        <f t="shared" si="167"/>
        <v>0.999840099484334</v>
      </c>
      <c r="Q1317" s="39">
        <v>0.1</v>
      </c>
      <c r="R1317" s="22">
        <v>2</v>
      </c>
      <c r="S1317" s="22">
        <v>0</v>
      </c>
      <c r="T1317" s="22">
        <v>0</v>
      </c>
      <c r="U1317" s="39">
        <v>11.3</v>
      </c>
      <c r="V1317" s="22">
        <v>15</v>
      </c>
      <c r="W1317" s="22">
        <v>0</v>
      </c>
      <c r="X1317" s="40">
        <v>40</v>
      </c>
      <c r="Y1317" s="22">
        <v>1</v>
      </c>
      <c r="Z1317" s="22">
        <v>0</v>
      </c>
      <c r="AA1317" s="22" t="s">
        <v>199</v>
      </c>
      <c r="AB1317" s="22" t="s">
        <v>220</v>
      </c>
      <c r="AC1317" s="42">
        <f>IFERROR(LOOKUP(M1317,打分卡!$F$7:$J$7,打分卡!$K$7:$O$7),1)</f>
        <v>1</v>
      </c>
      <c r="AD1317" s="42">
        <f>IFERROR(LOOKUP(S1317,打分卡!$F$8:$J$8,打分卡!$K$8:$O$8),1)</f>
        <v>1</v>
      </c>
      <c r="AE1317" s="42">
        <f>IFERROR(LOOKUP(T1317,打分卡!$F$9:$I$9,打分卡!$K$9:$N$9),1)</f>
        <v>1</v>
      </c>
      <c r="AF1317" s="42">
        <f>IFERROR(LOOKUP(Q1317,打分卡!$F$10:$J$10,打分卡!$K$10:$O$10),1)</f>
        <v>1</v>
      </c>
      <c r="AG1317" s="42">
        <f>IFERROR(LOOKUP(R1317,打分卡!$F$11:$J$11,打分卡!$K$11:$O$11),1)</f>
        <v>1</v>
      </c>
      <c r="AH1317" s="42">
        <f>IFERROR(LOOKUP(U1317,打分卡!$F$12:$J$12,打分卡!$K$12:$O$12),1)</f>
        <v>3</v>
      </c>
      <c r="AI1317" s="42">
        <f>IFERROR(LOOKUP(X1317,打分卡!$F$13:$J$13,打分卡!$K$13:$O$13),1)</f>
        <v>3</v>
      </c>
      <c r="AJ1317" s="42">
        <f>IFERROR(LOOKUP(Y1317,打分卡!$F$14:$J$14,打分卡!$K$14:$O$14),1)</f>
        <v>2</v>
      </c>
      <c r="AK1317" s="42">
        <f>IFERROR(LOOKUP(W1317,打分卡!$F$15:$J$15,打分卡!$K$15:$O$15),1)</f>
        <v>1</v>
      </c>
      <c r="AL1317" s="45">
        <f t="shared" si="161"/>
        <v>5</v>
      </c>
      <c r="AM1317" s="42">
        <f>IFERROR(LOOKUP(Z1317,打分卡!$F$17:$H$17,打分卡!$K$17:$M$17),1)</f>
        <v>1</v>
      </c>
      <c r="AN1317" s="46">
        <f>(打分卡!$D$7*AC1317+打分卡!$D$8*AD1317+打分卡!$D$9*AE1317)/5</f>
        <v>8</v>
      </c>
      <c r="AO1317" s="46">
        <f>(打分卡!$D$10*AF1317+打分卡!$D$11*AG1317)/5</f>
        <v>4</v>
      </c>
      <c r="AP1317" s="46">
        <f>(打分卡!$D$12*AH1317+打分卡!$D$13*AI1317+打分卡!$D$14*AJ1317+打分卡!$D$15*AK1317)/5</f>
        <v>15.2</v>
      </c>
      <c r="AQ1317" s="46">
        <f>(打分卡!$D$16*AL1317+打分卡!$D$17*AM1317)/5</f>
        <v>6.8</v>
      </c>
      <c r="AR1317" s="48">
        <f t="shared" si="162"/>
        <v>46.2666666666667</v>
      </c>
      <c r="AS1317" s="45" t="str">
        <f t="shared" si="163"/>
        <v>腰部</v>
      </c>
      <c r="AT1317" s="45" t="str">
        <f t="shared" si="164"/>
        <v/>
      </c>
      <c r="AU1317" s="45" t="str">
        <f t="shared" si="165"/>
        <v>拉·主攻：主推AI外呼+大促作战包</v>
      </c>
    </row>
    <row r="1318" ht="15" customHeight="1" spans="1:47">
      <c r="A1318" s="30" t="s">
        <v>3425</v>
      </c>
      <c r="B1318" s="31" t="s">
        <v>3426</v>
      </c>
      <c r="C1318" s="31" t="s">
        <v>189</v>
      </c>
      <c r="D1318" s="31" t="s">
        <v>180</v>
      </c>
      <c r="E1318" s="31" t="s">
        <v>181</v>
      </c>
      <c r="F1318" s="30" t="s">
        <v>2791</v>
      </c>
      <c r="G1318" s="31">
        <v>2</v>
      </c>
      <c r="H1318" s="31" t="s">
        <v>642</v>
      </c>
      <c r="I1318" s="31" t="s">
        <v>302</v>
      </c>
      <c r="J1318" s="33">
        <v>400</v>
      </c>
      <c r="K1318" s="33">
        <v>200</v>
      </c>
      <c r="L1318" s="33">
        <v>0</v>
      </c>
      <c r="M1318" s="33">
        <f t="shared" si="160"/>
        <v>600</v>
      </c>
      <c r="N1318" s="34">
        <f t="shared" si="166"/>
        <v>3.14558391474209e-6</v>
      </c>
      <c r="O1318" s="35">
        <f>SUM($M$2:M1318)</f>
        <v>190713700</v>
      </c>
      <c r="P1318" s="34">
        <f t="shared" si="167"/>
        <v>0.999843245068249</v>
      </c>
      <c r="Q1318" s="37">
        <v>0.1</v>
      </c>
      <c r="R1318" s="31">
        <v>2</v>
      </c>
      <c r="S1318" s="31">
        <v>0</v>
      </c>
      <c r="T1318" s="31">
        <v>0</v>
      </c>
      <c r="U1318" s="37">
        <v>35.3</v>
      </c>
      <c r="V1318" s="31">
        <v>12</v>
      </c>
      <c r="W1318" s="31">
        <v>2</v>
      </c>
      <c r="X1318" s="38">
        <v>27</v>
      </c>
      <c r="Y1318" s="31">
        <v>1</v>
      </c>
      <c r="Z1318" s="31">
        <v>0</v>
      </c>
      <c r="AA1318" s="31" t="s">
        <v>199</v>
      </c>
      <c r="AB1318" s="31" t="s">
        <v>220</v>
      </c>
      <c r="AC1318" s="41">
        <f>IFERROR(LOOKUP(M1318,打分卡!$F$7:$J$7,打分卡!$K$7:$O$7),1)</f>
        <v>1</v>
      </c>
      <c r="AD1318" s="41">
        <f>IFERROR(LOOKUP(S1318,打分卡!$F$8:$J$8,打分卡!$K$8:$O$8),1)</f>
        <v>1</v>
      </c>
      <c r="AE1318" s="41">
        <f>IFERROR(LOOKUP(T1318,打分卡!$F$9:$I$9,打分卡!$K$9:$N$9),1)</f>
        <v>1</v>
      </c>
      <c r="AF1318" s="41">
        <f>IFERROR(LOOKUP(Q1318,打分卡!$F$10:$J$10,打分卡!$K$10:$O$10),1)</f>
        <v>1</v>
      </c>
      <c r="AG1318" s="41">
        <f>IFERROR(LOOKUP(R1318,打分卡!$F$11:$J$11,打分卡!$K$11:$O$11),1)</f>
        <v>1</v>
      </c>
      <c r="AH1318" s="41">
        <f>IFERROR(LOOKUP(U1318,打分卡!$F$12:$J$12,打分卡!$K$12:$O$12),1)</f>
        <v>4</v>
      </c>
      <c r="AI1318" s="41">
        <f>IFERROR(LOOKUP(X1318,打分卡!$F$13:$J$13,打分卡!$K$13:$O$13),1)</f>
        <v>2</v>
      </c>
      <c r="AJ1318" s="41">
        <f>IFERROR(LOOKUP(Y1318,打分卡!$F$14:$J$14,打分卡!$K$14:$O$14),1)</f>
        <v>2</v>
      </c>
      <c r="AK1318" s="41">
        <f>IFERROR(LOOKUP(W1318,打分卡!$F$15:$J$15,打分卡!$K$15:$O$15),1)</f>
        <v>2</v>
      </c>
      <c r="AL1318" s="43">
        <f t="shared" si="161"/>
        <v>5</v>
      </c>
      <c r="AM1318" s="41">
        <f>IFERROR(LOOKUP(Z1318,打分卡!$F$17:$H$17,打分卡!$K$17:$M$17),1)</f>
        <v>1</v>
      </c>
      <c r="AN1318" s="44">
        <f>(打分卡!$D$7*AC1318+打分卡!$D$8*AD1318+打分卡!$D$9*AE1318)/5</f>
        <v>8</v>
      </c>
      <c r="AO1318" s="44">
        <f>(打分卡!$D$10*AF1318+打分卡!$D$11*AG1318)/5</f>
        <v>4</v>
      </c>
      <c r="AP1318" s="44">
        <f>(打分卡!$D$12*AH1318+打分卡!$D$13*AI1318+打分卡!$D$14*AJ1318+打分卡!$D$15*AK1318)/5</f>
        <v>16.8</v>
      </c>
      <c r="AQ1318" s="44">
        <f>(打分卡!$D$16*AL1318+打分卡!$D$17*AM1318)/5</f>
        <v>6.8</v>
      </c>
      <c r="AR1318" s="47">
        <f t="shared" si="162"/>
        <v>50</v>
      </c>
      <c r="AS1318" s="43" t="str">
        <f t="shared" si="163"/>
        <v>腰部</v>
      </c>
      <c r="AT1318" s="43" t="str">
        <f t="shared" si="164"/>
        <v/>
      </c>
      <c r="AU1318" s="43" t="str">
        <f t="shared" si="165"/>
        <v>拉·主攻：主推AI外呼+大促作战包</v>
      </c>
    </row>
    <row r="1319" ht="15" customHeight="1" spans="1:47">
      <c r="A1319" s="20" t="s">
        <v>3427</v>
      </c>
      <c r="B1319" s="22" t="s">
        <v>3428</v>
      </c>
      <c r="C1319" s="22" t="s">
        <v>189</v>
      </c>
      <c r="D1319" s="22" t="s">
        <v>202</v>
      </c>
      <c r="E1319" s="22" t="s">
        <v>197</v>
      </c>
      <c r="F1319" s="20" t="s">
        <v>1064</v>
      </c>
      <c r="G1319" s="22">
        <v>1</v>
      </c>
      <c r="H1319" s="22" t="s">
        <v>642</v>
      </c>
      <c r="I1319" s="22" t="s">
        <v>302</v>
      </c>
      <c r="J1319" s="36">
        <v>400</v>
      </c>
      <c r="K1319" s="36">
        <v>200</v>
      </c>
      <c r="L1319" s="36">
        <v>100</v>
      </c>
      <c r="M1319" s="36">
        <f t="shared" si="160"/>
        <v>700</v>
      </c>
      <c r="N1319" s="34">
        <f t="shared" si="166"/>
        <v>3.66984790053244e-6</v>
      </c>
      <c r="O1319" s="35">
        <f>SUM($M$2:M1319)</f>
        <v>190714400</v>
      </c>
      <c r="P1319" s="34">
        <f t="shared" si="167"/>
        <v>0.999846914916149</v>
      </c>
      <c r="Q1319" s="39">
        <v>0</v>
      </c>
      <c r="R1319" s="22">
        <v>3</v>
      </c>
      <c r="S1319" s="22">
        <v>0</v>
      </c>
      <c r="T1319" s="22">
        <v>0</v>
      </c>
      <c r="U1319" s="39">
        <v>45.9</v>
      </c>
      <c r="V1319" s="22">
        <v>9</v>
      </c>
      <c r="W1319" s="22">
        <v>1</v>
      </c>
      <c r="X1319" s="40">
        <v>27</v>
      </c>
      <c r="Y1319" s="22">
        <v>1</v>
      </c>
      <c r="Z1319" s="22">
        <v>0</v>
      </c>
      <c r="AA1319" s="22" t="s">
        <v>199</v>
      </c>
      <c r="AB1319" s="22" t="s">
        <v>220</v>
      </c>
      <c r="AC1319" s="42">
        <f>IFERROR(LOOKUP(M1319,打分卡!$F$7:$J$7,打分卡!$K$7:$O$7),1)</f>
        <v>1</v>
      </c>
      <c r="AD1319" s="42">
        <f>IFERROR(LOOKUP(S1319,打分卡!$F$8:$J$8,打分卡!$K$8:$O$8),1)</f>
        <v>1</v>
      </c>
      <c r="AE1319" s="42">
        <f>IFERROR(LOOKUP(T1319,打分卡!$F$9:$I$9,打分卡!$K$9:$N$9),1)</f>
        <v>1</v>
      </c>
      <c r="AF1319" s="42">
        <f>IFERROR(LOOKUP(Q1319,打分卡!$F$10:$J$10,打分卡!$K$10:$O$10),1)</f>
        <v>1</v>
      </c>
      <c r="AG1319" s="42">
        <f>IFERROR(LOOKUP(R1319,打分卡!$F$11:$J$11,打分卡!$K$11:$O$11),1)</f>
        <v>2</v>
      </c>
      <c r="AH1319" s="42">
        <f>IFERROR(LOOKUP(U1319,打分卡!$F$12:$J$12,打分卡!$K$12:$O$12),1)</f>
        <v>4</v>
      </c>
      <c r="AI1319" s="42">
        <f>IFERROR(LOOKUP(X1319,打分卡!$F$13:$J$13,打分卡!$K$13:$O$13),1)</f>
        <v>2</v>
      </c>
      <c r="AJ1319" s="42">
        <f>IFERROR(LOOKUP(Y1319,打分卡!$F$14:$J$14,打分卡!$K$14:$O$14),1)</f>
        <v>2</v>
      </c>
      <c r="AK1319" s="42">
        <f>IFERROR(LOOKUP(W1319,打分卡!$F$15:$J$15,打分卡!$K$15:$O$15),1)</f>
        <v>2</v>
      </c>
      <c r="AL1319" s="45">
        <f t="shared" si="161"/>
        <v>5</v>
      </c>
      <c r="AM1319" s="42">
        <f>IFERROR(LOOKUP(Z1319,打分卡!$F$17:$H$17,打分卡!$K$17:$M$17),1)</f>
        <v>1</v>
      </c>
      <c r="AN1319" s="46">
        <f>(打分卡!$D$7*AC1319+打分卡!$D$8*AD1319+打分卡!$D$9*AE1319)/5</f>
        <v>8</v>
      </c>
      <c r="AO1319" s="46">
        <f>(打分卡!$D$10*AF1319+打分卡!$D$11*AG1319)/5</f>
        <v>6</v>
      </c>
      <c r="AP1319" s="46">
        <f>(打分卡!$D$12*AH1319+打分卡!$D$13*AI1319+打分卡!$D$14*AJ1319+打分卡!$D$15*AK1319)/5</f>
        <v>16.8</v>
      </c>
      <c r="AQ1319" s="46">
        <f>(打分卡!$D$16*AL1319+打分卡!$D$17*AM1319)/5</f>
        <v>6.8</v>
      </c>
      <c r="AR1319" s="48">
        <f t="shared" si="162"/>
        <v>52</v>
      </c>
      <c r="AS1319" s="45" t="str">
        <f t="shared" si="163"/>
        <v>腰部</v>
      </c>
      <c r="AT1319" s="45" t="str">
        <f t="shared" si="164"/>
        <v/>
      </c>
      <c r="AU1319" s="45" t="str">
        <f t="shared" si="165"/>
        <v>拉·主攻：主推AI外呼+大促作战包</v>
      </c>
    </row>
    <row r="1320" ht="15" customHeight="1" spans="1:47">
      <c r="A1320" s="30" t="s">
        <v>3429</v>
      </c>
      <c r="B1320" s="31" t="s">
        <v>3430</v>
      </c>
      <c r="C1320" s="31" t="s">
        <v>189</v>
      </c>
      <c r="D1320" s="31" t="s">
        <v>227</v>
      </c>
      <c r="E1320" s="31" t="s">
        <v>181</v>
      </c>
      <c r="F1320" s="30" t="s">
        <v>2967</v>
      </c>
      <c r="G1320" s="31">
        <v>1</v>
      </c>
      <c r="H1320" s="31" t="s">
        <v>642</v>
      </c>
      <c r="I1320" s="31" t="s">
        <v>302</v>
      </c>
      <c r="J1320" s="33">
        <v>400</v>
      </c>
      <c r="K1320" s="33">
        <v>200</v>
      </c>
      <c r="L1320" s="33">
        <v>100</v>
      </c>
      <c r="M1320" s="33">
        <f t="shared" si="160"/>
        <v>700</v>
      </c>
      <c r="N1320" s="34">
        <f t="shared" si="166"/>
        <v>3.66984790053244e-6</v>
      </c>
      <c r="O1320" s="35">
        <f>SUM($M$2:M1320)</f>
        <v>190715100</v>
      </c>
      <c r="P1320" s="34">
        <f t="shared" si="167"/>
        <v>0.99985058476405</v>
      </c>
      <c r="Q1320" s="37">
        <v>0.1</v>
      </c>
      <c r="R1320" s="31">
        <v>2</v>
      </c>
      <c r="S1320" s="31">
        <v>0</v>
      </c>
      <c r="T1320" s="31">
        <v>0</v>
      </c>
      <c r="U1320" s="37">
        <v>0.9</v>
      </c>
      <c r="V1320" s="31">
        <v>9</v>
      </c>
      <c r="W1320" s="31">
        <v>1</v>
      </c>
      <c r="X1320" s="38">
        <v>59</v>
      </c>
      <c r="Y1320" s="31">
        <v>0</v>
      </c>
      <c r="Z1320" s="31">
        <v>0</v>
      </c>
      <c r="AA1320" s="31" t="s">
        <v>199</v>
      </c>
      <c r="AB1320" s="31" t="s">
        <v>220</v>
      </c>
      <c r="AC1320" s="41">
        <f>IFERROR(LOOKUP(M1320,打分卡!$F$7:$J$7,打分卡!$K$7:$O$7),1)</f>
        <v>1</v>
      </c>
      <c r="AD1320" s="41">
        <f>IFERROR(LOOKUP(S1320,打分卡!$F$8:$J$8,打分卡!$K$8:$O$8),1)</f>
        <v>1</v>
      </c>
      <c r="AE1320" s="41">
        <f>IFERROR(LOOKUP(T1320,打分卡!$F$9:$I$9,打分卡!$K$9:$N$9),1)</f>
        <v>1</v>
      </c>
      <c r="AF1320" s="41">
        <f>IFERROR(LOOKUP(Q1320,打分卡!$F$10:$J$10,打分卡!$K$10:$O$10),1)</f>
        <v>1</v>
      </c>
      <c r="AG1320" s="41">
        <f>IFERROR(LOOKUP(R1320,打分卡!$F$11:$J$11,打分卡!$K$11:$O$11),1)</f>
        <v>1</v>
      </c>
      <c r="AH1320" s="41">
        <f>IFERROR(LOOKUP(U1320,打分卡!$F$12:$J$12,打分卡!$K$12:$O$12),1)</f>
        <v>1</v>
      </c>
      <c r="AI1320" s="41">
        <f>IFERROR(LOOKUP(X1320,打分卡!$F$13:$J$13,打分卡!$K$13:$O$13),1)</f>
        <v>3</v>
      </c>
      <c r="AJ1320" s="41">
        <f>IFERROR(LOOKUP(Y1320,打分卡!$F$14:$J$14,打分卡!$K$14:$O$14),1)</f>
        <v>1</v>
      </c>
      <c r="AK1320" s="41">
        <f>IFERROR(LOOKUP(W1320,打分卡!$F$15:$J$15,打分卡!$K$15:$O$15),1)</f>
        <v>2</v>
      </c>
      <c r="AL1320" s="43">
        <f t="shared" si="161"/>
        <v>5</v>
      </c>
      <c r="AM1320" s="41">
        <f>IFERROR(LOOKUP(Z1320,打分卡!$F$17:$H$17,打分卡!$K$17:$M$17),1)</f>
        <v>1</v>
      </c>
      <c r="AN1320" s="44">
        <f>(打分卡!$D$7*AC1320+打分卡!$D$8*AD1320+打分卡!$D$9*AE1320)/5</f>
        <v>8</v>
      </c>
      <c r="AO1320" s="44">
        <f>(打分卡!$D$10*AF1320+打分卡!$D$11*AG1320)/5</f>
        <v>4</v>
      </c>
      <c r="AP1320" s="44">
        <f>(打分卡!$D$12*AH1320+打分卡!$D$13*AI1320+打分卡!$D$14*AJ1320+打分卡!$D$15*AK1320)/5</f>
        <v>10</v>
      </c>
      <c r="AQ1320" s="44">
        <f>(打分卡!$D$16*AL1320+打分卡!$D$17*AM1320)/5</f>
        <v>6.8</v>
      </c>
      <c r="AR1320" s="47">
        <f t="shared" si="162"/>
        <v>34.1333333333333</v>
      </c>
      <c r="AS1320" s="43" t="str">
        <f t="shared" si="163"/>
        <v>基础长尾</v>
      </c>
      <c r="AT1320" s="43" t="str">
        <f t="shared" si="164"/>
        <v/>
      </c>
      <c r="AU1320" s="43" t="str">
        <f t="shared" si="165"/>
        <v>激活：企微+Push低成本先跑</v>
      </c>
    </row>
    <row r="1321" ht="15" customHeight="1" spans="1:47">
      <c r="A1321" s="20" t="s">
        <v>3431</v>
      </c>
      <c r="B1321" s="22" t="s">
        <v>3432</v>
      </c>
      <c r="C1321" s="22" t="s">
        <v>189</v>
      </c>
      <c r="D1321" s="22" t="s">
        <v>202</v>
      </c>
      <c r="E1321" s="22" t="s">
        <v>181</v>
      </c>
      <c r="F1321" s="20" t="s">
        <v>2755</v>
      </c>
      <c r="G1321" s="22">
        <v>3</v>
      </c>
      <c r="H1321" s="22" t="s">
        <v>642</v>
      </c>
      <c r="I1321" s="22" t="s">
        <v>302</v>
      </c>
      <c r="J1321" s="36">
        <v>400</v>
      </c>
      <c r="K1321" s="36">
        <v>200</v>
      </c>
      <c r="L1321" s="36">
        <v>100</v>
      </c>
      <c r="M1321" s="36">
        <f t="shared" si="160"/>
        <v>700</v>
      </c>
      <c r="N1321" s="34">
        <f t="shared" si="166"/>
        <v>3.66984790053244e-6</v>
      </c>
      <c r="O1321" s="35">
        <f>SUM($M$2:M1321)</f>
        <v>190715800</v>
      </c>
      <c r="P1321" s="34">
        <f t="shared" si="167"/>
        <v>0.99985425461195</v>
      </c>
      <c r="Q1321" s="39">
        <v>0</v>
      </c>
      <c r="R1321" s="22">
        <v>2</v>
      </c>
      <c r="S1321" s="22">
        <v>0</v>
      </c>
      <c r="T1321" s="22">
        <v>0</v>
      </c>
      <c r="U1321" s="39">
        <v>2</v>
      </c>
      <c r="V1321" s="22">
        <v>6</v>
      </c>
      <c r="W1321" s="22">
        <v>2</v>
      </c>
      <c r="X1321" s="40">
        <v>27</v>
      </c>
      <c r="Y1321" s="22">
        <v>0</v>
      </c>
      <c r="Z1321" s="22">
        <v>0</v>
      </c>
      <c r="AA1321" s="22" t="s">
        <v>199</v>
      </c>
      <c r="AB1321" s="22" t="s">
        <v>220</v>
      </c>
      <c r="AC1321" s="42">
        <f>IFERROR(LOOKUP(M1321,打分卡!$F$7:$J$7,打分卡!$K$7:$O$7),1)</f>
        <v>1</v>
      </c>
      <c r="AD1321" s="42">
        <f>IFERROR(LOOKUP(S1321,打分卡!$F$8:$J$8,打分卡!$K$8:$O$8),1)</f>
        <v>1</v>
      </c>
      <c r="AE1321" s="42">
        <f>IFERROR(LOOKUP(T1321,打分卡!$F$9:$I$9,打分卡!$K$9:$N$9),1)</f>
        <v>1</v>
      </c>
      <c r="AF1321" s="42">
        <f>IFERROR(LOOKUP(Q1321,打分卡!$F$10:$J$10,打分卡!$K$10:$O$10),1)</f>
        <v>1</v>
      </c>
      <c r="AG1321" s="42">
        <f>IFERROR(LOOKUP(R1321,打分卡!$F$11:$J$11,打分卡!$K$11:$O$11),1)</f>
        <v>1</v>
      </c>
      <c r="AH1321" s="42">
        <f>IFERROR(LOOKUP(U1321,打分卡!$F$12:$J$12,打分卡!$K$12:$O$12),1)</f>
        <v>1</v>
      </c>
      <c r="AI1321" s="42">
        <f>IFERROR(LOOKUP(X1321,打分卡!$F$13:$J$13,打分卡!$K$13:$O$13),1)</f>
        <v>2</v>
      </c>
      <c r="AJ1321" s="42">
        <f>IFERROR(LOOKUP(Y1321,打分卡!$F$14:$J$14,打分卡!$K$14:$O$14),1)</f>
        <v>1</v>
      </c>
      <c r="AK1321" s="42">
        <f>IFERROR(LOOKUP(W1321,打分卡!$F$15:$J$15,打分卡!$K$15:$O$15),1)</f>
        <v>2</v>
      </c>
      <c r="AL1321" s="45">
        <f t="shared" si="161"/>
        <v>5</v>
      </c>
      <c r="AM1321" s="42">
        <f>IFERROR(LOOKUP(Z1321,打分卡!$F$17:$H$17,打分卡!$K$17:$M$17),1)</f>
        <v>1</v>
      </c>
      <c r="AN1321" s="46">
        <f>(打分卡!$D$7*AC1321+打分卡!$D$8*AD1321+打分卡!$D$9*AE1321)/5</f>
        <v>8</v>
      </c>
      <c r="AO1321" s="46">
        <f>(打分卡!$D$10*AF1321+打分卡!$D$11*AG1321)/5</f>
        <v>4</v>
      </c>
      <c r="AP1321" s="46">
        <f>(打分卡!$D$12*AH1321+打分卡!$D$13*AI1321+打分卡!$D$14*AJ1321+打分卡!$D$15*AK1321)/5</f>
        <v>8.4</v>
      </c>
      <c r="AQ1321" s="46">
        <f>(打分卡!$D$16*AL1321+打分卡!$D$17*AM1321)/5</f>
        <v>6.8</v>
      </c>
      <c r="AR1321" s="48">
        <f t="shared" si="162"/>
        <v>27.2</v>
      </c>
      <c r="AS1321" s="45" t="str">
        <f t="shared" si="163"/>
        <v>基础长尾</v>
      </c>
      <c r="AT1321" s="45" t="str">
        <f t="shared" si="164"/>
        <v/>
      </c>
      <c r="AU1321" s="45" t="str">
        <f t="shared" si="165"/>
        <v>激活：企微+Push低成本先跑</v>
      </c>
    </row>
    <row r="1322" ht="15" customHeight="1" spans="1:47">
      <c r="A1322" s="30" t="s">
        <v>3433</v>
      </c>
      <c r="B1322" s="31" t="s">
        <v>3434</v>
      </c>
      <c r="C1322" s="31" t="s">
        <v>239</v>
      </c>
      <c r="D1322" s="31" t="s">
        <v>235</v>
      </c>
      <c r="E1322" s="31" t="s">
        <v>181</v>
      </c>
      <c r="F1322" s="30" t="s">
        <v>2763</v>
      </c>
      <c r="G1322" s="31">
        <v>2</v>
      </c>
      <c r="H1322" s="31" t="s">
        <v>642</v>
      </c>
      <c r="I1322" s="31" t="s">
        <v>302</v>
      </c>
      <c r="J1322" s="33">
        <v>400</v>
      </c>
      <c r="K1322" s="33">
        <v>200</v>
      </c>
      <c r="L1322" s="33">
        <v>100</v>
      </c>
      <c r="M1322" s="33">
        <f t="shared" si="160"/>
        <v>700</v>
      </c>
      <c r="N1322" s="34">
        <f t="shared" si="166"/>
        <v>3.66984790053244e-6</v>
      </c>
      <c r="O1322" s="35">
        <f>SUM($M$2:M1322)</f>
        <v>190716500</v>
      </c>
      <c r="P1322" s="34">
        <f t="shared" si="167"/>
        <v>0.999857924459851</v>
      </c>
      <c r="Q1322" s="37">
        <v>0.1</v>
      </c>
      <c r="R1322" s="31">
        <v>3</v>
      </c>
      <c r="S1322" s="31">
        <v>0</v>
      </c>
      <c r="T1322" s="31">
        <v>0</v>
      </c>
      <c r="U1322" s="37">
        <v>0.5</v>
      </c>
      <c r="V1322" s="31">
        <v>7</v>
      </c>
      <c r="W1322" s="31">
        <v>1</v>
      </c>
      <c r="X1322" s="38">
        <v>7</v>
      </c>
      <c r="Y1322" s="31">
        <v>0</v>
      </c>
      <c r="Z1322" s="31">
        <v>0</v>
      </c>
      <c r="AA1322" s="31" t="s">
        <v>199</v>
      </c>
      <c r="AB1322" s="31" t="s">
        <v>220</v>
      </c>
      <c r="AC1322" s="41">
        <f>IFERROR(LOOKUP(M1322,打分卡!$F$7:$J$7,打分卡!$K$7:$O$7),1)</f>
        <v>1</v>
      </c>
      <c r="AD1322" s="41">
        <f>IFERROR(LOOKUP(S1322,打分卡!$F$8:$J$8,打分卡!$K$8:$O$8),1)</f>
        <v>1</v>
      </c>
      <c r="AE1322" s="41">
        <f>IFERROR(LOOKUP(T1322,打分卡!$F$9:$I$9,打分卡!$K$9:$N$9),1)</f>
        <v>1</v>
      </c>
      <c r="AF1322" s="41">
        <f>IFERROR(LOOKUP(Q1322,打分卡!$F$10:$J$10,打分卡!$K$10:$O$10),1)</f>
        <v>1</v>
      </c>
      <c r="AG1322" s="41">
        <f>IFERROR(LOOKUP(R1322,打分卡!$F$11:$J$11,打分卡!$K$11:$O$11),1)</f>
        <v>2</v>
      </c>
      <c r="AH1322" s="41">
        <f>IFERROR(LOOKUP(U1322,打分卡!$F$12:$J$12,打分卡!$K$12:$O$12),1)</f>
        <v>1</v>
      </c>
      <c r="AI1322" s="41">
        <f>IFERROR(LOOKUP(X1322,打分卡!$F$13:$J$13,打分卡!$K$13:$O$13),1)</f>
        <v>1</v>
      </c>
      <c r="AJ1322" s="41">
        <f>IFERROR(LOOKUP(Y1322,打分卡!$F$14:$J$14,打分卡!$K$14:$O$14),1)</f>
        <v>1</v>
      </c>
      <c r="AK1322" s="41">
        <f>IFERROR(LOOKUP(W1322,打分卡!$F$15:$J$15,打分卡!$K$15:$O$15),1)</f>
        <v>2</v>
      </c>
      <c r="AL1322" s="43">
        <f t="shared" si="161"/>
        <v>5</v>
      </c>
      <c r="AM1322" s="41">
        <f>IFERROR(LOOKUP(Z1322,打分卡!$F$17:$H$17,打分卡!$K$17:$M$17),1)</f>
        <v>1</v>
      </c>
      <c r="AN1322" s="44">
        <f>(打分卡!$D$7*AC1322+打分卡!$D$8*AD1322+打分卡!$D$9*AE1322)/5</f>
        <v>8</v>
      </c>
      <c r="AO1322" s="44">
        <f>(打分卡!$D$10*AF1322+打分卡!$D$11*AG1322)/5</f>
        <v>6</v>
      </c>
      <c r="AP1322" s="44">
        <f>(打分卡!$D$12*AH1322+打分卡!$D$13*AI1322+打分卡!$D$14*AJ1322+打分卡!$D$15*AK1322)/5</f>
        <v>6.8</v>
      </c>
      <c r="AQ1322" s="44">
        <f>(打分卡!$D$16*AL1322+打分卡!$D$17*AM1322)/5</f>
        <v>6.8</v>
      </c>
      <c r="AR1322" s="47">
        <f t="shared" si="162"/>
        <v>28.6666666666667</v>
      </c>
      <c r="AS1322" s="43" t="str">
        <f t="shared" si="163"/>
        <v>基础长尾</v>
      </c>
      <c r="AT1322" s="43" t="str">
        <f t="shared" si="164"/>
        <v/>
      </c>
      <c r="AU1322" s="43" t="str">
        <f t="shared" si="165"/>
        <v>激活：企微+Push低成本先跑</v>
      </c>
    </row>
    <row r="1323" ht="15" customHeight="1" spans="1:47">
      <c r="A1323" s="20" t="s">
        <v>3435</v>
      </c>
      <c r="B1323" s="22" t="s">
        <v>3436</v>
      </c>
      <c r="C1323" s="22" t="s">
        <v>179</v>
      </c>
      <c r="D1323" s="22" t="s">
        <v>227</v>
      </c>
      <c r="E1323" s="22" t="s">
        <v>181</v>
      </c>
      <c r="F1323" s="20" t="s">
        <v>2325</v>
      </c>
      <c r="G1323" s="22">
        <v>2</v>
      </c>
      <c r="H1323" s="22" t="s">
        <v>642</v>
      </c>
      <c r="I1323" s="22" t="s">
        <v>302</v>
      </c>
      <c r="J1323" s="36">
        <v>400</v>
      </c>
      <c r="K1323" s="36">
        <v>100</v>
      </c>
      <c r="L1323" s="36">
        <v>100</v>
      </c>
      <c r="M1323" s="36">
        <f t="shared" si="160"/>
        <v>600</v>
      </c>
      <c r="N1323" s="34">
        <f t="shared" si="166"/>
        <v>3.14558391474209e-6</v>
      </c>
      <c r="O1323" s="35">
        <f>SUM($M$2:M1323)</f>
        <v>190717100</v>
      </c>
      <c r="P1323" s="34">
        <f t="shared" si="167"/>
        <v>0.999861070043766</v>
      </c>
      <c r="Q1323" s="39">
        <v>0.1</v>
      </c>
      <c r="R1323" s="22">
        <v>1</v>
      </c>
      <c r="S1323" s="22">
        <v>0</v>
      </c>
      <c r="T1323" s="22">
        <v>0</v>
      </c>
      <c r="U1323" s="39">
        <v>15.1</v>
      </c>
      <c r="V1323" s="22">
        <v>9</v>
      </c>
      <c r="W1323" s="22">
        <v>2</v>
      </c>
      <c r="X1323" s="40">
        <v>5</v>
      </c>
      <c r="Y1323" s="22">
        <v>1</v>
      </c>
      <c r="Z1323" s="22">
        <v>0</v>
      </c>
      <c r="AA1323" s="22" t="s">
        <v>199</v>
      </c>
      <c r="AB1323" s="22" t="s">
        <v>220</v>
      </c>
      <c r="AC1323" s="42">
        <f>IFERROR(LOOKUP(M1323,打分卡!$F$7:$J$7,打分卡!$K$7:$O$7),1)</f>
        <v>1</v>
      </c>
      <c r="AD1323" s="42">
        <f>IFERROR(LOOKUP(S1323,打分卡!$F$8:$J$8,打分卡!$K$8:$O$8),1)</f>
        <v>1</v>
      </c>
      <c r="AE1323" s="42">
        <f>IFERROR(LOOKUP(T1323,打分卡!$F$9:$I$9,打分卡!$K$9:$N$9),1)</f>
        <v>1</v>
      </c>
      <c r="AF1323" s="42">
        <f>IFERROR(LOOKUP(Q1323,打分卡!$F$10:$J$10,打分卡!$K$10:$O$10),1)</f>
        <v>1</v>
      </c>
      <c r="AG1323" s="42">
        <f>IFERROR(LOOKUP(R1323,打分卡!$F$11:$J$11,打分卡!$K$11:$O$11),1)</f>
        <v>1</v>
      </c>
      <c r="AH1323" s="42">
        <f>IFERROR(LOOKUP(U1323,打分卡!$F$12:$J$12,打分卡!$K$12:$O$12),1)</f>
        <v>3</v>
      </c>
      <c r="AI1323" s="42">
        <f>IFERROR(LOOKUP(X1323,打分卡!$F$13:$J$13,打分卡!$K$13:$O$13),1)</f>
        <v>1</v>
      </c>
      <c r="AJ1323" s="42">
        <f>IFERROR(LOOKUP(Y1323,打分卡!$F$14:$J$14,打分卡!$K$14:$O$14),1)</f>
        <v>2</v>
      </c>
      <c r="AK1323" s="42">
        <f>IFERROR(LOOKUP(W1323,打分卡!$F$15:$J$15,打分卡!$K$15:$O$15),1)</f>
        <v>2</v>
      </c>
      <c r="AL1323" s="45">
        <f t="shared" si="161"/>
        <v>5</v>
      </c>
      <c r="AM1323" s="42">
        <f>IFERROR(LOOKUP(Z1323,打分卡!$F$17:$H$17,打分卡!$K$17:$M$17),1)</f>
        <v>1</v>
      </c>
      <c r="AN1323" s="46">
        <f>(打分卡!$D$7*AC1323+打分卡!$D$8*AD1323+打分卡!$D$9*AE1323)/5</f>
        <v>8</v>
      </c>
      <c r="AO1323" s="46">
        <f>(打分卡!$D$10*AF1323+打分卡!$D$11*AG1323)/5</f>
        <v>4</v>
      </c>
      <c r="AP1323" s="46">
        <f>(打分卡!$D$12*AH1323+打分卡!$D$13*AI1323+打分卡!$D$14*AJ1323+打分卡!$D$15*AK1323)/5</f>
        <v>12.8</v>
      </c>
      <c r="AQ1323" s="46">
        <f>(打分卡!$D$16*AL1323+打分卡!$D$17*AM1323)/5</f>
        <v>6.8</v>
      </c>
      <c r="AR1323" s="48">
        <f t="shared" si="162"/>
        <v>40.6666666666667</v>
      </c>
      <c r="AS1323" s="45" t="str">
        <f t="shared" si="163"/>
        <v>腰部</v>
      </c>
      <c r="AT1323" s="45" t="str">
        <f t="shared" si="164"/>
        <v/>
      </c>
      <c r="AU1323" s="45" t="str">
        <f t="shared" si="165"/>
        <v>拉·主攻：主推AI外呼+大促作战包</v>
      </c>
    </row>
    <row r="1324" ht="15" customHeight="1" spans="1:47">
      <c r="A1324" s="30" t="s">
        <v>3437</v>
      </c>
      <c r="B1324" s="31" t="s">
        <v>3438</v>
      </c>
      <c r="C1324" s="31" t="s">
        <v>179</v>
      </c>
      <c r="D1324" s="31" t="s">
        <v>196</v>
      </c>
      <c r="E1324" s="31" t="s">
        <v>181</v>
      </c>
      <c r="F1324" s="30" t="s">
        <v>1345</v>
      </c>
      <c r="G1324" s="31">
        <v>3</v>
      </c>
      <c r="H1324" s="31" t="s">
        <v>642</v>
      </c>
      <c r="I1324" s="31" t="s">
        <v>302</v>
      </c>
      <c r="J1324" s="33">
        <v>400</v>
      </c>
      <c r="K1324" s="33">
        <v>100</v>
      </c>
      <c r="L1324" s="33">
        <v>100</v>
      </c>
      <c r="M1324" s="33">
        <f t="shared" si="160"/>
        <v>600</v>
      </c>
      <c r="N1324" s="34">
        <f t="shared" si="166"/>
        <v>3.14558391474209e-6</v>
      </c>
      <c r="O1324" s="35">
        <f>SUM($M$2:M1324)</f>
        <v>190717700</v>
      </c>
      <c r="P1324" s="34">
        <f t="shared" si="167"/>
        <v>0.99986421562768</v>
      </c>
      <c r="Q1324" s="37">
        <v>0</v>
      </c>
      <c r="R1324" s="31">
        <v>1</v>
      </c>
      <c r="S1324" s="31">
        <v>0</v>
      </c>
      <c r="T1324" s="31">
        <v>0</v>
      </c>
      <c r="U1324" s="37">
        <v>15.2</v>
      </c>
      <c r="V1324" s="31">
        <v>2</v>
      </c>
      <c r="W1324" s="31">
        <v>1</v>
      </c>
      <c r="X1324" s="38">
        <v>20</v>
      </c>
      <c r="Y1324" s="31">
        <v>0</v>
      </c>
      <c r="Z1324" s="31">
        <v>0</v>
      </c>
      <c r="AA1324" s="31" t="s">
        <v>199</v>
      </c>
      <c r="AB1324" s="31" t="s">
        <v>220</v>
      </c>
      <c r="AC1324" s="41">
        <f>IFERROR(LOOKUP(M1324,打分卡!$F$7:$J$7,打分卡!$K$7:$O$7),1)</f>
        <v>1</v>
      </c>
      <c r="AD1324" s="41">
        <f>IFERROR(LOOKUP(S1324,打分卡!$F$8:$J$8,打分卡!$K$8:$O$8),1)</f>
        <v>1</v>
      </c>
      <c r="AE1324" s="41">
        <f>IFERROR(LOOKUP(T1324,打分卡!$F$9:$I$9,打分卡!$K$9:$N$9),1)</f>
        <v>1</v>
      </c>
      <c r="AF1324" s="41">
        <f>IFERROR(LOOKUP(Q1324,打分卡!$F$10:$J$10,打分卡!$K$10:$O$10),1)</f>
        <v>1</v>
      </c>
      <c r="AG1324" s="41">
        <f>IFERROR(LOOKUP(R1324,打分卡!$F$11:$J$11,打分卡!$K$11:$O$11),1)</f>
        <v>1</v>
      </c>
      <c r="AH1324" s="41">
        <f>IFERROR(LOOKUP(U1324,打分卡!$F$12:$J$12,打分卡!$K$12:$O$12),1)</f>
        <v>3</v>
      </c>
      <c r="AI1324" s="41">
        <f>IFERROR(LOOKUP(X1324,打分卡!$F$13:$J$13,打分卡!$K$13:$O$13),1)</f>
        <v>2</v>
      </c>
      <c r="AJ1324" s="41">
        <f>IFERROR(LOOKUP(Y1324,打分卡!$F$14:$J$14,打分卡!$K$14:$O$14),1)</f>
        <v>1</v>
      </c>
      <c r="AK1324" s="41">
        <f>IFERROR(LOOKUP(W1324,打分卡!$F$15:$J$15,打分卡!$K$15:$O$15),1)</f>
        <v>2</v>
      </c>
      <c r="AL1324" s="43">
        <f t="shared" si="161"/>
        <v>5</v>
      </c>
      <c r="AM1324" s="41">
        <f>IFERROR(LOOKUP(Z1324,打分卡!$F$17:$H$17,打分卡!$K$17:$M$17),1)</f>
        <v>1</v>
      </c>
      <c r="AN1324" s="44">
        <f>(打分卡!$D$7*AC1324+打分卡!$D$8*AD1324+打分卡!$D$9*AE1324)/5</f>
        <v>8</v>
      </c>
      <c r="AO1324" s="44">
        <f>(打分卡!$D$10*AF1324+打分卡!$D$11*AG1324)/5</f>
        <v>4</v>
      </c>
      <c r="AP1324" s="44">
        <f>(打分卡!$D$12*AH1324+打分卡!$D$13*AI1324+打分卡!$D$14*AJ1324+打分卡!$D$15*AK1324)/5</f>
        <v>13.2</v>
      </c>
      <c r="AQ1324" s="44">
        <f>(打分卡!$D$16*AL1324+打分卡!$D$17*AM1324)/5</f>
        <v>6.8</v>
      </c>
      <c r="AR1324" s="47">
        <f t="shared" si="162"/>
        <v>32</v>
      </c>
      <c r="AS1324" s="43" t="str">
        <f t="shared" si="163"/>
        <v>基础长尾</v>
      </c>
      <c r="AT1324" s="43" t="str">
        <f t="shared" si="164"/>
        <v/>
      </c>
      <c r="AU1324" s="43" t="str">
        <f t="shared" si="165"/>
        <v>激活：企微+Push低成本先跑</v>
      </c>
    </row>
    <row r="1325" ht="15" customHeight="1" spans="1:47">
      <c r="A1325" s="20" t="s">
        <v>3439</v>
      </c>
      <c r="B1325" s="22" t="s">
        <v>3440</v>
      </c>
      <c r="C1325" s="22" t="s">
        <v>179</v>
      </c>
      <c r="D1325" s="22" t="s">
        <v>202</v>
      </c>
      <c r="E1325" s="22" t="s">
        <v>181</v>
      </c>
      <c r="F1325" s="20" t="s">
        <v>2721</v>
      </c>
      <c r="G1325" s="22">
        <v>2</v>
      </c>
      <c r="H1325" s="22" t="s">
        <v>642</v>
      </c>
      <c r="I1325" s="22" t="s">
        <v>302</v>
      </c>
      <c r="J1325" s="36">
        <v>400</v>
      </c>
      <c r="K1325" s="36">
        <v>200</v>
      </c>
      <c r="L1325" s="36">
        <v>100</v>
      </c>
      <c r="M1325" s="36">
        <f t="shared" si="160"/>
        <v>700</v>
      </c>
      <c r="N1325" s="34">
        <f t="shared" si="166"/>
        <v>3.66984790053244e-6</v>
      </c>
      <c r="O1325" s="35">
        <f>SUM($M$2:M1325)</f>
        <v>190718400</v>
      </c>
      <c r="P1325" s="34">
        <f t="shared" si="167"/>
        <v>0.999867885475581</v>
      </c>
      <c r="Q1325" s="39">
        <v>0.1</v>
      </c>
      <c r="R1325" s="22">
        <v>2</v>
      </c>
      <c r="S1325" s="22">
        <v>0</v>
      </c>
      <c r="T1325" s="22">
        <v>0</v>
      </c>
      <c r="U1325" s="39">
        <v>12</v>
      </c>
      <c r="V1325" s="22">
        <v>2</v>
      </c>
      <c r="W1325" s="22">
        <v>0</v>
      </c>
      <c r="X1325" s="40">
        <v>39</v>
      </c>
      <c r="Y1325" s="22">
        <v>1</v>
      </c>
      <c r="Z1325" s="22">
        <v>0</v>
      </c>
      <c r="AA1325" s="22" t="s">
        <v>199</v>
      </c>
      <c r="AB1325" s="22" t="s">
        <v>220</v>
      </c>
      <c r="AC1325" s="42">
        <f>IFERROR(LOOKUP(M1325,打分卡!$F$7:$J$7,打分卡!$K$7:$O$7),1)</f>
        <v>1</v>
      </c>
      <c r="AD1325" s="42">
        <f>IFERROR(LOOKUP(S1325,打分卡!$F$8:$J$8,打分卡!$K$8:$O$8),1)</f>
        <v>1</v>
      </c>
      <c r="AE1325" s="42">
        <f>IFERROR(LOOKUP(T1325,打分卡!$F$9:$I$9,打分卡!$K$9:$N$9),1)</f>
        <v>1</v>
      </c>
      <c r="AF1325" s="42">
        <f>IFERROR(LOOKUP(Q1325,打分卡!$F$10:$J$10,打分卡!$K$10:$O$10),1)</f>
        <v>1</v>
      </c>
      <c r="AG1325" s="42">
        <f>IFERROR(LOOKUP(R1325,打分卡!$F$11:$J$11,打分卡!$K$11:$O$11),1)</f>
        <v>1</v>
      </c>
      <c r="AH1325" s="42">
        <f>IFERROR(LOOKUP(U1325,打分卡!$F$12:$J$12,打分卡!$K$12:$O$12),1)</f>
        <v>3</v>
      </c>
      <c r="AI1325" s="42">
        <f>IFERROR(LOOKUP(X1325,打分卡!$F$13:$J$13,打分卡!$K$13:$O$13),1)</f>
        <v>3</v>
      </c>
      <c r="AJ1325" s="42">
        <f>IFERROR(LOOKUP(Y1325,打分卡!$F$14:$J$14,打分卡!$K$14:$O$14),1)</f>
        <v>2</v>
      </c>
      <c r="AK1325" s="42">
        <f>IFERROR(LOOKUP(W1325,打分卡!$F$15:$J$15,打分卡!$K$15:$O$15),1)</f>
        <v>1</v>
      </c>
      <c r="AL1325" s="45">
        <f t="shared" si="161"/>
        <v>5</v>
      </c>
      <c r="AM1325" s="42">
        <f>IFERROR(LOOKUP(Z1325,打分卡!$F$17:$H$17,打分卡!$K$17:$M$17),1)</f>
        <v>1</v>
      </c>
      <c r="AN1325" s="46">
        <f>(打分卡!$D$7*AC1325+打分卡!$D$8*AD1325+打分卡!$D$9*AE1325)/5</f>
        <v>8</v>
      </c>
      <c r="AO1325" s="46">
        <f>(打分卡!$D$10*AF1325+打分卡!$D$11*AG1325)/5</f>
        <v>4</v>
      </c>
      <c r="AP1325" s="46">
        <f>(打分卡!$D$12*AH1325+打分卡!$D$13*AI1325+打分卡!$D$14*AJ1325+打分卡!$D$15*AK1325)/5</f>
        <v>15.2</v>
      </c>
      <c r="AQ1325" s="46">
        <f>(打分卡!$D$16*AL1325+打分卡!$D$17*AM1325)/5</f>
        <v>6.8</v>
      </c>
      <c r="AR1325" s="48">
        <f t="shared" si="162"/>
        <v>46.2666666666667</v>
      </c>
      <c r="AS1325" s="45" t="str">
        <f t="shared" si="163"/>
        <v>腰部</v>
      </c>
      <c r="AT1325" s="45" t="str">
        <f t="shared" si="164"/>
        <v/>
      </c>
      <c r="AU1325" s="45" t="str">
        <f t="shared" si="165"/>
        <v>拉·主攻：主推AI外呼+大促作战包</v>
      </c>
    </row>
    <row r="1326" ht="15" customHeight="1" spans="1:47">
      <c r="A1326" s="30" t="s">
        <v>3441</v>
      </c>
      <c r="B1326" s="31" t="s">
        <v>3442</v>
      </c>
      <c r="C1326" s="31" t="s">
        <v>179</v>
      </c>
      <c r="D1326" s="31" t="s">
        <v>252</v>
      </c>
      <c r="E1326" s="31" t="s">
        <v>181</v>
      </c>
      <c r="F1326" s="30" t="s">
        <v>2711</v>
      </c>
      <c r="G1326" s="31">
        <v>1</v>
      </c>
      <c r="H1326" s="31" t="s">
        <v>642</v>
      </c>
      <c r="I1326" s="31" t="s">
        <v>302</v>
      </c>
      <c r="J1326" s="33">
        <v>400</v>
      </c>
      <c r="K1326" s="33">
        <v>200</v>
      </c>
      <c r="L1326" s="33">
        <v>0</v>
      </c>
      <c r="M1326" s="33">
        <f t="shared" si="160"/>
        <v>600</v>
      </c>
      <c r="N1326" s="34">
        <f t="shared" si="166"/>
        <v>3.14558391474209e-6</v>
      </c>
      <c r="O1326" s="35">
        <f>SUM($M$2:M1326)</f>
        <v>190719000</v>
      </c>
      <c r="P1326" s="34">
        <f t="shared" si="167"/>
        <v>0.999871031059496</v>
      </c>
      <c r="Q1326" s="37">
        <v>0</v>
      </c>
      <c r="R1326" s="31">
        <v>3</v>
      </c>
      <c r="S1326" s="31">
        <v>0</v>
      </c>
      <c r="T1326" s="31">
        <v>0</v>
      </c>
      <c r="U1326" s="37">
        <v>21.4</v>
      </c>
      <c r="V1326" s="31">
        <v>13</v>
      </c>
      <c r="W1326" s="31">
        <v>1</v>
      </c>
      <c r="X1326" s="38">
        <v>43</v>
      </c>
      <c r="Y1326" s="31">
        <v>1</v>
      </c>
      <c r="Z1326" s="31">
        <v>0</v>
      </c>
      <c r="AA1326" s="31" t="s">
        <v>199</v>
      </c>
      <c r="AB1326" s="31" t="s">
        <v>220</v>
      </c>
      <c r="AC1326" s="41">
        <f>IFERROR(LOOKUP(M1326,打分卡!$F$7:$J$7,打分卡!$K$7:$O$7),1)</f>
        <v>1</v>
      </c>
      <c r="AD1326" s="41">
        <f>IFERROR(LOOKUP(S1326,打分卡!$F$8:$J$8,打分卡!$K$8:$O$8),1)</f>
        <v>1</v>
      </c>
      <c r="AE1326" s="41">
        <f>IFERROR(LOOKUP(T1326,打分卡!$F$9:$I$9,打分卡!$K$9:$N$9),1)</f>
        <v>1</v>
      </c>
      <c r="AF1326" s="41">
        <f>IFERROR(LOOKUP(Q1326,打分卡!$F$10:$J$10,打分卡!$K$10:$O$10),1)</f>
        <v>1</v>
      </c>
      <c r="AG1326" s="41">
        <f>IFERROR(LOOKUP(R1326,打分卡!$F$11:$J$11,打分卡!$K$11:$O$11),1)</f>
        <v>2</v>
      </c>
      <c r="AH1326" s="41">
        <f>IFERROR(LOOKUP(U1326,打分卡!$F$12:$J$12,打分卡!$K$12:$O$12),1)</f>
        <v>3</v>
      </c>
      <c r="AI1326" s="41">
        <f>IFERROR(LOOKUP(X1326,打分卡!$F$13:$J$13,打分卡!$K$13:$O$13),1)</f>
        <v>3</v>
      </c>
      <c r="AJ1326" s="41">
        <f>IFERROR(LOOKUP(Y1326,打分卡!$F$14:$J$14,打分卡!$K$14:$O$14),1)</f>
        <v>2</v>
      </c>
      <c r="AK1326" s="41">
        <f>IFERROR(LOOKUP(W1326,打分卡!$F$15:$J$15,打分卡!$K$15:$O$15),1)</f>
        <v>2</v>
      </c>
      <c r="AL1326" s="43">
        <f t="shared" si="161"/>
        <v>5</v>
      </c>
      <c r="AM1326" s="41">
        <f>IFERROR(LOOKUP(Z1326,打分卡!$F$17:$H$17,打分卡!$K$17:$M$17),1)</f>
        <v>1</v>
      </c>
      <c r="AN1326" s="44">
        <f>(打分卡!$D$7*AC1326+打分卡!$D$8*AD1326+打分卡!$D$9*AE1326)/5</f>
        <v>8</v>
      </c>
      <c r="AO1326" s="44">
        <f>(打分卡!$D$10*AF1326+打分卡!$D$11*AG1326)/5</f>
        <v>6</v>
      </c>
      <c r="AP1326" s="44">
        <f>(打分卡!$D$12*AH1326+打分卡!$D$13*AI1326+打分卡!$D$14*AJ1326+打分卡!$D$15*AK1326)/5</f>
        <v>16</v>
      </c>
      <c r="AQ1326" s="44">
        <f>(打分卡!$D$16*AL1326+打分卡!$D$17*AM1326)/5</f>
        <v>6.8</v>
      </c>
      <c r="AR1326" s="47">
        <f t="shared" si="162"/>
        <v>50.1333333333333</v>
      </c>
      <c r="AS1326" s="43" t="str">
        <f t="shared" si="163"/>
        <v>腰部</v>
      </c>
      <c r="AT1326" s="43" t="str">
        <f t="shared" si="164"/>
        <v/>
      </c>
      <c r="AU1326" s="43" t="str">
        <f t="shared" si="165"/>
        <v>拉·主攻：主推AI外呼+大促作战包</v>
      </c>
    </row>
    <row r="1327" ht="15" customHeight="1" spans="1:47">
      <c r="A1327" s="20" t="s">
        <v>3443</v>
      </c>
      <c r="B1327" s="22" t="s">
        <v>3444</v>
      </c>
      <c r="C1327" s="22" t="s">
        <v>209</v>
      </c>
      <c r="D1327" s="22" t="s">
        <v>202</v>
      </c>
      <c r="E1327" s="22" t="s">
        <v>181</v>
      </c>
      <c r="F1327" s="20" t="s">
        <v>2773</v>
      </c>
      <c r="G1327" s="22">
        <v>2</v>
      </c>
      <c r="H1327" s="22" t="s">
        <v>642</v>
      </c>
      <c r="I1327" s="22" t="s">
        <v>302</v>
      </c>
      <c r="J1327" s="36">
        <v>300</v>
      </c>
      <c r="K1327" s="36">
        <v>200</v>
      </c>
      <c r="L1327" s="36">
        <v>100</v>
      </c>
      <c r="M1327" s="36">
        <f t="shared" si="160"/>
        <v>600</v>
      </c>
      <c r="N1327" s="34">
        <f t="shared" si="166"/>
        <v>3.14558391474209e-6</v>
      </c>
      <c r="O1327" s="35">
        <f>SUM($M$2:M1327)</f>
        <v>190719600</v>
      </c>
      <c r="P1327" s="34">
        <f t="shared" si="167"/>
        <v>0.99987417664341</v>
      </c>
      <c r="Q1327" s="39">
        <v>0</v>
      </c>
      <c r="R1327" s="22">
        <v>1</v>
      </c>
      <c r="S1327" s="22">
        <v>1</v>
      </c>
      <c r="T1327" s="22">
        <v>0</v>
      </c>
      <c r="U1327" s="39">
        <v>3.1</v>
      </c>
      <c r="V1327" s="22">
        <v>4</v>
      </c>
      <c r="W1327" s="22">
        <v>0</v>
      </c>
      <c r="X1327" s="40">
        <v>7</v>
      </c>
      <c r="Y1327" s="22">
        <v>1</v>
      </c>
      <c r="Z1327" s="22">
        <v>0</v>
      </c>
      <c r="AA1327" s="22" t="s">
        <v>199</v>
      </c>
      <c r="AB1327" s="22" t="s">
        <v>220</v>
      </c>
      <c r="AC1327" s="42">
        <f>IFERROR(LOOKUP(M1327,打分卡!$F$7:$J$7,打分卡!$K$7:$O$7),1)</f>
        <v>1</v>
      </c>
      <c r="AD1327" s="42">
        <f>IFERROR(LOOKUP(S1327,打分卡!$F$8:$J$8,打分卡!$K$8:$O$8),1)</f>
        <v>1</v>
      </c>
      <c r="AE1327" s="42">
        <f>IFERROR(LOOKUP(T1327,打分卡!$F$9:$I$9,打分卡!$K$9:$N$9),1)</f>
        <v>1</v>
      </c>
      <c r="AF1327" s="42">
        <f>IFERROR(LOOKUP(Q1327,打分卡!$F$10:$J$10,打分卡!$K$10:$O$10),1)</f>
        <v>1</v>
      </c>
      <c r="AG1327" s="42">
        <f>IFERROR(LOOKUP(R1327,打分卡!$F$11:$J$11,打分卡!$K$11:$O$11),1)</f>
        <v>1</v>
      </c>
      <c r="AH1327" s="42">
        <f>IFERROR(LOOKUP(U1327,打分卡!$F$12:$J$12,打分卡!$K$12:$O$12),1)</f>
        <v>2</v>
      </c>
      <c r="AI1327" s="42">
        <f>IFERROR(LOOKUP(X1327,打分卡!$F$13:$J$13,打分卡!$K$13:$O$13),1)</f>
        <v>1</v>
      </c>
      <c r="AJ1327" s="42">
        <f>IFERROR(LOOKUP(Y1327,打分卡!$F$14:$J$14,打分卡!$K$14:$O$14),1)</f>
        <v>2</v>
      </c>
      <c r="AK1327" s="42">
        <f>IFERROR(LOOKUP(W1327,打分卡!$F$15:$J$15,打分卡!$K$15:$O$15),1)</f>
        <v>1</v>
      </c>
      <c r="AL1327" s="45">
        <f t="shared" si="161"/>
        <v>5</v>
      </c>
      <c r="AM1327" s="42">
        <f>IFERROR(LOOKUP(Z1327,打分卡!$F$17:$H$17,打分卡!$K$17:$M$17),1)</f>
        <v>1</v>
      </c>
      <c r="AN1327" s="46">
        <f>(打分卡!$D$7*AC1327+打分卡!$D$8*AD1327+打分卡!$D$9*AE1327)/5</f>
        <v>8</v>
      </c>
      <c r="AO1327" s="46">
        <f>(打分卡!$D$10*AF1327+打分卡!$D$11*AG1327)/5</f>
        <v>4</v>
      </c>
      <c r="AP1327" s="46">
        <f>(打分卡!$D$12*AH1327+打分卡!$D$13*AI1327+打分卡!$D$14*AJ1327+打分卡!$D$15*AK1327)/5</f>
        <v>9.6</v>
      </c>
      <c r="AQ1327" s="46">
        <f>(打分卡!$D$16*AL1327+打分卡!$D$17*AM1327)/5</f>
        <v>6.8</v>
      </c>
      <c r="AR1327" s="48">
        <f t="shared" si="162"/>
        <v>33.2</v>
      </c>
      <c r="AS1327" s="45" t="str">
        <f t="shared" si="163"/>
        <v>基础长尾</v>
      </c>
      <c r="AT1327" s="45" t="str">
        <f t="shared" si="164"/>
        <v/>
      </c>
      <c r="AU1327" s="45" t="str">
        <f t="shared" si="165"/>
        <v>激活：企微+Push低成本先跑</v>
      </c>
    </row>
    <row r="1328" ht="15" customHeight="1" spans="1:47">
      <c r="A1328" s="30" t="s">
        <v>3445</v>
      </c>
      <c r="B1328" s="31" t="s">
        <v>3446</v>
      </c>
      <c r="C1328" s="31" t="s">
        <v>179</v>
      </c>
      <c r="D1328" s="31" t="s">
        <v>235</v>
      </c>
      <c r="E1328" s="31" t="s">
        <v>181</v>
      </c>
      <c r="F1328" s="30" t="s">
        <v>2888</v>
      </c>
      <c r="G1328" s="31">
        <v>1</v>
      </c>
      <c r="H1328" s="31" t="s">
        <v>642</v>
      </c>
      <c r="I1328" s="31" t="s">
        <v>302</v>
      </c>
      <c r="J1328" s="33">
        <v>400</v>
      </c>
      <c r="K1328" s="33">
        <v>200</v>
      </c>
      <c r="L1328" s="33">
        <v>100</v>
      </c>
      <c r="M1328" s="33">
        <f t="shared" si="160"/>
        <v>700</v>
      </c>
      <c r="N1328" s="34">
        <f t="shared" si="166"/>
        <v>3.66984790053244e-6</v>
      </c>
      <c r="O1328" s="35">
        <f>SUM($M$2:M1328)</f>
        <v>190720300</v>
      </c>
      <c r="P1328" s="34">
        <f t="shared" si="167"/>
        <v>0.999877846491311</v>
      </c>
      <c r="Q1328" s="37">
        <v>0</v>
      </c>
      <c r="R1328" s="31">
        <v>2</v>
      </c>
      <c r="S1328" s="31">
        <v>0</v>
      </c>
      <c r="T1328" s="31">
        <v>0</v>
      </c>
      <c r="U1328" s="37">
        <v>7.5</v>
      </c>
      <c r="V1328" s="31">
        <v>3</v>
      </c>
      <c r="W1328" s="31">
        <v>2</v>
      </c>
      <c r="X1328" s="38">
        <v>7</v>
      </c>
      <c r="Y1328" s="31">
        <v>0</v>
      </c>
      <c r="Z1328" s="31">
        <v>0</v>
      </c>
      <c r="AA1328" s="31" t="s">
        <v>199</v>
      </c>
      <c r="AB1328" s="31" t="s">
        <v>220</v>
      </c>
      <c r="AC1328" s="41">
        <f>IFERROR(LOOKUP(M1328,打分卡!$F$7:$J$7,打分卡!$K$7:$O$7),1)</f>
        <v>1</v>
      </c>
      <c r="AD1328" s="41">
        <f>IFERROR(LOOKUP(S1328,打分卡!$F$8:$J$8,打分卡!$K$8:$O$8),1)</f>
        <v>1</v>
      </c>
      <c r="AE1328" s="41">
        <f>IFERROR(LOOKUP(T1328,打分卡!$F$9:$I$9,打分卡!$K$9:$N$9),1)</f>
        <v>1</v>
      </c>
      <c r="AF1328" s="41">
        <f>IFERROR(LOOKUP(Q1328,打分卡!$F$10:$J$10,打分卡!$K$10:$O$10),1)</f>
        <v>1</v>
      </c>
      <c r="AG1328" s="41">
        <f>IFERROR(LOOKUP(R1328,打分卡!$F$11:$J$11,打分卡!$K$11:$O$11),1)</f>
        <v>1</v>
      </c>
      <c r="AH1328" s="41">
        <f>IFERROR(LOOKUP(U1328,打分卡!$F$12:$J$12,打分卡!$K$12:$O$12),1)</f>
        <v>2</v>
      </c>
      <c r="AI1328" s="41">
        <f>IFERROR(LOOKUP(X1328,打分卡!$F$13:$J$13,打分卡!$K$13:$O$13),1)</f>
        <v>1</v>
      </c>
      <c r="AJ1328" s="41">
        <f>IFERROR(LOOKUP(Y1328,打分卡!$F$14:$J$14,打分卡!$K$14:$O$14),1)</f>
        <v>1</v>
      </c>
      <c r="AK1328" s="41">
        <f>IFERROR(LOOKUP(W1328,打分卡!$F$15:$J$15,打分卡!$K$15:$O$15),1)</f>
        <v>2</v>
      </c>
      <c r="AL1328" s="43">
        <f t="shared" si="161"/>
        <v>5</v>
      </c>
      <c r="AM1328" s="41">
        <f>IFERROR(LOOKUP(Z1328,打分卡!$F$17:$H$17,打分卡!$K$17:$M$17),1)</f>
        <v>1</v>
      </c>
      <c r="AN1328" s="44">
        <f>(打分卡!$D$7*AC1328+打分卡!$D$8*AD1328+打分卡!$D$9*AE1328)/5</f>
        <v>8</v>
      </c>
      <c r="AO1328" s="44">
        <f>(打分卡!$D$10*AF1328+打分卡!$D$11*AG1328)/5</f>
        <v>4</v>
      </c>
      <c r="AP1328" s="44">
        <f>(打分卡!$D$12*AH1328+打分卡!$D$13*AI1328+打分卡!$D$14*AJ1328+打分卡!$D$15*AK1328)/5</f>
        <v>9.2</v>
      </c>
      <c r="AQ1328" s="44">
        <f>(打分卡!$D$16*AL1328+打分卡!$D$17*AM1328)/5</f>
        <v>6.8</v>
      </c>
      <c r="AR1328" s="47">
        <f t="shared" si="162"/>
        <v>32.2666666666667</v>
      </c>
      <c r="AS1328" s="43" t="str">
        <f t="shared" si="163"/>
        <v>基础长尾</v>
      </c>
      <c r="AT1328" s="43" t="str">
        <f t="shared" si="164"/>
        <v/>
      </c>
      <c r="AU1328" s="43" t="str">
        <f t="shared" si="165"/>
        <v>激活：企微+Push低成本先跑</v>
      </c>
    </row>
    <row r="1329" ht="15" customHeight="1" spans="1:47">
      <c r="A1329" s="20" t="s">
        <v>3447</v>
      </c>
      <c r="B1329" s="22" t="s">
        <v>3448</v>
      </c>
      <c r="C1329" s="22" t="s">
        <v>195</v>
      </c>
      <c r="D1329" s="22" t="s">
        <v>202</v>
      </c>
      <c r="E1329" s="22" t="s">
        <v>181</v>
      </c>
      <c r="F1329" s="20" t="s">
        <v>2852</v>
      </c>
      <c r="G1329" s="22">
        <v>3</v>
      </c>
      <c r="H1329" s="22" t="s">
        <v>642</v>
      </c>
      <c r="I1329" s="22" t="s">
        <v>302</v>
      </c>
      <c r="J1329" s="36">
        <v>400</v>
      </c>
      <c r="K1329" s="36">
        <v>200</v>
      </c>
      <c r="L1329" s="36">
        <v>0</v>
      </c>
      <c r="M1329" s="36">
        <f t="shared" si="160"/>
        <v>600</v>
      </c>
      <c r="N1329" s="34">
        <f t="shared" si="166"/>
        <v>3.14558391474209e-6</v>
      </c>
      <c r="O1329" s="35">
        <f>SUM($M$2:M1329)</f>
        <v>190720900</v>
      </c>
      <c r="P1329" s="34">
        <f t="shared" si="167"/>
        <v>0.999880992075226</v>
      </c>
      <c r="Q1329" s="39">
        <v>0.1</v>
      </c>
      <c r="R1329" s="22">
        <v>2</v>
      </c>
      <c r="S1329" s="22">
        <v>1</v>
      </c>
      <c r="T1329" s="22">
        <v>0</v>
      </c>
      <c r="U1329" s="39">
        <v>1.8</v>
      </c>
      <c r="V1329" s="22">
        <v>14</v>
      </c>
      <c r="W1329" s="22">
        <v>2</v>
      </c>
      <c r="X1329" s="40">
        <v>27</v>
      </c>
      <c r="Y1329" s="22">
        <v>0</v>
      </c>
      <c r="Z1329" s="22">
        <v>0</v>
      </c>
      <c r="AA1329" s="22" t="s">
        <v>199</v>
      </c>
      <c r="AB1329" s="22" t="s">
        <v>220</v>
      </c>
      <c r="AC1329" s="42">
        <f>IFERROR(LOOKUP(M1329,打分卡!$F$7:$J$7,打分卡!$K$7:$O$7),1)</f>
        <v>1</v>
      </c>
      <c r="AD1329" s="42">
        <f>IFERROR(LOOKUP(S1329,打分卡!$F$8:$J$8,打分卡!$K$8:$O$8),1)</f>
        <v>1</v>
      </c>
      <c r="AE1329" s="42">
        <f>IFERROR(LOOKUP(T1329,打分卡!$F$9:$I$9,打分卡!$K$9:$N$9),1)</f>
        <v>1</v>
      </c>
      <c r="AF1329" s="42">
        <f>IFERROR(LOOKUP(Q1329,打分卡!$F$10:$J$10,打分卡!$K$10:$O$10),1)</f>
        <v>1</v>
      </c>
      <c r="AG1329" s="42">
        <f>IFERROR(LOOKUP(R1329,打分卡!$F$11:$J$11,打分卡!$K$11:$O$11),1)</f>
        <v>1</v>
      </c>
      <c r="AH1329" s="42">
        <f>IFERROR(LOOKUP(U1329,打分卡!$F$12:$J$12,打分卡!$K$12:$O$12),1)</f>
        <v>1</v>
      </c>
      <c r="AI1329" s="42">
        <f>IFERROR(LOOKUP(X1329,打分卡!$F$13:$J$13,打分卡!$K$13:$O$13),1)</f>
        <v>2</v>
      </c>
      <c r="AJ1329" s="42">
        <f>IFERROR(LOOKUP(Y1329,打分卡!$F$14:$J$14,打分卡!$K$14:$O$14),1)</f>
        <v>1</v>
      </c>
      <c r="AK1329" s="42">
        <f>IFERROR(LOOKUP(W1329,打分卡!$F$15:$J$15,打分卡!$K$15:$O$15),1)</f>
        <v>2</v>
      </c>
      <c r="AL1329" s="45">
        <f t="shared" si="161"/>
        <v>5</v>
      </c>
      <c r="AM1329" s="42">
        <f>IFERROR(LOOKUP(Z1329,打分卡!$F$17:$H$17,打分卡!$K$17:$M$17),1)</f>
        <v>1</v>
      </c>
      <c r="AN1329" s="46">
        <f>(打分卡!$D$7*AC1329+打分卡!$D$8*AD1329+打分卡!$D$9*AE1329)/5</f>
        <v>8</v>
      </c>
      <c r="AO1329" s="46">
        <f>(打分卡!$D$10*AF1329+打分卡!$D$11*AG1329)/5</f>
        <v>4</v>
      </c>
      <c r="AP1329" s="46">
        <f>(打分卡!$D$12*AH1329+打分卡!$D$13*AI1329+打分卡!$D$14*AJ1329+打分卡!$D$15*AK1329)/5</f>
        <v>8.4</v>
      </c>
      <c r="AQ1329" s="46">
        <f>(打分卡!$D$16*AL1329+打分卡!$D$17*AM1329)/5</f>
        <v>6.8</v>
      </c>
      <c r="AR1329" s="48">
        <f t="shared" si="162"/>
        <v>27.2</v>
      </c>
      <c r="AS1329" s="45" t="str">
        <f t="shared" si="163"/>
        <v>基础长尾</v>
      </c>
      <c r="AT1329" s="45" t="str">
        <f t="shared" si="164"/>
        <v/>
      </c>
      <c r="AU1329" s="45" t="str">
        <f t="shared" si="165"/>
        <v>激活：企微+Push低成本先跑</v>
      </c>
    </row>
    <row r="1330" ht="15" customHeight="1" spans="1:47">
      <c r="A1330" s="30" t="s">
        <v>3449</v>
      </c>
      <c r="B1330" s="31" t="s">
        <v>3450</v>
      </c>
      <c r="C1330" s="31" t="s">
        <v>209</v>
      </c>
      <c r="D1330" s="31" t="s">
        <v>202</v>
      </c>
      <c r="E1330" s="31" t="s">
        <v>181</v>
      </c>
      <c r="F1330" s="30" t="s">
        <v>2755</v>
      </c>
      <c r="G1330" s="31">
        <v>3</v>
      </c>
      <c r="H1330" s="31" t="s">
        <v>642</v>
      </c>
      <c r="I1330" s="31" t="s">
        <v>302</v>
      </c>
      <c r="J1330" s="33">
        <v>300</v>
      </c>
      <c r="K1330" s="33">
        <v>100</v>
      </c>
      <c r="L1330" s="33">
        <v>200</v>
      </c>
      <c r="M1330" s="33">
        <f t="shared" si="160"/>
        <v>600</v>
      </c>
      <c r="N1330" s="34">
        <f t="shared" si="166"/>
        <v>3.14558391474209e-6</v>
      </c>
      <c r="O1330" s="35">
        <f>SUM($M$2:M1330)</f>
        <v>190721500</v>
      </c>
      <c r="P1330" s="34">
        <f t="shared" si="167"/>
        <v>0.99988413765914</v>
      </c>
      <c r="Q1330" s="37">
        <v>0.1</v>
      </c>
      <c r="R1330" s="31">
        <v>2</v>
      </c>
      <c r="S1330" s="31">
        <v>0</v>
      </c>
      <c r="T1330" s="31">
        <v>0</v>
      </c>
      <c r="U1330" s="37">
        <v>35.7</v>
      </c>
      <c r="V1330" s="31">
        <v>1</v>
      </c>
      <c r="W1330" s="31">
        <v>1</v>
      </c>
      <c r="X1330" s="38">
        <v>19</v>
      </c>
      <c r="Y1330" s="31">
        <v>0</v>
      </c>
      <c r="Z1330" s="31">
        <v>0</v>
      </c>
      <c r="AA1330" s="31" t="s">
        <v>199</v>
      </c>
      <c r="AB1330" s="31" t="s">
        <v>220</v>
      </c>
      <c r="AC1330" s="41">
        <f>IFERROR(LOOKUP(M1330,打分卡!$F$7:$J$7,打分卡!$K$7:$O$7),1)</f>
        <v>1</v>
      </c>
      <c r="AD1330" s="41">
        <f>IFERROR(LOOKUP(S1330,打分卡!$F$8:$J$8,打分卡!$K$8:$O$8),1)</f>
        <v>1</v>
      </c>
      <c r="AE1330" s="41">
        <f>IFERROR(LOOKUP(T1330,打分卡!$F$9:$I$9,打分卡!$K$9:$N$9),1)</f>
        <v>1</v>
      </c>
      <c r="AF1330" s="41">
        <f>IFERROR(LOOKUP(Q1330,打分卡!$F$10:$J$10,打分卡!$K$10:$O$10),1)</f>
        <v>1</v>
      </c>
      <c r="AG1330" s="41">
        <f>IFERROR(LOOKUP(R1330,打分卡!$F$11:$J$11,打分卡!$K$11:$O$11),1)</f>
        <v>1</v>
      </c>
      <c r="AH1330" s="41">
        <f>IFERROR(LOOKUP(U1330,打分卡!$F$12:$J$12,打分卡!$K$12:$O$12),1)</f>
        <v>4</v>
      </c>
      <c r="AI1330" s="41">
        <f>IFERROR(LOOKUP(X1330,打分卡!$F$13:$J$13,打分卡!$K$13:$O$13),1)</f>
        <v>2</v>
      </c>
      <c r="AJ1330" s="41">
        <f>IFERROR(LOOKUP(Y1330,打分卡!$F$14:$J$14,打分卡!$K$14:$O$14),1)</f>
        <v>1</v>
      </c>
      <c r="AK1330" s="41">
        <f>IFERROR(LOOKUP(W1330,打分卡!$F$15:$J$15,打分卡!$K$15:$O$15),1)</f>
        <v>2</v>
      </c>
      <c r="AL1330" s="43">
        <f t="shared" si="161"/>
        <v>5</v>
      </c>
      <c r="AM1330" s="41">
        <f>IFERROR(LOOKUP(Z1330,打分卡!$F$17:$H$17,打分卡!$K$17:$M$17),1)</f>
        <v>1</v>
      </c>
      <c r="AN1330" s="44">
        <f>(打分卡!$D$7*AC1330+打分卡!$D$8*AD1330+打分卡!$D$9*AE1330)/5</f>
        <v>8</v>
      </c>
      <c r="AO1330" s="44">
        <f>(打分卡!$D$10*AF1330+打分卡!$D$11*AG1330)/5</f>
        <v>4</v>
      </c>
      <c r="AP1330" s="44">
        <f>(打分卡!$D$12*AH1330+打分卡!$D$13*AI1330+打分卡!$D$14*AJ1330+打分卡!$D$15*AK1330)/5</f>
        <v>15.6</v>
      </c>
      <c r="AQ1330" s="44">
        <f>(打分卡!$D$16*AL1330+打分卡!$D$17*AM1330)/5</f>
        <v>6.8</v>
      </c>
      <c r="AR1330" s="47">
        <f t="shared" si="162"/>
        <v>34.4</v>
      </c>
      <c r="AS1330" s="43" t="str">
        <f t="shared" si="163"/>
        <v>基础长尾</v>
      </c>
      <c r="AT1330" s="43" t="str">
        <f t="shared" si="164"/>
        <v/>
      </c>
      <c r="AU1330" s="43" t="str">
        <f t="shared" si="165"/>
        <v>激活：企微+Push低成本先跑</v>
      </c>
    </row>
    <row r="1331" ht="15" customHeight="1" spans="1:47">
      <c r="A1331" s="20" t="s">
        <v>3451</v>
      </c>
      <c r="B1331" s="22" t="s">
        <v>3452</v>
      </c>
      <c r="C1331" s="22" t="s">
        <v>179</v>
      </c>
      <c r="D1331" s="22" t="s">
        <v>196</v>
      </c>
      <c r="E1331" s="22" t="s">
        <v>181</v>
      </c>
      <c r="F1331" s="20" t="s">
        <v>2484</v>
      </c>
      <c r="G1331" s="22">
        <v>2</v>
      </c>
      <c r="H1331" s="22" t="s">
        <v>642</v>
      </c>
      <c r="I1331" s="22" t="s">
        <v>302</v>
      </c>
      <c r="J1331" s="36">
        <v>300</v>
      </c>
      <c r="K1331" s="36">
        <v>200</v>
      </c>
      <c r="L1331" s="36">
        <v>0</v>
      </c>
      <c r="M1331" s="36">
        <f t="shared" si="160"/>
        <v>500</v>
      </c>
      <c r="N1331" s="34">
        <f t="shared" si="166"/>
        <v>2.62131992895174e-6</v>
      </c>
      <c r="O1331" s="35">
        <f>SUM($M$2:M1331)</f>
        <v>190722000</v>
      </c>
      <c r="P1331" s="34">
        <f t="shared" si="167"/>
        <v>0.999886758979069</v>
      </c>
      <c r="Q1331" s="39">
        <v>0.1</v>
      </c>
      <c r="R1331" s="22">
        <v>2</v>
      </c>
      <c r="S1331" s="22">
        <v>0</v>
      </c>
      <c r="T1331" s="22">
        <v>0</v>
      </c>
      <c r="U1331" s="39">
        <v>1.3</v>
      </c>
      <c r="V1331" s="22">
        <v>2</v>
      </c>
      <c r="W1331" s="22">
        <v>2</v>
      </c>
      <c r="X1331" s="40">
        <v>17</v>
      </c>
      <c r="Y1331" s="22">
        <v>1</v>
      </c>
      <c r="Z1331" s="22">
        <v>0</v>
      </c>
      <c r="AA1331" s="22" t="s">
        <v>199</v>
      </c>
      <c r="AB1331" s="22" t="s">
        <v>220</v>
      </c>
      <c r="AC1331" s="42">
        <f>IFERROR(LOOKUP(M1331,打分卡!$F$7:$J$7,打分卡!$K$7:$O$7),1)</f>
        <v>1</v>
      </c>
      <c r="AD1331" s="42">
        <f>IFERROR(LOOKUP(S1331,打分卡!$F$8:$J$8,打分卡!$K$8:$O$8),1)</f>
        <v>1</v>
      </c>
      <c r="AE1331" s="42">
        <f>IFERROR(LOOKUP(T1331,打分卡!$F$9:$I$9,打分卡!$K$9:$N$9),1)</f>
        <v>1</v>
      </c>
      <c r="AF1331" s="42">
        <f>IFERROR(LOOKUP(Q1331,打分卡!$F$10:$J$10,打分卡!$K$10:$O$10),1)</f>
        <v>1</v>
      </c>
      <c r="AG1331" s="42">
        <f>IFERROR(LOOKUP(R1331,打分卡!$F$11:$J$11,打分卡!$K$11:$O$11),1)</f>
        <v>1</v>
      </c>
      <c r="AH1331" s="42">
        <f>IFERROR(LOOKUP(U1331,打分卡!$F$12:$J$12,打分卡!$K$12:$O$12),1)</f>
        <v>1</v>
      </c>
      <c r="AI1331" s="42">
        <f>IFERROR(LOOKUP(X1331,打分卡!$F$13:$J$13,打分卡!$K$13:$O$13),1)</f>
        <v>1</v>
      </c>
      <c r="AJ1331" s="42">
        <f>IFERROR(LOOKUP(Y1331,打分卡!$F$14:$J$14,打分卡!$K$14:$O$14),1)</f>
        <v>2</v>
      </c>
      <c r="AK1331" s="42">
        <f>IFERROR(LOOKUP(W1331,打分卡!$F$15:$J$15,打分卡!$K$15:$O$15),1)</f>
        <v>2</v>
      </c>
      <c r="AL1331" s="45">
        <f t="shared" si="161"/>
        <v>5</v>
      </c>
      <c r="AM1331" s="42">
        <f>IFERROR(LOOKUP(Z1331,打分卡!$F$17:$H$17,打分卡!$K$17:$M$17),1)</f>
        <v>1</v>
      </c>
      <c r="AN1331" s="46">
        <f>(打分卡!$D$7*AC1331+打分卡!$D$8*AD1331+打分卡!$D$9*AE1331)/5</f>
        <v>8</v>
      </c>
      <c r="AO1331" s="46">
        <f>(打分卡!$D$10*AF1331+打分卡!$D$11*AG1331)/5</f>
        <v>4</v>
      </c>
      <c r="AP1331" s="46">
        <f>(打分卡!$D$12*AH1331+打分卡!$D$13*AI1331+打分卡!$D$14*AJ1331+打分卡!$D$15*AK1331)/5</f>
        <v>8</v>
      </c>
      <c r="AQ1331" s="46">
        <f>(打分卡!$D$16*AL1331+打分卡!$D$17*AM1331)/5</f>
        <v>6.8</v>
      </c>
      <c r="AR1331" s="48">
        <f t="shared" si="162"/>
        <v>29.4666666666667</v>
      </c>
      <c r="AS1331" s="45" t="str">
        <f t="shared" si="163"/>
        <v>基础长尾</v>
      </c>
      <c r="AT1331" s="45" t="str">
        <f t="shared" si="164"/>
        <v/>
      </c>
      <c r="AU1331" s="45" t="str">
        <f t="shared" si="165"/>
        <v>激活：企微+Push低成本先跑</v>
      </c>
    </row>
    <row r="1332" ht="15" customHeight="1" spans="1:47">
      <c r="A1332" s="30" t="s">
        <v>3453</v>
      </c>
      <c r="B1332" s="31" t="s">
        <v>3454</v>
      </c>
      <c r="C1332" s="31" t="s">
        <v>195</v>
      </c>
      <c r="D1332" s="31" t="s">
        <v>227</v>
      </c>
      <c r="E1332" s="31" t="s">
        <v>181</v>
      </c>
      <c r="F1332" s="30" t="s">
        <v>2755</v>
      </c>
      <c r="G1332" s="31">
        <v>3</v>
      </c>
      <c r="H1332" s="31" t="s">
        <v>642</v>
      </c>
      <c r="I1332" s="31" t="s">
        <v>302</v>
      </c>
      <c r="J1332" s="33">
        <v>300</v>
      </c>
      <c r="K1332" s="33">
        <v>200</v>
      </c>
      <c r="L1332" s="33">
        <v>100</v>
      </c>
      <c r="M1332" s="33">
        <f t="shared" si="160"/>
        <v>600</v>
      </c>
      <c r="N1332" s="34">
        <f t="shared" si="166"/>
        <v>3.14558391474209e-6</v>
      </c>
      <c r="O1332" s="35">
        <f>SUM($M$2:M1332)</f>
        <v>190722600</v>
      </c>
      <c r="P1332" s="34">
        <f t="shared" si="167"/>
        <v>0.999889904562984</v>
      </c>
      <c r="Q1332" s="37">
        <v>0</v>
      </c>
      <c r="R1332" s="31">
        <v>3</v>
      </c>
      <c r="S1332" s="31">
        <v>0</v>
      </c>
      <c r="T1332" s="31">
        <v>0</v>
      </c>
      <c r="U1332" s="37">
        <v>0.5</v>
      </c>
      <c r="V1332" s="31">
        <v>2</v>
      </c>
      <c r="W1332" s="31">
        <v>2</v>
      </c>
      <c r="X1332" s="38">
        <v>9</v>
      </c>
      <c r="Y1332" s="31">
        <v>0</v>
      </c>
      <c r="Z1332" s="31">
        <v>0</v>
      </c>
      <c r="AA1332" s="31" t="s">
        <v>199</v>
      </c>
      <c r="AB1332" s="31" t="s">
        <v>220</v>
      </c>
      <c r="AC1332" s="41">
        <f>IFERROR(LOOKUP(M1332,打分卡!$F$7:$J$7,打分卡!$K$7:$O$7),1)</f>
        <v>1</v>
      </c>
      <c r="AD1332" s="41">
        <f>IFERROR(LOOKUP(S1332,打分卡!$F$8:$J$8,打分卡!$K$8:$O$8),1)</f>
        <v>1</v>
      </c>
      <c r="AE1332" s="41">
        <f>IFERROR(LOOKUP(T1332,打分卡!$F$9:$I$9,打分卡!$K$9:$N$9),1)</f>
        <v>1</v>
      </c>
      <c r="AF1332" s="41">
        <f>IFERROR(LOOKUP(Q1332,打分卡!$F$10:$J$10,打分卡!$K$10:$O$10),1)</f>
        <v>1</v>
      </c>
      <c r="AG1332" s="41">
        <f>IFERROR(LOOKUP(R1332,打分卡!$F$11:$J$11,打分卡!$K$11:$O$11),1)</f>
        <v>2</v>
      </c>
      <c r="AH1332" s="41">
        <f>IFERROR(LOOKUP(U1332,打分卡!$F$12:$J$12,打分卡!$K$12:$O$12),1)</f>
        <v>1</v>
      </c>
      <c r="AI1332" s="41">
        <f>IFERROR(LOOKUP(X1332,打分卡!$F$13:$J$13,打分卡!$K$13:$O$13),1)</f>
        <v>1</v>
      </c>
      <c r="AJ1332" s="41">
        <f>IFERROR(LOOKUP(Y1332,打分卡!$F$14:$J$14,打分卡!$K$14:$O$14),1)</f>
        <v>1</v>
      </c>
      <c r="AK1332" s="41">
        <f>IFERROR(LOOKUP(W1332,打分卡!$F$15:$J$15,打分卡!$K$15:$O$15),1)</f>
        <v>2</v>
      </c>
      <c r="AL1332" s="43">
        <f t="shared" si="161"/>
        <v>5</v>
      </c>
      <c r="AM1332" s="41">
        <f>IFERROR(LOOKUP(Z1332,打分卡!$F$17:$H$17,打分卡!$K$17:$M$17),1)</f>
        <v>1</v>
      </c>
      <c r="AN1332" s="44">
        <f>(打分卡!$D$7*AC1332+打分卡!$D$8*AD1332+打分卡!$D$9*AE1332)/5</f>
        <v>8</v>
      </c>
      <c r="AO1332" s="44">
        <f>(打分卡!$D$10*AF1332+打分卡!$D$11*AG1332)/5</f>
        <v>6</v>
      </c>
      <c r="AP1332" s="44">
        <f>(打分卡!$D$12*AH1332+打分卡!$D$13*AI1332+打分卡!$D$14*AJ1332+打分卡!$D$15*AK1332)/5</f>
        <v>6.8</v>
      </c>
      <c r="AQ1332" s="44">
        <f>(打分卡!$D$16*AL1332+打分卡!$D$17*AM1332)/5</f>
        <v>6.8</v>
      </c>
      <c r="AR1332" s="47">
        <f t="shared" si="162"/>
        <v>27.6</v>
      </c>
      <c r="AS1332" s="43" t="str">
        <f t="shared" si="163"/>
        <v>基础长尾</v>
      </c>
      <c r="AT1332" s="43" t="str">
        <f t="shared" si="164"/>
        <v/>
      </c>
      <c r="AU1332" s="43" t="str">
        <f t="shared" si="165"/>
        <v>激活：企微+Push低成本先跑</v>
      </c>
    </row>
    <row r="1333" ht="15" customHeight="1" spans="1:47">
      <c r="A1333" s="20" t="s">
        <v>3455</v>
      </c>
      <c r="B1333" s="22" t="s">
        <v>3456</v>
      </c>
      <c r="C1333" s="22" t="s">
        <v>223</v>
      </c>
      <c r="D1333" s="22" t="s">
        <v>202</v>
      </c>
      <c r="E1333" s="22" t="s">
        <v>181</v>
      </c>
      <c r="F1333" s="20" t="s">
        <v>2706</v>
      </c>
      <c r="G1333" s="22">
        <v>3</v>
      </c>
      <c r="H1333" s="22" t="s">
        <v>642</v>
      </c>
      <c r="I1333" s="22" t="s">
        <v>302</v>
      </c>
      <c r="J1333" s="36">
        <v>300</v>
      </c>
      <c r="K1333" s="36">
        <v>100</v>
      </c>
      <c r="L1333" s="36">
        <v>100</v>
      </c>
      <c r="M1333" s="36">
        <f t="shared" si="160"/>
        <v>500</v>
      </c>
      <c r="N1333" s="34">
        <f t="shared" si="166"/>
        <v>2.62131992895174e-6</v>
      </c>
      <c r="O1333" s="35">
        <f>SUM($M$2:M1333)</f>
        <v>190723100</v>
      </c>
      <c r="P1333" s="34">
        <f t="shared" si="167"/>
        <v>0.999892525882913</v>
      </c>
      <c r="Q1333" s="39">
        <v>0.1</v>
      </c>
      <c r="R1333" s="22">
        <v>1</v>
      </c>
      <c r="S1333" s="22">
        <v>0</v>
      </c>
      <c r="T1333" s="22">
        <v>0</v>
      </c>
      <c r="U1333" s="39">
        <v>2.7</v>
      </c>
      <c r="V1333" s="22">
        <v>6</v>
      </c>
      <c r="W1333" s="22">
        <v>2</v>
      </c>
      <c r="X1333" s="40">
        <v>14</v>
      </c>
      <c r="Y1333" s="22">
        <v>0</v>
      </c>
      <c r="Z1333" s="22">
        <v>0</v>
      </c>
      <c r="AA1333" s="22" t="s">
        <v>199</v>
      </c>
      <c r="AB1333" s="22" t="s">
        <v>220</v>
      </c>
      <c r="AC1333" s="42">
        <f>IFERROR(LOOKUP(M1333,打分卡!$F$7:$J$7,打分卡!$K$7:$O$7),1)</f>
        <v>1</v>
      </c>
      <c r="AD1333" s="42">
        <f>IFERROR(LOOKUP(S1333,打分卡!$F$8:$J$8,打分卡!$K$8:$O$8),1)</f>
        <v>1</v>
      </c>
      <c r="AE1333" s="42">
        <f>IFERROR(LOOKUP(T1333,打分卡!$F$9:$I$9,打分卡!$K$9:$N$9),1)</f>
        <v>1</v>
      </c>
      <c r="AF1333" s="42">
        <f>IFERROR(LOOKUP(Q1333,打分卡!$F$10:$J$10,打分卡!$K$10:$O$10),1)</f>
        <v>1</v>
      </c>
      <c r="AG1333" s="42">
        <f>IFERROR(LOOKUP(R1333,打分卡!$F$11:$J$11,打分卡!$K$11:$O$11),1)</f>
        <v>1</v>
      </c>
      <c r="AH1333" s="42">
        <f>IFERROR(LOOKUP(U1333,打分卡!$F$12:$J$12,打分卡!$K$12:$O$12),1)</f>
        <v>1</v>
      </c>
      <c r="AI1333" s="42">
        <f>IFERROR(LOOKUP(X1333,打分卡!$F$13:$J$13,打分卡!$K$13:$O$13),1)</f>
        <v>1</v>
      </c>
      <c r="AJ1333" s="42">
        <f>IFERROR(LOOKUP(Y1333,打分卡!$F$14:$J$14,打分卡!$K$14:$O$14),1)</f>
        <v>1</v>
      </c>
      <c r="AK1333" s="42">
        <f>IFERROR(LOOKUP(W1333,打分卡!$F$15:$J$15,打分卡!$K$15:$O$15),1)</f>
        <v>2</v>
      </c>
      <c r="AL1333" s="45">
        <f t="shared" si="161"/>
        <v>5</v>
      </c>
      <c r="AM1333" s="42">
        <f>IFERROR(LOOKUP(Z1333,打分卡!$F$17:$H$17,打分卡!$K$17:$M$17),1)</f>
        <v>1</v>
      </c>
      <c r="AN1333" s="46">
        <f>(打分卡!$D$7*AC1333+打分卡!$D$8*AD1333+打分卡!$D$9*AE1333)/5</f>
        <v>8</v>
      </c>
      <c r="AO1333" s="46">
        <f>(打分卡!$D$10*AF1333+打分卡!$D$11*AG1333)/5</f>
        <v>4</v>
      </c>
      <c r="AP1333" s="46">
        <f>(打分卡!$D$12*AH1333+打分卡!$D$13*AI1333+打分卡!$D$14*AJ1333+打分卡!$D$15*AK1333)/5</f>
        <v>6.8</v>
      </c>
      <c r="AQ1333" s="46">
        <f>(打分卡!$D$16*AL1333+打分卡!$D$17*AM1333)/5</f>
        <v>6.8</v>
      </c>
      <c r="AR1333" s="48">
        <f t="shared" si="162"/>
        <v>25.6</v>
      </c>
      <c r="AS1333" s="45" t="str">
        <f t="shared" si="163"/>
        <v>基础长尾</v>
      </c>
      <c r="AT1333" s="45" t="str">
        <f t="shared" si="164"/>
        <v/>
      </c>
      <c r="AU1333" s="45" t="str">
        <f t="shared" si="165"/>
        <v>激活：企微+Push低成本先跑</v>
      </c>
    </row>
    <row r="1334" ht="15" customHeight="1" spans="1:47">
      <c r="A1334" s="30" t="s">
        <v>3457</v>
      </c>
      <c r="B1334" s="31" t="s">
        <v>3458</v>
      </c>
      <c r="C1334" s="31" t="s">
        <v>195</v>
      </c>
      <c r="D1334" s="31" t="s">
        <v>180</v>
      </c>
      <c r="E1334" s="31" t="s">
        <v>181</v>
      </c>
      <c r="F1334" s="30" t="s">
        <v>2841</v>
      </c>
      <c r="G1334" s="31">
        <v>1</v>
      </c>
      <c r="H1334" s="31" t="s">
        <v>642</v>
      </c>
      <c r="I1334" s="31" t="s">
        <v>302</v>
      </c>
      <c r="J1334" s="33">
        <v>400</v>
      </c>
      <c r="K1334" s="33">
        <v>200</v>
      </c>
      <c r="L1334" s="33">
        <v>0</v>
      </c>
      <c r="M1334" s="33">
        <f t="shared" si="160"/>
        <v>600</v>
      </c>
      <c r="N1334" s="34">
        <f t="shared" si="166"/>
        <v>3.14558391474209e-6</v>
      </c>
      <c r="O1334" s="35">
        <f>SUM($M$2:M1334)</f>
        <v>190723700</v>
      </c>
      <c r="P1334" s="34">
        <f t="shared" si="167"/>
        <v>0.999895671466828</v>
      </c>
      <c r="Q1334" s="37">
        <v>0.1</v>
      </c>
      <c r="R1334" s="31">
        <v>1</v>
      </c>
      <c r="S1334" s="31">
        <v>0</v>
      </c>
      <c r="T1334" s="31">
        <v>0</v>
      </c>
      <c r="U1334" s="37">
        <v>1.6</v>
      </c>
      <c r="V1334" s="31">
        <v>2</v>
      </c>
      <c r="W1334" s="31">
        <v>0</v>
      </c>
      <c r="X1334" s="38">
        <v>70</v>
      </c>
      <c r="Y1334" s="31">
        <v>0</v>
      </c>
      <c r="Z1334" s="31">
        <v>0</v>
      </c>
      <c r="AA1334" s="31" t="s">
        <v>199</v>
      </c>
      <c r="AB1334" s="31" t="s">
        <v>220</v>
      </c>
      <c r="AC1334" s="41">
        <f>IFERROR(LOOKUP(M1334,打分卡!$F$7:$J$7,打分卡!$K$7:$O$7),1)</f>
        <v>1</v>
      </c>
      <c r="AD1334" s="41">
        <f>IFERROR(LOOKUP(S1334,打分卡!$F$8:$J$8,打分卡!$K$8:$O$8),1)</f>
        <v>1</v>
      </c>
      <c r="AE1334" s="41">
        <f>IFERROR(LOOKUP(T1334,打分卡!$F$9:$I$9,打分卡!$K$9:$N$9),1)</f>
        <v>1</v>
      </c>
      <c r="AF1334" s="41">
        <f>IFERROR(LOOKUP(Q1334,打分卡!$F$10:$J$10,打分卡!$K$10:$O$10),1)</f>
        <v>1</v>
      </c>
      <c r="AG1334" s="41">
        <f>IFERROR(LOOKUP(R1334,打分卡!$F$11:$J$11,打分卡!$K$11:$O$11),1)</f>
        <v>1</v>
      </c>
      <c r="AH1334" s="41">
        <f>IFERROR(LOOKUP(U1334,打分卡!$F$12:$J$12,打分卡!$K$12:$O$12),1)</f>
        <v>1</v>
      </c>
      <c r="AI1334" s="41">
        <f>IFERROR(LOOKUP(X1334,打分卡!$F$13:$J$13,打分卡!$K$13:$O$13),1)</f>
        <v>3</v>
      </c>
      <c r="AJ1334" s="41">
        <f>IFERROR(LOOKUP(Y1334,打分卡!$F$14:$J$14,打分卡!$K$14:$O$14),1)</f>
        <v>1</v>
      </c>
      <c r="AK1334" s="41">
        <f>IFERROR(LOOKUP(W1334,打分卡!$F$15:$J$15,打分卡!$K$15:$O$15),1)</f>
        <v>1</v>
      </c>
      <c r="AL1334" s="43">
        <f t="shared" si="161"/>
        <v>5</v>
      </c>
      <c r="AM1334" s="41">
        <f>IFERROR(LOOKUP(Z1334,打分卡!$F$17:$H$17,打分卡!$K$17:$M$17),1)</f>
        <v>1</v>
      </c>
      <c r="AN1334" s="44">
        <f>(打分卡!$D$7*AC1334+打分卡!$D$8*AD1334+打分卡!$D$9*AE1334)/5</f>
        <v>8</v>
      </c>
      <c r="AO1334" s="44">
        <f>(打分卡!$D$10*AF1334+打分卡!$D$11*AG1334)/5</f>
        <v>4</v>
      </c>
      <c r="AP1334" s="44">
        <f>(打分卡!$D$12*AH1334+打分卡!$D$13*AI1334+打分卡!$D$14*AJ1334+打分卡!$D$15*AK1334)/5</f>
        <v>9.2</v>
      </c>
      <c r="AQ1334" s="44">
        <f>(打分卡!$D$16*AL1334+打分卡!$D$17*AM1334)/5</f>
        <v>6.8</v>
      </c>
      <c r="AR1334" s="47">
        <f t="shared" si="162"/>
        <v>32.2666666666667</v>
      </c>
      <c r="AS1334" s="43" t="str">
        <f t="shared" si="163"/>
        <v>基础长尾</v>
      </c>
      <c r="AT1334" s="43" t="str">
        <f t="shared" si="164"/>
        <v/>
      </c>
      <c r="AU1334" s="43" t="str">
        <f t="shared" si="165"/>
        <v>激活：企微+Push低成本先跑</v>
      </c>
    </row>
    <row r="1335" ht="15" customHeight="1" spans="1:47">
      <c r="A1335" s="20" t="s">
        <v>3459</v>
      </c>
      <c r="B1335" s="22" t="s">
        <v>3460</v>
      </c>
      <c r="C1335" s="22" t="s">
        <v>223</v>
      </c>
      <c r="D1335" s="22" t="s">
        <v>202</v>
      </c>
      <c r="E1335" s="22" t="s">
        <v>181</v>
      </c>
      <c r="F1335" s="20" t="s">
        <v>2972</v>
      </c>
      <c r="G1335" s="22">
        <v>2</v>
      </c>
      <c r="H1335" s="22" t="s">
        <v>642</v>
      </c>
      <c r="I1335" s="22" t="s">
        <v>302</v>
      </c>
      <c r="J1335" s="36">
        <v>300</v>
      </c>
      <c r="K1335" s="36">
        <v>100</v>
      </c>
      <c r="L1335" s="36">
        <v>200</v>
      </c>
      <c r="M1335" s="36">
        <f t="shared" si="160"/>
        <v>600</v>
      </c>
      <c r="N1335" s="34">
        <f t="shared" si="166"/>
        <v>3.14558391474209e-6</v>
      </c>
      <c r="O1335" s="35">
        <f>SUM($M$2:M1335)</f>
        <v>190724300</v>
      </c>
      <c r="P1335" s="34">
        <f t="shared" si="167"/>
        <v>0.999898817050742</v>
      </c>
      <c r="Q1335" s="39">
        <v>0.1</v>
      </c>
      <c r="R1335" s="22">
        <v>1</v>
      </c>
      <c r="S1335" s="22">
        <v>0</v>
      </c>
      <c r="T1335" s="22">
        <v>0</v>
      </c>
      <c r="U1335" s="39">
        <v>0.9</v>
      </c>
      <c r="V1335" s="22">
        <v>8</v>
      </c>
      <c r="W1335" s="22">
        <v>0</v>
      </c>
      <c r="X1335" s="40">
        <v>43</v>
      </c>
      <c r="Y1335" s="22">
        <v>1</v>
      </c>
      <c r="Z1335" s="22">
        <v>0</v>
      </c>
      <c r="AA1335" s="22" t="s">
        <v>199</v>
      </c>
      <c r="AB1335" s="22" t="s">
        <v>220</v>
      </c>
      <c r="AC1335" s="42">
        <f>IFERROR(LOOKUP(M1335,打分卡!$F$7:$J$7,打分卡!$K$7:$O$7),1)</f>
        <v>1</v>
      </c>
      <c r="AD1335" s="42">
        <f>IFERROR(LOOKUP(S1335,打分卡!$F$8:$J$8,打分卡!$K$8:$O$8),1)</f>
        <v>1</v>
      </c>
      <c r="AE1335" s="42">
        <f>IFERROR(LOOKUP(T1335,打分卡!$F$9:$I$9,打分卡!$K$9:$N$9),1)</f>
        <v>1</v>
      </c>
      <c r="AF1335" s="42">
        <f>IFERROR(LOOKUP(Q1335,打分卡!$F$10:$J$10,打分卡!$K$10:$O$10),1)</f>
        <v>1</v>
      </c>
      <c r="AG1335" s="42">
        <f>IFERROR(LOOKUP(R1335,打分卡!$F$11:$J$11,打分卡!$K$11:$O$11),1)</f>
        <v>1</v>
      </c>
      <c r="AH1335" s="42">
        <f>IFERROR(LOOKUP(U1335,打分卡!$F$12:$J$12,打分卡!$K$12:$O$12),1)</f>
        <v>1</v>
      </c>
      <c r="AI1335" s="42">
        <f>IFERROR(LOOKUP(X1335,打分卡!$F$13:$J$13,打分卡!$K$13:$O$13),1)</f>
        <v>3</v>
      </c>
      <c r="AJ1335" s="42">
        <f>IFERROR(LOOKUP(Y1335,打分卡!$F$14:$J$14,打分卡!$K$14:$O$14),1)</f>
        <v>2</v>
      </c>
      <c r="AK1335" s="42">
        <f>IFERROR(LOOKUP(W1335,打分卡!$F$15:$J$15,打分卡!$K$15:$O$15),1)</f>
        <v>1</v>
      </c>
      <c r="AL1335" s="45">
        <f t="shared" si="161"/>
        <v>5</v>
      </c>
      <c r="AM1335" s="42">
        <f>IFERROR(LOOKUP(Z1335,打分卡!$F$17:$H$17,打分卡!$K$17:$M$17),1)</f>
        <v>1</v>
      </c>
      <c r="AN1335" s="46">
        <f>(打分卡!$D$7*AC1335+打分卡!$D$8*AD1335+打分卡!$D$9*AE1335)/5</f>
        <v>8</v>
      </c>
      <c r="AO1335" s="46">
        <f>(打分卡!$D$10*AF1335+打分卡!$D$11*AG1335)/5</f>
        <v>4</v>
      </c>
      <c r="AP1335" s="46">
        <f>(打分卡!$D$12*AH1335+打分卡!$D$13*AI1335+打分卡!$D$14*AJ1335+打分卡!$D$15*AK1335)/5</f>
        <v>10.4</v>
      </c>
      <c r="AQ1335" s="46">
        <f>(打分卡!$D$16*AL1335+打分卡!$D$17*AM1335)/5</f>
        <v>6.8</v>
      </c>
      <c r="AR1335" s="48">
        <f t="shared" si="162"/>
        <v>35.0666666666667</v>
      </c>
      <c r="AS1335" s="45" t="str">
        <f t="shared" si="163"/>
        <v>基础长尾</v>
      </c>
      <c r="AT1335" s="45" t="str">
        <f t="shared" si="164"/>
        <v/>
      </c>
      <c r="AU1335" s="45" t="str">
        <f t="shared" si="165"/>
        <v>激活：企微+Push低成本先跑</v>
      </c>
    </row>
    <row r="1336" ht="15" customHeight="1" spans="1:47">
      <c r="A1336" s="30" t="s">
        <v>3461</v>
      </c>
      <c r="B1336" s="31" t="s">
        <v>3462</v>
      </c>
      <c r="C1336" s="31" t="s">
        <v>195</v>
      </c>
      <c r="D1336" s="31" t="s">
        <v>196</v>
      </c>
      <c r="E1336" s="31" t="s">
        <v>197</v>
      </c>
      <c r="F1336" s="30" t="s">
        <v>2888</v>
      </c>
      <c r="G1336" s="31">
        <v>1</v>
      </c>
      <c r="H1336" s="31" t="s">
        <v>642</v>
      </c>
      <c r="I1336" s="31" t="s">
        <v>302</v>
      </c>
      <c r="J1336" s="33">
        <v>300</v>
      </c>
      <c r="K1336" s="33">
        <v>100</v>
      </c>
      <c r="L1336" s="33">
        <v>200</v>
      </c>
      <c r="M1336" s="33">
        <f t="shared" si="160"/>
        <v>600</v>
      </c>
      <c r="N1336" s="34">
        <f t="shared" si="166"/>
        <v>3.14558391474209e-6</v>
      </c>
      <c r="O1336" s="35">
        <f>SUM($M$2:M1336)</f>
        <v>190724900</v>
      </c>
      <c r="P1336" s="34">
        <f t="shared" si="167"/>
        <v>0.999901962634657</v>
      </c>
      <c r="Q1336" s="37">
        <v>0</v>
      </c>
      <c r="R1336" s="31">
        <v>1</v>
      </c>
      <c r="S1336" s="31">
        <v>0</v>
      </c>
      <c r="T1336" s="31">
        <v>0</v>
      </c>
      <c r="U1336" s="37">
        <v>32</v>
      </c>
      <c r="V1336" s="31">
        <v>3</v>
      </c>
      <c r="W1336" s="31">
        <v>0</v>
      </c>
      <c r="X1336" s="38">
        <v>19</v>
      </c>
      <c r="Y1336" s="31">
        <v>1</v>
      </c>
      <c r="Z1336" s="31">
        <v>0</v>
      </c>
      <c r="AA1336" s="31" t="s">
        <v>199</v>
      </c>
      <c r="AB1336" s="31" t="s">
        <v>220</v>
      </c>
      <c r="AC1336" s="41">
        <f>IFERROR(LOOKUP(M1336,打分卡!$F$7:$J$7,打分卡!$K$7:$O$7),1)</f>
        <v>1</v>
      </c>
      <c r="AD1336" s="41">
        <f>IFERROR(LOOKUP(S1336,打分卡!$F$8:$J$8,打分卡!$K$8:$O$8),1)</f>
        <v>1</v>
      </c>
      <c r="AE1336" s="41">
        <f>IFERROR(LOOKUP(T1336,打分卡!$F$9:$I$9,打分卡!$K$9:$N$9),1)</f>
        <v>1</v>
      </c>
      <c r="AF1336" s="41">
        <f>IFERROR(LOOKUP(Q1336,打分卡!$F$10:$J$10,打分卡!$K$10:$O$10),1)</f>
        <v>1</v>
      </c>
      <c r="AG1336" s="41">
        <f>IFERROR(LOOKUP(R1336,打分卡!$F$11:$J$11,打分卡!$K$11:$O$11),1)</f>
        <v>1</v>
      </c>
      <c r="AH1336" s="41">
        <f>IFERROR(LOOKUP(U1336,打分卡!$F$12:$J$12,打分卡!$K$12:$O$12),1)</f>
        <v>3</v>
      </c>
      <c r="AI1336" s="41">
        <f>IFERROR(LOOKUP(X1336,打分卡!$F$13:$J$13,打分卡!$K$13:$O$13),1)</f>
        <v>2</v>
      </c>
      <c r="AJ1336" s="41">
        <f>IFERROR(LOOKUP(Y1336,打分卡!$F$14:$J$14,打分卡!$K$14:$O$14),1)</f>
        <v>2</v>
      </c>
      <c r="AK1336" s="41">
        <f>IFERROR(LOOKUP(W1336,打分卡!$F$15:$J$15,打分卡!$K$15:$O$15),1)</f>
        <v>1</v>
      </c>
      <c r="AL1336" s="43">
        <f t="shared" si="161"/>
        <v>5</v>
      </c>
      <c r="AM1336" s="41">
        <f>IFERROR(LOOKUP(Z1336,打分卡!$F$17:$H$17,打分卡!$K$17:$M$17),1)</f>
        <v>1</v>
      </c>
      <c r="AN1336" s="44">
        <f>(打分卡!$D$7*AC1336+打分卡!$D$8*AD1336+打分卡!$D$9*AE1336)/5</f>
        <v>8</v>
      </c>
      <c r="AO1336" s="44">
        <f>(打分卡!$D$10*AF1336+打分卡!$D$11*AG1336)/5</f>
        <v>4</v>
      </c>
      <c r="AP1336" s="44">
        <f>(打分卡!$D$12*AH1336+打分卡!$D$13*AI1336+打分卡!$D$14*AJ1336+打分卡!$D$15*AK1336)/5</f>
        <v>13.6</v>
      </c>
      <c r="AQ1336" s="44">
        <f>(打分卡!$D$16*AL1336+打分卡!$D$17*AM1336)/5</f>
        <v>6.8</v>
      </c>
      <c r="AR1336" s="47">
        <f t="shared" si="162"/>
        <v>42.5333333333333</v>
      </c>
      <c r="AS1336" s="43" t="str">
        <f t="shared" si="163"/>
        <v>腰部</v>
      </c>
      <c r="AT1336" s="43" t="str">
        <f t="shared" si="164"/>
        <v/>
      </c>
      <c r="AU1336" s="43" t="str">
        <f t="shared" si="165"/>
        <v>拉·主攻：主推AI外呼+大促作战包</v>
      </c>
    </row>
    <row r="1337" ht="15" customHeight="1" spans="1:47">
      <c r="A1337" s="20" t="s">
        <v>3463</v>
      </c>
      <c r="B1337" s="22" t="s">
        <v>3464</v>
      </c>
      <c r="C1337" s="22" t="s">
        <v>189</v>
      </c>
      <c r="D1337" s="22" t="s">
        <v>202</v>
      </c>
      <c r="E1337" s="22" t="s">
        <v>181</v>
      </c>
      <c r="F1337" s="20" t="s">
        <v>2831</v>
      </c>
      <c r="G1337" s="22">
        <v>3</v>
      </c>
      <c r="H1337" s="22" t="s">
        <v>642</v>
      </c>
      <c r="I1337" s="22" t="s">
        <v>302</v>
      </c>
      <c r="J1337" s="36">
        <v>300</v>
      </c>
      <c r="K1337" s="36">
        <v>100</v>
      </c>
      <c r="L1337" s="36">
        <v>100</v>
      </c>
      <c r="M1337" s="36">
        <f t="shared" si="160"/>
        <v>500</v>
      </c>
      <c r="N1337" s="34">
        <f t="shared" si="166"/>
        <v>2.62131992895174e-6</v>
      </c>
      <c r="O1337" s="35">
        <f>SUM($M$2:M1337)</f>
        <v>190725400</v>
      </c>
      <c r="P1337" s="34">
        <f t="shared" si="167"/>
        <v>0.999904583954586</v>
      </c>
      <c r="Q1337" s="39">
        <v>0.1</v>
      </c>
      <c r="R1337" s="22">
        <v>3</v>
      </c>
      <c r="S1337" s="22">
        <v>1</v>
      </c>
      <c r="T1337" s="22">
        <v>0</v>
      </c>
      <c r="U1337" s="39">
        <v>28.2</v>
      </c>
      <c r="V1337" s="22">
        <v>5</v>
      </c>
      <c r="W1337" s="22">
        <v>1</v>
      </c>
      <c r="X1337" s="40">
        <v>24</v>
      </c>
      <c r="Y1337" s="22">
        <v>0</v>
      </c>
      <c r="Z1337" s="22">
        <v>0</v>
      </c>
      <c r="AA1337" s="22" t="s">
        <v>199</v>
      </c>
      <c r="AB1337" s="22" t="s">
        <v>220</v>
      </c>
      <c r="AC1337" s="42">
        <f>IFERROR(LOOKUP(M1337,打分卡!$F$7:$J$7,打分卡!$K$7:$O$7),1)</f>
        <v>1</v>
      </c>
      <c r="AD1337" s="42">
        <f>IFERROR(LOOKUP(S1337,打分卡!$F$8:$J$8,打分卡!$K$8:$O$8),1)</f>
        <v>1</v>
      </c>
      <c r="AE1337" s="42">
        <f>IFERROR(LOOKUP(T1337,打分卡!$F$9:$I$9,打分卡!$K$9:$N$9),1)</f>
        <v>1</v>
      </c>
      <c r="AF1337" s="42">
        <f>IFERROR(LOOKUP(Q1337,打分卡!$F$10:$J$10,打分卡!$K$10:$O$10),1)</f>
        <v>1</v>
      </c>
      <c r="AG1337" s="42">
        <f>IFERROR(LOOKUP(R1337,打分卡!$F$11:$J$11,打分卡!$K$11:$O$11),1)</f>
        <v>2</v>
      </c>
      <c r="AH1337" s="42">
        <f>IFERROR(LOOKUP(U1337,打分卡!$F$12:$J$12,打分卡!$K$12:$O$12),1)</f>
        <v>3</v>
      </c>
      <c r="AI1337" s="42">
        <f>IFERROR(LOOKUP(X1337,打分卡!$F$13:$J$13,打分卡!$K$13:$O$13),1)</f>
        <v>2</v>
      </c>
      <c r="AJ1337" s="42">
        <f>IFERROR(LOOKUP(Y1337,打分卡!$F$14:$J$14,打分卡!$K$14:$O$14),1)</f>
        <v>1</v>
      </c>
      <c r="AK1337" s="42">
        <f>IFERROR(LOOKUP(W1337,打分卡!$F$15:$J$15,打分卡!$K$15:$O$15),1)</f>
        <v>2</v>
      </c>
      <c r="AL1337" s="45">
        <f t="shared" si="161"/>
        <v>5</v>
      </c>
      <c r="AM1337" s="42">
        <f>IFERROR(LOOKUP(Z1337,打分卡!$F$17:$H$17,打分卡!$K$17:$M$17),1)</f>
        <v>1</v>
      </c>
      <c r="AN1337" s="46">
        <f>(打分卡!$D$7*AC1337+打分卡!$D$8*AD1337+打分卡!$D$9*AE1337)/5</f>
        <v>8</v>
      </c>
      <c r="AO1337" s="46">
        <f>(打分卡!$D$10*AF1337+打分卡!$D$11*AG1337)/5</f>
        <v>6</v>
      </c>
      <c r="AP1337" s="46">
        <f>(打分卡!$D$12*AH1337+打分卡!$D$13*AI1337+打分卡!$D$14*AJ1337+打分卡!$D$15*AK1337)/5</f>
        <v>13.2</v>
      </c>
      <c r="AQ1337" s="46">
        <f>(打分卡!$D$16*AL1337+打分卡!$D$17*AM1337)/5</f>
        <v>6.8</v>
      </c>
      <c r="AR1337" s="48">
        <f t="shared" si="162"/>
        <v>34</v>
      </c>
      <c r="AS1337" s="45" t="str">
        <f t="shared" si="163"/>
        <v>基础长尾</v>
      </c>
      <c r="AT1337" s="45" t="str">
        <f t="shared" si="164"/>
        <v/>
      </c>
      <c r="AU1337" s="45" t="str">
        <f t="shared" si="165"/>
        <v>激活：企微+Push低成本先跑</v>
      </c>
    </row>
    <row r="1338" ht="15" customHeight="1" spans="1:47">
      <c r="A1338" s="30" t="s">
        <v>3465</v>
      </c>
      <c r="B1338" s="31" t="s">
        <v>3466</v>
      </c>
      <c r="C1338" s="31" t="s">
        <v>239</v>
      </c>
      <c r="D1338" s="31" t="s">
        <v>190</v>
      </c>
      <c r="E1338" s="31" t="s">
        <v>197</v>
      </c>
      <c r="F1338" s="30" t="s">
        <v>837</v>
      </c>
      <c r="G1338" s="31">
        <v>3</v>
      </c>
      <c r="H1338" s="31" t="s">
        <v>642</v>
      </c>
      <c r="I1338" s="31" t="s">
        <v>302</v>
      </c>
      <c r="J1338" s="33">
        <v>300</v>
      </c>
      <c r="K1338" s="33">
        <v>200</v>
      </c>
      <c r="L1338" s="33">
        <v>200</v>
      </c>
      <c r="M1338" s="33">
        <f t="shared" si="160"/>
        <v>700</v>
      </c>
      <c r="N1338" s="34">
        <f t="shared" si="166"/>
        <v>3.66984790053244e-6</v>
      </c>
      <c r="O1338" s="35">
        <f>SUM($M$2:M1338)</f>
        <v>190726100</v>
      </c>
      <c r="P1338" s="34">
        <f t="shared" si="167"/>
        <v>0.999908253802487</v>
      </c>
      <c r="Q1338" s="37">
        <v>0.1</v>
      </c>
      <c r="R1338" s="31">
        <v>2</v>
      </c>
      <c r="S1338" s="31">
        <v>0</v>
      </c>
      <c r="T1338" s="31">
        <v>0</v>
      </c>
      <c r="U1338" s="37">
        <v>1.5</v>
      </c>
      <c r="V1338" s="31">
        <v>6</v>
      </c>
      <c r="W1338" s="31">
        <v>0</v>
      </c>
      <c r="X1338" s="38">
        <v>13</v>
      </c>
      <c r="Y1338" s="31">
        <v>0</v>
      </c>
      <c r="Z1338" s="31">
        <v>0</v>
      </c>
      <c r="AA1338" s="31" t="s">
        <v>199</v>
      </c>
      <c r="AB1338" s="31" t="s">
        <v>220</v>
      </c>
      <c r="AC1338" s="41">
        <f>IFERROR(LOOKUP(M1338,打分卡!$F$7:$J$7,打分卡!$K$7:$O$7),1)</f>
        <v>1</v>
      </c>
      <c r="AD1338" s="41">
        <f>IFERROR(LOOKUP(S1338,打分卡!$F$8:$J$8,打分卡!$K$8:$O$8),1)</f>
        <v>1</v>
      </c>
      <c r="AE1338" s="41">
        <f>IFERROR(LOOKUP(T1338,打分卡!$F$9:$I$9,打分卡!$K$9:$N$9),1)</f>
        <v>1</v>
      </c>
      <c r="AF1338" s="41">
        <f>IFERROR(LOOKUP(Q1338,打分卡!$F$10:$J$10,打分卡!$K$10:$O$10),1)</f>
        <v>1</v>
      </c>
      <c r="AG1338" s="41">
        <f>IFERROR(LOOKUP(R1338,打分卡!$F$11:$J$11,打分卡!$K$11:$O$11),1)</f>
        <v>1</v>
      </c>
      <c r="AH1338" s="41">
        <f>IFERROR(LOOKUP(U1338,打分卡!$F$12:$J$12,打分卡!$K$12:$O$12),1)</f>
        <v>1</v>
      </c>
      <c r="AI1338" s="41">
        <f>IFERROR(LOOKUP(X1338,打分卡!$F$13:$J$13,打分卡!$K$13:$O$13),1)</f>
        <v>1</v>
      </c>
      <c r="AJ1338" s="41">
        <f>IFERROR(LOOKUP(Y1338,打分卡!$F$14:$J$14,打分卡!$K$14:$O$14),1)</f>
        <v>1</v>
      </c>
      <c r="AK1338" s="41">
        <f>IFERROR(LOOKUP(W1338,打分卡!$F$15:$J$15,打分卡!$K$15:$O$15),1)</f>
        <v>1</v>
      </c>
      <c r="AL1338" s="43">
        <f t="shared" si="161"/>
        <v>5</v>
      </c>
      <c r="AM1338" s="41">
        <f>IFERROR(LOOKUP(Z1338,打分卡!$F$17:$H$17,打分卡!$K$17:$M$17),1)</f>
        <v>1</v>
      </c>
      <c r="AN1338" s="44">
        <f>(打分卡!$D$7*AC1338+打分卡!$D$8*AD1338+打分卡!$D$9*AE1338)/5</f>
        <v>8</v>
      </c>
      <c r="AO1338" s="44">
        <f>(打分卡!$D$10*AF1338+打分卡!$D$11*AG1338)/5</f>
        <v>4</v>
      </c>
      <c r="AP1338" s="44">
        <f>(打分卡!$D$12*AH1338+打分卡!$D$13*AI1338+打分卡!$D$14*AJ1338+打分卡!$D$15*AK1338)/5</f>
        <v>6</v>
      </c>
      <c r="AQ1338" s="44">
        <f>(打分卡!$D$16*AL1338+打分卡!$D$17*AM1338)/5</f>
        <v>6.8</v>
      </c>
      <c r="AR1338" s="47">
        <f t="shared" si="162"/>
        <v>24.8</v>
      </c>
      <c r="AS1338" s="43" t="str">
        <f t="shared" si="163"/>
        <v>基础长尾</v>
      </c>
      <c r="AT1338" s="43" t="str">
        <f t="shared" si="164"/>
        <v/>
      </c>
      <c r="AU1338" s="43" t="str">
        <f t="shared" si="165"/>
        <v>激活：企微+Push低成本先跑</v>
      </c>
    </row>
    <row r="1339" ht="15" customHeight="1" spans="1:47">
      <c r="A1339" s="20" t="s">
        <v>3467</v>
      </c>
      <c r="B1339" s="22" t="s">
        <v>3468</v>
      </c>
      <c r="C1339" s="22" t="s">
        <v>239</v>
      </c>
      <c r="D1339" s="22" t="s">
        <v>196</v>
      </c>
      <c r="E1339" s="22" t="s">
        <v>181</v>
      </c>
      <c r="F1339" s="20" t="s">
        <v>2818</v>
      </c>
      <c r="G1339" s="22">
        <v>1</v>
      </c>
      <c r="H1339" s="22" t="s">
        <v>642</v>
      </c>
      <c r="I1339" s="22" t="s">
        <v>302</v>
      </c>
      <c r="J1339" s="36">
        <v>300</v>
      </c>
      <c r="K1339" s="36">
        <v>200</v>
      </c>
      <c r="L1339" s="36">
        <v>100</v>
      </c>
      <c r="M1339" s="36">
        <f t="shared" si="160"/>
        <v>600</v>
      </c>
      <c r="N1339" s="34">
        <f t="shared" si="166"/>
        <v>3.14558391474209e-6</v>
      </c>
      <c r="O1339" s="35">
        <f>SUM($M$2:M1339)</f>
        <v>190726700</v>
      </c>
      <c r="P1339" s="34">
        <f t="shared" si="167"/>
        <v>0.999911399386401</v>
      </c>
      <c r="Q1339" s="39">
        <v>0</v>
      </c>
      <c r="R1339" s="22">
        <v>2</v>
      </c>
      <c r="S1339" s="22">
        <v>0</v>
      </c>
      <c r="T1339" s="22">
        <v>0</v>
      </c>
      <c r="U1339" s="39">
        <v>7</v>
      </c>
      <c r="V1339" s="22">
        <v>0</v>
      </c>
      <c r="W1339" s="22">
        <v>2</v>
      </c>
      <c r="X1339" s="40">
        <v>47</v>
      </c>
      <c r="Y1339" s="22">
        <v>0</v>
      </c>
      <c r="Z1339" s="22">
        <v>0</v>
      </c>
      <c r="AA1339" s="22" t="s">
        <v>199</v>
      </c>
      <c r="AB1339" s="22" t="s">
        <v>220</v>
      </c>
      <c r="AC1339" s="42">
        <f>IFERROR(LOOKUP(M1339,打分卡!$F$7:$J$7,打分卡!$K$7:$O$7),1)</f>
        <v>1</v>
      </c>
      <c r="AD1339" s="42">
        <f>IFERROR(LOOKUP(S1339,打分卡!$F$8:$J$8,打分卡!$K$8:$O$8),1)</f>
        <v>1</v>
      </c>
      <c r="AE1339" s="42">
        <f>IFERROR(LOOKUP(T1339,打分卡!$F$9:$I$9,打分卡!$K$9:$N$9),1)</f>
        <v>1</v>
      </c>
      <c r="AF1339" s="42">
        <f>IFERROR(LOOKUP(Q1339,打分卡!$F$10:$J$10,打分卡!$K$10:$O$10),1)</f>
        <v>1</v>
      </c>
      <c r="AG1339" s="42">
        <f>IFERROR(LOOKUP(R1339,打分卡!$F$11:$J$11,打分卡!$K$11:$O$11),1)</f>
        <v>1</v>
      </c>
      <c r="AH1339" s="42">
        <f>IFERROR(LOOKUP(U1339,打分卡!$F$12:$J$12,打分卡!$K$12:$O$12),1)</f>
        <v>2</v>
      </c>
      <c r="AI1339" s="42">
        <f>IFERROR(LOOKUP(X1339,打分卡!$F$13:$J$13,打分卡!$K$13:$O$13),1)</f>
        <v>3</v>
      </c>
      <c r="AJ1339" s="42">
        <f>IFERROR(LOOKUP(Y1339,打分卡!$F$14:$J$14,打分卡!$K$14:$O$14),1)</f>
        <v>1</v>
      </c>
      <c r="AK1339" s="42">
        <f>IFERROR(LOOKUP(W1339,打分卡!$F$15:$J$15,打分卡!$K$15:$O$15),1)</f>
        <v>2</v>
      </c>
      <c r="AL1339" s="45">
        <f t="shared" si="161"/>
        <v>5</v>
      </c>
      <c r="AM1339" s="42">
        <f>IFERROR(LOOKUP(Z1339,打分卡!$F$17:$H$17,打分卡!$K$17:$M$17),1)</f>
        <v>1</v>
      </c>
      <c r="AN1339" s="46">
        <f>(打分卡!$D$7*AC1339+打分卡!$D$8*AD1339+打分卡!$D$9*AE1339)/5</f>
        <v>8</v>
      </c>
      <c r="AO1339" s="46">
        <f>(打分卡!$D$10*AF1339+打分卡!$D$11*AG1339)/5</f>
        <v>4</v>
      </c>
      <c r="AP1339" s="46">
        <f>(打分卡!$D$12*AH1339+打分卡!$D$13*AI1339+打分卡!$D$14*AJ1339+打分卡!$D$15*AK1339)/5</f>
        <v>12.4</v>
      </c>
      <c r="AQ1339" s="46">
        <f>(打分卡!$D$16*AL1339+打分卡!$D$17*AM1339)/5</f>
        <v>6.8</v>
      </c>
      <c r="AR1339" s="48">
        <f t="shared" si="162"/>
        <v>39.7333333333333</v>
      </c>
      <c r="AS1339" s="45" t="str">
        <f t="shared" si="163"/>
        <v>基础长尾</v>
      </c>
      <c r="AT1339" s="45" t="str">
        <f t="shared" si="164"/>
        <v/>
      </c>
      <c r="AU1339" s="45" t="str">
        <f t="shared" si="165"/>
        <v>激活：企微+Push低成本先跑</v>
      </c>
    </row>
    <row r="1340" ht="15" customHeight="1" spans="1:47">
      <c r="A1340" s="30" t="s">
        <v>3469</v>
      </c>
      <c r="B1340" s="31" t="s">
        <v>3470</v>
      </c>
      <c r="C1340" s="31" t="s">
        <v>189</v>
      </c>
      <c r="D1340" s="31" t="s">
        <v>202</v>
      </c>
      <c r="E1340" s="31" t="s">
        <v>181</v>
      </c>
      <c r="F1340" s="30" t="s">
        <v>2901</v>
      </c>
      <c r="G1340" s="31">
        <v>2</v>
      </c>
      <c r="H1340" s="31" t="s">
        <v>642</v>
      </c>
      <c r="I1340" s="31" t="s">
        <v>302</v>
      </c>
      <c r="J1340" s="33">
        <v>300</v>
      </c>
      <c r="K1340" s="33">
        <v>100</v>
      </c>
      <c r="L1340" s="33">
        <v>100</v>
      </c>
      <c r="M1340" s="33">
        <f t="shared" si="160"/>
        <v>500</v>
      </c>
      <c r="N1340" s="34">
        <f t="shared" si="166"/>
        <v>2.62131992895174e-6</v>
      </c>
      <c r="O1340" s="35">
        <f>SUM($M$2:M1340)</f>
        <v>190727200</v>
      </c>
      <c r="P1340" s="34">
        <f t="shared" si="167"/>
        <v>0.99991402070633</v>
      </c>
      <c r="Q1340" s="37">
        <v>0.1</v>
      </c>
      <c r="R1340" s="31">
        <v>2</v>
      </c>
      <c r="S1340" s="31">
        <v>1</v>
      </c>
      <c r="T1340" s="31">
        <v>0</v>
      </c>
      <c r="U1340" s="37">
        <v>11.2</v>
      </c>
      <c r="V1340" s="31">
        <v>5</v>
      </c>
      <c r="W1340" s="31">
        <v>2</v>
      </c>
      <c r="X1340" s="38">
        <v>13</v>
      </c>
      <c r="Y1340" s="31">
        <v>1</v>
      </c>
      <c r="Z1340" s="31">
        <v>0</v>
      </c>
      <c r="AA1340" s="31" t="s">
        <v>199</v>
      </c>
      <c r="AB1340" s="31" t="s">
        <v>220</v>
      </c>
      <c r="AC1340" s="41">
        <f>IFERROR(LOOKUP(M1340,打分卡!$F$7:$J$7,打分卡!$K$7:$O$7),1)</f>
        <v>1</v>
      </c>
      <c r="AD1340" s="41">
        <f>IFERROR(LOOKUP(S1340,打分卡!$F$8:$J$8,打分卡!$K$8:$O$8),1)</f>
        <v>1</v>
      </c>
      <c r="AE1340" s="41">
        <f>IFERROR(LOOKUP(T1340,打分卡!$F$9:$I$9,打分卡!$K$9:$N$9),1)</f>
        <v>1</v>
      </c>
      <c r="AF1340" s="41">
        <f>IFERROR(LOOKUP(Q1340,打分卡!$F$10:$J$10,打分卡!$K$10:$O$10),1)</f>
        <v>1</v>
      </c>
      <c r="AG1340" s="41">
        <f>IFERROR(LOOKUP(R1340,打分卡!$F$11:$J$11,打分卡!$K$11:$O$11),1)</f>
        <v>1</v>
      </c>
      <c r="AH1340" s="41">
        <f>IFERROR(LOOKUP(U1340,打分卡!$F$12:$J$12,打分卡!$K$12:$O$12),1)</f>
        <v>3</v>
      </c>
      <c r="AI1340" s="41">
        <f>IFERROR(LOOKUP(X1340,打分卡!$F$13:$J$13,打分卡!$K$13:$O$13),1)</f>
        <v>1</v>
      </c>
      <c r="AJ1340" s="41">
        <f>IFERROR(LOOKUP(Y1340,打分卡!$F$14:$J$14,打分卡!$K$14:$O$14),1)</f>
        <v>2</v>
      </c>
      <c r="AK1340" s="41">
        <f>IFERROR(LOOKUP(W1340,打分卡!$F$15:$J$15,打分卡!$K$15:$O$15),1)</f>
        <v>2</v>
      </c>
      <c r="AL1340" s="43">
        <f t="shared" si="161"/>
        <v>5</v>
      </c>
      <c r="AM1340" s="41">
        <f>IFERROR(LOOKUP(Z1340,打分卡!$F$17:$H$17,打分卡!$K$17:$M$17),1)</f>
        <v>1</v>
      </c>
      <c r="AN1340" s="44">
        <f>(打分卡!$D$7*AC1340+打分卡!$D$8*AD1340+打分卡!$D$9*AE1340)/5</f>
        <v>8</v>
      </c>
      <c r="AO1340" s="44">
        <f>(打分卡!$D$10*AF1340+打分卡!$D$11*AG1340)/5</f>
        <v>4</v>
      </c>
      <c r="AP1340" s="44">
        <f>(打分卡!$D$12*AH1340+打分卡!$D$13*AI1340+打分卡!$D$14*AJ1340+打分卡!$D$15*AK1340)/5</f>
        <v>12.8</v>
      </c>
      <c r="AQ1340" s="44">
        <f>(打分卡!$D$16*AL1340+打分卡!$D$17*AM1340)/5</f>
        <v>6.8</v>
      </c>
      <c r="AR1340" s="47">
        <f t="shared" si="162"/>
        <v>40.6666666666667</v>
      </c>
      <c r="AS1340" s="43" t="str">
        <f t="shared" si="163"/>
        <v>腰部</v>
      </c>
      <c r="AT1340" s="43" t="str">
        <f t="shared" si="164"/>
        <v/>
      </c>
      <c r="AU1340" s="43" t="str">
        <f t="shared" si="165"/>
        <v>拉·主攻：主推AI外呼+大促作战包</v>
      </c>
    </row>
    <row r="1341" ht="15" customHeight="1" spans="1:47">
      <c r="A1341" s="20" t="s">
        <v>3471</v>
      </c>
      <c r="B1341" s="22" t="s">
        <v>3472</v>
      </c>
      <c r="C1341" s="22" t="s">
        <v>189</v>
      </c>
      <c r="D1341" s="22" t="s">
        <v>202</v>
      </c>
      <c r="E1341" s="22" t="s">
        <v>197</v>
      </c>
      <c r="F1341" s="20" t="s">
        <v>1166</v>
      </c>
      <c r="G1341" s="22">
        <v>3</v>
      </c>
      <c r="H1341" s="22" t="s">
        <v>642</v>
      </c>
      <c r="I1341" s="22" t="s">
        <v>302</v>
      </c>
      <c r="J1341" s="36">
        <v>300</v>
      </c>
      <c r="K1341" s="36">
        <v>200</v>
      </c>
      <c r="L1341" s="36">
        <v>100</v>
      </c>
      <c r="M1341" s="36">
        <f t="shared" si="160"/>
        <v>600</v>
      </c>
      <c r="N1341" s="34">
        <f t="shared" si="166"/>
        <v>3.14558391474209e-6</v>
      </c>
      <c r="O1341" s="35">
        <f>SUM($M$2:M1341)</f>
        <v>190727800</v>
      </c>
      <c r="P1341" s="34">
        <f t="shared" si="167"/>
        <v>0.999917166290245</v>
      </c>
      <c r="Q1341" s="39">
        <v>0</v>
      </c>
      <c r="R1341" s="22">
        <v>3</v>
      </c>
      <c r="S1341" s="22">
        <v>0</v>
      </c>
      <c r="T1341" s="22">
        <v>0</v>
      </c>
      <c r="U1341" s="39">
        <v>3.8</v>
      </c>
      <c r="V1341" s="22">
        <v>0</v>
      </c>
      <c r="W1341" s="22">
        <v>1</v>
      </c>
      <c r="X1341" s="40">
        <v>56</v>
      </c>
      <c r="Y1341" s="22">
        <v>1</v>
      </c>
      <c r="Z1341" s="22">
        <v>0</v>
      </c>
      <c r="AA1341" s="22" t="s">
        <v>199</v>
      </c>
      <c r="AB1341" s="22" t="s">
        <v>220</v>
      </c>
      <c r="AC1341" s="42">
        <f>IFERROR(LOOKUP(M1341,打分卡!$F$7:$J$7,打分卡!$K$7:$O$7),1)</f>
        <v>1</v>
      </c>
      <c r="AD1341" s="42">
        <f>IFERROR(LOOKUP(S1341,打分卡!$F$8:$J$8,打分卡!$K$8:$O$8),1)</f>
        <v>1</v>
      </c>
      <c r="AE1341" s="42">
        <f>IFERROR(LOOKUP(T1341,打分卡!$F$9:$I$9,打分卡!$K$9:$N$9),1)</f>
        <v>1</v>
      </c>
      <c r="AF1341" s="42">
        <f>IFERROR(LOOKUP(Q1341,打分卡!$F$10:$J$10,打分卡!$K$10:$O$10),1)</f>
        <v>1</v>
      </c>
      <c r="AG1341" s="42">
        <f>IFERROR(LOOKUP(R1341,打分卡!$F$11:$J$11,打分卡!$K$11:$O$11),1)</f>
        <v>2</v>
      </c>
      <c r="AH1341" s="42">
        <f>IFERROR(LOOKUP(U1341,打分卡!$F$12:$J$12,打分卡!$K$12:$O$12),1)</f>
        <v>2</v>
      </c>
      <c r="AI1341" s="42">
        <f>IFERROR(LOOKUP(X1341,打分卡!$F$13:$J$13,打分卡!$K$13:$O$13),1)</f>
        <v>3</v>
      </c>
      <c r="AJ1341" s="42">
        <f>IFERROR(LOOKUP(Y1341,打分卡!$F$14:$J$14,打分卡!$K$14:$O$14),1)</f>
        <v>2</v>
      </c>
      <c r="AK1341" s="42">
        <f>IFERROR(LOOKUP(W1341,打分卡!$F$15:$J$15,打分卡!$K$15:$O$15),1)</f>
        <v>2</v>
      </c>
      <c r="AL1341" s="45">
        <f t="shared" si="161"/>
        <v>5</v>
      </c>
      <c r="AM1341" s="42">
        <f>IFERROR(LOOKUP(Z1341,打分卡!$F$17:$H$17,打分卡!$K$17:$M$17),1)</f>
        <v>1</v>
      </c>
      <c r="AN1341" s="46">
        <f>(打分卡!$D$7*AC1341+打分卡!$D$8*AD1341+打分卡!$D$9*AE1341)/5</f>
        <v>8</v>
      </c>
      <c r="AO1341" s="46">
        <f>(打分卡!$D$10*AF1341+打分卡!$D$11*AG1341)/5</f>
        <v>6</v>
      </c>
      <c r="AP1341" s="46">
        <f>(打分卡!$D$12*AH1341+打分卡!$D$13*AI1341+打分卡!$D$14*AJ1341+打分卡!$D$15*AK1341)/5</f>
        <v>13.6</v>
      </c>
      <c r="AQ1341" s="46">
        <f>(打分卡!$D$16*AL1341+打分卡!$D$17*AM1341)/5</f>
        <v>6.8</v>
      </c>
      <c r="AR1341" s="48">
        <f t="shared" si="162"/>
        <v>34.4</v>
      </c>
      <c r="AS1341" s="45" t="str">
        <f t="shared" si="163"/>
        <v>基础长尾</v>
      </c>
      <c r="AT1341" s="45" t="str">
        <f t="shared" si="164"/>
        <v/>
      </c>
      <c r="AU1341" s="45" t="str">
        <f t="shared" si="165"/>
        <v>激活：企微+Push低成本先跑</v>
      </c>
    </row>
    <row r="1342" ht="15" customHeight="1" spans="1:47">
      <c r="A1342" s="30" t="s">
        <v>3473</v>
      </c>
      <c r="B1342" s="31" t="s">
        <v>3474</v>
      </c>
      <c r="C1342" s="31" t="s">
        <v>179</v>
      </c>
      <c r="D1342" s="31" t="s">
        <v>196</v>
      </c>
      <c r="E1342" s="31" t="s">
        <v>181</v>
      </c>
      <c r="F1342" s="30" t="s">
        <v>2785</v>
      </c>
      <c r="G1342" s="31">
        <v>1</v>
      </c>
      <c r="H1342" s="31" t="s">
        <v>642</v>
      </c>
      <c r="I1342" s="31" t="s">
        <v>302</v>
      </c>
      <c r="J1342" s="33">
        <v>300</v>
      </c>
      <c r="K1342" s="33">
        <v>200</v>
      </c>
      <c r="L1342" s="33">
        <v>100</v>
      </c>
      <c r="M1342" s="33">
        <f t="shared" si="160"/>
        <v>600</v>
      </c>
      <c r="N1342" s="34">
        <f t="shared" si="166"/>
        <v>3.14558391474209e-6</v>
      </c>
      <c r="O1342" s="35">
        <f>SUM($M$2:M1342)</f>
        <v>190728400</v>
      </c>
      <c r="P1342" s="34">
        <f t="shared" si="167"/>
        <v>0.99992031187416</v>
      </c>
      <c r="Q1342" s="37">
        <v>0</v>
      </c>
      <c r="R1342" s="31">
        <v>2</v>
      </c>
      <c r="S1342" s="31">
        <v>0</v>
      </c>
      <c r="T1342" s="31">
        <v>0</v>
      </c>
      <c r="U1342" s="37">
        <v>2.1</v>
      </c>
      <c r="V1342" s="31">
        <v>2</v>
      </c>
      <c r="W1342" s="31">
        <v>2</v>
      </c>
      <c r="X1342" s="38">
        <v>14</v>
      </c>
      <c r="Y1342" s="31">
        <v>0</v>
      </c>
      <c r="Z1342" s="31">
        <v>0</v>
      </c>
      <c r="AA1342" s="31" t="s">
        <v>199</v>
      </c>
      <c r="AB1342" s="31" t="s">
        <v>220</v>
      </c>
      <c r="AC1342" s="41">
        <f>IFERROR(LOOKUP(M1342,打分卡!$F$7:$J$7,打分卡!$K$7:$O$7),1)</f>
        <v>1</v>
      </c>
      <c r="AD1342" s="41">
        <f>IFERROR(LOOKUP(S1342,打分卡!$F$8:$J$8,打分卡!$K$8:$O$8),1)</f>
        <v>1</v>
      </c>
      <c r="AE1342" s="41">
        <f>IFERROR(LOOKUP(T1342,打分卡!$F$9:$I$9,打分卡!$K$9:$N$9),1)</f>
        <v>1</v>
      </c>
      <c r="AF1342" s="41">
        <f>IFERROR(LOOKUP(Q1342,打分卡!$F$10:$J$10,打分卡!$K$10:$O$10),1)</f>
        <v>1</v>
      </c>
      <c r="AG1342" s="41">
        <f>IFERROR(LOOKUP(R1342,打分卡!$F$11:$J$11,打分卡!$K$11:$O$11),1)</f>
        <v>1</v>
      </c>
      <c r="AH1342" s="41">
        <f>IFERROR(LOOKUP(U1342,打分卡!$F$12:$J$12,打分卡!$K$12:$O$12),1)</f>
        <v>1</v>
      </c>
      <c r="AI1342" s="41">
        <f>IFERROR(LOOKUP(X1342,打分卡!$F$13:$J$13,打分卡!$K$13:$O$13),1)</f>
        <v>1</v>
      </c>
      <c r="AJ1342" s="41">
        <f>IFERROR(LOOKUP(Y1342,打分卡!$F$14:$J$14,打分卡!$K$14:$O$14),1)</f>
        <v>1</v>
      </c>
      <c r="AK1342" s="41">
        <f>IFERROR(LOOKUP(W1342,打分卡!$F$15:$J$15,打分卡!$K$15:$O$15),1)</f>
        <v>2</v>
      </c>
      <c r="AL1342" s="43">
        <f t="shared" si="161"/>
        <v>5</v>
      </c>
      <c r="AM1342" s="41">
        <f>IFERROR(LOOKUP(Z1342,打分卡!$F$17:$H$17,打分卡!$K$17:$M$17),1)</f>
        <v>1</v>
      </c>
      <c r="AN1342" s="44">
        <f>(打分卡!$D$7*AC1342+打分卡!$D$8*AD1342+打分卡!$D$9*AE1342)/5</f>
        <v>8</v>
      </c>
      <c r="AO1342" s="44">
        <f>(打分卡!$D$10*AF1342+打分卡!$D$11*AG1342)/5</f>
        <v>4</v>
      </c>
      <c r="AP1342" s="44">
        <f>(打分卡!$D$12*AH1342+打分卡!$D$13*AI1342+打分卡!$D$14*AJ1342+打分卡!$D$15*AK1342)/5</f>
        <v>6.8</v>
      </c>
      <c r="AQ1342" s="44">
        <f>(打分卡!$D$16*AL1342+打分卡!$D$17*AM1342)/5</f>
        <v>6.8</v>
      </c>
      <c r="AR1342" s="47">
        <f t="shared" si="162"/>
        <v>26.6666666666667</v>
      </c>
      <c r="AS1342" s="43" t="str">
        <f t="shared" si="163"/>
        <v>基础长尾</v>
      </c>
      <c r="AT1342" s="43" t="str">
        <f t="shared" si="164"/>
        <v/>
      </c>
      <c r="AU1342" s="43" t="str">
        <f t="shared" si="165"/>
        <v>激活：企微+Push低成本先跑</v>
      </c>
    </row>
    <row r="1343" ht="15" customHeight="1" spans="1:47">
      <c r="A1343" s="20" t="s">
        <v>3475</v>
      </c>
      <c r="B1343" s="22" t="s">
        <v>3476</v>
      </c>
      <c r="C1343" s="22" t="s">
        <v>179</v>
      </c>
      <c r="D1343" s="22" t="s">
        <v>196</v>
      </c>
      <c r="E1343" s="22" t="s">
        <v>181</v>
      </c>
      <c r="F1343" s="20" t="s">
        <v>2888</v>
      </c>
      <c r="G1343" s="22">
        <v>1</v>
      </c>
      <c r="H1343" s="22" t="s">
        <v>642</v>
      </c>
      <c r="I1343" s="22" t="s">
        <v>302</v>
      </c>
      <c r="J1343" s="36">
        <v>300</v>
      </c>
      <c r="K1343" s="36">
        <v>200</v>
      </c>
      <c r="L1343" s="36">
        <v>100</v>
      </c>
      <c r="M1343" s="36">
        <f t="shared" si="160"/>
        <v>600</v>
      </c>
      <c r="N1343" s="34">
        <f t="shared" si="166"/>
        <v>3.14558391474209e-6</v>
      </c>
      <c r="O1343" s="35">
        <f>SUM($M$2:M1343)</f>
        <v>190729000</v>
      </c>
      <c r="P1343" s="34">
        <f t="shared" si="167"/>
        <v>0.999923457458075</v>
      </c>
      <c r="Q1343" s="39">
        <v>0.1</v>
      </c>
      <c r="R1343" s="22">
        <v>1</v>
      </c>
      <c r="S1343" s="22">
        <v>1</v>
      </c>
      <c r="T1343" s="22">
        <v>0</v>
      </c>
      <c r="U1343" s="39">
        <v>0.6</v>
      </c>
      <c r="V1343" s="22">
        <v>10</v>
      </c>
      <c r="W1343" s="22">
        <v>2</v>
      </c>
      <c r="X1343" s="40">
        <v>66</v>
      </c>
      <c r="Y1343" s="22">
        <v>1</v>
      </c>
      <c r="Z1343" s="22">
        <v>0</v>
      </c>
      <c r="AA1343" s="22" t="s">
        <v>199</v>
      </c>
      <c r="AB1343" s="22" t="s">
        <v>220</v>
      </c>
      <c r="AC1343" s="42">
        <f>IFERROR(LOOKUP(M1343,打分卡!$F$7:$J$7,打分卡!$K$7:$O$7),1)</f>
        <v>1</v>
      </c>
      <c r="AD1343" s="42">
        <f>IFERROR(LOOKUP(S1343,打分卡!$F$8:$J$8,打分卡!$K$8:$O$8),1)</f>
        <v>1</v>
      </c>
      <c r="AE1343" s="42">
        <f>IFERROR(LOOKUP(T1343,打分卡!$F$9:$I$9,打分卡!$K$9:$N$9),1)</f>
        <v>1</v>
      </c>
      <c r="AF1343" s="42">
        <f>IFERROR(LOOKUP(Q1343,打分卡!$F$10:$J$10,打分卡!$K$10:$O$10),1)</f>
        <v>1</v>
      </c>
      <c r="AG1343" s="42">
        <f>IFERROR(LOOKUP(R1343,打分卡!$F$11:$J$11,打分卡!$K$11:$O$11),1)</f>
        <v>1</v>
      </c>
      <c r="AH1343" s="42">
        <f>IFERROR(LOOKUP(U1343,打分卡!$F$12:$J$12,打分卡!$K$12:$O$12),1)</f>
        <v>1</v>
      </c>
      <c r="AI1343" s="42">
        <f>IFERROR(LOOKUP(X1343,打分卡!$F$13:$J$13,打分卡!$K$13:$O$13),1)</f>
        <v>3</v>
      </c>
      <c r="AJ1343" s="42">
        <f>IFERROR(LOOKUP(Y1343,打分卡!$F$14:$J$14,打分卡!$K$14:$O$14),1)</f>
        <v>2</v>
      </c>
      <c r="AK1343" s="42">
        <f>IFERROR(LOOKUP(W1343,打分卡!$F$15:$J$15,打分卡!$K$15:$O$15),1)</f>
        <v>2</v>
      </c>
      <c r="AL1343" s="45">
        <f t="shared" si="161"/>
        <v>5</v>
      </c>
      <c r="AM1343" s="42">
        <f>IFERROR(LOOKUP(Z1343,打分卡!$F$17:$H$17,打分卡!$K$17:$M$17),1)</f>
        <v>1</v>
      </c>
      <c r="AN1343" s="46">
        <f>(打分卡!$D$7*AC1343+打分卡!$D$8*AD1343+打分卡!$D$9*AE1343)/5</f>
        <v>8</v>
      </c>
      <c r="AO1343" s="46">
        <f>(打分卡!$D$10*AF1343+打分卡!$D$11*AG1343)/5</f>
        <v>4</v>
      </c>
      <c r="AP1343" s="46">
        <f>(打分卡!$D$12*AH1343+打分卡!$D$13*AI1343+打分卡!$D$14*AJ1343+打分卡!$D$15*AK1343)/5</f>
        <v>11.2</v>
      </c>
      <c r="AQ1343" s="46">
        <f>(打分卡!$D$16*AL1343+打分卡!$D$17*AM1343)/5</f>
        <v>6.8</v>
      </c>
      <c r="AR1343" s="48">
        <f t="shared" si="162"/>
        <v>36.9333333333333</v>
      </c>
      <c r="AS1343" s="45" t="str">
        <f t="shared" si="163"/>
        <v>基础长尾</v>
      </c>
      <c r="AT1343" s="45" t="str">
        <f t="shared" si="164"/>
        <v/>
      </c>
      <c r="AU1343" s="45" t="str">
        <f t="shared" si="165"/>
        <v>激活：企微+Push低成本先跑</v>
      </c>
    </row>
    <row r="1344" ht="15" customHeight="1" spans="1:47">
      <c r="A1344" s="30" t="s">
        <v>3477</v>
      </c>
      <c r="B1344" s="31" t="s">
        <v>3478</v>
      </c>
      <c r="C1344" s="31" t="s">
        <v>189</v>
      </c>
      <c r="D1344" s="31" t="s">
        <v>196</v>
      </c>
      <c r="E1344" s="31" t="s">
        <v>181</v>
      </c>
      <c r="F1344" s="30" t="s">
        <v>2770</v>
      </c>
      <c r="G1344" s="31">
        <v>1</v>
      </c>
      <c r="H1344" s="31" t="s">
        <v>642</v>
      </c>
      <c r="I1344" s="31" t="s">
        <v>302</v>
      </c>
      <c r="J1344" s="33">
        <v>400</v>
      </c>
      <c r="K1344" s="33">
        <v>200</v>
      </c>
      <c r="L1344" s="33">
        <v>0</v>
      </c>
      <c r="M1344" s="33">
        <f t="shared" si="160"/>
        <v>600</v>
      </c>
      <c r="N1344" s="34">
        <f t="shared" si="166"/>
        <v>3.14558391474209e-6</v>
      </c>
      <c r="O1344" s="35">
        <f>SUM($M$2:M1344)</f>
        <v>190729600</v>
      </c>
      <c r="P1344" s="34">
        <f t="shared" si="167"/>
        <v>0.999926603041989</v>
      </c>
      <c r="Q1344" s="37">
        <v>0.1</v>
      </c>
      <c r="R1344" s="31">
        <v>2</v>
      </c>
      <c r="S1344" s="31">
        <v>0</v>
      </c>
      <c r="T1344" s="31">
        <v>0</v>
      </c>
      <c r="U1344" s="37">
        <v>3.3</v>
      </c>
      <c r="V1344" s="31">
        <v>4</v>
      </c>
      <c r="W1344" s="31">
        <v>1</v>
      </c>
      <c r="X1344" s="38">
        <v>15</v>
      </c>
      <c r="Y1344" s="31">
        <v>1</v>
      </c>
      <c r="Z1344" s="31">
        <v>0</v>
      </c>
      <c r="AA1344" s="31" t="s">
        <v>199</v>
      </c>
      <c r="AB1344" s="31" t="s">
        <v>220</v>
      </c>
      <c r="AC1344" s="41">
        <f>IFERROR(LOOKUP(M1344,打分卡!$F$7:$J$7,打分卡!$K$7:$O$7),1)</f>
        <v>1</v>
      </c>
      <c r="AD1344" s="41">
        <f>IFERROR(LOOKUP(S1344,打分卡!$F$8:$J$8,打分卡!$K$8:$O$8),1)</f>
        <v>1</v>
      </c>
      <c r="AE1344" s="41">
        <f>IFERROR(LOOKUP(T1344,打分卡!$F$9:$I$9,打分卡!$K$9:$N$9),1)</f>
        <v>1</v>
      </c>
      <c r="AF1344" s="41">
        <f>IFERROR(LOOKUP(Q1344,打分卡!$F$10:$J$10,打分卡!$K$10:$O$10),1)</f>
        <v>1</v>
      </c>
      <c r="AG1344" s="41">
        <f>IFERROR(LOOKUP(R1344,打分卡!$F$11:$J$11,打分卡!$K$11:$O$11),1)</f>
        <v>1</v>
      </c>
      <c r="AH1344" s="41">
        <f>IFERROR(LOOKUP(U1344,打分卡!$F$12:$J$12,打分卡!$K$12:$O$12),1)</f>
        <v>2</v>
      </c>
      <c r="AI1344" s="41">
        <f>IFERROR(LOOKUP(X1344,打分卡!$F$13:$J$13,打分卡!$K$13:$O$13),1)</f>
        <v>1</v>
      </c>
      <c r="AJ1344" s="41">
        <f>IFERROR(LOOKUP(Y1344,打分卡!$F$14:$J$14,打分卡!$K$14:$O$14),1)</f>
        <v>2</v>
      </c>
      <c r="AK1344" s="41">
        <f>IFERROR(LOOKUP(W1344,打分卡!$F$15:$J$15,打分卡!$K$15:$O$15),1)</f>
        <v>2</v>
      </c>
      <c r="AL1344" s="43">
        <f t="shared" si="161"/>
        <v>5</v>
      </c>
      <c r="AM1344" s="41">
        <f>IFERROR(LOOKUP(Z1344,打分卡!$F$17:$H$17,打分卡!$K$17:$M$17),1)</f>
        <v>1</v>
      </c>
      <c r="AN1344" s="44">
        <f>(打分卡!$D$7*AC1344+打分卡!$D$8*AD1344+打分卡!$D$9*AE1344)/5</f>
        <v>8</v>
      </c>
      <c r="AO1344" s="44">
        <f>(打分卡!$D$10*AF1344+打分卡!$D$11*AG1344)/5</f>
        <v>4</v>
      </c>
      <c r="AP1344" s="44">
        <f>(打分卡!$D$12*AH1344+打分卡!$D$13*AI1344+打分卡!$D$14*AJ1344+打分卡!$D$15*AK1344)/5</f>
        <v>10.4</v>
      </c>
      <c r="AQ1344" s="44">
        <f>(打分卡!$D$16*AL1344+打分卡!$D$17*AM1344)/5</f>
        <v>6.8</v>
      </c>
      <c r="AR1344" s="47">
        <f t="shared" si="162"/>
        <v>35.0666666666667</v>
      </c>
      <c r="AS1344" s="43" t="str">
        <f t="shared" si="163"/>
        <v>基础长尾</v>
      </c>
      <c r="AT1344" s="43" t="str">
        <f t="shared" si="164"/>
        <v/>
      </c>
      <c r="AU1344" s="43" t="str">
        <f t="shared" si="165"/>
        <v>激活：企微+Push低成本先跑</v>
      </c>
    </row>
    <row r="1345" ht="15" customHeight="1" spans="1:47">
      <c r="A1345" s="20" t="s">
        <v>3479</v>
      </c>
      <c r="B1345" s="22" t="s">
        <v>3480</v>
      </c>
      <c r="C1345" s="22" t="s">
        <v>179</v>
      </c>
      <c r="D1345" s="22" t="s">
        <v>202</v>
      </c>
      <c r="E1345" s="22" t="s">
        <v>197</v>
      </c>
      <c r="F1345" s="20" t="s">
        <v>1611</v>
      </c>
      <c r="G1345" s="22">
        <v>2</v>
      </c>
      <c r="H1345" s="22" t="s">
        <v>642</v>
      </c>
      <c r="I1345" s="22" t="s">
        <v>302</v>
      </c>
      <c r="J1345" s="36">
        <v>300</v>
      </c>
      <c r="K1345" s="36">
        <v>200</v>
      </c>
      <c r="L1345" s="36">
        <v>100</v>
      </c>
      <c r="M1345" s="36">
        <f t="shared" si="160"/>
        <v>600</v>
      </c>
      <c r="N1345" s="34">
        <f t="shared" si="166"/>
        <v>3.14558391474209e-6</v>
      </c>
      <c r="O1345" s="35">
        <f>SUM($M$2:M1345)</f>
        <v>190730200</v>
      </c>
      <c r="P1345" s="34">
        <f t="shared" si="167"/>
        <v>0.999929748625904</v>
      </c>
      <c r="Q1345" s="39">
        <v>0</v>
      </c>
      <c r="R1345" s="22">
        <v>1</v>
      </c>
      <c r="S1345" s="22">
        <v>0</v>
      </c>
      <c r="T1345" s="22">
        <v>0</v>
      </c>
      <c r="U1345" s="39">
        <v>2</v>
      </c>
      <c r="V1345" s="22">
        <v>14</v>
      </c>
      <c r="W1345" s="22">
        <v>0</v>
      </c>
      <c r="X1345" s="40">
        <v>11</v>
      </c>
      <c r="Y1345" s="22">
        <v>1</v>
      </c>
      <c r="Z1345" s="22">
        <v>0</v>
      </c>
      <c r="AA1345" s="22" t="s">
        <v>199</v>
      </c>
      <c r="AB1345" s="22" t="s">
        <v>220</v>
      </c>
      <c r="AC1345" s="42">
        <f>IFERROR(LOOKUP(M1345,打分卡!$F$7:$J$7,打分卡!$K$7:$O$7),1)</f>
        <v>1</v>
      </c>
      <c r="AD1345" s="42">
        <f>IFERROR(LOOKUP(S1345,打分卡!$F$8:$J$8,打分卡!$K$8:$O$8),1)</f>
        <v>1</v>
      </c>
      <c r="AE1345" s="42">
        <f>IFERROR(LOOKUP(T1345,打分卡!$F$9:$I$9,打分卡!$K$9:$N$9),1)</f>
        <v>1</v>
      </c>
      <c r="AF1345" s="42">
        <f>IFERROR(LOOKUP(Q1345,打分卡!$F$10:$J$10,打分卡!$K$10:$O$10),1)</f>
        <v>1</v>
      </c>
      <c r="AG1345" s="42">
        <f>IFERROR(LOOKUP(R1345,打分卡!$F$11:$J$11,打分卡!$K$11:$O$11),1)</f>
        <v>1</v>
      </c>
      <c r="AH1345" s="42">
        <f>IFERROR(LOOKUP(U1345,打分卡!$F$12:$J$12,打分卡!$K$12:$O$12),1)</f>
        <v>1</v>
      </c>
      <c r="AI1345" s="42">
        <f>IFERROR(LOOKUP(X1345,打分卡!$F$13:$J$13,打分卡!$K$13:$O$13),1)</f>
        <v>1</v>
      </c>
      <c r="AJ1345" s="42">
        <f>IFERROR(LOOKUP(Y1345,打分卡!$F$14:$J$14,打分卡!$K$14:$O$14),1)</f>
        <v>2</v>
      </c>
      <c r="AK1345" s="42">
        <f>IFERROR(LOOKUP(W1345,打分卡!$F$15:$J$15,打分卡!$K$15:$O$15),1)</f>
        <v>1</v>
      </c>
      <c r="AL1345" s="45">
        <f t="shared" si="161"/>
        <v>5</v>
      </c>
      <c r="AM1345" s="42">
        <f>IFERROR(LOOKUP(Z1345,打分卡!$F$17:$H$17,打分卡!$K$17:$M$17),1)</f>
        <v>1</v>
      </c>
      <c r="AN1345" s="46">
        <f>(打分卡!$D$7*AC1345+打分卡!$D$8*AD1345+打分卡!$D$9*AE1345)/5</f>
        <v>8</v>
      </c>
      <c r="AO1345" s="46">
        <f>(打分卡!$D$10*AF1345+打分卡!$D$11*AG1345)/5</f>
        <v>4</v>
      </c>
      <c r="AP1345" s="46">
        <f>(打分卡!$D$12*AH1345+打分卡!$D$13*AI1345+打分卡!$D$14*AJ1345+打分卡!$D$15*AK1345)/5</f>
        <v>7.2</v>
      </c>
      <c r="AQ1345" s="46">
        <f>(打分卡!$D$16*AL1345+打分卡!$D$17*AM1345)/5</f>
        <v>6.8</v>
      </c>
      <c r="AR1345" s="48">
        <f t="shared" si="162"/>
        <v>27.6</v>
      </c>
      <c r="AS1345" s="45" t="str">
        <f t="shared" si="163"/>
        <v>基础长尾</v>
      </c>
      <c r="AT1345" s="45" t="str">
        <f t="shared" si="164"/>
        <v/>
      </c>
      <c r="AU1345" s="45" t="str">
        <f t="shared" si="165"/>
        <v>激活：企微+Push低成本先跑</v>
      </c>
    </row>
    <row r="1346" ht="15" customHeight="1" spans="1:47">
      <c r="A1346" s="30" t="s">
        <v>3481</v>
      </c>
      <c r="B1346" s="31" t="s">
        <v>3482</v>
      </c>
      <c r="C1346" s="31" t="s">
        <v>179</v>
      </c>
      <c r="D1346" s="31" t="s">
        <v>202</v>
      </c>
      <c r="E1346" s="31" t="s">
        <v>181</v>
      </c>
      <c r="F1346" s="30" t="s">
        <v>2484</v>
      </c>
      <c r="G1346" s="31">
        <v>2</v>
      </c>
      <c r="H1346" s="31" t="s">
        <v>642</v>
      </c>
      <c r="I1346" s="31" t="s">
        <v>302</v>
      </c>
      <c r="J1346" s="33">
        <v>300</v>
      </c>
      <c r="K1346" s="33">
        <v>100</v>
      </c>
      <c r="L1346" s="33">
        <v>100</v>
      </c>
      <c r="M1346" s="33">
        <f t="shared" ref="M1346:M1409" si="168">SUM(J1346:L1346)</f>
        <v>500</v>
      </c>
      <c r="N1346" s="34">
        <f t="shared" si="166"/>
        <v>2.62131992895174e-6</v>
      </c>
      <c r="O1346" s="35">
        <f>SUM($M$2:M1346)</f>
        <v>190730700</v>
      </c>
      <c r="P1346" s="34">
        <f t="shared" si="167"/>
        <v>0.999932369945833</v>
      </c>
      <c r="Q1346" s="37">
        <v>0.1</v>
      </c>
      <c r="R1346" s="31">
        <v>2</v>
      </c>
      <c r="S1346" s="31">
        <v>0</v>
      </c>
      <c r="T1346" s="31">
        <v>0</v>
      </c>
      <c r="U1346" s="37">
        <v>20.9</v>
      </c>
      <c r="V1346" s="31">
        <v>14</v>
      </c>
      <c r="W1346" s="31">
        <v>2</v>
      </c>
      <c r="X1346" s="38">
        <v>69</v>
      </c>
      <c r="Y1346" s="31">
        <v>0</v>
      </c>
      <c r="Z1346" s="31">
        <v>0</v>
      </c>
      <c r="AA1346" s="31" t="s">
        <v>199</v>
      </c>
      <c r="AB1346" s="31" t="s">
        <v>220</v>
      </c>
      <c r="AC1346" s="41">
        <f>IFERROR(LOOKUP(M1346,打分卡!$F$7:$J$7,打分卡!$K$7:$O$7),1)</f>
        <v>1</v>
      </c>
      <c r="AD1346" s="41">
        <f>IFERROR(LOOKUP(S1346,打分卡!$F$8:$J$8,打分卡!$K$8:$O$8),1)</f>
        <v>1</v>
      </c>
      <c r="AE1346" s="41">
        <f>IFERROR(LOOKUP(T1346,打分卡!$F$9:$I$9,打分卡!$K$9:$N$9),1)</f>
        <v>1</v>
      </c>
      <c r="AF1346" s="41">
        <f>IFERROR(LOOKUP(Q1346,打分卡!$F$10:$J$10,打分卡!$K$10:$O$10),1)</f>
        <v>1</v>
      </c>
      <c r="AG1346" s="41">
        <f>IFERROR(LOOKUP(R1346,打分卡!$F$11:$J$11,打分卡!$K$11:$O$11),1)</f>
        <v>1</v>
      </c>
      <c r="AH1346" s="41">
        <f>IFERROR(LOOKUP(U1346,打分卡!$F$12:$J$12,打分卡!$K$12:$O$12),1)</f>
        <v>3</v>
      </c>
      <c r="AI1346" s="41">
        <f>IFERROR(LOOKUP(X1346,打分卡!$F$13:$J$13,打分卡!$K$13:$O$13),1)</f>
        <v>3</v>
      </c>
      <c r="AJ1346" s="41">
        <f>IFERROR(LOOKUP(Y1346,打分卡!$F$14:$J$14,打分卡!$K$14:$O$14),1)</f>
        <v>1</v>
      </c>
      <c r="AK1346" s="41">
        <f>IFERROR(LOOKUP(W1346,打分卡!$F$15:$J$15,打分卡!$K$15:$O$15),1)</f>
        <v>2</v>
      </c>
      <c r="AL1346" s="43">
        <f t="shared" ref="AL1346:AL1409" si="169">IF(AA1346="连续下降",1,IF(AA1346="下降",2,IF(AA1346="上升",5,3)))</f>
        <v>5</v>
      </c>
      <c r="AM1346" s="41">
        <f>IFERROR(LOOKUP(Z1346,打分卡!$F$17:$H$17,打分卡!$K$17:$M$17),1)</f>
        <v>1</v>
      </c>
      <c r="AN1346" s="44">
        <f>(打分卡!$D$7*AC1346+打分卡!$D$8*AD1346+打分卡!$D$9*AE1346)/5</f>
        <v>8</v>
      </c>
      <c r="AO1346" s="44">
        <f>(打分卡!$D$10*AF1346+打分卡!$D$11*AG1346)/5</f>
        <v>4</v>
      </c>
      <c r="AP1346" s="44">
        <f>(打分卡!$D$12*AH1346+打分卡!$D$13*AI1346+打分卡!$D$14*AJ1346+打分卡!$D$15*AK1346)/5</f>
        <v>14.8</v>
      </c>
      <c r="AQ1346" s="44">
        <f>(打分卡!$D$16*AL1346+打分卡!$D$17*AM1346)/5</f>
        <v>6.8</v>
      </c>
      <c r="AR1346" s="47">
        <f t="shared" ref="AR1346:AR1409" si="170">IF(G1346&lt;3,AP1346/30*40+AO1346+AP1346+AQ1346,AN1346+AO1346+AP1346+AQ1346)</f>
        <v>45.3333333333333</v>
      </c>
      <c r="AS1346" s="43" t="str">
        <f t="shared" ref="AS1346:AS1409" si="171">IF(M1346=0,IF(G1346&lt;3,"新客观察期","未激活"),IF(AR1346&gt;=90,"SKA",IF(AR1346&gt;=75,"KA",IF(AR1346&gt;=40,"腰部","基础长尾"))))</f>
        <v>腰部</v>
      </c>
      <c r="AT1346" s="43" t="str">
        <f t="shared" ref="AT1346:AT1409" si="172">IF(AA1346="连续下降","连续下降-预警","")</f>
        <v/>
      </c>
      <c r="AU1346" s="43" t="str">
        <f t="shared" ref="AU1346:AU1409" si="173">IF(AS1346="SKA","守·共创：卡片短信/AI外呼新场景POC",IF(AS1346="KA","扩·深化：AI外呼场景深化+Push/企微补全",IF(AS1346="腰部","拉·主攻：主推AI外呼+大促作战包",IF(AS1346="新客观察期","培育：入门包+1v1场景教育",IF(AS1346="基础长尾","激活：企微+Push低成本先跑","唤醒：短信模板+首充补贴")))))</f>
        <v>拉·主攻：主推AI外呼+大促作战包</v>
      </c>
    </row>
    <row r="1347" ht="15" customHeight="1" spans="1:47">
      <c r="A1347" s="20" t="s">
        <v>3483</v>
      </c>
      <c r="B1347" s="22" t="s">
        <v>3484</v>
      </c>
      <c r="C1347" s="22" t="s">
        <v>189</v>
      </c>
      <c r="D1347" s="22" t="s">
        <v>190</v>
      </c>
      <c r="E1347" s="22" t="s">
        <v>181</v>
      </c>
      <c r="F1347" s="20" t="s">
        <v>2778</v>
      </c>
      <c r="G1347" s="22">
        <v>1</v>
      </c>
      <c r="H1347" s="22" t="s">
        <v>642</v>
      </c>
      <c r="I1347" s="22" t="s">
        <v>302</v>
      </c>
      <c r="J1347" s="36">
        <v>300</v>
      </c>
      <c r="K1347" s="36">
        <v>200</v>
      </c>
      <c r="L1347" s="36">
        <v>0</v>
      </c>
      <c r="M1347" s="36">
        <f t="shared" si="168"/>
        <v>500</v>
      </c>
      <c r="N1347" s="34">
        <f t="shared" ref="N1347:N1410" si="174">M1347/$M$2002</f>
        <v>2.62131992895174e-6</v>
      </c>
      <c r="O1347" s="35">
        <f>SUM($M$2:M1347)</f>
        <v>190731200</v>
      </c>
      <c r="P1347" s="34">
        <f t="shared" ref="P1347:P1410" si="175">O1347/$M$2002</f>
        <v>0.999934991265762</v>
      </c>
      <c r="Q1347" s="39">
        <v>0</v>
      </c>
      <c r="R1347" s="22">
        <v>1</v>
      </c>
      <c r="S1347" s="22">
        <v>0</v>
      </c>
      <c r="T1347" s="22">
        <v>0</v>
      </c>
      <c r="U1347" s="39">
        <v>41</v>
      </c>
      <c r="V1347" s="22">
        <v>14</v>
      </c>
      <c r="W1347" s="22">
        <v>2</v>
      </c>
      <c r="X1347" s="40">
        <v>8</v>
      </c>
      <c r="Y1347" s="22">
        <v>1</v>
      </c>
      <c r="Z1347" s="22">
        <v>0</v>
      </c>
      <c r="AA1347" s="22" t="s">
        <v>199</v>
      </c>
      <c r="AB1347" s="22" t="s">
        <v>220</v>
      </c>
      <c r="AC1347" s="42">
        <f>IFERROR(LOOKUP(M1347,打分卡!$F$7:$J$7,打分卡!$K$7:$O$7),1)</f>
        <v>1</v>
      </c>
      <c r="AD1347" s="42">
        <f>IFERROR(LOOKUP(S1347,打分卡!$F$8:$J$8,打分卡!$K$8:$O$8),1)</f>
        <v>1</v>
      </c>
      <c r="AE1347" s="42">
        <f>IFERROR(LOOKUP(T1347,打分卡!$F$9:$I$9,打分卡!$K$9:$N$9),1)</f>
        <v>1</v>
      </c>
      <c r="AF1347" s="42">
        <f>IFERROR(LOOKUP(Q1347,打分卡!$F$10:$J$10,打分卡!$K$10:$O$10),1)</f>
        <v>1</v>
      </c>
      <c r="AG1347" s="42">
        <f>IFERROR(LOOKUP(R1347,打分卡!$F$11:$J$11,打分卡!$K$11:$O$11),1)</f>
        <v>1</v>
      </c>
      <c r="AH1347" s="42">
        <f>IFERROR(LOOKUP(U1347,打分卡!$F$12:$J$12,打分卡!$K$12:$O$12),1)</f>
        <v>4</v>
      </c>
      <c r="AI1347" s="42">
        <f>IFERROR(LOOKUP(X1347,打分卡!$F$13:$J$13,打分卡!$K$13:$O$13),1)</f>
        <v>1</v>
      </c>
      <c r="AJ1347" s="42">
        <f>IFERROR(LOOKUP(Y1347,打分卡!$F$14:$J$14,打分卡!$K$14:$O$14),1)</f>
        <v>2</v>
      </c>
      <c r="AK1347" s="42">
        <f>IFERROR(LOOKUP(W1347,打分卡!$F$15:$J$15,打分卡!$K$15:$O$15),1)</f>
        <v>2</v>
      </c>
      <c r="AL1347" s="45">
        <f t="shared" si="169"/>
        <v>5</v>
      </c>
      <c r="AM1347" s="42">
        <f>IFERROR(LOOKUP(Z1347,打分卡!$F$17:$H$17,打分卡!$K$17:$M$17),1)</f>
        <v>1</v>
      </c>
      <c r="AN1347" s="46">
        <f>(打分卡!$D$7*AC1347+打分卡!$D$8*AD1347+打分卡!$D$9*AE1347)/5</f>
        <v>8</v>
      </c>
      <c r="AO1347" s="46">
        <f>(打分卡!$D$10*AF1347+打分卡!$D$11*AG1347)/5</f>
        <v>4</v>
      </c>
      <c r="AP1347" s="46">
        <f>(打分卡!$D$12*AH1347+打分卡!$D$13*AI1347+打分卡!$D$14*AJ1347+打分卡!$D$15*AK1347)/5</f>
        <v>15.2</v>
      </c>
      <c r="AQ1347" s="46">
        <f>(打分卡!$D$16*AL1347+打分卡!$D$17*AM1347)/5</f>
        <v>6.8</v>
      </c>
      <c r="AR1347" s="48">
        <f t="shared" si="170"/>
        <v>46.2666666666667</v>
      </c>
      <c r="AS1347" s="45" t="str">
        <f t="shared" si="171"/>
        <v>腰部</v>
      </c>
      <c r="AT1347" s="45" t="str">
        <f t="shared" si="172"/>
        <v/>
      </c>
      <c r="AU1347" s="45" t="str">
        <f t="shared" si="173"/>
        <v>拉·主攻：主推AI外呼+大促作战包</v>
      </c>
    </row>
    <row r="1348" ht="15" customHeight="1" spans="1:47">
      <c r="A1348" s="30" t="s">
        <v>3485</v>
      </c>
      <c r="B1348" s="31" t="s">
        <v>3486</v>
      </c>
      <c r="C1348" s="31" t="s">
        <v>189</v>
      </c>
      <c r="D1348" s="31" t="s">
        <v>235</v>
      </c>
      <c r="E1348" s="31" t="s">
        <v>181</v>
      </c>
      <c r="F1348" s="30" t="s">
        <v>2714</v>
      </c>
      <c r="G1348" s="31">
        <v>2</v>
      </c>
      <c r="H1348" s="31" t="s">
        <v>642</v>
      </c>
      <c r="I1348" s="31" t="s">
        <v>302</v>
      </c>
      <c r="J1348" s="33">
        <v>300</v>
      </c>
      <c r="K1348" s="33">
        <v>200</v>
      </c>
      <c r="L1348" s="33">
        <v>200</v>
      </c>
      <c r="M1348" s="33">
        <f t="shared" si="168"/>
        <v>700</v>
      </c>
      <c r="N1348" s="34">
        <f t="shared" si="174"/>
        <v>3.66984790053244e-6</v>
      </c>
      <c r="O1348" s="35">
        <f>SUM($M$2:M1348)</f>
        <v>190731900</v>
      </c>
      <c r="P1348" s="34">
        <f t="shared" si="175"/>
        <v>0.999938661113662</v>
      </c>
      <c r="Q1348" s="37">
        <v>0.1</v>
      </c>
      <c r="R1348" s="31">
        <v>1</v>
      </c>
      <c r="S1348" s="31">
        <v>0</v>
      </c>
      <c r="T1348" s="31">
        <v>0</v>
      </c>
      <c r="U1348" s="37">
        <v>0.8</v>
      </c>
      <c r="V1348" s="31">
        <v>1</v>
      </c>
      <c r="W1348" s="31">
        <v>2</v>
      </c>
      <c r="X1348" s="38">
        <v>74</v>
      </c>
      <c r="Y1348" s="31">
        <v>0</v>
      </c>
      <c r="Z1348" s="31">
        <v>0</v>
      </c>
      <c r="AA1348" s="31" t="s">
        <v>199</v>
      </c>
      <c r="AB1348" s="31" t="s">
        <v>220</v>
      </c>
      <c r="AC1348" s="41">
        <f>IFERROR(LOOKUP(M1348,打分卡!$F$7:$J$7,打分卡!$K$7:$O$7),1)</f>
        <v>1</v>
      </c>
      <c r="AD1348" s="41">
        <f>IFERROR(LOOKUP(S1348,打分卡!$F$8:$J$8,打分卡!$K$8:$O$8),1)</f>
        <v>1</v>
      </c>
      <c r="AE1348" s="41">
        <f>IFERROR(LOOKUP(T1348,打分卡!$F$9:$I$9,打分卡!$K$9:$N$9),1)</f>
        <v>1</v>
      </c>
      <c r="AF1348" s="41">
        <f>IFERROR(LOOKUP(Q1348,打分卡!$F$10:$J$10,打分卡!$K$10:$O$10),1)</f>
        <v>1</v>
      </c>
      <c r="AG1348" s="41">
        <f>IFERROR(LOOKUP(R1348,打分卡!$F$11:$J$11,打分卡!$K$11:$O$11),1)</f>
        <v>1</v>
      </c>
      <c r="AH1348" s="41">
        <f>IFERROR(LOOKUP(U1348,打分卡!$F$12:$J$12,打分卡!$K$12:$O$12),1)</f>
        <v>1</v>
      </c>
      <c r="AI1348" s="41">
        <f>IFERROR(LOOKUP(X1348,打分卡!$F$13:$J$13,打分卡!$K$13:$O$13),1)</f>
        <v>3</v>
      </c>
      <c r="AJ1348" s="41">
        <f>IFERROR(LOOKUP(Y1348,打分卡!$F$14:$J$14,打分卡!$K$14:$O$14),1)</f>
        <v>1</v>
      </c>
      <c r="AK1348" s="41">
        <f>IFERROR(LOOKUP(W1348,打分卡!$F$15:$J$15,打分卡!$K$15:$O$15),1)</f>
        <v>2</v>
      </c>
      <c r="AL1348" s="43">
        <f t="shared" si="169"/>
        <v>5</v>
      </c>
      <c r="AM1348" s="41">
        <f>IFERROR(LOOKUP(Z1348,打分卡!$F$17:$H$17,打分卡!$K$17:$M$17),1)</f>
        <v>1</v>
      </c>
      <c r="AN1348" s="44">
        <f>(打分卡!$D$7*AC1348+打分卡!$D$8*AD1348+打分卡!$D$9*AE1348)/5</f>
        <v>8</v>
      </c>
      <c r="AO1348" s="44">
        <f>(打分卡!$D$10*AF1348+打分卡!$D$11*AG1348)/5</f>
        <v>4</v>
      </c>
      <c r="AP1348" s="44">
        <f>(打分卡!$D$12*AH1348+打分卡!$D$13*AI1348+打分卡!$D$14*AJ1348+打分卡!$D$15*AK1348)/5</f>
        <v>10</v>
      </c>
      <c r="AQ1348" s="44">
        <f>(打分卡!$D$16*AL1348+打分卡!$D$17*AM1348)/5</f>
        <v>6.8</v>
      </c>
      <c r="AR1348" s="47">
        <f t="shared" si="170"/>
        <v>34.1333333333333</v>
      </c>
      <c r="AS1348" s="43" t="str">
        <f t="shared" si="171"/>
        <v>基础长尾</v>
      </c>
      <c r="AT1348" s="43" t="str">
        <f t="shared" si="172"/>
        <v/>
      </c>
      <c r="AU1348" s="43" t="str">
        <f t="shared" si="173"/>
        <v>激活：企微+Push低成本先跑</v>
      </c>
    </row>
    <row r="1349" ht="15" customHeight="1" spans="1:47">
      <c r="A1349" s="20" t="s">
        <v>3487</v>
      </c>
      <c r="B1349" s="22" t="s">
        <v>3488</v>
      </c>
      <c r="C1349" s="22" t="s">
        <v>179</v>
      </c>
      <c r="D1349" s="22" t="s">
        <v>202</v>
      </c>
      <c r="E1349" s="22" t="s">
        <v>197</v>
      </c>
      <c r="F1349" s="20" t="s">
        <v>1166</v>
      </c>
      <c r="G1349" s="22">
        <v>3</v>
      </c>
      <c r="H1349" s="22" t="s">
        <v>642</v>
      </c>
      <c r="I1349" s="22" t="s">
        <v>302</v>
      </c>
      <c r="J1349" s="36">
        <v>300</v>
      </c>
      <c r="K1349" s="36">
        <v>100</v>
      </c>
      <c r="L1349" s="36">
        <v>100</v>
      </c>
      <c r="M1349" s="36">
        <f t="shared" si="168"/>
        <v>500</v>
      </c>
      <c r="N1349" s="34">
        <f t="shared" si="174"/>
        <v>2.62131992895174e-6</v>
      </c>
      <c r="O1349" s="35">
        <f>SUM($M$2:M1349)</f>
        <v>190732400</v>
      </c>
      <c r="P1349" s="34">
        <f t="shared" si="175"/>
        <v>0.999941282433591</v>
      </c>
      <c r="Q1349" s="39">
        <v>0</v>
      </c>
      <c r="R1349" s="22">
        <v>3</v>
      </c>
      <c r="S1349" s="22">
        <v>1</v>
      </c>
      <c r="T1349" s="22">
        <v>0</v>
      </c>
      <c r="U1349" s="39">
        <v>2.5</v>
      </c>
      <c r="V1349" s="22">
        <v>3</v>
      </c>
      <c r="W1349" s="22">
        <v>1</v>
      </c>
      <c r="X1349" s="40">
        <v>10</v>
      </c>
      <c r="Y1349" s="22">
        <v>0</v>
      </c>
      <c r="Z1349" s="22">
        <v>0</v>
      </c>
      <c r="AA1349" s="22" t="s">
        <v>199</v>
      </c>
      <c r="AB1349" s="22" t="s">
        <v>220</v>
      </c>
      <c r="AC1349" s="42">
        <f>IFERROR(LOOKUP(M1349,打分卡!$F$7:$J$7,打分卡!$K$7:$O$7),1)</f>
        <v>1</v>
      </c>
      <c r="AD1349" s="42">
        <f>IFERROR(LOOKUP(S1349,打分卡!$F$8:$J$8,打分卡!$K$8:$O$8),1)</f>
        <v>1</v>
      </c>
      <c r="AE1349" s="42">
        <f>IFERROR(LOOKUP(T1349,打分卡!$F$9:$I$9,打分卡!$K$9:$N$9),1)</f>
        <v>1</v>
      </c>
      <c r="AF1349" s="42">
        <f>IFERROR(LOOKUP(Q1349,打分卡!$F$10:$J$10,打分卡!$K$10:$O$10),1)</f>
        <v>1</v>
      </c>
      <c r="AG1349" s="42">
        <f>IFERROR(LOOKUP(R1349,打分卡!$F$11:$J$11,打分卡!$K$11:$O$11),1)</f>
        <v>2</v>
      </c>
      <c r="AH1349" s="42">
        <f>IFERROR(LOOKUP(U1349,打分卡!$F$12:$J$12,打分卡!$K$12:$O$12),1)</f>
        <v>1</v>
      </c>
      <c r="AI1349" s="42">
        <f>IFERROR(LOOKUP(X1349,打分卡!$F$13:$J$13,打分卡!$K$13:$O$13),1)</f>
        <v>1</v>
      </c>
      <c r="AJ1349" s="42">
        <f>IFERROR(LOOKUP(Y1349,打分卡!$F$14:$J$14,打分卡!$K$14:$O$14),1)</f>
        <v>1</v>
      </c>
      <c r="AK1349" s="42">
        <f>IFERROR(LOOKUP(W1349,打分卡!$F$15:$J$15,打分卡!$K$15:$O$15),1)</f>
        <v>2</v>
      </c>
      <c r="AL1349" s="45">
        <f t="shared" si="169"/>
        <v>5</v>
      </c>
      <c r="AM1349" s="42">
        <f>IFERROR(LOOKUP(Z1349,打分卡!$F$17:$H$17,打分卡!$K$17:$M$17),1)</f>
        <v>1</v>
      </c>
      <c r="AN1349" s="46">
        <f>(打分卡!$D$7*AC1349+打分卡!$D$8*AD1349+打分卡!$D$9*AE1349)/5</f>
        <v>8</v>
      </c>
      <c r="AO1349" s="46">
        <f>(打分卡!$D$10*AF1349+打分卡!$D$11*AG1349)/5</f>
        <v>6</v>
      </c>
      <c r="AP1349" s="46">
        <f>(打分卡!$D$12*AH1349+打分卡!$D$13*AI1349+打分卡!$D$14*AJ1349+打分卡!$D$15*AK1349)/5</f>
        <v>6.8</v>
      </c>
      <c r="AQ1349" s="46">
        <f>(打分卡!$D$16*AL1349+打分卡!$D$17*AM1349)/5</f>
        <v>6.8</v>
      </c>
      <c r="AR1349" s="48">
        <f t="shared" si="170"/>
        <v>27.6</v>
      </c>
      <c r="AS1349" s="45" t="str">
        <f t="shared" si="171"/>
        <v>基础长尾</v>
      </c>
      <c r="AT1349" s="45" t="str">
        <f t="shared" si="172"/>
        <v/>
      </c>
      <c r="AU1349" s="45" t="str">
        <f t="shared" si="173"/>
        <v>激活：企微+Push低成本先跑</v>
      </c>
    </row>
    <row r="1350" ht="15" customHeight="1" spans="1:47">
      <c r="A1350" s="30" t="s">
        <v>3489</v>
      </c>
      <c r="B1350" s="31" t="s">
        <v>3490</v>
      </c>
      <c r="C1350" s="31" t="s">
        <v>179</v>
      </c>
      <c r="D1350" s="31" t="s">
        <v>202</v>
      </c>
      <c r="E1350" s="31" t="s">
        <v>197</v>
      </c>
      <c r="F1350" s="30" t="s">
        <v>1997</v>
      </c>
      <c r="G1350" s="31">
        <v>3</v>
      </c>
      <c r="H1350" s="31" t="s">
        <v>642</v>
      </c>
      <c r="I1350" s="31" t="s">
        <v>302</v>
      </c>
      <c r="J1350" s="33">
        <v>300</v>
      </c>
      <c r="K1350" s="33">
        <v>100</v>
      </c>
      <c r="L1350" s="33">
        <v>200</v>
      </c>
      <c r="M1350" s="33">
        <f t="shared" si="168"/>
        <v>600</v>
      </c>
      <c r="N1350" s="34">
        <f t="shared" si="174"/>
        <v>3.14558391474209e-6</v>
      </c>
      <c r="O1350" s="35">
        <f>SUM($M$2:M1350)</f>
        <v>190733000</v>
      </c>
      <c r="P1350" s="34">
        <f t="shared" si="175"/>
        <v>0.999944428017506</v>
      </c>
      <c r="Q1350" s="37">
        <v>0.1</v>
      </c>
      <c r="R1350" s="31">
        <v>1</v>
      </c>
      <c r="S1350" s="31">
        <v>1</v>
      </c>
      <c r="T1350" s="31">
        <v>0</v>
      </c>
      <c r="U1350" s="37">
        <v>7.5</v>
      </c>
      <c r="V1350" s="31">
        <v>13</v>
      </c>
      <c r="W1350" s="31">
        <v>0</v>
      </c>
      <c r="X1350" s="38">
        <v>27</v>
      </c>
      <c r="Y1350" s="31">
        <v>1</v>
      </c>
      <c r="Z1350" s="31">
        <v>0</v>
      </c>
      <c r="AA1350" s="31" t="s">
        <v>199</v>
      </c>
      <c r="AB1350" s="31" t="s">
        <v>220</v>
      </c>
      <c r="AC1350" s="41">
        <f>IFERROR(LOOKUP(M1350,打分卡!$F$7:$J$7,打分卡!$K$7:$O$7),1)</f>
        <v>1</v>
      </c>
      <c r="AD1350" s="41">
        <f>IFERROR(LOOKUP(S1350,打分卡!$F$8:$J$8,打分卡!$K$8:$O$8),1)</f>
        <v>1</v>
      </c>
      <c r="AE1350" s="41">
        <f>IFERROR(LOOKUP(T1350,打分卡!$F$9:$I$9,打分卡!$K$9:$N$9),1)</f>
        <v>1</v>
      </c>
      <c r="AF1350" s="41">
        <f>IFERROR(LOOKUP(Q1350,打分卡!$F$10:$J$10,打分卡!$K$10:$O$10),1)</f>
        <v>1</v>
      </c>
      <c r="AG1350" s="41">
        <f>IFERROR(LOOKUP(R1350,打分卡!$F$11:$J$11,打分卡!$K$11:$O$11),1)</f>
        <v>1</v>
      </c>
      <c r="AH1350" s="41">
        <f>IFERROR(LOOKUP(U1350,打分卡!$F$12:$J$12,打分卡!$K$12:$O$12),1)</f>
        <v>2</v>
      </c>
      <c r="AI1350" s="41">
        <f>IFERROR(LOOKUP(X1350,打分卡!$F$13:$J$13,打分卡!$K$13:$O$13),1)</f>
        <v>2</v>
      </c>
      <c r="AJ1350" s="41">
        <f>IFERROR(LOOKUP(Y1350,打分卡!$F$14:$J$14,打分卡!$K$14:$O$14),1)</f>
        <v>2</v>
      </c>
      <c r="AK1350" s="41">
        <f>IFERROR(LOOKUP(W1350,打分卡!$F$15:$J$15,打分卡!$K$15:$O$15),1)</f>
        <v>1</v>
      </c>
      <c r="AL1350" s="43">
        <f t="shared" si="169"/>
        <v>5</v>
      </c>
      <c r="AM1350" s="41">
        <f>IFERROR(LOOKUP(Z1350,打分卡!$F$17:$H$17,打分卡!$K$17:$M$17),1)</f>
        <v>1</v>
      </c>
      <c r="AN1350" s="44">
        <f>(打分卡!$D$7*AC1350+打分卡!$D$8*AD1350+打分卡!$D$9*AE1350)/5</f>
        <v>8</v>
      </c>
      <c r="AO1350" s="44">
        <f>(打分卡!$D$10*AF1350+打分卡!$D$11*AG1350)/5</f>
        <v>4</v>
      </c>
      <c r="AP1350" s="44">
        <f>(打分卡!$D$12*AH1350+打分卡!$D$13*AI1350+打分卡!$D$14*AJ1350+打分卡!$D$15*AK1350)/5</f>
        <v>11.2</v>
      </c>
      <c r="AQ1350" s="44">
        <f>(打分卡!$D$16*AL1350+打分卡!$D$17*AM1350)/5</f>
        <v>6.8</v>
      </c>
      <c r="AR1350" s="47">
        <f t="shared" si="170"/>
        <v>30</v>
      </c>
      <c r="AS1350" s="43" t="str">
        <f t="shared" si="171"/>
        <v>基础长尾</v>
      </c>
      <c r="AT1350" s="43" t="str">
        <f t="shared" si="172"/>
        <v/>
      </c>
      <c r="AU1350" s="43" t="str">
        <f t="shared" si="173"/>
        <v>激活：企微+Push低成本先跑</v>
      </c>
    </row>
    <row r="1351" ht="15" customHeight="1" spans="1:47">
      <c r="A1351" s="20" t="s">
        <v>3491</v>
      </c>
      <c r="B1351" s="22" t="s">
        <v>3492</v>
      </c>
      <c r="C1351" s="22" t="s">
        <v>179</v>
      </c>
      <c r="D1351" s="22" t="s">
        <v>202</v>
      </c>
      <c r="E1351" s="22" t="s">
        <v>181</v>
      </c>
      <c r="F1351" s="20" t="s">
        <v>1557</v>
      </c>
      <c r="G1351" s="22">
        <v>3</v>
      </c>
      <c r="H1351" s="22" t="s">
        <v>642</v>
      </c>
      <c r="I1351" s="22" t="s">
        <v>302</v>
      </c>
      <c r="J1351" s="36">
        <v>300</v>
      </c>
      <c r="K1351" s="36">
        <v>100</v>
      </c>
      <c r="L1351" s="36">
        <v>100</v>
      </c>
      <c r="M1351" s="36">
        <f t="shared" si="168"/>
        <v>500</v>
      </c>
      <c r="N1351" s="34">
        <f t="shared" si="174"/>
        <v>2.62131992895174e-6</v>
      </c>
      <c r="O1351" s="35">
        <f>SUM($M$2:M1351)</f>
        <v>190733500</v>
      </c>
      <c r="P1351" s="34">
        <f t="shared" si="175"/>
        <v>0.999947049337435</v>
      </c>
      <c r="Q1351" s="39">
        <v>0.1</v>
      </c>
      <c r="R1351" s="22">
        <v>1</v>
      </c>
      <c r="S1351" s="22">
        <v>1</v>
      </c>
      <c r="T1351" s="22">
        <v>0</v>
      </c>
      <c r="U1351" s="39">
        <v>0.6</v>
      </c>
      <c r="V1351" s="22">
        <v>6</v>
      </c>
      <c r="W1351" s="22">
        <v>2</v>
      </c>
      <c r="X1351" s="40">
        <v>30</v>
      </c>
      <c r="Y1351" s="22">
        <v>1</v>
      </c>
      <c r="Z1351" s="22">
        <v>0</v>
      </c>
      <c r="AA1351" s="22" t="s">
        <v>199</v>
      </c>
      <c r="AB1351" s="22" t="s">
        <v>220</v>
      </c>
      <c r="AC1351" s="42">
        <f>IFERROR(LOOKUP(M1351,打分卡!$F$7:$J$7,打分卡!$K$7:$O$7),1)</f>
        <v>1</v>
      </c>
      <c r="AD1351" s="42">
        <f>IFERROR(LOOKUP(S1351,打分卡!$F$8:$J$8,打分卡!$K$8:$O$8),1)</f>
        <v>1</v>
      </c>
      <c r="AE1351" s="42">
        <f>IFERROR(LOOKUP(T1351,打分卡!$F$9:$I$9,打分卡!$K$9:$N$9),1)</f>
        <v>1</v>
      </c>
      <c r="AF1351" s="42">
        <f>IFERROR(LOOKUP(Q1351,打分卡!$F$10:$J$10,打分卡!$K$10:$O$10),1)</f>
        <v>1</v>
      </c>
      <c r="AG1351" s="42">
        <f>IFERROR(LOOKUP(R1351,打分卡!$F$11:$J$11,打分卡!$K$11:$O$11),1)</f>
        <v>1</v>
      </c>
      <c r="AH1351" s="42">
        <f>IFERROR(LOOKUP(U1351,打分卡!$F$12:$J$12,打分卡!$K$12:$O$12),1)</f>
        <v>1</v>
      </c>
      <c r="AI1351" s="42">
        <f>IFERROR(LOOKUP(X1351,打分卡!$F$13:$J$13,打分卡!$K$13:$O$13),1)</f>
        <v>2</v>
      </c>
      <c r="AJ1351" s="42">
        <f>IFERROR(LOOKUP(Y1351,打分卡!$F$14:$J$14,打分卡!$K$14:$O$14),1)</f>
        <v>2</v>
      </c>
      <c r="AK1351" s="42">
        <f>IFERROR(LOOKUP(W1351,打分卡!$F$15:$J$15,打分卡!$K$15:$O$15),1)</f>
        <v>2</v>
      </c>
      <c r="AL1351" s="45">
        <f t="shared" si="169"/>
        <v>5</v>
      </c>
      <c r="AM1351" s="42">
        <f>IFERROR(LOOKUP(Z1351,打分卡!$F$17:$H$17,打分卡!$K$17:$M$17),1)</f>
        <v>1</v>
      </c>
      <c r="AN1351" s="46">
        <f>(打分卡!$D$7*AC1351+打分卡!$D$8*AD1351+打分卡!$D$9*AE1351)/5</f>
        <v>8</v>
      </c>
      <c r="AO1351" s="46">
        <f>(打分卡!$D$10*AF1351+打分卡!$D$11*AG1351)/5</f>
        <v>4</v>
      </c>
      <c r="AP1351" s="46">
        <f>(打分卡!$D$12*AH1351+打分卡!$D$13*AI1351+打分卡!$D$14*AJ1351+打分卡!$D$15*AK1351)/5</f>
        <v>9.6</v>
      </c>
      <c r="AQ1351" s="46">
        <f>(打分卡!$D$16*AL1351+打分卡!$D$17*AM1351)/5</f>
        <v>6.8</v>
      </c>
      <c r="AR1351" s="48">
        <f t="shared" si="170"/>
        <v>28.4</v>
      </c>
      <c r="AS1351" s="45" t="str">
        <f t="shared" si="171"/>
        <v>基础长尾</v>
      </c>
      <c r="AT1351" s="45" t="str">
        <f t="shared" si="172"/>
        <v/>
      </c>
      <c r="AU1351" s="45" t="str">
        <f t="shared" si="173"/>
        <v>激活：企微+Push低成本先跑</v>
      </c>
    </row>
    <row r="1352" ht="15" customHeight="1" spans="1:47">
      <c r="A1352" s="30" t="s">
        <v>3493</v>
      </c>
      <c r="B1352" s="31" t="s">
        <v>3494</v>
      </c>
      <c r="C1352" s="31" t="s">
        <v>218</v>
      </c>
      <c r="D1352" s="31" t="s">
        <v>202</v>
      </c>
      <c r="E1352" s="31" t="s">
        <v>181</v>
      </c>
      <c r="F1352" s="30" t="s">
        <v>2773</v>
      </c>
      <c r="G1352" s="31">
        <v>2</v>
      </c>
      <c r="H1352" s="31" t="s">
        <v>642</v>
      </c>
      <c r="I1352" s="31" t="s">
        <v>302</v>
      </c>
      <c r="J1352" s="33">
        <v>300</v>
      </c>
      <c r="K1352" s="33">
        <v>200</v>
      </c>
      <c r="L1352" s="33">
        <v>0</v>
      </c>
      <c r="M1352" s="33">
        <f t="shared" si="168"/>
        <v>500</v>
      </c>
      <c r="N1352" s="34">
        <f t="shared" si="174"/>
        <v>2.62131992895174e-6</v>
      </c>
      <c r="O1352" s="35">
        <f>SUM($M$2:M1352)</f>
        <v>190734000</v>
      </c>
      <c r="P1352" s="34">
        <f t="shared" si="175"/>
        <v>0.999949670657364</v>
      </c>
      <c r="Q1352" s="37">
        <v>0.1</v>
      </c>
      <c r="R1352" s="31">
        <v>1</v>
      </c>
      <c r="S1352" s="31">
        <v>0</v>
      </c>
      <c r="T1352" s="31">
        <v>0</v>
      </c>
      <c r="U1352" s="37">
        <v>27.4</v>
      </c>
      <c r="V1352" s="31">
        <v>2</v>
      </c>
      <c r="W1352" s="31">
        <v>1</v>
      </c>
      <c r="X1352" s="38">
        <v>11</v>
      </c>
      <c r="Y1352" s="31">
        <v>0</v>
      </c>
      <c r="Z1352" s="31">
        <v>0</v>
      </c>
      <c r="AA1352" s="31" t="s">
        <v>199</v>
      </c>
      <c r="AB1352" s="31" t="s">
        <v>220</v>
      </c>
      <c r="AC1352" s="41">
        <f>IFERROR(LOOKUP(M1352,打分卡!$F$7:$J$7,打分卡!$K$7:$O$7),1)</f>
        <v>1</v>
      </c>
      <c r="AD1352" s="41">
        <f>IFERROR(LOOKUP(S1352,打分卡!$F$8:$J$8,打分卡!$K$8:$O$8),1)</f>
        <v>1</v>
      </c>
      <c r="AE1352" s="41">
        <f>IFERROR(LOOKUP(T1352,打分卡!$F$9:$I$9,打分卡!$K$9:$N$9),1)</f>
        <v>1</v>
      </c>
      <c r="AF1352" s="41">
        <f>IFERROR(LOOKUP(Q1352,打分卡!$F$10:$J$10,打分卡!$K$10:$O$10),1)</f>
        <v>1</v>
      </c>
      <c r="AG1352" s="41">
        <f>IFERROR(LOOKUP(R1352,打分卡!$F$11:$J$11,打分卡!$K$11:$O$11),1)</f>
        <v>1</v>
      </c>
      <c r="AH1352" s="41">
        <f>IFERROR(LOOKUP(U1352,打分卡!$F$12:$J$12,打分卡!$K$12:$O$12),1)</f>
        <v>3</v>
      </c>
      <c r="AI1352" s="41">
        <f>IFERROR(LOOKUP(X1352,打分卡!$F$13:$J$13,打分卡!$K$13:$O$13),1)</f>
        <v>1</v>
      </c>
      <c r="AJ1352" s="41">
        <f>IFERROR(LOOKUP(Y1352,打分卡!$F$14:$J$14,打分卡!$K$14:$O$14),1)</f>
        <v>1</v>
      </c>
      <c r="AK1352" s="41">
        <f>IFERROR(LOOKUP(W1352,打分卡!$F$15:$J$15,打分卡!$K$15:$O$15),1)</f>
        <v>2</v>
      </c>
      <c r="AL1352" s="43">
        <f t="shared" si="169"/>
        <v>5</v>
      </c>
      <c r="AM1352" s="41">
        <f>IFERROR(LOOKUP(Z1352,打分卡!$F$17:$H$17,打分卡!$K$17:$M$17),1)</f>
        <v>1</v>
      </c>
      <c r="AN1352" s="44">
        <f>(打分卡!$D$7*AC1352+打分卡!$D$8*AD1352+打分卡!$D$9*AE1352)/5</f>
        <v>8</v>
      </c>
      <c r="AO1352" s="44">
        <f>(打分卡!$D$10*AF1352+打分卡!$D$11*AG1352)/5</f>
        <v>4</v>
      </c>
      <c r="AP1352" s="44">
        <f>(打分卡!$D$12*AH1352+打分卡!$D$13*AI1352+打分卡!$D$14*AJ1352+打分卡!$D$15*AK1352)/5</f>
        <v>11.6</v>
      </c>
      <c r="AQ1352" s="44">
        <f>(打分卡!$D$16*AL1352+打分卡!$D$17*AM1352)/5</f>
        <v>6.8</v>
      </c>
      <c r="AR1352" s="47">
        <f t="shared" si="170"/>
        <v>37.8666666666667</v>
      </c>
      <c r="AS1352" s="43" t="str">
        <f t="shared" si="171"/>
        <v>基础长尾</v>
      </c>
      <c r="AT1352" s="43" t="str">
        <f t="shared" si="172"/>
        <v/>
      </c>
      <c r="AU1352" s="43" t="str">
        <f t="shared" si="173"/>
        <v>激活：企微+Push低成本先跑</v>
      </c>
    </row>
    <row r="1353" ht="15" customHeight="1" spans="1:47">
      <c r="A1353" s="20" t="s">
        <v>3495</v>
      </c>
      <c r="B1353" s="22" t="s">
        <v>3496</v>
      </c>
      <c r="C1353" s="22" t="s">
        <v>218</v>
      </c>
      <c r="D1353" s="22" t="s">
        <v>196</v>
      </c>
      <c r="E1353" s="22" t="s">
        <v>197</v>
      </c>
      <c r="F1353" s="20" t="s">
        <v>2676</v>
      </c>
      <c r="G1353" s="22">
        <v>3</v>
      </c>
      <c r="H1353" s="22" t="s">
        <v>642</v>
      </c>
      <c r="I1353" s="22" t="s">
        <v>302</v>
      </c>
      <c r="J1353" s="36">
        <v>300</v>
      </c>
      <c r="K1353" s="36">
        <v>200</v>
      </c>
      <c r="L1353" s="36">
        <v>0</v>
      </c>
      <c r="M1353" s="36">
        <f t="shared" si="168"/>
        <v>500</v>
      </c>
      <c r="N1353" s="34">
        <f t="shared" si="174"/>
        <v>2.62131992895174e-6</v>
      </c>
      <c r="O1353" s="35">
        <f>SUM($M$2:M1353)</f>
        <v>190734500</v>
      </c>
      <c r="P1353" s="34">
        <f t="shared" si="175"/>
        <v>0.999952291977293</v>
      </c>
      <c r="Q1353" s="39">
        <v>0.1</v>
      </c>
      <c r="R1353" s="22">
        <v>1</v>
      </c>
      <c r="S1353" s="22">
        <v>0</v>
      </c>
      <c r="T1353" s="22">
        <v>0</v>
      </c>
      <c r="U1353" s="39">
        <v>1</v>
      </c>
      <c r="V1353" s="22">
        <v>10</v>
      </c>
      <c r="W1353" s="22">
        <v>1</v>
      </c>
      <c r="X1353" s="40">
        <v>5</v>
      </c>
      <c r="Y1353" s="22">
        <v>1</v>
      </c>
      <c r="Z1353" s="22">
        <v>0</v>
      </c>
      <c r="AA1353" s="22" t="s">
        <v>199</v>
      </c>
      <c r="AB1353" s="22" t="s">
        <v>220</v>
      </c>
      <c r="AC1353" s="42">
        <f>IFERROR(LOOKUP(M1353,打分卡!$F$7:$J$7,打分卡!$K$7:$O$7),1)</f>
        <v>1</v>
      </c>
      <c r="AD1353" s="42">
        <f>IFERROR(LOOKUP(S1353,打分卡!$F$8:$J$8,打分卡!$K$8:$O$8),1)</f>
        <v>1</v>
      </c>
      <c r="AE1353" s="42">
        <f>IFERROR(LOOKUP(T1353,打分卡!$F$9:$I$9,打分卡!$K$9:$N$9),1)</f>
        <v>1</v>
      </c>
      <c r="AF1353" s="42">
        <f>IFERROR(LOOKUP(Q1353,打分卡!$F$10:$J$10,打分卡!$K$10:$O$10),1)</f>
        <v>1</v>
      </c>
      <c r="AG1353" s="42">
        <f>IFERROR(LOOKUP(R1353,打分卡!$F$11:$J$11,打分卡!$K$11:$O$11),1)</f>
        <v>1</v>
      </c>
      <c r="AH1353" s="42">
        <f>IFERROR(LOOKUP(U1353,打分卡!$F$12:$J$12,打分卡!$K$12:$O$12),1)</f>
        <v>1</v>
      </c>
      <c r="AI1353" s="42">
        <f>IFERROR(LOOKUP(X1353,打分卡!$F$13:$J$13,打分卡!$K$13:$O$13),1)</f>
        <v>1</v>
      </c>
      <c r="AJ1353" s="42">
        <f>IFERROR(LOOKUP(Y1353,打分卡!$F$14:$J$14,打分卡!$K$14:$O$14),1)</f>
        <v>2</v>
      </c>
      <c r="AK1353" s="42">
        <f>IFERROR(LOOKUP(W1353,打分卡!$F$15:$J$15,打分卡!$K$15:$O$15),1)</f>
        <v>2</v>
      </c>
      <c r="AL1353" s="45">
        <f t="shared" si="169"/>
        <v>5</v>
      </c>
      <c r="AM1353" s="42">
        <f>IFERROR(LOOKUP(Z1353,打分卡!$F$17:$H$17,打分卡!$K$17:$M$17),1)</f>
        <v>1</v>
      </c>
      <c r="AN1353" s="46">
        <f>(打分卡!$D$7*AC1353+打分卡!$D$8*AD1353+打分卡!$D$9*AE1353)/5</f>
        <v>8</v>
      </c>
      <c r="AO1353" s="46">
        <f>(打分卡!$D$10*AF1353+打分卡!$D$11*AG1353)/5</f>
        <v>4</v>
      </c>
      <c r="AP1353" s="46">
        <f>(打分卡!$D$12*AH1353+打分卡!$D$13*AI1353+打分卡!$D$14*AJ1353+打分卡!$D$15*AK1353)/5</f>
        <v>8</v>
      </c>
      <c r="AQ1353" s="46">
        <f>(打分卡!$D$16*AL1353+打分卡!$D$17*AM1353)/5</f>
        <v>6.8</v>
      </c>
      <c r="AR1353" s="48">
        <f t="shared" si="170"/>
        <v>26.8</v>
      </c>
      <c r="AS1353" s="45" t="str">
        <f t="shared" si="171"/>
        <v>基础长尾</v>
      </c>
      <c r="AT1353" s="45" t="str">
        <f t="shared" si="172"/>
        <v/>
      </c>
      <c r="AU1353" s="45" t="str">
        <f t="shared" si="173"/>
        <v>激活：企微+Push低成本先跑</v>
      </c>
    </row>
    <row r="1354" ht="15" customHeight="1" spans="1:47">
      <c r="A1354" s="30" t="s">
        <v>3497</v>
      </c>
      <c r="B1354" s="31" t="s">
        <v>3498</v>
      </c>
      <c r="C1354" s="31" t="s">
        <v>189</v>
      </c>
      <c r="D1354" s="31" t="s">
        <v>202</v>
      </c>
      <c r="E1354" s="31" t="s">
        <v>181</v>
      </c>
      <c r="F1354" s="30" t="s">
        <v>2901</v>
      </c>
      <c r="G1354" s="31">
        <v>2</v>
      </c>
      <c r="H1354" s="31" t="s">
        <v>642</v>
      </c>
      <c r="I1354" s="31" t="s">
        <v>302</v>
      </c>
      <c r="J1354" s="33">
        <v>300</v>
      </c>
      <c r="K1354" s="33">
        <v>100</v>
      </c>
      <c r="L1354" s="33">
        <v>100</v>
      </c>
      <c r="M1354" s="33">
        <f t="shared" si="168"/>
        <v>500</v>
      </c>
      <c r="N1354" s="34">
        <f t="shared" si="174"/>
        <v>2.62131992895174e-6</v>
      </c>
      <c r="O1354" s="35">
        <f>SUM($M$2:M1354)</f>
        <v>190735000</v>
      </c>
      <c r="P1354" s="34">
        <f t="shared" si="175"/>
        <v>0.999954913297222</v>
      </c>
      <c r="Q1354" s="37">
        <v>0</v>
      </c>
      <c r="R1354" s="31">
        <v>1</v>
      </c>
      <c r="S1354" s="31">
        <v>0</v>
      </c>
      <c r="T1354" s="31">
        <v>0</v>
      </c>
      <c r="U1354" s="37">
        <v>3.2</v>
      </c>
      <c r="V1354" s="31">
        <v>9</v>
      </c>
      <c r="W1354" s="31">
        <v>2</v>
      </c>
      <c r="X1354" s="38">
        <v>79</v>
      </c>
      <c r="Y1354" s="31">
        <v>0</v>
      </c>
      <c r="Z1354" s="31">
        <v>0</v>
      </c>
      <c r="AA1354" s="31" t="s">
        <v>199</v>
      </c>
      <c r="AB1354" s="31" t="s">
        <v>220</v>
      </c>
      <c r="AC1354" s="41">
        <f>IFERROR(LOOKUP(M1354,打分卡!$F$7:$J$7,打分卡!$K$7:$O$7),1)</f>
        <v>1</v>
      </c>
      <c r="AD1354" s="41">
        <f>IFERROR(LOOKUP(S1354,打分卡!$F$8:$J$8,打分卡!$K$8:$O$8),1)</f>
        <v>1</v>
      </c>
      <c r="AE1354" s="41">
        <f>IFERROR(LOOKUP(T1354,打分卡!$F$9:$I$9,打分卡!$K$9:$N$9),1)</f>
        <v>1</v>
      </c>
      <c r="AF1354" s="41">
        <f>IFERROR(LOOKUP(Q1354,打分卡!$F$10:$J$10,打分卡!$K$10:$O$10),1)</f>
        <v>1</v>
      </c>
      <c r="AG1354" s="41">
        <f>IFERROR(LOOKUP(R1354,打分卡!$F$11:$J$11,打分卡!$K$11:$O$11),1)</f>
        <v>1</v>
      </c>
      <c r="AH1354" s="41">
        <f>IFERROR(LOOKUP(U1354,打分卡!$F$12:$J$12,打分卡!$K$12:$O$12),1)</f>
        <v>2</v>
      </c>
      <c r="AI1354" s="41">
        <f>IFERROR(LOOKUP(X1354,打分卡!$F$13:$J$13,打分卡!$K$13:$O$13),1)</f>
        <v>3</v>
      </c>
      <c r="AJ1354" s="41">
        <f>IFERROR(LOOKUP(Y1354,打分卡!$F$14:$J$14,打分卡!$K$14:$O$14),1)</f>
        <v>1</v>
      </c>
      <c r="AK1354" s="41">
        <f>IFERROR(LOOKUP(W1354,打分卡!$F$15:$J$15,打分卡!$K$15:$O$15),1)</f>
        <v>2</v>
      </c>
      <c r="AL1354" s="43">
        <f t="shared" si="169"/>
        <v>5</v>
      </c>
      <c r="AM1354" s="41">
        <f>IFERROR(LOOKUP(Z1354,打分卡!$F$17:$H$17,打分卡!$K$17:$M$17),1)</f>
        <v>1</v>
      </c>
      <c r="AN1354" s="44">
        <f>(打分卡!$D$7*AC1354+打分卡!$D$8*AD1354+打分卡!$D$9*AE1354)/5</f>
        <v>8</v>
      </c>
      <c r="AO1354" s="44">
        <f>(打分卡!$D$10*AF1354+打分卡!$D$11*AG1354)/5</f>
        <v>4</v>
      </c>
      <c r="AP1354" s="44">
        <f>(打分卡!$D$12*AH1354+打分卡!$D$13*AI1354+打分卡!$D$14*AJ1354+打分卡!$D$15*AK1354)/5</f>
        <v>12.4</v>
      </c>
      <c r="AQ1354" s="44">
        <f>(打分卡!$D$16*AL1354+打分卡!$D$17*AM1354)/5</f>
        <v>6.8</v>
      </c>
      <c r="AR1354" s="47">
        <f t="shared" si="170"/>
        <v>39.7333333333333</v>
      </c>
      <c r="AS1354" s="43" t="str">
        <f t="shared" si="171"/>
        <v>基础长尾</v>
      </c>
      <c r="AT1354" s="43" t="str">
        <f t="shared" si="172"/>
        <v/>
      </c>
      <c r="AU1354" s="43" t="str">
        <f t="shared" si="173"/>
        <v>激活：企微+Push低成本先跑</v>
      </c>
    </row>
    <row r="1355" ht="15" customHeight="1" spans="1:47">
      <c r="A1355" s="20" t="s">
        <v>3499</v>
      </c>
      <c r="B1355" s="22" t="s">
        <v>3500</v>
      </c>
      <c r="C1355" s="22" t="s">
        <v>179</v>
      </c>
      <c r="D1355" s="22" t="s">
        <v>190</v>
      </c>
      <c r="E1355" s="22" t="s">
        <v>181</v>
      </c>
      <c r="F1355" s="20" t="s">
        <v>1243</v>
      </c>
      <c r="G1355" s="22">
        <v>3</v>
      </c>
      <c r="H1355" s="22" t="s">
        <v>642</v>
      </c>
      <c r="I1355" s="22" t="s">
        <v>302</v>
      </c>
      <c r="J1355" s="36">
        <v>300</v>
      </c>
      <c r="K1355" s="36">
        <v>100</v>
      </c>
      <c r="L1355" s="36">
        <v>200</v>
      </c>
      <c r="M1355" s="36">
        <f t="shared" si="168"/>
        <v>600</v>
      </c>
      <c r="N1355" s="34">
        <f t="shared" si="174"/>
        <v>3.14558391474209e-6</v>
      </c>
      <c r="O1355" s="35">
        <f>SUM($M$2:M1355)</f>
        <v>190735600</v>
      </c>
      <c r="P1355" s="34">
        <f t="shared" si="175"/>
        <v>0.999958058881137</v>
      </c>
      <c r="Q1355" s="39">
        <v>0.1</v>
      </c>
      <c r="R1355" s="22">
        <v>2</v>
      </c>
      <c r="S1355" s="22">
        <v>0</v>
      </c>
      <c r="T1355" s="22">
        <v>0</v>
      </c>
      <c r="U1355" s="39">
        <v>11.9</v>
      </c>
      <c r="V1355" s="22">
        <v>9</v>
      </c>
      <c r="W1355" s="22">
        <v>1</v>
      </c>
      <c r="X1355" s="40">
        <v>21</v>
      </c>
      <c r="Y1355" s="22">
        <v>0</v>
      </c>
      <c r="Z1355" s="22">
        <v>0</v>
      </c>
      <c r="AA1355" s="22" t="s">
        <v>199</v>
      </c>
      <c r="AB1355" s="22" t="s">
        <v>220</v>
      </c>
      <c r="AC1355" s="42">
        <f>IFERROR(LOOKUP(M1355,打分卡!$F$7:$J$7,打分卡!$K$7:$O$7),1)</f>
        <v>1</v>
      </c>
      <c r="AD1355" s="42">
        <f>IFERROR(LOOKUP(S1355,打分卡!$F$8:$J$8,打分卡!$K$8:$O$8),1)</f>
        <v>1</v>
      </c>
      <c r="AE1355" s="42">
        <f>IFERROR(LOOKUP(T1355,打分卡!$F$9:$I$9,打分卡!$K$9:$N$9),1)</f>
        <v>1</v>
      </c>
      <c r="AF1355" s="42">
        <f>IFERROR(LOOKUP(Q1355,打分卡!$F$10:$J$10,打分卡!$K$10:$O$10),1)</f>
        <v>1</v>
      </c>
      <c r="AG1355" s="42">
        <f>IFERROR(LOOKUP(R1355,打分卡!$F$11:$J$11,打分卡!$K$11:$O$11),1)</f>
        <v>1</v>
      </c>
      <c r="AH1355" s="42">
        <f>IFERROR(LOOKUP(U1355,打分卡!$F$12:$J$12,打分卡!$K$12:$O$12),1)</f>
        <v>3</v>
      </c>
      <c r="AI1355" s="42">
        <f>IFERROR(LOOKUP(X1355,打分卡!$F$13:$J$13,打分卡!$K$13:$O$13),1)</f>
        <v>2</v>
      </c>
      <c r="AJ1355" s="42">
        <f>IFERROR(LOOKUP(Y1355,打分卡!$F$14:$J$14,打分卡!$K$14:$O$14),1)</f>
        <v>1</v>
      </c>
      <c r="AK1355" s="42">
        <f>IFERROR(LOOKUP(W1355,打分卡!$F$15:$J$15,打分卡!$K$15:$O$15),1)</f>
        <v>2</v>
      </c>
      <c r="AL1355" s="45">
        <f t="shared" si="169"/>
        <v>5</v>
      </c>
      <c r="AM1355" s="42">
        <f>IFERROR(LOOKUP(Z1355,打分卡!$F$17:$H$17,打分卡!$K$17:$M$17),1)</f>
        <v>1</v>
      </c>
      <c r="AN1355" s="46">
        <f>(打分卡!$D$7*AC1355+打分卡!$D$8*AD1355+打分卡!$D$9*AE1355)/5</f>
        <v>8</v>
      </c>
      <c r="AO1355" s="46">
        <f>(打分卡!$D$10*AF1355+打分卡!$D$11*AG1355)/5</f>
        <v>4</v>
      </c>
      <c r="AP1355" s="46">
        <f>(打分卡!$D$12*AH1355+打分卡!$D$13*AI1355+打分卡!$D$14*AJ1355+打分卡!$D$15*AK1355)/5</f>
        <v>13.2</v>
      </c>
      <c r="AQ1355" s="46">
        <f>(打分卡!$D$16*AL1355+打分卡!$D$17*AM1355)/5</f>
        <v>6.8</v>
      </c>
      <c r="AR1355" s="48">
        <f t="shared" si="170"/>
        <v>32</v>
      </c>
      <c r="AS1355" s="45" t="str">
        <f t="shared" si="171"/>
        <v>基础长尾</v>
      </c>
      <c r="AT1355" s="45" t="str">
        <f t="shared" si="172"/>
        <v/>
      </c>
      <c r="AU1355" s="45" t="str">
        <f t="shared" si="173"/>
        <v>激活：企微+Push低成本先跑</v>
      </c>
    </row>
    <row r="1356" ht="15" customHeight="1" spans="1:47">
      <c r="A1356" s="30" t="s">
        <v>3501</v>
      </c>
      <c r="B1356" s="31" t="s">
        <v>3502</v>
      </c>
      <c r="C1356" s="31" t="s">
        <v>239</v>
      </c>
      <c r="D1356" s="31" t="s">
        <v>196</v>
      </c>
      <c r="E1356" s="31" t="s">
        <v>181</v>
      </c>
      <c r="F1356" s="30" t="s">
        <v>1551</v>
      </c>
      <c r="G1356" s="31">
        <v>3</v>
      </c>
      <c r="H1356" s="31" t="s">
        <v>642</v>
      </c>
      <c r="I1356" s="31" t="s">
        <v>302</v>
      </c>
      <c r="J1356" s="33">
        <v>200</v>
      </c>
      <c r="K1356" s="33">
        <v>200</v>
      </c>
      <c r="L1356" s="33">
        <v>100</v>
      </c>
      <c r="M1356" s="33">
        <f t="shared" si="168"/>
        <v>500</v>
      </c>
      <c r="N1356" s="34">
        <f t="shared" si="174"/>
        <v>2.62131992895174e-6</v>
      </c>
      <c r="O1356" s="35">
        <f>SUM($M$2:M1356)</f>
        <v>190736100</v>
      </c>
      <c r="P1356" s="34">
        <f t="shared" si="175"/>
        <v>0.999960680201066</v>
      </c>
      <c r="Q1356" s="37">
        <v>0.1</v>
      </c>
      <c r="R1356" s="31">
        <v>2</v>
      </c>
      <c r="S1356" s="31">
        <v>1</v>
      </c>
      <c r="T1356" s="31">
        <v>0</v>
      </c>
      <c r="U1356" s="37">
        <v>11.9</v>
      </c>
      <c r="V1356" s="31">
        <v>5</v>
      </c>
      <c r="W1356" s="31">
        <v>1</v>
      </c>
      <c r="X1356" s="38">
        <v>11</v>
      </c>
      <c r="Y1356" s="31">
        <v>1</v>
      </c>
      <c r="Z1356" s="31">
        <v>0</v>
      </c>
      <c r="AA1356" s="31" t="s">
        <v>199</v>
      </c>
      <c r="AB1356" s="31" t="s">
        <v>220</v>
      </c>
      <c r="AC1356" s="41">
        <f>IFERROR(LOOKUP(M1356,打分卡!$F$7:$J$7,打分卡!$K$7:$O$7),1)</f>
        <v>1</v>
      </c>
      <c r="AD1356" s="41">
        <f>IFERROR(LOOKUP(S1356,打分卡!$F$8:$J$8,打分卡!$K$8:$O$8),1)</f>
        <v>1</v>
      </c>
      <c r="AE1356" s="41">
        <f>IFERROR(LOOKUP(T1356,打分卡!$F$9:$I$9,打分卡!$K$9:$N$9),1)</f>
        <v>1</v>
      </c>
      <c r="AF1356" s="41">
        <f>IFERROR(LOOKUP(Q1356,打分卡!$F$10:$J$10,打分卡!$K$10:$O$10),1)</f>
        <v>1</v>
      </c>
      <c r="AG1356" s="41">
        <f>IFERROR(LOOKUP(R1356,打分卡!$F$11:$J$11,打分卡!$K$11:$O$11),1)</f>
        <v>1</v>
      </c>
      <c r="AH1356" s="41">
        <f>IFERROR(LOOKUP(U1356,打分卡!$F$12:$J$12,打分卡!$K$12:$O$12),1)</f>
        <v>3</v>
      </c>
      <c r="AI1356" s="41">
        <f>IFERROR(LOOKUP(X1356,打分卡!$F$13:$J$13,打分卡!$K$13:$O$13),1)</f>
        <v>1</v>
      </c>
      <c r="AJ1356" s="41">
        <f>IFERROR(LOOKUP(Y1356,打分卡!$F$14:$J$14,打分卡!$K$14:$O$14),1)</f>
        <v>2</v>
      </c>
      <c r="AK1356" s="41">
        <f>IFERROR(LOOKUP(W1356,打分卡!$F$15:$J$15,打分卡!$K$15:$O$15),1)</f>
        <v>2</v>
      </c>
      <c r="AL1356" s="43">
        <f t="shared" si="169"/>
        <v>5</v>
      </c>
      <c r="AM1356" s="41">
        <f>IFERROR(LOOKUP(Z1356,打分卡!$F$17:$H$17,打分卡!$K$17:$M$17),1)</f>
        <v>1</v>
      </c>
      <c r="AN1356" s="44">
        <f>(打分卡!$D$7*AC1356+打分卡!$D$8*AD1356+打分卡!$D$9*AE1356)/5</f>
        <v>8</v>
      </c>
      <c r="AO1356" s="44">
        <f>(打分卡!$D$10*AF1356+打分卡!$D$11*AG1356)/5</f>
        <v>4</v>
      </c>
      <c r="AP1356" s="44">
        <f>(打分卡!$D$12*AH1356+打分卡!$D$13*AI1356+打分卡!$D$14*AJ1356+打分卡!$D$15*AK1356)/5</f>
        <v>12.8</v>
      </c>
      <c r="AQ1356" s="44">
        <f>(打分卡!$D$16*AL1356+打分卡!$D$17*AM1356)/5</f>
        <v>6.8</v>
      </c>
      <c r="AR1356" s="47">
        <f t="shared" si="170"/>
        <v>31.6</v>
      </c>
      <c r="AS1356" s="43" t="str">
        <f t="shared" si="171"/>
        <v>基础长尾</v>
      </c>
      <c r="AT1356" s="43" t="str">
        <f t="shared" si="172"/>
        <v/>
      </c>
      <c r="AU1356" s="43" t="str">
        <f t="shared" si="173"/>
        <v>激活：企微+Push低成本先跑</v>
      </c>
    </row>
    <row r="1357" ht="15" customHeight="1" spans="1:47">
      <c r="A1357" s="20" t="s">
        <v>3503</v>
      </c>
      <c r="B1357" s="22" t="s">
        <v>3504</v>
      </c>
      <c r="C1357" s="22" t="s">
        <v>189</v>
      </c>
      <c r="D1357" s="22" t="s">
        <v>202</v>
      </c>
      <c r="E1357" s="22" t="s">
        <v>197</v>
      </c>
      <c r="F1357" s="20" t="s">
        <v>2841</v>
      </c>
      <c r="G1357" s="22">
        <v>1</v>
      </c>
      <c r="H1357" s="22" t="s">
        <v>642</v>
      </c>
      <c r="I1357" s="22" t="s">
        <v>302</v>
      </c>
      <c r="J1357" s="36">
        <v>300</v>
      </c>
      <c r="K1357" s="36">
        <v>100</v>
      </c>
      <c r="L1357" s="36">
        <v>100</v>
      </c>
      <c r="M1357" s="36">
        <f t="shared" si="168"/>
        <v>500</v>
      </c>
      <c r="N1357" s="34">
        <f t="shared" si="174"/>
        <v>2.62131992895174e-6</v>
      </c>
      <c r="O1357" s="35">
        <f>SUM($M$2:M1357)</f>
        <v>190736600</v>
      </c>
      <c r="P1357" s="34">
        <f t="shared" si="175"/>
        <v>0.999963301520995</v>
      </c>
      <c r="Q1357" s="39">
        <v>0.1</v>
      </c>
      <c r="R1357" s="22">
        <v>3</v>
      </c>
      <c r="S1357" s="22">
        <v>0</v>
      </c>
      <c r="T1357" s="22">
        <v>0</v>
      </c>
      <c r="U1357" s="39">
        <v>5.1</v>
      </c>
      <c r="V1357" s="22">
        <v>13</v>
      </c>
      <c r="W1357" s="22">
        <v>1</v>
      </c>
      <c r="X1357" s="40">
        <v>5</v>
      </c>
      <c r="Y1357" s="22">
        <v>0</v>
      </c>
      <c r="Z1357" s="22">
        <v>0</v>
      </c>
      <c r="AA1357" s="22" t="s">
        <v>199</v>
      </c>
      <c r="AB1357" s="22" t="s">
        <v>220</v>
      </c>
      <c r="AC1357" s="42">
        <f>IFERROR(LOOKUP(M1357,打分卡!$F$7:$J$7,打分卡!$K$7:$O$7),1)</f>
        <v>1</v>
      </c>
      <c r="AD1357" s="42">
        <f>IFERROR(LOOKUP(S1357,打分卡!$F$8:$J$8,打分卡!$K$8:$O$8),1)</f>
        <v>1</v>
      </c>
      <c r="AE1357" s="42">
        <f>IFERROR(LOOKUP(T1357,打分卡!$F$9:$I$9,打分卡!$K$9:$N$9),1)</f>
        <v>1</v>
      </c>
      <c r="AF1357" s="42">
        <f>IFERROR(LOOKUP(Q1357,打分卡!$F$10:$J$10,打分卡!$K$10:$O$10),1)</f>
        <v>1</v>
      </c>
      <c r="AG1357" s="42">
        <f>IFERROR(LOOKUP(R1357,打分卡!$F$11:$J$11,打分卡!$K$11:$O$11),1)</f>
        <v>2</v>
      </c>
      <c r="AH1357" s="42">
        <f>IFERROR(LOOKUP(U1357,打分卡!$F$12:$J$12,打分卡!$K$12:$O$12),1)</f>
        <v>2</v>
      </c>
      <c r="AI1357" s="42">
        <f>IFERROR(LOOKUP(X1357,打分卡!$F$13:$J$13,打分卡!$K$13:$O$13),1)</f>
        <v>1</v>
      </c>
      <c r="AJ1357" s="42">
        <f>IFERROR(LOOKUP(Y1357,打分卡!$F$14:$J$14,打分卡!$K$14:$O$14),1)</f>
        <v>1</v>
      </c>
      <c r="AK1357" s="42">
        <f>IFERROR(LOOKUP(W1357,打分卡!$F$15:$J$15,打分卡!$K$15:$O$15),1)</f>
        <v>2</v>
      </c>
      <c r="AL1357" s="45">
        <f t="shared" si="169"/>
        <v>5</v>
      </c>
      <c r="AM1357" s="42">
        <f>IFERROR(LOOKUP(Z1357,打分卡!$F$17:$H$17,打分卡!$K$17:$M$17),1)</f>
        <v>1</v>
      </c>
      <c r="AN1357" s="46">
        <f>(打分卡!$D$7*AC1357+打分卡!$D$8*AD1357+打分卡!$D$9*AE1357)/5</f>
        <v>8</v>
      </c>
      <c r="AO1357" s="46">
        <f>(打分卡!$D$10*AF1357+打分卡!$D$11*AG1357)/5</f>
        <v>6</v>
      </c>
      <c r="AP1357" s="46">
        <f>(打分卡!$D$12*AH1357+打分卡!$D$13*AI1357+打分卡!$D$14*AJ1357+打分卡!$D$15*AK1357)/5</f>
        <v>9.2</v>
      </c>
      <c r="AQ1357" s="46">
        <f>(打分卡!$D$16*AL1357+打分卡!$D$17*AM1357)/5</f>
        <v>6.8</v>
      </c>
      <c r="AR1357" s="48">
        <f t="shared" si="170"/>
        <v>34.2666666666667</v>
      </c>
      <c r="AS1357" s="45" t="str">
        <f t="shared" si="171"/>
        <v>基础长尾</v>
      </c>
      <c r="AT1357" s="45" t="str">
        <f t="shared" si="172"/>
        <v/>
      </c>
      <c r="AU1357" s="45" t="str">
        <f t="shared" si="173"/>
        <v>激活：企微+Push低成本先跑</v>
      </c>
    </row>
    <row r="1358" ht="15" customHeight="1" spans="1:47">
      <c r="A1358" s="30" t="s">
        <v>3505</v>
      </c>
      <c r="B1358" s="31" t="s">
        <v>3506</v>
      </c>
      <c r="C1358" s="31" t="s">
        <v>189</v>
      </c>
      <c r="D1358" s="31" t="s">
        <v>227</v>
      </c>
      <c r="E1358" s="31" t="s">
        <v>181</v>
      </c>
      <c r="F1358" s="30" t="s">
        <v>2888</v>
      </c>
      <c r="G1358" s="31">
        <v>1</v>
      </c>
      <c r="H1358" s="31" t="s">
        <v>642</v>
      </c>
      <c r="I1358" s="31" t="s">
        <v>302</v>
      </c>
      <c r="J1358" s="33">
        <v>300</v>
      </c>
      <c r="K1358" s="33">
        <v>200</v>
      </c>
      <c r="L1358" s="33">
        <v>100</v>
      </c>
      <c r="M1358" s="33">
        <f t="shared" si="168"/>
        <v>600</v>
      </c>
      <c r="N1358" s="34">
        <f t="shared" si="174"/>
        <v>3.14558391474209e-6</v>
      </c>
      <c r="O1358" s="35">
        <f>SUM($M$2:M1358)</f>
        <v>190737200</v>
      </c>
      <c r="P1358" s="34">
        <f t="shared" si="175"/>
        <v>0.999966447104909</v>
      </c>
      <c r="Q1358" s="37">
        <v>0</v>
      </c>
      <c r="R1358" s="31">
        <v>2</v>
      </c>
      <c r="S1358" s="31">
        <v>1</v>
      </c>
      <c r="T1358" s="31">
        <v>0</v>
      </c>
      <c r="U1358" s="37">
        <v>0.6</v>
      </c>
      <c r="V1358" s="31">
        <v>7</v>
      </c>
      <c r="W1358" s="31">
        <v>2</v>
      </c>
      <c r="X1358" s="38">
        <v>14</v>
      </c>
      <c r="Y1358" s="31">
        <v>1</v>
      </c>
      <c r="Z1358" s="31">
        <v>0</v>
      </c>
      <c r="AA1358" s="31" t="s">
        <v>199</v>
      </c>
      <c r="AB1358" s="31" t="s">
        <v>220</v>
      </c>
      <c r="AC1358" s="41">
        <f>IFERROR(LOOKUP(M1358,打分卡!$F$7:$J$7,打分卡!$K$7:$O$7),1)</f>
        <v>1</v>
      </c>
      <c r="AD1358" s="41">
        <f>IFERROR(LOOKUP(S1358,打分卡!$F$8:$J$8,打分卡!$K$8:$O$8),1)</f>
        <v>1</v>
      </c>
      <c r="AE1358" s="41">
        <f>IFERROR(LOOKUP(T1358,打分卡!$F$9:$I$9,打分卡!$K$9:$N$9),1)</f>
        <v>1</v>
      </c>
      <c r="AF1358" s="41">
        <f>IFERROR(LOOKUP(Q1358,打分卡!$F$10:$J$10,打分卡!$K$10:$O$10),1)</f>
        <v>1</v>
      </c>
      <c r="AG1358" s="41">
        <f>IFERROR(LOOKUP(R1358,打分卡!$F$11:$J$11,打分卡!$K$11:$O$11),1)</f>
        <v>1</v>
      </c>
      <c r="AH1358" s="41">
        <f>IFERROR(LOOKUP(U1358,打分卡!$F$12:$J$12,打分卡!$K$12:$O$12),1)</f>
        <v>1</v>
      </c>
      <c r="AI1358" s="41">
        <f>IFERROR(LOOKUP(X1358,打分卡!$F$13:$J$13,打分卡!$K$13:$O$13),1)</f>
        <v>1</v>
      </c>
      <c r="AJ1358" s="41">
        <f>IFERROR(LOOKUP(Y1358,打分卡!$F$14:$J$14,打分卡!$K$14:$O$14),1)</f>
        <v>2</v>
      </c>
      <c r="AK1358" s="41">
        <f>IFERROR(LOOKUP(W1358,打分卡!$F$15:$J$15,打分卡!$K$15:$O$15),1)</f>
        <v>2</v>
      </c>
      <c r="AL1358" s="43">
        <f t="shared" si="169"/>
        <v>5</v>
      </c>
      <c r="AM1358" s="41">
        <f>IFERROR(LOOKUP(Z1358,打分卡!$F$17:$H$17,打分卡!$K$17:$M$17),1)</f>
        <v>1</v>
      </c>
      <c r="AN1358" s="44">
        <f>(打分卡!$D$7*AC1358+打分卡!$D$8*AD1358+打分卡!$D$9*AE1358)/5</f>
        <v>8</v>
      </c>
      <c r="AO1358" s="44">
        <f>(打分卡!$D$10*AF1358+打分卡!$D$11*AG1358)/5</f>
        <v>4</v>
      </c>
      <c r="AP1358" s="44">
        <f>(打分卡!$D$12*AH1358+打分卡!$D$13*AI1358+打分卡!$D$14*AJ1358+打分卡!$D$15*AK1358)/5</f>
        <v>8</v>
      </c>
      <c r="AQ1358" s="44">
        <f>(打分卡!$D$16*AL1358+打分卡!$D$17*AM1358)/5</f>
        <v>6.8</v>
      </c>
      <c r="AR1358" s="47">
        <f t="shared" si="170"/>
        <v>29.4666666666667</v>
      </c>
      <c r="AS1358" s="43" t="str">
        <f t="shared" si="171"/>
        <v>基础长尾</v>
      </c>
      <c r="AT1358" s="43" t="str">
        <f t="shared" si="172"/>
        <v/>
      </c>
      <c r="AU1358" s="43" t="str">
        <f t="shared" si="173"/>
        <v>激活：企微+Push低成本先跑</v>
      </c>
    </row>
    <row r="1359" ht="15" customHeight="1" spans="1:47">
      <c r="A1359" s="20" t="s">
        <v>3507</v>
      </c>
      <c r="B1359" s="22" t="s">
        <v>3508</v>
      </c>
      <c r="C1359" s="22" t="s">
        <v>179</v>
      </c>
      <c r="D1359" s="22" t="s">
        <v>235</v>
      </c>
      <c r="E1359" s="22" t="s">
        <v>197</v>
      </c>
      <c r="F1359" s="20" t="s">
        <v>2818</v>
      </c>
      <c r="G1359" s="22">
        <v>1</v>
      </c>
      <c r="H1359" s="22" t="s">
        <v>642</v>
      </c>
      <c r="I1359" s="22" t="s">
        <v>302</v>
      </c>
      <c r="J1359" s="36">
        <v>300</v>
      </c>
      <c r="K1359" s="36">
        <v>100</v>
      </c>
      <c r="L1359" s="36">
        <v>100</v>
      </c>
      <c r="M1359" s="36">
        <f t="shared" si="168"/>
        <v>500</v>
      </c>
      <c r="N1359" s="34">
        <f t="shared" si="174"/>
        <v>2.62131992895174e-6</v>
      </c>
      <c r="O1359" s="35">
        <f>SUM($M$2:M1359)</f>
        <v>190737700</v>
      </c>
      <c r="P1359" s="34">
        <f t="shared" si="175"/>
        <v>0.999969068424838</v>
      </c>
      <c r="Q1359" s="39">
        <v>0.1</v>
      </c>
      <c r="R1359" s="22">
        <v>2</v>
      </c>
      <c r="S1359" s="22">
        <v>0</v>
      </c>
      <c r="T1359" s="22">
        <v>0</v>
      </c>
      <c r="U1359" s="39">
        <v>17</v>
      </c>
      <c r="V1359" s="22">
        <v>2</v>
      </c>
      <c r="W1359" s="22">
        <v>1</v>
      </c>
      <c r="X1359" s="40">
        <v>9</v>
      </c>
      <c r="Y1359" s="22">
        <v>0</v>
      </c>
      <c r="Z1359" s="22">
        <v>0</v>
      </c>
      <c r="AA1359" s="22" t="s">
        <v>199</v>
      </c>
      <c r="AB1359" s="22" t="s">
        <v>220</v>
      </c>
      <c r="AC1359" s="42">
        <f>IFERROR(LOOKUP(M1359,打分卡!$F$7:$J$7,打分卡!$K$7:$O$7),1)</f>
        <v>1</v>
      </c>
      <c r="AD1359" s="42">
        <f>IFERROR(LOOKUP(S1359,打分卡!$F$8:$J$8,打分卡!$K$8:$O$8),1)</f>
        <v>1</v>
      </c>
      <c r="AE1359" s="42">
        <f>IFERROR(LOOKUP(T1359,打分卡!$F$9:$I$9,打分卡!$K$9:$N$9),1)</f>
        <v>1</v>
      </c>
      <c r="AF1359" s="42">
        <f>IFERROR(LOOKUP(Q1359,打分卡!$F$10:$J$10,打分卡!$K$10:$O$10),1)</f>
        <v>1</v>
      </c>
      <c r="AG1359" s="42">
        <f>IFERROR(LOOKUP(R1359,打分卡!$F$11:$J$11,打分卡!$K$11:$O$11),1)</f>
        <v>1</v>
      </c>
      <c r="AH1359" s="42">
        <f>IFERROR(LOOKUP(U1359,打分卡!$F$12:$J$12,打分卡!$K$12:$O$12),1)</f>
        <v>3</v>
      </c>
      <c r="AI1359" s="42">
        <f>IFERROR(LOOKUP(X1359,打分卡!$F$13:$J$13,打分卡!$K$13:$O$13),1)</f>
        <v>1</v>
      </c>
      <c r="AJ1359" s="42">
        <f>IFERROR(LOOKUP(Y1359,打分卡!$F$14:$J$14,打分卡!$K$14:$O$14),1)</f>
        <v>1</v>
      </c>
      <c r="AK1359" s="42">
        <f>IFERROR(LOOKUP(W1359,打分卡!$F$15:$J$15,打分卡!$K$15:$O$15),1)</f>
        <v>2</v>
      </c>
      <c r="AL1359" s="45">
        <f t="shared" si="169"/>
        <v>5</v>
      </c>
      <c r="AM1359" s="42">
        <f>IFERROR(LOOKUP(Z1359,打分卡!$F$17:$H$17,打分卡!$K$17:$M$17),1)</f>
        <v>1</v>
      </c>
      <c r="AN1359" s="46">
        <f>(打分卡!$D$7*AC1359+打分卡!$D$8*AD1359+打分卡!$D$9*AE1359)/5</f>
        <v>8</v>
      </c>
      <c r="AO1359" s="46">
        <f>(打分卡!$D$10*AF1359+打分卡!$D$11*AG1359)/5</f>
        <v>4</v>
      </c>
      <c r="AP1359" s="46">
        <f>(打分卡!$D$12*AH1359+打分卡!$D$13*AI1359+打分卡!$D$14*AJ1359+打分卡!$D$15*AK1359)/5</f>
        <v>11.6</v>
      </c>
      <c r="AQ1359" s="46">
        <f>(打分卡!$D$16*AL1359+打分卡!$D$17*AM1359)/5</f>
        <v>6.8</v>
      </c>
      <c r="AR1359" s="48">
        <f t="shared" si="170"/>
        <v>37.8666666666667</v>
      </c>
      <c r="AS1359" s="45" t="str">
        <f t="shared" si="171"/>
        <v>基础长尾</v>
      </c>
      <c r="AT1359" s="45" t="str">
        <f t="shared" si="172"/>
        <v/>
      </c>
      <c r="AU1359" s="45" t="str">
        <f t="shared" si="173"/>
        <v>激活：企微+Push低成本先跑</v>
      </c>
    </row>
    <row r="1360" ht="15" customHeight="1" spans="1:47">
      <c r="A1360" s="30" t="s">
        <v>3509</v>
      </c>
      <c r="B1360" s="31" t="s">
        <v>3510</v>
      </c>
      <c r="C1360" s="31" t="s">
        <v>179</v>
      </c>
      <c r="D1360" s="31" t="s">
        <v>202</v>
      </c>
      <c r="E1360" s="31" t="s">
        <v>181</v>
      </c>
      <c r="F1360" s="30" t="s">
        <v>2484</v>
      </c>
      <c r="G1360" s="31">
        <v>2</v>
      </c>
      <c r="H1360" s="31" t="s">
        <v>642</v>
      </c>
      <c r="I1360" s="31" t="s">
        <v>302</v>
      </c>
      <c r="J1360" s="33">
        <v>300</v>
      </c>
      <c r="K1360" s="33">
        <v>100</v>
      </c>
      <c r="L1360" s="33">
        <v>100</v>
      </c>
      <c r="M1360" s="33">
        <f t="shared" si="168"/>
        <v>500</v>
      </c>
      <c r="N1360" s="34">
        <f t="shared" si="174"/>
        <v>2.62131992895174e-6</v>
      </c>
      <c r="O1360" s="35">
        <f>SUM($M$2:M1360)</f>
        <v>190738200</v>
      </c>
      <c r="P1360" s="34">
        <f t="shared" si="175"/>
        <v>0.999971689744767</v>
      </c>
      <c r="Q1360" s="37">
        <v>0.1</v>
      </c>
      <c r="R1360" s="31">
        <v>3</v>
      </c>
      <c r="S1360" s="31">
        <v>1</v>
      </c>
      <c r="T1360" s="31">
        <v>0</v>
      </c>
      <c r="U1360" s="37">
        <v>31.8</v>
      </c>
      <c r="V1360" s="31">
        <v>4</v>
      </c>
      <c r="W1360" s="31">
        <v>2</v>
      </c>
      <c r="X1360" s="38">
        <v>14</v>
      </c>
      <c r="Y1360" s="31">
        <v>1</v>
      </c>
      <c r="Z1360" s="31">
        <v>0</v>
      </c>
      <c r="AA1360" s="31" t="s">
        <v>199</v>
      </c>
      <c r="AB1360" s="31" t="s">
        <v>220</v>
      </c>
      <c r="AC1360" s="41">
        <f>IFERROR(LOOKUP(M1360,打分卡!$F$7:$J$7,打分卡!$K$7:$O$7),1)</f>
        <v>1</v>
      </c>
      <c r="AD1360" s="41">
        <f>IFERROR(LOOKUP(S1360,打分卡!$F$8:$J$8,打分卡!$K$8:$O$8),1)</f>
        <v>1</v>
      </c>
      <c r="AE1360" s="41">
        <f>IFERROR(LOOKUP(T1360,打分卡!$F$9:$I$9,打分卡!$K$9:$N$9),1)</f>
        <v>1</v>
      </c>
      <c r="AF1360" s="41">
        <f>IFERROR(LOOKUP(Q1360,打分卡!$F$10:$J$10,打分卡!$K$10:$O$10),1)</f>
        <v>1</v>
      </c>
      <c r="AG1360" s="41">
        <f>IFERROR(LOOKUP(R1360,打分卡!$F$11:$J$11,打分卡!$K$11:$O$11),1)</f>
        <v>2</v>
      </c>
      <c r="AH1360" s="41">
        <f>IFERROR(LOOKUP(U1360,打分卡!$F$12:$J$12,打分卡!$K$12:$O$12),1)</f>
        <v>3</v>
      </c>
      <c r="AI1360" s="41">
        <f>IFERROR(LOOKUP(X1360,打分卡!$F$13:$J$13,打分卡!$K$13:$O$13),1)</f>
        <v>1</v>
      </c>
      <c r="AJ1360" s="41">
        <f>IFERROR(LOOKUP(Y1360,打分卡!$F$14:$J$14,打分卡!$K$14:$O$14),1)</f>
        <v>2</v>
      </c>
      <c r="AK1360" s="41">
        <f>IFERROR(LOOKUP(W1360,打分卡!$F$15:$J$15,打分卡!$K$15:$O$15),1)</f>
        <v>2</v>
      </c>
      <c r="AL1360" s="43">
        <f t="shared" si="169"/>
        <v>5</v>
      </c>
      <c r="AM1360" s="41">
        <f>IFERROR(LOOKUP(Z1360,打分卡!$F$17:$H$17,打分卡!$K$17:$M$17),1)</f>
        <v>1</v>
      </c>
      <c r="AN1360" s="44">
        <f>(打分卡!$D$7*AC1360+打分卡!$D$8*AD1360+打分卡!$D$9*AE1360)/5</f>
        <v>8</v>
      </c>
      <c r="AO1360" s="44">
        <f>(打分卡!$D$10*AF1360+打分卡!$D$11*AG1360)/5</f>
        <v>6</v>
      </c>
      <c r="AP1360" s="44">
        <f>(打分卡!$D$12*AH1360+打分卡!$D$13*AI1360+打分卡!$D$14*AJ1360+打分卡!$D$15*AK1360)/5</f>
        <v>12.8</v>
      </c>
      <c r="AQ1360" s="44">
        <f>(打分卡!$D$16*AL1360+打分卡!$D$17*AM1360)/5</f>
        <v>6.8</v>
      </c>
      <c r="AR1360" s="47">
        <f t="shared" si="170"/>
        <v>42.6666666666667</v>
      </c>
      <c r="AS1360" s="43" t="str">
        <f t="shared" si="171"/>
        <v>腰部</v>
      </c>
      <c r="AT1360" s="43" t="str">
        <f t="shared" si="172"/>
        <v/>
      </c>
      <c r="AU1360" s="43" t="str">
        <f t="shared" si="173"/>
        <v>拉·主攻：主推AI外呼+大促作战包</v>
      </c>
    </row>
    <row r="1361" ht="15" customHeight="1" spans="1:47">
      <c r="A1361" s="20" t="s">
        <v>3511</v>
      </c>
      <c r="B1361" s="22" t="s">
        <v>3512</v>
      </c>
      <c r="C1361" s="22" t="s">
        <v>239</v>
      </c>
      <c r="D1361" s="22" t="s">
        <v>227</v>
      </c>
      <c r="E1361" s="22" t="s">
        <v>181</v>
      </c>
      <c r="F1361" s="20" t="s">
        <v>3064</v>
      </c>
      <c r="G1361" s="22">
        <v>2</v>
      </c>
      <c r="H1361" s="22" t="s">
        <v>642</v>
      </c>
      <c r="I1361" s="22" t="s">
        <v>302</v>
      </c>
      <c r="J1361" s="36">
        <v>300</v>
      </c>
      <c r="K1361" s="36">
        <v>200</v>
      </c>
      <c r="L1361" s="36">
        <v>0</v>
      </c>
      <c r="M1361" s="36">
        <f t="shared" si="168"/>
        <v>500</v>
      </c>
      <c r="N1361" s="34">
        <f t="shared" si="174"/>
        <v>2.62131992895174e-6</v>
      </c>
      <c r="O1361" s="35">
        <f>SUM($M$2:M1361)</f>
        <v>190738700</v>
      </c>
      <c r="P1361" s="34">
        <f t="shared" si="175"/>
        <v>0.999974311064696</v>
      </c>
      <c r="Q1361" s="39">
        <v>0.1</v>
      </c>
      <c r="R1361" s="22">
        <v>1</v>
      </c>
      <c r="S1361" s="22">
        <v>0</v>
      </c>
      <c r="T1361" s="22">
        <v>0</v>
      </c>
      <c r="U1361" s="39">
        <v>12.3</v>
      </c>
      <c r="V1361" s="22">
        <v>14</v>
      </c>
      <c r="W1361" s="22">
        <v>1</v>
      </c>
      <c r="X1361" s="40">
        <v>6</v>
      </c>
      <c r="Y1361" s="22">
        <v>0</v>
      </c>
      <c r="Z1361" s="22">
        <v>0</v>
      </c>
      <c r="AA1361" s="22" t="s">
        <v>199</v>
      </c>
      <c r="AB1361" s="22" t="s">
        <v>220</v>
      </c>
      <c r="AC1361" s="42">
        <f>IFERROR(LOOKUP(M1361,打分卡!$F$7:$J$7,打分卡!$K$7:$O$7),1)</f>
        <v>1</v>
      </c>
      <c r="AD1361" s="42">
        <f>IFERROR(LOOKUP(S1361,打分卡!$F$8:$J$8,打分卡!$K$8:$O$8),1)</f>
        <v>1</v>
      </c>
      <c r="AE1361" s="42">
        <f>IFERROR(LOOKUP(T1361,打分卡!$F$9:$I$9,打分卡!$K$9:$N$9),1)</f>
        <v>1</v>
      </c>
      <c r="AF1361" s="42">
        <f>IFERROR(LOOKUP(Q1361,打分卡!$F$10:$J$10,打分卡!$K$10:$O$10),1)</f>
        <v>1</v>
      </c>
      <c r="AG1361" s="42">
        <f>IFERROR(LOOKUP(R1361,打分卡!$F$11:$J$11,打分卡!$K$11:$O$11),1)</f>
        <v>1</v>
      </c>
      <c r="AH1361" s="42">
        <f>IFERROR(LOOKUP(U1361,打分卡!$F$12:$J$12,打分卡!$K$12:$O$12),1)</f>
        <v>3</v>
      </c>
      <c r="AI1361" s="42">
        <f>IFERROR(LOOKUP(X1361,打分卡!$F$13:$J$13,打分卡!$K$13:$O$13),1)</f>
        <v>1</v>
      </c>
      <c r="AJ1361" s="42">
        <f>IFERROR(LOOKUP(Y1361,打分卡!$F$14:$J$14,打分卡!$K$14:$O$14),1)</f>
        <v>1</v>
      </c>
      <c r="AK1361" s="42">
        <f>IFERROR(LOOKUP(W1361,打分卡!$F$15:$J$15,打分卡!$K$15:$O$15),1)</f>
        <v>2</v>
      </c>
      <c r="AL1361" s="45">
        <f t="shared" si="169"/>
        <v>5</v>
      </c>
      <c r="AM1361" s="42">
        <f>IFERROR(LOOKUP(Z1361,打分卡!$F$17:$H$17,打分卡!$K$17:$M$17),1)</f>
        <v>1</v>
      </c>
      <c r="AN1361" s="46">
        <f>(打分卡!$D$7*AC1361+打分卡!$D$8*AD1361+打分卡!$D$9*AE1361)/5</f>
        <v>8</v>
      </c>
      <c r="AO1361" s="46">
        <f>(打分卡!$D$10*AF1361+打分卡!$D$11*AG1361)/5</f>
        <v>4</v>
      </c>
      <c r="AP1361" s="46">
        <f>(打分卡!$D$12*AH1361+打分卡!$D$13*AI1361+打分卡!$D$14*AJ1361+打分卡!$D$15*AK1361)/5</f>
        <v>11.6</v>
      </c>
      <c r="AQ1361" s="46">
        <f>(打分卡!$D$16*AL1361+打分卡!$D$17*AM1361)/5</f>
        <v>6.8</v>
      </c>
      <c r="AR1361" s="48">
        <f t="shared" si="170"/>
        <v>37.8666666666667</v>
      </c>
      <c r="AS1361" s="45" t="str">
        <f t="shared" si="171"/>
        <v>基础长尾</v>
      </c>
      <c r="AT1361" s="45" t="str">
        <f t="shared" si="172"/>
        <v/>
      </c>
      <c r="AU1361" s="45" t="str">
        <f t="shared" si="173"/>
        <v>激活：企微+Push低成本先跑</v>
      </c>
    </row>
    <row r="1362" ht="15" customHeight="1" spans="1:47">
      <c r="A1362" s="30" t="s">
        <v>3513</v>
      </c>
      <c r="B1362" s="31" t="s">
        <v>3514</v>
      </c>
      <c r="C1362" s="31" t="s">
        <v>234</v>
      </c>
      <c r="D1362" s="31" t="s">
        <v>190</v>
      </c>
      <c r="E1362" s="31" t="s">
        <v>181</v>
      </c>
      <c r="F1362" s="30" t="s">
        <v>2901</v>
      </c>
      <c r="G1362" s="31">
        <v>2</v>
      </c>
      <c r="H1362" s="31" t="s">
        <v>642</v>
      </c>
      <c r="I1362" s="31" t="s">
        <v>302</v>
      </c>
      <c r="J1362" s="33">
        <v>300</v>
      </c>
      <c r="K1362" s="33">
        <v>100</v>
      </c>
      <c r="L1362" s="33">
        <v>100</v>
      </c>
      <c r="M1362" s="33">
        <f t="shared" si="168"/>
        <v>500</v>
      </c>
      <c r="N1362" s="34">
        <f t="shared" si="174"/>
        <v>2.62131992895174e-6</v>
      </c>
      <c r="O1362" s="35">
        <f>SUM($M$2:M1362)</f>
        <v>190739200</v>
      </c>
      <c r="P1362" s="34">
        <f t="shared" si="175"/>
        <v>0.999976932384625</v>
      </c>
      <c r="Q1362" s="37">
        <v>0.1</v>
      </c>
      <c r="R1362" s="31">
        <v>2</v>
      </c>
      <c r="S1362" s="31">
        <v>1</v>
      </c>
      <c r="T1362" s="31">
        <v>0</v>
      </c>
      <c r="U1362" s="37">
        <v>0.7</v>
      </c>
      <c r="V1362" s="31">
        <v>1</v>
      </c>
      <c r="W1362" s="31">
        <v>2</v>
      </c>
      <c r="X1362" s="38">
        <v>67</v>
      </c>
      <c r="Y1362" s="31">
        <v>1</v>
      </c>
      <c r="Z1362" s="31">
        <v>0</v>
      </c>
      <c r="AA1362" s="31" t="s">
        <v>199</v>
      </c>
      <c r="AB1362" s="31" t="s">
        <v>220</v>
      </c>
      <c r="AC1362" s="41">
        <f>IFERROR(LOOKUP(M1362,打分卡!$F$7:$J$7,打分卡!$K$7:$O$7),1)</f>
        <v>1</v>
      </c>
      <c r="AD1362" s="41">
        <f>IFERROR(LOOKUP(S1362,打分卡!$F$8:$J$8,打分卡!$K$8:$O$8),1)</f>
        <v>1</v>
      </c>
      <c r="AE1362" s="41">
        <f>IFERROR(LOOKUP(T1362,打分卡!$F$9:$I$9,打分卡!$K$9:$N$9),1)</f>
        <v>1</v>
      </c>
      <c r="AF1362" s="41">
        <f>IFERROR(LOOKUP(Q1362,打分卡!$F$10:$J$10,打分卡!$K$10:$O$10),1)</f>
        <v>1</v>
      </c>
      <c r="AG1362" s="41">
        <f>IFERROR(LOOKUP(R1362,打分卡!$F$11:$J$11,打分卡!$K$11:$O$11),1)</f>
        <v>1</v>
      </c>
      <c r="AH1362" s="41">
        <f>IFERROR(LOOKUP(U1362,打分卡!$F$12:$J$12,打分卡!$K$12:$O$12),1)</f>
        <v>1</v>
      </c>
      <c r="AI1362" s="41">
        <f>IFERROR(LOOKUP(X1362,打分卡!$F$13:$J$13,打分卡!$K$13:$O$13),1)</f>
        <v>3</v>
      </c>
      <c r="AJ1362" s="41">
        <f>IFERROR(LOOKUP(Y1362,打分卡!$F$14:$J$14,打分卡!$K$14:$O$14),1)</f>
        <v>2</v>
      </c>
      <c r="AK1362" s="41">
        <f>IFERROR(LOOKUP(W1362,打分卡!$F$15:$J$15,打分卡!$K$15:$O$15),1)</f>
        <v>2</v>
      </c>
      <c r="AL1362" s="43">
        <f t="shared" si="169"/>
        <v>5</v>
      </c>
      <c r="AM1362" s="41">
        <f>IFERROR(LOOKUP(Z1362,打分卡!$F$17:$H$17,打分卡!$K$17:$M$17),1)</f>
        <v>1</v>
      </c>
      <c r="AN1362" s="44">
        <f>(打分卡!$D$7*AC1362+打分卡!$D$8*AD1362+打分卡!$D$9*AE1362)/5</f>
        <v>8</v>
      </c>
      <c r="AO1362" s="44">
        <f>(打分卡!$D$10*AF1362+打分卡!$D$11*AG1362)/5</f>
        <v>4</v>
      </c>
      <c r="AP1362" s="44">
        <f>(打分卡!$D$12*AH1362+打分卡!$D$13*AI1362+打分卡!$D$14*AJ1362+打分卡!$D$15*AK1362)/5</f>
        <v>11.2</v>
      </c>
      <c r="AQ1362" s="44">
        <f>(打分卡!$D$16*AL1362+打分卡!$D$17*AM1362)/5</f>
        <v>6.8</v>
      </c>
      <c r="AR1362" s="47">
        <f t="shared" si="170"/>
        <v>36.9333333333333</v>
      </c>
      <c r="AS1362" s="43" t="str">
        <f t="shared" si="171"/>
        <v>基础长尾</v>
      </c>
      <c r="AT1362" s="43" t="str">
        <f t="shared" si="172"/>
        <v/>
      </c>
      <c r="AU1362" s="43" t="str">
        <f t="shared" si="173"/>
        <v>激活：企微+Push低成本先跑</v>
      </c>
    </row>
    <row r="1363" ht="15" customHeight="1" spans="1:47">
      <c r="A1363" s="20" t="s">
        <v>3515</v>
      </c>
      <c r="B1363" s="22" t="s">
        <v>3516</v>
      </c>
      <c r="C1363" s="22" t="s">
        <v>209</v>
      </c>
      <c r="D1363" s="22" t="s">
        <v>227</v>
      </c>
      <c r="E1363" s="22" t="s">
        <v>181</v>
      </c>
      <c r="F1363" s="20" t="s">
        <v>2758</v>
      </c>
      <c r="G1363" s="22">
        <v>1</v>
      </c>
      <c r="H1363" s="22" t="s">
        <v>642</v>
      </c>
      <c r="I1363" s="22" t="s">
        <v>302</v>
      </c>
      <c r="J1363" s="36">
        <v>300</v>
      </c>
      <c r="K1363" s="36">
        <v>100</v>
      </c>
      <c r="L1363" s="36">
        <v>100</v>
      </c>
      <c r="M1363" s="36">
        <f t="shared" si="168"/>
        <v>500</v>
      </c>
      <c r="N1363" s="34">
        <f t="shared" si="174"/>
        <v>2.62131992895174e-6</v>
      </c>
      <c r="O1363" s="35">
        <f>SUM($M$2:M1363)</f>
        <v>190739700</v>
      </c>
      <c r="P1363" s="34">
        <f t="shared" si="175"/>
        <v>0.999979553704554</v>
      </c>
      <c r="Q1363" s="39">
        <v>0.1</v>
      </c>
      <c r="R1363" s="22">
        <v>1</v>
      </c>
      <c r="S1363" s="22">
        <v>1</v>
      </c>
      <c r="T1363" s="22">
        <v>0</v>
      </c>
      <c r="U1363" s="39">
        <v>4.4</v>
      </c>
      <c r="V1363" s="22">
        <v>1</v>
      </c>
      <c r="W1363" s="22">
        <v>2</v>
      </c>
      <c r="X1363" s="40">
        <v>9</v>
      </c>
      <c r="Y1363" s="22">
        <v>1</v>
      </c>
      <c r="Z1363" s="22">
        <v>0</v>
      </c>
      <c r="AA1363" s="22" t="s">
        <v>199</v>
      </c>
      <c r="AB1363" s="22" t="s">
        <v>220</v>
      </c>
      <c r="AC1363" s="42">
        <f>IFERROR(LOOKUP(M1363,打分卡!$F$7:$J$7,打分卡!$K$7:$O$7),1)</f>
        <v>1</v>
      </c>
      <c r="AD1363" s="42">
        <f>IFERROR(LOOKUP(S1363,打分卡!$F$8:$J$8,打分卡!$K$8:$O$8),1)</f>
        <v>1</v>
      </c>
      <c r="AE1363" s="42">
        <f>IFERROR(LOOKUP(T1363,打分卡!$F$9:$I$9,打分卡!$K$9:$N$9),1)</f>
        <v>1</v>
      </c>
      <c r="AF1363" s="42">
        <f>IFERROR(LOOKUP(Q1363,打分卡!$F$10:$J$10,打分卡!$K$10:$O$10),1)</f>
        <v>1</v>
      </c>
      <c r="AG1363" s="42">
        <f>IFERROR(LOOKUP(R1363,打分卡!$F$11:$J$11,打分卡!$K$11:$O$11),1)</f>
        <v>1</v>
      </c>
      <c r="AH1363" s="42">
        <f>IFERROR(LOOKUP(U1363,打分卡!$F$12:$J$12,打分卡!$K$12:$O$12),1)</f>
        <v>2</v>
      </c>
      <c r="AI1363" s="42">
        <f>IFERROR(LOOKUP(X1363,打分卡!$F$13:$J$13,打分卡!$K$13:$O$13),1)</f>
        <v>1</v>
      </c>
      <c r="AJ1363" s="42">
        <f>IFERROR(LOOKUP(Y1363,打分卡!$F$14:$J$14,打分卡!$K$14:$O$14),1)</f>
        <v>2</v>
      </c>
      <c r="AK1363" s="42">
        <f>IFERROR(LOOKUP(W1363,打分卡!$F$15:$J$15,打分卡!$K$15:$O$15),1)</f>
        <v>2</v>
      </c>
      <c r="AL1363" s="45">
        <f t="shared" si="169"/>
        <v>5</v>
      </c>
      <c r="AM1363" s="42">
        <f>IFERROR(LOOKUP(Z1363,打分卡!$F$17:$H$17,打分卡!$K$17:$M$17),1)</f>
        <v>1</v>
      </c>
      <c r="AN1363" s="46">
        <f>(打分卡!$D$7*AC1363+打分卡!$D$8*AD1363+打分卡!$D$9*AE1363)/5</f>
        <v>8</v>
      </c>
      <c r="AO1363" s="46">
        <f>(打分卡!$D$10*AF1363+打分卡!$D$11*AG1363)/5</f>
        <v>4</v>
      </c>
      <c r="AP1363" s="46">
        <f>(打分卡!$D$12*AH1363+打分卡!$D$13*AI1363+打分卡!$D$14*AJ1363+打分卡!$D$15*AK1363)/5</f>
        <v>10.4</v>
      </c>
      <c r="AQ1363" s="46">
        <f>(打分卡!$D$16*AL1363+打分卡!$D$17*AM1363)/5</f>
        <v>6.8</v>
      </c>
      <c r="AR1363" s="48">
        <f t="shared" si="170"/>
        <v>35.0666666666667</v>
      </c>
      <c r="AS1363" s="45" t="str">
        <f t="shared" si="171"/>
        <v>基础长尾</v>
      </c>
      <c r="AT1363" s="45" t="str">
        <f t="shared" si="172"/>
        <v/>
      </c>
      <c r="AU1363" s="45" t="str">
        <f t="shared" si="173"/>
        <v>激活：企微+Push低成本先跑</v>
      </c>
    </row>
    <row r="1364" ht="15" customHeight="1" spans="1:47">
      <c r="A1364" s="30" t="s">
        <v>3517</v>
      </c>
      <c r="B1364" s="31" t="s">
        <v>3518</v>
      </c>
      <c r="C1364" s="31" t="s">
        <v>195</v>
      </c>
      <c r="D1364" s="31" t="s">
        <v>235</v>
      </c>
      <c r="E1364" s="31" t="s">
        <v>181</v>
      </c>
      <c r="F1364" s="30" t="s">
        <v>860</v>
      </c>
      <c r="G1364" s="31">
        <v>3</v>
      </c>
      <c r="H1364" s="31" t="s">
        <v>642</v>
      </c>
      <c r="I1364" s="31" t="s">
        <v>302</v>
      </c>
      <c r="J1364" s="33">
        <v>300</v>
      </c>
      <c r="K1364" s="33">
        <v>100</v>
      </c>
      <c r="L1364" s="33">
        <v>100</v>
      </c>
      <c r="M1364" s="33">
        <f t="shared" si="168"/>
        <v>500</v>
      </c>
      <c r="N1364" s="34">
        <f t="shared" si="174"/>
        <v>2.62131992895174e-6</v>
      </c>
      <c r="O1364" s="35">
        <f>SUM($M$2:M1364)</f>
        <v>190740200</v>
      </c>
      <c r="P1364" s="34">
        <f t="shared" si="175"/>
        <v>0.999982175024483</v>
      </c>
      <c r="Q1364" s="37">
        <v>0.1</v>
      </c>
      <c r="R1364" s="31">
        <v>1</v>
      </c>
      <c r="S1364" s="31">
        <v>1</v>
      </c>
      <c r="T1364" s="31">
        <v>0</v>
      </c>
      <c r="U1364" s="37">
        <v>22.4</v>
      </c>
      <c r="V1364" s="31">
        <v>3</v>
      </c>
      <c r="W1364" s="31">
        <v>1</v>
      </c>
      <c r="X1364" s="38">
        <v>8</v>
      </c>
      <c r="Y1364" s="31">
        <v>1</v>
      </c>
      <c r="Z1364" s="31">
        <v>0</v>
      </c>
      <c r="AA1364" s="31" t="s">
        <v>199</v>
      </c>
      <c r="AB1364" s="31" t="s">
        <v>220</v>
      </c>
      <c r="AC1364" s="41">
        <f>IFERROR(LOOKUP(M1364,打分卡!$F$7:$J$7,打分卡!$K$7:$O$7),1)</f>
        <v>1</v>
      </c>
      <c r="AD1364" s="41">
        <f>IFERROR(LOOKUP(S1364,打分卡!$F$8:$J$8,打分卡!$K$8:$O$8),1)</f>
        <v>1</v>
      </c>
      <c r="AE1364" s="41">
        <f>IFERROR(LOOKUP(T1364,打分卡!$F$9:$I$9,打分卡!$K$9:$N$9),1)</f>
        <v>1</v>
      </c>
      <c r="AF1364" s="41">
        <f>IFERROR(LOOKUP(Q1364,打分卡!$F$10:$J$10,打分卡!$K$10:$O$10),1)</f>
        <v>1</v>
      </c>
      <c r="AG1364" s="41">
        <f>IFERROR(LOOKUP(R1364,打分卡!$F$11:$J$11,打分卡!$K$11:$O$11),1)</f>
        <v>1</v>
      </c>
      <c r="AH1364" s="41">
        <f>IFERROR(LOOKUP(U1364,打分卡!$F$12:$J$12,打分卡!$K$12:$O$12),1)</f>
        <v>3</v>
      </c>
      <c r="AI1364" s="41">
        <f>IFERROR(LOOKUP(X1364,打分卡!$F$13:$J$13,打分卡!$K$13:$O$13),1)</f>
        <v>1</v>
      </c>
      <c r="AJ1364" s="41">
        <f>IFERROR(LOOKUP(Y1364,打分卡!$F$14:$J$14,打分卡!$K$14:$O$14),1)</f>
        <v>2</v>
      </c>
      <c r="AK1364" s="41">
        <f>IFERROR(LOOKUP(W1364,打分卡!$F$15:$J$15,打分卡!$K$15:$O$15),1)</f>
        <v>2</v>
      </c>
      <c r="AL1364" s="43">
        <f t="shared" si="169"/>
        <v>5</v>
      </c>
      <c r="AM1364" s="41">
        <f>IFERROR(LOOKUP(Z1364,打分卡!$F$17:$H$17,打分卡!$K$17:$M$17),1)</f>
        <v>1</v>
      </c>
      <c r="AN1364" s="44">
        <f>(打分卡!$D$7*AC1364+打分卡!$D$8*AD1364+打分卡!$D$9*AE1364)/5</f>
        <v>8</v>
      </c>
      <c r="AO1364" s="44">
        <f>(打分卡!$D$10*AF1364+打分卡!$D$11*AG1364)/5</f>
        <v>4</v>
      </c>
      <c r="AP1364" s="44">
        <f>(打分卡!$D$12*AH1364+打分卡!$D$13*AI1364+打分卡!$D$14*AJ1364+打分卡!$D$15*AK1364)/5</f>
        <v>12.8</v>
      </c>
      <c r="AQ1364" s="44">
        <f>(打分卡!$D$16*AL1364+打分卡!$D$17*AM1364)/5</f>
        <v>6.8</v>
      </c>
      <c r="AR1364" s="47">
        <f t="shared" si="170"/>
        <v>31.6</v>
      </c>
      <c r="AS1364" s="43" t="str">
        <f t="shared" si="171"/>
        <v>基础长尾</v>
      </c>
      <c r="AT1364" s="43" t="str">
        <f t="shared" si="172"/>
        <v/>
      </c>
      <c r="AU1364" s="43" t="str">
        <f t="shared" si="173"/>
        <v>激活：企微+Push低成本先跑</v>
      </c>
    </row>
    <row r="1365" ht="15" customHeight="1" spans="1:47">
      <c r="A1365" s="20" t="s">
        <v>3519</v>
      </c>
      <c r="B1365" s="22" t="s">
        <v>3520</v>
      </c>
      <c r="C1365" s="22" t="s">
        <v>218</v>
      </c>
      <c r="D1365" s="22" t="s">
        <v>202</v>
      </c>
      <c r="E1365" s="22" t="s">
        <v>197</v>
      </c>
      <c r="F1365" s="20" t="s">
        <v>1840</v>
      </c>
      <c r="G1365" s="22">
        <v>2</v>
      </c>
      <c r="H1365" s="22" t="s">
        <v>642</v>
      </c>
      <c r="I1365" s="22" t="s">
        <v>302</v>
      </c>
      <c r="J1365" s="36">
        <v>300</v>
      </c>
      <c r="K1365" s="36">
        <v>100</v>
      </c>
      <c r="L1365" s="36">
        <v>100</v>
      </c>
      <c r="M1365" s="36">
        <f t="shared" si="168"/>
        <v>500</v>
      </c>
      <c r="N1365" s="34">
        <f t="shared" si="174"/>
        <v>2.62131992895174e-6</v>
      </c>
      <c r="O1365" s="35">
        <f>SUM($M$2:M1365)</f>
        <v>190740700</v>
      </c>
      <c r="P1365" s="34">
        <f t="shared" si="175"/>
        <v>0.999984796344412</v>
      </c>
      <c r="Q1365" s="39">
        <v>0</v>
      </c>
      <c r="R1365" s="22">
        <v>1</v>
      </c>
      <c r="S1365" s="22">
        <v>0</v>
      </c>
      <c r="T1365" s="22">
        <v>0</v>
      </c>
      <c r="U1365" s="39">
        <v>1.3</v>
      </c>
      <c r="V1365" s="22">
        <v>9</v>
      </c>
      <c r="W1365" s="22">
        <v>2</v>
      </c>
      <c r="X1365" s="40">
        <v>9</v>
      </c>
      <c r="Y1365" s="22">
        <v>1</v>
      </c>
      <c r="Z1365" s="22">
        <v>0</v>
      </c>
      <c r="AA1365" s="22" t="s">
        <v>199</v>
      </c>
      <c r="AB1365" s="22" t="s">
        <v>220</v>
      </c>
      <c r="AC1365" s="42">
        <f>IFERROR(LOOKUP(M1365,打分卡!$F$7:$J$7,打分卡!$K$7:$O$7),1)</f>
        <v>1</v>
      </c>
      <c r="AD1365" s="42">
        <f>IFERROR(LOOKUP(S1365,打分卡!$F$8:$J$8,打分卡!$K$8:$O$8),1)</f>
        <v>1</v>
      </c>
      <c r="AE1365" s="42">
        <f>IFERROR(LOOKUP(T1365,打分卡!$F$9:$I$9,打分卡!$K$9:$N$9),1)</f>
        <v>1</v>
      </c>
      <c r="AF1365" s="42">
        <f>IFERROR(LOOKUP(Q1365,打分卡!$F$10:$J$10,打分卡!$K$10:$O$10),1)</f>
        <v>1</v>
      </c>
      <c r="AG1365" s="42">
        <f>IFERROR(LOOKUP(R1365,打分卡!$F$11:$J$11,打分卡!$K$11:$O$11),1)</f>
        <v>1</v>
      </c>
      <c r="AH1365" s="42">
        <f>IFERROR(LOOKUP(U1365,打分卡!$F$12:$J$12,打分卡!$K$12:$O$12),1)</f>
        <v>1</v>
      </c>
      <c r="AI1365" s="42">
        <f>IFERROR(LOOKUP(X1365,打分卡!$F$13:$J$13,打分卡!$K$13:$O$13),1)</f>
        <v>1</v>
      </c>
      <c r="AJ1365" s="42">
        <f>IFERROR(LOOKUP(Y1365,打分卡!$F$14:$J$14,打分卡!$K$14:$O$14),1)</f>
        <v>2</v>
      </c>
      <c r="AK1365" s="42">
        <f>IFERROR(LOOKUP(W1365,打分卡!$F$15:$J$15,打分卡!$K$15:$O$15),1)</f>
        <v>2</v>
      </c>
      <c r="AL1365" s="45">
        <f t="shared" si="169"/>
        <v>5</v>
      </c>
      <c r="AM1365" s="42">
        <f>IFERROR(LOOKUP(Z1365,打分卡!$F$17:$H$17,打分卡!$K$17:$M$17),1)</f>
        <v>1</v>
      </c>
      <c r="AN1365" s="46">
        <f>(打分卡!$D$7*AC1365+打分卡!$D$8*AD1365+打分卡!$D$9*AE1365)/5</f>
        <v>8</v>
      </c>
      <c r="AO1365" s="46">
        <f>(打分卡!$D$10*AF1365+打分卡!$D$11*AG1365)/5</f>
        <v>4</v>
      </c>
      <c r="AP1365" s="46">
        <f>(打分卡!$D$12*AH1365+打分卡!$D$13*AI1365+打分卡!$D$14*AJ1365+打分卡!$D$15*AK1365)/5</f>
        <v>8</v>
      </c>
      <c r="AQ1365" s="46">
        <f>(打分卡!$D$16*AL1365+打分卡!$D$17*AM1365)/5</f>
        <v>6.8</v>
      </c>
      <c r="AR1365" s="48">
        <f t="shared" si="170"/>
        <v>29.4666666666667</v>
      </c>
      <c r="AS1365" s="45" t="str">
        <f t="shared" si="171"/>
        <v>基础长尾</v>
      </c>
      <c r="AT1365" s="45" t="str">
        <f t="shared" si="172"/>
        <v/>
      </c>
      <c r="AU1365" s="45" t="str">
        <f t="shared" si="173"/>
        <v>激活：企微+Push低成本先跑</v>
      </c>
    </row>
    <row r="1366" ht="15" customHeight="1" spans="1:47">
      <c r="A1366" s="30" t="s">
        <v>3521</v>
      </c>
      <c r="B1366" s="31" t="s">
        <v>3522</v>
      </c>
      <c r="C1366" s="31" t="s">
        <v>218</v>
      </c>
      <c r="D1366" s="31" t="s">
        <v>202</v>
      </c>
      <c r="E1366" s="31" t="s">
        <v>181</v>
      </c>
      <c r="F1366" s="30" t="s">
        <v>2806</v>
      </c>
      <c r="G1366" s="31">
        <v>3</v>
      </c>
      <c r="H1366" s="31" t="s">
        <v>642</v>
      </c>
      <c r="I1366" s="31" t="s">
        <v>302</v>
      </c>
      <c r="J1366" s="33">
        <v>300</v>
      </c>
      <c r="K1366" s="33">
        <v>200</v>
      </c>
      <c r="L1366" s="33">
        <v>0</v>
      </c>
      <c r="M1366" s="33">
        <f t="shared" si="168"/>
        <v>500</v>
      </c>
      <c r="N1366" s="34">
        <f t="shared" si="174"/>
        <v>2.62131992895174e-6</v>
      </c>
      <c r="O1366" s="35">
        <f>SUM($M$2:M1366)</f>
        <v>190741200</v>
      </c>
      <c r="P1366" s="34">
        <f t="shared" si="175"/>
        <v>0.999987417664341</v>
      </c>
      <c r="Q1366" s="37">
        <v>0</v>
      </c>
      <c r="R1366" s="31">
        <v>3</v>
      </c>
      <c r="S1366" s="31">
        <v>0</v>
      </c>
      <c r="T1366" s="31">
        <v>0</v>
      </c>
      <c r="U1366" s="37">
        <v>13</v>
      </c>
      <c r="V1366" s="31">
        <v>2</v>
      </c>
      <c r="W1366" s="31">
        <v>2</v>
      </c>
      <c r="X1366" s="38">
        <v>27</v>
      </c>
      <c r="Y1366" s="31">
        <v>0</v>
      </c>
      <c r="Z1366" s="31">
        <v>0</v>
      </c>
      <c r="AA1366" s="31" t="s">
        <v>199</v>
      </c>
      <c r="AB1366" s="31" t="s">
        <v>220</v>
      </c>
      <c r="AC1366" s="41">
        <f>IFERROR(LOOKUP(M1366,打分卡!$F$7:$J$7,打分卡!$K$7:$O$7),1)</f>
        <v>1</v>
      </c>
      <c r="AD1366" s="41">
        <f>IFERROR(LOOKUP(S1366,打分卡!$F$8:$J$8,打分卡!$K$8:$O$8),1)</f>
        <v>1</v>
      </c>
      <c r="AE1366" s="41">
        <f>IFERROR(LOOKUP(T1366,打分卡!$F$9:$I$9,打分卡!$K$9:$N$9),1)</f>
        <v>1</v>
      </c>
      <c r="AF1366" s="41">
        <f>IFERROR(LOOKUP(Q1366,打分卡!$F$10:$J$10,打分卡!$K$10:$O$10),1)</f>
        <v>1</v>
      </c>
      <c r="AG1366" s="41">
        <f>IFERROR(LOOKUP(R1366,打分卡!$F$11:$J$11,打分卡!$K$11:$O$11),1)</f>
        <v>2</v>
      </c>
      <c r="AH1366" s="41">
        <f>IFERROR(LOOKUP(U1366,打分卡!$F$12:$J$12,打分卡!$K$12:$O$12),1)</f>
        <v>3</v>
      </c>
      <c r="AI1366" s="41">
        <f>IFERROR(LOOKUP(X1366,打分卡!$F$13:$J$13,打分卡!$K$13:$O$13),1)</f>
        <v>2</v>
      </c>
      <c r="AJ1366" s="41">
        <f>IFERROR(LOOKUP(Y1366,打分卡!$F$14:$J$14,打分卡!$K$14:$O$14),1)</f>
        <v>1</v>
      </c>
      <c r="AK1366" s="41">
        <f>IFERROR(LOOKUP(W1366,打分卡!$F$15:$J$15,打分卡!$K$15:$O$15),1)</f>
        <v>2</v>
      </c>
      <c r="AL1366" s="43">
        <f t="shared" si="169"/>
        <v>5</v>
      </c>
      <c r="AM1366" s="41">
        <f>IFERROR(LOOKUP(Z1366,打分卡!$F$17:$H$17,打分卡!$K$17:$M$17),1)</f>
        <v>1</v>
      </c>
      <c r="AN1366" s="44">
        <f>(打分卡!$D$7*AC1366+打分卡!$D$8*AD1366+打分卡!$D$9*AE1366)/5</f>
        <v>8</v>
      </c>
      <c r="AO1366" s="44">
        <f>(打分卡!$D$10*AF1366+打分卡!$D$11*AG1366)/5</f>
        <v>6</v>
      </c>
      <c r="AP1366" s="44">
        <f>(打分卡!$D$12*AH1366+打分卡!$D$13*AI1366+打分卡!$D$14*AJ1366+打分卡!$D$15*AK1366)/5</f>
        <v>13.2</v>
      </c>
      <c r="AQ1366" s="44">
        <f>(打分卡!$D$16*AL1366+打分卡!$D$17*AM1366)/5</f>
        <v>6.8</v>
      </c>
      <c r="AR1366" s="47">
        <f t="shared" si="170"/>
        <v>34</v>
      </c>
      <c r="AS1366" s="43" t="str">
        <f t="shared" si="171"/>
        <v>基础长尾</v>
      </c>
      <c r="AT1366" s="43" t="str">
        <f t="shared" si="172"/>
        <v/>
      </c>
      <c r="AU1366" s="43" t="str">
        <f t="shared" si="173"/>
        <v>激活：企微+Push低成本先跑</v>
      </c>
    </row>
    <row r="1367" ht="15" customHeight="1" spans="1:47">
      <c r="A1367" s="20" t="s">
        <v>3523</v>
      </c>
      <c r="B1367" s="22" t="s">
        <v>3524</v>
      </c>
      <c r="C1367" s="22" t="s">
        <v>189</v>
      </c>
      <c r="D1367" s="22" t="s">
        <v>190</v>
      </c>
      <c r="E1367" s="22" t="s">
        <v>181</v>
      </c>
      <c r="F1367" s="20" t="s">
        <v>931</v>
      </c>
      <c r="G1367" s="22">
        <v>3</v>
      </c>
      <c r="H1367" s="22" t="s">
        <v>642</v>
      </c>
      <c r="I1367" s="22" t="s">
        <v>302</v>
      </c>
      <c r="J1367" s="36">
        <v>200</v>
      </c>
      <c r="K1367" s="36">
        <v>100</v>
      </c>
      <c r="L1367" s="36">
        <v>200</v>
      </c>
      <c r="M1367" s="36">
        <f t="shared" si="168"/>
        <v>500</v>
      </c>
      <c r="N1367" s="34">
        <f t="shared" si="174"/>
        <v>2.62131992895174e-6</v>
      </c>
      <c r="O1367" s="35">
        <f>SUM($M$2:M1367)</f>
        <v>190741700</v>
      </c>
      <c r="P1367" s="34">
        <f t="shared" si="175"/>
        <v>0.99999003898427</v>
      </c>
      <c r="Q1367" s="39">
        <v>0</v>
      </c>
      <c r="R1367" s="22">
        <v>3</v>
      </c>
      <c r="S1367" s="22">
        <v>0</v>
      </c>
      <c r="T1367" s="22">
        <v>0</v>
      </c>
      <c r="U1367" s="39">
        <v>8.1</v>
      </c>
      <c r="V1367" s="22">
        <v>3</v>
      </c>
      <c r="W1367" s="22">
        <v>1</v>
      </c>
      <c r="X1367" s="40">
        <v>31</v>
      </c>
      <c r="Y1367" s="22">
        <v>0</v>
      </c>
      <c r="Z1367" s="22">
        <v>0</v>
      </c>
      <c r="AA1367" s="22" t="s">
        <v>199</v>
      </c>
      <c r="AB1367" s="22" t="s">
        <v>220</v>
      </c>
      <c r="AC1367" s="42">
        <f>IFERROR(LOOKUP(M1367,打分卡!$F$7:$J$7,打分卡!$K$7:$O$7),1)</f>
        <v>1</v>
      </c>
      <c r="AD1367" s="42">
        <f>IFERROR(LOOKUP(S1367,打分卡!$F$8:$J$8,打分卡!$K$8:$O$8),1)</f>
        <v>1</v>
      </c>
      <c r="AE1367" s="42">
        <f>IFERROR(LOOKUP(T1367,打分卡!$F$9:$I$9,打分卡!$K$9:$N$9),1)</f>
        <v>1</v>
      </c>
      <c r="AF1367" s="42">
        <f>IFERROR(LOOKUP(Q1367,打分卡!$F$10:$J$10,打分卡!$K$10:$O$10),1)</f>
        <v>1</v>
      </c>
      <c r="AG1367" s="42">
        <f>IFERROR(LOOKUP(R1367,打分卡!$F$11:$J$11,打分卡!$K$11:$O$11),1)</f>
        <v>2</v>
      </c>
      <c r="AH1367" s="42">
        <f>IFERROR(LOOKUP(U1367,打分卡!$F$12:$J$12,打分卡!$K$12:$O$12),1)</f>
        <v>2</v>
      </c>
      <c r="AI1367" s="42">
        <f>IFERROR(LOOKUP(X1367,打分卡!$F$13:$J$13,打分卡!$K$13:$O$13),1)</f>
        <v>2</v>
      </c>
      <c r="AJ1367" s="42">
        <f>IFERROR(LOOKUP(Y1367,打分卡!$F$14:$J$14,打分卡!$K$14:$O$14),1)</f>
        <v>1</v>
      </c>
      <c r="AK1367" s="42">
        <f>IFERROR(LOOKUP(W1367,打分卡!$F$15:$J$15,打分卡!$K$15:$O$15),1)</f>
        <v>2</v>
      </c>
      <c r="AL1367" s="45">
        <f t="shared" si="169"/>
        <v>5</v>
      </c>
      <c r="AM1367" s="42">
        <f>IFERROR(LOOKUP(Z1367,打分卡!$F$17:$H$17,打分卡!$K$17:$M$17),1)</f>
        <v>1</v>
      </c>
      <c r="AN1367" s="46">
        <f>(打分卡!$D$7*AC1367+打分卡!$D$8*AD1367+打分卡!$D$9*AE1367)/5</f>
        <v>8</v>
      </c>
      <c r="AO1367" s="46">
        <f>(打分卡!$D$10*AF1367+打分卡!$D$11*AG1367)/5</f>
        <v>6</v>
      </c>
      <c r="AP1367" s="46">
        <f>(打分卡!$D$12*AH1367+打分卡!$D$13*AI1367+打分卡!$D$14*AJ1367+打分卡!$D$15*AK1367)/5</f>
        <v>10.8</v>
      </c>
      <c r="AQ1367" s="46">
        <f>(打分卡!$D$16*AL1367+打分卡!$D$17*AM1367)/5</f>
        <v>6.8</v>
      </c>
      <c r="AR1367" s="48">
        <f t="shared" si="170"/>
        <v>31.6</v>
      </c>
      <c r="AS1367" s="45" t="str">
        <f t="shared" si="171"/>
        <v>基础长尾</v>
      </c>
      <c r="AT1367" s="45" t="str">
        <f t="shared" si="172"/>
        <v/>
      </c>
      <c r="AU1367" s="45" t="str">
        <f t="shared" si="173"/>
        <v>激活：企微+Push低成本先跑</v>
      </c>
    </row>
    <row r="1368" ht="15" customHeight="1" spans="1:47">
      <c r="A1368" s="30" t="s">
        <v>3525</v>
      </c>
      <c r="B1368" s="31" t="s">
        <v>3526</v>
      </c>
      <c r="C1368" s="31" t="s">
        <v>218</v>
      </c>
      <c r="D1368" s="31" t="s">
        <v>227</v>
      </c>
      <c r="E1368" s="31" t="s">
        <v>181</v>
      </c>
      <c r="F1368" s="30" t="s">
        <v>2714</v>
      </c>
      <c r="G1368" s="31">
        <v>2</v>
      </c>
      <c r="H1368" s="31" t="s">
        <v>642</v>
      </c>
      <c r="I1368" s="31" t="s">
        <v>302</v>
      </c>
      <c r="J1368" s="33">
        <v>200</v>
      </c>
      <c r="K1368" s="33">
        <v>100</v>
      </c>
      <c r="L1368" s="33">
        <v>100</v>
      </c>
      <c r="M1368" s="33">
        <f t="shared" si="168"/>
        <v>400</v>
      </c>
      <c r="N1368" s="34">
        <f t="shared" si="174"/>
        <v>2.0970559431614e-6</v>
      </c>
      <c r="O1368" s="35">
        <f>SUM($M$2:M1368)</f>
        <v>190742100</v>
      </c>
      <c r="P1368" s="34">
        <f t="shared" si="175"/>
        <v>0.999992136040213</v>
      </c>
      <c r="Q1368" s="37">
        <v>0</v>
      </c>
      <c r="R1368" s="31">
        <v>1</v>
      </c>
      <c r="S1368" s="31">
        <v>0</v>
      </c>
      <c r="T1368" s="31">
        <v>0</v>
      </c>
      <c r="U1368" s="37">
        <v>2.2</v>
      </c>
      <c r="V1368" s="31">
        <v>13</v>
      </c>
      <c r="W1368" s="31">
        <v>2</v>
      </c>
      <c r="X1368" s="38">
        <v>21</v>
      </c>
      <c r="Y1368" s="31">
        <v>0</v>
      </c>
      <c r="Z1368" s="31">
        <v>0</v>
      </c>
      <c r="AA1368" s="31" t="s">
        <v>199</v>
      </c>
      <c r="AB1368" s="31" t="s">
        <v>220</v>
      </c>
      <c r="AC1368" s="41">
        <f>IFERROR(LOOKUP(M1368,打分卡!$F$7:$J$7,打分卡!$K$7:$O$7),1)</f>
        <v>1</v>
      </c>
      <c r="AD1368" s="41">
        <f>IFERROR(LOOKUP(S1368,打分卡!$F$8:$J$8,打分卡!$K$8:$O$8),1)</f>
        <v>1</v>
      </c>
      <c r="AE1368" s="41">
        <f>IFERROR(LOOKUP(T1368,打分卡!$F$9:$I$9,打分卡!$K$9:$N$9),1)</f>
        <v>1</v>
      </c>
      <c r="AF1368" s="41">
        <f>IFERROR(LOOKUP(Q1368,打分卡!$F$10:$J$10,打分卡!$K$10:$O$10),1)</f>
        <v>1</v>
      </c>
      <c r="AG1368" s="41">
        <f>IFERROR(LOOKUP(R1368,打分卡!$F$11:$J$11,打分卡!$K$11:$O$11),1)</f>
        <v>1</v>
      </c>
      <c r="AH1368" s="41">
        <f>IFERROR(LOOKUP(U1368,打分卡!$F$12:$J$12,打分卡!$K$12:$O$12),1)</f>
        <v>1</v>
      </c>
      <c r="AI1368" s="41">
        <f>IFERROR(LOOKUP(X1368,打分卡!$F$13:$J$13,打分卡!$K$13:$O$13),1)</f>
        <v>2</v>
      </c>
      <c r="AJ1368" s="41">
        <f>IFERROR(LOOKUP(Y1368,打分卡!$F$14:$J$14,打分卡!$K$14:$O$14),1)</f>
        <v>1</v>
      </c>
      <c r="AK1368" s="41">
        <f>IFERROR(LOOKUP(W1368,打分卡!$F$15:$J$15,打分卡!$K$15:$O$15),1)</f>
        <v>2</v>
      </c>
      <c r="AL1368" s="43">
        <f t="shared" si="169"/>
        <v>5</v>
      </c>
      <c r="AM1368" s="41">
        <f>IFERROR(LOOKUP(Z1368,打分卡!$F$17:$H$17,打分卡!$K$17:$M$17),1)</f>
        <v>1</v>
      </c>
      <c r="AN1368" s="44">
        <f>(打分卡!$D$7*AC1368+打分卡!$D$8*AD1368+打分卡!$D$9*AE1368)/5</f>
        <v>8</v>
      </c>
      <c r="AO1368" s="44">
        <f>(打分卡!$D$10*AF1368+打分卡!$D$11*AG1368)/5</f>
        <v>4</v>
      </c>
      <c r="AP1368" s="44">
        <f>(打分卡!$D$12*AH1368+打分卡!$D$13*AI1368+打分卡!$D$14*AJ1368+打分卡!$D$15*AK1368)/5</f>
        <v>8.4</v>
      </c>
      <c r="AQ1368" s="44">
        <f>(打分卡!$D$16*AL1368+打分卡!$D$17*AM1368)/5</f>
        <v>6.8</v>
      </c>
      <c r="AR1368" s="47">
        <f t="shared" si="170"/>
        <v>30.4</v>
      </c>
      <c r="AS1368" s="43" t="str">
        <f t="shared" si="171"/>
        <v>基础长尾</v>
      </c>
      <c r="AT1368" s="43" t="str">
        <f t="shared" si="172"/>
        <v/>
      </c>
      <c r="AU1368" s="43" t="str">
        <f t="shared" si="173"/>
        <v>激活：企微+Push低成本先跑</v>
      </c>
    </row>
    <row r="1369" ht="15" customHeight="1" spans="1:47">
      <c r="A1369" s="20" t="s">
        <v>3527</v>
      </c>
      <c r="B1369" s="22" t="s">
        <v>3528</v>
      </c>
      <c r="C1369" s="22" t="s">
        <v>239</v>
      </c>
      <c r="D1369" s="22" t="s">
        <v>235</v>
      </c>
      <c r="E1369" s="22" t="s">
        <v>181</v>
      </c>
      <c r="F1369" s="20" t="s">
        <v>1270</v>
      </c>
      <c r="G1369" s="22">
        <v>1</v>
      </c>
      <c r="H1369" s="22" t="s">
        <v>642</v>
      </c>
      <c r="I1369" s="22" t="s">
        <v>302</v>
      </c>
      <c r="J1369" s="36">
        <v>200</v>
      </c>
      <c r="K1369" s="36">
        <v>100</v>
      </c>
      <c r="L1369" s="36">
        <v>200</v>
      </c>
      <c r="M1369" s="36">
        <f t="shared" si="168"/>
        <v>500</v>
      </c>
      <c r="N1369" s="34">
        <f t="shared" si="174"/>
        <v>2.62131992895174e-6</v>
      </c>
      <c r="O1369" s="35">
        <f>SUM($M$2:M1369)</f>
        <v>190742600</v>
      </c>
      <c r="P1369" s="34">
        <f t="shared" si="175"/>
        <v>0.999994757360142</v>
      </c>
      <c r="Q1369" s="39">
        <v>0.1</v>
      </c>
      <c r="R1369" s="22">
        <v>1</v>
      </c>
      <c r="S1369" s="22">
        <v>1</v>
      </c>
      <c r="T1369" s="22">
        <v>0</v>
      </c>
      <c r="U1369" s="39">
        <v>1.2</v>
      </c>
      <c r="V1369" s="22">
        <v>1</v>
      </c>
      <c r="W1369" s="22">
        <v>2</v>
      </c>
      <c r="X1369" s="40">
        <v>72</v>
      </c>
      <c r="Y1369" s="22">
        <v>0</v>
      </c>
      <c r="Z1369" s="22">
        <v>0</v>
      </c>
      <c r="AA1369" s="22" t="s">
        <v>199</v>
      </c>
      <c r="AB1369" s="22" t="s">
        <v>220</v>
      </c>
      <c r="AC1369" s="42">
        <f>IFERROR(LOOKUP(M1369,打分卡!$F$7:$J$7,打分卡!$K$7:$O$7),1)</f>
        <v>1</v>
      </c>
      <c r="AD1369" s="42">
        <f>IFERROR(LOOKUP(S1369,打分卡!$F$8:$J$8,打分卡!$K$8:$O$8),1)</f>
        <v>1</v>
      </c>
      <c r="AE1369" s="42">
        <f>IFERROR(LOOKUP(T1369,打分卡!$F$9:$I$9,打分卡!$K$9:$N$9),1)</f>
        <v>1</v>
      </c>
      <c r="AF1369" s="42">
        <f>IFERROR(LOOKUP(Q1369,打分卡!$F$10:$J$10,打分卡!$K$10:$O$10),1)</f>
        <v>1</v>
      </c>
      <c r="AG1369" s="42">
        <f>IFERROR(LOOKUP(R1369,打分卡!$F$11:$J$11,打分卡!$K$11:$O$11),1)</f>
        <v>1</v>
      </c>
      <c r="AH1369" s="42">
        <f>IFERROR(LOOKUP(U1369,打分卡!$F$12:$J$12,打分卡!$K$12:$O$12),1)</f>
        <v>1</v>
      </c>
      <c r="AI1369" s="42">
        <f>IFERROR(LOOKUP(X1369,打分卡!$F$13:$J$13,打分卡!$K$13:$O$13),1)</f>
        <v>3</v>
      </c>
      <c r="AJ1369" s="42">
        <f>IFERROR(LOOKUP(Y1369,打分卡!$F$14:$J$14,打分卡!$K$14:$O$14),1)</f>
        <v>1</v>
      </c>
      <c r="AK1369" s="42">
        <f>IFERROR(LOOKUP(W1369,打分卡!$F$15:$J$15,打分卡!$K$15:$O$15),1)</f>
        <v>2</v>
      </c>
      <c r="AL1369" s="45">
        <f t="shared" si="169"/>
        <v>5</v>
      </c>
      <c r="AM1369" s="42">
        <f>IFERROR(LOOKUP(Z1369,打分卡!$F$17:$H$17,打分卡!$K$17:$M$17),1)</f>
        <v>1</v>
      </c>
      <c r="AN1369" s="46">
        <f>(打分卡!$D$7*AC1369+打分卡!$D$8*AD1369+打分卡!$D$9*AE1369)/5</f>
        <v>8</v>
      </c>
      <c r="AO1369" s="46">
        <f>(打分卡!$D$10*AF1369+打分卡!$D$11*AG1369)/5</f>
        <v>4</v>
      </c>
      <c r="AP1369" s="46">
        <f>(打分卡!$D$12*AH1369+打分卡!$D$13*AI1369+打分卡!$D$14*AJ1369+打分卡!$D$15*AK1369)/5</f>
        <v>10</v>
      </c>
      <c r="AQ1369" s="46">
        <f>(打分卡!$D$16*AL1369+打分卡!$D$17*AM1369)/5</f>
        <v>6.8</v>
      </c>
      <c r="AR1369" s="48">
        <f t="shared" si="170"/>
        <v>34.1333333333333</v>
      </c>
      <c r="AS1369" s="45" t="str">
        <f t="shared" si="171"/>
        <v>基础长尾</v>
      </c>
      <c r="AT1369" s="45" t="str">
        <f t="shared" si="172"/>
        <v/>
      </c>
      <c r="AU1369" s="45" t="str">
        <f t="shared" si="173"/>
        <v>激活：企微+Push低成本先跑</v>
      </c>
    </row>
    <row r="1370" ht="15" customHeight="1" spans="1:47">
      <c r="A1370" s="30" t="s">
        <v>3529</v>
      </c>
      <c r="B1370" s="31" t="s">
        <v>3530</v>
      </c>
      <c r="C1370" s="31" t="s">
        <v>179</v>
      </c>
      <c r="D1370" s="31" t="s">
        <v>227</v>
      </c>
      <c r="E1370" s="31" t="s">
        <v>181</v>
      </c>
      <c r="F1370" s="30" t="s">
        <v>2913</v>
      </c>
      <c r="G1370" s="31">
        <v>2</v>
      </c>
      <c r="H1370" s="31" t="s">
        <v>642</v>
      </c>
      <c r="I1370" s="31" t="s">
        <v>302</v>
      </c>
      <c r="J1370" s="33">
        <v>300</v>
      </c>
      <c r="K1370" s="33">
        <v>200</v>
      </c>
      <c r="L1370" s="33">
        <v>0</v>
      </c>
      <c r="M1370" s="33">
        <f t="shared" si="168"/>
        <v>500</v>
      </c>
      <c r="N1370" s="34">
        <f t="shared" si="174"/>
        <v>2.62131992895174e-6</v>
      </c>
      <c r="O1370" s="35">
        <f>SUM($M$2:M1370)</f>
        <v>190743100</v>
      </c>
      <c r="P1370" s="34">
        <f t="shared" si="175"/>
        <v>0.999997378680071</v>
      </c>
      <c r="Q1370" s="37">
        <v>0.1</v>
      </c>
      <c r="R1370" s="31">
        <v>1</v>
      </c>
      <c r="S1370" s="31">
        <v>1</v>
      </c>
      <c r="T1370" s="31">
        <v>0</v>
      </c>
      <c r="U1370" s="37">
        <v>2.6</v>
      </c>
      <c r="V1370" s="31">
        <v>5</v>
      </c>
      <c r="W1370" s="31">
        <v>0</v>
      </c>
      <c r="X1370" s="38">
        <v>6</v>
      </c>
      <c r="Y1370" s="31">
        <v>1</v>
      </c>
      <c r="Z1370" s="31">
        <v>0</v>
      </c>
      <c r="AA1370" s="31" t="s">
        <v>199</v>
      </c>
      <c r="AB1370" s="31" t="s">
        <v>220</v>
      </c>
      <c r="AC1370" s="41">
        <f>IFERROR(LOOKUP(M1370,打分卡!$F$7:$J$7,打分卡!$K$7:$O$7),1)</f>
        <v>1</v>
      </c>
      <c r="AD1370" s="41">
        <f>IFERROR(LOOKUP(S1370,打分卡!$F$8:$J$8,打分卡!$K$8:$O$8),1)</f>
        <v>1</v>
      </c>
      <c r="AE1370" s="41">
        <f>IFERROR(LOOKUP(T1370,打分卡!$F$9:$I$9,打分卡!$K$9:$N$9),1)</f>
        <v>1</v>
      </c>
      <c r="AF1370" s="41">
        <f>IFERROR(LOOKUP(Q1370,打分卡!$F$10:$J$10,打分卡!$K$10:$O$10),1)</f>
        <v>1</v>
      </c>
      <c r="AG1370" s="41">
        <f>IFERROR(LOOKUP(R1370,打分卡!$F$11:$J$11,打分卡!$K$11:$O$11),1)</f>
        <v>1</v>
      </c>
      <c r="AH1370" s="41">
        <f>IFERROR(LOOKUP(U1370,打分卡!$F$12:$J$12,打分卡!$K$12:$O$12),1)</f>
        <v>1</v>
      </c>
      <c r="AI1370" s="41">
        <f>IFERROR(LOOKUP(X1370,打分卡!$F$13:$J$13,打分卡!$K$13:$O$13),1)</f>
        <v>1</v>
      </c>
      <c r="AJ1370" s="41">
        <f>IFERROR(LOOKUP(Y1370,打分卡!$F$14:$J$14,打分卡!$K$14:$O$14),1)</f>
        <v>2</v>
      </c>
      <c r="AK1370" s="41">
        <f>IFERROR(LOOKUP(W1370,打分卡!$F$15:$J$15,打分卡!$K$15:$O$15),1)</f>
        <v>1</v>
      </c>
      <c r="AL1370" s="43">
        <f t="shared" si="169"/>
        <v>5</v>
      </c>
      <c r="AM1370" s="41">
        <f>IFERROR(LOOKUP(Z1370,打分卡!$F$17:$H$17,打分卡!$K$17:$M$17),1)</f>
        <v>1</v>
      </c>
      <c r="AN1370" s="44">
        <f>(打分卡!$D$7*AC1370+打分卡!$D$8*AD1370+打分卡!$D$9*AE1370)/5</f>
        <v>8</v>
      </c>
      <c r="AO1370" s="44">
        <f>(打分卡!$D$10*AF1370+打分卡!$D$11*AG1370)/5</f>
        <v>4</v>
      </c>
      <c r="AP1370" s="44">
        <f>(打分卡!$D$12*AH1370+打分卡!$D$13*AI1370+打分卡!$D$14*AJ1370+打分卡!$D$15*AK1370)/5</f>
        <v>7.2</v>
      </c>
      <c r="AQ1370" s="44">
        <f>(打分卡!$D$16*AL1370+打分卡!$D$17*AM1370)/5</f>
        <v>6.8</v>
      </c>
      <c r="AR1370" s="47">
        <f t="shared" si="170"/>
        <v>27.6</v>
      </c>
      <c r="AS1370" s="43" t="str">
        <f t="shared" si="171"/>
        <v>基础长尾</v>
      </c>
      <c r="AT1370" s="43" t="str">
        <f t="shared" si="172"/>
        <v/>
      </c>
      <c r="AU1370" s="43" t="str">
        <f t="shared" si="173"/>
        <v>激活：企微+Push低成本先跑</v>
      </c>
    </row>
    <row r="1371" ht="15" customHeight="1" spans="1:47">
      <c r="A1371" s="20" t="s">
        <v>3531</v>
      </c>
      <c r="B1371" s="22" t="s">
        <v>3532</v>
      </c>
      <c r="C1371" s="22" t="s">
        <v>218</v>
      </c>
      <c r="D1371" s="22" t="s">
        <v>227</v>
      </c>
      <c r="E1371" s="22" t="s">
        <v>181</v>
      </c>
      <c r="F1371" s="20" t="s">
        <v>2503</v>
      </c>
      <c r="G1371" s="22">
        <v>3</v>
      </c>
      <c r="H1371" s="22" t="s">
        <v>642</v>
      </c>
      <c r="I1371" s="22" t="s">
        <v>302</v>
      </c>
      <c r="J1371" s="36">
        <v>300</v>
      </c>
      <c r="K1371" s="36">
        <v>100</v>
      </c>
      <c r="L1371" s="36">
        <v>100</v>
      </c>
      <c r="M1371" s="36">
        <f t="shared" si="168"/>
        <v>500</v>
      </c>
      <c r="N1371" s="34">
        <f t="shared" si="174"/>
        <v>2.62131992895174e-6</v>
      </c>
      <c r="O1371" s="35">
        <f>SUM($M$2:M1371)</f>
        <v>190743600</v>
      </c>
      <c r="P1371" s="34">
        <f t="shared" si="175"/>
        <v>1</v>
      </c>
      <c r="Q1371" s="39">
        <v>0.1</v>
      </c>
      <c r="R1371" s="22">
        <v>1</v>
      </c>
      <c r="S1371" s="22">
        <v>0</v>
      </c>
      <c r="T1371" s="22">
        <v>0</v>
      </c>
      <c r="U1371" s="39">
        <v>6.1</v>
      </c>
      <c r="V1371" s="22">
        <v>12</v>
      </c>
      <c r="W1371" s="22">
        <v>1</v>
      </c>
      <c r="X1371" s="40">
        <v>22</v>
      </c>
      <c r="Y1371" s="22">
        <v>1</v>
      </c>
      <c r="Z1371" s="22">
        <v>0</v>
      </c>
      <c r="AA1371" s="22" t="s">
        <v>199</v>
      </c>
      <c r="AB1371" s="22" t="s">
        <v>220</v>
      </c>
      <c r="AC1371" s="42">
        <f>IFERROR(LOOKUP(M1371,打分卡!$F$7:$J$7,打分卡!$K$7:$O$7),1)</f>
        <v>1</v>
      </c>
      <c r="AD1371" s="42">
        <f>IFERROR(LOOKUP(S1371,打分卡!$F$8:$J$8,打分卡!$K$8:$O$8),1)</f>
        <v>1</v>
      </c>
      <c r="AE1371" s="42">
        <f>IFERROR(LOOKUP(T1371,打分卡!$F$9:$I$9,打分卡!$K$9:$N$9),1)</f>
        <v>1</v>
      </c>
      <c r="AF1371" s="42">
        <f>IFERROR(LOOKUP(Q1371,打分卡!$F$10:$J$10,打分卡!$K$10:$O$10),1)</f>
        <v>1</v>
      </c>
      <c r="AG1371" s="42">
        <f>IFERROR(LOOKUP(R1371,打分卡!$F$11:$J$11,打分卡!$K$11:$O$11),1)</f>
        <v>1</v>
      </c>
      <c r="AH1371" s="42">
        <f>IFERROR(LOOKUP(U1371,打分卡!$F$12:$J$12,打分卡!$K$12:$O$12),1)</f>
        <v>2</v>
      </c>
      <c r="AI1371" s="42">
        <f>IFERROR(LOOKUP(X1371,打分卡!$F$13:$J$13,打分卡!$K$13:$O$13),1)</f>
        <v>2</v>
      </c>
      <c r="AJ1371" s="42">
        <f>IFERROR(LOOKUP(Y1371,打分卡!$F$14:$J$14,打分卡!$K$14:$O$14),1)</f>
        <v>2</v>
      </c>
      <c r="AK1371" s="42">
        <f>IFERROR(LOOKUP(W1371,打分卡!$F$15:$J$15,打分卡!$K$15:$O$15),1)</f>
        <v>2</v>
      </c>
      <c r="AL1371" s="45">
        <f t="shared" si="169"/>
        <v>5</v>
      </c>
      <c r="AM1371" s="42">
        <f>IFERROR(LOOKUP(Z1371,打分卡!$F$17:$H$17,打分卡!$K$17:$M$17),1)</f>
        <v>1</v>
      </c>
      <c r="AN1371" s="46">
        <f>(打分卡!$D$7*AC1371+打分卡!$D$8*AD1371+打分卡!$D$9*AE1371)/5</f>
        <v>8</v>
      </c>
      <c r="AO1371" s="46">
        <f>(打分卡!$D$10*AF1371+打分卡!$D$11*AG1371)/5</f>
        <v>4</v>
      </c>
      <c r="AP1371" s="46">
        <f>(打分卡!$D$12*AH1371+打分卡!$D$13*AI1371+打分卡!$D$14*AJ1371+打分卡!$D$15*AK1371)/5</f>
        <v>12</v>
      </c>
      <c r="AQ1371" s="46">
        <f>(打分卡!$D$16*AL1371+打分卡!$D$17*AM1371)/5</f>
        <v>6.8</v>
      </c>
      <c r="AR1371" s="48">
        <f t="shared" si="170"/>
        <v>30.8</v>
      </c>
      <c r="AS1371" s="45" t="str">
        <f t="shared" si="171"/>
        <v>基础长尾</v>
      </c>
      <c r="AT1371" s="45" t="str">
        <f t="shared" si="172"/>
        <v/>
      </c>
      <c r="AU1371" s="45" t="str">
        <f t="shared" si="173"/>
        <v>激活：企微+Push低成本先跑</v>
      </c>
    </row>
    <row r="1372" ht="15" customHeight="1" spans="1:47">
      <c r="A1372" s="30" t="s">
        <v>3533</v>
      </c>
      <c r="B1372" s="31" t="s">
        <v>3534</v>
      </c>
      <c r="C1372" s="31" t="s">
        <v>218</v>
      </c>
      <c r="D1372" s="31" t="s">
        <v>202</v>
      </c>
      <c r="E1372" s="31" t="s">
        <v>197</v>
      </c>
      <c r="F1372" s="30" t="s">
        <v>1178</v>
      </c>
      <c r="G1372" s="31">
        <v>23</v>
      </c>
      <c r="H1372" s="31" t="s">
        <v>3535</v>
      </c>
      <c r="I1372" s="31" t="s">
        <v>302</v>
      </c>
      <c r="J1372" s="33">
        <v>0</v>
      </c>
      <c r="K1372" s="33">
        <v>0</v>
      </c>
      <c r="L1372" s="33">
        <v>0</v>
      </c>
      <c r="M1372" s="33">
        <f t="shared" si="168"/>
        <v>0</v>
      </c>
      <c r="N1372" s="34">
        <f t="shared" si="174"/>
        <v>0</v>
      </c>
      <c r="O1372" s="35">
        <f>SUM($M$2:M1372)</f>
        <v>190743600</v>
      </c>
      <c r="P1372" s="34">
        <f t="shared" si="175"/>
        <v>1</v>
      </c>
      <c r="Q1372" s="37">
        <v>0</v>
      </c>
      <c r="R1372" s="31">
        <v>0</v>
      </c>
      <c r="S1372" s="31">
        <v>0</v>
      </c>
      <c r="T1372" s="31">
        <v>0</v>
      </c>
      <c r="U1372" s="37">
        <v>5.4</v>
      </c>
      <c r="V1372" s="31">
        <v>2</v>
      </c>
      <c r="W1372" s="31">
        <v>2</v>
      </c>
      <c r="X1372" s="38">
        <v>29</v>
      </c>
      <c r="Y1372" s="31">
        <v>0</v>
      </c>
      <c r="Z1372" s="31">
        <v>0</v>
      </c>
      <c r="AA1372" s="31" t="s">
        <v>212</v>
      </c>
      <c r="AB1372" s="31" t="s">
        <v>220</v>
      </c>
      <c r="AC1372" s="41">
        <f>IFERROR(LOOKUP(M1372,打分卡!$F$7:$J$7,打分卡!$K$7:$O$7),1)</f>
        <v>1</v>
      </c>
      <c r="AD1372" s="41">
        <f>IFERROR(LOOKUP(S1372,打分卡!$F$8:$J$8,打分卡!$K$8:$O$8),1)</f>
        <v>1</v>
      </c>
      <c r="AE1372" s="41">
        <f>IFERROR(LOOKUP(T1372,打分卡!$F$9:$I$9,打分卡!$K$9:$N$9),1)</f>
        <v>1</v>
      </c>
      <c r="AF1372" s="41">
        <f>IFERROR(LOOKUP(Q1372,打分卡!$F$10:$J$10,打分卡!$K$10:$O$10),1)</f>
        <v>1</v>
      </c>
      <c r="AG1372" s="41">
        <f>IFERROR(LOOKUP(R1372,打分卡!$F$11:$J$11,打分卡!$K$11:$O$11),1)</f>
        <v>1</v>
      </c>
      <c r="AH1372" s="41">
        <f>IFERROR(LOOKUP(U1372,打分卡!$F$12:$J$12,打分卡!$K$12:$O$12),1)</f>
        <v>2</v>
      </c>
      <c r="AI1372" s="41">
        <f>IFERROR(LOOKUP(X1372,打分卡!$F$13:$J$13,打分卡!$K$13:$O$13),1)</f>
        <v>2</v>
      </c>
      <c r="AJ1372" s="41">
        <f>IFERROR(LOOKUP(Y1372,打分卡!$F$14:$J$14,打分卡!$K$14:$O$14),1)</f>
        <v>1</v>
      </c>
      <c r="AK1372" s="41">
        <f>IFERROR(LOOKUP(W1372,打分卡!$F$15:$J$15,打分卡!$K$15:$O$15),1)</f>
        <v>2</v>
      </c>
      <c r="AL1372" s="43">
        <f t="shared" si="169"/>
        <v>1</v>
      </c>
      <c r="AM1372" s="41">
        <f>IFERROR(LOOKUP(Z1372,打分卡!$F$17:$H$17,打分卡!$K$17:$M$17),1)</f>
        <v>1</v>
      </c>
      <c r="AN1372" s="44">
        <f>(打分卡!$D$7*AC1372+打分卡!$D$8*AD1372+打分卡!$D$9*AE1372)/5</f>
        <v>8</v>
      </c>
      <c r="AO1372" s="44">
        <f>(打分卡!$D$10*AF1372+打分卡!$D$11*AG1372)/5</f>
        <v>4</v>
      </c>
      <c r="AP1372" s="44">
        <f>(打分卡!$D$12*AH1372+打分卡!$D$13*AI1372+打分卡!$D$14*AJ1372+打分卡!$D$15*AK1372)/5</f>
        <v>10.8</v>
      </c>
      <c r="AQ1372" s="44">
        <f>(打分卡!$D$16*AL1372+打分卡!$D$17*AM1372)/5</f>
        <v>2</v>
      </c>
      <c r="AR1372" s="47">
        <f t="shared" si="170"/>
        <v>24.8</v>
      </c>
      <c r="AS1372" s="43" t="str">
        <f t="shared" si="171"/>
        <v>未激活</v>
      </c>
      <c r="AT1372" s="43" t="str">
        <f t="shared" si="172"/>
        <v>连续下降-预警</v>
      </c>
      <c r="AU1372" s="43" t="str">
        <f t="shared" si="173"/>
        <v>唤醒：短信模板+首充补贴</v>
      </c>
    </row>
    <row r="1373" ht="15" customHeight="1" spans="1:47">
      <c r="A1373" s="20" t="s">
        <v>3536</v>
      </c>
      <c r="B1373" s="22" t="s">
        <v>3537</v>
      </c>
      <c r="C1373" s="22" t="s">
        <v>189</v>
      </c>
      <c r="D1373" s="22" t="s">
        <v>202</v>
      </c>
      <c r="E1373" s="22" t="s">
        <v>181</v>
      </c>
      <c r="F1373" s="20" t="s">
        <v>3538</v>
      </c>
      <c r="G1373" s="22">
        <v>36</v>
      </c>
      <c r="H1373" s="22" t="s">
        <v>3535</v>
      </c>
      <c r="I1373" s="22" t="s">
        <v>302</v>
      </c>
      <c r="J1373" s="36">
        <v>0</v>
      </c>
      <c r="K1373" s="36">
        <v>0</v>
      </c>
      <c r="L1373" s="36">
        <v>0</v>
      </c>
      <c r="M1373" s="36">
        <f t="shared" si="168"/>
        <v>0</v>
      </c>
      <c r="N1373" s="34">
        <f t="shared" si="174"/>
        <v>0</v>
      </c>
      <c r="O1373" s="35">
        <f>SUM($M$2:M1373)</f>
        <v>190743600</v>
      </c>
      <c r="P1373" s="34">
        <f t="shared" si="175"/>
        <v>1</v>
      </c>
      <c r="Q1373" s="39">
        <v>0</v>
      </c>
      <c r="R1373" s="22">
        <v>0</v>
      </c>
      <c r="S1373" s="22">
        <v>0</v>
      </c>
      <c r="T1373" s="22">
        <v>0</v>
      </c>
      <c r="U1373" s="39">
        <v>3.8</v>
      </c>
      <c r="V1373" s="22">
        <v>0</v>
      </c>
      <c r="W1373" s="22">
        <v>1</v>
      </c>
      <c r="X1373" s="40">
        <v>22</v>
      </c>
      <c r="Y1373" s="22">
        <v>0</v>
      </c>
      <c r="Z1373" s="22">
        <v>0</v>
      </c>
      <c r="AA1373" s="22" t="s">
        <v>212</v>
      </c>
      <c r="AB1373" s="22" t="s">
        <v>220</v>
      </c>
      <c r="AC1373" s="42">
        <f>IFERROR(LOOKUP(M1373,打分卡!$F$7:$J$7,打分卡!$K$7:$O$7),1)</f>
        <v>1</v>
      </c>
      <c r="AD1373" s="42">
        <f>IFERROR(LOOKUP(S1373,打分卡!$F$8:$J$8,打分卡!$K$8:$O$8),1)</f>
        <v>1</v>
      </c>
      <c r="AE1373" s="42">
        <f>IFERROR(LOOKUP(T1373,打分卡!$F$9:$I$9,打分卡!$K$9:$N$9),1)</f>
        <v>1</v>
      </c>
      <c r="AF1373" s="42">
        <f>IFERROR(LOOKUP(Q1373,打分卡!$F$10:$J$10,打分卡!$K$10:$O$10),1)</f>
        <v>1</v>
      </c>
      <c r="AG1373" s="42">
        <f>IFERROR(LOOKUP(R1373,打分卡!$F$11:$J$11,打分卡!$K$11:$O$11),1)</f>
        <v>1</v>
      </c>
      <c r="AH1373" s="42">
        <f>IFERROR(LOOKUP(U1373,打分卡!$F$12:$J$12,打分卡!$K$12:$O$12),1)</f>
        <v>2</v>
      </c>
      <c r="AI1373" s="42">
        <f>IFERROR(LOOKUP(X1373,打分卡!$F$13:$J$13,打分卡!$K$13:$O$13),1)</f>
        <v>2</v>
      </c>
      <c r="AJ1373" s="42">
        <f>IFERROR(LOOKUP(Y1373,打分卡!$F$14:$J$14,打分卡!$K$14:$O$14),1)</f>
        <v>1</v>
      </c>
      <c r="AK1373" s="42">
        <f>IFERROR(LOOKUP(W1373,打分卡!$F$15:$J$15,打分卡!$K$15:$O$15),1)</f>
        <v>2</v>
      </c>
      <c r="AL1373" s="45">
        <f t="shared" si="169"/>
        <v>1</v>
      </c>
      <c r="AM1373" s="42">
        <f>IFERROR(LOOKUP(Z1373,打分卡!$F$17:$H$17,打分卡!$K$17:$M$17),1)</f>
        <v>1</v>
      </c>
      <c r="AN1373" s="46">
        <f>(打分卡!$D$7*AC1373+打分卡!$D$8*AD1373+打分卡!$D$9*AE1373)/5</f>
        <v>8</v>
      </c>
      <c r="AO1373" s="46">
        <f>(打分卡!$D$10*AF1373+打分卡!$D$11*AG1373)/5</f>
        <v>4</v>
      </c>
      <c r="AP1373" s="46">
        <f>(打分卡!$D$12*AH1373+打分卡!$D$13*AI1373+打分卡!$D$14*AJ1373+打分卡!$D$15*AK1373)/5</f>
        <v>10.8</v>
      </c>
      <c r="AQ1373" s="46">
        <f>(打分卡!$D$16*AL1373+打分卡!$D$17*AM1373)/5</f>
        <v>2</v>
      </c>
      <c r="AR1373" s="48">
        <f t="shared" si="170"/>
        <v>24.8</v>
      </c>
      <c r="AS1373" s="45" t="str">
        <f t="shared" si="171"/>
        <v>未激活</v>
      </c>
      <c r="AT1373" s="45" t="str">
        <f t="shared" si="172"/>
        <v>连续下降-预警</v>
      </c>
      <c r="AU1373" s="45" t="str">
        <f t="shared" si="173"/>
        <v>唤醒：短信模板+首充补贴</v>
      </c>
    </row>
    <row r="1374" ht="15" customHeight="1" spans="1:47">
      <c r="A1374" s="30" t="s">
        <v>3539</v>
      </c>
      <c r="B1374" s="31" t="s">
        <v>3540</v>
      </c>
      <c r="C1374" s="31" t="s">
        <v>234</v>
      </c>
      <c r="D1374" s="31" t="s">
        <v>227</v>
      </c>
      <c r="E1374" s="31" t="s">
        <v>181</v>
      </c>
      <c r="F1374" s="30" t="s">
        <v>3541</v>
      </c>
      <c r="G1374" s="31">
        <v>36</v>
      </c>
      <c r="H1374" s="31" t="s">
        <v>3535</v>
      </c>
      <c r="I1374" s="31" t="s">
        <v>302</v>
      </c>
      <c r="J1374" s="33">
        <v>0</v>
      </c>
      <c r="K1374" s="33">
        <v>0</v>
      </c>
      <c r="L1374" s="33">
        <v>0</v>
      </c>
      <c r="M1374" s="33">
        <f t="shared" si="168"/>
        <v>0</v>
      </c>
      <c r="N1374" s="34">
        <f t="shared" si="174"/>
        <v>0</v>
      </c>
      <c r="O1374" s="35">
        <f>SUM($M$2:M1374)</f>
        <v>190743600</v>
      </c>
      <c r="P1374" s="34">
        <f t="shared" si="175"/>
        <v>1</v>
      </c>
      <c r="Q1374" s="37">
        <v>0</v>
      </c>
      <c r="R1374" s="31">
        <v>0</v>
      </c>
      <c r="S1374" s="31">
        <v>0</v>
      </c>
      <c r="T1374" s="31">
        <v>0</v>
      </c>
      <c r="U1374" s="37">
        <v>1.9</v>
      </c>
      <c r="V1374" s="31">
        <v>15</v>
      </c>
      <c r="W1374" s="31">
        <v>0</v>
      </c>
      <c r="X1374" s="38">
        <v>13</v>
      </c>
      <c r="Y1374" s="31">
        <v>1</v>
      </c>
      <c r="Z1374" s="31">
        <v>0</v>
      </c>
      <c r="AA1374" s="31" t="s">
        <v>212</v>
      </c>
      <c r="AB1374" s="31" t="s">
        <v>220</v>
      </c>
      <c r="AC1374" s="41">
        <f>IFERROR(LOOKUP(M1374,打分卡!$F$7:$J$7,打分卡!$K$7:$O$7),1)</f>
        <v>1</v>
      </c>
      <c r="AD1374" s="41">
        <f>IFERROR(LOOKUP(S1374,打分卡!$F$8:$J$8,打分卡!$K$8:$O$8),1)</f>
        <v>1</v>
      </c>
      <c r="AE1374" s="41">
        <f>IFERROR(LOOKUP(T1374,打分卡!$F$9:$I$9,打分卡!$K$9:$N$9),1)</f>
        <v>1</v>
      </c>
      <c r="AF1374" s="41">
        <f>IFERROR(LOOKUP(Q1374,打分卡!$F$10:$J$10,打分卡!$K$10:$O$10),1)</f>
        <v>1</v>
      </c>
      <c r="AG1374" s="41">
        <f>IFERROR(LOOKUP(R1374,打分卡!$F$11:$J$11,打分卡!$K$11:$O$11),1)</f>
        <v>1</v>
      </c>
      <c r="AH1374" s="41">
        <f>IFERROR(LOOKUP(U1374,打分卡!$F$12:$J$12,打分卡!$K$12:$O$12),1)</f>
        <v>1</v>
      </c>
      <c r="AI1374" s="41">
        <f>IFERROR(LOOKUP(X1374,打分卡!$F$13:$J$13,打分卡!$K$13:$O$13),1)</f>
        <v>1</v>
      </c>
      <c r="AJ1374" s="41">
        <f>IFERROR(LOOKUP(Y1374,打分卡!$F$14:$J$14,打分卡!$K$14:$O$14),1)</f>
        <v>2</v>
      </c>
      <c r="AK1374" s="41">
        <f>IFERROR(LOOKUP(W1374,打分卡!$F$15:$J$15,打分卡!$K$15:$O$15),1)</f>
        <v>1</v>
      </c>
      <c r="AL1374" s="43">
        <f t="shared" si="169"/>
        <v>1</v>
      </c>
      <c r="AM1374" s="41">
        <f>IFERROR(LOOKUP(Z1374,打分卡!$F$17:$H$17,打分卡!$K$17:$M$17),1)</f>
        <v>1</v>
      </c>
      <c r="AN1374" s="44">
        <f>(打分卡!$D$7*AC1374+打分卡!$D$8*AD1374+打分卡!$D$9*AE1374)/5</f>
        <v>8</v>
      </c>
      <c r="AO1374" s="44">
        <f>(打分卡!$D$10*AF1374+打分卡!$D$11*AG1374)/5</f>
        <v>4</v>
      </c>
      <c r="AP1374" s="44">
        <f>(打分卡!$D$12*AH1374+打分卡!$D$13*AI1374+打分卡!$D$14*AJ1374+打分卡!$D$15*AK1374)/5</f>
        <v>7.2</v>
      </c>
      <c r="AQ1374" s="44">
        <f>(打分卡!$D$16*AL1374+打分卡!$D$17*AM1374)/5</f>
        <v>2</v>
      </c>
      <c r="AR1374" s="47">
        <f t="shared" si="170"/>
        <v>21.2</v>
      </c>
      <c r="AS1374" s="43" t="str">
        <f t="shared" si="171"/>
        <v>未激活</v>
      </c>
      <c r="AT1374" s="43" t="str">
        <f t="shared" si="172"/>
        <v>连续下降-预警</v>
      </c>
      <c r="AU1374" s="43" t="str">
        <f t="shared" si="173"/>
        <v>唤醒：短信模板+首充补贴</v>
      </c>
    </row>
    <row r="1375" ht="15" customHeight="1" spans="1:47">
      <c r="A1375" s="20" t="s">
        <v>3542</v>
      </c>
      <c r="B1375" s="22" t="s">
        <v>3543</v>
      </c>
      <c r="C1375" s="22" t="s">
        <v>189</v>
      </c>
      <c r="D1375" s="22" t="s">
        <v>235</v>
      </c>
      <c r="E1375" s="22" t="s">
        <v>181</v>
      </c>
      <c r="F1375" s="20" t="s">
        <v>3544</v>
      </c>
      <c r="G1375" s="22">
        <v>29</v>
      </c>
      <c r="H1375" s="22" t="s">
        <v>3535</v>
      </c>
      <c r="I1375" s="22" t="s">
        <v>302</v>
      </c>
      <c r="J1375" s="36">
        <v>0</v>
      </c>
      <c r="K1375" s="36">
        <v>0</v>
      </c>
      <c r="L1375" s="36">
        <v>0</v>
      </c>
      <c r="M1375" s="36">
        <f t="shared" si="168"/>
        <v>0</v>
      </c>
      <c r="N1375" s="34">
        <f t="shared" si="174"/>
        <v>0</v>
      </c>
      <c r="O1375" s="35">
        <f>SUM($M$2:M1375)</f>
        <v>190743600</v>
      </c>
      <c r="P1375" s="34">
        <f t="shared" si="175"/>
        <v>1</v>
      </c>
      <c r="Q1375" s="39">
        <v>0</v>
      </c>
      <c r="R1375" s="22">
        <v>0</v>
      </c>
      <c r="S1375" s="22">
        <v>0</v>
      </c>
      <c r="T1375" s="22">
        <v>0</v>
      </c>
      <c r="U1375" s="39">
        <v>1.2</v>
      </c>
      <c r="V1375" s="22">
        <v>5</v>
      </c>
      <c r="W1375" s="22">
        <v>2</v>
      </c>
      <c r="X1375" s="40">
        <v>18</v>
      </c>
      <c r="Y1375" s="22">
        <v>1</v>
      </c>
      <c r="Z1375" s="22">
        <v>0</v>
      </c>
      <c r="AA1375" s="22" t="s">
        <v>212</v>
      </c>
      <c r="AB1375" s="22" t="s">
        <v>220</v>
      </c>
      <c r="AC1375" s="42">
        <f>IFERROR(LOOKUP(M1375,打分卡!$F$7:$J$7,打分卡!$K$7:$O$7),1)</f>
        <v>1</v>
      </c>
      <c r="AD1375" s="42">
        <f>IFERROR(LOOKUP(S1375,打分卡!$F$8:$J$8,打分卡!$K$8:$O$8),1)</f>
        <v>1</v>
      </c>
      <c r="AE1375" s="42">
        <f>IFERROR(LOOKUP(T1375,打分卡!$F$9:$I$9,打分卡!$K$9:$N$9),1)</f>
        <v>1</v>
      </c>
      <c r="AF1375" s="42">
        <f>IFERROR(LOOKUP(Q1375,打分卡!$F$10:$J$10,打分卡!$K$10:$O$10),1)</f>
        <v>1</v>
      </c>
      <c r="AG1375" s="42">
        <f>IFERROR(LOOKUP(R1375,打分卡!$F$11:$J$11,打分卡!$K$11:$O$11),1)</f>
        <v>1</v>
      </c>
      <c r="AH1375" s="42">
        <f>IFERROR(LOOKUP(U1375,打分卡!$F$12:$J$12,打分卡!$K$12:$O$12),1)</f>
        <v>1</v>
      </c>
      <c r="AI1375" s="42">
        <f>IFERROR(LOOKUP(X1375,打分卡!$F$13:$J$13,打分卡!$K$13:$O$13),1)</f>
        <v>2</v>
      </c>
      <c r="AJ1375" s="42">
        <f>IFERROR(LOOKUP(Y1375,打分卡!$F$14:$J$14,打分卡!$K$14:$O$14),1)</f>
        <v>2</v>
      </c>
      <c r="AK1375" s="42">
        <f>IFERROR(LOOKUP(W1375,打分卡!$F$15:$J$15,打分卡!$K$15:$O$15),1)</f>
        <v>2</v>
      </c>
      <c r="AL1375" s="45">
        <f t="shared" si="169"/>
        <v>1</v>
      </c>
      <c r="AM1375" s="42">
        <f>IFERROR(LOOKUP(Z1375,打分卡!$F$17:$H$17,打分卡!$K$17:$M$17),1)</f>
        <v>1</v>
      </c>
      <c r="AN1375" s="46">
        <f>(打分卡!$D$7*AC1375+打分卡!$D$8*AD1375+打分卡!$D$9*AE1375)/5</f>
        <v>8</v>
      </c>
      <c r="AO1375" s="46">
        <f>(打分卡!$D$10*AF1375+打分卡!$D$11*AG1375)/5</f>
        <v>4</v>
      </c>
      <c r="AP1375" s="46">
        <f>(打分卡!$D$12*AH1375+打分卡!$D$13*AI1375+打分卡!$D$14*AJ1375+打分卡!$D$15*AK1375)/5</f>
        <v>9.6</v>
      </c>
      <c r="AQ1375" s="46">
        <f>(打分卡!$D$16*AL1375+打分卡!$D$17*AM1375)/5</f>
        <v>2</v>
      </c>
      <c r="AR1375" s="48">
        <f t="shared" si="170"/>
        <v>23.6</v>
      </c>
      <c r="AS1375" s="45" t="str">
        <f t="shared" si="171"/>
        <v>未激活</v>
      </c>
      <c r="AT1375" s="45" t="str">
        <f t="shared" si="172"/>
        <v>连续下降-预警</v>
      </c>
      <c r="AU1375" s="45" t="str">
        <f t="shared" si="173"/>
        <v>唤醒：短信模板+首充补贴</v>
      </c>
    </row>
    <row r="1376" ht="15" customHeight="1" spans="1:47">
      <c r="A1376" s="30" t="s">
        <v>3545</v>
      </c>
      <c r="B1376" s="31" t="s">
        <v>3546</v>
      </c>
      <c r="C1376" s="31" t="s">
        <v>218</v>
      </c>
      <c r="D1376" s="31" t="s">
        <v>227</v>
      </c>
      <c r="E1376" s="31" t="s">
        <v>181</v>
      </c>
      <c r="F1376" s="30" t="s">
        <v>578</v>
      </c>
      <c r="G1376" s="31">
        <v>30</v>
      </c>
      <c r="H1376" s="31" t="s">
        <v>3535</v>
      </c>
      <c r="I1376" s="31" t="s">
        <v>302</v>
      </c>
      <c r="J1376" s="33">
        <v>0</v>
      </c>
      <c r="K1376" s="33">
        <v>0</v>
      </c>
      <c r="L1376" s="33">
        <v>0</v>
      </c>
      <c r="M1376" s="33">
        <f t="shared" si="168"/>
        <v>0</v>
      </c>
      <c r="N1376" s="34">
        <f t="shared" si="174"/>
        <v>0</v>
      </c>
      <c r="O1376" s="35">
        <f>SUM($M$2:M1376)</f>
        <v>190743600</v>
      </c>
      <c r="P1376" s="34">
        <f t="shared" si="175"/>
        <v>1</v>
      </c>
      <c r="Q1376" s="37">
        <v>0</v>
      </c>
      <c r="R1376" s="31">
        <v>0</v>
      </c>
      <c r="S1376" s="31">
        <v>0</v>
      </c>
      <c r="T1376" s="31">
        <v>0</v>
      </c>
      <c r="U1376" s="37">
        <v>3.9</v>
      </c>
      <c r="V1376" s="31">
        <v>5</v>
      </c>
      <c r="W1376" s="31">
        <v>1</v>
      </c>
      <c r="X1376" s="38">
        <v>32</v>
      </c>
      <c r="Y1376" s="31">
        <v>1</v>
      </c>
      <c r="Z1376" s="31">
        <v>0</v>
      </c>
      <c r="AA1376" s="31" t="s">
        <v>212</v>
      </c>
      <c r="AB1376" s="31" t="s">
        <v>220</v>
      </c>
      <c r="AC1376" s="41">
        <f>IFERROR(LOOKUP(M1376,打分卡!$F$7:$J$7,打分卡!$K$7:$O$7),1)</f>
        <v>1</v>
      </c>
      <c r="AD1376" s="41">
        <f>IFERROR(LOOKUP(S1376,打分卡!$F$8:$J$8,打分卡!$K$8:$O$8),1)</f>
        <v>1</v>
      </c>
      <c r="AE1376" s="41">
        <f>IFERROR(LOOKUP(T1376,打分卡!$F$9:$I$9,打分卡!$K$9:$N$9),1)</f>
        <v>1</v>
      </c>
      <c r="AF1376" s="41">
        <f>IFERROR(LOOKUP(Q1376,打分卡!$F$10:$J$10,打分卡!$K$10:$O$10),1)</f>
        <v>1</v>
      </c>
      <c r="AG1376" s="41">
        <f>IFERROR(LOOKUP(R1376,打分卡!$F$11:$J$11,打分卡!$K$11:$O$11),1)</f>
        <v>1</v>
      </c>
      <c r="AH1376" s="41">
        <f>IFERROR(LOOKUP(U1376,打分卡!$F$12:$J$12,打分卡!$K$12:$O$12),1)</f>
        <v>2</v>
      </c>
      <c r="AI1376" s="41">
        <f>IFERROR(LOOKUP(X1376,打分卡!$F$13:$J$13,打分卡!$K$13:$O$13),1)</f>
        <v>2</v>
      </c>
      <c r="AJ1376" s="41">
        <f>IFERROR(LOOKUP(Y1376,打分卡!$F$14:$J$14,打分卡!$K$14:$O$14),1)</f>
        <v>2</v>
      </c>
      <c r="AK1376" s="41">
        <f>IFERROR(LOOKUP(W1376,打分卡!$F$15:$J$15,打分卡!$K$15:$O$15),1)</f>
        <v>2</v>
      </c>
      <c r="AL1376" s="43">
        <f t="shared" si="169"/>
        <v>1</v>
      </c>
      <c r="AM1376" s="41">
        <f>IFERROR(LOOKUP(Z1376,打分卡!$F$17:$H$17,打分卡!$K$17:$M$17),1)</f>
        <v>1</v>
      </c>
      <c r="AN1376" s="44">
        <f>(打分卡!$D$7*AC1376+打分卡!$D$8*AD1376+打分卡!$D$9*AE1376)/5</f>
        <v>8</v>
      </c>
      <c r="AO1376" s="44">
        <f>(打分卡!$D$10*AF1376+打分卡!$D$11*AG1376)/5</f>
        <v>4</v>
      </c>
      <c r="AP1376" s="44">
        <f>(打分卡!$D$12*AH1376+打分卡!$D$13*AI1376+打分卡!$D$14*AJ1376+打分卡!$D$15*AK1376)/5</f>
        <v>12</v>
      </c>
      <c r="AQ1376" s="44">
        <f>(打分卡!$D$16*AL1376+打分卡!$D$17*AM1376)/5</f>
        <v>2</v>
      </c>
      <c r="AR1376" s="47">
        <f t="shared" si="170"/>
        <v>26</v>
      </c>
      <c r="AS1376" s="43" t="str">
        <f t="shared" si="171"/>
        <v>未激活</v>
      </c>
      <c r="AT1376" s="43" t="str">
        <f t="shared" si="172"/>
        <v>连续下降-预警</v>
      </c>
      <c r="AU1376" s="43" t="str">
        <f t="shared" si="173"/>
        <v>唤醒：短信模板+首充补贴</v>
      </c>
    </row>
    <row r="1377" ht="15" customHeight="1" spans="1:47">
      <c r="A1377" s="20" t="s">
        <v>3547</v>
      </c>
      <c r="B1377" s="22" t="s">
        <v>3548</v>
      </c>
      <c r="C1377" s="22" t="s">
        <v>223</v>
      </c>
      <c r="D1377" s="22" t="s">
        <v>202</v>
      </c>
      <c r="E1377" s="22" t="s">
        <v>181</v>
      </c>
      <c r="F1377" s="20" t="s">
        <v>982</v>
      </c>
      <c r="G1377" s="22">
        <v>22</v>
      </c>
      <c r="H1377" s="22" t="s">
        <v>3535</v>
      </c>
      <c r="I1377" s="22" t="s">
        <v>302</v>
      </c>
      <c r="J1377" s="36">
        <v>0</v>
      </c>
      <c r="K1377" s="36">
        <v>0</v>
      </c>
      <c r="L1377" s="36">
        <v>0</v>
      </c>
      <c r="M1377" s="36">
        <f t="shared" si="168"/>
        <v>0</v>
      </c>
      <c r="N1377" s="34">
        <f t="shared" si="174"/>
        <v>0</v>
      </c>
      <c r="O1377" s="35">
        <f>SUM($M$2:M1377)</f>
        <v>190743600</v>
      </c>
      <c r="P1377" s="34">
        <f t="shared" si="175"/>
        <v>1</v>
      </c>
      <c r="Q1377" s="39">
        <v>0</v>
      </c>
      <c r="R1377" s="22">
        <v>0</v>
      </c>
      <c r="S1377" s="22">
        <v>0</v>
      </c>
      <c r="T1377" s="22">
        <v>0</v>
      </c>
      <c r="U1377" s="39">
        <v>8.1</v>
      </c>
      <c r="V1377" s="22">
        <v>15</v>
      </c>
      <c r="W1377" s="22">
        <v>0</v>
      </c>
      <c r="X1377" s="40">
        <v>17</v>
      </c>
      <c r="Y1377" s="22">
        <v>0</v>
      </c>
      <c r="Z1377" s="22">
        <v>0</v>
      </c>
      <c r="AA1377" s="22" t="s">
        <v>212</v>
      </c>
      <c r="AB1377" s="22" t="s">
        <v>220</v>
      </c>
      <c r="AC1377" s="42">
        <f>IFERROR(LOOKUP(M1377,打分卡!$F$7:$J$7,打分卡!$K$7:$O$7),1)</f>
        <v>1</v>
      </c>
      <c r="AD1377" s="42">
        <f>IFERROR(LOOKUP(S1377,打分卡!$F$8:$J$8,打分卡!$K$8:$O$8),1)</f>
        <v>1</v>
      </c>
      <c r="AE1377" s="42">
        <f>IFERROR(LOOKUP(T1377,打分卡!$F$9:$I$9,打分卡!$K$9:$N$9),1)</f>
        <v>1</v>
      </c>
      <c r="AF1377" s="42">
        <f>IFERROR(LOOKUP(Q1377,打分卡!$F$10:$J$10,打分卡!$K$10:$O$10),1)</f>
        <v>1</v>
      </c>
      <c r="AG1377" s="42">
        <f>IFERROR(LOOKUP(R1377,打分卡!$F$11:$J$11,打分卡!$K$11:$O$11),1)</f>
        <v>1</v>
      </c>
      <c r="AH1377" s="42">
        <f>IFERROR(LOOKUP(U1377,打分卡!$F$12:$J$12,打分卡!$K$12:$O$12),1)</f>
        <v>2</v>
      </c>
      <c r="AI1377" s="42">
        <f>IFERROR(LOOKUP(X1377,打分卡!$F$13:$J$13,打分卡!$K$13:$O$13),1)</f>
        <v>1</v>
      </c>
      <c r="AJ1377" s="42">
        <f>IFERROR(LOOKUP(Y1377,打分卡!$F$14:$J$14,打分卡!$K$14:$O$14),1)</f>
        <v>1</v>
      </c>
      <c r="AK1377" s="42">
        <f>IFERROR(LOOKUP(W1377,打分卡!$F$15:$J$15,打分卡!$K$15:$O$15),1)</f>
        <v>1</v>
      </c>
      <c r="AL1377" s="45">
        <f t="shared" si="169"/>
        <v>1</v>
      </c>
      <c r="AM1377" s="42">
        <f>IFERROR(LOOKUP(Z1377,打分卡!$F$17:$H$17,打分卡!$K$17:$M$17),1)</f>
        <v>1</v>
      </c>
      <c r="AN1377" s="46">
        <f>(打分卡!$D$7*AC1377+打分卡!$D$8*AD1377+打分卡!$D$9*AE1377)/5</f>
        <v>8</v>
      </c>
      <c r="AO1377" s="46">
        <f>(打分卡!$D$10*AF1377+打分卡!$D$11*AG1377)/5</f>
        <v>4</v>
      </c>
      <c r="AP1377" s="46">
        <f>(打分卡!$D$12*AH1377+打分卡!$D$13*AI1377+打分卡!$D$14*AJ1377+打分卡!$D$15*AK1377)/5</f>
        <v>8.4</v>
      </c>
      <c r="AQ1377" s="46">
        <f>(打分卡!$D$16*AL1377+打分卡!$D$17*AM1377)/5</f>
        <v>2</v>
      </c>
      <c r="AR1377" s="48">
        <f t="shared" si="170"/>
        <v>22.4</v>
      </c>
      <c r="AS1377" s="45" t="str">
        <f t="shared" si="171"/>
        <v>未激活</v>
      </c>
      <c r="AT1377" s="45" t="str">
        <f t="shared" si="172"/>
        <v>连续下降-预警</v>
      </c>
      <c r="AU1377" s="45" t="str">
        <f t="shared" si="173"/>
        <v>唤醒：短信模板+首充补贴</v>
      </c>
    </row>
    <row r="1378" ht="15" customHeight="1" spans="1:47">
      <c r="A1378" s="30" t="s">
        <v>3549</v>
      </c>
      <c r="B1378" s="31" t="s">
        <v>3550</v>
      </c>
      <c r="C1378" s="31" t="s">
        <v>239</v>
      </c>
      <c r="D1378" s="31" t="s">
        <v>190</v>
      </c>
      <c r="E1378" s="31" t="s">
        <v>181</v>
      </c>
      <c r="F1378" s="30" t="s">
        <v>3551</v>
      </c>
      <c r="G1378" s="31">
        <v>31</v>
      </c>
      <c r="H1378" s="31" t="s">
        <v>3535</v>
      </c>
      <c r="I1378" s="31" t="s">
        <v>302</v>
      </c>
      <c r="J1378" s="33">
        <v>0</v>
      </c>
      <c r="K1378" s="33">
        <v>0</v>
      </c>
      <c r="L1378" s="33">
        <v>0</v>
      </c>
      <c r="M1378" s="33">
        <f t="shared" si="168"/>
        <v>0</v>
      </c>
      <c r="N1378" s="34">
        <f t="shared" si="174"/>
        <v>0</v>
      </c>
      <c r="O1378" s="35">
        <f>SUM($M$2:M1378)</f>
        <v>190743600</v>
      </c>
      <c r="P1378" s="34">
        <f t="shared" si="175"/>
        <v>1</v>
      </c>
      <c r="Q1378" s="37">
        <v>0</v>
      </c>
      <c r="R1378" s="31">
        <v>0</v>
      </c>
      <c r="S1378" s="31">
        <v>0</v>
      </c>
      <c r="T1378" s="31">
        <v>0</v>
      </c>
      <c r="U1378" s="37">
        <v>2</v>
      </c>
      <c r="V1378" s="31">
        <v>15</v>
      </c>
      <c r="W1378" s="31">
        <v>2</v>
      </c>
      <c r="X1378" s="38">
        <v>14</v>
      </c>
      <c r="Y1378" s="31">
        <v>1</v>
      </c>
      <c r="Z1378" s="31">
        <v>0</v>
      </c>
      <c r="AA1378" s="31" t="s">
        <v>212</v>
      </c>
      <c r="AB1378" s="31" t="s">
        <v>220</v>
      </c>
      <c r="AC1378" s="41">
        <f>IFERROR(LOOKUP(M1378,打分卡!$F$7:$J$7,打分卡!$K$7:$O$7),1)</f>
        <v>1</v>
      </c>
      <c r="AD1378" s="41">
        <f>IFERROR(LOOKUP(S1378,打分卡!$F$8:$J$8,打分卡!$K$8:$O$8),1)</f>
        <v>1</v>
      </c>
      <c r="AE1378" s="41">
        <f>IFERROR(LOOKUP(T1378,打分卡!$F$9:$I$9,打分卡!$K$9:$N$9),1)</f>
        <v>1</v>
      </c>
      <c r="AF1378" s="41">
        <f>IFERROR(LOOKUP(Q1378,打分卡!$F$10:$J$10,打分卡!$K$10:$O$10),1)</f>
        <v>1</v>
      </c>
      <c r="AG1378" s="41">
        <f>IFERROR(LOOKUP(R1378,打分卡!$F$11:$J$11,打分卡!$K$11:$O$11),1)</f>
        <v>1</v>
      </c>
      <c r="AH1378" s="41">
        <f>IFERROR(LOOKUP(U1378,打分卡!$F$12:$J$12,打分卡!$K$12:$O$12),1)</f>
        <v>1</v>
      </c>
      <c r="AI1378" s="41">
        <f>IFERROR(LOOKUP(X1378,打分卡!$F$13:$J$13,打分卡!$K$13:$O$13),1)</f>
        <v>1</v>
      </c>
      <c r="AJ1378" s="41">
        <f>IFERROR(LOOKUP(Y1378,打分卡!$F$14:$J$14,打分卡!$K$14:$O$14),1)</f>
        <v>2</v>
      </c>
      <c r="AK1378" s="41">
        <f>IFERROR(LOOKUP(W1378,打分卡!$F$15:$J$15,打分卡!$K$15:$O$15),1)</f>
        <v>2</v>
      </c>
      <c r="AL1378" s="43">
        <f t="shared" si="169"/>
        <v>1</v>
      </c>
      <c r="AM1378" s="41">
        <f>IFERROR(LOOKUP(Z1378,打分卡!$F$17:$H$17,打分卡!$K$17:$M$17),1)</f>
        <v>1</v>
      </c>
      <c r="AN1378" s="44">
        <f>(打分卡!$D$7*AC1378+打分卡!$D$8*AD1378+打分卡!$D$9*AE1378)/5</f>
        <v>8</v>
      </c>
      <c r="AO1378" s="44">
        <f>(打分卡!$D$10*AF1378+打分卡!$D$11*AG1378)/5</f>
        <v>4</v>
      </c>
      <c r="AP1378" s="44">
        <f>(打分卡!$D$12*AH1378+打分卡!$D$13*AI1378+打分卡!$D$14*AJ1378+打分卡!$D$15*AK1378)/5</f>
        <v>8</v>
      </c>
      <c r="AQ1378" s="44">
        <f>(打分卡!$D$16*AL1378+打分卡!$D$17*AM1378)/5</f>
        <v>2</v>
      </c>
      <c r="AR1378" s="47">
        <f t="shared" si="170"/>
        <v>22</v>
      </c>
      <c r="AS1378" s="43" t="str">
        <f t="shared" si="171"/>
        <v>未激活</v>
      </c>
      <c r="AT1378" s="43" t="str">
        <f t="shared" si="172"/>
        <v>连续下降-预警</v>
      </c>
      <c r="AU1378" s="43" t="str">
        <f t="shared" si="173"/>
        <v>唤醒：短信模板+首充补贴</v>
      </c>
    </row>
    <row r="1379" ht="15" customHeight="1" spans="1:47">
      <c r="A1379" s="20" t="s">
        <v>3552</v>
      </c>
      <c r="B1379" s="22" t="s">
        <v>3553</v>
      </c>
      <c r="C1379" s="22" t="s">
        <v>218</v>
      </c>
      <c r="D1379" s="22" t="s">
        <v>190</v>
      </c>
      <c r="E1379" s="22" t="s">
        <v>197</v>
      </c>
      <c r="F1379" s="20" t="s">
        <v>720</v>
      </c>
      <c r="G1379" s="22">
        <v>20</v>
      </c>
      <c r="H1379" s="22" t="s">
        <v>3535</v>
      </c>
      <c r="I1379" s="22" t="s">
        <v>302</v>
      </c>
      <c r="J1379" s="36">
        <v>0</v>
      </c>
      <c r="K1379" s="36">
        <v>0</v>
      </c>
      <c r="L1379" s="36">
        <v>0</v>
      </c>
      <c r="M1379" s="36">
        <f t="shared" si="168"/>
        <v>0</v>
      </c>
      <c r="N1379" s="34">
        <f t="shared" si="174"/>
        <v>0</v>
      </c>
      <c r="O1379" s="35">
        <f>SUM($M$2:M1379)</f>
        <v>190743600</v>
      </c>
      <c r="P1379" s="34">
        <f t="shared" si="175"/>
        <v>1</v>
      </c>
      <c r="Q1379" s="39">
        <v>0</v>
      </c>
      <c r="R1379" s="22">
        <v>0</v>
      </c>
      <c r="S1379" s="22">
        <v>0</v>
      </c>
      <c r="T1379" s="22">
        <v>0</v>
      </c>
      <c r="U1379" s="39">
        <v>3.6</v>
      </c>
      <c r="V1379" s="22">
        <v>6</v>
      </c>
      <c r="W1379" s="22">
        <v>1</v>
      </c>
      <c r="X1379" s="40">
        <v>30</v>
      </c>
      <c r="Y1379" s="22">
        <v>0</v>
      </c>
      <c r="Z1379" s="22">
        <v>0</v>
      </c>
      <c r="AA1379" s="22" t="s">
        <v>212</v>
      </c>
      <c r="AB1379" s="22" t="s">
        <v>220</v>
      </c>
      <c r="AC1379" s="42">
        <f>IFERROR(LOOKUP(M1379,打分卡!$F$7:$J$7,打分卡!$K$7:$O$7),1)</f>
        <v>1</v>
      </c>
      <c r="AD1379" s="42">
        <f>IFERROR(LOOKUP(S1379,打分卡!$F$8:$J$8,打分卡!$K$8:$O$8),1)</f>
        <v>1</v>
      </c>
      <c r="AE1379" s="42">
        <f>IFERROR(LOOKUP(T1379,打分卡!$F$9:$I$9,打分卡!$K$9:$N$9),1)</f>
        <v>1</v>
      </c>
      <c r="AF1379" s="42">
        <f>IFERROR(LOOKUP(Q1379,打分卡!$F$10:$J$10,打分卡!$K$10:$O$10),1)</f>
        <v>1</v>
      </c>
      <c r="AG1379" s="42">
        <f>IFERROR(LOOKUP(R1379,打分卡!$F$11:$J$11,打分卡!$K$11:$O$11),1)</f>
        <v>1</v>
      </c>
      <c r="AH1379" s="42">
        <f>IFERROR(LOOKUP(U1379,打分卡!$F$12:$J$12,打分卡!$K$12:$O$12),1)</f>
        <v>2</v>
      </c>
      <c r="AI1379" s="42">
        <f>IFERROR(LOOKUP(X1379,打分卡!$F$13:$J$13,打分卡!$K$13:$O$13),1)</f>
        <v>2</v>
      </c>
      <c r="AJ1379" s="42">
        <f>IFERROR(LOOKUP(Y1379,打分卡!$F$14:$J$14,打分卡!$K$14:$O$14),1)</f>
        <v>1</v>
      </c>
      <c r="AK1379" s="42">
        <f>IFERROR(LOOKUP(W1379,打分卡!$F$15:$J$15,打分卡!$K$15:$O$15),1)</f>
        <v>2</v>
      </c>
      <c r="AL1379" s="45">
        <f t="shared" si="169"/>
        <v>1</v>
      </c>
      <c r="AM1379" s="42">
        <f>IFERROR(LOOKUP(Z1379,打分卡!$F$17:$H$17,打分卡!$K$17:$M$17),1)</f>
        <v>1</v>
      </c>
      <c r="AN1379" s="46">
        <f>(打分卡!$D$7*AC1379+打分卡!$D$8*AD1379+打分卡!$D$9*AE1379)/5</f>
        <v>8</v>
      </c>
      <c r="AO1379" s="46">
        <f>(打分卡!$D$10*AF1379+打分卡!$D$11*AG1379)/5</f>
        <v>4</v>
      </c>
      <c r="AP1379" s="46">
        <f>(打分卡!$D$12*AH1379+打分卡!$D$13*AI1379+打分卡!$D$14*AJ1379+打分卡!$D$15*AK1379)/5</f>
        <v>10.8</v>
      </c>
      <c r="AQ1379" s="46">
        <f>(打分卡!$D$16*AL1379+打分卡!$D$17*AM1379)/5</f>
        <v>2</v>
      </c>
      <c r="AR1379" s="48">
        <f t="shared" si="170"/>
        <v>24.8</v>
      </c>
      <c r="AS1379" s="45" t="str">
        <f t="shared" si="171"/>
        <v>未激活</v>
      </c>
      <c r="AT1379" s="45" t="str">
        <f t="shared" si="172"/>
        <v>连续下降-预警</v>
      </c>
      <c r="AU1379" s="45" t="str">
        <f t="shared" si="173"/>
        <v>唤醒：短信模板+首充补贴</v>
      </c>
    </row>
    <row r="1380" ht="15" customHeight="1" spans="1:47">
      <c r="A1380" s="30" t="s">
        <v>3554</v>
      </c>
      <c r="B1380" s="31" t="s">
        <v>3555</v>
      </c>
      <c r="C1380" s="31" t="s">
        <v>189</v>
      </c>
      <c r="D1380" s="31" t="s">
        <v>235</v>
      </c>
      <c r="E1380" s="31" t="s">
        <v>181</v>
      </c>
      <c r="F1380" s="30" t="s">
        <v>3556</v>
      </c>
      <c r="G1380" s="31">
        <v>21</v>
      </c>
      <c r="H1380" s="31" t="s">
        <v>3535</v>
      </c>
      <c r="I1380" s="31" t="s">
        <v>302</v>
      </c>
      <c r="J1380" s="33">
        <v>0</v>
      </c>
      <c r="K1380" s="33">
        <v>0</v>
      </c>
      <c r="L1380" s="33">
        <v>0</v>
      </c>
      <c r="M1380" s="33">
        <f t="shared" si="168"/>
        <v>0</v>
      </c>
      <c r="N1380" s="34">
        <f t="shared" si="174"/>
        <v>0</v>
      </c>
      <c r="O1380" s="35">
        <f>SUM($M$2:M1380)</f>
        <v>190743600</v>
      </c>
      <c r="P1380" s="34">
        <f t="shared" si="175"/>
        <v>1</v>
      </c>
      <c r="Q1380" s="37">
        <v>0</v>
      </c>
      <c r="R1380" s="31">
        <v>0</v>
      </c>
      <c r="S1380" s="31">
        <v>0</v>
      </c>
      <c r="T1380" s="31">
        <v>0</v>
      </c>
      <c r="U1380" s="37">
        <v>2.6</v>
      </c>
      <c r="V1380" s="31">
        <v>5</v>
      </c>
      <c r="W1380" s="31">
        <v>0</v>
      </c>
      <c r="X1380" s="38">
        <v>9</v>
      </c>
      <c r="Y1380" s="31">
        <v>1</v>
      </c>
      <c r="Z1380" s="31">
        <v>0</v>
      </c>
      <c r="AA1380" s="31" t="s">
        <v>212</v>
      </c>
      <c r="AB1380" s="31" t="s">
        <v>220</v>
      </c>
      <c r="AC1380" s="41">
        <f>IFERROR(LOOKUP(M1380,打分卡!$F$7:$J$7,打分卡!$K$7:$O$7),1)</f>
        <v>1</v>
      </c>
      <c r="AD1380" s="41">
        <f>IFERROR(LOOKUP(S1380,打分卡!$F$8:$J$8,打分卡!$K$8:$O$8),1)</f>
        <v>1</v>
      </c>
      <c r="AE1380" s="41">
        <f>IFERROR(LOOKUP(T1380,打分卡!$F$9:$I$9,打分卡!$K$9:$N$9),1)</f>
        <v>1</v>
      </c>
      <c r="AF1380" s="41">
        <f>IFERROR(LOOKUP(Q1380,打分卡!$F$10:$J$10,打分卡!$K$10:$O$10),1)</f>
        <v>1</v>
      </c>
      <c r="AG1380" s="41">
        <f>IFERROR(LOOKUP(R1380,打分卡!$F$11:$J$11,打分卡!$K$11:$O$11),1)</f>
        <v>1</v>
      </c>
      <c r="AH1380" s="41">
        <f>IFERROR(LOOKUP(U1380,打分卡!$F$12:$J$12,打分卡!$K$12:$O$12),1)</f>
        <v>1</v>
      </c>
      <c r="AI1380" s="41">
        <f>IFERROR(LOOKUP(X1380,打分卡!$F$13:$J$13,打分卡!$K$13:$O$13),1)</f>
        <v>1</v>
      </c>
      <c r="AJ1380" s="41">
        <f>IFERROR(LOOKUP(Y1380,打分卡!$F$14:$J$14,打分卡!$K$14:$O$14),1)</f>
        <v>2</v>
      </c>
      <c r="AK1380" s="41">
        <f>IFERROR(LOOKUP(W1380,打分卡!$F$15:$J$15,打分卡!$K$15:$O$15),1)</f>
        <v>1</v>
      </c>
      <c r="AL1380" s="43">
        <f t="shared" si="169"/>
        <v>1</v>
      </c>
      <c r="AM1380" s="41">
        <f>IFERROR(LOOKUP(Z1380,打分卡!$F$17:$H$17,打分卡!$K$17:$M$17),1)</f>
        <v>1</v>
      </c>
      <c r="AN1380" s="44">
        <f>(打分卡!$D$7*AC1380+打分卡!$D$8*AD1380+打分卡!$D$9*AE1380)/5</f>
        <v>8</v>
      </c>
      <c r="AO1380" s="44">
        <f>(打分卡!$D$10*AF1380+打分卡!$D$11*AG1380)/5</f>
        <v>4</v>
      </c>
      <c r="AP1380" s="44">
        <f>(打分卡!$D$12*AH1380+打分卡!$D$13*AI1380+打分卡!$D$14*AJ1380+打分卡!$D$15*AK1380)/5</f>
        <v>7.2</v>
      </c>
      <c r="AQ1380" s="44">
        <f>(打分卡!$D$16*AL1380+打分卡!$D$17*AM1380)/5</f>
        <v>2</v>
      </c>
      <c r="AR1380" s="47">
        <f t="shared" si="170"/>
        <v>21.2</v>
      </c>
      <c r="AS1380" s="43" t="str">
        <f t="shared" si="171"/>
        <v>未激活</v>
      </c>
      <c r="AT1380" s="43" t="str">
        <f t="shared" si="172"/>
        <v>连续下降-预警</v>
      </c>
      <c r="AU1380" s="43" t="str">
        <f t="shared" si="173"/>
        <v>唤醒：短信模板+首充补贴</v>
      </c>
    </row>
    <row r="1381" ht="15" customHeight="1" spans="1:47">
      <c r="A1381" s="20" t="s">
        <v>3557</v>
      </c>
      <c r="B1381" s="22" t="s">
        <v>3558</v>
      </c>
      <c r="C1381" s="22" t="s">
        <v>189</v>
      </c>
      <c r="D1381" s="22" t="s">
        <v>196</v>
      </c>
      <c r="E1381" s="22" t="s">
        <v>197</v>
      </c>
      <c r="F1381" s="20" t="s">
        <v>1776</v>
      </c>
      <c r="G1381" s="22">
        <v>20</v>
      </c>
      <c r="H1381" s="22" t="s">
        <v>3535</v>
      </c>
      <c r="I1381" s="22" t="s">
        <v>302</v>
      </c>
      <c r="J1381" s="36">
        <v>0</v>
      </c>
      <c r="K1381" s="36">
        <v>0</v>
      </c>
      <c r="L1381" s="36">
        <v>0</v>
      </c>
      <c r="M1381" s="36">
        <f t="shared" si="168"/>
        <v>0</v>
      </c>
      <c r="N1381" s="34">
        <f t="shared" si="174"/>
        <v>0</v>
      </c>
      <c r="O1381" s="35">
        <f>SUM($M$2:M1381)</f>
        <v>190743600</v>
      </c>
      <c r="P1381" s="34">
        <f t="shared" si="175"/>
        <v>1</v>
      </c>
      <c r="Q1381" s="39">
        <v>0</v>
      </c>
      <c r="R1381" s="22">
        <v>0</v>
      </c>
      <c r="S1381" s="22">
        <v>0</v>
      </c>
      <c r="T1381" s="22">
        <v>0</v>
      </c>
      <c r="U1381" s="39">
        <v>28.1</v>
      </c>
      <c r="V1381" s="22">
        <v>4</v>
      </c>
      <c r="W1381" s="22">
        <v>1</v>
      </c>
      <c r="X1381" s="40">
        <v>28</v>
      </c>
      <c r="Y1381" s="22">
        <v>1</v>
      </c>
      <c r="Z1381" s="22">
        <v>0</v>
      </c>
      <c r="AA1381" s="22" t="s">
        <v>212</v>
      </c>
      <c r="AB1381" s="22" t="s">
        <v>220</v>
      </c>
      <c r="AC1381" s="42">
        <f>IFERROR(LOOKUP(M1381,打分卡!$F$7:$J$7,打分卡!$K$7:$O$7),1)</f>
        <v>1</v>
      </c>
      <c r="AD1381" s="42">
        <f>IFERROR(LOOKUP(S1381,打分卡!$F$8:$J$8,打分卡!$K$8:$O$8),1)</f>
        <v>1</v>
      </c>
      <c r="AE1381" s="42">
        <f>IFERROR(LOOKUP(T1381,打分卡!$F$9:$I$9,打分卡!$K$9:$N$9),1)</f>
        <v>1</v>
      </c>
      <c r="AF1381" s="42">
        <f>IFERROR(LOOKUP(Q1381,打分卡!$F$10:$J$10,打分卡!$K$10:$O$10),1)</f>
        <v>1</v>
      </c>
      <c r="AG1381" s="42">
        <f>IFERROR(LOOKUP(R1381,打分卡!$F$11:$J$11,打分卡!$K$11:$O$11),1)</f>
        <v>1</v>
      </c>
      <c r="AH1381" s="42">
        <f>IFERROR(LOOKUP(U1381,打分卡!$F$12:$J$12,打分卡!$K$12:$O$12),1)</f>
        <v>3</v>
      </c>
      <c r="AI1381" s="42">
        <f>IFERROR(LOOKUP(X1381,打分卡!$F$13:$J$13,打分卡!$K$13:$O$13),1)</f>
        <v>2</v>
      </c>
      <c r="AJ1381" s="42">
        <f>IFERROR(LOOKUP(Y1381,打分卡!$F$14:$J$14,打分卡!$K$14:$O$14),1)</f>
        <v>2</v>
      </c>
      <c r="AK1381" s="42">
        <f>IFERROR(LOOKUP(W1381,打分卡!$F$15:$J$15,打分卡!$K$15:$O$15),1)</f>
        <v>2</v>
      </c>
      <c r="AL1381" s="45">
        <f t="shared" si="169"/>
        <v>1</v>
      </c>
      <c r="AM1381" s="42">
        <f>IFERROR(LOOKUP(Z1381,打分卡!$F$17:$H$17,打分卡!$K$17:$M$17),1)</f>
        <v>1</v>
      </c>
      <c r="AN1381" s="46">
        <f>(打分卡!$D$7*AC1381+打分卡!$D$8*AD1381+打分卡!$D$9*AE1381)/5</f>
        <v>8</v>
      </c>
      <c r="AO1381" s="46">
        <f>(打分卡!$D$10*AF1381+打分卡!$D$11*AG1381)/5</f>
        <v>4</v>
      </c>
      <c r="AP1381" s="46">
        <f>(打分卡!$D$12*AH1381+打分卡!$D$13*AI1381+打分卡!$D$14*AJ1381+打分卡!$D$15*AK1381)/5</f>
        <v>14.4</v>
      </c>
      <c r="AQ1381" s="46">
        <f>(打分卡!$D$16*AL1381+打分卡!$D$17*AM1381)/5</f>
        <v>2</v>
      </c>
      <c r="AR1381" s="48">
        <f t="shared" si="170"/>
        <v>28.4</v>
      </c>
      <c r="AS1381" s="45" t="str">
        <f t="shared" si="171"/>
        <v>未激活</v>
      </c>
      <c r="AT1381" s="45" t="str">
        <f t="shared" si="172"/>
        <v>连续下降-预警</v>
      </c>
      <c r="AU1381" s="45" t="str">
        <f t="shared" si="173"/>
        <v>唤醒：短信模板+首充补贴</v>
      </c>
    </row>
    <row r="1382" ht="15" customHeight="1" spans="1:47">
      <c r="A1382" s="30" t="s">
        <v>3559</v>
      </c>
      <c r="B1382" s="31" t="s">
        <v>3560</v>
      </c>
      <c r="C1382" s="31" t="s">
        <v>189</v>
      </c>
      <c r="D1382" s="31" t="s">
        <v>227</v>
      </c>
      <c r="E1382" s="31" t="s">
        <v>197</v>
      </c>
      <c r="F1382" s="30" t="s">
        <v>1267</v>
      </c>
      <c r="G1382" s="31">
        <v>19</v>
      </c>
      <c r="H1382" s="31" t="s">
        <v>3535</v>
      </c>
      <c r="I1382" s="31" t="s">
        <v>302</v>
      </c>
      <c r="J1382" s="33">
        <v>0</v>
      </c>
      <c r="K1382" s="33">
        <v>0</v>
      </c>
      <c r="L1382" s="33">
        <v>0</v>
      </c>
      <c r="M1382" s="33">
        <f t="shared" si="168"/>
        <v>0</v>
      </c>
      <c r="N1382" s="34">
        <f t="shared" si="174"/>
        <v>0</v>
      </c>
      <c r="O1382" s="35">
        <f>SUM($M$2:M1382)</f>
        <v>190743600</v>
      </c>
      <c r="P1382" s="34">
        <f t="shared" si="175"/>
        <v>1</v>
      </c>
      <c r="Q1382" s="37">
        <v>0</v>
      </c>
      <c r="R1382" s="31">
        <v>0</v>
      </c>
      <c r="S1382" s="31">
        <v>0</v>
      </c>
      <c r="T1382" s="31">
        <v>0</v>
      </c>
      <c r="U1382" s="37">
        <v>0.7</v>
      </c>
      <c r="V1382" s="31">
        <v>10</v>
      </c>
      <c r="W1382" s="31">
        <v>0</v>
      </c>
      <c r="X1382" s="38">
        <v>16</v>
      </c>
      <c r="Y1382" s="31">
        <v>1</v>
      </c>
      <c r="Z1382" s="31">
        <v>0</v>
      </c>
      <c r="AA1382" s="31" t="s">
        <v>212</v>
      </c>
      <c r="AB1382" s="31" t="s">
        <v>220</v>
      </c>
      <c r="AC1382" s="41">
        <f>IFERROR(LOOKUP(M1382,打分卡!$F$7:$J$7,打分卡!$K$7:$O$7),1)</f>
        <v>1</v>
      </c>
      <c r="AD1382" s="41">
        <f>IFERROR(LOOKUP(S1382,打分卡!$F$8:$J$8,打分卡!$K$8:$O$8),1)</f>
        <v>1</v>
      </c>
      <c r="AE1382" s="41">
        <f>IFERROR(LOOKUP(T1382,打分卡!$F$9:$I$9,打分卡!$K$9:$N$9),1)</f>
        <v>1</v>
      </c>
      <c r="AF1382" s="41">
        <f>IFERROR(LOOKUP(Q1382,打分卡!$F$10:$J$10,打分卡!$K$10:$O$10),1)</f>
        <v>1</v>
      </c>
      <c r="AG1382" s="41">
        <f>IFERROR(LOOKUP(R1382,打分卡!$F$11:$J$11,打分卡!$K$11:$O$11),1)</f>
        <v>1</v>
      </c>
      <c r="AH1382" s="41">
        <f>IFERROR(LOOKUP(U1382,打分卡!$F$12:$J$12,打分卡!$K$12:$O$12),1)</f>
        <v>1</v>
      </c>
      <c r="AI1382" s="41">
        <f>IFERROR(LOOKUP(X1382,打分卡!$F$13:$J$13,打分卡!$K$13:$O$13),1)</f>
        <v>1</v>
      </c>
      <c r="AJ1382" s="41">
        <f>IFERROR(LOOKUP(Y1382,打分卡!$F$14:$J$14,打分卡!$K$14:$O$14),1)</f>
        <v>2</v>
      </c>
      <c r="AK1382" s="41">
        <f>IFERROR(LOOKUP(W1382,打分卡!$F$15:$J$15,打分卡!$K$15:$O$15),1)</f>
        <v>1</v>
      </c>
      <c r="AL1382" s="43">
        <f t="shared" si="169"/>
        <v>1</v>
      </c>
      <c r="AM1382" s="41">
        <f>IFERROR(LOOKUP(Z1382,打分卡!$F$17:$H$17,打分卡!$K$17:$M$17),1)</f>
        <v>1</v>
      </c>
      <c r="AN1382" s="44">
        <f>(打分卡!$D$7*AC1382+打分卡!$D$8*AD1382+打分卡!$D$9*AE1382)/5</f>
        <v>8</v>
      </c>
      <c r="AO1382" s="44">
        <f>(打分卡!$D$10*AF1382+打分卡!$D$11*AG1382)/5</f>
        <v>4</v>
      </c>
      <c r="AP1382" s="44">
        <f>(打分卡!$D$12*AH1382+打分卡!$D$13*AI1382+打分卡!$D$14*AJ1382+打分卡!$D$15*AK1382)/5</f>
        <v>7.2</v>
      </c>
      <c r="AQ1382" s="44">
        <f>(打分卡!$D$16*AL1382+打分卡!$D$17*AM1382)/5</f>
        <v>2</v>
      </c>
      <c r="AR1382" s="47">
        <f t="shared" si="170"/>
        <v>21.2</v>
      </c>
      <c r="AS1382" s="43" t="str">
        <f t="shared" si="171"/>
        <v>未激活</v>
      </c>
      <c r="AT1382" s="43" t="str">
        <f t="shared" si="172"/>
        <v>连续下降-预警</v>
      </c>
      <c r="AU1382" s="43" t="str">
        <f t="shared" si="173"/>
        <v>唤醒：短信模板+首充补贴</v>
      </c>
    </row>
    <row r="1383" ht="15" customHeight="1" spans="1:47">
      <c r="A1383" s="20" t="s">
        <v>3561</v>
      </c>
      <c r="B1383" s="22" t="s">
        <v>3562</v>
      </c>
      <c r="C1383" s="22" t="s">
        <v>179</v>
      </c>
      <c r="D1383" s="22" t="s">
        <v>227</v>
      </c>
      <c r="E1383" s="22" t="s">
        <v>181</v>
      </c>
      <c r="F1383" s="20" t="s">
        <v>505</v>
      </c>
      <c r="G1383" s="22">
        <v>23</v>
      </c>
      <c r="H1383" s="22" t="s">
        <v>3535</v>
      </c>
      <c r="I1383" s="22" t="s">
        <v>302</v>
      </c>
      <c r="J1383" s="36">
        <v>0</v>
      </c>
      <c r="K1383" s="36">
        <v>0</v>
      </c>
      <c r="L1383" s="36">
        <v>0</v>
      </c>
      <c r="M1383" s="36">
        <f t="shared" si="168"/>
        <v>0</v>
      </c>
      <c r="N1383" s="34">
        <f t="shared" si="174"/>
        <v>0</v>
      </c>
      <c r="O1383" s="35">
        <f>SUM($M$2:M1383)</f>
        <v>190743600</v>
      </c>
      <c r="P1383" s="34">
        <f t="shared" si="175"/>
        <v>1</v>
      </c>
      <c r="Q1383" s="39">
        <v>0</v>
      </c>
      <c r="R1383" s="22">
        <v>0</v>
      </c>
      <c r="S1383" s="22">
        <v>0</v>
      </c>
      <c r="T1383" s="22">
        <v>0</v>
      </c>
      <c r="U1383" s="39">
        <v>1.9</v>
      </c>
      <c r="V1383" s="22">
        <v>10</v>
      </c>
      <c r="W1383" s="22">
        <v>2</v>
      </c>
      <c r="X1383" s="40">
        <v>42</v>
      </c>
      <c r="Y1383" s="22">
        <v>0</v>
      </c>
      <c r="Z1383" s="22">
        <v>0</v>
      </c>
      <c r="AA1383" s="22" t="s">
        <v>212</v>
      </c>
      <c r="AB1383" s="22" t="s">
        <v>220</v>
      </c>
      <c r="AC1383" s="42">
        <f>IFERROR(LOOKUP(M1383,打分卡!$F$7:$J$7,打分卡!$K$7:$O$7),1)</f>
        <v>1</v>
      </c>
      <c r="AD1383" s="42">
        <f>IFERROR(LOOKUP(S1383,打分卡!$F$8:$J$8,打分卡!$K$8:$O$8),1)</f>
        <v>1</v>
      </c>
      <c r="AE1383" s="42">
        <f>IFERROR(LOOKUP(T1383,打分卡!$F$9:$I$9,打分卡!$K$9:$N$9),1)</f>
        <v>1</v>
      </c>
      <c r="AF1383" s="42">
        <f>IFERROR(LOOKUP(Q1383,打分卡!$F$10:$J$10,打分卡!$K$10:$O$10),1)</f>
        <v>1</v>
      </c>
      <c r="AG1383" s="42">
        <f>IFERROR(LOOKUP(R1383,打分卡!$F$11:$J$11,打分卡!$K$11:$O$11),1)</f>
        <v>1</v>
      </c>
      <c r="AH1383" s="42">
        <f>IFERROR(LOOKUP(U1383,打分卡!$F$12:$J$12,打分卡!$K$12:$O$12),1)</f>
        <v>1</v>
      </c>
      <c r="AI1383" s="42">
        <f>IFERROR(LOOKUP(X1383,打分卡!$F$13:$J$13,打分卡!$K$13:$O$13),1)</f>
        <v>3</v>
      </c>
      <c r="AJ1383" s="42">
        <f>IFERROR(LOOKUP(Y1383,打分卡!$F$14:$J$14,打分卡!$K$14:$O$14),1)</f>
        <v>1</v>
      </c>
      <c r="AK1383" s="42">
        <f>IFERROR(LOOKUP(W1383,打分卡!$F$15:$J$15,打分卡!$K$15:$O$15),1)</f>
        <v>2</v>
      </c>
      <c r="AL1383" s="45">
        <f t="shared" si="169"/>
        <v>1</v>
      </c>
      <c r="AM1383" s="42">
        <f>IFERROR(LOOKUP(Z1383,打分卡!$F$17:$H$17,打分卡!$K$17:$M$17),1)</f>
        <v>1</v>
      </c>
      <c r="AN1383" s="46">
        <f>(打分卡!$D$7*AC1383+打分卡!$D$8*AD1383+打分卡!$D$9*AE1383)/5</f>
        <v>8</v>
      </c>
      <c r="AO1383" s="46">
        <f>(打分卡!$D$10*AF1383+打分卡!$D$11*AG1383)/5</f>
        <v>4</v>
      </c>
      <c r="AP1383" s="46">
        <f>(打分卡!$D$12*AH1383+打分卡!$D$13*AI1383+打分卡!$D$14*AJ1383+打分卡!$D$15*AK1383)/5</f>
        <v>10</v>
      </c>
      <c r="AQ1383" s="46">
        <f>(打分卡!$D$16*AL1383+打分卡!$D$17*AM1383)/5</f>
        <v>2</v>
      </c>
      <c r="AR1383" s="48">
        <f t="shared" si="170"/>
        <v>24</v>
      </c>
      <c r="AS1383" s="45" t="str">
        <f t="shared" si="171"/>
        <v>未激活</v>
      </c>
      <c r="AT1383" s="45" t="str">
        <f t="shared" si="172"/>
        <v>连续下降-预警</v>
      </c>
      <c r="AU1383" s="45" t="str">
        <f t="shared" si="173"/>
        <v>唤醒：短信模板+首充补贴</v>
      </c>
    </row>
    <row r="1384" ht="15" customHeight="1" spans="1:47">
      <c r="A1384" s="30" t="s">
        <v>3563</v>
      </c>
      <c r="B1384" s="31" t="s">
        <v>3564</v>
      </c>
      <c r="C1384" s="31" t="s">
        <v>239</v>
      </c>
      <c r="D1384" s="31" t="s">
        <v>202</v>
      </c>
      <c r="E1384" s="31" t="s">
        <v>181</v>
      </c>
      <c r="F1384" s="30" t="s">
        <v>3565</v>
      </c>
      <c r="G1384" s="31">
        <v>25</v>
      </c>
      <c r="H1384" s="31" t="s">
        <v>3535</v>
      </c>
      <c r="I1384" s="31" t="s">
        <v>302</v>
      </c>
      <c r="J1384" s="33">
        <v>0</v>
      </c>
      <c r="K1384" s="33">
        <v>0</v>
      </c>
      <c r="L1384" s="33">
        <v>0</v>
      </c>
      <c r="M1384" s="33">
        <f t="shared" si="168"/>
        <v>0</v>
      </c>
      <c r="N1384" s="34">
        <f t="shared" si="174"/>
        <v>0</v>
      </c>
      <c r="O1384" s="35">
        <f>SUM($M$2:M1384)</f>
        <v>190743600</v>
      </c>
      <c r="P1384" s="34">
        <f t="shared" si="175"/>
        <v>1</v>
      </c>
      <c r="Q1384" s="37">
        <v>0</v>
      </c>
      <c r="R1384" s="31">
        <v>0</v>
      </c>
      <c r="S1384" s="31">
        <v>0</v>
      </c>
      <c r="T1384" s="31">
        <v>0</v>
      </c>
      <c r="U1384" s="37">
        <v>1.8</v>
      </c>
      <c r="V1384" s="31">
        <v>6</v>
      </c>
      <c r="W1384" s="31">
        <v>0</v>
      </c>
      <c r="X1384" s="38">
        <v>14</v>
      </c>
      <c r="Y1384" s="31">
        <v>0</v>
      </c>
      <c r="Z1384" s="31">
        <v>0</v>
      </c>
      <c r="AA1384" s="31" t="s">
        <v>212</v>
      </c>
      <c r="AB1384" s="31" t="s">
        <v>220</v>
      </c>
      <c r="AC1384" s="41">
        <f>IFERROR(LOOKUP(M1384,打分卡!$F$7:$J$7,打分卡!$K$7:$O$7),1)</f>
        <v>1</v>
      </c>
      <c r="AD1384" s="41">
        <f>IFERROR(LOOKUP(S1384,打分卡!$F$8:$J$8,打分卡!$K$8:$O$8),1)</f>
        <v>1</v>
      </c>
      <c r="AE1384" s="41">
        <f>IFERROR(LOOKUP(T1384,打分卡!$F$9:$I$9,打分卡!$K$9:$N$9),1)</f>
        <v>1</v>
      </c>
      <c r="AF1384" s="41">
        <f>IFERROR(LOOKUP(Q1384,打分卡!$F$10:$J$10,打分卡!$K$10:$O$10),1)</f>
        <v>1</v>
      </c>
      <c r="AG1384" s="41">
        <f>IFERROR(LOOKUP(R1384,打分卡!$F$11:$J$11,打分卡!$K$11:$O$11),1)</f>
        <v>1</v>
      </c>
      <c r="AH1384" s="41">
        <f>IFERROR(LOOKUP(U1384,打分卡!$F$12:$J$12,打分卡!$K$12:$O$12),1)</f>
        <v>1</v>
      </c>
      <c r="AI1384" s="41">
        <f>IFERROR(LOOKUP(X1384,打分卡!$F$13:$J$13,打分卡!$K$13:$O$13),1)</f>
        <v>1</v>
      </c>
      <c r="AJ1384" s="41">
        <f>IFERROR(LOOKUP(Y1384,打分卡!$F$14:$J$14,打分卡!$K$14:$O$14),1)</f>
        <v>1</v>
      </c>
      <c r="AK1384" s="41">
        <f>IFERROR(LOOKUP(W1384,打分卡!$F$15:$J$15,打分卡!$K$15:$O$15),1)</f>
        <v>1</v>
      </c>
      <c r="AL1384" s="43">
        <f t="shared" si="169"/>
        <v>1</v>
      </c>
      <c r="AM1384" s="41">
        <f>IFERROR(LOOKUP(Z1384,打分卡!$F$17:$H$17,打分卡!$K$17:$M$17),1)</f>
        <v>1</v>
      </c>
      <c r="AN1384" s="44">
        <f>(打分卡!$D$7*AC1384+打分卡!$D$8*AD1384+打分卡!$D$9*AE1384)/5</f>
        <v>8</v>
      </c>
      <c r="AO1384" s="44">
        <f>(打分卡!$D$10*AF1384+打分卡!$D$11*AG1384)/5</f>
        <v>4</v>
      </c>
      <c r="AP1384" s="44">
        <f>(打分卡!$D$12*AH1384+打分卡!$D$13*AI1384+打分卡!$D$14*AJ1384+打分卡!$D$15*AK1384)/5</f>
        <v>6</v>
      </c>
      <c r="AQ1384" s="44">
        <f>(打分卡!$D$16*AL1384+打分卡!$D$17*AM1384)/5</f>
        <v>2</v>
      </c>
      <c r="AR1384" s="47">
        <f t="shared" si="170"/>
        <v>20</v>
      </c>
      <c r="AS1384" s="43" t="str">
        <f t="shared" si="171"/>
        <v>未激活</v>
      </c>
      <c r="AT1384" s="43" t="str">
        <f t="shared" si="172"/>
        <v>连续下降-预警</v>
      </c>
      <c r="AU1384" s="43" t="str">
        <f t="shared" si="173"/>
        <v>唤醒：短信模板+首充补贴</v>
      </c>
    </row>
    <row r="1385" ht="15" customHeight="1" spans="1:47">
      <c r="A1385" s="20" t="s">
        <v>3566</v>
      </c>
      <c r="B1385" s="22" t="s">
        <v>3567</v>
      </c>
      <c r="C1385" s="22" t="s">
        <v>189</v>
      </c>
      <c r="D1385" s="22" t="s">
        <v>190</v>
      </c>
      <c r="E1385" s="22" t="s">
        <v>181</v>
      </c>
      <c r="F1385" s="20" t="s">
        <v>3568</v>
      </c>
      <c r="G1385" s="22">
        <v>27</v>
      </c>
      <c r="H1385" s="22" t="s">
        <v>3535</v>
      </c>
      <c r="I1385" s="22" t="s">
        <v>302</v>
      </c>
      <c r="J1385" s="36">
        <v>0</v>
      </c>
      <c r="K1385" s="36">
        <v>0</v>
      </c>
      <c r="L1385" s="36">
        <v>0</v>
      </c>
      <c r="M1385" s="36">
        <f t="shared" si="168"/>
        <v>0</v>
      </c>
      <c r="N1385" s="34">
        <f t="shared" si="174"/>
        <v>0</v>
      </c>
      <c r="O1385" s="35">
        <f>SUM($M$2:M1385)</f>
        <v>190743600</v>
      </c>
      <c r="P1385" s="34">
        <f t="shared" si="175"/>
        <v>1</v>
      </c>
      <c r="Q1385" s="39">
        <v>0</v>
      </c>
      <c r="R1385" s="22">
        <v>0</v>
      </c>
      <c r="S1385" s="22">
        <v>0</v>
      </c>
      <c r="T1385" s="22">
        <v>0</v>
      </c>
      <c r="U1385" s="39">
        <v>1.4</v>
      </c>
      <c r="V1385" s="22">
        <v>11</v>
      </c>
      <c r="W1385" s="22">
        <v>2</v>
      </c>
      <c r="X1385" s="40">
        <v>21</v>
      </c>
      <c r="Y1385" s="22">
        <v>0</v>
      </c>
      <c r="Z1385" s="22">
        <v>0</v>
      </c>
      <c r="AA1385" s="22" t="s">
        <v>212</v>
      </c>
      <c r="AB1385" s="22" t="s">
        <v>220</v>
      </c>
      <c r="AC1385" s="42">
        <f>IFERROR(LOOKUP(M1385,打分卡!$F$7:$J$7,打分卡!$K$7:$O$7),1)</f>
        <v>1</v>
      </c>
      <c r="AD1385" s="42">
        <f>IFERROR(LOOKUP(S1385,打分卡!$F$8:$J$8,打分卡!$K$8:$O$8),1)</f>
        <v>1</v>
      </c>
      <c r="AE1385" s="42">
        <f>IFERROR(LOOKUP(T1385,打分卡!$F$9:$I$9,打分卡!$K$9:$N$9),1)</f>
        <v>1</v>
      </c>
      <c r="AF1385" s="42">
        <f>IFERROR(LOOKUP(Q1385,打分卡!$F$10:$J$10,打分卡!$K$10:$O$10),1)</f>
        <v>1</v>
      </c>
      <c r="AG1385" s="42">
        <f>IFERROR(LOOKUP(R1385,打分卡!$F$11:$J$11,打分卡!$K$11:$O$11),1)</f>
        <v>1</v>
      </c>
      <c r="AH1385" s="42">
        <f>IFERROR(LOOKUP(U1385,打分卡!$F$12:$J$12,打分卡!$K$12:$O$12),1)</f>
        <v>1</v>
      </c>
      <c r="AI1385" s="42">
        <f>IFERROR(LOOKUP(X1385,打分卡!$F$13:$J$13,打分卡!$K$13:$O$13),1)</f>
        <v>2</v>
      </c>
      <c r="AJ1385" s="42">
        <f>IFERROR(LOOKUP(Y1385,打分卡!$F$14:$J$14,打分卡!$K$14:$O$14),1)</f>
        <v>1</v>
      </c>
      <c r="AK1385" s="42">
        <f>IFERROR(LOOKUP(W1385,打分卡!$F$15:$J$15,打分卡!$K$15:$O$15),1)</f>
        <v>2</v>
      </c>
      <c r="AL1385" s="45">
        <f t="shared" si="169"/>
        <v>1</v>
      </c>
      <c r="AM1385" s="42">
        <f>IFERROR(LOOKUP(Z1385,打分卡!$F$17:$H$17,打分卡!$K$17:$M$17),1)</f>
        <v>1</v>
      </c>
      <c r="AN1385" s="46">
        <f>(打分卡!$D$7*AC1385+打分卡!$D$8*AD1385+打分卡!$D$9*AE1385)/5</f>
        <v>8</v>
      </c>
      <c r="AO1385" s="46">
        <f>(打分卡!$D$10*AF1385+打分卡!$D$11*AG1385)/5</f>
        <v>4</v>
      </c>
      <c r="AP1385" s="46">
        <f>(打分卡!$D$12*AH1385+打分卡!$D$13*AI1385+打分卡!$D$14*AJ1385+打分卡!$D$15*AK1385)/5</f>
        <v>8.4</v>
      </c>
      <c r="AQ1385" s="46">
        <f>(打分卡!$D$16*AL1385+打分卡!$D$17*AM1385)/5</f>
        <v>2</v>
      </c>
      <c r="AR1385" s="48">
        <f t="shared" si="170"/>
        <v>22.4</v>
      </c>
      <c r="AS1385" s="45" t="str">
        <f t="shared" si="171"/>
        <v>未激活</v>
      </c>
      <c r="AT1385" s="45" t="str">
        <f t="shared" si="172"/>
        <v>连续下降-预警</v>
      </c>
      <c r="AU1385" s="45" t="str">
        <f t="shared" si="173"/>
        <v>唤醒：短信模板+首充补贴</v>
      </c>
    </row>
    <row r="1386" ht="15" customHeight="1" spans="1:47">
      <c r="A1386" s="30" t="s">
        <v>3569</v>
      </c>
      <c r="B1386" s="31" t="s">
        <v>3570</v>
      </c>
      <c r="C1386" s="31" t="s">
        <v>239</v>
      </c>
      <c r="D1386" s="31" t="s">
        <v>202</v>
      </c>
      <c r="E1386" s="31" t="s">
        <v>181</v>
      </c>
      <c r="F1386" s="30" t="s">
        <v>327</v>
      </c>
      <c r="G1386" s="31">
        <v>17</v>
      </c>
      <c r="H1386" s="31" t="s">
        <v>3535</v>
      </c>
      <c r="I1386" s="31" t="s">
        <v>302</v>
      </c>
      <c r="J1386" s="33">
        <v>0</v>
      </c>
      <c r="K1386" s="33">
        <v>0</v>
      </c>
      <c r="L1386" s="33">
        <v>0</v>
      </c>
      <c r="M1386" s="33">
        <f t="shared" si="168"/>
        <v>0</v>
      </c>
      <c r="N1386" s="34">
        <f t="shared" si="174"/>
        <v>0</v>
      </c>
      <c r="O1386" s="35">
        <f>SUM($M$2:M1386)</f>
        <v>190743600</v>
      </c>
      <c r="P1386" s="34">
        <f t="shared" si="175"/>
        <v>1</v>
      </c>
      <c r="Q1386" s="37">
        <v>0</v>
      </c>
      <c r="R1386" s="31">
        <v>0</v>
      </c>
      <c r="S1386" s="31">
        <v>0</v>
      </c>
      <c r="T1386" s="31">
        <v>0</v>
      </c>
      <c r="U1386" s="37">
        <v>17.2</v>
      </c>
      <c r="V1386" s="31">
        <v>5</v>
      </c>
      <c r="W1386" s="31">
        <v>1</v>
      </c>
      <c r="X1386" s="38">
        <v>7</v>
      </c>
      <c r="Y1386" s="31">
        <v>0</v>
      </c>
      <c r="Z1386" s="31">
        <v>0</v>
      </c>
      <c r="AA1386" s="31" t="s">
        <v>212</v>
      </c>
      <c r="AB1386" s="31" t="s">
        <v>220</v>
      </c>
      <c r="AC1386" s="41">
        <f>IFERROR(LOOKUP(M1386,打分卡!$F$7:$J$7,打分卡!$K$7:$O$7),1)</f>
        <v>1</v>
      </c>
      <c r="AD1386" s="41">
        <f>IFERROR(LOOKUP(S1386,打分卡!$F$8:$J$8,打分卡!$K$8:$O$8),1)</f>
        <v>1</v>
      </c>
      <c r="AE1386" s="41">
        <f>IFERROR(LOOKUP(T1386,打分卡!$F$9:$I$9,打分卡!$K$9:$N$9),1)</f>
        <v>1</v>
      </c>
      <c r="AF1386" s="41">
        <f>IFERROR(LOOKUP(Q1386,打分卡!$F$10:$J$10,打分卡!$K$10:$O$10),1)</f>
        <v>1</v>
      </c>
      <c r="AG1386" s="41">
        <f>IFERROR(LOOKUP(R1386,打分卡!$F$11:$J$11,打分卡!$K$11:$O$11),1)</f>
        <v>1</v>
      </c>
      <c r="AH1386" s="41">
        <f>IFERROR(LOOKUP(U1386,打分卡!$F$12:$J$12,打分卡!$K$12:$O$12),1)</f>
        <v>3</v>
      </c>
      <c r="AI1386" s="41">
        <f>IFERROR(LOOKUP(X1386,打分卡!$F$13:$J$13,打分卡!$K$13:$O$13),1)</f>
        <v>1</v>
      </c>
      <c r="AJ1386" s="41">
        <f>IFERROR(LOOKUP(Y1386,打分卡!$F$14:$J$14,打分卡!$K$14:$O$14),1)</f>
        <v>1</v>
      </c>
      <c r="AK1386" s="41">
        <f>IFERROR(LOOKUP(W1386,打分卡!$F$15:$J$15,打分卡!$K$15:$O$15),1)</f>
        <v>2</v>
      </c>
      <c r="AL1386" s="43">
        <f t="shared" si="169"/>
        <v>1</v>
      </c>
      <c r="AM1386" s="41">
        <f>IFERROR(LOOKUP(Z1386,打分卡!$F$17:$H$17,打分卡!$K$17:$M$17),1)</f>
        <v>1</v>
      </c>
      <c r="AN1386" s="44">
        <f>(打分卡!$D$7*AC1386+打分卡!$D$8*AD1386+打分卡!$D$9*AE1386)/5</f>
        <v>8</v>
      </c>
      <c r="AO1386" s="44">
        <f>(打分卡!$D$10*AF1386+打分卡!$D$11*AG1386)/5</f>
        <v>4</v>
      </c>
      <c r="AP1386" s="44">
        <f>(打分卡!$D$12*AH1386+打分卡!$D$13*AI1386+打分卡!$D$14*AJ1386+打分卡!$D$15*AK1386)/5</f>
        <v>11.6</v>
      </c>
      <c r="AQ1386" s="44">
        <f>(打分卡!$D$16*AL1386+打分卡!$D$17*AM1386)/5</f>
        <v>2</v>
      </c>
      <c r="AR1386" s="47">
        <f t="shared" si="170"/>
        <v>25.6</v>
      </c>
      <c r="AS1386" s="43" t="str">
        <f t="shared" si="171"/>
        <v>未激活</v>
      </c>
      <c r="AT1386" s="43" t="str">
        <f t="shared" si="172"/>
        <v>连续下降-预警</v>
      </c>
      <c r="AU1386" s="43" t="str">
        <f t="shared" si="173"/>
        <v>唤醒：短信模板+首充补贴</v>
      </c>
    </row>
    <row r="1387" ht="15" customHeight="1" spans="1:47">
      <c r="A1387" s="20" t="s">
        <v>3571</v>
      </c>
      <c r="B1387" s="22" t="s">
        <v>3572</v>
      </c>
      <c r="C1387" s="22" t="s">
        <v>223</v>
      </c>
      <c r="D1387" s="22" t="s">
        <v>196</v>
      </c>
      <c r="E1387" s="22" t="s">
        <v>181</v>
      </c>
      <c r="F1387" s="20" t="s">
        <v>3573</v>
      </c>
      <c r="G1387" s="22">
        <v>30</v>
      </c>
      <c r="H1387" s="22" t="s">
        <v>3535</v>
      </c>
      <c r="I1387" s="22" t="s">
        <v>302</v>
      </c>
      <c r="J1387" s="36">
        <v>0</v>
      </c>
      <c r="K1387" s="36">
        <v>0</v>
      </c>
      <c r="L1387" s="36">
        <v>0</v>
      </c>
      <c r="M1387" s="36">
        <f t="shared" si="168"/>
        <v>0</v>
      </c>
      <c r="N1387" s="34">
        <f t="shared" si="174"/>
        <v>0</v>
      </c>
      <c r="O1387" s="35">
        <f>SUM($M$2:M1387)</f>
        <v>190743600</v>
      </c>
      <c r="P1387" s="34">
        <f t="shared" si="175"/>
        <v>1</v>
      </c>
      <c r="Q1387" s="39">
        <v>0</v>
      </c>
      <c r="R1387" s="22">
        <v>0</v>
      </c>
      <c r="S1387" s="22">
        <v>0</v>
      </c>
      <c r="T1387" s="22">
        <v>0</v>
      </c>
      <c r="U1387" s="39">
        <v>3.1</v>
      </c>
      <c r="V1387" s="22">
        <v>14</v>
      </c>
      <c r="W1387" s="22">
        <v>2</v>
      </c>
      <c r="X1387" s="40">
        <v>63</v>
      </c>
      <c r="Y1387" s="22">
        <v>1</v>
      </c>
      <c r="Z1387" s="22">
        <v>0</v>
      </c>
      <c r="AA1387" s="22" t="s">
        <v>212</v>
      </c>
      <c r="AB1387" s="22" t="s">
        <v>220</v>
      </c>
      <c r="AC1387" s="42">
        <f>IFERROR(LOOKUP(M1387,打分卡!$F$7:$J$7,打分卡!$K$7:$O$7),1)</f>
        <v>1</v>
      </c>
      <c r="AD1387" s="42">
        <f>IFERROR(LOOKUP(S1387,打分卡!$F$8:$J$8,打分卡!$K$8:$O$8),1)</f>
        <v>1</v>
      </c>
      <c r="AE1387" s="42">
        <f>IFERROR(LOOKUP(T1387,打分卡!$F$9:$I$9,打分卡!$K$9:$N$9),1)</f>
        <v>1</v>
      </c>
      <c r="AF1387" s="42">
        <f>IFERROR(LOOKUP(Q1387,打分卡!$F$10:$J$10,打分卡!$K$10:$O$10),1)</f>
        <v>1</v>
      </c>
      <c r="AG1387" s="42">
        <f>IFERROR(LOOKUP(R1387,打分卡!$F$11:$J$11,打分卡!$K$11:$O$11),1)</f>
        <v>1</v>
      </c>
      <c r="AH1387" s="42">
        <f>IFERROR(LOOKUP(U1387,打分卡!$F$12:$J$12,打分卡!$K$12:$O$12),1)</f>
        <v>2</v>
      </c>
      <c r="AI1387" s="42">
        <f>IFERROR(LOOKUP(X1387,打分卡!$F$13:$J$13,打分卡!$K$13:$O$13),1)</f>
        <v>3</v>
      </c>
      <c r="AJ1387" s="42">
        <f>IFERROR(LOOKUP(Y1387,打分卡!$F$14:$J$14,打分卡!$K$14:$O$14),1)</f>
        <v>2</v>
      </c>
      <c r="AK1387" s="42">
        <f>IFERROR(LOOKUP(W1387,打分卡!$F$15:$J$15,打分卡!$K$15:$O$15),1)</f>
        <v>2</v>
      </c>
      <c r="AL1387" s="45">
        <f t="shared" si="169"/>
        <v>1</v>
      </c>
      <c r="AM1387" s="42">
        <f>IFERROR(LOOKUP(Z1387,打分卡!$F$17:$H$17,打分卡!$K$17:$M$17),1)</f>
        <v>1</v>
      </c>
      <c r="AN1387" s="46">
        <f>(打分卡!$D$7*AC1387+打分卡!$D$8*AD1387+打分卡!$D$9*AE1387)/5</f>
        <v>8</v>
      </c>
      <c r="AO1387" s="46">
        <f>(打分卡!$D$10*AF1387+打分卡!$D$11*AG1387)/5</f>
        <v>4</v>
      </c>
      <c r="AP1387" s="46">
        <f>(打分卡!$D$12*AH1387+打分卡!$D$13*AI1387+打分卡!$D$14*AJ1387+打分卡!$D$15*AK1387)/5</f>
        <v>13.6</v>
      </c>
      <c r="AQ1387" s="46">
        <f>(打分卡!$D$16*AL1387+打分卡!$D$17*AM1387)/5</f>
        <v>2</v>
      </c>
      <c r="AR1387" s="48">
        <f t="shared" si="170"/>
        <v>27.6</v>
      </c>
      <c r="AS1387" s="45" t="str">
        <f t="shared" si="171"/>
        <v>未激活</v>
      </c>
      <c r="AT1387" s="45" t="str">
        <f t="shared" si="172"/>
        <v>连续下降-预警</v>
      </c>
      <c r="AU1387" s="45" t="str">
        <f t="shared" si="173"/>
        <v>唤醒：短信模板+首充补贴</v>
      </c>
    </row>
    <row r="1388" ht="15" customHeight="1" spans="1:47">
      <c r="A1388" s="30" t="s">
        <v>3574</v>
      </c>
      <c r="B1388" s="31" t="s">
        <v>3575</v>
      </c>
      <c r="C1388" s="31" t="s">
        <v>239</v>
      </c>
      <c r="D1388" s="31" t="s">
        <v>196</v>
      </c>
      <c r="E1388" s="31" t="s">
        <v>197</v>
      </c>
      <c r="F1388" s="30" t="s">
        <v>380</v>
      </c>
      <c r="G1388" s="31">
        <v>18</v>
      </c>
      <c r="H1388" s="31" t="s">
        <v>3535</v>
      </c>
      <c r="I1388" s="31" t="s">
        <v>302</v>
      </c>
      <c r="J1388" s="33">
        <v>0</v>
      </c>
      <c r="K1388" s="33">
        <v>0</v>
      </c>
      <c r="L1388" s="33">
        <v>0</v>
      </c>
      <c r="M1388" s="33">
        <f t="shared" si="168"/>
        <v>0</v>
      </c>
      <c r="N1388" s="34">
        <f t="shared" si="174"/>
        <v>0</v>
      </c>
      <c r="O1388" s="35">
        <f>SUM($M$2:M1388)</f>
        <v>190743600</v>
      </c>
      <c r="P1388" s="34">
        <f t="shared" si="175"/>
        <v>1</v>
      </c>
      <c r="Q1388" s="37">
        <v>0</v>
      </c>
      <c r="R1388" s="31">
        <v>0</v>
      </c>
      <c r="S1388" s="31">
        <v>0</v>
      </c>
      <c r="T1388" s="31">
        <v>0</v>
      </c>
      <c r="U1388" s="37">
        <v>2.6</v>
      </c>
      <c r="V1388" s="31">
        <v>3</v>
      </c>
      <c r="W1388" s="31">
        <v>2</v>
      </c>
      <c r="X1388" s="38">
        <v>6</v>
      </c>
      <c r="Y1388" s="31">
        <v>1</v>
      </c>
      <c r="Z1388" s="31">
        <v>0</v>
      </c>
      <c r="AA1388" s="31" t="s">
        <v>212</v>
      </c>
      <c r="AB1388" s="31" t="s">
        <v>220</v>
      </c>
      <c r="AC1388" s="41">
        <f>IFERROR(LOOKUP(M1388,打分卡!$F$7:$J$7,打分卡!$K$7:$O$7),1)</f>
        <v>1</v>
      </c>
      <c r="AD1388" s="41">
        <f>IFERROR(LOOKUP(S1388,打分卡!$F$8:$J$8,打分卡!$K$8:$O$8),1)</f>
        <v>1</v>
      </c>
      <c r="AE1388" s="41">
        <f>IFERROR(LOOKUP(T1388,打分卡!$F$9:$I$9,打分卡!$K$9:$N$9),1)</f>
        <v>1</v>
      </c>
      <c r="AF1388" s="41">
        <f>IFERROR(LOOKUP(Q1388,打分卡!$F$10:$J$10,打分卡!$K$10:$O$10),1)</f>
        <v>1</v>
      </c>
      <c r="AG1388" s="41">
        <f>IFERROR(LOOKUP(R1388,打分卡!$F$11:$J$11,打分卡!$K$11:$O$11),1)</f>
        <v>1</v>
      </c>
      <c r="AH1388" s="41">
        <f>IFERROR(LOOKUP(U1388,打分卡!$F$12:$J$12,打分卡!$K$12:$O$12),1)</f>
        <v>1</v>
      </c>
      <c r="AI1388" s="41">
        <f>IFERROR(LOOKUP(X1388,打分卡!$F$13:$J$13,打分卡!$K$13:$O$13),1)</f>
        <v>1</v>
      </c>
      <c r="AJ1388" s="41">
        <f>IFERROR(LOOKUP(Y1388,打分卡!$F$14:$J$14,打分卡!$K$14:$O$14),1)</f>
        <v>2</v>
      </c>
      <c r="AK1388" s="41">
        <f>IFERROR(LOOKUP(W1388,打分卡!$F$15:$J$15,打分卡!$K$15:$O$15),1)</f>
        <v>2</v>
      </c>
      <c r="AL1388" s="43">
        <f t="shared" si="169"/>
        <v>1</v>
      </c>
      <c r="AM1388" s="41">
        <f>IFERROR(LOOKUP(Z1388,打分卡!$F$17:$H$17,打分卡!$K$17:$M$17),1)</f>
        <v>1</v>
      </c>
      <c r="AN1388" s="44">
        <f>(打分卡!$D$7*AC1388+打分卡!$D$8*AD1388+打分卡!$D$9*AE1388)/5</f>
        <v>8</v>
      </c>
      <c r="AO1388" s="44">
        <f>(打分卡!$D$10*AF1388+打分卡!$D$11*AG1388)/5</f>
        <v>4</v>
      </c>
      <c r="AP1388" s="44">
        <f>(打分卡!$D$12*AH1388+打分卡!$D$13*AI1388+打分卡!$D$14*AJ1388+打分卡!$D$15*AK1388)/5</f>
        <v>8</v>
      </c>
      <c r="AQ1388" s="44">
        <f>(打分卡!$D$16*AL1388+打分卡!$D$17*AM1388)/5</f>
        <v>2</v>
      </c>
      <c r="AR1388" s="47">
        <f t="shared" si="170"/>
        <v>22</v>
      </c>
      <c r="AS1388" s="43" t="str">
        <f t="shared" si="171"/>
        <v>未激活</v>
      </c>
      <c r="AT1388" s="43" t="str">
        <f t="shared" si="172"/>
        <v>连续下降-预警</v>
      </c>
      <c r="AU1388" s="43" t="str">
        <f t="shared" si="173"/>
        <v>唤醒：短信模板+首充补贴</v>
      </c>
    </row>
    <row r="1389" ht="15" customHeight="1" spans="1:47">
      <c r="A1389" s="20" t="s">
        <v>3576</v>
      </c>
      <c r="B1389" s="22" t="s">
        <v>3577</v>
      </c>
      <c r="C1389" s="22" t="s">
        <v>195</v>
      </c>
      <c r="D1389" s="22" t="s">
        <v>202</v>
      </c>
      <c r="E1389" s="22" t="s">
        <v>181</v>
      </c>
      <c r="F1389" s="20" t="s">
        <v>3578</v>
      </c>
      <c r="G1389" s="22">
        <v>28</v>
      </c>
      <c r="H1389" s="22" t="s">
        <v>3535</v>
      </c>
      <c r="I1389" s="22" t="s">
        <v>302</v>
      </c>
      <c r="J1389" s="36">
        <v>0</v>
      </c>
      <c r="K1389" s="36">
        <v>0</v>
      </c>
      <c r="L1389" s="36">
        <v>0</v>
      </c>
      <c r="M1389" s="36">
        <f t="shared" si="168"/>
        <v>0</v>
      </c>
      <c r="N1389" s="34">
        <f t="shared" si="174"/>
        <v>0</v>
      </c>
      <c r="O1389" s="35">
        <f>SUM($M$2:M1389)</f>
        <v>190743600</v>
      </c>
      <c r="P1389" s="34">
        <f t="shared" si="175"/>
        <v>1</v>
      </c>
      <c r="Q1389" s="39">
        <v>0</v>
      </c>
      <c r="R1389" s="22">
        <v>0</v>
      </c>
      <c r="S1389" s="22">
        <v>0</v>
      </c>
      <c r="T1389" s="22">
        <v>0</v>
      </c>
      <c r="U1389" s="39">
        <v>11.7</v>
      </c>
      <c r="V1389" s="22">
        <v>1</v>
      </c>
      <c r="W1389" s="22">
        <v>2</v>
      </c>
      <c r="X1389" s="40">
        <v>49</v>
      </c>
      <c r="Y1389" s="22">
        <v>0</v>
      </c>
      <c r="Z1389" s="22">
        <v>0</v>
      </c>
      <c r="AA1389" s="22" t="s">
        <v>212</v>
      </c>
      <c r="AB1389" s="22" t="s">
        <v>220</v>
      </c>
      <c r="AC1389" s="42">
        <f>IFERROR(LOOKUP(M1389,打分卡!$F$7:$J$7,打分卡!$K$7:$O$7),1)</f>
        <v>1</v>
      </c>
      <c r="AD1389" s="42">
        <f>IFERROR(LOOKUP(S1389,打分卡!$F$8:$J$8,打分卡!$K$8:$O$8),1)</f>
        <v>1</v>
      </c>
      <c r="AE1389" s="42">
        <f>IFERROR(LOOKUP(T1389,打分卡!$F$9:$I$9,打分卡!$K$9:$N$9),1)</f>
        <v>1</v>
      </c>
      <c r="AF1389" s="42">
        <f>IFERROR(LOOKUP(Q1389,打分卡!$F$10:$J$10,打分卡!$K$10:$O$10),1)</f>
        <v>1</v>
      </c>
      <c r="AG1389" s="42">
        <f>IFERROR(LOOKUP(R1389,打分卡!$F$11:$J$11,打分卡!$K$11:$O$11),1)</f>
        <v>1</v>
      </c>
      <c r="AH1389" s="42">
        <f>IFERROR(LOOKUP(U1389,打分卡!$F$12:$J$12,打分卡!$K$12:$O$12),1)</f>
        <v>3</v>
      </c>
      <c r="AI1389" s="42">
        <f>IFERROR(LOOKUP(X1389,打分卡!$F$13:$J$13,打分卡!$K$13:$O$13),1)</f>
        <v>3</v>
      </c>
      <c r="AJ1389" s="42">
        <f>IFERROR(LOOKUP(Y1389,打分卡!$F$14:$J$14,打分卡!$K$14:$O$14),1)</f>
        <v>1</v>
      </c>
      <c r="AK1389" s="42">
        <f>IFERROR(LOOKUP(W1389,打分卡!$F$15:$J$15,打分卡!$K$15:$O$15),1)</f>
        <v>2</v>
      </c>
      <c r="AL1389" s="45">
        <f t="shared" si="169"/>
        <v>1</v>
      </c>
      <c r="AM1389" s="42">
        <f>IFERROR(LOOKUP(Z1389,打分卡!$F$17:$H$17,打分卡!$K$17:$M$17),1)</f>
        <v>1</v>
      </c>
      <c r="AN1389" s="46">
        <f>(打分卡!$D$7*AC1389+打分卡!$D$8*AD1389+打分卡!$D$9*AE1389)/5</f>
        <v>8</v>
      </c>
      <c r="AO1389" s="46">
        <f>(打分卡!$D$10*AF1389+打分卡!$D$11*AG1389)/5</f>
        <v>4</v>
      </c>
      <c r="AP1389" s="46">
        <f>(打分卡!$D$12*AH1389+打分卡!$D$13*AI1389+打分卡!$D$14*AJ1389+打分卡!$D$15*AK1389)/5</f>
        <v>14.8</v>
      </c>
      <c r="AQ1389" s="46">
        <f>(打分卡!$D$16*AL1389+打分卡!$D$17*AM1389)/5</f>
        <v>2</v>
      </c>
      <c r="AR1389" s="48">
        <f t="shared" si="170"/>
        <v>28.8</v>
      </c>
      <c r="AS1389" s="45" t="str">
        <f t="shared" si="171"/>
        <v>未激活</v>
      </c>
      <c r="AT1389" s="45" t="str">
        <f t="shared" si="172"/>
        <v>连续下降-预警</v>
      </c>
      <c r="AU1389" s="45" t="str">
        <f t="shared" si="173"/>
        <v>唤醒：短信模板+首充补贴</v>
      </c>
    </row>
    <row r="1390" ht="15" customHeight="1" spans="1:47">
      <c r="A1390" s="30" t="s">
        <v>3579</v>
      </c>
      <c r="B1390" s="31" t="s">
        <v>3580</v>
      </c>
      <c r="C1390" s="31" t="s">
        <v>234</v>
      </c>
      <c r="D1390" s="31" t="s">
        <v>227</v>
      </c>
      <c r="E1390" s="31" t="s">
        <v>181</v>
      </c>
      <c r="F1390" s="30" t="s">
        <v>330</v>
      </c>
      <c r="G1390" s="31">
        <v>21</v>
      </c>
      <c r="H1390" s="31" t="s">
        <v>3535</v>
      </c>
      <c r="I1390" s="31" t="s">
        <v>302</v>
      </c>
      <c r="J1390" s="33">
        <v>0</v>
      </c>
      <c r="K1390" s="33">
        <v>0</v>
      </c>
      <c r="L1390" s="33">
        <v>0</v>
      </c>
      <c r="M1390" s="33">
        <f t="shared" si="168"/>
        <v>0</v>
      </c>
      <c r="N1390" s="34">
        <f t="shared" si="174"/>
        <v>0</v>
      </c>
      <c r="O1390" s="35">
        <f>SUM($M$2:M1390)</f>
        <v>190743600</v>
      </c>
      <c r="P1390" s="34">
        <f t="shared" si="175"/>
        <v>1</v>
      </c>
      <c r="Q1390" s="37">
        <v>0</v>
      </c>
      <c r="R1390" s="31">
        <v>0</v>
      </c>
      <c r="S1390" s="31">
        <v>0</v>
      </c>
      <c r="T1390" s="31">
        <v>0</v>
      </c>
      <c r="U1390" s="37">
        <v>0.8</v>
      </c>
      <c r="V1390" s="31">
        <v>1</v>
      </c>
      <c r="W1390" s="31">
        <v>0</v>
      </c>
      <c r="X1390" s="38">
        <v>30</v>
      </c>
      <c r="Y1390" s="31">
        <v>1</v>
      </c>
      <c r="Z1390" s="31">
        <v>0</v>
      </c>
      <c r="AA1390" s="31" t="s">
        <v>212</v>
      </c>
      <c r="AB1390" s="31" t="s">
        <v>220</v>
      </c>
      <c r="AC1390" s="41">
        <f>IFERROR(LOOKUP(M1390,打分卡!$F$7:$J$7,打分卡!$K$7:$O$7),1)</f>
        <v>1</v>
      </c>
      <c r="AD1390" s="41">
        <f>IFERROR(LOOKUP(S1390,打分卡!$F$8:$J$8,打分卡!$K$8:$O$8),1)</f>
        <v>1</v>
      </c>
      <c r="AE1390" s="41">
        <f>IFERROR(LOOKUP(T1390,打分卡!$F$9:$I$9,打分卡!$K$9:$N$9),1)</f>
        <v>1</v>
      </c>
      <c r="AF1390" s="41">
        <f>IFERROR(LOOKUP(Q1390,打分卡!$F$10:$J$10,打分卡!$K$10:$O$10),1)</f>
        <v>1</v>
      </c>
      <c r="AG1390" s="41">
        <f>IFERROR(LOOKUP(R1390,打分卡!$F$11:$J$11,打分卡!$K$11:$O$11),1)</f>
        <v>1</v>
      </c>
      <c r="AH1390" s="41">
        <f>IFERROR(LOOKUP(U1390,打分卡!$F$12:$J$12,打分卡!$K$12:$O$12),1)</f>
        <v>1</v>
      </c>
      <c r="AI1390" s="41">
        <f>IFERROR(LOOKUP(X1390,打分卡!$F$13:$J$13,打分卡!$K$13:$O$13),1)</f>
        <v>2</v>
      </c>
      <c r="AJ1390" s="41">
        <f>IFERROR(LOOKUP(Y1390,打分卡!$F$14:$J$14,打分卡!$K$14:$O$14),1)</f>
        <v>2</v>
      </c>
      <c r="AK1390" s="41">
        <f>IFERROR(LOOKUP(W1390,打分卡!$F$15:$J$15,打分卡!$K$15:$O$15),1)</f>
        <v>1</v>
      </c>
      <c r="AL1390" s="43">
        <f t="shared" si="169"/>
        <v>1</v>
      </c>
      <c r="AM1390" s="41">
        <f>IFERROR(LOOKUP(Z1390,打分卡!$F$17:$H$17,打分卡!$K$17:$M$17),1)</f>
        <v>1</v>
      </c>
      <c r="AN1390" s="44">
        <f>(打分卡!$D$7*AC1390+打分卡!$D$8*AD1390+打分卡!$D$9*AE1390)/5</f>
        <v>8</v>
      </c>
      <c r="AO1390" s="44">
        <f>(打分卡!$D$10*AF1390+打分卡!$D$11*AG1390)/5</f>
        <v>4</v>
      </c>
      <c r="AP1390" s="44">
        <f>(打分卡!$D$12*AH1390+打分卡!$D$13*AI1390+打分卡!$D$14*AJ1390+打分卡!$D$15*AK1390)/5</f>
        <v>8.8</v>
      </c>
      <c r="AQ1390" s="44">
        <f>(打分卡!$D$16*AL1390+打分卡!$D$17*AM1390)/5</f>
        <v>2</v>
      </c>
      <c r="AR1390" s="47">
        <f t="shared" si="170"/>
        <v>22.8</v>
      </c>
      <c r="AS1390" s="43" t="str">
        <f t="shared" si="171"/>
        <v>未激活</v>
      </c>
      <c r="AT1390" s="43" t="str">
        <f t="shared" si="172"/>
        <v>连续下降-预警</v>
      </c>
      <c r="AU1390" s="43" t="str">
        <f t="shared" si="173"/>
        <v>唤醒：短信模板+首充补贴</v>
      </c>
    </row>
    <row r="1391" ht="15" customHeight="1" spans="1:47">
      <c r="A1391" s="20" t="s">
        <v>3581</v>
      </c>
      <c r="B1391" s="22" t="s">
        <v>3582</v>
      </c>
      <c r="C1391" s="22" t="s">
        <v>218</v>
      </c>
      <c r="D1391" s="22" t="s">
        <v>202</v>
      </c>
      <c r="E1391" s="22" t="s">
        <v>181</v>
      </c>
      <c r="F1391" s="20" t="s">
        <v>3583</v>
      </c>
      <c r="G1391" s="22">
        <v>23</v>
      </c>
      <c r="H1391" s="22" t="s">
        <v>3535</v>
      </c>
      <c r="I1391" s="22" t="s">
        <v>302</v>
      </c>
      <c r="J1391" s="36">
        <v>0</v>
      </c>
      <c r="K1391" s="36">
        <v>0</v>
      </c>
      <c r="L1391" s="36">
        <v>0</v>
      </c>
      <c r="M1391" s="36">
        <f t="shared" si="168"/>
        <v>0</v>
      </c>
      <c r="N1391" s="34">
        <f t="shared" si="174"/>
        <v>0</v>
      </c>
      <c r="O1391" s="35">
        <f>SUM($M$2:M1391)</f>
        <v>190743600</v>
      </c>
      <c r="P1391" s="34">
        <f t="shared" si="175"/>
        <v>1</v>
      </c>
      <c r="Q1391" s="39">
        <v>0</v>
      </c>
      <c r="R1391" s="22">
        <v>0</v>
      </c>
      <c r="S1391" s="22">
        <v>0</v>
      </c>
      <c r="T1391" s="22">
        <v>0</v>
      </c>
      <c r="U1391" s="39">
        <v>11</v>
      </c>
      <c r="V1391" s="22">
        <v>6</v>
      </c>
      <c r="W1391" s="22">
        <v>1</v>
      </c>
      <c r="X1391" s="40">
        <v>56</v>
      </c>
      <c r="Y1391" s="22">
        <v>1</v>
      </c>
      <c r="Z1391" s="22">
        <v>0</v>
      </c>
      <c r="AA1391" s="22" t="s">
        <v>212</v>
      </c>
      <c r="AB1391" s="22" t="s">
        <v>220</v>
      </c>
      <c r="AC1391" s="42">
        <f>IFERROR(LOOKUP(M1391,打分卡!$F$7:$J$7,打分卡!$K$7:$O$7),1)</f>
        <v>1</v>
      </c>
      <c r="AD1391" s="42">
        <f>IFERROR(LOOKUP(S1391,打分卡!$F$8:$J$8,打分卡!$K$8:$O$8),1)</f>
        <v>1</v>
      </c>
      <c r="AE1391" s="42">
        <f>IFERROR(LOOKUP(T1391,打分卡!$F$9:$I$9,打分卡!$K$9:$N$9),1)</f>
        <v>1</v>
      </c>
      <c r="AF1391" s="42">
        <f>IFERROR(LOOKUP(Q1391,打分卡!$F$10:$J$10,打分卡!$K$10:$O$10),1)</f>
        <v>1</v>
      </c>
      <c r="AG1391" s="42">
        <f>IFERROR(LOOKUP(R1391,打分卡!$F$11:$J$11,打分卡!$K$11:$O$11),1)</f>
        <v>1</v>
      </c>
      <c r="AH1391" s="42">
        <f>IFERROR(LOOKUP(U1391,打分卡!$F$12:$J$12,打分卡!$K$12:$O$12),1)</f>
        <v>3</v>
      </c>
      <c r="AI1391" s="42">
        <f>IFERROR(LOOKUP(X1391,打分卡!$F$13:$J$13,打分卡!$K$13:$O$13),1)</f>
        <v>3</v>
      </c>
      <c r="AJ1391" s="42">
        <f>IFERROR(LOOKUP(Y1391,打分卡!$F$14:$J$14,打分卡!$K$14:$O$14),1)</f>
        <v>2</v>
      </c>
      <c r="AK1391" s="42">
        <f>IFERROR(LOOKUP(W1391,打分卡!$F$15:$J$15,打分卡!$K$15:$O$15),1)</f>
        <v>2</v>
      </c>
      <c r="AL1391" s="45">
        <f t="shared" si="169"/>
        <v>1</v>
      </c>
      <c r="AM1391" s="42">
        <f>IFERROR(LOOKUP(Z1391,打分卡!$F$17:$H$17,打分卡!$K$17:$M$17),1)</f>
        <v>1</v>
      </c>
      <c r="AN1391" s="46">
        <f>(打分卡!$D$7*AC1391+打分卡!$D$8*AD1391+打分卡!$D$9*AE1391)/5</f>
        <v>8</v>
      </c>
      <c r="AO1391" s="46">
        <f>(打分卡!$D$10*AF1391+打分卡!$D$11*AG1391)/5</f>
        <v>4</v>
      </c>
      <c r="AP1391" s="46">
        <f>(打分卡!$D$12*AH1391+打分卡!$D$13*AI1391+打分卡!$D$14*AJ1391+打分卡!$D$15*AK1391)/5</f>
        <v>16</v>
      </c>
      <c r="AQ1391" s="46">
        <f>(打分卡!$D$16*AL1391+打分卡!$D$17*AM1391)/5</f>
        <v>2</v>
      </c>
      <c r="AR1391" s="48">
        <f t="shared" si="170"/>
        <v>30</v>
      </c>
      <c r="AS1391" s="45" t="str">
        <f t="shared" si="171"/>
        <v>未激活</v>
      </c>
      <c r="AT1391" s="45" t="str">
        <f t="shared" si="172"/>
        <v>连续下降-预警</v>
      </c>
      <c r="AU1391" s="45" t="str">
        <f t="shared" si="173"/>
        <v>唤醒：短信模板+首充补贴</v>
      </c>
    </row>
    <row r="1392" ht="15" customHeight="1" spans="1:47">
      <c r="A1392" s="30" t="s">
        <v>3584</v>
      </c>
      <c r="B1392" s="31" t="s">
        <v>3585</v>
      </c>
      <c r="C1392" s="31" t="s">
        <v>179</v>
      </c>
      <c r="D1392" s="31" t="s">
        <v>227</v>
      </c>
      <c r="E1392" s="31" t="s">
        <v>181</v>
      </c>
      <c r="F1392" s="30" t="s">
        <v>917</v>
      </c>
      <c r="G1392" s="31">
        <v>20</v>
      </c>
      <c r="H1392" s="31" t="s">
        <v>3535</v>
      </c>
      <c r="I1392" s="31" t="s">
        <v>302</v>
      </c>
      <c r="J1392" s="33">
        <v>0</v>
      </c>
      <c r="K1392" s="33">
        <v>0</v>
      </c>
      <c r="L1392" s="33">
        <v>0</v>
      </c>
      <c r="M1392" s="33">
        <f t="shared" si="168"/>
        <v>0</v>
      </c>
      <c r="N1392" s="34">
        <f t="shared" si="174"/>
        <v>0</v>
      </c>
      <c r="O1392" s="35">
        <f>SUM($M$2:M1392)</f>
        <v>190743600</v>
      </c>
      <c r="P1392" s="34">
        <f t="shared" si="175"/>
        <v>1</v>
      </c>
      <c r="Q1392" s="37">
        <v>0</v>
      </c>
      <c r="R1392" s="31">
        <v>0</v>
      </c>
      <c r="S1392" s="31">
        <v>0</v>
      </c>
      <c r="T1392" s="31">
        <v>0</v>
      </c>
      <c r="U1392" s="37">
        <v>0.5</v>
      </c>
      <c r="V1392" s="31">
        <v>8</v>
      </c>
      <c r="W1392" s="31">
        <v>2</v>
      </c>
      <c r="X1392" s="38">
        <v>6</v>
      </c>
      <c r="Y1392" s="31">
        <v>1</v>
      </c>
      <c r="Z1392" s="31">
        <v>0</v>
      </c>
      <c r="AA1392" s="31" t="s">
        <v>212</v>
      </c>
      <c r="AB1392" s="31" t="s">
        <v>220</v>
      </c>
      <c r="AC1392" s="41">
        <f>IFERROR(LOOKUP(M1392,打分卡!$F$7:$J$7,打分卡!$K$7:$O$7),1)</f>
        <v>1</v>
      </c>
      <c r="AD1392" s="41">
        <f>IFERROR(LOOKUP(S1392,打分卡!$F$8:$J$8,打分卡!$K$8:$O$8),1)</f>
        <v>1</v>
      </c>
      <c r="AE1392" s="41">
        <f>IFERROR(LOOKUP(T1392,打分卡!$F$9:$I$9,打分卡!$K$9:$N$9),1)</f>
        <v>1</v>
      </c>
      <c r="AF1392" s="41">
        <f>IFERROR(LOOKUP(Q1392,打分卡!$F$10:$J$10,打分卡!$K$10:$O$10),1)</f>
        <v>1</v>
      </c>
      <c r="AG1392" s="41">
        <f>IFERROR(LOOKUP(R1392,打分卡!$F$11:$J$11,打分卡!$K$11:$O$11),1)</f>
        <v>1</v>
      </c>
      <c r="AH1392" s="41">
        <f>IFERROR(LOOKUP(U1392,打分卡!$F$12:$J$12,打分卡!$K$12:$O$12),1)</f>
        <v>1</v>
      </c>
      <c r="AI1392" s="41">
        <f>IFERROR(LOOKUP(X1392,打分卡!$F$13:$J$13,打分卡!$K$13:$O$13),1)</f>
        <v>1</v>
      </c>
      <c r="AJ1392" s="41">
        <f>IFERROR(LOOKUP(Y1392,打分卡!$F$14:$J$14,打分卡!$K$14:$O$14),1)</f>
        <v>2</v>
      </c>
      <c r="AK1392" s="41">
        <f>IFERROR(LOOKUP(W1392,打分卡!$F$15:$J$15,打分卡!$K$15:$O$15),1)</f>
        <v>2</v>
      </c>
      <c r="AL1392" s="43">
        <f t="shared" si="169"/>
        <v>1</v>
      </c>
      <c r="AM1392" s="41">
        <f>IFERROR(LOOKUP(Z1392,打分卡!$F$17:$H$17,打分卡!$K$17:$M$17),1)</f>
        <v>1</v>
      </c>
      <c r="AN1392" s="44">
        <f>(打分卡!$D$7*AC1392+打分卡!$D$8*AD1392+打分卡!$D$9*AE1392)/5</f>
        <v>8</v>
      </c>
      <c r="AO1392" s="44">
        <f>(打分卡!$D$10*AF1392+打分卡!$D$11*AG1392)/5</f>
        <v>4</v>
      </c>
      <c r="AP1392" s="44">
        <f>(打分卡!$D$12*AH1392+打分卡!$D$13*AI1392+打分卡!$D$14*AJ1392+打分卡!$D$15*AK1392)/5</f>
        <v>8</v>
      </c>
      <c r="AQ1392" s="44">
        <f>(打分卡!$D$16*AL1392+打分卡!$D$17*AM1392)/5</f>
        <v>2</v>
      </c>
      <c r="AR1392" s="47">
        <f t="shared" si="170"/>
        <v>22</v>
      </c>
      <c r="AS1392" s="43" t="str">
        <f t="shared" si="171"/>
        <v>未激活</v>
      </c>
      <c r="AT1392" s="43" t="str">
        <f t="shared" si="172"/>
        <v>连续下降-预警</v>
      </c>
      <c r="AU1392" s="43" t="str">
        <f t="shared" si="173"/>
        <v>唤醒：短信模板+首充补贴</v>
      </c>
    </row>
    <row r="1393" ht="15" customHeight="1" spans="1:47">
      <c r="A1393" s="20" t="s">
        <v>3586</v>
      </c>
      <c r="B1393" s="22" t="s">
        <v>3587</v>
      </c>
      <c r="C1393" s="22" t="s">
        <v>218</v>
      </c>
      <c r="D1393" s="22" t="s">
        <v>202</v>
      </c>
      <c r="E1393" s="22" t="s">
        <v>181</v>
      </c>
      <c r="F1393" s="20" t="s">
        <v>3588</v>
      </c>
      <c r="G1393" s="22">
        <v>22</v>
      </c>
      <c r="H1393" s="22" t="s">
        <v>3535</v>
      </c>
      <c r="I1393" s="22" t="s">
        <v>302</v>
      </c>
      <c r="J1393" s="36">
        <v>0</v>
      </c>
      <c r="K1393" s="36">
        <v>0</v>
      </c>
      <c r="L1393" s="36">
        <v>0</v>
      </c>
      <c r="M1393" s="36">
        <f t="shared" si="168"/>
        <v>0</v>
      </c>
      <c r="N1393" s="34">
        <f t="shared" si="174"/>
        <v>0</v>
      </c>
      <c r="O1393" s="35">
        <f>SUM($M$2:M1393)</f>
        <v>190743600</v>
      </c>
      <c r="P1393" s="34">
        <f t="shared" si="175"/>
        <v>1</v>
      </c>
      <c r="Q1393" s="39">
        <v>0</v>
      </c>
      <c r="R1393" s="22">
        <v>0</v>
      </c>
      <c r="S1393" s="22">
        <v>0</v>
      </c>
      <c r="T1393" s="22">
        <v>0</v>
      </c>
      <c r="U1393" s="39">
        <v>8</v>
      </c>
      <c r="V1393" s="22">
        <v>8</v>
      </c>
      <c r="W1393" s="22">
        <v>0</v>
      </c>
      <c r="X1393" s="40">
        <v>8</v>
      </c>
      <c r="Y1393" s="22">
        <v>1</v>
      </c>
      <c r="Z1393" s="22">
        <v>0</v>
      </c>
      <c r="AA1393" s="22" t="s">
        <v>212</v>
      </c>
      <c r="AB1393" s="22" t="s">
        <v>220</v>
      </c>
      <c r="AC1393" s="42">
        <f>IFERROR(LOOKUP(M1393,打分卡!$F$7:$J$7,打分卡!$K$7:$O$7),1)</f>
        <v>1</v>
      </c>
      <c r="AD1393" s="42">
        <f>IFERROR(LOOKUP(S1393,打分卡!$F$8:$J$8,打分卡!$K$8:$O$8),1)</f>
        <v>1</v>
      </c>
      <c r="AE1393" s="42">
        <f>IFERROR(LOOKUP(T1393,打分卡!$F$9:$I$9,打分卡!$K$9:$N$9),1)</f>
        <v>1</v>
      </c>
      <c r="AF1393" s="42">
        <f>IFERROR(LOOKUP(Q1393,打分卡!$F$10:$J$10,打分卡!$K$10:$O$10),1)</f>
        <v>1</v>
      </c>
      <c r="AG1393" s="42">
        <f>IFERROR(LOOKUP(R1393,打分卡!$F$11:$J$11,打分卡!$K$11:$O$11),1)</f>
        <v>1</v>
      </c>
      <c r="AH1393" s="42">
        <f>IFERROR(LOOKUP(U1393,打分卡!$F$12:$J$12,打分卡!$K$12:$O$12),1)</f>
        <v>2</v>
      </c>
      <c r="AI1393" s="42">
        <f>IFERROR(LOOKUP(X1393,打分卡!$F$13:$J$13,打分卡!$K$13:$O$13),1)</f>
        <v>1</v>
      </c>
      <c r="AJ1393" s="42">
        <f>IFERROR(LOOKUP(Y1393,打分卡!$F$14:$J$14,打分卡!$K$14:$O$14),1)</f>
        <v>2</v>
      </c>
      <c r="AK1393" s="42">
        <f>IFERROR(LOOKUP(W1393,打分卡!$F$15:$J$15,打分卡!$K$15:$O$15),1)</f>
        <v>1</v>
      </c>
      <c r="AL1393" s="45">
        <f t="shared" si="169"/>
        <v>1</v>
      </c>
      <c r="AM1393" s="42">
        <f>IFERROR(LOOKUP(Z1393,打分卡!$F$17:$H$17,打分卡!$K$17:$M$17),1)</f>
        <v>1</v>
      </c>
      <c r="AN1393" s="46">
        <f>(打分卡!$D$7*AC1393+打分卡!$D$8*AD1393+打分卡!$D$9*AE1393)/5</f>
        <v>8</v>
      </c>
      <c r="AO1393" s="46">
        <f>(打分卡!$D$10*AF1393+打分卡!$D$11*AG1393)/5</f>
        <v>4</v>
      </c>
      <c r="AP1393" s="46">
        <f>(打分卡!$D$12*AH1393+打分卡!$D$13*AI1393+打分卡!$D$14*AJ1393+打分卡!$D$15*AK1393)/5</f>
        <v>9.6</v>
      </c>
      <c r="AQ1393" s="46">
        <f>(打分卡!$D$16*AL1393+打分卡!$D$17*AM1393)/5</f>
        <v>2</v>
      </c>
      <c r="AR1393" s="48">
        <f t="shared" si="170"/>
        <v>23.6</v>
      </c>
      <c r="AS1393" s="45" t="str">
        <f t="shared" si="171"/>
        <v>未激活</v>
      </c>
      <c r="AT1393" s="45" t="str">
        <f t="shared" si="172"/>
        <v>连续下降-预警</v>
      </c>
      <c r="AU1393" s="45" t="str">
        <f t="shared" si="173"/>
        <v>唤醒：短信模板+首充补贴</v>
      </c>
    </row>
    <row r="1394" ht="15" customHeight="1" spans="1:47">
      <c r="A1394" s="30" t="s">
        <v>3589</v>
      </c>
      <c r="B1394" s="31" t="s">
        <v>3590</v>
      </c>
      <c r="C1394" s="31" t="s">
        <v>179</v>
      </c>
      <c r="D1394" s="31" t="s">
        <v>202</v>
      </c>
      <c r="E1394" s="31" t="s">
        <v>181</v>
      </c>
      <c r="F1394" s="30" t="s">
        <v>1482</v>
      </c>
      <c r="G1394" s="31">
        <v>19</v>
      </c>
      <c r="H1394" s="31" t="s">
        <v>3535</v>
      </c>
      <c r="I1394" s="31" t="s">
        <v>302</v>
      </c>
      <c r="J1394" s="33">
        <v>0</v>
      </c>
      <c r="K1394" s="33">
        <v>0</v>
      </c>
      <c r="L1394" s="33">
        <v>0</v>
      </c>
      <c r="M1394" s="33">
        <f t="shared" si="168"/>
        <v>0</v>
      </c>
      <c r="N1394" s="34">
        <f t="shared" si="174"/>
        <v>0</v>
      </c>
      <c r="O1394" s="35">
        <f>SUM($M$2:M1394)</f>
        <v>190743600</v>
      </c>
      <c r="P1394" s="34">
        <f t="shared" si="175"/>
        <v>1</v>
      </c>
      <c r="Q1394" s="37">
        <v>0</v>
      </c>
      <c r="R1394" s="31">
        <v>0</v>
      </c>
      <c r="S1394" s="31">
        <v>0</v>
      </c>
      <c r="T1394" s="31">
        <v>0</v>
      </c>
      <c r="U1394" s="37">
        <v>2.1</v>
      </c>
      <c r="V1394" s="31">
        <v>2</v>
      </c>
      <c r="W1394" s="31">
        <v>0</v>
      </c>
      <c r="X1394" s="38">
        <v>8</v>
      </c>
      <c r="Y1394" s="31">
        <v>1</v>
      </c>
      <c r="Z1394" s="31">
        <v>0</v>
      </c>
      <c r="AA1394" s="31" t="s">
        <v>212</v>
      </c>
      <c r="AB1394" s="31" t="s">
        <v>220</v>
      </c>
      <c r="AC1394" s="41">
        <f>IFERROR(LOOKUP(M1394,打分卡!$F$7:$J$7,打分卡!$K$7:$O$7),1)</f>
        <v>1</v>
      </c>
      <c r="AD1394" s="41">
        <f>IFERROR(LOOKUP(S1394,打分卡!$F$8:$J$8,打分卡!$K$8:$O$8),1)</f>
        <v>1</v>
      </c>
      <c r="AE1394" s="41">
        <f>IFERROR(LOOKUP(T1394,打分卡!$F$9:$I$9,打分卡!$K$9:$N$9),1)</f>
        <v>1</v>
      </c>
      <c r="AF1394" s="41">
        <f>IFERROR(LOOKUP(Q1394,打分卡!$F$10:$J$10,打分卡!$K$10:$O$10),1)</f>
        <v>1</v>
      </c>
      <c r="AG1394" s="41">
        <f>IFERROR(LOOKUP(R1394,打分卡!$F$11:$J$11,打分卡!$K$11:$O$11),1)</f>
        <v>1</v>
      </c>
      <c r="AH1394" s="41">
        <f>IFERROR(LOOKUP(U1394,打分卡!$F$12:$J$12,打分卡!$K$12:$O$12),1)</f>
        <v>1</v>
      </c>
      <c r="AI1394" s="41">
        <f>IFERROR(LOOKUP(X1394,打分卡!$F$13:$J$13,打分卡!$K$13:$O$13),1)</f>
        <v>1</v>
      </c>
      <c r="AJ1394" s="41">
        <f>IFERROR(LOOKUP(Y1394,打分卡!$F$14:$J$14,打分卡!$K$14:$O$14),1)</f>
        <v>2</v>
      </c>
      <c r="AK1394" s="41">
        <f>IFERROR(LOOKUP(W1394,打分卡!$F$15:$J$15,打分卡!$K$15:$O$15),1)</f>
        <v>1</v>
      </c>
      <c r="AL1394" s="43">
        <f t="shared" si="169"/>
        <v>1</v>
      </c>
      <c r="AM1394" s="41">
        <f>IFERROR(LOOKUP(Z1394,打分卡!$F$17:$H$17,打分卡!$K$17:$M$17),1)</f>
        <v>1</v>
      </c>
      <c r="AN1394" s="44">
        <f>(打分卡!$D$7*AC1394+打分卡!$D$8*AD1394+打分卡!$D$9*AE1394)/5</f>
        <v>8</v>
      </c>
      <c r="AO1394" s="44">
        <f>(打分卡!$D$10*AF1394+打分卡!$D$11*AG1394)/5</f>
        <v>4</v>
      </c>
      <c r="AP1394" s="44">
        <f>(打分卡!$D$12*AH1394+打分卡!$D$13*AI1394+打分卡!$D$14*AJ1394+打分卡!$D$15*AK1394)/5</f>
        <v>7.2</v>
      </c>
      <c r="AQ1394" s="44">
        <f>(打分卡!$D$16*AL1394+打分卡!$D$17*AM1394)/5</f>
        <v>2</v>
      </c>
      <c r="AR1394" s="47">
        <f t="shared" si="170"/>
        <v>21.2</v>
      </c>
      <c r="AS1394" s="43" t="str">
        <f t="shared" si="171"/>
        <v>未激活</v>
      </c>
      <c r="AT1394" s="43" t="str">
        <f t="shared" si="172"/>
        <v>连续下降-预警</v>
      </c>
      <c r="AU1394" s="43" t="str">
        <f t="shared" si="173"/>
        <v>唤醒：短信模板+首充补贴</v>
      </c>
    </row>
    <row r="1395" ht="15" customHeight="1" spans="1:47">
      <c r="A1395" s="20" t="s">
        <v>3591</v>
      </c>
      <c r="B1395" s="22" t="s">
        <v>3592</v>
      </c>
      <c r="C1395" s="22" t="s">
        <v>189</v>
      </c>
      <c r="D1395" s="22" t="s">
        <v>196</v>
      </c>
      <c r="E1395" s="22" t="s">
        <v>181</v>
      </c>
      <c r="F1395" s="20" t="s">
        <v>516</v>
      </c>
      <c r="G1395" s="22">
        <v>22</v>
      </c>
      <c r="H1395" s="22" t="s">
        <v>3535</v>
      </c>
      <c r="I1395" s="22" t="s">
        <v>302</v>
      </c>
      <c r="J1395" s="36">
        <v>0</v>
      </c>
      <c r="K1395" s="36">
        <v>0</v>
      </c>
      <c r="L1395" s="36">
        <v>0</v>
      </c>
      <c r="M1395" s="36">
        <f t="shared" si="168"/>
        <v>0</v>
      </c>
      <c r="N1395" s="34">
        <f t="shared" si="174"/>
        <v>0</v>
      </c>
      <c r="O1395" s="35">
        <f>SUM($M$2:M1395)</f>
        <v>190743600</v>
      </c>
      <c r="P1395" s="34">
        <f t="shared" si="175"/>
        <v>1</v>
      </c>
      <c r="Q1395" s="39">
        <v>0</v>
      </c>
      <c r="R1395" s="22">
        <v>0</v>
      </c>
      <c r="S1395" s="22">
        <v>0</v>
      </c>
      <c r="T1395" s="22">
        <v>0</v>
      </c>
      <c r="U1395" s="39">
        <v>2.3</v>
      </c>
      <c r="V1395" s="22">
        <v>2</v>
      </c>
      <c r="W1395" s="22">
        <v>2</v>
      </c>
      <c r="X1395" s="40">
        <v>16</v>
      </c>
      <c r="Y1395" s="22">
        <v>1</v>
      </c>
      <c r="Z1395" s="22">
        <v>0</v>
      </c>
      <c r="AA1395" s="22" t="s">
        <v>212</v>
      </c>
      <c r="AB1395" s="22" t="s">
        <v>220</v>
      </c>
      <c r="AC1395" s="42">
        <f>IFERROR(LOOKUP(M1395,打分卡!$F$7:$J$7,打分卡!$K$7:$O$7),1)</f>
        <v>1</v>
      </c>
      <c r="AD1395" s="42">
        <f>IFERROR(LOOKUP(S1395,打分卡!$F$8:$J$8,打分卡!$K$8:$O$8),1)</f>
        <v>1</v>
      </c>
      <c r="AE1395" s="42">
        <f>IFERROR(LOOKUP(T1395,打分卡!$F$9:$I$9,打分卡!$K$9:$N$9),1)</f>
        <v>1</v>
      </c>
      <c r="AF1395" s="42">
        <f>IFERROR(LOOKUP(Q1395,打分卡!$F$10:$J$10,打分卡!$K$10:$O$10),1)</f>
        <v>1</v>
      </c>
      <c r="AG1395" s="42">
        <f>IFERROR(LOOKUP(R1395,打分卡!$F$11:$J$11,打分卡!$K$11:$O$11),1)</f>
        <v>1</v>
      </c>
      <c r="AH1395" s="42">
        <f>IFERROR(LOOKUP(U1395,打分卡!$F$12:$J$12,打分卡!$K$12:$O$12),1)</f>
        <v>1</v>
      </c>
      <c r="AI1395" s="42">
        <f>IFERROR(LOOKUP(X1395,打分卡!$F$13:$J$13,打分卡!$K$13:$O$13),1)</f>
        <v>1</v>
      </c>
      <c r="AJ1395" s="42">
        <f>IFERROR(LOOKUP(Y1395,打分卡!$F$14:$J$14,打分卡!$K$14:$O$14),1)</f>
        <v>2</v>
      </c>
      <c r="AK1395" s="42">
        <f>IFERROR(LOOKUP(W1395,打分卡!$F$15:$J$15,打分卡!$K$15:$O$15),1)</f>
        <v>2</v>
      </c>
      <c r="AL1395" s="45">
        <f t="shared" si="169"/>
        <v>1</v>
      </c>
      <c r="AM1395" s="42">
        <f>IFERROR(LOOKUP(Z1395,打分卡!$F$17:$H$17,打分卡!$K$17:$M$17),1)</f>
        <v>1</v>
      </c>
      <c r="AN1395" s="46">
        <f>(打分卡!$D$7*AC1395+打分卡!$D$8*AD1395+打分卡!$D$9*AE1395)/5</f>
        <v>8</v>
      </c>
      <c r="AO1395" s="46">
        <f>(打分卡!$D$10*AF1395+打分卡!$D$11*AG1395)/5</f>
        <v>4</v>
      </c>
      <c r="AP1395" s="46">
        <f>(打分卡!$D$12*AH1395+打分卡!$D$13*AI1395+打分卡!$D$14*AJ1395+打分卡!$D$15*AK1395)/5</f>
        <v>8</v>
      </c>
      <c r="AQ1395" s="46">
        <f>(打分卡!$D$16*AL1395+打分卡!$D$17*AM1395)/5</f>
        <v>2</v>
      </c>
      <c r="AR1395" s="48">
        <f t="shared" si="170"/>
        <v>22</v>
      </c>
      <c r="AS1395" s="45" t="str">
        <f t="shared" si="171"/>
        <v>未激活</v>
      </c>
      <c r="AT1395" s="45" t="str">
        <f t="shared" si="172"/>
        <v>连续下降-预警</v>
      </c>
      <c r="AU1395" s="45" t="str">
        <f t="shared" si="173"/>
        <v>唤醒：短信模板+首充补贴</v>
      </c>
    </row>
    <row r="1396" ht="15" customHeight="1" spans="1:47">
      <c r="A1396" s="30" t="s">
        <v>3593</v>
      </c>
      <c r="B1396" s="31" t="s">
        <v>3594</v>
      </c>
      <c r="C1396" s="31" t="s">
        <v>234</v>
      </c>
      <c r="D1396" s="31" t="s">
        <v>202</v>
      </c>
      <c r="E1396" s="31" t="s">
        <v>197</v>
      </c>
      <c r="F1396" s="30" t="s">
        <v>3595</v>
      </c>
      <c r="G1396" s="31">
        <v>35</v>
      </c>
      <c r="H1396" s="31" t="s">
        <v>3535</v>
      </c>
      <c r="I1396" s="31" t="s">
        <v>302</v>
      </c>
      <c r="J1396" s="33">
        <v>0</v>
      </c>
      <c r="K1396" s="33">
        <v>0</v>
      </c>
      <c r="L1396" s="33">
        <v>0</v>
      </c>
      <c r="M1396" s="33">
        <f t="shared" si="168"/>
        <v>0</v>
      </c>
      <c r="N1396" s="34">
        <f t="shared" si="174"/>
        <v>0</v>
      </c>
      <c r="O1396" s="35">
        <f>SUM($M$2:M1396)</f>
        <v>190743600</v>
      </c>
      <c r="P1396" s="34">
        <f t="shared" si="175"/>
        <v>1</v>
      </c>
      <c r="Q1396" s="37">
        <v>0</v>
      </c>
      <c r="R1396" s="31">
        <v>0</v>
      </c>
      <c r="S1396" s="31">
        <v>0</v>
      </c>
      <c r="T1396" s="31">
        <v>0</v>
      </c>
      <c r="U1396" s="37">
        <v>0.9</v>
      </c>
      <c r="V1396" s="31">
        <v>14</v>
      </c>
      <c r="W1396" s="31">
        <v>2</v>
      </c>
      <c r="X1396" s="38">
        <v>51</v>
      </c>
      <c r="Y1396" s="31">
        <v>1</v>
      </c>
      <c r="Z1396" s="31">
        <v>0</v>
      </c>
      <c r="AA1396" s="31" t="s">
        <v>212</v>
      </c>
      <c r="AB1396" s="31" t="s">
        <v>220</v>
      </c>
      <c r="AC1396" s="41">
        <f>IFERROR(LOOKUP(M1396,打分卡!$F$7:$J$7,打分卡!$K$7:$O$7),1)</f>
        <v>1</v>
      </c>
      <c r="AD1396" s="41">
        <f>IFERROR(LOOKUP(S1396,打分卡!$F$8:$J$8,打分卡!$K$8:$O$8),1)</f>
        <v>1</v>
      </c>
      <c r="AE1396" s="41">
        <f>IFERROR(LOOKUP(T1396,打分卡!$F$9:$I$9,打分卡!$K$9:$N$9),1)</f>
        <v>1</v>
      </c>
      <c r="AF1396" s="41">
        <f>IFERROR(LOOKUP(Q1396,打分卡!$F$10:$J$10,打分卡!$K$10:$O$10),1)</f>
        <v>1</v>
      </c>
      <c r="AG1396" s="41">
        <f>IFERROR(LOOKUP(R1396,打分卡!$F$11:$J$11,打分卡!$K$11:$O$11),1)</f>
        <v>1</v>
      </c>
      <c r="AH1396" s="41">
        <f>IFERROR(LOOKUP(U1396,打分卡!$F$12:$J$12,打分卡!$K$12:$O$12),1)</f>
        <v>1</v>
      </c>
      <c r="AI1396" s="41">
        <f>IFERROR(LOOKUP(X1396,打分卡!$F$13:$J$13,打分卡!$K$13:$O$13),1)</f>
        <v>3</v>
      </c>
      <c r="AJ1396" s="41">
        <f>IFERROR(LOOKUP(Y1396,打分卡!$F$14:$J$14,打分卡!$K$14:$O$14),1)</f>
        <v>2</v>
      </c>
      <c r="AK1396" s="41">
        <f>IFERROR(LOOKUP(W1396,打分卡!$F$15:$J$15,打分卡!$K$15:$O$15),1)</f>
        <v>2</v>
      </c>
      <c r="AL1396" s="43">
        <f t="shared" si="169"/>
        <v>1</v>
      </c>
      <c r="AM1396" s="41">
        <f>IFERROR(LOOKUP(Z1396,打分卡!$F$17:$H$17,打分卡!$K$17:$M$17),1)</f>
        <v>1</v>
      </c>
      <c r="AN1396" s="44">
        <f>(打分卡!$D$7*AC1396+打分卡!$D$8*AD1396+打分卡!$D$9*AE1396)/5</f>
        <v>8</v>
      </c>
      <c r="AO1396" s="44">
        <f>(打分卡!$D$10*AF1396+打分卡!$D$11*AG1396)/5</f>
        <v>4</v>
      </c>
      <c r="AP1396" s="44">
        <f>(打分卡!$D$12*AH1396+打分卡!$D$13*AI1396+打分卡!$D$14*AJ1396+打分卡!$D$15*AK1396)/5</f>
        <v>11.2</v>
      </c>
      <c r="AQ1396" s="44">
        <f>(打分卡!$D$16*AL1396+打分卡!$D$17*AM1396)/5</f>
        <v>2</v>
      </c>
      <c r="AR1396" s="47">
        <f t="shared" si="170"/>
        <v>25.2</v>
      </c>
      <c r="AS1396" s="43" t="str">
        <f t="shared" si="171"/>
        <v>未激活</v>
      </c>
      <c r="AT1396" s="43" t="str">
        <f t="shared" si="172"/>
        <v>连续下降-预警</v>
      </c>
      <c r="AU1396" s="43" t="str">
        <f t="shared" si="173"/>
        <v>唤醒：短信模板+首充补贴</v>
      </c>
    </row>
    <row r="1397" ht="15" customHeight="1" spans="1:47">
      <c r="A1397" s="20" t="s">
        <v>3596</v>
      </c>
      <c r="B1397" s="22" t="s">
        <v>3597</v>
      </c>
      <c r="C1397" s="22" t="s">
        <v>239</v>
      </c>
      <c r="D1397" s="22" t="s">
        <v>202</v>
      </c>
      <c r="E1397" s="22" t="s">
        <v>181</v>
      </c>
      <c r="F1397" s="20" t="s">
        <v>1159</v>
      </c>
      <c r="G1397" s="22">
        <v>20</v>
      </c>
      <c r="H1397" s="22" t="s">
        <v>3535</v>
      </c>
      <c r="I1397" s="22" t="s">
        <v>302</v>
      </c>
      <c r="J1397" s="36">
        <v>0</v>
      </c>
      <c r="K1397" s="36">
        <v>0</v>
      </c>
      <c r="L1397" s="36">
        <v>0</v>
      </c>
      <c r="M1397" s="36">
        <f t="shared" si="168"/>
        <v>0</v>
      </c>
      <c r="N1397" s="34">
        <f t="shared" si="174"/>
        <v>0</v>
      </c>
      <c r="O1397" s="35">
        <f>SUM($M$2:M1397)</f>
        <v>190743600</v>
      </c>
      <c r="P1397" s="34">
        <f t="shared" si="175"/>
        <v>1</v>
      </c>
      <c r="Q1397" s="39">
        <v>0</v>
      </c>
      <c r="R1397" s="22">
        <v>0</v>
      </c>
      <c r="S1397" s="22">
        <v>0</v>
      </c>
      <c r="T1397" s="22">
        <v>0</v>
      </c>
      <c r="U1397" s="39">
        <v>9.3</v>
      </c>
      <c r="V1397" s="22">
        <v>15</v>
      </c>
      <c r="W1397" s="22">
        <v>0</v>
      </c>
      <c r="X1397" s="40">
        <v>10</v>
      </c>
      <c r="Y1397" s="22">
        <v>0</v>
      </c>
      <c r="Z1397" s="22">
        <v>0</v>
      </c>
      <c r="AA1397" s="22" t="s">
        <v>212</v>
      </c>
      <c r="AB1397" s="22" t="s">
        <v>220</v>
      </c>
      <c r="AC1397" s="42">
        <f>IFERROR(LOOKUP(M1397,打分卡!$F$7:$J$7,打分卡!$K$7:$O$7),1)</f>
        <v>1</v>
      </c>
      <c r="AD1397" s="42">
        <f>IFERROR(LOOKUP(S1397,打分卡!$F$8:$J$8,打分卡!$K$8:$O$8),1)</f>
        <v>1</v>
      </c>
      <c r="AE1397" s="42">
        <f>IFERROR(LOOKUP(T1397,打分卡!$F$9:$I$9,打分卡!$K$9:$N$9),1)</f>
        <v>1</v>
      </c>
      <c r="AF1397" s="42">
        <f>IFERROR(LOOKUP(Q1397,打分卡!$F$10:$J$10,打分卡!$K$10:$O$10),1)</f>
        <v>1</v>
      </c>
      <c r="AG1397" s="42">
        <f>IFERROR(LOOKUP(R1397,打分卡!$F$11:$J$11,打分卡!$K$11:$O$11),1)</f>
        <v>1</v>
      </c>
      <c r="AH1397" s="42">
        <f>IFERROR(LOOKUP(U1397,打分卡!$F$12:$J$12,打分卡!$K$12:$O$12),1)</f>
        <v>2</v>
      </c>
      <c r="AI1397" s="42">
        <f>IFERROR(LOOKUP(X1397,打分卡!$F$13:$J$13,打分卡!$K$13:$O$13),1)</f>
        <v>1</v>
      </c>
      <c r="AJ1397" s="42">
        <f>IFERROR(LOOKUP(Y1397,打分卡!$F$14:$J$14,打分卡!$K$14:$O$14),1)</f>
        <v>1</v>
      </c>
      <c r="AK1397" s="42">
        <f>IFERROR(LOOKUP(W1397,打分卡!$F$15:$J$15,打分卡!$K$15:$O$15),1)</f>
        <v>1</v>
      </c>
      <c r="AL1397" s="45">
        <f t="shared" si="169"/>
        <v>1</v>
      </c>
      <c r="AM1397" s="42">
        <f>IFERROR(LOOKUP(Z1397,打分卡!$F$17:$H$17,打分卡!$K$17:$M$17),1)</f>
        <v>1</v>
      </c>
      <c r="AN1397" s="46">
        <f>(打分卡!$D$7*AC1397+打分卡!$D$8*AD1397+打分卡!$D$9*AE1397)/5</f>
        <v>8</v>
      </c>
      <c r="AO1397" s="46">
        <f>(打分卡!$D$10*AF1397+打分卡!$D$11*AG1397)/5</f>
        <v>4</v>
      </c>
      <c r="AP1397" s="46">
        <f>(打分卡!$D$12*AH1397+打分卡!$D$13*AI1397+打分卡!$D$14*AJ1397+打分卡!$D$15*AK1397)/5</f>
        <v>8.4</v>
      </c>
      <c r="AQ1397" s="46">
        <f>(打分卡!$D$16*AL1397+打分卡!$D$17*AM1397)/5</f>
        <v>2</v>
      </c>
      <c r="AR1397" s="48">
        <f t="shared" si="170"/>
        <v>22.4</v>
      </c>
      <c r="AS1397" s="45" t="str">
        <f t="shared" si="171"/>
        <v>未激活</v>
      </c>
      <c r="AT1397" s="45" t="str">
        <f t="shared" si="172"/>
        <v>连续下降-预警</v>
      </c>
      <c r="AU1397" s="45" t="str">
        <f t="shared" si="173"/>
        <v>唤醒：短信模板+首充补贴</v>
      </c>
    </row>
    <row r="1398" ht="15" customHeight="1" spans="1:47">
      <c r="A1398" s="30" t="s">
        <v>3598</v>
      </c>
      <c r="B1398" s="31" t="s">
        <v>3599</v>
      </c>
      <c r="C1398" s="31" t="s">
        <v>179</v>
      </c>
      <c r="D1398" s="31" t="s">
        <v>202</v>
      </c>
      <c r="E1398" s="31" t="s">
        <v>181</v>
      </c>
      <c r="F1398" s="30" t="s">
        <v>3600</v>
      </c>
      <c r="G1398" s="31">
        <v>27</v>
      </c>
      <c r="H1398" s="31" t="s">
        <v>3535</v>
      </c>
      <c r="I1398" s="31" t="s">
        <v>302</v>
      </c>
      <c r="J1398" s="33">
        <v>0</v>
      </c>
      <c r="K1398" s="33">
        <v>0</v>
      </c>
      <c r="L1398" s="33">
        <v>0</v>
      </c>
      <c r="M1398" s="33">
        <f t="shared" si="168"/>
        <v>0</v>
      </c>
      <c r="N1398" s="34">
        <f t="shared" si="174"/>
        <v>0</v>
      </c>
      <c r="O1398" s="35">
        <f>SUM($M$2:M1398)</f>
        <v>190743600</v>
      </c>
      <c r="P1398" s="34">
        <f t="shared" si="175"/>
        <v>1</v>
      </c>
      <c r="Q1398" s="37">
        <v>0</v>
      </c>
      <c r="R1398" s="31">
        <v>0</v>
      </c>
      <c r="S1398" s="31">
        <v>0</v>
      </c>
      <c r="T1398" s="31">
        <v>0</v>
      </c>
      <c r="U1398" s="37">
        <v>0.8</v>
      </c>
      <c r="V1398" s="31">
        <v>7</v>
      </c>
      <c r="W1398" s="31">
        <v>0</v>
      </c>
      <c r="X1398" s="38">
        <v>6</v>
      </c>
      <c r="Y1398" s="31">
        <v>1</v>
      </c>
      <c r="Z1398" s="31">
        <v>0</v>
      </c>
      <c r="AA1398" s="31" t="s">
        <v>212</v>
      </c>
      <c r="AB1398" s="31" t="s">
        <v>220</v>
      </c>
      <c r="AC1398" s="41">
        <f>IFERROR(LOOKUP(M1398,打分卡!$F$7:$J$7,打分卡!$K$7:$O$7),1)</f>
        <v>1</v>
      </c>
      <c r="AD1398" s="41">
        <f>IFERROR(LOOKUP(S1398,打分卡!$F$8:$J$8,打分卡!$K$8:$O$8),1)</f>
        <v>1</v>
      </c>
      <c r="AE1398" s="41">
        <f>IFERROR(LOOKUP(T1398,打分卡!$F$9:$I$9,打分卡!$K$9:$N$9),1)</f>
        <v>1</v>
      </c>
      <c r="AF1398" s="41">
        <f>IFERROR(LOOKUP(Q1398,打分卡!$F$10:$J$10,打分卡!$K$10:$O$10),1)</f>
        <v>1</v>
      </c>
      <c r="AG1398" s="41">
        <f>IFERROR(LOOKUP(R1398,打分卡!$F$11:$J$11,打分卡!$K$11:$O$11),1)</f>
        <v>1</v>
      </c>
      <c r="AH1398" s="41">
        <f>IFERROR(LOOKUP(U1398,打分卡!$F$12:$J$12,打分卡!$K$12:$O$12),1)</f>
        <v>1</v>
      </c>
      <c r="AI1398" s="41">
        <f>IFERROR(LOOKUP(X1398,打分卡!$F$13:$J$13,打分卡!$K$13:$O$13),1)</f>
        <v>1</v>
      </c>
      <c r="AJ1398" s="41">
        <f>IFERROR(LOOKUP(Y1398,打分卡!$F$14:$J$14,打分卡!$K$14:$O$14),1)</f>
        <v>2</v>
      </c>
      <c r="AK1398" s="41">
        <f>IFERROR(LOOKUP(W1398,打分卡!$F$15:$J$15,打分卡!$K$15:$O$15),1)</f>
        <v>1</v>
      </c>
      <c r="AL1398" s="43">
        <f t="shared" si="169"/>
        <v>1</v>
      </c>
      <c r="AM1398" s="41">
        <f>IFERROR(LOOKUP(Z1398,打分卡!$F$17:$H$17,打分卡!$K$17:$M$17),1)</f>
        <v>1</v>
      </c>
      <c r="AN1398" s="44">
        <f>(打分卡!$D$7*AC1398+打分卡!$D$8*AD1398+打分卡!$D$9*AE1398)/5</f>
        <v>8</v>
      </c>
      <c r="AO1398" s="44">
        <f>(打分卡!$D$10*AF1398+打分卡!$D$11*AG1398)/5</f>
        <v>4</v>
      </c>
      <c r="AP1398" s="44">
        <f>(打分卡!$D$12*AH1398+打分卡!$D$13*AI1398+打分卡!$D$14*AJ1398+打分卡!$D$15*AK1398)/5</f>
        <v>7.2</v>
      </c>
      <c r="AQ1398" s="44">
        <f>(打分卡!$D$16*AL1398+打分卡!$D$17*AM1398)/5</f>
        <v>2</v>
      </c>
      <c r="AR1398" s="47">
        <f t="shared" si="170"/>
        <v>21.2</v>
      </c>
      <c r="AS1398" s="43" t="str">
        <f t="shared" si="171"/>
        <v>未激活</v>
      </c>
      <c r="AT1398" s="43" t="str">
        <f t="shared" si="172"/>
        <v>连续下降-预警</v>
      </c>
      <c r="AU1398" s="43" t="str">
        <f t="shared" si="173"/>
        <v>唤醒：短信模板+首充补贴</v>
      </c>
    </row>
    <row r="1399" ht="15" customHeight="1" spans="1:47">
      <c r="A1399" s="20" t="s">
        <v>3601</v>
      </c>
      <c r="B1399" s="22" t="s">
        <v>3602</v>
      </c>
      <c r="C1399" s="22" t="s">
        <v>239</v>
      </c>
      <c r="D1399" s="22" t="s">
        <v>196</v>
      </c>
      <c r="E1399" s="22" t="s">
        <v>181</v>
      </c>
      <c r="F1399" s="20" t="s">
        <v>3603</v>
      </c>
      <c r="G1399" s="22">
        <v>33</v>
      </c>
      <c r="H1399" s="22" t="s">
        <v>3535</v>
      </c>
      <c r="I1399" s="22" t="s">
        <v>302</v>
      </c>
      <c r="J1399" s="36">
        <v>0</v>
      </c>
      <c r="K1399" s="36">
        <v>0</v>
      </c>
      <c r="L1399" s="36">
        <v>0</v>
      </c>
      <c r="M1399" s="36">
        <f t="shared" si="168"/>
        <v>0</v>
      </c>
      <c r="N1399" s="34">
        <f t="shared" si="174"/>
        <v>0</v>
      </c>
      <c r="O1399" s="35">
        <f>SUM($M$2:M1399)</f>
        <v>190743600</v>
      </c>
      <c r="P1399" s="34">
        <f t="shared" si="175"/>
        <v>1</v>
      </c>
      <c r="Q1399" s="39">
        <v>0</v>
      </c>
      <c r="R1399" s="22">
        <v>0</v>
      </c>
      <c r="S1399" s="22">
        <v>0</v>
      </c>
      <c r="T1399" s="22">
        <v>0</v>
      </c>
      <c r="U1399" s="39">
        <v>1.6</v>
      </c>
      <c r="V1399" s="22">
        <v>2</v>
      </c>
      <c r="W1399" s="22">
        <v>2</v>
      </c>
      <c r="X1399" s="40">
        <v>11</v>
      </c>
      <c r="Y1399" s="22">
        <v>0</v>
      </c>
      <c r="Z1399" s="22">
        <v>0</v>
      </c>
      <c r="AA1399" s="22" t="s">
        <v>212</v>
      </c>
      <c r="AB1399" s="22" t="s">
        <v>220</v>
      </c>
      <c r="AC1399" s="42">
        <f>IFERROR(LOOKUP(M1399,打分卡!$F$7:$J$7,打分卡!$K$7:$O$7),1)</f>
        <v>1</v>
      </c>
      <c r="AD1399" s="42">
        <f>IFERROR(LOOKUP(S1399,打分卡!$F$8:$J$8,打分卡!$K$8:$O$8),1)</f>
        <v>1</v>
      </c>
      <c r="AE1399" s="42">
        <f>IFERROR(LOOKUP(T1399,打分卡!$F$9:$I$9,打分卡!$K$9:$N$9),1)</f>
        <v>1</v>
      </c>
      <c r="AF1399" s="42">
        <f>IFERROR(LOOKUP(Q1399,打分卡!$F$10:$J$10,打分卡!$K$10:$O$10),1)</f>
        <v>1</v>
      </c>
      <c r="AG1399" s="42">
        <f>IFERROR(LOOKUP(R1399,打分卡!$F$11:$J$11,打分卡!$K$11:$O$11),1)</f>
        <v>1</v>
      </c>
      <c r="AH1399" s="42">
        <f>IFERROR(LOOKUP(U1399,打分卡!$F$12:$J$12,打分卡!$K$12:$O$12),1)</f>
        <v>1</v>
      </c>
      <c r="AI1399" s="42">
        <f>IFERROR(LOOKUP(X1399,打分卡!$F$13:$J$13,打分卡!$K$13:$O$13),1)</f>
        <v>1</v>
      </c>
      <c r="AJ1399" s="42">
        <f>IFERROR(LOOKUP(Y1399,打分卡!$F$14:$J$14,打分卡!$K$14:$O$14),1)</f>
        <v>1</v>
      </c>
      <c r="AK1399" s="42">
        <f>IFERROR(LOOKUP(W1399,打分卡!$F$15:$J$15,打分卡!$K$15:$O$15),1)</f>
        <v>2</v>
      </c>
      <c r="AL1399" s="45">
        <f t="shared" si="169"/>
        <v>1</v>
      </c>
      <c r="AM1399" s="42">
        <f>IFERROR(LOOKUP(Z1399,打分卡!$F$17:$H$17,打分卡!$K$17:$M$17),1)</f>
        <v>1</v>
      </c>
      <c r="AN1399" s="46">
        <f>(打分卡!$D$7*AC1399+打分卡!$D$8*AD1399+打分卡!$D$9*AE1399)/5</f>
        <v>8</v>
      </c>
      <c r="AO1399" s="46">
        <f>(打分卡!$D$10*AF1399+打分卡!$D$11*AG1399)/5</f>
        <v>4</v>
      </c>
      <c r="AP1399" s="46">
        <f>(打分卡!$D$12*AH1399+打分卡!$D$13*AI1399+打分卡!$D$14*AJ1399+打分卡!$D$15*AK1399)/5</f>
        <v>6.8</v>
      </c>
      <c r="AQ1399" s="46">
        <f>(打分卡!$D$16*AL1399+打分卡!$D$17*AM1399)/5</f>
        <v>2</v>
      </c>
      <c r="AR1399" s="48">
        <f t="shared" si="170"/>
        <v>20.8</v>
      </c>
      <c r="AS1399" s="45" t="str">
        <f t="shared" si="171"/>
        <v>未激活</v>
      </c>
      <c r="AT1399" s="45" t="str">
        <f t="shared" si="172"/>
        <v>连续下降-预警</v>
      </c>
      <c r="AU1399" s="45" t="str">
        <f t="shared" si="173"/>
        <v>唤醒：短信模板+首充补贴</v>
      </c>
    </row>
    <row r="1400" ht="15" customHeight="1" spans="1:47">
      <c r="A1400" s="30" t="s">
        <v>3604</v>
      </c>
      <c r="B1400" s="31" t="s">
        <v>3605</v>
      </c>
      <c r="C1400" s="31" t="s">
        <v>223</v>
      </c>
      <c r="D1400" s="31" t="s">
        <v>202</v>
      </c>
      <c r="E1400" s="31" t="s">
        <v>197</v>
      </c>
      <c r="F1400" s="30" t="s">
        <v>3606</v>
      </c>
      <c r="G1400" s="31">
        <v>13</v>
      </c>
      <c r="H1400" s="31" t="s">
        <v>3535</v>
      </c>
      <c r="I1400" s="31" t="s">
        <v>302</v>
      </c>
      <c r="J1400" s="33">
        <v>0</v>
      </c>
      <c r="K1400" s="33">
        <v>0</v>
      </c>
      <c r="L1400" s="33">
        <v>0</v>
      </c>
      <c r="M1400" s="33">
        <f t="shared" si="168"/>
        <v>0</v>
      </c>
      <c r="N1400" s="34">
        <f t="shared" si="174"/>
        <v>0</v>
      </c>
      <c r="O1400" s="35">
        <f>SUM($M$2:M1400)</f>
        <v>190743600</v>
      </c>
      <c r="P1400" s="34">
        <f t="shared" si="175"/>
        <v>1</v>
      </c>
      <c r="Q1400" s="37">
        <v>0</v>
      </c>
      <c r="R1400" s="31">
        <v>0</v>
      </c>
      <c r="S1400" s="31">
        <v>0</v>
      </c>
      <c r="T1400" s="31">
        <v>0</v>
      </c>
      <c r="U1400" s="37">
        <v>14</v>
      </c>
      <c r="V1400" s="31">
        <v>6</v>
      </c>
      <c r="W1400" s="31">
        <v>0</v>
      </c>
      <c r="X1400" s="38">
        <v>35</v>
      </c>
      <c r="Y1400" s="31">
        <v>1</v>
      </c>
      <c r="Z1400" s="31">
        <v>0</v>
      </c>
      <c r="AA1400" s="31" t="s">
        <v>212</v>
      </c>
      <c r="AB1400" s="31" t="s">
        <v>220</v>
      </c>
      <c r="AC1400" s="41">
        <f>IFERROR(LOOKUP(M1400,打分卡!$F$7:$J$7,打分卡!$K$7:$O$7),1)</f>
        <v>1</v>
      </c>
      <c r="AD1400" s="41">
        <f>IFERROR(LOOKUP(S1400,打分卡!$F$8:$J$8,打分卡!$K$8:$O$8),1)</f>
        <v>1</v>
      </c>
      <c r="AE1400" s="41">
        <f>IFERROR(LOOKUP(T1400,打分卡!$F$9:$I$9,打分卡!$K$9:$N$9),1)</f>
        <v>1</v>
      </c>
      <c r="AF1400" s="41">
        <f>IFERROR(LOOKUP(Q1400,打分卡!$F$10:$J$10,打分卡!$K$10:$O$10),1)</f>
        <v>1</v>
      </c>
      <c r="AG1400" s="41">
        <f>IFERROR(LOOKUP(R1400,打分卡!$F$11:$J$11,打分卡!$K$11:$O$11),1)</f>
        <v>1</v>
      </c>
      <c r="AH1400" s="41">
        <f>IFERROR(LOOKUP(U1400,打分卡!$F$12:$J$12,打分卡!$K$12:$O$12),1)</f>
        <v>3</v>
      </c>
      <c r="AI1400" s="41">
        <f>IFERROR(LOOKUP(X1400,打分卡!$F$13:$J$13,打分卡!$K$13:$O$13),1)</f>
        <v>2</v>
      </c>
      <c r="AJ1400" s="41">
        <f>IFERROR(LOOKUP(Y1400,打分卡!$F$14:$J$14,打分卡!$K$14:$O$14),1)</f>
        <v>2</v>
      </c>
      <c r="AK1400" s="41">
        <f>IFERROR(LOOKUP(W1400,打分卡!$F$15:$J$15,打分卡!$K$15:$O$15),1)</f>
        <v>1</v>
      </c>
      <c r="AL1400" s="43">
        <f t="shared" si="169"/>
        <v>1</v>
      </c>
      <c r="AM1400" s="41">
        <f>IFERROR(LOOKUP(Z1400,打分卡!$F$17:$H$17,打分卡!$K$17:$M$17),1)</f>
        <v>1</v>
      </c>
      <c r="AN1400" s="44">
        <f>(打分卡!$D$7*AC1400+打分卡!$D$8*AD1400+打分卡!$D$9*AE1400)/5</f>
        <v>8</v>
      </c>
      <c r="AO1400" s="44">
        <f>(打分卡!$D$10*AF1400+打分卡!$D$11*AG1400)/5</f>
        <v>4</v>
      </c>
      <c r="AP1400" s="44">
        <f>(打分卡!$D$12*AH1400+打分卡!$D$13*AI1400+打分卡!$D$14*AJ1400+打分卡!$D$15*AK1400)/5</f>
        <v>13.6</v>
      </c>
      <c r="AQ1400" s="44">
        <f>(打分卡!$D$16*AL1400+打分卡!$D$17*AM1400)/5</f>
        <v>2</v>
      </c>
      <c r="AR1400" s="47">
        <f t="shared" si="170"/>
        <v>27.6</v>
      </c>
      <c r="AS1400" s="43" t="str">
        <f t="shared" si="171"/>
        <v>未激活</v>
      </c>
      <c r="AT1400" s="43" t="str">
        <f t="shared" si="172"/>
        <v>连续下降-预警</v>
      </c>
      <c r="AU1400" s="43" t="str">
        <f t="shared" si="173"/>
        <v>唤醒：短信模板+首充补贴</v>
      </c>
    </row>
    <row r="1401" ht="15" customHeight="1" spans="1:47">
      <c r="A1401" s="20" t="s">
        <v>3607</v>
      </c>
      <c r="B1401" s="22" t="s">
        <v>3608</v>
      </c>
      <c r="C1401" s="22" t="s">
        <v>218</v>
      </c>
      <c r="D1401" s="22" t="s">
        <v>202</v>
      </c>
      <c r="E1401" s="22" t="s">
        <v>181</v>
      </c>
      <c r="F1401" s="20" t="s">
        <v>3609</v>
      </c>
      <c r="G1401" s="22">
        <v>36</v>
      </c>
      <c r="H1401" s="22" t="s">
        <v>3535</v>
      </c>
      <c r="I1401" s="22" t="s">
        <v>302</v>
      </c>
      <c r="J1401" s="36">
        <v>0</v>
      </c>
      <c r="K1401" s="36">
        <v>0</v>
      </c>
      <c r="L1401" s="36">
        <v>0</v>
      </c>
      <c r="M1401" s="36">
        <f t="shared" si="168"/>
        <v>0</v>
      </c>
      <c r="N1401" s="34">
        <f t="shared" si="174"/>
        <v>0</v>
      </c>
      <c r="O1401" s="35">
        <f>SUM($M$2:M1401)</f>
        <v>190743600</v>
      </c>
      <c r="P1401" s="34">
        <f t="shared" si="175"/>
        <v>1</v>
      </c>
      <c r="Q1401" s="39">
        <v>0</v>
      </c>
      <c r="R1401" s="22">
        <v>0</v>
      </c>
      <c r="S1401" s="22">
        <v>0</v>
      </c>
      <c r="T1401" s="22">
        <v>0</v>
      </c>
      <c r="U1401" s="39">
        <v>0.6</v>
      </c>
      <c r="V1401" s="22">
        <v>10</v>
      </c>
      <c r="W1401" s="22">
        <v>1</v>
      </c>
      <c r="X1401" s="40">
        <v>25</v>
      </c>
      <c r="Y1401" s="22">
        <v>1</v>
      </c>
      <c r="Z1401" s="22">
        <v>0</v>
      </c>
      <c r="AA1401" s="22" t="s">
        <v>212</v>
      </c>
      <c r="AB1401" s="22" t="s">
        <v>220</v>
      </c>
      <c r="AC1401" s="42">
        <f>IFERROR(LOOKUP(M1401,打分卡!$F$7:$J$7,打分卡!$K$7:$O$7),1)</f>
        <v>1</v>
      </c>
      <c r="AD1401" s="42">
        <f>IFERROR(LOOKUP(S1401,打分卡!$F$8:$J$8,打分卡!$K$8:$O$8),1)</f>
        <v>1</v>
      </c>
      <c r="AE1401" s="42">
        <f>IFERROR(LOOKUP(T1401,打分卡!$F$9:$I$9,打分卡!$K$9:$N$9),1)</f>
        <v>1</v>
      </c>
      <c r="AF1401" s="42">
        <f>IFERROR(LOOKUP(Q1401,打分卡!$F$10:$J$10,打分卡!$K$10:$O$10),1)</f>
        <v>1</v>
      </c>
      <c r="AG1401" s="42">
        <f>IFERROR(LOOKUP(R1401,打分卡!$F$11:$J$11,打分卡!$K$11:$O$11),1)</f>
        <v>1</v>
      </c>
      <c r="AH1401" s="42">
        <f>IFERROR(LOOKUP(U1401,打分卡!$F$12:$J$12,打分卡!$K$12:$O$12),1)</f>
        <v>1</v>
      </c>
      <c r="AI1401" s="42">
        <f>IFERROR(LOOKUP(X1401,打分卡!$F$13:$J$13,打分卡!$K$13:$O$13),1)</f>
        <v>2</v>
      </c>
      <c r="AJ1401" s="42">
        <f>IFERROR(LOOKUP(Y1401,打分卡!$F$14:$J$14,打分卡!$K$14:$O$14),1)</f>
        <v>2</v>
      </c>
      <c r="AK1401" s="42">
        <f>IFERROR(LOOKUP(W1401,打分卡!$F$15:$J$15,打分卡!$K$15:$O$15),1)</f>
        <v>2</v>
      </c>
      <c r="AL1401" s="45">
        <f t="shared" si="169"/>
        <v>1</v>
      </c>
      <c r="AM1401" s="42">
        <f>IFERROR(LOOKUP(Z1401,打分卡!$F$17:$H$17,打分卡!$K$17:$M$17),1)</f>
        <v>1</v>
      </c>
      <c r="AN1401" s="46">
        <f>(打分卡!$D$7*AC1401+打分卡!$D$8*AD1401+打分卡!$D$9*AE1401)/5</f>
        <v>8</v>
      </c>
      <c r="AO1401" s="46">
        <f>(打分卡!$D$10*AF1401+打分卡!$D$11*AG1401)/5</f>
        <v>4</v>
      </c>
      <c r="AP1401" s="46">
        <f>(打分卡!$D$12*AH1401+打分卡!$D$13*AI1401+打分卡!$D$14*AJ1401+打分卡!$D$15*AK1401)/5</f>
        <v>9.6</v>
      </c>
      <c r="AQ1401" s="46">
        <f>(打分卡!$D$16*AL1401+打分卡!$D$17*AM1401)/5</f>
        <v>2</v>
      </c>
      <c r="AR1401" s="48">
        <f t="shared" si="170"/>
        <v>23.6</v>
      </c>
      <c r="AS1401" s="45" t="str">
        <f t="shared" si="171"/>
        <v>未激活</v>
      </c>
      <c r="AT1401" s="45" t="str">
        <f t="shared" si="172"/>
        <v>连续下降-预警</v>
      </c>
      <c r="AU1401" s="45" t="str">
        <f t="shared" si="173"/>
        <v>唤醒：短信模板+首充补贴</v>
      </c>
    </row>
    <row r="1402" ht="15" customHeight="1" spans="1:47">
      <c r="A1402" s="30" t="s">
        <v>3610</v>
      </c>
      <c r="B1402" s="31" t="s">
        <v>3611</v>
      </c>
      <c r="C1402" s="31" t="s">
        <v>179</v>
      </c>
      <c r="D1402" s="31" t="s">
        <v>180</v>
      </c>
      <c r="E1402" s="31" t="s">
        <v>197</v>
      </c>
      <c r="F1402" s="30" t="s">
        <v>3612</v>
      </c>
      <c r="G1402" s="31">
        <v>15</v>
      </c>
      <c r="H1402" s="31" t="s">
        <v>3535</v>
      </c>
      <c r="I1402" s="31" t="s">
        <v>302</v>
      </c>
      <c r="J1402" s="33">
        <v>0</v>
      </c>
      <c r="K1402" s="33">
        <v>0</v>
      </c>
      <c r="L1402" s="33">
        <v>0</v>
      </c>
      <c r="M1402" s="33">
        <f t="shared" si="168"/>
        <v>0</v>
      </c>
      <c r="N1402" s="34">
        <f t="shared" si="174"/>
        <v>0</v>
      </c>
      <c r="O1402" s="35">
        <f>SUM($M$2:M1402)</f>
        <v>190743600</v>
      </c>
      <c r="P1402" s="34">
        <f t="shared" si="175"/>
        <v>1</v>
      </c>
      <c r="Q1402" s="37">
        <v>0</v>
      </c>
      <c r="R1402" s="31">
        <v>0</v>
      </c>
      <c r="S1402" s="31">
        <v>0</v>
      </c>
      <c r="T1402" s="31">
        <v>0</v>
      </c>
      <c r="U1402" s="37">
        <v>12.7</v>
      </c>
      <c r="V1402" s="31">
        <v>1</v>
      </c>
      <c r="W1402" s="31">
        <v>1</v>
      </c>
      <c r="X1402" s="38">
        <v>14</v>
      </c>
      <c r="Y1402" s="31">
        <v>1</v>
      </c>
      <c r="Z1402" s="31">
        <v>0</v>
      </c>
      <c r="AA1402" s="31" t="s">
        <v>212</v>
      </c>
      <c r="AB1402" s="31" t="s">
        <v>220</v>
      </c>
      <c r="AC1402" s="41">
        <f>IFERROR(LOOKUP(M1402,打分卡!$F$7:$J$7,打分卡!$K$7:$O$7),1)</f>
        <v>1</v>
      </c>
      <c r="AD1402" s="41">
        <f>IFERROR(LOOKUP(S1402,打分卡!$F$8:$J$8,打分卡!$K$8:$O$8),1)</f>
        <v>1</v>
      </c>
      <c r="AE1402" s="41">
        <f>IFERROR(LOOKUP(T1402,打分卡!$F$9:$I$9,打分卡!$K$9:$N$9),1)</f>
        <v>1</v>
      </c>
      <c r="AF1402" s="41">
        <f>IFERROR(LOOKUP(Q1402,打分卡!$F$10:$J$10,打分卡!$K$10:$O$10),1)</f>
        <v>1</v>
      </c>
      <c r="AG1402" s="41">
        <f>IFERROR(LOOKUP(R1402,打分卡!$F$11:$J$11,打分卡!$K$11:$O$11),1)</f>
        <v>1</v>
      </c>
      <c r="AH1402" s="41">
        <f>IFERROR(LOOKUP(U1402,打分卡!$F$12:$J$12,打分卡!$K$12:$O$12),1)</f>
        <v>3</v>
      </c>
      <c r="AI1402" s="41">
        <f>IFERROR(LOOKUP(X1402,打分卡!$F$13:$J$13,打分卡!$K$13:$O$13),1)</f>
        <v>1</v>
      </c>
      <c r="AJ1402" s="41">
        <f>IFERROR(LOOKUP(Y1402,打分卡!$F$14:$J$14,打分卡!$K$14:$O$14),1)</f>
        <v>2</v>
      </c>
      <c r="AK1402" s="41">
        <f>IFERROR(LOOKUP(W1402,打分卡!$F$15:$J$15,打分卡!$K$15:$O$15),1)</f>
        <v>2</v>
      </c>
      <c r="AL1402" s="43">
        <f t="shared" si="169"/>
        <v>1</v>
      </c>
      <c r="AM1402" s="41">
        <f>IFERROR(LOOKUP(Z1402,打分卡!$F$17:$H$17,打分卡!$K$17:$M$17),1)</f>
        <v>1</v>
      </c>
      <c r="AN1402" s="44">
        <f>(打分卡!$D$7*AC1402+打分卡!$D$8*AD1402+打分卡!$D$9*AE1402)/5</f>
        <v>8</v>
      </c>
      <c r="AO1402" s="44">
        <f>(打分卡!$D$10*AF1402+打分卡!$D$11*AG1402)/5</f>
        <v>4</v>
      </c>
      <c r="AP1402" s="44">
        <f>(打分卡!$D$12*AH1402+打分卡!$D$13*AI1402+打分卡!$D$14*AJ1402+打分卡!$D$15*AK1402)/5</f>
        <v>12.8</v>
      </c>
      <c r="AQ1402" s="44">
        <f>(打分卡!$D$16*AL1402+打分卡!$D$17*AM1402)/5</f>
        <v>2</v>
      </c>
      <c r="AR1402" s="47">
        <f t="shared" si="170"/>
        <v>26.8</v>
      </c>
      <c r="AS1402" s="43" t="str">
        <f t="shared" si="171"/>
        <v>未激活</v>
      </c>
      <c r="AT1402" s="43" t="str">
        <f t="shared" si="172"/>
        <v>连续下降-预警</v>
      </c>
      <c r="AU1402" s="43" t="str">
        <f t="shared" si="173"/>
        <v>唤醒：短信模板+首充补贴</v>
      </c>
    </row>
    <row r="1403" ht="15" customHeight="1" spans="1:47">
      <c r="A1403" s="20" t="s">
        <v>3613</v>
      </c>
      <c r="B1403" s="22" t="s">
        <v>3614</v>
      </c>
      <c r="C1403" s="22" t="s">
        <v>218</v>
      </c>
      <c r="D1403" s="22" t="s">
        <v>196</v>
      </c>
      <c r="E1403" s="22" t="s">
        <v>181</v>
      </c>
      <c r="F1403" s="20" t="s">
        <v>3615</v>
      </c>
      <c r="G1403" s="22">
        <v>26</v>
      </c>
      <c r="H1403" s="22" t="s">
        <v>3535</v>
      </c>
      <c r="I1403" s="22" t="s">
        <v>302</v>
      </c>
      <c r="J1403" s="36">
        <v>0</v>
      </c>
      <c r="K1403" s="36">
        <v>0</v>
      </c>
      <c r="L1403" s="36">
        <v>0</v>
      </c>
      <c r="M1403" s="36">
        <f t="shared" si="168"/>
        <v>0</v>
      </c>
      <c r="N1403" s="34">
        <f t="shared" si="174"/>
        <v>0</v>
      </c>
      <c r="O1403" s="35">
        <f>SUM($M$2:M1403)</f>
        <v>190743600</v>
      </c>
      <c r="P1403" s="34">
        <f t="shared" si="175"/>
        <v>1</v>
      </c>
      <c r="Q1403" s="39">
        <v>0</v>
      </c>
      <c r="R1403" s="22">
        <v>0</v>
      </c>
      <c r="S1403" s="22">
        <v>0</v>
      </c>
      <c r="T1403" s="22">
        <v>0</v>
      </c>
      <c r="U1403" s="39">
        <v>2.1</v>
      </c>
      <c r="V1403" s="22">
        <v>8</v>
      </c>
      <c r="W1403" s="22">
        <v>0</v>
      </c>
      <c r="X1403" s="40">
        <v>9</v>
      </c>
      <c r="Y1403" s="22">
        <v>1</v>
      </c>
      <c r="Z1403" s="22">
        <v>0</v>
      </c>
      <c r="AA1403" s="22" t="s">
        <v>212</v>
      </c>
      <c r="AB1403" s="22" t="s">
        <v>220</v>
      </c>
      <c r="AC1403" s="42">
        <f>IFERROR(LOOKUP(M1403,打分卡!$F$7:$J$7,打分卡!$K$7:$O$7),1)</f>
        <v>1</v>
      </c>
      <c r="AD1403" s="42">
        <f>IFERROR(LOOKUP(S1403,打分卡!$F$8:$J$8,打分卡!$K$8:$O$8),1)</f>
        <v>1</v>
      </c>
      <c r="AE1403" s="42">
        <f>IFERROR(LOOKUP(T1403,打分卡!$F$9:$I$9,打分卡!$K$9:$N$9),1)</f>
        <v>1</v>
      </c>
      <c r="AF1403" s="42">
        <f>IFERROR(LOOKUP(Q1403,打分卡!$F$10:$J$10,打分卡!$K$10:$O$10),1)</f>
        <v>1</v>
      </c>
      <c r="AG1403" s="42">
        <f>IFERROR(LOOKUP(R1403,打分卡!$F$11:$J$11,打分卡!$K$11:$O$11),1)</f>
        <v>1</v>
      </c>
      <c r="AH1403" s="42">
        <f>IFERROR(LOOKUP(U1403,打分卡!$F$12:$J$12,打分卡!$K$12:$O$12),1)</f>
        <v>1</v>
      </c>
      <c r="AI1403" s="42">
        <f>IFERROR(LOOKUP(X1403,打分卡!$F$13:$J$13,打分卡!$K$13:$O$13),1)</f>
        <v>1</v>
      </c>
      <c r="AJ1403" s="42">
        <f>IFERROR(LOOKUP(Y1403,打分卡!$F$14:$J$14,打分卡!$K$14:$O$14),1)</f>
        <v>2</v>
      </c>
      <c r="AK1403" s="42">
        <f>IFERROR(LOOKUP(W1403,打分卡!$F$15:$J$15,打分卡!$K$15:$O$15),1)</f>
        <v>1</v>
      </c>
      <c r="AL1403" s="45">
        <f t="shared" si="169"/>
        <v>1</v>
      </c>
      <c r="AM1403" s="42">
        <f>IFERROR(LOOKUP(Z1403,打分卡!$F$17:$H$17,打分卡!$K$17:$M$17),1)</f>
        <v>1</v>
      </c>
      <c r="AN1403" s="46">
        <f>(打分卡!$D$7*AC1403+打分卡!$D$8*AD1403+打分卡!$D$9*AE1403)/5</f>
        <v>8</v>
      </c>
      <c r="AO1403" s="46">
        <f>(打分卡!$D$10*AF1403+打分卡!$D$11*AG1403)/5</f>
        <v>4</v>
      </c>
      <c r="AP1403" s="46">
        <f>(打分卡!$D$12*AH1403+打分卡!$D$13*AI1403+打分卡!$D$14*AJ1403+打分卡!$D$15*AK1403)/5</f>
        <v>7.2</v>
      </c>
      <c r="AQ1403" s="46">
        <f>(打分卡!$D$16*AL1403+打分卡!$D$17*AM1403)/5</f>
        <v>2</v>
      </c>
      <c r="AR1403" s="48">
        <f t="shared" si="170"/>
        <v>21.2</v>
      </c>
      <c r="AS1403" s="45" t="str">
        <f t="shared" si="171"/>
        <v>未激活</v>
      </c>
      <c r="AT1403" s="45" t="str">
        <f t="shared" si="172"/>
        <v>连续下降-预警</v>
      </c>
      <c r="AU1403" s="45" t="str">
        <f t="shared" si="173"/>
        <v>唤醒：短信模板+首充补贴</v>
      </c>
    </row>
    <row r="1404" ht="15" customHeight="1" spans="1:47">
      <c r="A1404" s="30" t="s">
        <v>3616</v>
      </c>
      <c r="B1404" s="31" t="s">
        <v>3617</v>
      </c>
      <c r="C1404" s="31" t="s">
        <v>179</v>
      </c>
      <c r="D1404" s="31" t="s">
        <v>202</v>
      </c>
      <c r="E1404" s="31" t="s">
        <v>181</v>
      </c>
      <c r="F1404" s="30" t="s">
        <v>3618</v>
      </c>
      <c r="G1404" s="31">
        <v>22</v>
      </c>
      <c r="H1404" s="31" t="s">
        <v>3535</v>
      </c>
      <c r="I1404" s="31" t="s">
        <v>302</v>
      </c>
      <c r="J1404" s="33">
        <v>0</v>
      </c>
      <c r="K1404" s="33">
        <v>0</v>
      </c>
      <c r="L1404" s="33">
        <v>0</v>
      </c>
      <c r="M1404" s="33">
        <f t="shared" si="168"/>
        <v>0</v>
      </c>
      <c r="N1404" s="34">
        <f t="shared" si="174"/>
        <v>0</v>
      </c>
      <c r="O1404" s="35">
        <f>SUM($M$2:M1404)</f>
        <v>190743600</v>
      </c>
      <c r="P1404" s="34">
        <f t="shared" si="175"/>
        <v>1</v>
      </c>
      <c r="Q1404" s="37">
        <v>0</v>
      </c>
      <c r="R1404" s="31">
        <v>0</v>
      </c>
      <c r="S1404" s="31">
        <v>0</v>
      </c>
      <c r="T1404" s="31">
        <v>0</v>
      </c>
      <c r="U1404" s="37">
        <v>43.7</v>
      </c>
      <c r="V1404" s="31">
        <v>0</v>
      </c>
      <c r="W1404" s="31">
        <v>1</v>
      </c>
      <c r="X1404" s="38">
        <v>32</v>
      </c>
      <c r="Y1404" s="31">
        <v>1</v>
      </c>
      <c r="Z1404" s="31">
        <v>0</v>
      </c>
      <c r="AA1404" s="31" t="s">
        <v>212</v>
      </c>
      <c r="AB1404" s="31" t="s">
        <v>220</v>
      </c>
      <c r="AC1404" s="41">
        <f>IFERROR(LOOKUP(M1404,打分卡!$F$7:$J$7,打分卡!$K$7:$O$7),1)</f>
        <v>1</v>
      </c>
      <c r="AD1404" s="41">
        <f>IFERROR(LOOKUP(S1404,打分卡!$F$8:$J$8,打分卡!$K$8:$O$8),1)</f>
        <v>1</v>
      </c>
      <c r="AE1404" s="41">
        <f>IFERROR(LOOKUP(T1404,打分卡!$F$9:$I$9,打分卡!$K$9:$N$9),1)</f>
        <v>1</v>
      </c>
      <c r="AF1404" s="41">
        <f>IFERROR(LOOKUP(Q1404,打分卡!$F$10:$J$10,打分卡!$K$10:$O$10),1)</f>
        <v>1</v>
      </c>
      <c r="AG1404" s="41">
        <f>IFERROR(LOOKUP(R1404,打分卡!$F$11:$J$11,打分卡!$K$11:$O$11),1)</f>
        <v>1</v>
      </c>
      <c r="AH1404" s="41">
        <f>IFERROR(LOOKUP(U1404,打分卡!$F$12:$J$12,打分卡!$K$12:$O$12),1)</f>
        <v>4</v>
      </c>
      <c r="AI1404" s="41">
        <f>IFERROR(LOOKUP(X1404,打分卡!$F$13:$J$13,打分卡!$K$13:$O$13),1)</f>
        <v>2</v>
      </c>
      <c r="AJ1404" s="41">
        <f>IFERROR(LOOKUP(Y1404,打分卡!$F$14:$J$14,打分卡!$K$14:$O$14),1)</f>
        <v>2</v>
      </c>
      <c r="AK1404" s="41">
        <f>IFERROR(LOOKUP(W1404,打分卡!$F$15:$J$15,打分卡!$K$15:$O$15),1)</f>
        <v>2</v>
      </c>
      <c r="AL1404" s="43">
        <f t="shared" si="169"/>
        <v>1</v>
      </c>
      <c r="AM1404" s="41">
        <f>IFERROR(LOOKUP(Z1404,打分卡!$F$17:$H$17,打分卡!$K$17:$M$17),1)</f>
        <v>1</v>
      </c>
      <c r="AN1404" s="44">
        <f>(打分卡!$D$7*AC1404+打分卡!$D$8*AD1404+打分卡!$D$9*AE1404)/5</f>
        <v>8</v>
      </c>
      <c r="AO1404" s="44">
        <f>(打分卡!$D$10*AF1404+打分卡!$D$11*AG1404)/5</f>
        <v>4</v>
      </c>
      <c r="AP1404" s="44">
        <f>(打分卡!$D$12*AH1404+打分卡!$D$13*AI1404+打分卡!$D$14*AJ1404+打分卡!$D$15*AK1404)/5</f>
        <v>16.8</v>
      </c>
      <c r="AQ1404" s="44">
        <f>(打分卡!$D$16*AL1404+打分卡!$D$17*AM1404)/5</f>
        <v>2</v>
      </c>
      <c r="AR1404" s="47">
        <f t="shared" si="170"/>
        <v>30.8</v>
      </c>
      <c r="AS1404" s="43" t="str">
        <f t="shared" si="171"/>
        <v>未激活</v>
      </c>
      <c r="AT1404" s="43" t="str">
        <f t="shared" si="172"/>
        <v>连续下降-预警</v>
      </c>
      <c r="AU1404" s="43" t="str">
        <f t="shared" si="173"/>
        <v>唤醒：短信模板+首充补贴</v>
      </c>
    </row>
    <row r="1405" ht="15" customHeight="1" spans="1:47">
      <c r="A1405" s="20" t="s">
        <v>3619</v>
      </c>
      <c r="B1405" s="22" t="s">
        <v>3620</v>
      </c>
      <c r="C1405" s="22" t="s">
        <v>223</v>
      </c>
      <c r="D1405" s="22" t="s">
        <v>190</v>
      </c>
      <c r="E1405" s="22" t="s">
        <v>181</v>
      </c>
      <c r="F1405" s="20" t="s">
        <v>866</v>
      </c>
      <c r="G1405" s="22">
        <v>19</v>
      </c>
      <c r="H1405" s="22" t="s">
        <v>3535</v>
      </c>
      <c r="I1405" s="22" t="s">
        <v>302</v>
      </c>
      <c r="J1405" s="36">
        <v>0</v>
      </c>
      <c r="K1405" s="36">
        <v>0</v>
      </c>
      <c r="L1405" s="36">
        <v>0</v>
      </c>
      <c r="M1405" s="36">
        <f t="shared" si="168"/>
        <v>0</v>
      </c>
      <c r="N1405" s="34">
        <f t="shared" si="174"/>
        <v>0</v>
      </c>
      <c r="O1405" s="35">
        <f>SUM($M$2:M1405)</f>
        <v>190743600</v>
      </c>
      <c r="P1405" s="34">
        <f t="shared" si="175"/>
        <v>1</v>
      </c>
      <c r="Q1405" s="39">
        <v>0</v>
      </c>
      <c r="R1405" s="22">
        <v>0</v>
      </c>
      <c r="S1405" s="22">
        <v>0</v>
      </c>
      <c r="T1405" s="22">
        <v>0</v>
      </c>
      <c r="U1405" s="39">
        <v>36.6</v>
      </c>
      <c r="V1405" s="22">
        <v>13</v>
      </c>
      <c r="W1405" s="22">
        <v>0</v>
      </c>
      <c r="X1405" s="40">
        <v>6</v>
      </c>
      <c r="Y1405" s="22">
        <v>0</v>
      </c>
      <c r="Z1405" s="22">
        <v>0</v>
      </c>
      <c r="AA1405" s="22" t="s">
        <v>212</v>
      </c>
      <c r="AB1405" s="22" t="s">
        <v>220</v>
      </c>
      <c r="AC1405" s="42">
        <f>IFERROR(LOOKUP(M1405,打分卡!$F$7:$J$7,打分卡!$K$7:$O$7),1)</f>
        <v>1</v>
      </c>
      <c r="AD1405" s="42">
        <f>IFERROR(LOOKUP(S1405,打分卡!$F$8:$J$8,打分卡!$K$8:$O$8),1)</f>
        <v>1</v>
      </c>
      <c r="AE1405" s="42">
        <f>IFERROR(LOOKUP(T1405,打分卡!$F$9:$I$9,打分卡!$K$9:$N$9),1)</f>
        <v>1</v>
      </c>
      <c r="AF1405" s="42">
        <f>IFERROR(LOOKUP(Q1405,打分卡!$F$10:$J$10,打分卡!$K$10:$O$10),1)</f>
        <v>1</v>
      </c>
      <c r="AG1405" s="42">
        <f>IFERROR(LOOKUP(R1405,打分卡!$F$11:$J$11,打分卡!$K$11:$O$11),1)</f>
        <v>1</v>
      </c>
      <c r="AH1405" s="42">
        <f>IFERROR(LOOKUP(U1405,打分卡!$F$12:$J$12,打分卡!$K$12:$O$12),1)</f>
        <v>4</v>
      </c>
      <c r="AI1405" s="42">
        <f>IFERROR(LOOKUP(X1405,打分卡!$F$13:$J$13,打分卡!$K$13:$O$13),1)</f>
        <v>1</v>
      </c>
      <c r="AJ1405" s="42">
        <f>IFERROR(LOOKUP(Y1405,打分卡!$F$14:$J$14,打分卡!$K$14:$O$14),1)</f>
        <v>1</v>
      </c>
      <c r="AK1405" s="42">
        <f>IFERROR(LOOKUP(W1405,打分卡!$F$15:$J$15,打分卡!$K$15:$O$15),1)</f>
        <v>1</v>
      </c>
      <c r="AL1405" s="45">
        <f t="shared" si="169"/>
        <v>1</v>
      </c>
      <c r="AM1405" s="42">
        <f>IFERROR(LOOKUP(Z1405,打分卡!$F$17:$H$17,打分卡!$K$17:$M$17),1)</f>
        <v>1</v>
      </c>
      <c r="AN1405" s="46">
        <f>(打分卡!$D$7*AC1405+打分卡!$D$8*AD1405+打分卡!$D$9*AE1405)/5</f>
        <v>8</v>
      </c>
      <c r="AO1405" s="46">
        <f>(打分卡!$D$10*AF1405+打分卡!$D$11*AG1405)/5</f>
        <v>4</v>
      </c>
      <c r="AP1405" s="46">
        <f>(打分卡!$D$12*AH1405+打分卡!$D$13*AI1405+打分卡!$D$14*AJ1405+打分卡!$D$15*AK1405)/5</f>
        <v>13.2</v>
      </c>
      <c r="AQ1405" s="46">
        <f>(打分卡!$D$16*AL1405+打分卡!$D$17*AM1405)/5</f>
        <v>2</v>
      </c>
      <c r="AR1405" s="48">
        <f t="shared" si="170"/>
        <v>27.2</v>
      </c>
      <c r="AS1405" s="45" t="str">
        <f t="shared" si="171"/>
        <v>未激活</v>
      </c>
      <c r="AT1405" s="45" t="str">
        <f t="shared" si="172"/>
        <v>连续下降-预警</v>
      </c>
      <c r="AU1405" s="45" t="str">
        <f t="shared" si="173"/>
        <v>唤醒：短信模板+首充补贴</v>
      </c>
    </row>
    <row r="1406" ht="15" customHeight="1" spans="1:47">
      <c r="A1406" s="30" t="s">
        <v>3621</v>
      </c>
      <c r="B1406" s="31" t="s">
        <v>3622</v>
      </c>
      <c r="C1406" s="31" t="s">
        <v>189</v>
      </c>
      <c r="D1406" s="31" t="s">
        <v>235</v>
      </c>
      <c r="E1406" s="31" t="s">
        <v>181</v>
      </c>
      <c r="F1406" s="30" t="s">
        <v>3623</v>
      </c>
      <c r="G1406" s="31">
        <v>26</v>
      </c>
      <c r="H1406" s="31" t="s">
        <v>3535</v>
      </c>
      <c r="I1406" s="31" t="s">
        <v>302</v>
      </c>
      <c r="J1406" s="33">
        <v>0</v>
      </c>
      <c r="K1406" s="33">
        <v>0</v>
      </c>
      <c r="L1406" s="33">
        <v>0</v>
      </c>
      <c r="M1406" s="33">
        <f t="shared" si="168"/>
        <v>0</v>
      </c>
      <c r="N1406" s="34">
        <f t="shared" si="174"/>
        <v>0</v>
      </c>
      <c r="O1406" s="35">
        <f>SUM($M$2:M1406)</f>
        <v>190743600</v>
      </c>
      <c r="P1406" s="34">
        <f t="shared" si="175"/>
        <v>1</v>
      </c>
      <c r="Q1406" s="37">
        <v>0</v>
      </c>
      <c r="R1406" s="31">
        <v>0</v>
      </c>
      <c r="S1406" s="31">
        <v>0</v>
      </c>
      <c r="T1406" s="31">
        <v>0</v>
      </c>
      <c r="U1406" s="37">
        <v>2.5</v>
      </c>
      <c r="V1406" s="31">
        <v>0</v>
      </c>
      <c r="W1406" s="31">
        <v>2</v>
      </c>
      <c r="X1406" s="38">
        <v>23</v>
      </c>
      <c r="Y1406" s="31">
        <v>1</v>
      </c>
      <c r="Z1406" s="31">
        <v>0</v>
      </c>
      <c r="AA1406" s="31" t="s">
        <v>212</v>
      </c>
      <c r="AB1406" s="31" t="s">
        <v>220</v>
      </c>
      <c r="AC1406" s="41">
        <f>IFERROR(LOOKUP(M1406,打分卡!$F$7:$J$7,打分卡!$K$7:$O$7),1)</f>
        <v>1</v>
      </c>
      <c r="AD1406" s="41">
        <f>IFERROR(LOOKUP(S1406,打分卡!$F$8:$J$8,打分卡!$K$8:$O$8),1)</f>
        <v>1</v>
      </c>
      <c r="AE1406" s="41">
        <f>IFERROR(LOOKUP(T1406,打分卡!$F$9:$I$9,打分卡!$K$9:$N$9),1)</f>
        <v>1</v>
      </c>
      <c r="AF1406" s="41">
        <f>IFERROR(LOOKUP(Q1406,打分卡!$F$10:$J$10,打分卡!$K$10:$O$10),1)</f>
        <v>1</v>
      </c>
      <c r="AG1406" s="41">
        <f>IFERROR(LOOKUP(R1406,打分卡!$F$11:$J$11,打分卡!$K$11:$O$11),1)</f>
        <v>1</v>
      </c>
      <c r="AH1406" s="41">
        <f>IFERROR(LOOKUP(U1406,打分卡!$F$12:$J$12,打分卡!$K$12:$O$12),1)</f>
        <v>1</v>
      </c>
      <c r="AI1406" s="41">
        <f>IFERROR(LOOKUP(X1406,打分卡!$F$13:$J$13,打分卡!$K$13:$O$13),1)</f>
        <v>2</v>
      </c>
      <c r="AJ1406" s="41">
        <f>IFERROR(LOOKUP(Y1406,打分卡!$F$14:$J$14,打分卡!$K$14:$O$14),1)</f>
        <v>2</v>
      </c>
      <c r="AK1406" s="41">
        <f>IFERROR(LOOKUP(W1406,打分卡!$F$15:$J$15,打分卡!$K$15:$O$15),1)</f>
        <v>2</v>
      </c>
      <c r="AL1406" s="43">
        <f t="shared" si="169"/>
        <v>1</v>
      </c>
      <c r="AM1406" s="41">
        <f>IFERROR(LOOKUP(Z1406,打分卡!$F$17:$H$17,打分卡!$K$17:$M$17),1)</f>
        <v>1</v>
      </c>
      <c r="AN1406" s="44">
        <f>(打分卡!$D$7*AC1406+打分卡!$D$8*AD1406+打分卡!$D$9*AE1406)/5</f>
        <v>8</v>
      </c>
      <c r="AO1406" s="44">
        <f>(打分卡!$D$10*AF1406+打分卡!$D$11*AG1406)/5</f>
        <v>4</v>
      </c>
      <c r="AP1406" s="44">
        <f>(打分卡!$D$12*AH1406+打分卡!$D$13*AI1406+打分卡!$D$14*AJ1406+打分卡!$D$15*AK1406)/5</f>
        <v>9.6</v>
      </c>
      <c r="AQ1406" s="44">
        <f>(打分卡!$D$16*AL1406+打分卡!$D$17*AM1406)/5</f>
        <v>2</v>
      </c>
      <c r="AR1406" s="47">
        <f t="shared" si="170"/>
        <v>23.6</v>
      </c>
      <c r="AS1406" s="43" t="str">
        <f t="shared" si="171"/>
        <v>未激活</v>
      </c>
      <c r="AT1406" s="43" t="str">
        <f t="shared" si="172"/>
        <v>连续下降-预警</v>
      </c>
      <c r="AU1406" s="43" t="str">
        <f t="shared" si="173"/>
        <v>唤醒：短信模板+首充补贴</v>
      </c>
    </row>
    <row r="1407" ht="15" customHeight="1" spans="1:47">
      <c r="A1407" s="20" t="s">
        <v>3624</v>
      </c>
      <c r="B1407" s="22" t="s">
        <v>3625</v>
      </c>
      <c r="C1407" s="22" t="s">
        <v>179</v>
      </c>
      <c r="D1407" s="22" t="s">
        <v>190</v>
      </c>
      <c r="E1407" s="22" t="s">
        <v>181</v>
      </c>
      <c r="F1407" s="20" t="s">
        <v>3626</v>
      </c>
      <c r="G1407" s="22">
        <v>32</v>
      </c>
      <c r="H1407" s="22" t="s">
        <v>3535</v>
      </c>
      <c r="I1407" s="22" t="s">
        <v>302</v>
      </c>
      <c r="J1407" s="36">
        <v>0</v>
      </c>
      <c r="K1407" s="36">
        <v>0</v>
      </c>
      <c r="L1407" s="36">
        <v>0</v>
      </c>
      <c r="M1407" s="36">
        <f t="shared" si="168"/>
        <v>0</v>
      </c>
      <c r="N1407" s="34">
        <f t="shared" si="174"/>
        <v>0</v>
      </c>
      <c r="O1407" s="35">
        <f>SUM($M$2:M1407)</f>
        <v>190743600</v>
      </c>
      <c r="P1407" s="34">
        <f t="shared" si="175"/>
        <v>1</v>
      </c>
      <c r="Q1407" s="39">
        <v>0</v>
      </c>
      <c r="R1407" s="22">
        <v>0</v>
      </c>
      <c r="S1407" s="22">
        <v>0</v>
      </c>
      <c r="T1407" s="22">
        <v>0</v>
      </c>
      <c r="U1407" s="39">
        <v>2.4</v>
      </c>
      <c r="V1407" s="22">
        <v>8</v>
      </c>
      <c r="W1407" s="22">
        <v>1</v>
      </c>
      <c r="X1407" s="40">
        <v>46</v>
      </c>
      <c r="Y1407" s="22">
        <v>0</v>
      </c>
      <c r="Z1407" s="22">
        <v>0</v>
      </c>
      <c r="AA1407" s="22" t="s">
        <v>212</v>
      </c>
      <c r="AB1407" s="22" t="s">
        <v>220</v>
      </c>
      <c r="AC1407" s="42">
        <f>IFERROR(LOOKUP(M1407,打分卡!$F$7:$J$7,打分卡!$K$7:$O$7),1)</f>
        <v>1</v>
      </c>
      <c r="AD1407" s="42">
        <f>IFERROR(LOOKUP(S1407,打分卡!$F$8:$J$8,打分卡!$K$8:$O$8),1)</f>
        <v>1</v>
      </c>
      <c r="AE1407" s="42">
        <f>IFERROR(LOOKUP(T1407,打分卡!$F$9:$I$9,打分卡!$K$9:$N$9),1)</f>
        <v>1</v>
      </c>
      <c r="AF1407" s="42">
        <f>IFERROR(LOOKUP(Q1407,打分卡!$F$10:$J$10,打分卡!$K$10:$O$10),1)</f>
        <v>1</v>
      </c>
      <c r="AG1407" s="42">
        <f>IFERROR(LOOKUP(R1407,打分卡!$F$11:$J$11,打分卡!$K$11:$O$11),1)</f>
        <v>1</v>
      </c>
      <c r="AH1407" s="42">
        <f>IFERROR(LOOKUP(U1407,打分卡!$F$12:$J$12,打分卡!$K$12:$O$12),1)</f>
        <v>1</v>
      </c>
      <c r="AI1407" s="42">
        <f>IFERROR(LOOKUP(X1407,打分卡!$F$13:$J$13,打分卡!$K$13:$O$13),1)</f>
        <v>3</v>
      </c>
      <c r="AJ1407" s="42">
        <f>IFERROR(LOOKUP(Y1407,打分卡!$F$14:$J$14,打分卡!$K$14:$O$14),1)</f>
        <v>1</v>
      </c>
      <c r="AK1407" s="42">
        <f>IFERROR(LOOKUP(W1407,打分卡!$F$15:$J$15,打分卡!$K$15:$O$15),1)</f>
        <v>2</v>
      </c>
      <c r="AL1407" s="45">
        <f t="shared" si="169"/>
        <v>1</v>
      </c>
      <c r="AM1407" s="42">
        <f>IFERROR(LOOKUP(Z1407,打分卡!$F$17:$H$17,打分卡!$K$17:$M$17),1)</f>
        <v>1</v>
      </c>
      <c r="AN1407" s="46">
        <f>(打分卡!$D$7*AC1407+打分卡!$D$8*AD1407+打分卡!$D$9*AE1407)/5</f>
        <v>8</v>
      </c>
      <c r="AO1407" s="46">
        <f>(打分卡!$D$10*AF1407+打分卡!$D$11*AG1407)/5</f>
        <v>4</v>
      </c>
      <c r="AP1407" s="46">
        <f>(打分卡!$D$12*AH1407+打分卡!$D$13*AI1407+打分卡!$D$14*AJ1407+打分卡!$D$15*AK1407)/5</f>
        <v>10</v>
      </c>
      <c r="AQ1407" s="46">
        <f>(打分卡!$D$16*AL1407+打分卡!$D$17*AM1407)/5</f>
        <v>2</v>
      </c>
      <c r="AR1407" s="48">
        <f t="shared" si="170"/>
        <v>24</v>
      </c>
      <c r="AS1407" s="45" t="str">
        <f t="shared" si="171"/>
        <v>未激活</v>
      </c>
      <c r="AT1407" s="45" t="str">
        <f t="shared" si="172"/>
        <v>连续下降-预警</v>
      </c>
      <c r="AU1407" s="45" t="str">
        <f t="shared" si="173"/>
        <v>唤醒：短信模板+首充补贴</v>
      </c>
    </row>
    <row r="1408" ht="15" customHeight="1" spans="1:47">
      <c r="A1408" s="30" t="s">
        <v>3627</v>
      </c>
      <c r="B1408" s="31" t="s">
        <v>3628</v>
      </c>
      <c r="C1408" s="31" t="s">
        <v>179</v>
      </c>
      <c r="D1408" s="31" t="s">
        <v>202</v>
      </c>
      <c r="E1408" s="31" t="s">
        <v>197</v>
      </c>
      <c r="F1408" s="30" t="s">
        <v>852</v>
      </c>
      <c r="G1408" s="31">
        <v>16</v>
      </c>
      <c r="H1408" s="31" t="s">
        <v>3535</v>
      </c>
      <c r="I1408" s="31" t="s">
        <v>302</v>
      </c>
      <c r="J1408" s="33">
        <v>0</v>
      </c>
      <c r="K1408" s="33">
        <v>0</v>
      </c>
      <c r="L1408" s="33">
        <v>0</v>
      </c>
      <c r="M1408" s="33">
        <f t="shared" si="168"/>
        <v>0</v>
      </c>
      <c r="N1408" s="34">
        <f t="shared" si="174"/>
        <v>0</v>
      </c>
      <c r="O1408" s="35">
        <f>SUM($M$2:M1408)</f>
        <v>190743600</v>
      </c>
      <c r="P1408" s="34">
        <f t="shared" si="175"/>
        <v>1</v>
      </c>
      <c r="Q1408" s="37">
        <v>0</v>
      </c>
      <c r="R1408" s="31">
        <v>0</v>
      </c>
      <c r="S1408" s="31">
        <v>0</v>
      </c>
      <c r="T1408" s="31">
        <v>0</v>
      </c>
      <c r="U1408" s="37">
        <v>3.8</v>
      </c>
      <c r="V1408" s="31">
        <v>10</v>
      </c>
      <c r="W1408" s="31">
        <v>2</v>
      </c>
      <c r="X1408" s="38">
        <v>6</v>
      </c>
      <c r="Y1408" s="31">
        <v>0</v>
      </c>
      <c r="Z1408" s="31">
        <v>0</v>
      </c>
      <c r="AA1408" s="31" t="s">
        <v>212</v>
      </c>
      <c r="AB1408" s="31" t="s">
        <v>220</v>
      </c>
      <c r="AC1408" s="41">
        <f>IFERROR(LOOKUP(M1408,打分卡!$F$7:$J$7,打分卡!$K$7:$O$7),1)</f>
        <v>1</v>
      </c>
      <c r="AD1408" s="41">
        <f>IFERROR(LOOKUP(S1408,打分卡!$F$8:$J$8,打分卡!$K$8:$O$8),1)</f>
        <v>1</v>
      </c>
      <c r="AE1408" s="41">
        <f>IFERROR(LOOKUP(T1408,打分卡!$F$9:$I$9,打分卡!$K$9:$N$9),1)</f>
        <v>1</v>
      </c>
      <c r="AF1408" s="41">
        <f>IFERROR(LOOKUP(Q1408,打分卡!$F$10:$J$10,打分卡!$K$10:$O$10),1)</f>
        <v>1</v>
      </c>
      <c r="AG1408" s="41">
        <f>IFERROR(LOOKUP(R1408,打分卡!$F$11:$J$11,打分卡!$K$11:$O$11),1)</f>
        <v>1</v>
      </c>
      <c r="AH1408" s="41">
        <f>IFERROR(LOOKUP(U1408,打分卡!$F$12:$J$12,打分卡!$K$12:$O$12),1)</f>
        <v>2</v>
      </c>
      <c r="AI1408" s="41">
        <f>IFERROR(LOOKUP(X1408,打分卡!$F$13:$J$13,打分卡!$K$13:$O$13),1)</f>
        <v>1</v>
      </c>
      <c r="AJ1408" s="41">
        <f>IFERROR(LOOKUP(Y1408,打分卡!$F$14:$J$14,打分卡!$K$14:$O$14),1)</f>
        <v>1</v>
      </c>
      <c r="AK1408" s="41">
        <f>IFERROR(LOOKUP(W1408,打分卡!$F$15:$J$15,打分卡!$K$15:$O$15),1)</f>
        <v>2</v>
      </c>
      <c r="AL1408" s="43">
        <f t="shared" si="169"/>
        <v>1</v>
      </c>
      <c r="AM1408" s="41">
        <f>IFERROR(LOOKUP(Z1408,打分卡!$F$17:$H$17,打分卡!$K$17:$M$17),1)</f>
        <v>1</v>
      </c>
      <c r="AN1408" s="44">
        <f>(打分卡!$D$7*AC1408+打分卡!$D$8*AD1408+打分卡!$D$9*AE1408)/5</f>
        <v>8</v>
      </c>
      <c r="AO1408" s="44">
        <f>(打分卡!$D$10*AF1408+打分卡!$D$11*AG1408)/5</f>
        <v>4</v>
      </c>
      <c r="AP1408" s="44">
        <f>(打分卡!$D$12*AH1408+打分卡!$D$13*AI1408+打分卡!$D$14*AJ1408+打分卡!$D$15*AK1408)/5</f>
        <v>9.2</v>
      </c>
      <c r="AQ1408" s="44">
        <f>(打分卡!$D$16*AL1408+打分卡!$D$17*AM1408)/5</f>
        <v>2</v>
      </c>
      <c r="AR1408" s="47">
        <f t="shared" si="170"/>
        <v>23.2</v>
      </c>
      <c r="AS1408" s="43" t="str">
        <f t="shared" si="171"/>
        <v>未激活</v>
      </c>
      <c r="AT1408" s="43" t="str">
        <f t="shared" si="172"/>
        <v>连续下降-预警</v>
      </c>
      <c r="AU1408" s="43" t="str">
        <f t="shared" si="173"/>
        <v>唤醒：短信模板+首充补贴</v>
      </c>
    </row>
    <row r="1409" ht="15" customHeight="1" spans="1:47">
      <c r="A1409" s="20" t="s">
        <v>3629</v>
      </c>
      <c r="B1409" s="22" t="s">
        <v>3630</v>
      </c>
      <c r="C1409" s="22" t="s">
        <v>195</v>
      </c>
      <c r="D1409" s="22" t="s">
        <v>196</v>
      </c>
      <c r="E1409" s="22" t="s">
        <v>197</v>
      </c>
      <c r="F1409" s="20" t="s">
        <v>681</v>
      </c>
      <c r="G1409" s="22">
        <v>19</v>
      </c>
      <c r="H1409" s="22" t="s">
        <v>3535</v>
      </c>
      <c r="I1409" s="22" t="s">
        <v>302</v>
      </c>
      <c r="J1409" s="36">
        <v>0</v>
      </c>
      <c r="K1409" s="36">
        <v>0</v>
      </c>
      <c r="L1409" s="36">
        <v>0</v>
      </c>
      <c r="M1409" s="36">
        <f t="shared" si="168"/>
        <v>0</v>
      </c>
      <c r="N1409" s="34">
        <f t="shared" si="174"/>
        <v>0</v>
      </c>
      <c r="O1409" s="35">
        <f>SUM($M$2:M1409)</f>
        <v>190743600</v>
      </c>
      <c r="P1409" s="34">
        <f t="shared" si="175"/>
        <v>1</v>
      </c>
      <c r="Q1409" s="39">
        <v>0</v>
      </c>
      <c r="R1409" s="22">
        <v>0</v>
      </c>
      <c r="S1409" s="22">
        <v>0</v>
      </c>
      <c r="T1409" s="22">
        <v>0</v>
      </c>
      <c r="U1409" s="39">
        <v>15.2</v>
      </c>
      <c r="V1409" s="22">
        <v>15</v>
      </c>
      <c r="W1409" s="22">
        <v>1</v>
      </c>
      <c r="X1409" s="40">
        <v>9</v>
      </c>
      <c r="Y1409" s="22">
        <v>0</v>
      </c>
      <c r="Z1409" s="22">
        <v>0</v>
      </c>
      <c r="AA1409" s="22" t="s">
        <v>212</v>
      </c>
      <c r="AB1409" s="22" t="s">
        <v>220</v>
      </c>
      <c r="AC1409" s="42">
        <f>IFERROR(LOOKUP(M1409,打分卡!$F$7:$J$7,打分卡!$K$7:$O$7),1)</f>
        <v>1</v>
      </c>
      <c r="AD1409" s="42">
        <f>IFERROR(LOOKUP(S1409,打分卡!$F$8:$J$8,打分卡!$K$8:$O$8),1)</f>
        <v>1</v>
      </c>
      <c r="AE1409" s="42">
        <f>IFERROR(LOOKUP(T1409,打分卡!$F$9:$I$9,打分卡!$K$9:$N$9),1)</f>
        <v>1</v>
      </c>
      <c r="AF1409" s="42">
        <f>IFERROR(LOOKUP(Q1409,打分卡!$F$10:$J$10,打分卡!$K$10:$O$10),1)</f>
        <v>1</v>
      </c>
      <c r="AG1409" s="42">
        <f>IFERROR(LOOKUP(R1409,打分卡!$F$11:$J$11,打分卡!$K$11:$O$11),1)</f>
        <v>1</v>
      </c>
      <c r="AH1409" s="42">
        <f>IFERROR(LOOKUP(U1409,打分卡!$F$12:$J$12,打分卡!$K$12:$O$12),1)</f>
        <v>3</v>
      </c>
      <c r="AI1409" s="42">
        <f>IFERROR(LOOKUP(X1409,打分卡!$F$13:$J$13,打分卡!$K$13:$O$13),1)</f>
        <v>1</v>
      </c>
      <c r="AJ1409" s="42">
        <f>IFERROR(LOOKUP(Y1409,打分卡!$F$14:$J$14,打分卡!$K$14:$O$14),1)</f>
        <v>1</v>
      </c>
      <c r="AK1409" s="42">
        <f>IFERROR(LOOKUP(W1409,打分卡!$F$15:$J$15,打分卡!$K$15:$O$15),1)</f>
        <v>2</v>
      </c>
      <c r="AL1409" s="45">
        <f t="shared" si="169"/>
        <v>1</v>
      </c>
      <c r="AM1409" s="42">
        <f>IFERROR(LOOKUP(Z1409,打分卡!$F$17:$H$17,打分卡!$K$17:$M$17),1)</f>
        <v>1</v>
      </c>
      <c r="AN1409" s="46">
        <f>(打分卡!$D$7*AC1409+打分卡!$D$8*AD1409+打分卡!$D$9*AE1409)/5</f>
        <v>8</v>
      </c>
      <c r="AO1409" s="46">
        <f>(打分卡!$D$10*AF1409+打分卡!$D$11*AG1409)/5</f>
        <v>4</v>
      </c>
      <c r="AP1409" s="46">
        <f>(打分卡!$D$12*AH1409+打分卡!$D$13*AI1409+打分卡!$D$14*AJ1409+打分卡!$D$15*AK1409)/5</f>
        <v>11.6</v>
      </c>
      <c r="AQ1409" s="46">
        <f>(打分卡!$D$16*AL1409+打分卡!$D$17*AM1409)/5</f>
        <v>2</v>
      </c>
      <c r="AR1409" s="48">
        <f t="shared" si="170"/>
        <v>25.6</v>
      </c>
      <c r="AS1409" s="45" t="str">
        <f t="shared" si="171"/>
        <v>未激活</v>
      </c>
      <c r="AT1409" s="45" t="str">
        <f t="shared" si="172"/>
        <v>连续下降-预警</v>
      </c>
      <c r="AU1409" s="45" t="str">
        <f t="shared" si="173"/>
        <v>唤醒：短信模板+首充补贴</v>
      </c>
    </row>
    <row r="1410" ht="15" customHeight="1" spans="1:47">
      <c r="A1410" s="30" t="s">
        <v>3631</v>
      </c>
      <c r="B1410" s="31" t="s">
        <v>3632</v>
      </c>
      <c r="C1410" s="31" t="s">
        <v>195</v>
      </c>
      <c r="D1410" s="31" t="s">
        <v>196</v>
      </c>
      <c r="E1410" s="31" t="s">
        <v>181</v>
      </c>
      <c r="F1410" s="30" t="s">
        <v>3633</v>
      </c>
      <c r="G1410" s="31">
        <v>13</v>
      </c>
      <c r="H1410" s="31" t="s">
        <v>3535</v>
      </c>
      <c r="I1410" s="31" t="s">
        <v>302</v>
      </c>
      <c r="J1410" s="33">
        <v>0</v>
      </c>
      <c r="K1410" s="33">
        <v>0</v>
      </c>
      <c r="L1410" s="33">
        <v>0</v>
      </c>
      <c r="M1410" s="33">
        <f t="shared" ref="M1410:M1473" si="176">SUM(J1410:L1410)</f>
        <v>0</v>
      </c>
      <c r="N1410" s="34">
        <f t="shared" si="174"/>
        <v>0</v>
      </c>
      <c r="O1410" s="35">
        <f>SUM($M$2:M1410)</f>
        <v>190743600</v>
      </c>
      <c r="P1410" s="34">
        <f t="shared" si="175"/>
        <v>1</v>
      </c>
      <c r="Q1410" s="37">
        <v>0</v>
      </c>
      <c r="R1410" s="31">
        <v>0</v>
      </c>
      <c r="S1410" s="31">
        <v>0</v>
      </c>
      <c r="T1410" s="31">
        <v>0</v>
      </c>
      <c r="U1410" s="37">
        <v>4.7</v>
      </c>
      <c r="V1410" s="31">
        <v>6</v>
      </c>
      <c r="W1410" s="31">
        <v>0</v>
      </c>
      <c r="X1410" s="38">
        <v>12</v>
      </c>
      <c r="Y1410" s="31">
        <v>1</v>
      </c>
      <c r="Z1410" s="31">
        <v>0</v>
      </c>
      <c r="AA1410" s="31" t="s">
        <v>212</v>
      </c>
      <c r="AB1410" s="31" t="s">
        <v>220</v>
      </c>
      <c r="AC1410" s="41">
        <f>IFERROR(LOOKUP(M1410,打分卡!$F$7:$J$7,打分卡!$K$7:$O$7),1)</f>
        <v>1</v>
      </c>
      <c r="AD1410" s="41">
        <f>IFERROR(LOOKUP(S1410,打分卡!$F$8:$J$8,打分卡!$K$8:$O$8),1)</f>
        <v>1</v>
      </c>
      <c r="AE1410" s="41">
        <f>IFERROR(LOOKUP(T1410,打分卡!$F$9:$I$9,打分卡!$K$9:$N$9),1)</f>
        <v>1</v>
      </c>
      <c r="AF1410" s="41">
        <f>IFERROR(LOOKUP(Q1410,打分卡!$F$10:$J$10,打分卡!$K$10:$O$10),1)</f>
        <v>1</v>
      </c>
      <c r="AG1410" s="41">
        <f>IFERROR(LOOKUP(R1410,打分卡!$F$11:$J$11,打分卡!$K$11:$O$11),1)</f>
        <v>1</v>
      </c>
      <c r="AH1410" s="41">
        <f>IFERROR(LOOKUP(U1410,打分卡!$F$12:$J$12,打分卡!$K$12:$O$12),1)</f>
        <v>2</v>
      </c>
      <c r="AI1410" s="41">
        <f>IFERROR(LOOKUP(X1410,打分卡!$F$13:$J$13,打分卡!$K$13:$O$13),1)</f>
        <v>1</v>
      </c>
      <c r="AJ1410" s="41">
        <f>IFERROR(LOOKUP(Y1410,打分卡!$F$14:$J$14,打分卡!$K$14:$O$14),1)</f>
        <v>2</v>
      </c>
      <c r="AK1410" s="41">
        <f>IFERROR(LOOKUP(W1410,打分卡!$F$15:$J$15,打分卡!$K$15:$O$15),1)</f>
        <v>1</v>
      </c>
      <c r="AL1410" s="43">
        <f t="shared" ref="AL1410:AL1473" si="177">IF(AA1410="连续下降",1,IF(AA1410="下降",2,IF(AA1410="上升",5,3)))</f>
        <v>1</v>
      </c>
      <c r="AM1410" s="41">
        <f>IFERROR(LOOKUP(Z1410,打分卡!$F$17:$H$17,打分卡!$K$17:$M$17),1)</f>
        <v>1</v>
      </c>
      <c r="AN1410" s="44">
        <f>(打分卡!$D$7*AC1410+打分卡!$D$8*AD1410+打分卡!$D$9*AE1410)/5</f>
        <v>8</v>
      </c>
      <c r="AO1410" s="44">
        <f>(打分卡!$D$10*AF1410+打分卡!$D$11*AG1410)/5</f>
        <v>4</v>
      </c>
      <c r="AP1410" s="44">
        <f>(打分卡!$D$12*AH1410+打分卡!$D$13*AI1410+打分卡!$D$14*AJ1410+打分卡!$D$15*AK1410)/5</f>
        <v>9.6</v>
      </c>
      <c r="AQ1410" s="44">
        <f>(打分卡!$D$16*AL1410+打分卡!$D$17*AM1410)/5</f>
        <v>2</v>
      </c>
      <c r="AR1410" s="47">
        <f t="shared" ref="AR1410:AR1473" si="178">IF(G1410&lt;3,AP1410/30*40+AO1410+AP1410+AQ1410,AN1410+AO1410+AP1410+AQ1410)</f>
        <v>23.6</v>
      </c>
      <c r="AS1410" s="43" t="str">
        <f t="shared" ref="AS1410:AS1473" si="179">IF(M1410=0,IF(G1410&lt;3,"新客观察期","未激活"),IF(AR1410&gt;=90,"SKA",IF(AR1410&gt;=75,"KA",IF(AR1410&gt;=40,"腰部","基础长尾"))))</f>
        <v>未激活</v>
      </c>
      <c r="AT1410" s="43" t="str">
        <f t="shared" ref="AT1410:AT1473" si="180">IF(AA1410="连续下降","连续下降-预警","")</f>
        <v>连续下降-预警</v>
      </c>
      <c r="AU1410" s="43" t="str">
        <f t="shared" ref="AU1410:AU1473" si="181">IF(AS1410="SKA","守·共创：卡片短信/AI外呼新场景POC",IF(AS1410="KA","扩·深化：AI外呼场景深化+Push/企微补全",IF(AS1410="腰部","拉·主攻：主推AI外呼+大促作战包",IF(AS1410="新客观察期","培育：入门包+1v1场景教育",IF(AS1410="基础长尾","激活：企微+Push低成本先跑","唤醒：短信模板+首充补贴")))))</f>
        <v>唤醒：短信模板+首充补贴</v>
      </c>
    </row>
    <row r="1411" ht="15" customHeight="1" spans="1:47">
      <c r="A1411" s="20" t="s">
        <v>3634</v>
      </c>
      <c r="B1411" s="22" t="s">
        <v>3635</v>
      </c>
      <c r="C1411" s="22" t="s">
        <v>223</v>
      </c>
      <c r="D1411" s="22" t="s">
        <v>196</v>
      </c>
      <c r="E1411" s="22" t="s">
        <v>197</v>
      </c>
      <c r="F1411" s="20" t="s">
        <v>3636</v>
      </c>
      <c r="G1411" s="22">
        <v>35</v>
      </c>
      <c r="H1411" s="22" t="s">
        <v>3535</v>
      </c>
      <c r="I1411" s="22" t="s">
        <v>302</v>
      </c>
      <c r="J1411" s="36">
        <v>0</v>
      </c>
      <c r="K1411" s="36">
        <v>0</v>
      </c>
      <c r="L1411" s="36">
        <v>0</v>
      </c>
      <c r="M1411" s="36">
        <f t="shared" si="176"/>
        <v>0</v>
      </c>
      <c r="N1411" s="34">
        <f t="shared" ref="N1411:N1474" si="182">M1411/$M$2002</f>
        <v>0</v>
      </c>
      <c r="O1411" s="35">
        <f>SUM($M$2:M1411)</f>
        <v>190743600</v>
      </c>
      <c r="P1411" s="34">
        <f t="shared" ref="P1411:P1474" si="183">O1411/$M$2002</f>
        <v>1</v>
      </c>
      <c r="Q1411" s="39">
        <v>0</v>
      </c>
      <c r="R1411" s="22">
        <v>0</v>
      </c>
      <c r="S1411" s="22">
        <v>0</v>
      </c>
      <c r="T1411" s="22">
        <v>0</v>
      </c>
      <c r="U1411" s="39">
        <v>21.2</v>
      </c>
      <c r="V1411" s="22">
        <v>5</v>
      </c>
      <c r="W1411" s="22">
        <v>0</v>
      </c>
      <c r="X1411" s="40">
        <v>28</v>
      </c>
      <c r="Y1411" s="22">
        <v>0</v>
      </c>
      <c r="Z1411" s="22">
        <v>0</v>
      </c>
      <c r="AA1411" s="22" t="s">
        <v>212</v>
      </c>
      <c r="AB1411" s="22" t="s">
        <v>220</v>
      </c>
      <c r="AC1411" s="42">
        <f>IFERROR(LOOKUP(M1411,打分卡!$F$7:$J$7,打分卡!$K$7:$O$7),1)</f>
        <v>1</v>
      </c>
      <c r="AD1411" s="42">
        <f>IFERROR(LOOKUP(S1411,打分卡!$F$8:$J$8,打分卡!$K$8:$O$8),1)</f>
        <v>1</v>
      </c>
      <c r="AE1411" s="42">
        <f>IFERROR(LOOKUP(T1411,打分卡!$F$9:$I$9,打分卡!$K$9:$N$9),1)</f>
        <v>1</v>
      </c>
      <c r="AF1411" s="42">
        <f>IFERROR(LOOKUP(Q1411,打分卡!$F$10:$J$10,打分卡!$K$10:$O$10),1)</f>
        <v>1</v>
      </c>
      <c r="AG1411" s="42">
        <f>IFERROR(LOOKUP(R1411,打分卡!$F$11:$J$11,打分卡!$K$11:$O$11),1)</f>
        <v>1</v>
      </c>
      <c r="AH1411" s="42">
        <f>IFERROR(LOOKUP(U1411,打分卡!$F$12:$J$12,打分卡!$K$12:$O$12),1)</f>
        <v>3</v>
      </c>
      <c r="AI1411" s="42">
        <f>IFERROR(LOOKUP(X1411,打分卡!$F$13:$J$13,打分卡!$K$13:$O$13),1)</f>
        <v>2</v>
      </c>
      <c r="AJ1411" s="42">
        <f>IFERROR(LOOKUP(Y1411,打分卡!$F$14:$J$14,打分卡!$K$14:$O$14),1)</f>
        <v>1</v>
      </c>
      <c r="AK1411" s="42">
        <f>IFERROR(LOOKUP(W1411,打分卡!$F$15:$J$15,打分卡!$K$15:$O$15),1)</f>
        <v>1</v>
      </c>
      <c r="AL1411" s="45">
        <f t="shared" si="177"/>
        <v>1</v>
      </c>
      <c r="AM1411" s="42">
        <f>IFERROR(LOOKUP(Z1411,打分卡!$F$17:$H$17,打分卡!$K$17:$M$17),1)</f>
        <v>1</v>
      </c>
      <c r="AN1411" s="46">
        <f>(打分卡!$D$7*AC1411+打分卡!$D$8*AD1411+打分卡!$D$9*AE1411)/5</f>
        <v>8</v>
      </c>
      <c r="AO1411" s="46">
        <f>(打分卡!$D$10*AF1411+打分卡!$D$11*AG1411)/5</f>
        <v>4</v>
      </c>
      <c r="AP1411" s="46">
        <f>(打分卡!$D$12*AH1411+打分卡!$D$13*AI1411+打分卡!$D$14*AJ1411+打分卡!$D$15*AK1411)/5</f>
        <v>12.4</v>
      </c>
      <c r="AQ1411" s="46">
        <f>(打分卡!$D$16*AL1411+打分卡!$D$17*AM1411)/5</f>
        <v>2</v>
      </c>
      <c r="AR1411" s="48">
        <f t="shared" si="178"/>
        <v>26.4</v>
      </c>
      <c r="AS1411" s="45" t="str">
        <f t="shared" si="179"/>
        <v>未激活</v>
      </c>
      <c r="AT1411" s="45" t="str">
        <f t="shared" si="180"/>
        <v>连续下降-预警</v>
      </c>
      <c r="AU1411" s="45" t="str">
        <f t="shared" si="181"/>
        <v>唤醒：短信模板+首充补贴</v>
      </c>
    </row>
    <row r="1412" ht="15" customHeight="1" spans="1:47">
      <c r="A1412" s="30" t="s">
        <v>3637</v>
      </c>
      <c r="B1412" s="31" t="s">
        <v>3638</v>
      </c>
      <c r="C1412" s="31" t="s">
        <v>209</v>
      </c>
      <c r="D1412" s="31" t="s">
        <v>196</v>
      </c>
      <c r="E1412" s="31" t="s">
        <v>181</v>
      </c>
      <c r="F1412" s="30" t="s">
        <v>3568</v>
      </c>
      <c r="G1412" s="31">
        <v>27</v>
      </c>
      <c r="H1412" s="31" t="s">
        <v>3535</v>
      </c>
      <c r="I1412" s="31" t="s">
        <v>302</v>
      </c>
      <c r="J1412" s="33">
        <v>0</v>
      </c>
      <c r="K1412" s="33">
        <v>0</v>
      </c>
      <c r="L1412" s="33">
        <v>0</v>
      </c>
      <c r="M1412" s="33">
        <f t="shared" si="176"/>
        <v>0</v>
      </c>
      <c r="N1412" s="34">
        <f t="shared" si="182"/>
        <v>0</v>
      </c>
      <c r="O1412" s="35">
        <f>SUM($M$2:M1412)</f>
        <v>190743600</v>
      </c>
      <c r="P1412" s="34">
        <f t="shared" si="183"/>
        <v>1</v>
      </c>
      <c r="Q1412" s="37">
        <v>0</v>
      </c>
      <c r="R1412" s="31">
        <v>0</v>
      </c>
      <c r="S1412" s="31">
        <v>0</v>
      </c>
      <c r="T1412" s="31">
        <v>0</v>
      </c>
      <c r="U1412" s="37">
        <v>1.9</v>
      </c>
      <c r="V1412" s="31">
        <v>0</v>
      </c>
      <c r="W1412" s="31">
        <v>0</v>
      </c>
      <c r="X1412" s="38">
        <v>7</v>
      </c>
      <c r="Y1412" s="31">
        <v>0</v>
      </c>
      <c r="Z1412" s="31">
        <v>0</v>
      </c>
      <c r="AA1412" s="31" t="s">
        <v>212</v>
      </c>
      <c r="AB1412" s="31" t="s">
        <v>220</v>
      </c>
      <c r="AC1412" s="41">
        <f>IFERROR(LOOKUP(M1412,打分卡!$F$7:$J$7,打分卡!$K$7:$O$7),1)</f>
        <v>1</v>
      </c>
      <c r="AD1412" s="41">
        <f>IFERROR(LOOKUP(S1412,打分卡!$F$8:$J$8,打分卡!$K$8:$O$8),1)</f>
        <v>1</v>
      </c>
      <c r="AE1412" s="41">
        <f>IFERROR(LOOKUP(T1412,打分卡!$F$9:$I$9,打分卡!$K$9:$N$9),1)</f>
        <v>1</v>
      </c>
      <c r="AF1412" s="41">
        <f>IFERROR(LOOKUP(Q1412,打分卡!$F$10:$J$10,打分卡!$K$10:$O$10),1)</f>
        <v>1</v>
      </c>
      <c r="AG1412" s="41">
        <f>IFERROR(LOOKUP(R1412,打分卡!$F$11:$J$11,打分卡!$K$11:$O$11),1)</f>
        <v>1</v>
      </c>
      <c r="AH1412" s="41">
        <f>IFERROR(LOOKUP(U1412,打分卡!$F$12:$J$12,打分卡!$K$12:$O$12),1)</f>
        <v>1</v>
      </c>
      <c r="AI1412" s="41">
        <f>IFERROR(LOOKUP(X1412,打分卡!$F$13:$J$13,打分卡!$K$13:$O$13),1)</f>
        <v>1</v>
      </c>
      <c r="AJ1412" s="41">
        <f>IFERROR(LOOKUP(Y1412,打分卡!$F$14:$J$14,打分卡!$K$14:$O$14),1)</f>
        <v>1</v>
      </c>
      <c r="AK1412" s="41">
        <f>IFERROR(LOOKUP(W1412,打分卡!$F$15:$J$15,打分卡!$K$15:$O$15),1)</f>
        <v>1</v>
      </c>
      <c r="AL1412" s="43">
        <f t="shared" si="177"/>
        <v>1</v>
      </c>
      <c r="AM1412" s="41">
        <f>IFERROR(LOOKUP(Z1412,打分卡!$F$17:$H$17,打分卡!$K$17:$M$17),1)</f>
        <v>1</v>
      </c>
      <c r="AN1412" s="44">
        <f>(打分卡!$D$7*AC1412+打分卡!$D$8*AD1412+打分卡!$D$9*AE1412)/5</f>
        <v>8</v>
      </c>
      <c r="AO1412" s="44">
        <f>(打分卡!$D$10*AF1412+打分卡!$D$11*AG1412)/5</f>
        <v>4</v>
      </c>
      <c r="AP1412" s="44">
        <f>(打分卡!$D$12*AH1412+打分卡!$D$13*AI1412+打分卡!$D$14*AJ1412+打分卡!$D$15*AK1412)/5</f>
        <v>6</v>
      </c>
      <c r="AQ1412" s="44">
        <f>(打分卡!$D$16*AL1412+打分卡!$D$17*AM1412)/5</f>
        <v>2</v>
      </c>
      <c r="AR1412" s="47">
        <f t="shared" si="178"/>
        <v>20</v>
      </c>
      <c r="AS1412" s="43" t="str">
        <f t="shared" si="179"/>
        <v>未激活</v>
      </c>
      <c r="AT1412" s="43" t="str">
        <f t="shared" si="180"/>
        <v>连续下降-预警</v>
      </c>
      <c r="AU1412" s="43" t="str">
        <f t="shared" si="181"/>
        <v>唤醒：短信模板+首充补贴</v>
      </c>
    </row>
    <row r="1413" ht="15" customHeight="1" spans="1:47">
      <c r="A1413" s="20" t="s">
        <v>3639</v>
      </c>
      <c r="B1413" s="22" t="s">
        <v>3640</v>
      </c>
      <c r="C1413" s="22" t="s">
        <v>189</v>
      </c>
      <c r="D1413" s="22" t="s">
        <v>227</v>
      </c>
      <c r="E1413" s="22" t="s">
        <v>197</v>
      </c>
      <c r="F1413" s="20" t="s">
        <v>2400</v>
      </c>
      <c r="G1413" s="22">
        <v>15</v>
      </c>
      <c r="H1413" s="22" t="s">
        <v>3535</v>
      </c>
      <c r="I1413" s="22" t="s">
        <v>302</v>
      </c>
      <c r="J1413" s="36">
        <v>0</v>
      </c>
      <c r="K1413" s="36">
        <v>0</v>
      </c>
      <c r="L1413" s="36">
        <v>0</v>
      </c>
      <c r="M1413" s="36">
        <f t="shared" si="176"/>
        <v>0</v>
      </c>
      <c r="N1413" s="34">
        <f t="shared" si="182"/>
        <v>0</v>
      </c>
      <c r="O1413" s="35">
        <f>SUM($M$2:M1413)</f>
        <v>190743600</v>
      </c>
      <c r="P1413" s="34">
        <f t="shared" si="183"/>
        <v>1</v>
      </c>
      <c r="Q1413" s="39">
        <v>0</v>
      </c>
      <c r="R1413" s="22">
        <v>0</v>
      </c>
      <c r="S1413" s="22">
        <v>0</v>
      </c>
      <c r="T1413" s="22">
        <v>0</v>
      </c>
      <c r="U1413" s="39">
        <v>20</v>
      </c>
      <c r="V1413" s="22">
        <v>0</v>
      </c>
      <c r="W1413" s="22">
        <v>1</v>
      </c>
      <c r="X1413" s="40">
        <v>44</v>
      </c>
      <c r="Y1413" s="22">
        <v>1</v>
      </c>
      <c r="Z1413" s="22">
        <v>0</v>
      </c>
      <c r="AA1413" s="22" t="s">
        <v>212</v>
      </c>
      <c r="AB1413" s="22" t="s">
        <v>220</v>
      </c>
      <c r="AC1413" s="42">
        <f>IFERROR(LOOKUP(M1413,打分卡!$F$7:$J$7,打分卡!$K$7:$O$7),1)</f>
        <v>1</v>
      </c>
      <c r="AD1413" s="42">
        <f>IFERROR(LOOKUP(S1413,打分卡!$F$8:$J$8,打分卡!$K$8:$O$8),1)</f>
        <v>1</v>
      </c>
      <c r="AE1413" s="42">
        <f>IFERROR(LOOKUP(T1413,打分卡!$F$9:$I$9,打分卡!$K$9:$N$9),1)</f>
        <v>1</v>
      </c>
      <c r="AF1413" s="42">
        <f>IFERROR(LOOKUP(Q1413,打分卡!$F$10:$J$10,打分卡!$K$10:$O$10),1)</f>
        <v>1</v>
      </c>
      <c r="AG1413" s="42">
        <f>IFERROR(LOOKUP(R1413,打分卡!$F$11:$J$11,打分卡!$K$11:$O$11),1)</f>
        <v>1</v>
      </c>
      <c r="AH1413" s="42">
        <f>IFERROR(LOOKUP(U1413,打分卡!$F$12:$J$12,打分卡!$K$12:$O$12),1)</f>
        <v>3</v>
      </c>
      <c r="AI1413" s="42">
        <f>IFERROR(LOOKUP(X1413,打分卡!$F$13:$J$13,打分卡!$K$13:$O$13),1)</f>
        <v>3</v>
      </c>
      <c r="AJ1413" s="42">
        <f>IFERROR(LOOKUP(Y1413,打分卡!$F$14:$J$14,打分卡!$K$14:$O$14),1)</f>
        <v>2</v>
      </c>
      <c r="AK1413" s="42">
        <f>IFERROR(LOOKUP(W1413,打分卡!$F$15:$J$15,打分卡!$K$15:$O$15),1)</f>
        <v>2</v>
      </c>
      <c r="AL1413" s="45">
        <f t="shared" si="177"/>
        <v>1</v>
      </c>
      <c r="AM1413" s="42">
        <f>IFERROR(LOOKUP(Z1413,打分卡!$F$17:$H$17,打分卡!$K$17:$M$17),1)</f>
        <v>1</v>
      </c>
      <c r="AN1413" s="46">
        <f>(打分卡!$D$7*AC1413+打分卡!$D$8*AD1413+打分卡!$D$9*AE1413)/5</f>
        <v>8</v>
      </c>
      <c r="AO1413" s="46">
        <f>(打分卡!$D$10*AF1413+打分卡!$D$11*AG1413)/5</f>
        <v>4</v>
      </c>
      <c r="AP1413" s="46">
        <f>(打分卡!$D$12*AH1413+打分卡!$D$13*AI1413+打分卡!$D$14*AJ1413+打分卡!$D$15*AK1413)/5</f>
        <v>16</v>
      </c>
      <c r="AQ1413" s="46">
        <f>(打分卡!$D$16*AL1413+打分卡!$D$17*AM1413)/5</f>
        <v>2</v>
      </c>
      <c r="AR1413" s="48">
        <f t="shared" si="178"/>
        <v>30</v>
      </c>
      <c r="AS1413" s="45" t="str">
        <f t="shared" si="179"/>
        <v>未激活</v>
      </c>
      <c r="AT1413" s="45" t="str">
        <f t="shared" si="180"/>
        <v>连续下降-预警</v>
      </c>
      <c r="AU1413" s="45" t="str">
        <f t="shared" si="181"/>
        <v>唤醒：短信模板+首充补贴</v>
      </c>
    </row>
    <row r="1414" ht="15" customHeight="1" spans="1:47">
      <c r="A1414" s="30" t="s">
        <v>3641</v>
      </c>
      <c r="B1414" s="31" t="s">
        <v>3642</v>
      </c>
      <c r="C1414" s="31" t="s">
        <v>239</v>
      </c>
      <c r="D1414" s="31" t="s">
        <v>202</v>
      </c>
      <c r="E1414" s="31" t="s">
        <v>181</v>
      </c>
      <c r="F1414" s="30" t="s">
        <v>3643</v>
      </c>
      <c r="G1414" s="31">
        <v>12</v>
      </c>
      <c r="H1414" s="31" t="s">
        <v>3535</v>
      </c>
      <c r="I1414" s="31" t="s">
        <v>302</v>
      </c>
      <c r="J1414" s="33">
        <v>0</v>
      </c>
      <c r="K1414" s="33">
        <v>0</v>
      </c>
      <c r="L1414" s="33">
        <v>0</v>
      </c>
      <c r="M1414" s="33">
        <f t="shared" si="176"/>
        <v>0</v>
      </c>
      <c r="N1414" s="34">
        <f t="shared" si="182"/>
        <v>0</v>
      </c>
      <c r="O1414" s="35">
        <f>SUM($M$2:M1414)</f>
        <v>190743600</v>
      </c>
      <c r="P1414" s="34">
        <f t="shared" si="183"/>
        <v>1</v>
      </c>
      <c r="Q1414" s="37">
        <v>0</v>
      </c>
      <c r="R1414" s="31">
        <v>0</v>
      </c>
      <c r="S1414" s="31">
        <v>0</v>
      </c>
      <c r="T1414" s="31">
        <v>0</v>
      </c>
      <c r="U1414" s="37">
        <v>2.5</v>
      </c>
      <c r="V1414" s="31">
        <v>9</v>
      </c>
      <c r="W1414" s="31">
        <v>1</v>
      </c>
      <c r="X1414" s="38">
        <v>9</v>
      </c>
      <c r="Y1414" s="31">
        <v>1</v>
      </c>
      <c r="Z1414" s="31">
        <v>0</v>
      </c>
      <c r="AA1414" s="31" t="s">
        <v>212</v>
      </c>
      <c r="AB1414" s="31" t="s">
        <v>220</v>
      </c>
      <c r="AC1414" s="41">
        <f>IFERROR(LOOKUP(M1414,打分卡!$F$7:$J$7,打分卡!$K$7:$O$7),1)</f>
        <v>1</v>
      </c>
      <c r="AD1414" s="41">
        <f>IFERROR(LOOKUP(S1414,打分卡!$F$8:$J$8,打分卡!$K$8:$O$8),1)</f>
        <v>1</v>
      </c>
      <c r="AE1414" s="41">
        <f>IFERROR(LOOKUP(T1414,打分卡!$F$9:$I$9,打分卡!$K$9:$N$9),1)</f>
        <v>1</v>
      </c>
      <c r="AF1414" s="41">
        <f>IFERROR(LOOKUP(Q1414,打分卡!$F$10:$J$10,打分卡!$K$10:$O$10),1)</f>
        <v>1</v>
      </c>
      <c r="AG1414" s="41">
        <f>IFERROR(LOOKUP(R1414,打分卡!$F$11:$J$11,打分卡!$K$11:$O$11),1)</f>
        <v>1</v>
      </c>
      <c r="AH1414" s="41">
        <f>IFERROR(LOOKUP(U1414,打分卡!$F$12:$J$12,打分卡!$K$12:$O$12),1)</f>
        <v>1</v>
      </c>
      <c r="AI1414" s="41">
        <f>IFERROR(LOOKUP(X1414,打分卡!$F$13:$J$13,打分卡!$K$13:$O$13),1)</f>
        <v>1</v>
      </c>
      <c r="AJ1414" s="41">
        <f>IFERROR(LOOKUP(Y1414,打分卡!$F$14:$J$14,打分卡!$K$14:$O$14),1)</f>
        <v>2</v>
      </c>
      <c r="AK1414" s="41">
        <f>IFERROR(LOOKUP(W1414,打分卡!$F$15:$J$15,打分卡!$K$15:$O$15),1)</f>
        <v>2</v>
      </c>
      <c r="AL1414" s="43">
        <f t="shared" si="177"/>
        <v>1</v>
      </c>
      <c r="AM1414" s="41">
        <f>IFERROR(LOOKUP(Z1414,打分卡!$F$17:$H$17,打分卡!$K$17:$M$17),1)</f>
        <v>1</v>
      </c>
      <c r="AN1414" s="44">
        <f>(打分卡!$D$7*AC1414+打分卡!$D$8*AD1414+打分卡!$D$9*AE1414)/5</f>
        <v>8</v>
      </c>
      <c r="AO1414" s="44">
        <f>(打分卡!$D$10*AF1414+打分卡!$D$11*AG1414)/5</f>
        <v>4</v>
      </c>
      <c r="AP1414" s="44">
        <f>(打分卡!$D$12*AH1414+打分卡!$D$13*AI1414+打分卡!$D$14*AJ1414+打分卡!$D$15*AK1414)/5</f>
        <v>8</v>
      </c>
      <c r="AQ1414" s="44">
        <f>(打分卡!$D$16*AL1414+打分卡!$D$17*AM1414)/5</f>
        <v>2</v>
      </c>
      <c r="AR1414" s="47">
        <f t="shared" si="178"/>
        <v>22</v>
      </c>
      <c r="AS1414" s="43" t="str">
        <f t="shared" si="179"/>
        <v>未激活</v>
      </c>
      <c r="AT1414" s="43" t="str">
        <f t="shared" si="180"/>
        <v>连续下降-预警</v>
      </c>
      <c r="AU1414" s="43" t="str">
        <f t="shared" si="181"/>
        <v>唤醒：短信模板+首充补贴</v>
      </c>
    </row>
    <row r="1415" ht="15" customHeight="1" spans="1:47">
      <c r="A1415" s="20" t="s">
        <v>3644</v>
      </c>
      <c r="B1415" s="22" t="s">
        <v>3645</v>
      </c>
      <c r="C1415" s="22" t="s">
        <v>189</v>
      </c>
      <c r="D1415" s="22" t="s">
        <v>196</v>
      </c>
      <c r="E1415" s="22" t="s">
        <v>197</v>
      </c>
      <c r="F1415" s="20" t="s">
        <v>3646</v>
      </c>
      <c r="G1415" s="22">
        <v>28</v>
      </c>
      <c r="H1415" s="22" t="s">
        <v>3535</v>
      </c>
      <c r="I1415" s="22" t="s">
        <v>302</v>
      </c>
      <c r="J1415" s="36">
        <v>0</v>
      </c>
      <c r="K1415" s="36">
        <v>0</v>
      </c>
      <c r="L1415" s="36">
        <v>0</v>
      </c>
      <c r="M1415" s="36">
        <f t="shared" si="176"/>
        <v>0</v>
      </c>
      <c r="N1415" s="34">
        <f t="shared" si="182"/>
        <v>0</v>
      </c>
      <c r="O1415" s="35">
        <f>SUM($M$2:M1415)</f>
        <v>190743600</v>
      </c>
      <c r="P1415" s="34">
        <f t="shared" si="183"/>
        <v>1</v>
      </c>
      <c r="Q1415" s="39">
        <v>0</v>
      </c>
      <c r="R1415" s="22">
        <v>0</v>
      </c>
      <c r="S1415" s="22">
        <v>0</v>
      </c>
      <c r="T1415" s="22">
        <v>0</v>
      </c>
      <c r="U1415" s="39">
        <v>12.7</v>
      </c>
      <c r="V1415" s="22">
        <v>13</v>
      </c>
      <c r="W1415" s="22">
        <v>1</v>
      </c>
      <c r="X1415" s="40">
        <v>10</v>
      </c>
      <c r="Y1415" s="22">
        <v>1</v>
      </c>
      <c r="Z1415" s="22">
        <v>0</v>
      </c>
      <c r="AA1415" s="22" t="s">
        <v>212</v>
      </c>
      <c r="AB1415" s="22" t="s">
        <v>220</v>
      </c>
      <c r="AC1415" s="42">
        <f>IFERROR(LOOKUP(M1415,打分卡!$F$7:$J$7,打分卡!$K$7:$O$7),1)</f>
        <v>1</v>
      </c>
      <c r="AD1415" s="42">
        <f>IFERROR(LOOKUP(S1415,打分卡!$F$8:$J$8,打分卡!$K$8:$O$8),1)</f>
        <v>1</v>
      </c>
      <c r="AE1415" s="42">
        <f>IFERROR(LOOKUP(T1415,打分卡!$F$9:$I$9,打分卡!$K$9:$N$9),1)</f>
        <v>1</v>
      </c>
      <c r="AF1415" s="42">
        <f>IFERROR(LOOKUP(Q1415,打分卡!$F$10:$J$10,打分卡!$K$10:$O$10),1)</f>
        <v>1</v>
      </c>
      <c r="AG1415" s="42">
        <f>IFERROR(LOOKUP(R1415,打分卡!$F$11:$J$11,打分卡!$K$11:$O$11),1)</f>
        <v>1</v>
      </c>
      <c r="AH1415" s="42">
        <f>IFERROR(LOOKUP(U1415,打分卡!$F$12:$J$12,打分卡!$K$12:$O$12),1)</f>
        <v>3</v>
      </c>
      <c r="AI1415" s="42">
        <f>IFERROR(LOOKUP(X1415,打分卡!$F$13:$J$13,打分卡!$K$13:$O$13),1)</f>
        <v>1</v>
      </c>
      <c r="AJ1415" s="42">
        <f>IFERROR(LOOKUP(Y1415,打分卡!$F$14:$J$14,打分卡!$K$14:$O$14),1)</f>
        <v>2</v>
      </c>
      <c r="AK1415" s="42">
        <f>IFERROR(LOOKUP(W1415,打分卡!$F$15:$J$15,打分卡!$K$15:$O$15),1)</f>
        <v>2</v>
      </c>
      <c r="AL1415" s="45">
        <f t="shared" si="177"/>
        <v>1</v>
      </c>
      <c r="AM1415" s="42">
        <f>IFERROR(LOOKUP(Z1415,打分卡!$F$17:$H$17,打分卡!$K$17:$M$17),1)</f>
        <v>1</v>
      </c>
      <c r="AN1415" s="46">
        <f>(打分卡!$D$7*AC1415+打分卡!$D$8*AD1415+打分卡!$D$9*AE1415)/5</f>
        <v>8</v>
      </c>
      <c r="AO1415" s="46">
        <f>(打分卡!$D$10*AF1415+打分卡!$D$11*AG1415)/5</f>
        <v>4</v>
      </c>
      <c r="AP1415" s="46">
        <f>(打分卡!$D$12*AH1415+打分卡!$D$13*AI1415+打分卡!$D$14*AJ1415+打分卡!$D$15*AK1415)/5</f>
        <v>12.8</v>
      </c>
      <c r="AQ1415" s="46">
        <f>(打分卡!$D$16*AL1415+打分卡!$D$17*AM1415)/5</f>
        <v>2</v>
      </c>
      <c r="AR1415" s="48">
        <f t="shared" si="178"/>
        <v>26.8</v>
      </c>
      <c r="AS1415" s="45" t="str">
        <f t="shared" si="179"/>
        <v>未激活</v>
      </c>
      <c r="AT1415" s="45" t="str">
        <f t="shared" si="180"/>
        <v>连续下降-预警</v>
      </c>
      <c r="AU1415" s="45" t="str">
        <f t="shared" si="181"/>
        <v>唤醒：短信模板+首充补贴</v>
      </c>
    </row>
    <row r="1416" ht="15" customHeight="1" spans="1:47">
      <c r="A1416" s="30" t="s">
        <v>3647</v>
      </c>
      <c r="B1416" s="31" t="s">
        <v>3648</v>
      </c>
      <c r="C1416" s="31" t="s">
        <v>189</v>
      </c>
      <c r="D1416" s="31" t="s">
        <v>180</v>
      </c>
      <c r="E1416" s="31" t="s">
        <v>181</v>
      </c>
      <c r="F1416" s="30" t="s">
        <v>3649</v>
      </c>
      <c r="G1416" s="31">
        <v>34</v>
      </c>
      <c r="H1416" s="31" t="s">
        <v>3535</v>
      </c>
      <c r="I1416" s="31" t="s">
        <v>302</v>
      </c>
      <c r="J1416" s="33">
        <v>0</v>
      </c>
      <c r="K1416" s="33">
        <v>0</v>
      </c>
      <c r="L1416" s="33">
        <v>0</v>
      </c>
      <c r="M1416" s="33">
        <f t="shared" si="176"/>
        <v>0</v>
      </c>
      <c r="N1416" s="34">
        <f t="shared" si="182"/>
        <v>0</v>
      </c>
      <c r="O1416" s="35">
        <f>SUM($M$2:M1416)</f>
        <v>190743600</v>
      </c>
      <c r="P1416" s="34">
        <f t="shared" si="183"/>
        <v>1</v>
      </c>
      <c r="Q1416" s="37">
        <v>0</v>
      </c>
      <c r="R1416" s="31">
        <v>0</v>
      </c>
      <c r="S1416" s="31">
        <v>0</v>
      </c>
      <c r="T1416" s="31">
        <v>0</v>
      </c>
      <c r="U1416" s="37">
        <v>1</v>
      </c>
      <c r="V1416" s="31">
        <v>10</v>
      </c>
      <c r="W1416" s="31">
        <v>2</v>
      </c>
      <c r="X1416" s="38">
        <v>9</v>
      </c>
      <c r="Y1416" s="31">
        <v>1</v>
      </c>
      <c r="Z1416" s="31">
        <v>0</v>
      </c>
      <c r="AA1416" s="31" t="s">
        <v>212</v>
      </c>
      <c r="AB1416" s="31" t="s">
        <v>220</v>
      </c>
      <c r="AC1416" s="41">
        <f>IFERROR(LOOKUP(M1416,打分卡!$F$7:$J$7,打分卡!$K$7:$O$7),1)</f>
        <v>1</v>
      </c>
      <c r="AD1416" s="41">
        <f>IFERROR(LOOKUP(S1416,打分卡!$F$8:$J$8,打分卡!$K$8:$O$8),1)</f>
        <v>1</v>
      </c>
      <c r="AE1416" s="41">
        <f>IFERROR(LOOKUP(T1416,打分卡!$F$9:$I$9,打分卡!$K$9:$N$9),1)</f>
        <v>1</v>
      </c>
      <c r="AF1416" s="41">
        <f>IFERROR(LOOKUP(Q1416,打分卡!$F$10:$J$10,打分卡!$K$10:$O$10),1)</f>
        <v>1</v>
      </c>
      <c r="AG1416" s="41">
        <f>IFERROR(LOOKUP(R1416,打分卡!$F$11:$J$11,打分卡!$K$11:$O$11),1)</f>
        <v>1</v>
      </c>
      <c r="AH1416" s="41">
        <f>IFERROR(LOOKUP(U1416,打分卡!$F$12:$J$12,打分卡!$K$12:$O$12),1)</f>
        <v>1</v>
      </c>
      <c r="AI1416" s="41">
        <f>IFERROR(LOOKUP(X1416,打分卡!$F$13:$J$13,打分卡!$K$13:$O$13),1)</f>
        <v>1</v>
      </c>
      <c r="AJ1416" s="41">
        <f>IFERROR(LOOKUP(Y1416,打分卡!$F$14:$J$14,打分卡!$K$14:$O$14),1)</f>
        <v>2</v>
      </c>
      <c r="AK1416" s="41">
        <f>IFERROR(LOOKUP(W1416,打分卡!$F$15:$J$15,打分卡!$K$15:$O$15),1)</f>
        <v>2</v>
      </c>
      <c r="AL1416" s="43">
        <f t="shared" si="177"/>
        <v>1</v>
      </c>
      <c r="AM1416" s="41">
        <f>IFERROR(LOOKUP(Z1416,打分卡!$F$17:$H$17,打分卡!$K$17:$M$17),1)</f>
        <v>1</v>
      </c>
      <c r="AN1416" s="44">
        <f>(打分卡!$D$7*AC1416+打分卡!$D$8*AD1416+打分卡!$D$9*AE1416)/5</f>
        <v>8</v>
      </c>
      <c r="AO1416" s="44">
        <f>(打分卡!$D$10*AF1416+打分卡!$D$11*AG1416)/5</f>
        <v>4</v>
      </c>
      <c r="AP1416" s="44">
        <f>(打分卡!$D$12*AH1416+打分卡!$D$13*AI1416+打分卡!$D$14*AJ1416+打分卡!$D$15*AK1416)/5</f>
        <v>8</v>
      </c>
      <c r="AQ1416" s="44">
        <f>(打分卡!$D$16*AL1416+打分卡!$D$17*AM1416)/5</f>
        <v>2</v>
      </c>
      <c r="AR1416" s="47">
        <f t="shared" si="178"/>
        <v>22</v>
      </c>
      <c r="AS1416" s="43" t="str">
        <f t="shared" si="179"/>
        <v>未激活</v>
      </c>
      <c r="AT1416" s="43" t="str">
        <f t="shared" si="180"/>
        <v>连续下降-预警</v>
      </c>
      <c r="AU1416" s="43" t="str">
        <f t="shared" si="181"/>
        <v>唤醒：短信模板+首充补贴</v>
      </c>
    </row>
    <row r="1417" ht="15" customHeight="1" spans="1:47">
      <c r="A1417" s="20" t="s">
        <v>3650</v>
      </c>
      <c r="B1417" s="22" t="s">
        <v>3651</v>
      </c>
      <c r="C1417" s="22" t="s">
        <v>179</v>
      </c>
      <c r="D1417" s="22" t="s">
        <v>202</v>
      </c>
      <c r="E1417" s="22" t="s">
        <v>197</v>
      </c>
      <c r="F1417" s="20" t="s">
        <v>3652</v>
      </c>
      <c r="G1417" s="22">
        <v>12</v>
      </c>
      <c r="H1417" s="22" t="s">
        <v>3535</v>
      </c>
      <c r="I1417" s="22" t="s">
        <v>302</v>
      </c>
      <c r="J1417" s="36">
        <v>0</v>
      </c>
      <c r="K1417" s="36">
        <v>0</v>
      </c>
      <c r="L1417" s="36">
        <v>0</v>
      </c>
      <c r="M1417" s="36">
        <f t="shared" si="176"/>
        <v>0</v>
      </c>
      <c r="N1417" s="34">
        <f t="shared" si="182"/>
        <v>0</v>
      </c>
      <c r="O1417" s="35">
        <f>SUM($M$2:M1417)</f>
        <v>190743600</v>
      </c>
      <c r="P1417" s="34">
        <f t="shared" si="183"/>
        <v>1</v>
      </c>
      <c r="Q1417" s="39">
        <v>0</v>
      </c>
      <c r="R1417" s="22">
        <v>0</v>
      </c>
      <c r="S1417" s="22">
        <v>0</v>
      </c>
      <c r="T1417" s="22">
        <v>0</v>
      </c>
      <c r="U1417" s="39">
        <v>35</v>
      </c>
      <c r="V1417" s="22">
        <v>11</v>
      </c>
      <c r="W1417" s="22">
        <v>2</v>
      </c>
      <c r="X1417" s="40">
        <v>50</v>
      </c>
      <c r="Y1417" s="22">
        <v>1</v>
      </c>
      <c r="Z1417" s="22">
        <v>0</v>
      </c>
      <c r="AA1417" s="22" t="s">
        <v>212</v>
      </c>
      <c r="AB1417" s="22" t="s">
        <v>220</v>
      </c>
      <c r="AC1417" s="42">
        <f>IFERROR(LOOKUP(M1417,打分卡!$F$7:$J$7,打分卡!$K$7:$O$7),1)</f>
        <v>1</v>
      </c>
      <c r="AD1417" s="42">
        <f>IFERROR(LOOKUP(S1417,打分卡!$F$8:$J$8,打分卡!$K$8:$O$8),1)</f>
        <v>1</v>
      </c>
      <c r="AE1417" s="42">
        <f>IFERROR(LOOKUP(T1417,打分卡!$F$9:$I$9,打分卡!$K$9:$N$9),1)</f>
        <v>1</v>
      </c>
      <c r="AF1417" s="42">
        <f>IFERROR(LOOKUP(Q1417,打分卡!$F$10:$J$10,打分卡!$K$10:$O$10),1)</f>
        <v>1</v>
      </c>
      <c r="AG1417" s="42">
        <f>IFERROR(LOOKUP(R1417,打分卡!$F$11:$J$11,打分卡!$K$11:$O$11),1)</f>
        <v>1</v>
      </c>
      <c r="AH1417" s="42">
        <f>IFERROR(LOOKUP(U1417,打分卡!$F$12:$J$12,打分卡!$K$12:$O$12),1)</f>
        <v>4</v>
      </c>
      <c r="AI1417" s="42">
        <f>IFERROR(LOOKUP(X1417,打分卡!$F$13:$J$13,打分卡!$K$13:$O$13),1)</f>
        <v>3</v>
      </c>
      <c r="AJ1417" s="42">
        <f>IFERROR(LOOKUP(Y1417,打分卡!$F$14:$J$14,打分卡!$K$14:$O$14),1)</f>
        <v>2</v>
      </c>
      <c r="AK1417" s="42">
        <f>IFERROR(LOOKUP(W1417,打分卡!$F$15:$J$15,打分卡!$K$15:$O$15),1)</f>
        <v>2</v>
      </c>
      <c r="AL1417" s="45">
        <f t="shared" si="177"/>
        <v>1</v>
      </c>
      <c r="AM1417" s="42">
        <f>IFERROR(LOOKUP(Z1417,打分卡!$F$17:$H$17,打分卡!$K$17:$M$17),1)</f>
        <v>1</v>
      </c>
      <c r="AN1417" s="46">
        <f>(打分卡!$D$7*AC1417+打分卡!$D$8*AD1417+打分卡!$D$9*AE1417)/5</f>
        <v>8</v>
      </c>
      <c r="AO1417" s="46">
        <f>(打分卡!$D$10*AF1417+打分卡!$D$11*AG1417)/5</f>
        <v>4</v>
      </c>
      <c r="AP1417" s="46">
        <f>(打分卡!$D$12*AH1417+打分卡!$D$13*AI1417+打分卡!$D$14*AJ1417+打分卡!$D$15*AK1417)/5</f>
        <v>18.4</v>
      </c>
      <c r="AQ1417" s="46">
        <f>(打分卡!$D$16*AL1417+打分卡!$D$17*AM1417)/5</f>
        <v>2</v>
      </c>
      <c r="AR1417" s="48">
        <f t="shared" si="178"/>
        <v>32.4</v>
      </c>
      <c r="AS1417" s="45" t="str">
        <f t="shared" si="179"/>
        <v>未激活</v>
      </c>
      <c r="AT1417" s="45" t="str">
        <f t="shared" si="180"/>
        <v>连续下降-预警</v>
      </c>
      <c r="AU1417" s="45" t="str">
        <f t="shared" si="181"/>
        <v>唤醒：短信模板+首充补贴</v>
      </c>
    </row>
    <row r="1418" ht="15" customHeight="1" spans="1:47">
      <c r="A1418" s="30" t="s">
        <v>3653</v>
      </c>
      <c r="B1418" s="31" t="s">
        <v>3654</v>
      </c>
      <c r="C1418" s="31" t="s">
        <v>179</v>
      </c>
      <c r="D1418" s="31" t="s">
        <v>190</v>
      </c>
      <c r="E1418" s="31" t="s">
        <v>181</v>
      </c>
      <c r="F1418" s="30" t="s">
        <v>3588</v>
      </c>
      <c r="G1418" s="31">
        <v>22</v>
      </c>
      <c r="H1418" s="31" t="s">
        <v>3535</v>
      </c>
      <c r="I1418" s="31" t="s">
        <v>302</v>
      </c>
      <c r="J1418" s="33">
        <v>0</v>
      </c>
      <c r="K1418" s="33">
        <v>0</v>
      </c>
      <c r="L1418" s="33">
        <v>0</v>
      </c>
      <c r="M1418" s="33">
        <f t="shared" si="176"/>
        <v>0</v>
      </c>
      <c r="N1418" s="34">
        <f t="shared" si="182"/>
        <v>0</v>
      </c>
      <c r="O1418" s="35">
        <f>SUM($M$2:M1418)</f>
        <v>190743600</v>
      </c>
      <c r="P1418" s="34">
        <f t="shared" si="183"/>
        <v>1</v>
      </c>
      <c r="Q1418" s="37">
        <v>0</v>
      </c>
      <c r="R1418" s="31">
        <v>0</v>
      </c>
      <c r="S1418" s="31">
        <v>0</v>
      </c>
      <c r="T1418" s="31">
        <v>0</v>
      </c>
      <c r="U1418" s="37">
        <v>0.6</v>
      </c>
      <c r="V1418" s="31">
        <v>6</v>
      </c>
      <c r="W1418" s="31">
        <v>2</v>
      </c>
      <c r="X1418" s="38">
        <v>16</v>
      </c>
      <c r="Y1418" s="31">
        <v>1</v>
      </c>
      <c r="Z1418" s="31">
        <v>0</v>
      </c>
      <c r="AA1418" s="31" t="s">
        <v>212</v>
      </c>
      <c r="AB1418" s="31" t="s">
        <v>220</v>
      </c>
      <c r="AC1418" s="41">
        <f>IFERROR(LOOKUP(M1418,打分卡!$F$7:$J$7,打分卡!$K$7:$O$7),1)</f>
        <v>1</v>
      </c>
      <c r="AD1418" s="41">
        <f>IFERROR(LOOKUP(S1418,打分卡!$F$8:$J$8,打分卡!$K$8:$O$8),1)</f>
        <v>1</v>
      </c>
      <c r="AE1418" s="41">
        <f>IFERROR(LOOKUP(T1418,打分卡!$F$9:$I$9,打分卡!$K$9:$N$9),1)</f>
        <v>1</v>
      </c>
      <c r="AF1418" s="41">
        <f>IFERROR(LOOKUP(Q1418,打分卡!$F$10:$J$10,打分卡!$K$10:$O$10),1)</f>
        <v>1</v>
      </c>
      <c r="AG1418" s="41">
        <f>IFERROR(LOOKUP(R1418,打分卡!$F$11:$J$11,打分卡!$K$11:$O$11),1)</f>
        <v>1</v>
      </c>
      <c r="AH1418" s="41">
        <f>IFERROR(LOOKUP(U1418,打分卡!$F$12:$J$12,打分卡!$K$12:$O$12),1)</f>
        <v>1</v>
      </c>
      <c r="AI1418" s="41">
        <f>IFERROR(LOOKUP(X1418,打分卡!$F$13:$J$13,打分卡!$K$13:$O$13),1)</f>
        <v>1</v>
      </c>
      <c r="AJ1418" s="41">
        <f>IFERROR(LOOKUP(Y1418,打分卡!$F$14:$J$14,打分卡!$K$14:$O$14),1)</f>
        <v>2</v>
      </c>
      <c r="AK1418" s="41">
        <f>IFERROR(LOOKUP(W1418,打分卡!$F$15:$J$15,打分卡!$K$15:$O$15),1)</f>
        <v>2</v>
      </c>
      <c r="AL1418" s="43">
        <f t="shared" si="177"/>
        <v>1</v>
      </c>
      <c r="AM1418" s="41">
        <f>IFERROR(LOOKUP(Z1418,打分卡!$F$17:$H$17,打分卡!$K$17:$M$17),1)</f>
        <v>1</v>
      </c>
      <c r="AN1418" s="44">
        <f>(打分卡!$D$7*AC1418+打分卡!$D$8*AD1418+打分卡!$D$9*AE1418)/5</f>
        <v>8</v>
      </c>
      <c r="AO1418" s="44">
        <f>(打分卡!$D$10*AF1418+打分卡!$D$11*AG1418)/5</f>
        <v>4</v>
      </c>
      <c r="AP1418" s="44">
        <f>(打分卡!$D$12*AH1418+打分卡!$D$13*AI1418+打分卡!$D$14*AJ1418+打分卡!$D$15*AK1418)/5</f>
        <v>8</v>
      </c>
      <c r="AQ1418" s="44">
        <f>(打分卡!$D$16*AL1418+打分卡!$D$17*AM1418)/5</f>
        <v>2</v>
      </c>
      <c r="AR1418" s="47">
        <f t="shared" si="178"/>
        <v>22</v>
      </c>
      <c r="AS1418" s="43" t="str">
        <f t="shared" si="179"/>
        <v>未激活</v>
      </c>
      <c r="AT1418" s="43" t="str">
        <f t="shared" si="180"/>
        <v>连续下降-预警</v>
      </c>
      <c r="AU1418" s="43" t="str">
        <f t="shared" si="181"/>
        <v>唤醒：短信模板+首充补贴</v>
      </c>
    </row>
    <row r="1419" ht="15" customHeight="1" spans="1:47">
      <c r="A1419" s="20" t="s">
        <v>3655</v>
      </c>
      <c r="B1419" s="22" t="s">
        <v>3656</v>
      </c>
      <c r="C1419" s="22" t="s">
        <v>209</v>
      </c>
      <c r="D1419" s="22" t="s">
        <v>202</v>
      </c>
      <c r="E1419" s="22" t="s">
        <v>181</v>
      </c>
      <c r="F1419" s="20" t="s">
        <v>3657</v>
      </c>
      <c r="G1419" s="22">
        <v>32</v>
      </c>
      <c r="H1419" s="22" t="s">
        <v>3535</v>
      </c>
      <c r="I1419" s="22" t="s">
        <v>302</v>
      </c>
      <c r="J1419" s="36">
        <v>0</v>
      </c>
      <c r="K1419" s="36">
        <v>0</v>
      </c>
      <c r="L1419" s="36">
        <v>0</v>
      </c>
      <c r="M1419" s="36">
        <f t="shared" si="176"/>
        <v>0</v>
      </c>
      <c r="N1419" s="34">
        <f t="shared" si="182"/>
        <v>0</v>
      </c>
      <c r="O1419" s="35">
        <f>SUM($M$2:M1419)</f>
        <v>190743600</v>
      </c>
      <c r="P1419" s="34">
        <f t="shared" si="183"/>
        <v>1</v>
      </c>
      <c r="Q1419" s="39">
        <v>0</v>
      </c>
      <c r="R1419" s="22">
        <v>0</v>
      </c>
      <c r="S1419" s="22">
        <v>0</v>
      </c>
      <c r="T1419" s="22">
        <v>0</v>
      </c>
      <c r="U1419" s="39">
        <v>2.7</v>
      </c>
      <c r="V1419" s="22">
        <v>5</v>
      </c>
      <c r="W1419" s="22">
        <v>0</v>
      </c>
      <c r="X1419" s="40">
        <v>23</v>
      </c>
      <c r="Y1419" s="22">
        <v>1</v>
      </c>
      <c r="Z1419" s="22">
        <v>0</v>
      </c>
      <c r="AA1419" s="22" t="s">
        <v>212</v>
      </c>
      <c r="AB1419" s="22" t="s">
        <v>220</v>
      </c>
      <c r="AC1419" s="42">
        <f>IFERROR(LOOKUP(M1419,打分卡!$F$7:$J$7,打分卡!$K$7:$O$7),1)</f>
        <v>1</v>
      </c>
      <c r="AD1419" s="42">
        <f>IFERROR(LOOKUP(S1419,打分卡!$F$8:$J$8,打分卡!$K$8:$O$8),1)</f>
        <v>1</v>
      </c>
      <c r="AE1419" s="42">
        <f>IFERROR(LOOKUP(T1419,打分卡!$F$9:$I$9,打分卡!$K$9:$N$9),1)</f>
        <v>1</v>
      </c>
      <c r="AF1419" s="42">
        <f>IFERROR(LOOKUP(Q1419,打分卡!$F$10:$J$10,打分卡!$K$10:$O$10),1)</f>
        <v>1</v>
      </c>
      <c r="AG1419" s="42">
        <f>IFERROR(LOOKUP(R1419,打分卡!$F$11:$J$11,打分卡!$K$11:$O$11),1)</f>
        <v>1</v>
      </c>
      <c r="AH1419" s="42">
        <f>IFERROR(LOOKUP(U1419,打分卡!$F$12:$J$12,打分卡!$K$12:$O$12),1)</f>
        <v>1</v>
      </c>
      <c r="AI1419" s="42">
        <f>IFERROR(LOOKUP(X1419,打分卡!$F$13:$J$13,打分卡!$K$13:$O$13),1)</f>
        <v>2</v>
      </c>
      <c r="AJ1419" s="42">
        <f>IFERROR(LOOKUP(Y1419,打分卡!$F$14:$J$14,打分卡!$K$14:$O$14),1)</f>
        <v>2</v>
      </c>
      <c r="AK1419" s="42">
        <f>IFERROR(LOOKUP(W1419,打分卡!$F$15:$J$15,打分卡!$K$15:$O$15),1)</f>
        <v>1</v>
      </c>
      <c r="AL1419" s="45">
        <f t="shared" si="177"/>
        <v>1</v>
      </c>
      <c r="AM1419" s="42">
        <f>IFERROR(LOOKUP(Z1419,打分卡!$F$17:$H$17,打分卡!$K$17:$M$17),1)</f>
        <v>1</v>
      </c>
      <c r="AN1419" s="46">
        <f>(打分卡!$D$7*AC1419+打分卡!$D$8*AD1419+打分卡!$D$9*AE1419)/5</f>
        <v>8</v>
      </c>
      <c r="AO1419" s="46">
        <f>(打分卡!$D$10*AF1419+打分卡!$D$11*AG1419)/5</f>
        <v>4</v>
      </c>
      <c r="AP1419" s="46">
        <f>(打分卡!$D$12*AH1419+打分卡!$D$13*AI1419+打分卡!$D$14*AJ1419+打分卡!$D$15*AK1419)/5</f>
        <v>8.8</v>
      </c>
      <c r="AQ1419" s="46">
        <f>(打分卡!$D$16*AL1419+打分卡!$D$17*AM1419)/5</f>
        <v>2</v>
      </c>
      <c r="AR1419" s="48">
        <f t="shared" si="178"/>
        <v>22.8</v>
      </c>
      <c r="AS1419" s="45" t="str">
        <f t="shared" si="179"/>
        <v>未激活</v>
      </c>
      <c r="AT1419" s="45" t="str">
        <f t="shared" si="180"/>
        <v>连续下降-预警</v>
      </c>
      <c r="AU1419" s="45" t="str">
        <f t="shared" si="181"/>
        <v>唤醒：短信模板+首充补贴</v>
      </c>
    </row>
    <row r="1420" ht="15" customHeight="1" spans="1:47">
      <c r="A1420" s="30" t="s">
        <v>3658</v>
      </c>
      <c r="B1420" s="31" t="s">
        <v>3659</v>
      </c>
      <c r="C1420" s="31" t="s">
        <v>239</v>
      </c>
      <c r="D1420" s="31" t="s">
        <v>196</v>
      </c>
      <c r="E1420" s="31" t="s">
        <v>181</v>
      </c>
      <c r="F1420" s="30" t="s">
        <v>3660</v>
      </c>
      <c r="G1420" s="31">
        <v>26</v>
      </c>
      <c r="H1420" s="31" t="s">
        <v>3535</v>
      </c>
      <c r="I1420" s="31" t="s">
        <v>302</v>
      </c>
      <c r="J1420" s="33">
        <v>0</v>
      </c>
      <c r="K1420" s="33">
        <v>0</v>
      </c>
      <c r="L1420" s="33">
        <v>0</v>
      </c>
      <c r="M1420" s="33">
        <f t="shared" si="176"/>
        <v>0</v>
      </c>
      <c r="N1420" s="34">
        <f t="shared" si="182"/>
        <v>0</v>
      </c>
      <c r="O1420" s="35">
        <f>SUM($M$2:M1420)</f>
        <v>190743600</v>
      </c>
      <c r="P1420" s="34">
        <f t="shared" si="183"/>
        <v>1</v>
      </c>
      <c r="Q1420" s="37">
        <v>0</v>
      </c>
      <c r="R1420" s="31">
        <v>0</v>
      </c>
      <c r="S1420" s="31">
        <v>0</v>
      </c>
      <c r="T1420" s="31">
        <v>0</v>
      </c>
      <c r="U1420" s="37">
        <v>11.1</v>
      </c>
      <c r="V1420" s="31">
        <v>0</v>
      </c>
      <c r="W1420" s="31">
        <v>1</v>
      </c>
      <c r="X1420" s="38">
        <v>55</v>
      </c>
      <c r="Y1420" s="31">
        <v>0</v>
      </c>
      <c r="Z1420" s="31">
        <v>0</v>
      </c>
      <c r="AA1420" s="31" t="s">
        <v>212</v>
      </c>
      <c r="AB1420" s="31" t="s">
        <v>220</v>
      </c>
      <c r="AC1420" s="41">
        <f>IFERROR(LOOKUP(M1420,打分卡!$F$7:$J$7,打分卡!$K$7:$O$7),1)</f>
        <v>1</v>
      </c>
      <c r="AD1420" s="41">
        <f>IFERROR(LOOKUP(S1420,打分卡!$F$8:$J$8,打分卡!$K$8:$O$8),1)</f>
        <v>1</v>
      </c>
      <c r="AE1420" s="41">
        <f>IFERROR(LOOKUP(T1420,打分卡!$F$9:$I$9,打分卡!$K$9:$N$9),1)</f>
        <v>1</v>
      </c>
      <c r="AF1420" s="41">
        <f>IFERROR(LOOKUP(Q1420,打分卡!$F$10:$J$10,打分卡!$K$10:$O$10),1)</f>
        <v>1</v>
      </c>
      <c r="AG1420" s="41">
        <f>IFERROR(LOOKUP(R1420,打分卡!$F$11:$J$11,打分卡!$K$11:$O$11),1)</f>
        <v>1</v>
      </c>
      <c r="AH1420" s="41">
        <f>IFERROR(LOOKUP(U1420,打分卡!$F$12:$J$12,打分卡!$K$12:$O$12),1)</f>
        <v>3</v>
      </c>
      <c r="AI1420" s="41">
        <f>IFERROR(LOOKUP(X1420,打分卡!$F$13:$J$13,打分卡!$K$13:$O$13),1)</f>
        <v>3</v>
      </c>
      <c r="AJ1420" s="41">
        <f>IFERROR(LOOKUP(Y1420,打分卡!$F$14:$J$14,打分卡!$K$14:$O$14),1)</f>
        <v>1</v>
      </c>
      <c r="AK1420" s="41">
        <f>IFERROR(LOOKUP(W1420,打分卡!$F$15:$J$15,打分卡!$K$15:$O$15),1)</f>
        <v>2</v>
      </c>
      <c r="AL1420" s="43">
        <f t="shared" si="177"/>
        <v>1</v>
      </c>
      <c r="AM1420" s="41">
        <f>IFERROR(LOOKUP(Z1420,打分卡!$F$17:$H$17,打分卡!$K$17:$M$17),1)</f>
        <v>1</v>
      </c>
      <c r="AN1420" s="44">
        <f>(打分卡!$D$7*AC1420+打分卡!$D$8*AD1420+打分卡!$D$9*AE1420)/5</f>
        <v>8</v>
      </c>
      <c r="AO1420" s="44">
        <f>(打分卡!$D$10*AF1420+打分卡!$D$11*AG1420)/5</f>
        <v>4</v>
      </c>
      <c r="AP1420" s="44">
        <f>(打分卡!$D$12*AH1420+打分卡!$D$13*AI1420+打分卡!$D$14*AJ1420+打分卡!$D$15*AK1420)/5</f>
        <v>14.8</v>
      </c>
      <c r="AQ1420" s="44">
        <f>(打分卡!$D$16*AL1420+打分卡!$D$17*AM1420)/5</f>
        <v>2</v>
      </c>
      <c r="AR1420" s="47">
        <f t="shared" si="178"/>
        <v>28.8</v>
      </c>
      <c r="AS1420" s="43" t="str">
        <f t="shared" si="179"/>
        <v>未激活</v>
      </c>
      <c r="AT1420" s="43" t="str">
        <f t="shared" si="180"/>
        <v>连续下降-预警</v>
      </c>
      <c r="AU1420" s="43" t="str">
        <f t="shared" si="181"/>
        <v>唤醒：短信模板+首充补贴</v>
      </c>
    </row>
    <row r="1421" ht="15" customHeight="1" spans="1:47">
      <c r="A1421" s="20" t="s">
        <v>3661</v>
      </c>
      <c r="B1421" s="22" t="s">
        <v>3662</v>
      </c>
      <c r="C1421" s="22" t="s">
        <v>195</v>
      </c>
      <c r="D1421" s="22" t="s">
        <v>227</v>
      </c>
      <c r="E1421" s="22" t="s">
        <v>181</v>
      </c>
      <c r="F1421" s="20" t="s">
        <v>3663</v>
      </c>
      <c r="G1421" s="22">
        <v>30</v>
      </c>
      <c r="H1421" s="22" t="s">
        <v>3535</v>
      </c>
      <c r="I1421" s="22" t="s">
        <v>302</v>
      </c>
      <c r="J1421" s="36">
        <v>0</v>
      </c>
      <c r="K1421" s="36">
        <v>0</v>
      </c>
      <c r="L1421" s="36">
        <v>0</v>
      </c>
      <c r="M1421" s="36">
        <f t="shared" si="176"/>
        <v>0</v>
      </c>
      <c r="N1421" s="34">
        <f t="shared" si="182"/>
        <v>0</v>
      </c>
      <c r="O1421" s="35">
        <f>SUM($M$2:M1421)</f>
        <v>190743600</v>
      </c>
      <c r="P1421" s="34">
        <f t="shared" si="183"/>
        <v>1</v>
      </c>
      <c r="Q1421" s="39">
        <v>0</v>
      </c>
      <c r="R1421" s="22">
        <v>0</v>
      </c>
      <c r="S1421" s="22">
        <v>0</v>
      </c>
      <c r="T1421" s="22">
        <v>0</v>
      </c>
      <c r="U1421" s="39">
        <v>11.2</v>
      </c>
      <c r="V1421" s="22">
        <v>1</v>
      </c>
      <c r="W1421" s="22">
        <v>0</v>
      </c>
      <c r="X1421" s="40">
        <v>74</v>
      </c>
      <c r="Y1421" s="22">
        <v>1</v>
      </c>
      <c r="Z1421" s="22">
        <v>0</v>
      </c>
      <c r="AA1421" s="22" t="s">
        <v>212</v>
      </c>
      <c r="AB1421" s="22" t="s">
        <v>220</v>
      </c>
      <c r="AC1421" s="42">
        <f>IFERROR(LOOKUP(M1421,打分卡!$F$7:$J$7,打分卡!$K$7:$O$7),1)</f>
        <v>1</v>
      </c>
      <c r="AD1421" s="42">
        <f>IFERROR(LOOKUP(S1421,打分卡!$F$8:$J$8,打分卡!$K$8:$O$8),1)</f>
        <v>1</v>
      </c>
      <c r="AE1421" s="42">
        <f>IFERROR(LOOKUP(T1421,打分卡!$F$9:$I$9,打分卡!$K$9:$N$9),1)</f>
        <v>1</v>
      </c>
      <c r="AF1421" s="42">
        <f>IFERROR(LOOKUP(Q1421,打分卡!$F$10:$J$10,打分卡!$K$10:$O$10),1)</f>
        <v>1</v>
      </c>
      <c r="AG1421" s="42">
        <f>IFERROR(LOOKUP(R1421,打分卡!$F$11:$J$11,打分卡!$K$11:$O$11),1)</f>
        <v>1</v>
      </c>
      <c r="AH1421" s="42">
        <f>IFERROR(LOOKUP(U1421,打分卡!$F$12:$J$12,打分卡!$K$12:$O$12),1)</f>
        <v>3</v>
      </c>
      <c r="AI1421" s="42">
        <f>IFERROR(LOOKUP(X1421,打分卡!$F$13:$J$13,打分卡!$K$13:$O$13),1)</f>
        <v>3</v>
      </c>
      <c r="AJ1421" s="42">
        <f>IFERROR(LOOKUP(Y1421,打分卡!$F$14:$J$14,打分卡!$K$14:$O$14),1)</f>
        <v>2</v>
      </c>
      <c r="AK1421" s="42">
        <f>IFERROR(LOOKUP(W1421,打分卡!$F$15:$J$15,打分卡!$K$15:$O$15),1)</f>
        <v>1</v>
      </c>
      <c r="AL1421" s="45">
        <f t="shared" si="177"/>
        <v>1</v>
      </c>
      <c r="AM1421" s="42">
        <f>IFERROR(LOOKUP(Z1421,打分卡!$F$17:$H$17,打分卡!$K$17:$M$17),1)</f>
        <v>1</v>
      </c>
      <c r="AN1421" s="46">
        <f>(打分卡!$D$7*AC1421+打分卡!$D$8*AD1421+打分卡!$D$9*AE1421)/5</f>
        <v>8</v>
      </c>
      <c r="AO1421" s="46">
        <f>(打分卡!$D$10*AF1421+打分卡!$D$11*AG1421)/5</f>
        <v>4</v>
      </c>
      <c r="AP1421" s="46">
        <f>(打分卡!$D$12*AH1421+打分卡!$D$13*AI1421+打分卡!$D$14*AJ1421+打分卡!$D$15*AK1421)/5</f>
        <v>15.2</v>
      </c>
      <c r="AQ1421" s="46">
        <f>(打分卡!$D$16*AL1421+打分卡!$D$17*AM1421)/5</f>
        <v>2</v>
      </c>
      <c r="AR1421" s="48">
        <f t="shared" si="178"/>
        <v>29.2</v>
      </c>
      <c r="AS1421" s="45" t="str">
        <f t="shared" si="179"/>
        <v>未激活</v>
      </c>
      <c r="AT1421" s="45" t="str">
        <f t="shared" si="180"/>
        <v>连续下降-预警</v>
      </c>
      <c r="AU1421" s="45" t="str">
        <f t="shared" si="181"/>
        <v>唤醒：短信模板+首充补贴</v>
      </c>
    </row>
    <row r="1422" ht="15" customHeight="1" spans="1:47">
      <c r="A1422" s="30" t="s">
        <v>3664</v>
      </c>
      <c r="B1422" s="31" t="s">
        <v>3665</v>
      </c>
      <c r="C1422" s="31" t="s">
        <v>189</v>
      </c>
      <c r="D1422" s="31" t="s">
        <v>235</v>
      </c>
      <c r="E1422" s="31" t="s">
        <v>181</v>
      </c>
      <c r="F1422" s="30" t="s">
        <v>3588</v>
      </c>
      <c r="G1422" s="31">
        <v>22</v>
      </c>
      <c r="H1422" s="31" t="s">
        <v>3535</v>
      </c>
      <c r="I1422" s="31" t="s">
        <v>302</v>
      </c>
      <c r="J1422" s="33">
        <v>0</v>
      </c>
      <c r="K1422" s="33">
        <v>0</v>
      </c>
      <c r="L1422" s="33">
        <v>0</v>
      </c>
      <c r="M1422" s="33">
        <f t="shared" si="176"/>
        <v>0</v>
      </c>
      <c r="N1422" s="34">
        <f t="shared" si="182"/>
        <v>0</v>
      </c>
      <c r="O1422" s="35">
        <f>SUM($M$2:M1422)</f>
        <v>190743600</v>
      </c>
      <c r="P1422" s="34">
        <f t="shared" si="183"/>
        <v>1</v>
      </c>
      <c r="Q1422" s="37">
        <v>0</v>
      </c>
      <c r="R1422" s="31">
        <v>0</v>
      </c>
      <c r="S1422" s="31">
        <v>0</v>
      </c>
      <c r="T1422" s="31">
        <v>0</v>
      </c>
      <c r="U1422" s="37">
        <v>2.3</v>
      </c>
      <c r="V1422" s="31">
        <v>15</v>
      </c>
      <c r="W1422" s="31">
        <v>2</v>
      </c>
      <c r="X1422" s="38">
        <v>8</v>
      </c>
      <c r="Y1422" s="31">
        <v>1</v>
      </c>
      <c r="Z1422" s="31">
        <v>0</v>
      </c>
      <c r="AA1422" s="31" t="s">
        <v>212</v>
      </c>
      <c r="AB1422" s="31" t="s">
        <v>220</v>
      </c>
      <c r="AC1422" s="41">
        <f>IFERROR(LOOKUP(M1422,打分卡!$F$7:$J$7,打分卡!$K$7:$O$7),1)</f>
        <v>1</v>
      </c>
      <c r="AD1422" s="41">
        <f>IFERROR(LOOKUP(S1422,打分卡!$F$8:$J$8,打分卡!$K$8:$O$8),1)</f>
        <v>1</v>
      </c>
      <c r="AE1422" s="41">
        <f>IFERROR(LOOKUP(T1422,打分卡!$F$9:$I$9,打分卡!$K$9:$N$9),1)</f>
        <v>1</v>
      </c>
      <c r="AF1422" s="41">
        <f>IFERROR(LOOKUP(Q1422,打分卡!$F$10:$J$10,打分卡!$K$10:$O$10),1)</f>
        <v>1</v>
      </c>
      <c r="AG1422" s="41">
        <f>IFERROR(LOOKUP(R1422,打分卡!$F$11:$J$11,打分卡!$K$11:$O$11),1)</f>
        <v>1</v>
      </c>
      <c r="AH1422" s="41">
        <f>IFERROR(LOOKUP(U1422,打分卡!$F$12:$J$12,打分卡!$K$12:$O$12),1)</f>
        <v>1</v>
      </c>
      <c r="AI1422" s="41">
        <f>IFERROR(LOOKUP(X1422,打分卡!$F$13:$J$13,打分卡!$K$13:$O$13),1)</f>
        <v>1</v>
      </c>
      <c r="AJ1422" s="41">
        <f>IFERROR(LOOKUP(Y1422,打分卡!$F$14:$J$14,打分卡!$K$14:$O$14),1)</f>
        <v>2</v>
      </c>
      <c r="AK1422" s="41">
        <f>IFERROR(LOOKUP(W1422,打分卡!$F$15:$J$15,打分卡!$K$15:$O$15),1)</f>
        <v>2</v>
      </c>
      <c r="AL1422" s="43">
        <f t="shared" si="177"/>
        <v>1</v>
      </c>
      <c r="AM1422" s="41">
        <f>IFERROR(LOOKUP(Z1422,打分卡!$F$17:$H$17,打分卡!$K$17:$M$17),1)</f>
        <v>1</v>
      </c>
      <c r="AN1422" s="44">
        <f>(打分卡!$D$7*AC1422+打分卡!$D$8*AD1422+打分卡!$D$9*AE1422)/5</f>
        <v>8</v>
      </c>
      <c r="AO1422" s="44">
        <f>(打分卡!$D$10*AF1422+打分卡!$D$11*AG1422)/5</f>
        <v>4</v>
      </c>
      <c r="AP1422" s="44">
        <f>(打分卡!$D$12*AH1422+打分卡!$D$13*AI1422+打分卡!$D$14*AJ1422+打分卡!$D$15*AK1422)/5</f>
        <v>8</v>
      </c>
      <c r="AQ1422" s="44">
        <f>(打分卡!$D$16*AL1422+打分卡!$D$17*AM1422)/5</f>
        <v>2</v>
      </c>
      <c r="AR1422" s="47">
        <f t="shared" si="178"/>
        <v>22</v>
      </c>
      <c r="AS1422" s="43" t="str">
        <f t="shared" si="179"/>
        <v>未激活</v>
      </c>
      <c r="AT1422" s="43" t="str">
        <f t="shared" si="180"/>
        <v>连续下降-预警</v>
      </c>
      <c r="AU1422" s="43" t="str">
        <f t="shared" si="181"/>
        <v>唤醒：短信模板+首充补贴</v>
      </c>
    </row>
    <row r="1423" ht="15" customHeight="1" spans="1:47">
      <c r="A1423" s="20" t="s">
        <v>3666</v>
      </c>
      <c r="B1423" s="22" t="s">
        <v>3667</v>
      </c>
      <c r="C1423" s="22" t="s">
        <v>223</v>
      </c>
      <c r="D1423" s="22" t="s">
        <v>227</v>
      </c>
      <c r="E1423" s="22" t="s">
        <v>181</v>
      </c>
      <c r="F1423" s="20" t="s">
        <v>2431</v>
      </c>
      <c r="G1423" s="22">
        <v>12</v>
      </c>
      <c r="H1423" s="22" t="s">
        <v>3535</v>
      </c>
      <c r="I1423" s="22" t="s">
        <v>302</v>
      </c>
      <c r="J1423" s="36">
        <v>0</v>
      </c>
      <c r="K1423" s="36">
        <v>0</v>
      </c>
      <c r="L1423" s="36">
        <v>0</v>
      </c>
      <c r="M1423" s="36">
        <f t="shared" si="176"/>
        <v>0</v>
      </c>
      <c r="N1423" s="34">
        <f t="shared" si="182"/>
        <v>0</v>
      </c>
      <c r="O1423" s="35">
        <f>SUM($M$2:M1423)</f>
        <v>190743600</v>
      </c>
      <c r="P1423" s="34">
        <f t="shared" si="183"/>
        <v>1</v>
      </c>
      <c r="Q1423" s="39">
        <v>0</v>
      </c>
      <c r="R1423" s="22">
        <v>0</v>
      </c>
      <c r="S1423" s="22">
        <v>0</v>
      </c>
      <c r="T1423" s="22">
        <v>0</v>
      </c>
      <c r="U1423" s="39">
        <v>1.2</v>
      </c>
      <c r="V1423" s="22">
        <v>13</v>
      </c>
      <c r="W1423" s="22">
        <v>0</v>
      </c>
      <c r="X1423" s="40">
        <v>74</v>
      </c>
      <c r="Y1423" s="22">
        <v>1</v>
      </c>
      <c r="Z1423" s="22">
        <v>0</v>
      </c>
      <c r="AA1423" s="22" t="s">
        <v>212</v>
      </c>
      <c r="AB1423" s="22" t="s">
        <v>220</v>
      </c>
      <c r="AC1423" s="42">
        <f>IFERROR(LOOKUP(M1423,打分卡!$F$7:$J$7,打分卡!$K$7:$O$7),1)</f>
        <v>1</v>
      </c>
      <c r="AD1423" s="42">
        <f>IFERROR(LOOKUP(S1423,打分卡!$F$8:$J$8,打分卡!$K$8:$O$8),1)</f>
        <v>1</v>
      </c>
      <c r="AE1423" s="42">
        <f>IFERROR(LOOKUP(T1423,打分卡!$F$9:$I$9,打分卡!$K$9:$N$9),1)</f>
        <v>1</v>
      </c>
      <c r="AF1423" s="42">
        <f>IFERROR(LOOKUP(Q1423,打分卡!$F$10:$J$10,打分卡!$K$10:$O$10),1)</f>
        <v>1</v>
      </c>
      <c r="AG1423" s="42">
        <f>IFERROR(LOOKUP(R1423,打分卡!$F$11:$J$11,打分卡!$K$11:$O$11),1)</f>
        <v>1</v>
      </c>
      <c r="AH1423" s="42">
        <f>IFERROR(LOOKUP(U1423,打分卡!$F$12:$J$12,打分卡!$K$12:$O$12),1)</f>
        <v>1</v>
      </c>
      <c r="AI1423" s="42">
        <f>IFERROR(LOOKUP(X1423,打分卡!$F$13:$J$13,打分卡!$K$13:$O$13),1)</f>
        <v>3</v>
      </c>
      <c r="AJ1423" s="42">
        <f>IFERROR(LOOKUP(Y1423,打分卡!$F$14:$J$14,打分卡!$K$14:$O$14),1)</f>
        <v>2</v>
      </c>
      <c r="AK1423" s="42">
        <f>IFERROR(LOOKUP(W1423,打分卡!$F$15:$J$15,打分卡!$K$15:$O$15),1)</f>
        <v>1</v>
      </c>
      <c r="AL1423" s="45">
        <f t="shared" si="177"/>
        <v>1</v>
      </c>
      <c r="AM1423" s="42">
        <f>IFERROR(LOOKUP(Z1423,打分卡!$F$17:$H$17,打分卡!$K$17:$M$17),1)</f>
        <v>1</v>
      </c>
      <c r="AN1423" s="46">
        <f>(打分卡!$D$7*AC1423+打分卡!$D$8*AD1423+打分卡!$D$9*AE1423)/5</f>
        <v>8</v>
      </c>
      <c r="AO1423" s="46">
        <f>(打分卡!$D$10*AF1423+打分卡!$D$11*AG1423)/5</f>
        <v>4</v>
      </c>
      <c r="AP1423" s="46">
        <f>(打分卡!$D$12*AH1423+打分卡!$D$13*AI1423+打分卡!$D$14*AJ1423+打分卡!$D$15*AK1423)/5</f>
        <v>10.4</v>
      </c>
      <c r="AQ1423" s="46">
        <f>(打分卡!$D$16*AL1423+打分卡!$D$17*AM1423)/5</f>
        <v>2</v>
      </c>
      <c r="AR1423" s="48">
        <f t="shared" si="178"/>
        <v>24.4</v>
      </c>
      <c r="AS1423" s="45" t="str">
        <f t="shared" si="179"/>
        <v>未激活</v>
      </c>
      <c r="AT1423" s="45" t="str">
        <f t="shared" si="180"/>
        <v>连续下降-预警</v>
      </c>
      <c r="AU1423" s="45" t="str">
        <f t="shared" si="181"/>
        <v>唤醒：短信模板+首充补贴</v>
      </c>
    </row>
    <row r="1424" ht="15" customHeight="1" spans="1:47">
      <c r="A1424" s="30" t="s">
        <v>3668</v>
      </c>
      <c r="B1424" s="31" t="s">
        <v>3669</v>
      </c>
      <c r="C1424" s="31" t="s">
        <v>195</v>
      </c>
      <c r="D1424" s="31" t="s">
        <v>202</v>
      </c>
      <c r="E1424" s="31" t="s">
        <v>181</v>
      </c>
      <c r="F1424" s="30" t="s">
        <v>860</v>
      </c>
      <c r="G1424" s="31">
        <v>3</v>
      </c>
      <c r="H1424" s="31" t="s">
        <v>642</v>
      </c>
      <c r="I1424" s="31" t="s">
        <v>302</v>
      </c>
      <c r="J1424" s="33">
        <v>0</v>
      </c>
      <c r="K1424" s="33">
        <v>0</v>
      </c>
      <c r="L1424" s="33">
        <v>0</v>
      </c>
      <c r="M1424" s="33">
        <f t="shared" si="176"/>
        <v>0</v>
      </c>
      <c r="N1424" s="34">
        <f t="shared" si="182"/>
        <v>0</v>
      </c>
      <c r="O1424" s="35">
        <f>SUM($M$2:M1424)</f>
        <v>190743600</v>
      </c>
      <c r="P1424" s="34">
        <f t="shared" si="183"/>
        <v>1</v>
      </c>
      <c r="Q1424" s="37">
        <v>0</v>
      </c>
      <c r="R1424" s="31">
        <v>0</v>
      </c>
      <c r="S1424" s="31">
        <v>0</v>
      </c>
      <c r="T1424" s="31">
        <v>0</v>
      </c>
      <c r="U1424" s="37">
        <v>823</v>
      </c>
      <c r="V1424" s="31">
        <v>15</v>
      </c>
      <c r="W1424" s="31">
        <v>19</v>
      </c>
      <c r="X1424" s="38">
        <v>870</v>
      </c>
      <c r="Y1424" s="31">
        <v>3</v>
      </c>
      <c r="Z1424" s="31">
        <v>0</v>
      </c>
      <c r="AA1424" s="31" t="s">
        <v>199</v>
      </c>
      <c r="AB1424" s="31" t="s">
        <v>220</v>
      </c>
      <c r="AC1424" s="41">
        <f>IFERROR(LOOKUP(M1424,打分卡!$F$7:$J$7,打分卡!$K$7:$O$7),1)</f>
        <v>1</v>
      </c>
      <c r="AD1424" s="41">
        <f>IFERROR(LOOKUP(S1424,打分卡!$F$8:$J$8,打分卡!$K$8:$O$8),1)</f>
        <v>1</v>
      </c>
      <c r="AE1424" s="41">
        <f>IFERROR(LOOKUP(T1424,打分卡!$F$9:$I$9,打分卡!$K$9:$N$9),1)</f>
        <v>1</v>
      </c>
      <c r="AF1424" s="41">
        <f>IFERROR(LOOKUP(Q1424,打分卡!$F$10:$J$10,打分卡!$K$10:$O$10),1)</f>
        <v>1</v>
      </c>
      <c r="AG1424" s="41">
        <f>IFERROR(LOOKUP(R1424,打分卡!$F$11:$J$11,打分卡!$K$11:$O$11),1)</f>
        <v>1</v>
      </c>
      <c r="AH1424" s="41">
        <f>IFERROR(LOOKUP(U1424,打分卡!$F$12:$J$12,打分卡!$K$12:$O$12),1)</f>
        <v>5</v>
      </c>
      <c r="AI1424" s="41">
        <f>IFERROR(LOOKUP(X1424,打分卡!$F$13:$J$13,打分卡!$K$13:$O$13),1)</f>
        <v>5</v>
      </c>
      <c r="AJ1424" s="41">
        <f>IFERROR(LOOKUP(Y1424,打分卡!$F$14:$J$14,打分卡!$K$14:$O$14),1)</f>
        <v>4</v>
      </c>
      <c r="AK1424" s="41">
        <f>IFERROR(LOOKUP(W1424,打分卡!$F$15:$J$15,打分卡!$K$15:$O$15),1)</f>
        <v>5</v>
      </c>
      <c r="AL1424" s="43">
        <f t="shared" si="177"/>
        <v>5</v>
      </c>
      <c r="AM1424" s="41">
        <f>IFERROR(LOOKUP(Z1424,打分卡!$F$17:$H$17,打分卡!$K$17:$M$17),1)</f>
        <v>1</v>
      </c>
      <c r="AN1424" s="44">
        <f>(打分卡!$D$7*AC1424+打分卡!$D$8*AD1424+打分卡!$D$9*AE1424)/5</f>
        <v>8</v>
      </c>
      <c r="AO1424" s="44">
        <f>(打分卡!$D$10*AF1424+打分卡!$D$11*AG1424)/5</f>
        <v>4</v>
      </c>
      <c r="AP1424" s="44">
        <f>(打分卡!$D$12*AH1424+打分卡!$D$13*AI1424+打分卡!$D$14*AJ1424+打分卡!$D$15*AK1424)/5</f>
        <v>28.8</v>
      </c>
      <c r="AQ1424" s="44">
        <f>(打分卡!$D$16*AL1424+打分卡!$D$17*AM1424)/5</f>
        <v>6.8</v>
      </c>
      <c r="AR1424" s="47">
        <f t="shared" si="178"/>
        <v>47.6</v>
      </c>
      <c r="AS1424" s="43" t="str">
        <f t="shared" si="179"/>
        <v>未激活</v>
      </c>
      <c r="AT1424" s="43" t="str">
        <f t="shared" si="180"/>
        <v/>
      </c>
      <c r="AU1424" s="43" t="str">
        <f t="shared" si="181"/>
        <v>唤醒：短信模板+首充补贴</v>
      </c>
    </row>
    <row r="1425" ht="15" customHeight="1" spans="1:47">
      <c r="A1425" s="20" t="s">
        <v>3670</v>
      </c>
      <c r="B1425" s="22" t="s">
        <v>3671</v>
      </c>
      <c r="C1425" s="22" t="s">
        <v>189</v>
      </c>
      <c r="D1425" s="22" t="s">
        <v>202</v>
      </c>
      <c r="E1425" s="22" t="s">
        <v>181</v>
      </c>
      <c r="F1425" s="20" t="s">
        <v>3636</v>
      </c>
      <c r="G1425" s="22">
        <v>35</v>
      </c>
      <c r="H1425" s="22" t="s">
        <v>3535</v>
      </c>
      <c r="I1425" s="22" t="s">
        <v>302</v>
      </c>
      <c r="J1425" s="36">
        <v>0</v>
      </c>
      <c r="K1425" s="36">
        <v>0</v>
      </c>
      <c r="L1425" s="36">
        <v>0</v>
      </c>
      <c r="M1425" s="36">
        <f t="shared" si="176"/>
        <v>0</v>
      </c>
      <c r="N1425" s="34">
        <f t="shared" si="182"/>
        <v>0</v>
      </c>
      <c r="O1425" s="35">
        <f>SUM($M$2:M1425)</f>
        <v>190743600</v>
      </c>
      <c r="P1425" s="34">
        <f t="shared" si="183"/>
        <v>1</v>
      </c>
      <c r="Q1425" s="39">
        <v>0</v>
      </c>
      <c r="R1425" s="22">
        <v>0</v>
      </c>
      <c r="S1425" s="22">
        <v>0</v>
      </c>
      <c r="T1425" s="22">
        <v>0</v>
      </c>
      <c r="U1425" s="39">
        <v>2.4</v>
      </c>
      <c r="V1425" s="22">
        <v>15</v>
      </c>
      <c r="W1425" s="22">
        <v>0</v>
      </c>
      <c r="X1425" s="40">
        <v>12</v>
      </c>
      <c r="Y1425" s="22">
        <v>1</v>
      </c>
      <c r="Z1425" s="22">
        <v>0</v>
      </c>
      <c r="AA1425" s="22" t="s">
        <v>212</v>
      </c>
      <c r="AB1425" s="22" t="s">
        <v>220</v>
      </c>
      <c r="AC1425" s="42">
        <f>IFERROR(LOOKUP(M1425,打分卡!$F$7:$J$7,打分卡!$K$7:$O$7),1)</f>
        <v>1</v>
      </c>
      <c r="AD1425" s="42">
        <f>IFERROR(LOOKUP(S1425,打分卡!$F$8:$J$8,打分卡!$K$8:$O$8),1)</f>
        <v>1</v>
      </c>
      <c r="AE1425" s="42">
        <f>IFERROR(LOOKUP(T1425,打分卡!$F$9:$I$9,打分卡!$K$9:$N$9),1)</f>
        <v>1</v>
      </c>
      <c r="AF1425" s="42">
        <f>IFERROR(LOOKUP(Q1425,打分卡!$F$10:$J$10,打分卡!$K$10:$O$10),1)</f>
        <v>1</v>
      </c>
      <c r="AG1425" s="42">
        <f>IFERROR(LOOKUP(R1425,打分卡!$F$11:$J$11,打分卡!$K$11:$O$11),1)</f>
        <v>1</v>
      </c>
      <c r="AH1425" s="42">
        <f>IFERROR(LOOKUP(U1425,打分卡!$F$12:$J$12,打分卡!$K$12:$O$12),1)</f>
        <v>1</v>
      </c>
      <c r="AI1425" s="42">
        <f>IFERROR(LOOKUP(X1425,打分卡!$F$13:$J$13,打分卡!$K$13:$O$13),1)</f>
        <v>1</v>
      </c>
      <c r="AJ1425" s="42">
        <f>IFERROR(LOOKUP(Y1425,打分卡!$F$14:$J$14,打分卡!$K$14:$O$14),1)</f>
        <v>2</v>
      </c>
      <c r="AK1425" s="42">
        <f>IFERROR(LOOKUP(W1425,打分卡!$F$15:$J$15,打分卡!$K$15:$O$15),1)</f>
        <v>1</v>
      </c>
      <c r="AL1425" s="45">
        <f t="shared" si="177"/>
        <v>1</v>
      </c>
      <c r="AM1425" s="42">
        <f>IFERROR(LOOKUP(Z1425,打分卡!$F$17:$H$17,打分卡!$K$17:$M$17),1)</f>
        <v>1</v>
      </c>
      <c r="AN1425" s="46">
        <f>(打分卡!$D$7*AC1425+打分卡!$D$8*AD1425+打分卡!$D$9*AE1425)/5</f>
        <v>8</v>
      </c>
      <c r="AO1425" s="46">
        <f>(打分卡!$D$10*AF1425+打分卡!$D$11*AG1425)/5</f>
        <v>4</v>
      </c>
      <c r="AP1425" s="46">
        <f>(打分卡!$D$12*AH1425+打分卡!$D$13*AI1425+打分卡!$D$14*AJ1425+打分卡!$D$15*AK1425)/5</f>
        <v>7.2</v>
      </c>
      <c r="AQ1425" s="46">
        <f>(打分卡!$D$16*AL1425+打分卡!$D$17*AM1425)/5</f>
        <v>2</v>
      </c>
      <c r="AR1425" s="48">
        <f t="shared" si="178"/>
        <v>21.2</v>
      </c>
      <c r="AS1425" s="45" t="str">
        <f t="shared" si="179"/>
        <v>未激活</v>
      </c>
      <c r="AT1425" s="45" t="str">
        <f t="shared" si="180"/>
        <v>连续下降-预警</v>
      </c>
      <c r="AU1425" s="45" t="str">
        <f t="shared" si="181"/>
        <v>唤醒：短信模板+首充补贴</v>
      </c>
    </row>
    <row r="1426" ht="15" customHeight="1" spans="1:47">
      <c r="A1426" s="30" t="s">
        <v>3672</v>
      </c>
      <c r="B1426" s="31" t="s">
        <v>3673</v>
      </c>
      <c r="C1426" s="31" t="s">
        <v>189</v>
      </c>
      <c r="D1426" s="31" t="s">
        <v>202</v>
      </c>
      <c r="E1426" s="31" t="s">
        <v>181</v>
      </c>
      <c r="F1426" s="30" t="s">
        <v>811</v>
      </c>
      <c r="G1426" s="31">
        <v>18</v>
      </c>
      <c r="H1426" s="31" t="s">
        <v>3535</v>
      </c>
      <c r="I1426" s="31" t="s">
        <v>302</v>
      </c>
      <c r="J1426" s="33">
        <v>0</v>
      </c>
      <c r="K1426" s="33">
        <v>0</v>
      </c>
      <c r="L1426" s="33">
        <v>0</v>
      </c>
      <c r="M1426" s="33">
        <f t="shared" si="176"/>
        <v>0</v>
      </c>
      <c r="N1426" s="34">
        <f t="shared" si="182"/>
        <v>0</v>
      </c>
      <c r="O1426" s="35">
        <f>SUM($M$2:M1426)</f>
        <v>190743600</v>
      </c>
      <c r="P1426" s="34">
        <f t="shared" si="183"/>
        <v>1</v>
      </c>
      <c r="Q1426" s="37">
        <v>0</v>
      </c>
      <c r="R1426" s="31">
        <v>0</v>
      </c>
      <c r="S1426" s="31">
        <v>0</v>
      </c>
      <c r="T1426" s="31">
        <v>0</v>
      </c>
      <c r="U1426" s="37">
        <v>1.7</v>
      </c>
      <c r="V1426" s="31">
        <v>4</v>
      </c>
      <c r="W1426" s="31">
        <v>0</v>
      </c>
      <c r="X1426" s="38">
        <v>10</v>
      </c>
      <c r="Y1426" s="31">
        <v>0</v>
      </c>
      <c r="Z1426" s="31">
        <v>0</v>
      </c>
      <c r="AA1426" s="31" t="s">
        <v>212</v>
      </c>
      <c r="AB1426" s="31" t="s">
        <v>220</v>
      </c>
      <c r="AC1426" s="41">
        <f>IFERROR(LOOKUP(M1426,打分卡!$F$7:$J$7,打分卡!$K$7:$O$7),1)</f>
        <v>1</v>
      </c>
      <c r="AD1426" s="41">
        <f>IFERROR(LOOKUP(S1426,打分卡!$F$8:$J$8,打分卡!$K$8:$O$8),1)</f>
        <v>1</v>
      </c>
      <c r="AE1426" s="41">
        <f>IFERROR(LOOKUP(T1426,打分卡!$F$9:$I$9,打分卡!$K$9:$N$9),1)</f>
        <v>1</v>
      </c>
      <c r="AF1426" s="41">
        <f>IFERROR(LOOKUP(Q1426,打分卡!$F$10:$J$10,打分卡!$K$10:$O$10),1)</f>
        <v>1</v>
      </c>
      <c r="AG1426" s="41">
        <f>IFERROR(LOOKUP(R1426,打分卡!$F$11:$J$11,打分卡!$K$11:$O$11),1)</f>
        <v>1</v>
      </c>
      <c r="AH1426" s="41">
        <f>IFERROR(LOOKUP(U1426,打分卡!$F$12:$J$12,打分卡!$K$12:$O$12),1)</f>
        <v>1</v>
      </c>
      <c r="AI1426" s="41">
        <f>IFERROR(LOOKUP(X1426,打分卡!$F$13:$J$13,打分卡!$K$13:$O$13),1)</f>
        <v>1</v>
      </c>
      <c r="AJ1426" s="41">
        <f>IFERROR(LOOKUP(Y1426,打分卡!$F$14:$J$14,打分卡!$K$14:$O$14),1)</f>
        <v>1</v>
      </c>
      <c r="AK1426" s="41">
        <f>IFERROR(LOOKUP(W1426,打分卡!$F$15:$J$15,打分卡!$K$15:$O$15),1)</f>
        <v>1</v>
      </c>
      <c r="AL1426" s="43">
        <f t="shared" si="177"/>
        <v>1</v>
      </c>
      <c r="AM1426" s="41">
        <f>IFERROR(LOOKUP(Z1426,打分卡!$F$17:$H$17,打分卡!$K$17:$M$17),1)</f>
        <v>1</v>
      </c>
      <c r="AN1426" s="44">
        <f>(打分卡!$D$7*AC1426+打分卡!$D$8*AD1426+打分卡!$D$9*AE1426)/5</f>
        <v>8</v>
      </c>
      <c r="AO1426" s="44">
        <f>(打分卡!$D$10*AF1426+打分卡!$D$11*AG1426)/5</f>
        <v>4</v>
      </c>
      <c r="AP1426" s="44">
        <f>(打分卡!$D$12*AH1426+打分卡!$D$13*AI1426+打分卡!$D$14*AJ1426+打分卡!$D$15*AK1426)/5</f>
        <v>6</v>
      </c>
      <c r="AQ1426" s="44">
        <f>(打分卡!$D$16*AL1426+打分卡!$D$17*AM1426)/5</f>
        <v>2</v>
      </c>
      <c r="AR1426" s="47">
        <f t="shared" si="178"/>
        <v>20</v>
      </c>
      <c r="AS1426" s="43" t="str">
        <f t="shared" si="179"/>
        <v>未激活</v>
      </c>
      <c r="AT1426" s="43" t="str">
        <f t="shared" si="180"/>
        <v>连续下降-预警</v>
      </c>
      <c r="AU1426" s="43" t="str">
        <f t="shared" si="181"/>
        <v>唤醒：短信模板+首充补贴</v>
      </c>
    </row>
    <row r="1427" ht="15" customHeight="1" spans="1:47">
      <c r="A1427" s="20" t="s">
        <v>3674</v>
      </c>
      <c r="B1427" s="22" t="s">
        <v>3675</v>
      </c>
      <c r="C1427" s="22" t="s">
        <v>239</v>
      </c>
      <c r="D1427" s="22" t="s">
        <v>202</v>
      </c>
      <c r="E1427" s="22" t="s">
        <v>181</v>
      </c>
      <c r="F1427" s="20" t="s">
        <v>3676</v>
      </c>
      <c r="G1427" s="22">
        <v>26</v>
      </c>
      <c r="H1427" s="22" t="s">
        <v>3535</v>
      </c>
      <c r="I1427" s="22" t="s">
        <v>302</v>
      </c>
      <c r="J1427" s="36">
        <v>0</v>
      </c>
      <c r="K1427" s="36">
        <v>0</v>
      </c>
      <c r="L1427" s="36">
        <v>0</v>
      </c>
      <c r="M1427" s="36">
        <f t="shared" si="176"/>
        <v>0</v>
      </c>
      <c r="N1427" s="34">
        <f t="shared" si="182"/>
        <v>0</v>
      </c>
      <c r="O1427" s="35">
        <f>SUM($M$2:M1427)</f>
        <v>190743600</v>
      </c>
      <c r="P1427" s="34">
        <f t="shared" si="183"/>
        <v>1</v>
      </c>
      <c r="Q1427" s="39">
        <v>0</v>
      </c>
      <c r="R1427" s="22">
        <v>0</v>
      </c>
      <c r="S1427" s="22">
        <v>0</v>
      </c>
      <c r="T1427" s="22">
        <v>0</v>
      </c>
      <c r="U1427" s="39">
        <v>3.5</v>
      </c>
      <c r="V1427" s="22">
        <v>8</v>
      </c>
      <c r="W1427" s="22">
        <v>1</v>
      </c>
      <c r="X1427" s="40">
        <v>16</v>
      </c>
      <c r="Y1427" s="22">
        <v>1</v>
      </c>
      <c r="Z1427" s="22">
        <v>0</v>
      </c>
      <c r="AA1427" s="22" t="s">
        <v>212</v>
      </c>
      <c r="AB1427" s="22" t="s">
        <v>220</v>
      </c>
      <c r="AC1427" s="42">
        <f>IFERROR(LOOKUP(M1427,打分卡!$F$7:$J$7,打分卡!$K$7:$O$7),1)</f>
        <v>1</v>
      </c>
      <c r="AD1427" s="42">
        <f>IFERROR(LOOKUP(S1427,打分卡!$F$8:$J$8,打分卡!$K$8:$O$8),1)</f>
        <v>1</v>
      </c>
      <c r="AE1427" s="42">
        <f>IFERROR(LOOKUP(T1427,打分卡!$F$9:$I$9,打分卡!$K$9:$N$9),1)</f>
        <v>1</v>
      </c>
      <c r="AF1427" s="42">
        <f>IFERROR(LOOKUP(Q1427,打分卡!$F$10:$J$10,打分卡!$K$10:$O$10),1)</f>
        <v>1</v>
      </c>
      <c r="AG1427" s="42">
        <f>IFERROR(LOOKUP(R1427,打分卡!$F$11:$J$11,打分卡!$K$11:$O$11),1)</f>
        <v>1</v>
      </c>
      <c r="AH1427" s="42">
        <f>IFERROR(LOOKUP(U1427,打分卡!$F$12:$J$12,打分卡!$K$12:$O$12),1)</f>
        <v>2</v>
      </c>
      <c r="AI1427" s="42">
        <f>IFERROR(LOOKUP(X1427,打分卡!$F$13:$J$13,打分卡!$K$13:$O$13),1)</f>
        <v>1</v>
      </c>
      <c r="AJ1427" s="42">
        <f>IFERROR(LOOKUP(Y1427,打分卡!$F$14:$J$14,打分卡!$K$14:$O$14),1)</f>
        <v>2</v>
      </c>
      <c r="AK1427" s="42">
        <f>IFERROR(LOOKUP(W1427,打分卡!$F$15:$J$15,打分卡!$K$15:$O$15),1)</f>
        <v>2</v>
      </c>
      <c r="AL1427" s="45">
        <f t="shared" si="177"/>
        <v>1</v>
      </c>
      <c r="AM1427" s="42">
        <f>IFERROR(LOOKUP(Z1427,打分卡!$F$17:$H$17,打分卡!$K$17:$M$17),1)</f>
        <v>1</v>
      </c>
      <c r="AN1427" s="46">
        <f>(打分卡!$D$7*AC1427+打分卡!$D$8*AD1427+打分卡!$D$9*AE1427)/5</f>
        <v>8</v>
      </c>
      <c r="AO1427" s="46">
        <f>(打分卡!$D$10*AF1427+打分卡!$D$11*AG1427)/5</f>
        <v>4</v>
      </c>
      <c r="AP1427" s="46">
        <f>(打分卡!$D$12*AH1427+打分卡!$D$13*AI1427+打分卡!$D$14*AJ1427+打分卡!$D$15*AK1427)/5</f>
        <v>10.4</v>
      </c>
      <c r="AQ1427" s="46">
        <f>(打分卡!$D$16*AL1427+打分卡!$D$17*AM1427)/5</f>
        <v>2</v>
      </c>
      <c r="AR1427" s="48">
        <f t="shared" si="178"/>
        <v>24.4</v>
      </c>
      <c r="AS1427" s="45" t="str">
        <f t="shared" si="179"/>
        <v>未激活</v>
      </c>
      <c r="AT1427" s="45" t="str">
        <f t="shared" si="180"/>
        <v>连续下降-预警</v>
      </c>
      <c r="AU1427" s="45" t="str">
        <f t="shared" si="181"/>
        <v>唤醒：短信模板+首充补贴</v>
      </c>
    </row>
    <row r="1428" ht="15" customHeight="1" spans="1:47">
      <c r="A1428" s="30" t="s">
        <v>3677</v>
      </c>
      <c r="B1428" s="31" t="s">
        <v>3678</v>
      </c>
      <c r="C1428" s="31" t="s">
        <v>218</v>
      </c>
      <c r="D1428" s="31" t="s">
        <v>202</v>
      </c>
      <c r="E1428" s="31" t="s">
        <v>181</v>
      </c>
      <c r="F1428" s="30" t="s">
        <v>1849</v>
      </c>
      <c r="G1428" s="31">
        <v>22</v>
      </c>
      <c r="H1428" s="31" t="s">
        <v>3535</v>
      </c>
      <c r="I1428" s="31" t="s">
        <v>302</v>
      </c>
      <c r="J1428" s="33">
        <v>0</v>
      </c>
      <c r="K1428" s="33">
        <v>0</v>
      </c>
      <c r="L1428" s="33">
        <v>0</v>
      </c>
      <c r="M1428" s="33">
        <f t="shared" si="176"/>
        <v>0</v>
      </c>
      <c r="N1428" s="34">
        <f t="shared" si="182"/>
        <v>0</v>
      </c>
      <c r="O1428" s="35">
        <f>SUM($M$2:M1428)</f>
        <v>190743600</v>
      </c>
      <c r="P1428" s="34">
        <f t="shared" si="183"/>
        <v>1</v>
      </c>
      <c r="Q1428" s="37">
        <v>0</v>
      </c>
      <c r="R1428" s="31">
        <v>0</v>
      </c>
      <c r="S1428" s="31">
        <v>0</v>
      </c>
      <c r="T1428" s="31">
        <v>0</v>
      </c>
      <c r="U1428" s="37">
        <v>17.3</v>
      </c>
      <c r="V1428" s="31">
        <v>0</v>
      </c>
      <c r="W1428" s="31">
        <v>2</v>
      </c>
      <c r="X1428" s="38">
        <v>15</v>
      </c>
      <c r="Y1428" s="31">
        <v>0</v>
      </c>
      <c r="Z1428" s="31">
        <v>0</v>
      </c>
      <c r="AA1428" s="31" t="s">
        <v>212</v>
      </c>
      <c r="AB1428" s="31" t="s">
        <v>220</v>
      </c>
      <c r="AC1428" s="41">
        <f>IFERROR(LOOKUP(M1428,打分卡!$F$7:$J$7,打分卡!$K$7:$O$7),1)</f>
        <v>1</v>
      </c>
      <c r="AD1428" s="41">
        <f>IFERROR(LOOKUP(S1428,打分卡!$F$8:$J$8,打分卡!$K$8:$O$8),1)</f>
        <v>1</v>
      </c>
      <c r="AE1428" s="41">
        <f>IFERROR(LOOKUP(T1428,打分卡!$F$9:$I$9,打分卡!$K$9:$N$9),1)</f>
        <v>1</v>
      </c>
      <c r="AF1428" s="41">
        <f>IFERROR(LOOKUP(Q1428,打分卡!$F$10:$J$10,打分卡!$K$10:$O$10),1)</f>
        <v>1</v>
      </c>
      <c r="AG1428" s="41">
        <f>IFERROR(LOOKUP(R1428,打分卡!$F$11:$J$11,打分卡!$K$11:$O$11),1)</f>
        <v>1</v>
      </c>
      <c r="AH1428" s="41">
        <f>IFERROR(LOOKUP(U1428,打分卡!$F$12:$J$12,打分卡!$K$12:$O$12),1)</f>
        <v>3</v>
      </c>
      <c r="AI1428" s="41">
        <f>IFERROR(LOOKUP(X1428,打分卡!$F$13:$J$13,打分卡!$K$13:$O$13),1)</f>
        <v>1</v>
      </c>
      <c r="AJ1428" s="41">
        <f>IFERROR(LOOKUP(Y1428,打分卡!$F$14:$J$14,打分卡!$K$14:$O$14),1)</f>
        <v>1</v>
      </c>
      <c r="AK1428" s="41">
        <f>IFERROR(LOOKUP(W1428,打分卡!$F$15:$J$15,打分卡!$K$15:$O$15),1)</f>
        <v>2</v>
      </c>
      <c r="AL1428" s="43">
        <f t="shared" si="177"/>
        <v>1</v>
      </c>
      <c r="AM1428" s="41">
        <f>IFERROR(LOOKUP(Z1428,打分卡!$F$17:$H$17,打分卡!$K$17:$M$17),1)</f>
        <v>1</v>
      </c>
      <c r="AN1428" s="44">
        <f>(打分卡!$D$7*AC1428+打分卡!$D$8*AD1428+打分卡!$D$9*AE1428)/5</f>
        <v>8</v>
      </c>
      <c r="AO1428" s="44">
        <f>(打分卡!$D$10*AF1428+打分卡!$D$11*AG1428)/5</f>
        <v>4</v>
      </c>
      <c r="AP1428" s="44">
        <f>(打分卡!$D$12*AH1428+打分卡!$D$13*AI1428+打分卡!$D$14*AJ1428+打分卡!$D$15*AK1428)/5</f>
        <v>11.6</v>
      </c>
      <c r="AQ1428" s="44">
        <f>(打分卡!$D$16*AL1428+打分卡!$D$17*AM1428)/5</f>
        <v>2</v>
      </c>
      <c r="AR1428" s="47">
        <f t="shared" si="178"/>
        <v>25.6</v>
      </c>
      <c r="AS1428" s="43" t="str">
        <f t="shared" si="179"/>
        <v>未激活</v>
      </c>
      <c r="AT1428" s="43" t="str">
        <f t="shared" si="180"/>
        <v>连续下降-预警</v>
      </c>
      <c r="AU1428" s="43" t="str">
        <f t="shared" si="181"/>
        <v>唤醒：短信模板+首充补贴</v>
      </c>
    </row>
    <row r="1429" ht="15" customHeight="1" spans="1:47">
      <c r="A1429" s="20" t="s">
        <v>3679</v>
      </c>
      <c r="B1429" s="22" t="s">
        <v>3680</v>
      </c>
      <c r="C1429" s="22" t="s">
        <v>239</v>
      </c>
      <c r="D1429" s="22" t="s">
        <v>196</v>
      </c>
      <c r="E1429" s="22" t="s">
        <v>197</v>
      </c>
      <c r="F1429" s="20" t="s">
        <v>3681</v>
      </c>
      <c r="G1429" s="22">
        <v>28</v>
      </c>
      <c r="H1429" s="22" t="s">
        <v>3535</v>
      </c>
      <c r="I1429" s="22" t="s">
        <v>302</v>
      </c>
      <c r="J1429" s="36">
        <v>0</v>
      </c>
      <c r="K1429" s="36">
        <v>0</v>
      </c>
      <c r="L1429" s="36">
        <v>0</v>
      </c>
      <c r="M1429" s="36">
        <f t="shared" si="176"/>
        <v>0</v>
      </c>
      <c r="N1429" s="34">
        <f t="shared" si="182"/>
        <v>0</v>
      </c>
      <c r="O1429" s="35">
        <f>SUM($M$2:M1429)</f>
        <v>190743600</v>
      </c>
      <c r="P1429" s="34">
        <f t="shared" si="183"/>
        <v>1</v>
      </c>
      <c r="Q1429" s="39">
        <v>0</v>
      </c>
      <c r="R1429" s="22">
        <v>0</v>
      </c>
      <c r="S1429" s="22">
        <v>0</v>
      </c>
      <c r="T1429" s="22">
        <v>0</v>
      </c>
      <c r="U1429" s="39">
        <v>1.4</v>
      </c>
      <c r="V1429" s="22">
        <v>9</v>
      </c>
      <c r="W1429" s="22">
        <v>0</v>
      </c>
      <c r="X1429" s="40">
        <v>55</v>
      </c>
      <c r="Y1429" s="22">
        <v>0</v>
      </c>
      <c r="Z1429" s="22">
        <v>0</v>
      </c>
      <c r="AA1429" s="22" t="s">
        <v>212</v>
      </c>
      <c r="AB1429" s="22" t="s">
        <v>220</v>
      </c>
      <c r="AC1429" s="42">
        <f>IFERROR(LOOKUP(M1429,打分卡!$F$7:$J$7,打分卡!$K$7:$O$7),1)</f>
        <v>1</v>
      </c>
      <c r="AD1429" s="42">
        <f>IFERROR(LOOKUP(S1429,打分卡!$F$8:$J$8,打分卡!$K$8:$O$8),1)</f>
        <v>1</v>
      </c>
      <c r="AE1429" s="42">
        <f>IFERROR(LOOKUP(T1429,打分卡!$F$9:$I$9,打分卡!$K$9:$N$9),1)</f>
        <v>1</v>
      </c>
      <c r="AF1429" s="42">
        <f>IFERROR(LOOKUP(Q1429,打分卡!$F$10:$J$10,打分卡!$K$10:$O$10),1)</f>
        <v>1</v>
      </c>
      <c r="AG1429" s="42">
        <f>IFERROR(LOOKUP(R1429,打分卡!$F$11:$J$11,打分卡!$K$11:$O$11),1)</f>
        <v>1</v>
      </c>
      <c r="AH1429" s="42">
        <f>IFERROR(LOOKUP(U1429,打分卡!$F$12:$J$12,打分卡!$K$12:$O$12),1)</f>
        <v>1</v>
      </c>
      <c r="AI1429" s="42">
        <f>IFERROR(LOOKUP(X1429,打分卡!$F$13:$J$13,打分卡!$K$13:$O$13),1)</f>
        <v>3</v>
      </c>
      <c r="AJ1429" s="42">
        <f>IFERROR(LOOKUP(Y1429,打分卡!$F$14:$J$14,打分卡!$K$14:$O$14),1)</f>
        <v>1</v>
      </c>
      <c r="AK1429" s="42">
        <f>IFERROR(LOOKUP(W1429,打分卡!$F$15:$J$15,打分卡!$K$15:$O$15),1)</f>
        <v>1</v>
      </c>
      <c r="AL1429" s="45">
        <f t="shared" si="177"/>
        <v>1</v>
      </c>
      <c r="AM1429" s="42">
        <f>IFERROR(LOOKUP(Z1429,打分卡!$F$17:$H$17,打分卡!$K$17:$M$17),1)</f>
        <v>1</v>
      </c>
      <c r="AN1429" s="46">
        <f>(打分卡!$D$7*AC1429+打分卡!$D$8*AD1429+打分卡!$D$9*AE1429)/5</f>
        <v>8</v>
      </c>
      <c r="AO1429" s="46">
        <f>(打分卡!$D$10*AF1429+打分卡!$D$11*AG1429)/5</f>
        <v>4</v>
      </c>
      <c r="AP1429" s="46">
        <f>(打分卡!$D$12*AH1429+打分卡!$D$13*AI1429+打分卡!$D$14*AJ1429+打分卡!$D$15*AK1429)/5</f>
        <v>9.2</v>
      </c>
      <c r="AQ1429" s="46">
        <f>(打分卡!$D$16*AL1429+打分卡!$D$17*AM1429)/5</f>
        <v>2</v>
      </c>
      <c r="AR1429" s="48">
        <f t="shared" si="178"/>
        <v>23.2</v>
      </c>
      <c r="AS1429" s="45" t="str">
        <f t="shared" si="179"/>
        <v>未激活</v>
      </c>
      <c r="AT1429" s="45" t="str">
        <f t="shared" si="180"/>
        <v>连续下降-预警</v>
      </c>
      <c r="AU1429" s="45" t="str">
        <f t="shared" si="181"/>
        <v>唤醒：短信模板+首充补贴</v>
      </c>
    </row>
    <row r="1430" ht="15" customHeight="1" spans="1:47">
      <c r="A1430" s="30" t="s">
        <v>3682</v>
      </c>
      <c r="B1430" s="31" t="s">
        <v>3683</v>
      </c>
      <c r="C1430" s="31" t="s">
        <v>189</v>
      </c>
      <c r="D1430" s="31" t="s">
        <v>235</v>
      </c>
      <c r="E1430" s="31" t="s">
        <v>181</v>
      </c>
      <c r="F1430" s="30" t="s">
        <v>342</v>
      </c>
      <c r="G1430" s="31">
        <v>13</v>
      </c>
      <c r="H1430" s="31" t="s">
        <v>3535</v>
      </c>
      <c r="I1430" s="31" t="s">
        <v>302</v>
      </c>
      <c r="J1430" s="33">
        <v>0</v>
      </c>
      <c r="K1430" s="33">
        <v>0</v>
      </c>
      <c r="L1430" s="33">
        <v>0</v>
      </c>
      <c r="M1430" s="33">
        <f t="shared" si="176"/>
        <v>0</v>
      </c>
      <c r="N1430" s="34">
        <f t="shared" si="182"/>
        <v>0</v>
      </c>
      <c r="O1430" s="35">
        <f>SUM($M$2:M1430)</f>
        <v>190743600</v>
      </c>
      <c r="P1430" s="34">
        <f t="shared" si="183"/>
        <v>1</v>
      </c>
      <c r="Q1430" s="37">
        <v>0</v>
      </c>
      <c r="R1430" s="31">
        <v>0</v>
      </c>
      <c r="S1430" s="31">
        <v>0</v>
      </c>
      <c r="T1430" s="31">
        <v>0</v>
      </c>
      <c r="U1430" s="37">
        <v>3.7</v>
      </c>
      <c r="V1430" s="31">
        <v>3</v>
      </c>
      <c r="W1430" s="31">
        <v>0</v>
      </c>
      <c r="X1430" s="38">
        <v>21</v>
      </c>
      <c r="Y1430" s="31">
        <v>1</v>
      </c>
      <c r="Z1430" s="31">
        <v>0</v>
      </c>
      <c r="AA1430" s="31" t="s">
        <v>212</v>
      </c>
      <c r="AB1430" s="31" t="s">
        <v>220</v>
      </c>
      <c r="AC1430" s="41">
        <f>IFERROR(LOOKUP(M1430,打分卡!$F$7:$J$7,打分卡!$K$7:$O$7),1)</f>
        <v>1</v>
      </c>
      <c r="AD1430" s="41">
        <f>IFERROR(LOOKUP(S1430,打分卡!$F$8:$J$8,打分卡!$K$8:$O$8),1)</f>
        <v>1</v>
      </c>
      <c r="AE1430" s="41">
        <f>IFERROR(LOOKUP(T1430,打分卡!$F$9:$I$9,打分卡!$K$9:$N$9),1)</f>
        <v>1</v>
      </c>
      <c r="AF1430" s="41">
        <f>IFERROR(LOOKUP(Q1430,打分卡!$F$10:$J$10,打分卡!$K$10:$O$10),1)</f>
        <v>1</v>
      </c>
      <c r="AG1430" s="41">
        <f>IFERROR(LOOKUP(R1430,打分卡!$F$11:$J$11,打分卡!$K$11:$O$11),1)</f>
        <v>1</v>
      </c>
      <c r="AH1430" s="41">
        <f>IFERROR(LOOKUP(U1430,打分卡!$F$12:$J$12,打分卡!$K$12:$O$12),1)</f>
        <v>2</v>
      </c>
      <c r="AI1430" s="41">
        <f>IFERROR(LOOKUP(X1430,打分卡!$F$13:$J$13,打分卡!$K$13:$O$13),1)</f>
        <v>2</v>
      </c>
      <c r="AJ1430" s="41">
        <f>IFERROR(LOOKUP(Y1430,打分卡!$F$14:$J$14,打分卡!$K$14:$O$14),1)</f>
        <v>2</v>
      </c>
      <c r="AK1430" s="41">
        <f>IFERROR(LOOKUP(W1430,打分卡!$F$15:$J$15,打分卡!$K$15:$O$15),1)</f>
        <v>1</v>
      </c>
      <c r="AL1430" s="43">
        <f t="shared" si="177"/>
        <v>1</v>
      </c>
      <c r="AM1430" s="41">
        <f>IFERROR(LOOKUP(Z1430,打分卡!$F$17:$H$17,打分卡!$K$17:$M$17),1)</f>
        <v>1</v>
      </c>
      <c r="AN1430" s="44">
        <f>(打分卡!$D$7*AC1430+打分卡!$D$8*AD1430+打分卡!$D$9*AE1430)/5</f>
        <v>8</v>
      </c>
      <c r="AO1430" s="44">
        <f>(打分卡!$D$10*AF1430+打分卡!$D$11*AG1430)/5</f>
        <v>4</v>
      </c>
      <c r="AP1430" s="44">
        <f>(打分卡!$D$12*AH1430+打分卡!$D$13*AI1430+打分卡!$D$14*AJ1430+打分卡!$D$15*AK1430)/5</f>
        <v>11.2</v>
      </c>
      <c r="AQ1430" s="44">
        <f>(打分卡!$D$16*AL1430+打分卡!$D$17*AM1430)/5</f>
        <v>2</v>
      </c>
      <c r="AR1430" s="47">
        <f t="shared" si="178"/>
        <v>25.2</v>
      </c>
      <c r="AS1430" s="43" t="str">
        <f t="shared" si="179"/>
        <v>未激活</v>
      </c>
      <c r="AT1430" s="43" t="str">
        <f t="shared" si="180"/>
        <v>连续下降-预警</v>
      </c>
      <c r="AU1430" s="43" t="str">
        <f t="shared" si="181"/>
        <v>唤醒：短信模板+首充补贴</v>
      </c>
    </row>
    <row r="1431" ht="15" customHeight="1" spans="1:47">
      <c r="A1431" s="20" t="s">
        <v>3684</v>
      </c>
      <c r="B1431" s="22" t="s">
        <v>3685</v>
      </c>
      <c r="C1431" s="22" t="s">
        <v>195</v>
      </c>
      <c r="D1431" s="22" t="s">
        <v>196</v>
      </c>
      <c r="E1431" s="22" t="s">
        <v>181</v>
      </c>
      <c r="F1431" s="20" t="s">
        <v>3686</v>
      </c>
      <c r="G1431" s="22">
        <v>33</v>
      </c>
      <c r="H1431" s="22" t="s">
        <v>3535</v>
      </c>
      <c r="I1431" s="22" t="s">
        <v>302</v>
      </c>
      <c r="J1431" s="36">
        <v>0</v>
      </c>
      <c r="K1431" s="36">
        <v>0</v>
      </c>
      <c r="L1431" s="36">
        <v>0</v>
      </c>
      <c r="M1431" s="36">
        <f t="shared" si="176"/>
        <v>0</v>
      </c>
      <c r="N1431" s="34">
        <f t="shared" si="182"/>
        <v>0</v>
      </c>
      <c r="O1431" s="35">
        <f>SUM($M$2:M1431)</f>
        <v>190743600</v>
      </c>
      <c r="P1431" s="34">
        <f t="shared" si="183"/>
        <v>1</v>
      </c>
      <c r="Q1431" s="39">
        <v>0</v>
      </c>
      <c r="R1431" s="22">
        <v>0</v>
      </c>
      <c r="S1431" s="22">
        <v>0</v>
      </c>
      <c r="T1431" s="22">
        <v>0</v>
      </c>
      <c r="U1431" s="39">
        <v>17.6</v>
      </c>
      <c r="V1431" s="22">
        <v>3</v>
      </c>
      <c r="W1431" s="22">
        <v>0</v>
      </c>
      <c r="X1431" s="40">
        <v>28</v>
      </c>
      <c r="Y1431" s="22">
        <v>0</v>
      </c>
      <c r="Z1431" s="22">
        <v>0</v>
      </c>
      <c r="AA1431" s="22" t="s">
        <v>212</v>
      </c>
      <c r="AB1431" s="22" t="s">
        <v>220</v>
      </c>
      <c r="AC1431" s="42">
        <f>IFERROR(LOOKUP(M1431,打分卡!$F$7:$J$7,打分卡!$K$7:$O$7),1)</f>
        <v>1</v>
      </c>
      <c r="AD1431" s="42">
        <f>IFERROR(LOOKUP(S1431,打分卡!$F$8:$J$8,打分卡!$K$8:$O$8),1)</f>
        <v>1</v>
      </c>
      <c r="AE1431" s="42">
        <f>IFERROR(LOOKUP(T1431,打分卡!$F$9:$I$9,打分卡!$K$9:$N$9),1)</f>
        <v>1</v>
      </c>
      <c r="AF1431" s="42">
        <f>IFERROR(LOOKUP(Q1431,打分卡!$F$10:$J$10,打分卡!$K$10:$O$10),1)</f>
        <v>1</v>
      </c>
      <c r="AG1431" s="42">
        <f>IFERROR(LOOKUP(R1431,打分卡!$F$11:$J$11,打分卡!$K$11:$O$11),1)</f>
        <v>1</v>
      </c>
      <c r="AH1431" s="42">
        <f>IFERROR(LOOKUP(U1431,打分卡!$F$12:$J$12,打分卡!$K$12:$O$12),1)</f>
        <v>3</v>
      </c>
      <c r="AI1431" s="42">
        <f>IFERROR(LOOKUP(X1431,打分卡!$F$13:$J$13,打分卡!$K$13:$O$13),1)</f>
        <v>2</v>
      </c>
      <c r="AJ1431" s="42">
        <f>IFERROR(LOOKUP(Y1431,打分卡!$F$14:$J$14,打分卡!$K$14:$O$14),1)</f>
        <v>1</v>
      </c>
      <c r="AK1431" s="42">
        <f>IFERROR(LOOKUP(W1431,打分卡!$F$15:$J$15,打分卡!$K$15:$O$15),1)</f>
        <v>1</v>
      </c>
      <c r="AL1431" s="45">
        <f t="shared" si="177"/>
        <v>1</v>
      </c>
      <c r="AM1431" s="42">
        <f>IFERROR(LOOKUP(Z1431,打分卡!$F$17:$H$17,打分卡!$K$17:$M$17),1)</f>
        <v>1</v>
      </c>
      <c r="AN1431" s="46">
        <f>(打分卡!$D$7*AC1431+打分卡!$D$8*AD1431+打分卡!$D$9*AE1431)/5</f>
        <v>8</v>
      </c>
      <c r="AO1431" s="46">
        <f>(打分卡!$D$10*AF1431+打分卡!$D$11*AG1431)/5</f>
        <v>4</v>
      </c>
      <c r="AP1431" s="46">
        <f>(打分卡!$D$12*AH1431+打分卡!$D$13*AI1431+打分卡!$D$14*AJ1431+打分卡!$D$15*AK1431)/5</f>
        <v>12.4</v>
      </c>
      <c r="AQ1431" s="46">
        <f>(打分卡!$D$16*AL1431+打分卡!$D$17*AM1431)/5</f>
        <v>2</v>
      </c>
      <c r="AR1431" s="48">
        <f t="shared" si="178"/>
        <v>26.4</v>
      </c>
      <c r="AS1431" s="45" t="str">
        <f t="shared" si="179"/>
        <v>未激活</v>
      </c>
      <c r="AT1431" s="45" t="str">
        <f t="shared" si="180"/>
        <v>连续下降-预警</v>
      </c>
      <c r="AU1431" s="45" t="str">
        <f t="shared" si="181"/>
        <v>唤醒：短信模板+首充补贴</v>
      </c>
    </row>
    <row r="1432" ht="15" customHeight="1" spans="1:47">
      <c r="A1432" s="30" t="s">
        <v>3687</v>
      </c>
      <c r="B1432" s="31" t="s">
        <v>3688</v>
      </c>
      <c r="C1432" s="31" t="s">
        <v>234</v>
      </c>
      <c r="D1432" s="31" t="s">
        <v>202</v>
      </c>
      <c r="E1432" s="31" t="s">
        <v>181</v>
      </c>
      <c r="F1432" s="30" t="s">
        <v>3689</v>
      </c>
      <c r="G1432" s="31">
        <v>36</v>
      </c>
      <c r="H1432" s="31" t="s">
        <v>3535</v>
      </c>
      <c r="I1432" s="31" t="s">
        <v>302</v>
      </c>
      <c r="J1432" s="33">
        <v>0</v>
      </c>
      <c r="K1432" s="33">
        <v>0</v>
      </c>
      <c r="L1432" s="33">
        <v>0</v>
      </c>
      <c r="M1432" s="33">
        <f t="shared" si="176"/>
        <v>0</v>
      </c>
      <c r="N1432" s="34">
        <f t="shared" si="182"/>
        <v>0</v>
      </c>
      <c r="O1432" s="35">
        <f>SUM($M$2:M1432)</f>
        <v>190743600</v>
      </c>
      <c r="P1432" s="34">
        <f t="shared" si="183"/>
        <v>1</v>
      </c>
      <c r="Q1432" s="37">
        <v>0</v>
      </c>
      <c r="R1432" s="31">
        <v>0</v>
      </c>
      <c r="S1432" s="31">
        <v>0</v>
      </c>
      <c r="T1432" s="31">
        <v>0</v>
      </c>
      <c r="U1432" s="37">
        <v>0.9</v>
      </c>
      <c r="V1432" s="31">
        <v>5</v>
      </c>
      <c r="W1432" s="31">
        <v>1</v>
      </c>
      <c r="X1432" s="38">
        <v>41</v>
      </c>
      <c r="Y1432" s="31">
        <v>1</v>
      </c>
      <c r="Z1432" s="31">
        <v>0</v>
      </c>
      <c r="AA1432" s="31" t="s">
        <v>212</v>
      </c>
      <c r="AB1432" s="31" t="s">
        <v>220</v>
      </c>
      <c r="AC1432" s="41">
        <f>IFERROR(LOOKUP(M1432,打分卡!$F$7:$J$7,打分卡!$K$7:$O$7),1)</f>
        <v>1</v>
      </c>
      <c r="AD1432" s="41">
        <f>IFERROR(LOOKUP(S1432,打分卡!$F$8:$J$8,打分卡!$K$8:$O$8),1)</f>
        <v>1</v>
      </c>
      <c r="AE1432" s="41">
        <f>IFERROR(LOOKUP(T1432,打分卡!$F$9:$I$9,打分卡!$K$9:$N$9),1)</f>
        <v>1</v>
      </c>
      <c r="AF1432" s="41">
        <f>IFERROR(LOOKUP(Q1432,打分卡!$F$10:$J$10,打分卡!$K$10:$O$10),1)</f>
        <v>1</v>
      </c>
      <c r="AG1432" s="41">
        <f>IFERROR(LOOKUP(R1432,打分卡!$F$11:$J$11,打分卡!$K$11:$O$11),1)</f>
        <v>1</v>
      </c>
      <c r="AH1432" s="41">
        <f>IFERROR(LOOKUP(U1432,打分卡!$F$12:$J$12,打分卡!$K$12:$O$12),1)</f>
        <v>1</v>
      </c>
      <c r="AI1432" s="41">
        <f>IFERROR(LOOKUP(X1432,打分卡!$F$13:$J$13,打分卡!$K$13:$O$13),1)</f>
        <v>3</v>
      </c>
      <c r="AJ1432" s="41">
        <f>IFERROR(LOOKUP(Y1432,打分卡!$F$14:$J$14,打分卡!$K$14:$O$14),1)</f>
        <v>2</v>
      </c>
      <c r="AK1432" s="41">
        <f>IFERROR(LOOKUP(W1432,打分卡!$F$15:$J$15,打分卡!$K$15:$O$15),1)</f>
        <v>2</v>
      </c>
      <c r="AL1432" s="43">
        <f t="shared" si="177"/>
        <v>1</v>
      </c>
      <c r="AM1432" s="41">
        <f>IFERROR(LOOKUP(Z1432,打分卡!$F$17:$H$17,打分卡!$K$17:$M$17),1)</f>
        <v>1</v>
      </c>
      <c r="AN1432" s="44">
        <f>(打分卡!$D$7*AC1432+打分卡!$D$8*AD1432+打分卡!$D$9*AE1432)/5</f>
        <v>8</v>
      </c>
      <c r="AO1432" s="44">
        <f>(打分卡!$D$10*AF1432+打分卡!$D$11*AG1432)/5</f>
        <v>4</v>
      </c>
      <c r="AP1432" s="44">
        <f>(打分卡!$D$12*AH1432+打分卡!$D$13*AI1432+打分卡!$D$14*AJ1432+打分卡!$D$15*AK1432)/5</f>
        <v>11.2</v>
      </c>
      <c r="AQ1432" s="44">
        <f>(打分卡!$D$16*AL1432+打分卡!$D$17*AM1432)/5</f>
        <v>2</v>
      </c>
      <c r="AR1432" s="47">
        <f t="shared" si="178"/>
        <v>25.2</v>
      </c>
      <c r="AS1432" s="43" t="str">
        <f t="shared" si="179"/>
        <v>未激活</v>
      </c>
      <c r="AT1432" s="43" t="str">
        <f t="shared" si="180"/>
        <v>连续下降-预警</v>
      </c>
      <c r="AU1432" s="43" t="str">
        <f t="shared" si="181"/>
        <v>唤醒：短信模板+首充补贴</v>
      </c>
    </row>
    <row r="1433" ht="15" customHeight="1" spans="1:47">
      <c r="A1433" s="20" t="s">
        <v>3690</v>
      </c>
      <c r="B1433" s="22" t="s">
        <v>3691</v>
      </c>
      <c r="C1433" s="22" t="s">
        <v>223</v>
      </c>
      <c r="D1433" s="22" t="s">
        <v>190</v>
      </c>
      <c r="E1433" s="22" t="s">
        <v>181</v>
      </c>
      <c r="F1433" s="20" t="s">
        <v>3692</v>
      </c>
      <c r="G1433" s="22">
        <v>32</v>
      </c>
      <c r="H1433" s="22" t="s">
        <v>3535</v>
      </c>
      <c r="I1433" s="22" t="s">
        <v>302</v>
      </c>
      <c r="J1433" s="36">
        <v>0</v>
      </c>
      <c r="K1433" s="36">
        <v>0</v>
      </c>
      <c r="L1433" s="36">
        <v>0</v>
      </c>
      <c r="M1433" s="36">
        <f t="shared" si="176"/>
        <v>0</v>
      </c>
      <c r="N1433" s="34">
        <f t="shared" si="182"/>
        <v>0</v>
      </c>
      <c r="O1433" s="35">
        <f>SUM($M$2:M1433)</f>
        <v>190743600</v>
      </c>
      <c r="P1433" s="34">
        <f t="shared" si="183"/>
        <v>1</v>
      </c>
      <c r="Q1433" s="39">
        <v>0</v>
      </c>
      <c r="R1433" s="22">
        <v>0</v>
      </c>
      <c r="S1433" s="22">
        <v>0</v>
      </c>
      <c r="T1433" s="22">
        <v>0</v>
      </c>
      <c r="U1433" s="39">
        <v>13.3</v>
      </c>
      <c r="V1433" s="22">
        <v>8</v>
      </c>
      <c r="W1433" s="22">
        <v>2</v>
      </c>
      <c r="X1433" s="40">
        <v>39</v>
      </c>
      <c r="Y1433" s="22">
        <v>0</v>
      </c>
      <c r="Z1433" s="22">
        <v>0</v>
      </c>
      <c r="AA1433" s="22" t="s">
        <v>212</v>
      </c>
      <c r="AB1433" s="22" t="s">
        <v>220</v>
      </c>
      <c r="AC1433" s="42">
        <f>IFERROR(LOOKUP(M1433,打分卡!$F$7:$J$7,打分卡!$K$7:$O$7),1)</f>
        <v>1</v>
      </c>
      <c r="AD1433" s="42">
        <f>IFERROR(LOOKUP(S1433,打分卡!$F$8:$J$8,打分卡!$K$8:$O$8),1)</f>
        <v>1</v>
      </c>
      <c r="AE1433" s="42">
        <f>IFERROR(LOOKUP(T1433,打分卡!$F$9:$I$9,打分卡!$K$9:$N$9),1)</f>
        <v>1</v>
      </c>
      <c r="AF1433" s="42">
        <f>IFERROR(LOOKUP(Q1433,打分卡!$F$10:$J$10,打分卡!$K$10:$O$10),1)</f>
        <v>1</v>
      </c>
      <c r="AG1433" s="42">
        <f>IFERROR(LOOKUP(R1433,打分卡!$F$11:$J$11,打分卡!$K$11:$O$11),1)</f>
        <v>1</v>
      </c>
      <c r="AH1433" s="42">
        <f>IFERROR(LOOKUP(U1433,打分卡!$F$12:$J$12,打分卡!$K$12:$O$12),1)</f>
        <v>3</v>
      </c>
      <c r="AI1433" s="42">
        <f>IFERROR(LOOKUP(X1433,打分卡!$F$13:$J$13,打分卡!$K$13:$O$13),1)</f>
        <v>3</v>
      </c>
      <c r="AJ1433" s="42">
        <f>IFERROR(LOOKUP(Y1433,打分卡!$F$14:$J$14,打分卡!$K$14:$O$14),1)</f>
        <v>1</v>
      </c>
      <c r="AK1433" s="42">
        <f>IFERROR(LOOKUP(W1433,打分卡!$F$15:$J$15,打分卡!$K$15:$O$15),1)</f>
        <v>2</v>
      </c>
      <c r="AL1433" s="45">
        <f t="shared" si="177"/>
        <v>1</v>
      </c>
      <c r="AM1433" s="42">
        <f>IFERROR(LOOKUP(Z1433,打分卡!$F$17:$H$17,打分卡!$K$17:$M$17),1)</f>
        <v>1</v>
      </c>
      <c r="AN1433" s="46">
        <f>(打分卡!$D$7*AC1433+打分卡!$D$8*AD1433+打分卡!$D$9*AE1433)/5</f>
        <v>8</v>
      </c>
      <c r="AO1433" s="46">
        <f>(打分卡!$D$10*AF1433+打分卡!$D$11*AG1433)/5</f>
        <v>4</v>
      </c>
      <c r="AP1433" s="46">
        <f>(打分卡!$D$12*AH1433+打分卡!$D$13*AI1433+打分卡!$D$14*AJ1433+打分卡!$D$15*AK1433)/5</f>
        <v>14.8</v>
      </c>
      <c r="AQ1433" s="46">
        <f>(打分卡!$D$16*AL1433+打分卡!$D$17*AM1433)/5</f>
        <v>2</v>
      </c>
      <c r="AR1433" s="48">
        <f t="shared" si="178"/>
        <v>28.8</v>
      </c>
      <c r="AS1433" s="45" t="str">
        <f t="shared" si="179"/>
        <v>未激活</v>
      </c>
      <c r="AT1433" s="45" t="str">
        <f t="shared" si="180"/>
        <v>连续下降-预警</v>
      </c>
      <c r="AU1433" s="45" t="str">
        <f t="shared" si="181"/>
        <v>唤醒：短信模板+首充补贴</v>
      </c>
    </row>
    <row r="1434" ht="15" customHeight="1" spans="1:47">
      <c r="A1434" s="30" t="s">
        <v>3693</v>
      </c>
      <c r="B1434" s="31" t="s">
        <v>3694</v>
      </c>
      <c r="C1434" s="31" t="s">
        <v>179</v>
      </c>
      <c r="D1434" s="31" t="s">
        <v>196</v>
      </c>
      <c r="E1434" s="31" t="s">
        <v>197</v>
      </c>
      <c r="F1434" s="30" t="s">
        <v>1739</v>
      </c>
      <c r="G1434" s="31">
        <v>12</v>
      </c>
      <c r="H1434" s="31" t="s">
        <v>3535</v>
      </c>
      <c r="I1434" s="31" t="s">
        <v>302</v>
      </c>
      <c r="J1434" s="33">
        <v>0</v>
      </c>
      <c r="K1434" s="33">
        <v>0</v>
      </c>
      <c r="L1434" s="33">
        <v>0</v>
      </c>
      <c r="M1434" s="33">
        <f t="shared" si="176"/>
        <v>0</v>
      </c>
      <c r="N1434" s="34">
        <f t="shared" si="182"/>
        <v>0</v>
      </c>
      <c r="O1434" s="35">
        <f>SUM($M$2:M1434)</f>
        <v>190743600</v>
      </c>
      <c r="P1434" s="34">
        <f t="shared" si="183"/>
        <v>1</v>
      </c>
      <c r="Q1434" s="37">
        <v>0</v>
      </c>
      <c r="R1434" s="31">
        <v>0</v>
      </c>
      <c r="S1434" s="31">
        <v>0</v>
      </c>
      <c r="T1434" s="31">
        <v>0</v>
      </c>
      <c r="U1434" s="37">
        <v>5.4</v>
      </c>
      <c r="V1434" s="31">
        <v>14</v>
      </c>
      <c r="W1434" s="31">
        <v>2</v>
      </c>
      <c r="X1434" s="38">
        <v>7</v>
      </c>
      <c r="Y1434" s="31">
        <v>0</v>
      </c>
      <c r="Z1434" s="31">
        <v>0</v>
      </c>
      <c r="AA1434" s="31" t="s">
        <v>212</v>
      </c>
      <c r="AB1434" s="31" t="s">
        <v>220</v>
      </c>
      <c r="AC1434" s="41">
        <f>IFERROR(LOOKUP(M1434,打分卡!$F$7:$J$7,打分卡!$K$7:$O$7),1)</f>
        <v>1</v>
      </c>
      <c r="AD1434" s="41">
        <f>IFERROR(LOOKUP(S1434,打分卡!$F$8:$J$8,打分卡!$K$8:$O$8),1)</f>
        <v>1</v>
      </c>
      <c r="AE1434" s="41">
        <f>IFERROR(LOOKUP(T1434,打分卡!$F$9:$I$9,打分卡!$K$9:$N$9),1)</f>
        <v>1</v>
      </c>
      <c r="AF1434" s="41">
        <f>IFERROR(LOOKUP(Q1434,打分卡!$F$10:$J$10,打分卡!$K$10:$O$10),1)</f>
        <v>1</v>
      </c>
      <c r="AG1434" s="41">
        <f>IFERROR(LOOKUP(R1434,打分卡!$F$11:$J$11,打分卡!$K$11:$O$11),1)</f>
        <v>1</v>
      </c>
      <c r="AH1434" s="41">
        <f>IFERROR(LOOKUP(U1434,打分卡!$F$12:$J$12,打分卡!$K$12:$O$12),1)</f>
        <v>2</v>
      </c>
      <c r="AI1434" s="41">
        <f>IFERROR(LOOKUP(X1434,打分卡!$F$13:$J$13,打分卡!$K$13:$O$13),1)</f>
        <v>1</v>
      </c>
      <c r="AJ1434" s="41">
        <f>IFERROR(LOOKUP(Y1434,打分卡!$F$14:$J$14,打分卡!$K$14:$O$14),1)</f>
        <v>1</v>
      </c>
      <c r="AK1434" s="41">
        <f>IFERROR(LOOKUP(W1434,打分卡!$F$15:$J$15,打分卡!$K$15:$O$15),1)</f>
        <v>2</v>
      </c>
      <c r="AL1434" s="43">
        <f t="shared" si="177"/>
        <v>1</v>
      </c>
      <c r="AM1434" s="41">
        <f>IFERROR(LOOKUP(Z1434,打分卡!$F$17:$H$17,打分卡!$K$17:$M$17),1)</f>
        <v>1</v>
      </c>
      <c r="AN1434" s="44">
        <f>(打分卡!$D$7*AC1434+打分卡!$D$8*AD1434+打分卡!$D$9*AE1434)/5</f>
        <v>8</v>
      </c>
      <c r="AO1434" s="44">
        <f>(打分卡!$D$10*AF1434+打分卡!$D$11*AG1434)/5</f>
        <v>4</v>
      </c>
      <c r="AP1434" s="44">
        <f>(打分卡!$D$12*AH1434+打分卡!$D$13*AI1434+打分卡!$D$14*AJ1434+打分卡!$D$15*AK1434)/5</f>
        <v>9.2</v>
      </c>
      <c r="AQ1434" s="44">
        <f>(打分卡!$D$16*AL1434+打分卡!$D$17*AM1434)/5</f>
        <v>2</v>
      </c>
      <c r="AR1434" s="47">
        <f t="shared" si="178"/>
        <v>23.2</v>
      </c>
      <c r="AS1434" s="43" t="str">
        <f t="shared" si="179"/>
        <v>未激活</v>
      </c>
      <c r="AT1434" s="43" t="str">
        <f t="shared" si="180"/>
        <v>连续下降-预警</v>
      </c>
      <c r="AU1434" s="43" t="str">
        <f t="shared" si="181"/>
        <v>唤醒：短信模板+首充补贴</v>
      </c>
    </row>
    <row r="1435" ht="15" customHeight="1" spans="1:47">
      <c r="A1435" s="20" t="s">
        <v>3695</v>
      </c>
      <c r="B1435" s="22" t="s">
        <v>3696</v>
      </c>
      <c r="C1435" s="22" t="s">
        <v>239</v>
      </c>
      <c r="D1435" s="22" t="s">
        <v>202</v>
      </c>
      <c r="E1435" s="22" t="s">
        <v>197</v>
      </c>
      <c r="F1435" s="20" t="s">
        <v>2350</v>
      </c>
      <c r="G1435" s="22">
        <v>19</v>
      </c>
      <c r="H1435" s="22" t="s">
        <v>3535</v>
      </c>
      <c r="I1435" s="22" t="s">
        <v>302</v>
      </c>
      <c r="J1435" s="36">
        <v>0</v>
      </c>
      <c r="K1435" s="36">
        <v>0</v>
      </c>
      <c r="L1435" s="36">
        <v>0</v>
      </c>
      <c r="M1435" s="36">
        <f t="shared" si="176"/>
        <v>0</v>
      </c>
      <c r="N1435" s="34">
        <f t="shared" si="182"/>
        <v>0</v>
      </c>
      <c r="O1435" s="35">
        <f>SUM($M$2:M1435)</f>
        <v>190743600</v>
      </c>
      <c r="P1435" s="34">
        <f t="shared" si="183"/>
        <v>1</v>
      </c>
      <c r="Q1435" s="39">
        <v>0</v>
      </c>
      <c r="R1435" s="22">
        <v>0</v>
      </c>
      <c r="S1435" s="22">
        <v>0</v>
      </c>
      <c r="T1435" s="22">
        <v>0</v>
      </c>
      <c r="U1435" s="39">
        <v>11.8</v>
      </c>
      <c r="V1435" s="22">
        <v>0</v>
      </c>
      <c r="W1435" s="22">
        <v>2</v>
      </c>
      <c r="X1435" s="40">
        <v>33</v>
      </c>
      <c r="Y1435" s="22">
        <v>1</v>
      </c>
      <c r="Z1435" s="22">
        <v>0</v>
      </c>
      <c r="AA1435" s="22" t="s">
        <v>212</v>
      </c>
      <c r="AB1435" s="22" t="s">
        <v>220</v>
      </c>
      <c r="AC1435" s="42">
        <f>IFERROR(LOOKUP(M1435,打分卡!$F$7:$J$7,打分卡!$K$7:$O$7),1)</f>
        <v>1</v>
      </c>
      <c r="AD1435" s="42">
        <f>IFERROR(LOOKUP(S1435,打分卡!$F$8:$J$8,打分卡!$K$8:$O$8),1)</f>
        <v>1</v>
      </c>
      <c r="AE1435" s="42">
        <f>IFERROR(LOOKUP(T1435,打分卡!$F$9:$I$9,打分卡!$K$9:$N$9),1)</f>
        <v>1</v>
      </c>
      <c r="AF1435" s="42">
        <f>IFERROR(LOOKUP(Q1435,打分卡!$F$10:$J$10,打分卡!$K$10:$O$10),1)</f>
        <v>1</v>
      </c>
      <c r="AG1435" s="42">
        <f>IFERROR(LOOKUP(R1435,打分卡!$F$11:$J$11,打分卡!$K$11:$O$11),1)</f>
        <v>1</v>
      </c>
      <c r="AH1435" s="42">
        <f>IFERROR(LOOKUP(U1435,打分卡!$F$12:$J$12,打分卡!$K$12:$O$12),1)</f>
        <v>3</v>
      </c>
      <c r="AI1435" s="42">
        <f>IFERROR(LOOKUP(X1435,打分卡!$F$13:$J$13,打分卡!$K$13:$O$13),1)</f>
        <v>2</v>
      </c>
      <c r="AJ1435" s="42">
        <f>IFERROR(LOOKUP(Y1435,打分卡!$F$14:$J$14,打分卡!$K$14:$O$14),1)</f>
        <v>2</v>
      </c>
      <c r="AK1435" s="42">
        <f>IFERROR(LOOKUP(W1435,打分卡!$F$15:$J$15,打分卡!$K$15:$O$15),1)</f>
        <v>2</v>
      </c>
      <c r="AL1435" s="45">
        <f t="shared" si="177"/>
        <v>1</v>
      </c>
      <c r="AM1435" s="42">
        <f>IFERROR(LOOKUP(Z1435,打分卡!$F$17:$H$17,打分卡!$K$17:$M$17),1)</f>
        <v>1</v>
      </c>
      <c r="AN1435" s="46">
        <f>(打分卡!$D$7*AC1435+打分卡!$D$8*AD1435+打分卡!$D$9*AE1435)/5</f>
        <v>8</v>
      </c>
      <c r="AO1435" s="46">
        <f>(打分卡!$D$10*AF1435+打分卡!$D$11*AG1435)/5</f>
        <v>4</v>
      </c>
      <c r="AP1435" s="46">
        <f>(打分卡!$D$12*AH1435+打分卡!$D$13*AI1435+打分卡!$D$14*AJ1435+打分卡!$D$15*AK1435)/5</f>
        <v>14.4</v>
      </c>
      <c r="AQ1435" s="46">
        <f>(打分卡!$D$16*AL1435+打分卡!$D$17*AM1435)/5</f>
        <v>2</v>
      </c>
      <c r="AR1435" s="48">
        <f t="shared" si="178"/>
        <v>28.4</v>
      </c>
      <c r="AS1435" s="45" t="str">
        <f t="shared" si="179"/>
        <v>未激活</v>
      </c>
      <c r="AT1435" s="45" t="str">
        <f t="shared" si="180"/>
        <v>连续下降-预警</v>
      </c>
      <c r="AU1435" s="45" t="str">
        <f t="shared" si="181"/>
        <v>唤醒：短信模板+首充补贴</v>
      </c>
    </row>
    <row r="1436" ht="15" customHeight="1" spans="1:47">
      <c r="A1436" s="30" t="s">
        <v>3697</v>
      </c>
      <c r="B1436" s="31" t="s">
        <v>3698</v>
      </c>
      <c r="C1436" s="31" t="s">
        <v>239</v>
      </c>
      <c r="D1436" s="31" t="s">
        <v>196</v>
      </c>
      <c r="E1436" s="31" t="s">
        <v>181</v>
      </c>
      <c r="F1436" s="30" t="s">
        <v>3699</v>
      </c>
      <c r="G1436" s="31">
        <v>30</v>
      </c>
      <c r="H1436" s="31" t="s">
        <v>3535</v>
      </c>
      <c r="I1436" s="31" t="s">
        <v>302</v>
      </c>
      <c r="J1436" s="33">
        <v>0</v>
      </c>
      <c r="K1436" s="33">
        <v>0</v>
      </c>
      <c r="L1436" s="33">
        <v>0</v>
      </c>
      <c r="M1436" s="33">
        <f t="shared" si="176"/>
        <v>0</v>
      </c>
      <c r="N1436" s="34">
        <f t="shared" si="182"/>
        <v>0</v>
      </c>
      <c r="O1436" s="35">
        <f>SUM($M$2:M1436)</f>
        <v>190743600</v>
      </c>
      <c r="P1436" s="34">
        <f t="shared" si="183"/>
        <v>1</v>
      </c>
      <c r="Q1436" s="37">
        <v>0</v>
      </c>
      <c r="R1436" s="31">
        <v>0</v>
      </c>
      <c r="S1436" s="31">
        <v>0</v>
      </c>
      <c r="T1436" s="31">
        <v>0</v>
      </c>
      <c r="U1436" s="37">
        <v>2.3</v>
      </c>
      <c r="V1436" s="31">
        <v>10</v>
      </c>
      <c r="W1436" s="31">
        <v>1</v>
      </c>
      <c r="X1436" s="38">
        <v>15</v>
      </c>
      <c r="Y1436" s="31">
        <v>1</v>
      </c>
      <c r="Z1436" s="31">
        <v>0</v>
      </c>
      <c r="AA1436" s="31" t="s">
        <v>212</v>
      </c>
      <c r="AB1436" s="31" t="s">
        <v>220</v>
      </c>
      <c r="AC1436" s="41">
        <f>IFERROR(LOOKUP(M1436,打分卡!$F$7:$J$7,打分卡!$K$7:$O$7),1)</f>
        <v>1</v>
      </c>
      <c r="AD1436" s="41">
        <f>IFERROR(LOOKUP(S1436,打分卡!$F$8:$J$8,打分卡!$K$8:$O$8),1)</f>
        <v>1</v>
      </c>
      <c r="AE1436" s="41">
        <f>IFERROR(LOOKUP(T1436,打分卡!$F$9:$I$9,打分卡!$K$9:$N$9),1)</f>
        <v>1</v>
      </c>
      <c r="AF1436" s="41">
        <f>IFERROR(LOOKUP(Q1436,打分卡!$F$10:$J$10,打分卡!$K$10:$O$10),1)</f>
        <v>1</v>
      </c>
      <c r="AG1436" s="41">
        <f>IFERROR(LOOKUP(R1436,打分卡!$F$11:$J$11,打分卡!$K$11:$O$11),1)</f>
        <v>1</v>
      </c>
      <c r="AH1436" s="41">
        <f>IFERROR(LOOKUP(U1436,打分卡!$F$12:$J$12,打分卡!$K$12:$O$12),1)</f>
        <v>1</v>
      </c>
      <c r="AI1436" s="41">
        <f>IFERROR(LOOKUP(X1436,打分卡!$F$13:$J$13,打分卡!$K$13:$O$13),1)</f>
        <v>1</v>
      </c>
      <c r="AJ1436" s="41">
        <f>IFERROR(LOOKUP(Y1436,打分卡!$F$14:$J$14,打分卡!$K$14:$O$14),1)</f>
        <v>2</v>
      </c>
      <c r="AK1436" s="41">
        <f>IFERROR(LOOKUP(W1436,打分卡!$F$15:$J$15,打分卡!$K$15:$O$15),1)</f>
        <v>2</v>
      </c>
      <c r="AL1436" s="43">
        <f t="shared" si="177"/>
        <v>1</v>
      </c>
      <c r="AM1436" s="41">
        <f>IFERROR(LOOKUP(Z1436,打分卡!$F$17:$H$17,打分卡!$K$17:$M$17),1)</f>
        <v>1</v>
      </c>
      <c r="AN1436" s="44">
        <f>(打分卡!$D$7*AC1436+打分卡!$D$8*AD1436+打分卡!$D$9*AE1436)/5</f>
        <v>8</v>
      </c>
      <c r="AO1436" s="44">
        <f>(打分卡!$D$10*AF1436+打分卡!$D$11*AG1436)/5</f>
        <v>4</v>
      </c>
      <c r="AP1436" s="44">
        <f>(打分卡!$D$12*AH1436+打分卡!$D$13*AI1436+打分卡!$D$14*AJ1436+打分卡!$D$15*AK1436)/5</f>
        <v>8</v>
      </c>
      <c r="AQ1436" s="44">
        <f>(打分卡!$D$16*AL1436+打分卡!$D$17*AM1436)/5</f>
        <v>2</v>
      </c>
      <c r="AR1436" s="47">
        <f t="shared" si="178"/>
        <v>22</v>
      </c>
      <c r="AS1436" s="43" t="str">
        <f t="shared" si="179"/>
        <v>未激活</v>
      </c>
      <c r="AT1436" s="43" t="str">
        <f t="shared" si="180"/>
        <v>连续下降-预警</v>
      </c>
      <c r="AU1436" s="43" t="str">
        <f t="shared" si="181"/>
        <v>唤醒：短信模板+首充补贴</v>
      </c>
    </row>
    <row r="1437" ht="15" customHeight="1" spans="1:47">
      <c r="A1437" s="20" t="s">
        <v>3700</v>
      </c>
      <c r="B1437" s="22" t="s">
        <v>3701</v>
      </c>
      <c r="C1437" s="22" t="s">
        <v>179</v>
      </c>
      <c r="D1437" s="22" t="s">
        <v>252</v>
      </c>
      <c r="E1437" s="22" t="s">
        <v>197</v>
      </c>
      <c r="F1437" s="20" t="s">
        <v>737</v>
      </c>
      <c r="G1437" s="22">
        <v>14</v>
      </c>
      <c r="H1437" s="22" t="s">
        <v>3535</v>
      </c>
      <c r="I1437" s="22" t="s">
        <v>302</v>
      </c>
      <c r="J1437" s="36">
        <v>0</v>
      </c>
      <c r="K1437" s="36">
        <v>0</v>
      </c>
      <c r="L1437" s="36">
        <v>0</v>
      </c>
      <c r="M1437" s="36">
        <f t="shared" si="176"/>
        <v>0</v>
      </c>
      <c r="N1437" s="34">
        <f t="shared" si="182"/>
        <v>0</v>
      </c>
      <c r="O1437" s="35">
        <f>SUM($M$2:M1437)</f>
        <v>190743600</v>
      </c>
      <c r="P1437" s="34">
        <f t="shared" si="183"/>
        <v>1</v>
      </c>
      <c r="Q1437" s="39">
        <v>0</v>
      </c>
      <c r="R1437" s="22">
        <v>0</v>
      </c>
      <c r="S1437" s="22">
        <v>0</v>
      </c>
      <c r="T1437" s="22">
        <v>0</v>
      </c>
      <c r="U1437" s="39">
        <v>0.6</v>
      </c>
      <c r="V1437" s="22">
        <v>10</v>
      </c>
      <c r="W1437" s="22">
        <v>1</v>
      </c>
      <c r="X1437" s="40">
        <v>18</v>
      </c>
      <c r="Y1437" s="22">
        <v>0</v>
      </c>
      <c r="Z1437" s="22">
        <v>0</v>
      </c>
      <c r="AA1437" s="22" t="s">
        <v>212</v>
      </c>
      <c r="AB1437" s="22" t="s">
        <v>220</v>
      </c>
      <c r="AC1437" s="42">
        <f>IFERROR(LOOKUP(M1437,打分卡!$F$7:$J$7,打分卡!$K$7:$O$7),1)</f>
        <v>1</v>
      </c>
      <c r="AD1437" s="42">
        <f>IFERROR(LOOKUP(S1437,打分卡!$F$8:$J$8,打分卡!$K$8:$O$8),1)</f>
        <v>1</v>
      </c>
      <c r="AE1437" s="42">
        <f>IFERROR(LOOKUP(T1437,打分卡!$F$9:$I$9,打分卡!$K$9:$N$9),1)</f>
        <v>1</v>
      </c>
      <c r="AF1437" s="42">
        <f>IFERROR(LOOKUP(Q1437,打分卡!$F$10:$J$10,打分卡!$K$10:$O$10),1)</f>
        <v>1</v>
      </c>
      <c r="AG1437" s="42">
        <f>IFERROR(LOOKUP(R1437,打分卡!$F$11:$J$11,打分卡!$K$11:$O$11),1)</f>
        <v>1</v>
      </c>
      <c r="AH1437" s="42">
        <f>IFERROR(LOOKUP(U1437,打分卡!$F$12:$J$12,打分卡!$K$12:$O$12),1)</f>
        <v>1</v>
      </c>
      <c r="AI1437" s="42">
        <f>IFERROR(LOOKUP(X1437,打分卡!$F$13:$J$13,打分卡!$K$13:$O$13),1)</f>
        <v>2</v>
      </c>
      <c r="AJ1437" s="42">
        <f>IFERROR(LOOKUP(Y1437,打分卡!$F$14:$J$14,打分卡!$K$14:$O$14),1)</f>
        <v>1</v>
      </c>
      <c r="AK1437" s="42">
        <f>IFERROR(LOOKUP(W1437,打分卡!$F$15:$J$15,打分卡!$K$15:$O$15),1)</f>
        <v>2</v>
      </c>
      <c r="AL1437" s="45">
        <f t="shared" si="177"/>
        <v>1</v>
      </c>
      <c r="AM1437" s="42">
        <f>IFERROR(LOOKUP(Z1437,打分卡!$F$17:$H$17,打分卡!$K$17:$M$17),1)</f>
        <v>1</v>
      </c>
      <c r="AN1437" s="46">
        <f>(打分卡!$D$7*AC1437+打分卡!$D$8*AD1437+打分卡!$D$9*AE1437)/5</f>
        <v>8</v>
      </c>
      <c r="AO1437" s="46">
        <f>(打分卡!$D$10*AF1437+打分卡!$D$11*AG1437)/5</f>
        <v>4</v>
      </c>
      <c r="AP1437" s="46">
        <f>(打分卡!$D$12*AH1437+打分卡!$D$13*AI1437+打分卡!$D$14*AJ1437+打分卡!$D$15*AK1437)/5</f>
        <v>8.4</v>
      </c>
      <c r="AQ1437" s="46">
        <f>(打分卡!$D$16*AL1437+打分卡!$D$17*AM1437)/5</f>
        <v>2</v>
      </c>
      <c r="AR1437" s="48">
        <f t="shared" si="178"/>
        <v>22.4</v>
      </c>
      <c r="AS1437" s="45" t="str">
        <f t="shared" si="179"/>
        <v>未激活</v>
      </c>
      <c r="AT1437" s="45" t="str">
        <f t="shared" si="180"/>
        <v>连续下降-预警</v>
      </c>
      <c r="AU1437" s="45" t="str">
        <f t="shared" si="181"/>
        <v>唤醒：短信模板+首充补贴</v>
      </c>
    </row>
    <row r="1438" ht="15" customHeight="1" spans="1:47">
      <c r="A1438" s="30" t="s">
        <v>3702</v>
      </c>
      <c r="B1438" s="31" t="s">
        <v>3703</v>
      </c>
      <c r="C1438" s="31" t="s">
        <v>189</v>
      </c>
      <c r="D1438" s="31" t="s">
        <v>235</v>
      </c>
      <c r="E1438" s="31" t="s">
        <v>181</v>
      </c>
      <c r="F1438" s="30" t="s">
        <v>3704</v>
      </c>
      <c r="G1438" s="31">
        <v>31</v>
      </c>
      <c r="H1438" s="31" t="s">
        <v>3535</v>
      </c>
      <c r="I1438" s="31" t="s">
        <v>302</v>
      </c>
      <c r="J1438" s="33">
        <v>0</v>
      </c>
      <c r="K1438" s="33">
        <v>0</v>
      </c>
      <c r="L1438" s="33">
        <v>0</v>
      </c>
      <c r="M1438" s="33">
        <f t="shared" si="176"/>
        <v>0</v>
      </c>
      <c r="N1438" s="34">
        <f t="shared" si="182"/>
        <v>0</v>
      </c>
      <c r="O1438" s="35">
        <f>SUM($M$2:M1438)</f>
        <v>190743600</v>
      </c>
      <c r="P1438" s="34">
        <f t="shared" si="183"/>
        <v>1</v>
      </c>
      <c r="Q1438" s="37">
        <v>0</v>
      </c>
      <c r="R1438" s="31">
        <v>0</v>
      </c>
      <c r="S1438" s="31">
        <v>0</v>
      </c>
      <c r="T1438" s="31">
        <v>0</v>
      </c>
      <c r="U1438" s="37">
        <v>28.6</v>
      </c>
      <c r="V1438" s="31">
        <v>8</v>
      </c>
      <c r="W1438" s="31">
        <v>0</v>
      </c>
      <c r="X1438" s="38">
        <v>10</v>
      </c>
      <c r="Y1438" s="31">
        <v>0</v>
      </c>
      <c r="Z1438" s="31">
        <v>0</v>
      </c>
      <c r="AA1438" s="31" t="s">
        <v>212</v>
      </c>
      <c r="AB1438" s="31" t="s">
        <v>220</v>
      </c>
      <c r="AC1438" s="41">
        <f>IFERROR(LOOKUP(M1438,打分卡!$F$7:$J$7,打分卡!$K$7:$O$7),1)</f>
        <v>1</v>
      </c>
      <c r="AD1438" s="41">
        <f>IFERROR(LOOKUP(S1438,打分卡!$F$8:$J$8,打分卡!$K$8:$O$8),1)</f>
        <v>1</v>
      </c>
      <c r="AE1438" s="41">
        <f>IFERROR(LOOKUP(T1438,打分卡!$F$9:$I$9,打分卡!$K$9:$N$9),1)</f>
        <v>1</v>
      </c>
      <c r="AF1438" s="41">
        <f>IFERROR(LOOKUP(Q1438,打分卡!$F$10:$J$10,打分卡!$K$10:$O$10),1)</f>
        <v>1</v>
      </c>
      <c r="AG1438" s="41">
        <f>IFERROR(LOOKUP(R1438,打分卡!$F$11:$J$11,打分卡!$K$11:$O$11),1)</f>
        <v>1</v>
      </c>
      <c r="AH1438" s="41">
        <f>IFERROR(LOOKUP(U1438,打分卡!$F$12:$J$12,打分卡!$K$12:$O$12),1)</f>
        <v>3</v>
      </c>
      <c r="AI1438" s="41">
        <f>IFERROR(LOOKUP(X1438,打分卡!$F$13:$J$13,打分卡!$K$13:$O$13),1)</f>
        <v>1</v>
      </c>
      <c r="AJ1438" s="41">
        <f>IFERROR(LOOKUP(Y1438,打分卡!$F$14:$J$14,打分卡!$K$14:$O$14),1)</f>
        <v>1</v>
      </c>
      <c r="AK1438" s="41">
        <f>IFERROR(LOOKUP(W1438,打分卡!$F$15:$J$15,打分卡!$K$15:$O$15),1)</f>
        <v>1</v>
      </c>
      <c r="AL1438" s="43">
        <f t="shared" si="177"/>
        <v>1</v>
      </c>
      <c r="AM1438" s="41">
        <f>IFERROR(LOOKUP(Z1438,打分卡!$F$17:$H$17,打分卡!$K$17:$M$17),1)</f>
        <v>1</v>
      </c>
      <c r="AN1438" s="44">
        <f>(打分卡!$D$7*AC1438+打分卡!$D$8*AD1438+打分卡!$D$9*AE1438)/5</f>
        <v>8</v>
      </c>
      <c r="AO1438" s="44">
        <f>(打分卡!$D$10*AF1438+打分卡!$D$11*AG1438)/5</f>
        <v>4</v>
      </c>
      <c r="AP1438" s="44">
        <f>(打分卡!$D$12*AH1438+打分卡!$D$13*AI1438+打分卡!$D$14*AJ1438+打分卡!$D$15*AK1438)/5</f>
        <v>10.8</v>
      </c>
      <c r="AQ1438" s="44">
        <f>(打分卡!$D$16*AL1438+打分卡!$D$17*AM1438)/5</f>
        <v>2</v>
      </c>
      <c r="AR1438" s="47">
        <f t="shared" si="178"/>
        <v>24.8</v>
      </c>
      <c r="AS1438" s="43" t="str">
        <f t="shared" si="179"/>
        <v>未激活</v>
      </c>
      <c r="AT1438" s="43" t="str">
        <f t="shared" si="180"/>
        <v>连续下降-预警</v>
      </c>
      <c r="AU1438" s="43" t="str">
        <f t="shared" si="181"/>
        <v>唤醒：短信模板+首充补贴</v>
      </c>
    </row>
    <row r="1439" ht="15" customHeight="1" spans="1:47">
      <c r="A1439" s="20" t="s">
        <v>3705</v>
      </c>
      <c r="B1439" s="22" t="s">
        <v>3706</v>
      </c>
      <c r="C1439" s="22" t="s">
        <v>218</v>
      </c>
      <c r="D1439" s="22" t="s">
        <v>196</v>
      </c>
      <c r="E1439" s="22" t="s">
        <v>181</v>
      </c>
      <c r="F1439" s="20" t="s">
        <v>817</v>
      </c>
      <c r="G1439" s="22">
        <v>14</v>
      </c>
      <c r="H1439" s="22" t="s">
        <v>3535</v>
      </c>
      <c r="I1439" s="22" t="s">
        <v>302</v>
      </c>
      <c r="J1439" s="36">
        <v>0</v>
      </c>
      <c r="K1439" s="36">
        <v>0</v>
      </c>
      <c r="L1439" s="36">
        <v>0</v>
      </c>
      <c r="M1439" s="36">
        <f t="shared" si="176"/>
        <v>0</v>
      </c>
      <c r="N1439" s="34">
        <f t="shared" si="182"/>
        <v>0</v>
      </c>
      <c r="O1439" s="35">
        <f>SUM($M$2:M1439)</f>
        <v>190743600</v>
      </c>
      <c r="P1439" s="34">
        <f t="shared" si="183"/>
        <v>1</v>
      </c>
      <c r="Q1439" s="39">
        <v>0</v>
      </c>
      <c r="R1439" s="22">
        <v>0</v>
      </c>
      <c r="S1439" s="22">
        <v>0</v>
      </c>
      <c r="T1439" s="22">
        <v>0</v>
      </c>
      <c r="U1439" s="39">
        <v>1.4</v>
      </c>
      <c r="V1439" s="22">
        <v>1</v>
      </c>
      <c r="W1439" s="22">
        <v>0</v>
      </c>
      <c r="X1439" s="40">
        <v>49</v>
      </c>
      <c r="Y1439" s="22">
        <v>0</v>
      </c>
      <c r="Z1439" s="22">
        <v>0</v>
      </c>
      <c r="AA1439" s="22" t="s">
        <v>212</v>
      </c>
      <c r="AB1439" s="22" t="s">
        <v>220</v>
      </c>
      <c r="AC1439" s="42">
        <f>IFERROR(LOOKUP(M1439,打分卡!$F$7:$J$7,打分卡!$K$7:$O$7),1)</f>
        <v>1</v>
      </c>
      <c r="AD1439" s="42">
        <f>IFERROR(LOOKUP(S1439,打分卡!$F$8:$J$8,打分卡!$K$8:$O$8),1)</f>
        <v>1</v>
      </c>
      <c r="AE1439" s="42">
        <f>IFERROR(LOOKUP(T1439,打分卡!$F$9:$I$9,打分卡!$K$9:$N$9),1)</f>
        <v>1</v>
      </c>
      <c r="AF1439" s="42">
        <f>IFERROR(LOOKUP(Q1439,打分卡!$F$10:$J$10,打分卡!$K$10:$O$10),1)</f>
        <v>1</v>
      </c>
      <c r="AG1439" s="42">
        <f>IFERROR(LOOKUP(R1439,打分卡!$F$11:$J$11,打分卡!$K$11:$O$11),1)</f>
        <v>1</v>
      </c>
      <c r="AH1439" s="42">
        <f>IFERROR(LOOKUP(U1439,打分卡!$F$12:$J$12,打分卡!$K$12:$O$12),1)</f>
        <v>1</v>
      </c>
      <c r="AI1439" s="42">
        <f>IFERROR(LOOKUP(X1439,打分卡!$F$13:$J$13,打分卡!$K$13:$O$13),1)</f>
        <v>3</v>
      </c>
      <c r="AJ1439" s="42">
        <f>IFERROR(LOOKUP(Y1439,打分卡!$F$14:$J$14,打分卡!$K$14:$O$14),1)</f>
        <v>1</v>
      </c>
      <c r="AK1439" s="42">
        <f>IFERROR(LOOKUP(W1439,打分卡!$F$15:$J$15,打分卡!$K$15:$O$15),1)</f>
        <v>1</v>
      </c>
      <c r="AL1439" s="45">
        <f t="shared" si="177"/>
        <v>1</v>
      </c>
      <c r="AM1439" s="42">
        <f>IFERROR(LOOKUP(Z1439,打分卡!$F$17:$H$17,打分卡!$K$17:$M$17),1)</f>
        <v>1</v>
      </c>
      <c r="AN1439" s="46">
        <f>(打分卡!$D$7*AC1439+打分卡!$D$8*AD1439+打分卡!$D$9*AE1439)/5</f>
        <v>8</v>
      </c>
      <c r="AO1439" s="46">
        <f>(打分卡!$D$10*AF1439+打分卡!$D$11*AG1439)/5</f>
        <v>4</v>
      </c>
      <c r="AP1439" s="46">
        <f>(打分卡!$D$12*AH1439+打分卡!$D$13*AI1439+打分卡!$D$14*AJ1439+打分卡!$D$15*AK1439)/5</f>
        <v>9.2</v>
      </c>
      <c r="AQ1439" s="46">
        <f>(打分卡!$D$16*AL1439+打分卡!$D$17*AM1439)/5</f>
        <v>2</v>
      </c>
      <c r="AR1439" s="48">
        <f t="shared" si="178"/>
        <v>23.2</v>
      </c>
      <c r="AS1439" s="45" t="str">
        <f t="shared" si="179"/>
        <v>未激活</v>
      </c>
      <c r="AT1439" s="45" t="str">
        <f t="shared" si="180"/>
        <v>连续下降-预警</v>
      </c>
      <c r="AU1439" s="45" t="str">
        <f t="shared" si="181"/>
        <v>唤醒：短信模板+首充补贴</v>
      </c>
    </row>
    <row r="1440" ht="15" customHeight="1" spans="1:47">
      <c r="A1440" s="30" t="s">
        <v>3707</v>
      </c>
      <c r="B1440" s="31" t="s">
        <v>3708</v>
      </c>
      <c r="C1440" s="31" t="s">
        <v>239</v>
      </c>
      <c r="D1440" s="31" t="s">
        <v>190</v>
      </c>
      <c r="E1440" s="31" t="s">
        <v>197</v>
      </c>
      <c r="F1440" s="30" t="s">
        <v>3709</v>
      </c>
      <c r="G1440" s="31">
        <v>31</v>
      </c>
      <c r="H1440" s="31" t="s">
        <v>3535</v>
      </c>
      <c r="I1440" s="31" t="s">
        <v>302</v>
      </c>
      <c r="J1440" s="33">
        <v>0</v>
      </c>
      <c r="K1440" s="33">
        <v>0</v>
      </c>
      <c r="L1440" s="33">
        <v>0</v>
      </c>
      <c r="M1440" s="33">
        <f t="shared" si="176"/>
        <v>0</v>
      </c>
      <c r="N1440" s="34">
        <f t="shared" si="182"/>
        <v>0</v>
      </c>
      <c r="O1440" s="35">
        <f>SUM($M$2:M1440)</f>
        <v>190743600</v>
      </c>
      <c r="P1440" s="34">
        <f t="shared" si="183"/>
        <v>1</v>
      </c>
      <c r="Q1440" s="37">
        <v>0</v>
      </c>
      <c r="R1440" s="31">
        <v>0</v>
      </c>
      <c r="S1440" s="31">
        <v>0</v>
      </c>
      <c r="T1440" s="31">
        <v>0</v>
      </c>
      <c r="U1440" s="37">
        <v>15.2</v>
      </c>
      <c r="V1440" s="31">
        <v>5</v>
      </c>
      <c r="W1440" s="31">
        <v>1</v>
      </c>
      <c r="X1440" s="38">
        <v>47</v>
      </c>
      <c r="Y1440" s="31">
        <v>0</v>
      </c>
      <c r="Z1440" s="31">
        <v>0</v>
      </c>
      <c r="AA1440" s="31" t="s">
        <v>212</v>
      </c>
      <c r="AB1440" s="31" t="s">
        <v>220</v>
      </c>
      <c r="AC1440" s="41">
        <f>IFERROR(LOOKUP(M1440,打分卡!$F$7:$J$7,打分卡!$K$7:$O$7),1)</f>
        <v>1</v>
      </c>
      <c r="AD1440" s="41">
        <f>IFERROR(LOOKUP(S1440,打分卡!$F$8:$J$8,打分卡!$K$8:$O$8),1)</f>
        <v>1</v>
      </c>
      <c r="AE1440" s="41">
        <f>IFERROR(LOOKUP(T1440,打分卡!$F$9:$I$9,打分卡!$K$9:$N$9),1)</f>
        <v>1</v>
      </c>
      <c r="AF1440" s="41">
        <f>IFERROR(LOOKUP(Q1440,打分卡!$F$10:$J$10,打分卡!$K$10:$O$10),1)</f>
        <v>1</v>
      </c>
      <c r="AG1440" s="41">
        <f>IFERROR(LOOKUP(R1440,打分卡!$F$11:$J$11,打分卡!$K$11:$O$11),1)</f>
        <v>1</v>
      </c>
      <c r="AH1440" s="41">
        <f>IFERROR(LOOKUP(U1440,打分卡!$F$12:$J$12,打分卡!$K$12:$O$12),1)</f>
        <v>3</v>
      </c>
      <c r="AI1440" s="41">
        <f>IFERROR(LOOKUP(X1440,打分卡!$F$13:$J$13,打分卡!$K$13:$O$13),1)</f>
        <v>3</v>
      </c>
      <c r="AJ1440" s="41">
        <f>IFERROR(LOOKUP(Y1440,打分卡!$F$14:$J$14,打分卡!$K$14:$O$14),1)</f>
        <v>1</v>
      </c>
      <c r="AK1440" s="41">
        <f>IFERROR(LOOKUP(W1440,打分卡!$F$15:$J$15,打分卡!$K$15:$O$15),1)</f>
        <v>2</v>
      </c>
      <c r="AL1440" s="43">
        <f t="shared" si="177"/>
        <v>1</v>
      </c>
      <c r="AM1440" s="41">
        <f>IFERROR(LOOKUP(Z1440,打分卡!$F$17:$H$17,打分卡!$K$17:$M$17),1)</f>
        <v>1</v>
      </c>
      <c r="AN1440" s="44">
        <f>(打分卡!$D$7*AC1440+打分卡!$D$8*AD1440+打分卡!$D$9*AE1440)/5</f>
        <v>8</v>
      </c>
      <c r="AO1440" s="44">
        <f>(打分卡!$D$10*AF1440+打分卡!$D$11*AG1440)/5</f>
        <v>4</v>
      </c>
      <c r="AP1440" s="44">
        <f>(打分卡!$D$12*AH1440+打分卡!$D$13*AI1440+打分卡!$D$14*AJ1440+打分卡!$D$15*AK1440)/5</f>
        <v>14.8</v>
      </c>
      <c r="AQ1440" s="44">
        <f>(打分卡!$D$16*AL1440+打分卡!$D$17*AM1440)/5</f>
        <v>2</v>
      </c>
      <c r="AR1440" s="47">
        <f t="shared" si="178"/>
        <v>28.8</v>
      </c>
      <c r="AS1440" s="43" t="str">
        <f t="shared" si="179"/>
        <v>未激活</v>
      </c>
      <c r="AT1440" s="43" t="str">
        <f t="shared" si="180"/>
        <v>连续下降-预警</v>
      </c>
      <c r="AU1440" s="43" t="str">
        <f t="shared" si="181"/>
        <v>唤醒：短信模板+首充补贴</v>
      </c>
    </row>
    <row r="1441" ht="15" customHeight="1" spans="1:47">
      <c r="A1441" s="20" t="s">
        <v>3710</v>
      </c>
      <c r="B1441" s="22" t="s">
        <v>3711</v>
      </c>
      <c r="C1441" s="22" t="s">
        <v>179</v>
      </c>
      <c r="D1441" s="22" t="s">
        <v>196</v>
      </c>
      <c r="E1441" s="22" t="s">
        <v>181</v>
      </c>
      <c r="F1441" s="20" t="s">
        <v>2400</v>
      </c>
      <c r="G1441" s="22">
        <v>15</v>
      </c>
      <c r="H1441" s="22" t="s">
        <v>3535</v>
      </c>
      <c r="I1441" s="22" t="s">
        <v>302</v>
      </c>
      <c r="J1441" s="36">
        <v>0</v>
      </c>
      <c r="K1441" s="36">
        <v>0</v>
      </c>
      <c r="L1441" s="36">
        <v>0</v>
      </c>
      <c r="M1441" s="36">
        <f t="shared" si="176"/>
        <v>0</v>
      </c>
      <c r="N1441" s="34">
        <f t="shared" si="182"/>
        <v>0</v>
      </c>
      <c r="O1441" s="35">
        <f>SUM($M$2:M1441)</f>
        <v>190743600</v>
      </c>
      <c r="P1441" s="34">
        <f t="shared" si="183"/>
        <v>1</v>
      </c>
      <c r="Q1441" s="39">
        <v>0</v>
      </c>
      <c r="R1441" s="22">
        <v>0</v>
      </c>
      <c r="S1441" s="22">
        <v>0</v>
      </c>
      <c r="T1441" s="22">
        <v>0</v>
      </c>
      <c r="U1441" s="39">
        <v>28.9</v>
      </c>
      <c r="V1441" s="22">
        <v>11</v>
      </c>
      <c r="W1441" s="22">
        <v>0</v>
      </c>
      <c r="X1441" s="40">
        <v>74</v>
      </c>
      <c r="Y1441" s="22">
        <v>0</v>
      </c>
      <c r="Z1441" s="22">
        <v>0</v>
      </c>
      <c r="AA1441" s="22" t="s">
        <v>212</v>
      </c>
      <c r="AB1441" s="22" t="s">
        <v>220</v>
      </c>
      <c r="AC1441" s="42">
        <f>IFERROR(LOOKUP(M1441,打分卡!$F$7:$J$7,打分卡!$K$7:$O$7),1)</f>
        <v>1</v>
      </c>
      <c r="AD1441" s="42">
        <f>IFERROR(LOOKUP(S1441,打分卡!$F$8:$J$8,打分卡!$K$8:$O$8),1)</f>
        <v>1</v>
      </c>
      <c r="AE1441" s="42">
        <f>IFERROR(LOOKUP(T1441,打分卡!$F$9:$I$9,打分卡!$K$9:$N$9),1)</f>
        <v>1</v>
      </c>
      <c r="AF1441" s="42">
        <f>IFERROR(LOOKUP(Q1441,打分卡!$F$10:$J$10,打分卡!$K$10:$O$10),1)</f>
        <v>1</v>
      </c>
      <c r="AG1441" s="42">
        <f>IFERROR(LOOKUP(R1441,打分卡!$F$11:$J$11,打分卡!$K$11:$O$11),1)</f>
        <v>1</v>
      </c>
      <c r="AH1441" s="42">
        <f>IFERROR(LOOKUP(U1441,打分卡!$F$12:$J$12,打分卡!$K$12:$O$12),1)</f>
        <v>3</v>
      </c>
      <c r="AI1441" s="42">
        <f>IFERROR(LOOKUP(X1441,打分卡!$F$13:$J$13,打分卡!$K$13:$O$13),1)</f>
        <v>3</v>
      </c>
      <c r="AJ1441" s="42">
        <f>IFERROR(LOOKUP(Y1441,打分卡!$F$14:$J$14,打分卡!$K$14:$O$14),1)</f>
        <v>1</v>
      </c>
      <c r="AK1441" s="42">
        <f>IFERROR(LOOKUP(W1441,打分卡!$F$15:$J$15,打分卡!$K$15:$O$15),1)</f>
        <v>1</v>
      </c>
      <c r="AL1441" s="45">
        <f t="shared" si="177"/>
        <v>1</v>
      </c>
      <c r="AM1441" s="42">
        <f>IFERROR(LOOKUP(Z1441,打分卡!$F$17:$H$17,打分卡!$K$17:$M$17),1)</f>
        <v>1</v>
      </c>
      <c r="AN1441" s="46">
        <f>(打分卡!$D$7*AC1441+打分卡!$D$8*AD1441+打分卡!$D$9*AE1441)/5</f>
        <v>8</v>
      </c>
      <c r="AO1441" s="46">
        <f>(打分卡!$D$10*AF1441+打分卡!$D$11*AG1441)/5</f>
        <v>4</v>
      </c>
      <c r="AP1441" s="46">
        <f>(打分卡!$D$12*AH1441+打分卡!$D$13*AI1441+打分卡!$D$14*AJ1441+打分卡!$D$15*AK1441)/5</f>
        <v>14</v>
      </c>
      <c r="AQ1441" s="46">
        <f>(打分卡!$D$16*AL1441+打分卡!$D$17*AM1441)/5</f>
        <v>2</v>
      </c>
      <c r="AR1441" s="48">
        <f t="shared" si="178"/>
        <v>28</v>
      </c>
      <c r="AS1441" s="45" t="str">
        <f t="shared" si="179"/>
        <v>未激活</v>
      </c>
      <c r="AT1441" s="45" t="str">
        <f t="shared" si="180"/>
        <v>连续下降-预警</v>
      </c>
      <c r="AU1441" s="45" t="str">
        <f t="shared" si="181"/>
        <v>唤醒：短信模板+首充补贴</v>
      </c>
    </row>
    <row r="1442" ht="15" customHeight="1" spans="1:47">
      <c r="A1442" s="30" t="s">
        <v>3712</v>
      </c>
      <c r="B1442" s="31" t="s">
        <v>3713</v>
      </c>
      <c r="C1442" s="31" t="s">
        <v>189</v>
      </c>
      <c r="D1442" s="31" t="s">
        <v>252</v>
      </c>
      <c r="E1442" s="31" t="s">
        <v>181</v>
      </c>
      <c r="F1442" s="30" t="s">
        <v>3714</v>
      </c>
      <c r="G1442" s="31">
        <v>26</v>
      </c>
      <c r="H1442" s="31" t="s">
        <v>3535</v>
      </c>
      <c r="I1442" s="31" t="s">
        <v>302</v>
      </c>
      <c r="J1442" s="33">
        <v>0</v>
      </c>
      <c r="K1442" s="33">
        <v>0</v>
      </c>
      <c r="L1442" s="33">
        <v>0</v>
      </c>
      <c r="M1442" s="33">
        <f t="shared" si="176"/>
        <v>0</v>
      </c>
      <c r="N1442" s="34">
        <f t="shared" si="182"/>
        <v>0</v>
      </c>
      <c r="O1442" s="35">
        <f>SUM($M$2:M1442)</f>
        <v>190743600</v>
      </c>
      <c r="P1442" s="34">
        <f t="shared" si="183"/>
        <v>1</v>
      </c>
      <c r="Q1442" s="37">
        <v>0</v>
      </c>
      <c r="R1442" s="31">
        <v>0</v>
      </c>
      <c r="S1442" s="31">
        <v>0</v>
      </c>
      <c r="T1442" s="31">
        <v>0</v>
      </c>
      <c r="U1442" s="37">
        <v>10.9</v>
      </c>
      <c r="V1442" s="31">
        <v>15</v>
      </c>
      <c r="W1442" s="31">
        <v>1</v>
      </c>
      <c r="X1442" s="38">
        <v>21</v>
      </c>
      <c r="Y1442" s="31">
        <v>1</v>
      </c>
      <c r="Z1442" s="31">
        <v>0</v>
      </c>
      <c r="AA1442" s="31" t="s">
        <v>212</v>
      </c>
      <c r="AB1442" s="31" t="s">
        <v>220</v>
      </c>
      <c r="AC1442" s="41">
        <f>IFERROR(LOOKUP(M1442,打分卡!$F$7:$J$7,打分卡!$K$7:$O$7),1)</f>
        <v>1</v>
      </c>
      <c r="AD1442" s="41">
        <f>IFERROR(LOOKUP(S1442,打分卡!$F$8:$J$8,打分卡!$K$8:$O$8),1)</f>
        <v>1</v>
      </c>
      <c r="AE1442" s="41">
        <f>IFERROR(LOOKUP(T1442,打分卡!$F$9:$I$9,打分卡!$K$9:$N$9),1)</f>
        <v>1</v>
      </c>
      <c r="AF1442" s="41">
        <f>IFERROR(LOOKUP(Q1442,打分卡!$F$10:$J$10,打分卡!$K$10:$O$10),1)</f>
        <v>1</v>
      </c>
      <c r="AG1442" s="41">
        <f>IFERROR(LOOKUP(R1442,打分卡!$F$11:$J$11,打分卡!$K$11:$O$11),1)</f>
        <v>1</v>
      </c>
      <c r="AH1442" s="41">
        <f>IFERROR(LOOKUP(U1442,打分卡!$F$12:$J$12,打分卡!$K$12:$O$12),1)</f>
        <v>3</v>
      </c>
      <c r="AI1442" s="41">
        <f>IFERROR(LOOKUP(X1442,打分卡!$F$13:$J$13,打分卡!$K$13:$O$13),1)</f>
        <v>2</v>
      </c>
      <c r="AJ1442" s="41">
        <f>IFERROR(LOOKUP(Y1442,打分卡!$F$14:$J$14,打分卡!$K$14:$O$14),1)</f>
        <v>2</v>
      </c>
      <c r="AK1442" s="41">
        <f>IFERROR(LOOKUP(W1442,打分卡!$F$15:$J$15,打分卡!$K$15:$O$15),1)</f>
        <v>2</v>
      </c>
      <c r="AL1442" s="43">
        <f t="shared" si="177"/>
        <v>1</v>
      </c>
      <c r="AM1442" s="41">
        <f>IFERROR(LOOKUP(Z1442,打分卡!$F$17:$H$17,打分卡!$K$17:$M$17),1)</f>
        <v>1</v>
      </c>
      <c r="AN1442" s="44">
        <f>(打分卡!$D$7*AC1442+打分卡!$D$8*AD1442+打分卡!$D$9*AE1442)/5</f>
        <v>8</v>
      </c>
      <c r="AO1442" s="44">
        <f>(打分卡!$D$10*AF1442+打分卡!$D$11*AG1442)/5</f>
        <v>4</v>
      </c>
      <c r="AP1442" s="44">
        <f>(打分卡!$D$12*AH1442+打分卡!$D$13*AI1442+打分卡!$D$14*AJ1442+打分卡!$D$15*AK1442)/5</f>
        <v>14.4</v>
      </c>
      <c r="AQ1442" s="44">
        <f>(打分卡!$D$16*AL1442+打分卡!$D$17*AM1442)/5</f>
        <v>2</v>
      </c>
      <c r="AR1442" s="47">
        <f t="shared" si="178"/>
        <v>28.4</v>
      </c>
      <c r="AS1442" s="43" t="str">
        <f t="shared" si="179"/>
        <v>未激活</v>
      </c>
      <c r="AT1442" s="43" t="str">
        <f t="shared" si="180"/>
        <v>连续下降-预警</v>
      </c>
      <c r="AU1442" s="43" t="str">
        <f t="shared" si="181"/>
        <v>唤醒：短信模板+首充补贴</v>
      </c>
    </row>
    <row r="1443" ht="15" customHeight="1" spans="1:47">
      <c r="A1443" s="20" t="s">
        <v>3715</v>
      </c>
      <c r="B1443" s="22" t="s">
        <v>3716</v>
      </c>
      <c r="C1443" s="22" t="s">
        <v>179</v>
      </c>
      <c r="D1443" s="22" t="s">
        <v>202</v>
      </c>
      <c r="E1443" s="22" t="s">
        <v>197</v>
      </c>
      <c r="F1443" s="20" t="s">
        <v>2132</v>
      </c>
      <c r="G1443" s="22">
        <v>15</v>
      </c>
      <c r="H1443" s="22" t="s">
        <v>3535</v>
      </c>
      <c r="I1443" s="22" t="s">
        <v>302</v>
      </c>
      <c r="J1443" s="36">
        <v>0</v>
      </c>
      <c r="K1443" s="36">
        <v>0</v>
      </c>
      <c r="L1443" s="36">
        <v>0</v>
      </c>
      <c r="M1443" s="36">
        <f t="shared" si="176"/>
        <v>0</v>
      </c>
      <c r="N1443" s="34">
        <f t="shared" si="182"/>
        <v>0</v>
      </c>
      <c r="O1443" s="35">
        <f>SUM($M$2:M1443)</f>
        <v>190743600</v>
      </c>
      <c r="P1443" s="34">
        <f t="shared" si="183"/>
        <v>1</v>
      </c>
      <c r="Q1443" s="39">
        <v>0</v>
      </c>
      <c r="R1443" s="22">
        <v>0</v>
      </c>
      <c r="S1443" s="22">
        <v>0</v>
      </c>
      <c r="T1443" s="22">
        <v>0</v>
      </c>
      <c r="U1443" s="39">
        <v>6.5</v>
      </c>
      <c r="V1443" s="22">
        <v>10</v>
      </c>
      <c r="W1443" s="22">
        <v>1</v>
      </c>
      <c r="X1443" s="40">
        <v>8</v>
      </c>
      <c r="Y1443" s="22">
        <v>1</v>
      </c>
      <c r="Z1443" s="22">
        <v>0</v>
      </c>
      <c r="AA1443" s="22" t="s">
        <v>212</v>
      </c>
      <c r="AB1443" s="22" t="s">
        <v>220</v>
      </c>
      <c r="AC1443" s="42">
        <f>IFERROR(LOOKUP(M1443,打分卡!$F$7:$J$7,打分卡!$K$7:$O$7),1)</f>
        <v>1</v>
      </c>
      <c r="AD1443" s="42">
        <f>IFERROR(LOOKUP(S1443,打分卡!$F$8:$J$8,打分卡!$K$8:$O$8),1)</f>
        <v>1</v>
      </c>
      <c r="AE1443" s="42">
        <f>IFERROR(LOOKUP(T1443,打分卡!$F$9:$I$9,打分卡!$K$9:$N$9),1)</f>
        <v>1</v>
      </c>
      <c r="AF1443" s="42">
        <f>IFERROR(LOOKUP(Q1443,打分卡!$F$10:$J$10,打分卡!$K$10:$O$10),1)</f>
        <v>1</v>
      </c>
      <c r="AG1443" s="42">
        <f>IFERROR(LOOKUP(R1443,打分卡!$F$11:$J$11,打分卡!$K$11:$O$11),1)</f>
        <v>1</v>
      </c>
      <c r="AH1443" s="42">
        <f>IFERROR(LOOKUP(U1443,打分卡!$F$12:$J$12,打分卡!$K$12:$O$12),1)</f>
        <v>2</v>
      </c>
      <c r="AI1443" s="42">
        <f>IFERROR(LOOKUP(X1443,打分卡!$F$13:$J$13,打分卡!$K$13:$O$13),1)</f>
        <v>1</v>
      </c>
      <c r="AJ1443" s="42">
        <f>IFERROR(LOOKUP(Y1443,打分卡!$F$14:$J$14,打分卡!$K$14:$O$14),1)</f>
        <v>2</v>
      </c>
      <c r="AK1443" s="42">
        <f>IFERROR(LOOKUP(W1443,打分卡!$F$15:$J$15,打分卡!$K$15:$O$15),1)</f>
        <v>2</v>
      </c>
      <c r="AL1443" s="45">
        <f t="shared" si="177"/>
        <v>1</v>
      </c>
      <c r="AM1443" s="42">
        <f>IFERROR(LOOKUP(Z1443,打分卡!$F$17:$H$17,打分卡!$K$17:$M$17),1)</f>
        <v>1</v>
      </c>
      <c r="AN1443" s="46">
        <f>(打分卡!$D$7*AC1443+打分卡!$D$8*AD1443+打分卡!$D$9*AE1443)/5</f>
        <v>8</v>
      </c>
      <c r="AO1443" s="46">
        <f>(打分卡!$D$10*AF1443+打分卡!$D$11*AG1443)/5</f>
        <v>4</v>
      </c>
      <c r="AP1443" s="46">
        <f>(打分卡!$D$12*AH1443+打分卡!$D$13*AI1443+打分卡!$D$14*AJ1443+打分卡!$D$15*AK1443)/5</f>
        <v>10.4</v>
      </c>
      <c r="AQ1443" s="46">
        <f>(打分卡!$D$16*AL1443+打分卡!$D$17*AM1443)/5</f>
        <v>2</v>
      </c>
      <c r="AR1443" s="48">
        <f t="shared" si="178"/>
        <v>24.4</v>
      </c>
      <c r="AS1443" s="45" t="str">
        <f t="shared" si="179"/>
        <v>未激活</v>
      </c>
      <c r="AT1443" s="45" t="str">
        <f t="shared" si="180"/>
        <v>连续下降-预警</v>
      </c>
      <c r="AU1443" s="45" t="str">
        <f t="shared" si="181"/>
        <v>唤醒：短信模板+首充补贴</v>
      </c>
    </row>
    <row r="1444" ht="15" customHeight="1" spans="1:47">
      <c r="A1444" s="30" t="s">
        <v>3717</v>
      </c>
      <c r="B1444" s="31" t="s">
        <v>3718</v>
      </c>
      <c r="C1444" s="31" t="s">
        <v>179</v>
      </c>
      <c r="D1444" s="31" t="s">
        <v>227</v>
      </c>
      <c r="E1444" s="31" t="s">
        <v>181</v>
      </c>
      <c r="F1444" s="30" t="s">
        <v>944</v>
      </c>
      <c r="G1444" s="31">
        <v>12</v>
      </c>
      <c r="H1444" s="31" t="s">
        <v>3535</v>
      </c>
      <c r="I1444" s="31" t="s">
        <v>302</v>
      </c>
      <c r="J1444" s="33">
        <v>0</v>
      </c>
      <c r="K1444" s="33">
        <v>0</v>
      </c>
      <c r="L1444" s="33">
        <v>0</v>
      </c>
      <c r="M1444" s="33">
        <f t="shared" si="176"/>
        <v>0</v>
      </c>
      <c r="N1444" s="34">
        <f t="shared" si="182"/>
        <v>0</v>
      </c>
      <c r="O1444" s="35">
        <f>SUM($M$2:M1444)</f>
        <v>190743600</v>
      </c>
      <c r="P1444" s="34">
        <f t="shared" si="183"/>
        <v>1</v>
      </c>
      <c r="Q1444" s="37">
        <v>0</v>
      </c>
      <c r="R1444" s="31">
        <v>0</v>
      </c>
      <c r="S1444" s="31">
        <v>0</v>
      </c>
      <c r="T1444" s="31">
        <v>0</v>
      </c>
      <c r="U1444" s="37">
        <v>17.6</v>
      </c>
      <c r="V1444" s="31">
        <v>14</v>
      </c>
      <c r="W1444" s="31">
        <v>2</v>
      </c>
      <c r="X1444" s="38">
        <v>70</v>
      </c>
      <c r="Y1444" s="31">
        <v>1</v>
      </c>
      <c r="Z1444" s="31">
        <v>0</v>
      </c>
      <c r="AA1444" s="31" t="s">
        <v>212</v>
      </c>
      <c r="AB1444" s="31" t="s">
        <v>220</v>
      </c>
      <c r="AC1444" s="41">
        <f>IFERROR(LOOKUP(M1444,打分卡!$F$7:$J$7,打分卡!$K$7:$O$7),1)</f>
        <v>1</v>
      </c>
      <c r="AD1444" s="41">
        <f>IFERROR(LOOKUP(S1444,打分卡!$F$8:$J$8,打分卡!$K$8:$O$8),1)</f>
        <v>1</v>
      </c>
      <c r="AE1444" s="41">
        <f>IFERROR(LOOKUP(T1444,打分卡!$F$9:$I$9,打分卡!$K$9:$N$9),1)</f>
        <v>1</v>
      </c>
      <c r="AF1444" s="41">
        <f>IFERROR(LOOKUP(Q1444,打分卡!$F$10:$J$10,打分卡!$K$10:$O$10),1)</f>
        <v>1</v>
      </c>
      <c r="AG1444" s="41">
        <f>IFERROR(LOOKUP(R1444,打分卡!$F$11:$J$11,打分卡!$K$11:$O$11),1)</f>
        <v>1</v>
      </c>
      <c r="AH1444" s="41">
        <f>IFERROR(LOOKUP(U1444,打分卡!$F$12:$J$12,打分卡!$K$12:$O$12),1)</f>
        <v>3</v>
      </c>
      <c r="AI1444" s="41">
        <f>IFERROR(LOOKUP(X1444,打分卡!$F$13:$J$13,打分卡!$K$13:$O$13),1)</f>
        <v>3</v>
      </c>
      <c r="AJ1444" s="41">
        <f>IFERROR(LOOKUP(Y1444,打分卡!$F$14:$J$14,打分卡!$K$14:$O$14),1)</f>
        <v>2</v>
      </c>
      <c r="AK1444" s="41">
        <f>IFERROR(LOOKUP(W1444,打分卡!$F$15:$J$15,打分卡!$K$15:$O$15),1)</f>
        <v>2</v>
      </c>
      <c r="AL1444" s="43">
        <f t="shared" si="177"/>
        <v>1</v>
      </c>
      <c r="AM1444" s="41">
        <f>IFERROR(LOOKUP(Z1444,打分卡!$F$17:$H$17,打分卡!$K$17:$M$17),1)</f>
        <v>1</v>
      </c>
      <c r="AN1444" s="44">
        <f>(打分卡!$D$7*AC1444+打分卡!$D$8*AD1444+打分卡!$D$9*AE1444)/5</f>
        <v>8</v>
      </c>
      <c r="AO1444" s="44">
        <f>(打分卡!$D$10*AF1444+打分卡!$D$11*AG1444)/5</f>
        <v>4</v>
      </c>
      <c r="AP1444" s="44">
        <f>(打分卡!$D$12*AH1444+打分卡!$D$13*AI1444+打分卡!$D$14*AJ1444+打分卡!$D$15*AK1444)/5</f>
        <v>16</v>
      </c>
      <c r="AQ1444" s="44">
        <f>(打分卡!$D$16*AL1444+打分卡!$D$17*AM1444)/5</f>
        <v>2</v>
      </c>
      <c r="AR1444" s="47">
        <f t="shared" si="178"/>
        <v>30</v>
      </c>
      <c r="AS1444" s="43" t="str">
        <f t="shared" si="179"/>
        <v>未激活</v>
      </c>
      <c r="AT1444" s="43" t="str">
        <f t="shared" si="180"/>
        <v>连续下降-预警</v>
      </c>
      <c r="AU1444" s="43" t="str">
        <f t="shared" si="181"/>
        <v>唤醒：短信模板+首充补贴</v>
      </c>
    </row>
    <row r="1445" ht="15" customHeight="1" spans="1:47">
      <c r="A1445" s="20" t="s">
        <v>3719</v>
      </c>
      <c r="B1445" s="22" t="s">
        <v>3720</v>
      </c>
      <c r="C1445" s="22" t="s">
        <v>189</v>
      </c>
      <c r="D1445" s="22" t="s">
        <v>227</v>
      </c>
      <c r="E1445" s="22" t="s">
        <v>197</v>
      </c>
      <c r="F1445" s="20" t="s">
        <v>3721</v>
      </c>
      <c r="G1445" s="22">
        <v>30</v>
      </c>
      <c r="H1445" s="22" t="s">
        <v>3535</v>
      </c>
      <c r="I1445" s="22" t="s">
        <v>302</v>
      </c>
      <c r="J1445" s="36">
        <v>0</v>
      </c>
      <c r="K1445" s="36">
        <v>0</v>
      </c>
      <c r="L1445" s="36">
        <v>0</v>
      </c>
      <c r="M1445" s="36">
        <f t="shared" si="176"/>
        <v>0</v>
      </c>
      <c r="N1445" s="34">
        <f t="shared" si="182"/>
        <v>0</v>
      </c>
      <c r="O1445" s="35">
        <f>SUM($M$2:M1445)</f>
        <v>190743600</v>
      </c>
      <c r="P1445" s="34">
        <f t="shared" si="183"/>
        <v>1</v>
      </c>
      <c r="Q1445" s="39">
        <v>0</v>
      </c>
      <c r="R1445" s="22">
        <v>0</v>
      </c>
      <c r="S1445" s="22">
        <v>0</v>
      </c>
      <c r="T1445" s="22">
        <v>0</v>
      </c>
      <c r="U1445" s="39">
        <v>47.9</v>
      </c>
      <c r="V1445" s="22">
        <v>11</v>
      </c>
      <c r="W1445" s="22">
        <v>0</v>
      </c>
      <c r="X1445" s="40">
        <v>13</v>
      </c>
      <c r="Y1445" s="22">
        <v>1</v>
      </c>
      <c r="Z1445" s="22">
        <v>0</v>
      </c>
      <c r="AA1445" s="22" t="s">
        <v>212</v>
      </c>
      <c r="AB1445" s="22" t="s">
        <v>220</v>
      </c>
      <c r="AC1445" s="42">
        <f>IFERROR(LOOKUP(M1445,打分卡!$F$7:$J$7,打分卡!$K$7:$O$7),1)</f>
        <v>1</v>
      </c>
      <c r="AD1445" s="42">
        <f>IFERROR(LOOKUP(S1445,打分卡!$F$8:$J$8,打分卡!$K$8:$O$8),1)</f>
        <v>1</v>
      </c>
      <c r="AE1445" s="42">
        <f>IFERROR(LOOKUP(T1445,打分卡!$F$9:$I$9,打分卡!$K$9:$N$9),1)</f>
        <v>1</v>
      </c>
      <c r="AF1445" s="42">
        <f>IFERROR(LOOKUP(Q1445,打分卡!$F$10:$J$10,打分卡!$K$10:$O$10),1)</f>
        <v>1</v>
      </c>
      <c r="AG1445" s="42">
        <f>IFERROR(LOOKUP(R1445,打分卡!$F$11:$J$11,打分卡!$K$11:$O$11),1)</f>
        <v>1</v>
      </c>
      <c r="AH1445" s="42">
        <f>IFERROR(LOOKUP(U1445,打分卡!$F$12:$J$12,打分卡!$K$12:$O$12),1)</f>
        <v>4</v>
      </c>
      <c r="AI1445" s="42">
        <f>IFERROR(LOOKUP(X1445,打分卡!$F$13:$J$13,打分卡!$K$13:$O$13),1)</f>
        <v>1</v>
      </c>
      <c r="AJ1445" s="42">
        <f>IFERROR(LOOKUP(Y1445,打分卡!$F$14:$J$14,打分卡!$K$14:$O$14),1)</f>
        <v>2</v>
      </c>
      <c r="AK1445" s="42">
        <f>IFERROR(LOOKUP(W1445,打分卡!$F$15:$J$15,打分卡!$K$15:$O$15),1)</f>
        <v>1</v>
      </c>
      <c r="AL1445" s="45">
        <f t="shared" si="177"/>
        <v>1</v>
      </c>
      <c r="AM1445" s="42">
        <f>IFERROR(LOOKUP(Z1445,打分卡!$F$17:$H$17,打分卡!$K$17:$M$17),1)</f>
        <v>1</v>
      </c>
      <c r="AN1445" s="46">
        <f>(打分卡!$D$7*AC1445+打分卡!$D$8*AD1445+打分卡!$D$9*AE1445)/5</f>
        <v>8</v>
      </c>
      <c r="AO1445" s="46">
        <f>(打分卡!$D$10*AF1445+打分卡!$D$11*AG1445)/5</f>
        <v>4</v>
      </c>
      <c r="AP1445" s="46">
        <f>(打分卡!$D$12*AH1445+打分卡!$D$13*AI1445+打分卡!$D$14*AJ1445+打分卡!$D$15*AK1445)/5</f>
        <v>14.4</v>
      </c>
      <c r="AQ1445" s="46">
        <f>(打分卡!$D$16*AL1445+打分卡!$D$17*AM1445)/5</f>
        <v>2</v>
      </c>
      <c r="AR1445" s="48">
        <f t="shared" si="178"/>
        <v>28.4</v>
      </c>
      <c r="AS1445" s="45" t="str">
        <f t="shared" si="179"/>
        <v>未激活</v>
      </c>
      <c r="AT1445" s="45" t="str">
        <f t="shared" si="180"/>
        <v>连续下降-预警</v>
      </c>
      <c r="AU1445" s="45" t="str">
        <f t="shared" si="181"/>
        <v>唤醒：短信模板+首充补贴</v>
      </c>
    </row>
    <row r="1446" ht="15" customHeight="1" spans="1:47">
      <c r="A1446" s="30" t="s">
        <v>3722</v>
      </c>
      <c r="B1446" s="31" t="s">
        <v>3723</v>
      </c>
      <c r="C1446" s="31" t="s">
        <v>209</v>
      </c>
      <c r="D1446" s="31" t="s">
        <v>202</v>
      </c>
      <c r="E1446" s="31" t="s">
        <v>181</v>
      </c>
      <c r="F1446" s="30" t="s">
        <v>3724</v>
      </c>
      <c r="G1446" s="31">
        <v>19</v>
      </c>
      <c r="H1446" s="31" t="s">
        <v>3535</v>
      </c>
      <c r="I1446" s="31" t="s">
        <v>302</v>
      </c>
      <c r="J1446" s="33">
        <v>0</v>
      </c>
      <c r="K1446" s="33">
        <v>0</v>
      </c>
      <c r="L1446" s="33">
        <v>0</v>
      </c>
      <c r="M1446" s="33">
        <f t="shared" si="176"/>
        <v>0</v>
      </c>
      <c r="N1446" s="34">
        <f t="shared" si="182"/>
        <v>0</v>
      </c>
      <c r="O1446" s="35">
        <f>SUM($M$2:M1446)</f>
        <v>190743600</v>
      </c>
      <c r="P1446" s="34">
        <f t="shared" si="183"/>
        <v>1</v>
      </c>
      <c r="Q1446" s="37">
        <v>0</v>
      </c>
      <c r="R1446" s="31">
        <v>0</v>
      </c>
      <c r="S1446" s="31">
        <v>0</v>
      </c>
      <c r="T1446" s="31">
        <v>0</v>
      </c>
      <c r="U1446" s="37">
        <v>5.4</v>
      </c>
      <c r="V1446" s="31">
        <v>5</v>
      </c>
      <c r="W1446" s="31">
        <v>2</v>
      </c>
      <c r="X1446" s="38">
        <v>30</v>
      </c>
      <c r="Y1446" s="31">
        <v>0</v>
      </c>
      <c r="Z1446" s="31">
        <v>0</v>
      </c>
      <c r="AA1446" s="31" t="s">
        <v>212</v>
      </c>
      <c r="AB1446" s="31" t="s">
        <v>220</v>
      </c>
      <c r="AC1446" s="41">
        <f>IFERROR(LOOKUP(M1446,打分卡!$F$7:$J$7,打分卡!$K$7:$O$7),1)</f>
        <v>1</v>
      </c>
      <c r="AD1446" s="41">
        <f>IFERROR(LOOKUP(S1446,打分卡!$F$8:$J$8,打分卡!$K$8:$O$8),1)</f>
        <v>1</v>
      </c>
      <c r="AE1446" s="41">
        <f>IFERROR(LOOKUP(T1446,打分卡!$F$9:$I$9,打分卡!$K$9:$N$9),1)</f>
        <v>1</v>
      </c>
      <c r="AF1446" s="41">
        <f>IFERROR(LOOKUP(Q1446,打分卡!$F$10:$J$10,打分卡!$K$10:$O$10),1)</f>
        <v>1</v>
      </c>
      <c r="AG1446" s="41">
        <f>IFERROR(LOOKUP(R1446,打分卡!$F$11:$J$11,打分卡!$K$11:$O$11),1)</f>
        <v>1</v>
      </c>
      <c r="AH1446" s="41">
        <f>IFERROR(LOOKUP(U1446,打分卡!$F$12:$J$12,打分卡!$K$12:$O$12),1)</f>
        <v>2</v>
      </c>
      <c r="AI1446" s="41">
        <f>IFERROR(LOOKUP(X1446,打分卡!$F$13:$J$13,打分卡!$K$13:$O$13),1)</f>
        <v>2</v>
      </c>
      <c r="AJ1446" s="41">
        <f>IFERROR(LOOKUP(Y1446,打分卡!$F$14:$J$14,打分卡!$K$14:$O$14),1)</f>
        <v>1</v>
      </c>
      <c r="AK1446" s="41">
        <f>IFERROR(LOOKUP(W1446,打分卡!$F$15:$J$15,打分卡!$K$15:$O$15),1)</f>
        <v>2</v>
      </c>
      <c r="AL1446" s="43">
        <f t="shared" si="177"/>
        <v>1</v>
      </c>
      <c r="AM1446" s="41">
        <f>IFERROR(LOOKUP(Z1446,打分卡!$F$17:$H$17,打分卡!$K$17:$M$17),1)</f>
        <v>1</v>
      </c>
      <c r="AN1446" s="44">
        <f>(打分卡!$D$7*AC1446+打分卡!$D$8*AD1446+打分卡!$D$9*AE1446)/5</f>
        <v>8</v>
      </c>
      <c r="AO1446" s="44">
        <f>(打分卡!$D$10*AF1446+打分卡!$D$11*AG1446)/5</f>
        <v>4</v>
      </c>
      <c r="AP1446" s="44">
        <f>(打分卡!$D$12*AH1446+打分卡!$D$13*AI1446+打分卡!$D$14*AJ1446+打分卡!$D$15*AK1446)/5</f>
        <v>10.8</v>
      </c>
      <c r="AQ1446" s="44">
        <f>(打分卡!$D$16*AL1446+打分卡!$D$17*AM1446)/5</f>
        <v>2</v>
      </c>
      <c r="AR1446" s="47">
        <f t="shared" si="178"/>
        <v>24.8</v>
      </c>
      <c r="AS1446" s="43" t="str">
        <f t="shared" si="179"/>
        <v>未激活</v>
      </c>
      <c r="AT1446" s="43" t="str">
        <f t="shared" si="180"/>
        <v>连续下降-预警</v>
      </c>
      <c r="AU1446" s="43" t="str">
        <f t="shared" si="181"/>
        <v>唤醒：短信模板+首充补贴</v>
      </c>
    </row>
    <row r="1447" ht="15" customHeight="1" spans="1:47">
      <c r="A1447" s="20" t="s">
        <v>3725</v>
      </c>
      <c r="B1447" s="22" t="s">
        <v>3726</v>
      </c>
      <c r="C1447" s="22" t="s">
        <v>179</v>
      </c>
      <c r="D1447" s="22" t="s">
        <v>202</v>
      </c>
      <c r="E1447" s="22" t="s">
        <v>181</v>
      </c>
      <c r="F1447" s="20" t="s">
        <v>1028</v>
      </c>
      <c r="G1447" s="22">
        <v>18</v>
      </c>
      <c r="H1447" s="22" t="s">
        <v>3535</v>
      </c>
      <c r="I1447" s="22" t="s">
        <v>302</v>
      </c>
      <c r="J1447" s="36">
        <v>0</v>
      </c>
      <c r="K1447" s="36">
        <v>0</v>
      </c>
      <c r="L1447" s="36">
        <v>0</v>
      </c>
      <c r="M1447" s="36">
        <f t="shared" si="176"/>
        <v>0</v>
      </c>
      <c r="N1447" s="34">
        <f t="shared" si="182"/>
        <v>0</v>
      </c>
      <c r="O1447" s="35">
        <f>SUM($M$2:M1447)</f>
        <v>190743600</v>
      </c>
      <c r="P1447" s="34">
        <f t="shared" si="183"/>
        <v>1</v>
      </c>
      <c r="Q1447" s="39">
        <v>0</v>
      </c>
      <c r="R1447" s="22">
        <v>0</v>
      </c>
      <c r="S1447" s="22">
        <v>0</v>
      </c>
      <c r="T1447" s="22">
        <v>0</v>
      </c>
      <c r="U1447" s="39">
        <v>2.2</v>
      </c>
      <c r="V1447" s="22">
        <v>9</v>
      </c>
      <c r="W1447" s="22">
        <v>2</v>
      </c>
      <c r="X1447" s="40">
        <v>9</v>
      </c>
      <c r="Y1447" s="22">
        <v>0</v>
      </c>
      <c r="Z1447" s="22">
        <v>0</v>
      </c>
      <c r="AA1447" s="22" t="s">
        <v>212</v>
      </c>
      <c r="AB1447" s="22" t="s">
        <v>220</v>
      </c>
      <c r="AC1447" s="42">
        <f>IFERROR(LOOKUP(M1447,打分卡!$F$7:$J$7,打分卡!$K$7:$O$7),1)</f>
        <v>1</v>
      </c>
      <c r="AD1447" s="42">
        <f>IFERROR(LOOKUP(S1447,打分卡!$F$8:$J$8,打分卡!$K$8:$O$8),1)</f>
        <v>1</v>
      </c>
      <c r="AE1447" s="42">
        <f>IFERROR(LOOKUP(T1447,打分卡!$F$9:$I$9,打分卡!$K$9:$N$9),1)</f>
        <v>1</v>
      </c>
      <c r="AF1447" s="42">
        <f>IFERROR(LOOKUP(Q1447,打分卡!$F$10:$J$10,打分卡!$K$10:$O$10),1)</f>
        <v>1</v>
      </c>
      <c r="AG1447" s="42">
        <f>IFERROR(LOOKUP(R1447,打分卡!$F$11:$J$11,打分卡!$K$11:$O$11),1)</f>
        <v>1</v>
      </c>
      <c r="AH1447" s="42">
        <f>IFERROR(LOOKUP(U1447,打分卡!$F$12:$J$12,打分卡!$K$12:$O$12),1)</f>
        <v>1</v>
      </c>
      <c r="AI1447" s="42">
        <f>IFERROR(LOOKUP(X1447,打分卡!$F$13:$J$13,打分卡!$K$13:$O$13),1)</f>
        <v>1</v>
      </c>
      <c r="AJ1447" s="42">
        <f>IFERROR(LOOKUP(Y1447,打分卡!$F$14:$J$14,打分卡!$K$14:$O$14),1)</f>
        <v>1</v>
      </c>
      <c r="AK1447" s="42">
        <f>IFERROR(LOOKUP(W1447,打分卡!$F$15:$J$15,打分卡!$K$15:$O$15),1)</f>
        <v>2</v>
      </c>
      <c r="AL1447" s="45">
        <f t="shared" si="177"/>
        <v>1</v>
      </c>
      <c r="AM1447" s="42">
        <f>IFERROR(LOOKUP(Z1447,打分卡!$F$17:$H$17,打分卡!$K$17:$M$17),1)</f>
        <v>1</v>
      </c>
      <c r="AN1447" s="46">
        <f>(打分卡!$D$7*AC1447+打分卡!$D$8*AD1447+打分卡!$D$9*AE1447)/5</f>
        <v>8</v>
      </c>
      <c r="AO1447" s="46">
        <f>(打分卡!$D$10*AF1447+打分卡!$D$11*AG1447)/5</f>
        <v>4</v>
      </c>
      <c r="AP1447" s="46">
        <f>(打分卡!$D$12*AH1447+打分卡!$D$13*AI1447+打分卡!$D$14*AJ1447+打分卡!$D$15*AK1447)/5</f>
        <v>6.8</v>
      </c>
      <c r="AQ1447" s="46">
        <f>(打分卡!$D$16*AL1447+打分卡!$D$17*AM1447)/5</f>
        <v>2</v>
      </c>
      <c r="AR1447" s="48">
        <f t="shared" si="178"/>
        <v>20.8</v>
      </c>
      <c r="AS1447" s="45" t="str">
        <f t="shared" si="179"/>
        <v>未激活</v>
      </c>
      <c r="AT1447" s="45" t="str">
        <f t="shared" si="180"/>
        <v>连续下降-预警</v>
      </c>
      <c r="AU1447" s="45" t="str">
        <f t="shared" si="181"/>
        <v>唤醒：短信模板+首充补贴</v>
      </c>
    </row>
    <row r="1448" ht="15" customHeight="1" spans="1:47">
      <c r="A1448" s="30" t="s">
        <v>3727</v>
      </c>
      <c r="B1448" s="31" t="s">
        <v>3728</v>
      </c>
      <c r="C1448" s="31" t="s">
        <v>239</v>
      </c>
      <c r="D1448" s="31" t="s">
        <v>227</v>
      </c>
      <c r="E1448" s="31" t="s">
        <v>181</v>
      </c>
      <c r="F1448" s="30" t="s">
        <v>3583</v>
      </c>
      <c r="G1448" s="31">
        <v>23</v>
      </c>
      <c r="H1448" s="31" t="s">
        <v>3535</v>
      </c>
      <c r="I1448" s="31" t="s">
        <v>302</v>
      </c>
      <c r="J1448" s="33">
        <v>0</v>
      </c>
      <c r="K1448" s="33">
        <v>0</v>
      </c>
      <c r="L1448" s="33">
        <v>0</v>
      </c>
      <c r="M1448" s="33">
        <f t="shared" si="176"/>
        <v>0</v>
      </c>
      <c r="N1448" s="34">
        <f t="shared" si="182"/>
        <v>0</v>
      </c>
      <c r="O1448" s="35">
        <f>SUM($M$2:M1448)</f>
        <v>190743600</v>
      </c>
      <c r="P1448" s="34">
        <f t="shared" si="183"/>
        <v>1</v>
      </c>
      <c r="Q1448" s="37">
        <v>0</v>
      </c>
      <c r="R1448" s="31">
        <v>0</v>
      </c>
      <c r="S1448" s="31">
        <v>0</v>
      </c>
      <c r="T1448" s="31">
        <v>0</v>
      </c>
      <c r="U1448" s="37">
        <v>1.8</v>
      </c>
      <c r="V1448" s="31">
        <v>12</v>
      </c>
      <c r="W1448" s="31">
        <v>2</v>
      </c>
      <c r="X1448" s="38">
        <v>23</v>
      </c>
      <c r="Y1448" s="31">
        <v>1</v>
      </c>
      <c r="Z1448" s="31">
        <v>0</v>
      </c>
      <c r="AA1448" s="31" t="s">
        <v>212</v>
      </c>
      <c r="AB1448" s="31" t="s">
        <v>220</v>
      </c>
      <c r="AC1448" s="41">
        <f>IFERROR(LOOKUP(M1448,打分卡!$F$7:$J$7,打分卡!$K$7:$O$7),1)</f>
        <v>1</v>
      </c>
      <c r="AD1448" s="41">
        <f>IFERROR(LOOKUP(S1448,打分卡!$F$8:$J$8,打分卡!$K$8:$O$8),1)</f>
        <v>1</v>
      </c>
      <c r="AE1448" s="41">
        <f>IFERROR(LOOKUP(T1448,打分卡!$F$9:$I$9,打分卡!$K$9:$N$9),1)</f>
        <v>1</v>
      </c>
      <c r="AF1448" s="41">
        <f>IFERROR(LOOKUP(Q1448,打分卡!$F$10:$J$10,打分卡!$K$10:$O$10),1)</f>
        <v>1</v>
      </c>
      <c r="AG1448" s="41">
        <f>IFERROR(LOOKUP(R1448,打分卡!$F$11:$J$11,打分卡!$K$11:$O$11),1)</f>
        <v>1</v>
      </c>
      <c r="AH1448" s="41">
        <f>IFERROR(LOOKUP(U1448,打分卡!$F$12:$J$12,打分卡!$K$12:$O$12),1)</f>
        <v>1</v>
      </c>
      <c r="AI1448" s="41">
        <f>IFERROR(LOOKUP(X1448,打分卡!$F$13:$J$13,打分卡!$K$13:$O$13),1)</f>
        <v>2</v>
      </c>
      <c r="AJ1448" s="41">
        <f>IFERROR(LOOKUP(Y1448,打分卡!$F$14:$J$14,打分卡!$K$14:$O$14),1)</f>
        <v>2</v>
      </c>
      <c r="AK1448" s="41">
        <f>IFERROR(LOOKUP(W1448,打分卡!$F$15:$J$15,打分卡!$K$15:$O$15),1)</f>
        <v>2</v>
      </c>
      <c r="AL1448" s="43">
        <f t="shared" si="177"/>
        <v>1</v>
      </c>
      <c r="AM1448" s="41">
        <f>IFERROR(LOOKUP(Z1448,打分卡!$F$17:$H$17,打分卡!$K$17:$M$17),1)</f>
        <v>1</v>
      </c>
      <c r="AN1448" s="44">
        <f>(打分卡!$D$7*AC1448+打分卡!$D$8*AD1448+打分卡!$D$9*AE1448)/5</f>
        <v>8</v>
      </c>
      <c r="AO1448" s="44">
        <f>(打分卡!$D$10*AF1448+打分卡!$D$11*AG1448)/5</f>
        <v>4</v>
      </c>
      <c r="AP1448" s="44">
        <f>(打分卡!$D$12*AH1448+打分卡!$D$13*AI1448+打分卡!$D$14*AJ1448+打分卡!$D$15*AK1448)/5</f>
        <v>9.6</v>
      </c>
      <c r="AQ1448" s="44">
        <f>(打分卡!$D$16*AL1448+打分卡!$D$17*AM1448)/5</f>
        <v>2</v>
      </c>
      <c r="AR1448" s="47">
        <f t="shared" si="178"/>
        <v>23.6</v>
      </c>
      <c r="AS1448" s="43" t="str">
        <f t="shared" si="179"/>
        <v>未激活</v>
      </c>
      <c r="AT1448" s="43" t="str">
        <f t="shared" si="180"/>
        <v>连续下降-预警</v>
      </c>
      <c r="AU1448" s="43" t="str">
        <f t="shared" si="181"/>
        <v>唤醒：短信模板+首充补贴</v>
      </c>
    </row>
    <row r="1449" ht="15" customHeight="1" spans="1:47">
      <c r="A1449" s="20" t="s">
        <v>3729</v>
      </c>
      <c r="B1449" s="22" t="s">
        <v>3730</v>
      </c>
      <c r="C1449" s="22" t="s">
        <v>218</v>
      </c>
      <c r="D1449" s="22" t="s">
        <v>235</v>
      </c>
      <c r="E1449" s="22" t="s">
        <v>197</v>
      </c>
      <c r="F1449" s="20" t="s">
        <v>404</v>
      </c>
      <c r="G1449" s="22">
        <v>27</v>
      </c>
      <c r="H1449" s="22" t="s">
        <v>3535</v>
      </c>
      <c r="I1449" s="22" t="s">
        <v>302</v>
      </c>
      <c r="J1449" s="36">
        <v>0</v>
      </c>
      <c r="K1449" s="36">
        <v>0</v>
      </c>
      <c r="L1449" s="36">
        <v>0</v>
      </c>
      <c r="M1449" s="36">
        <f t="shared" si="176"/>
        <v>0</v>
      </c>
      <c r="N1449" s="34">
        <f t="shared" si="182"/>
        <v>0</v>
      </c>
      <c r="O1449" s="35">
        <f>SUM($M$2:M1449)</f>
        <v>190743600</v>
      </c>
      <c r="P1449" s="34">
        <f t="shared" si="183"/>
        <v>1</v>
      </c>
      <c r="Q1449" s="39">
        <v>0</v>
      </c>
      <c r="R1449" s="22">
        <v>0</v>
      </c>
      <c r="S1449" s="22">
        <v>0</v>
      </c>
      <c r="T1449" s="22">
        <v>0</v>
      </c>
      <c r="U1449" s="39">
        <v>8.1</v>
      </c>
      <c r="V1449" s="22">
        <v>4</v>
      </c>
      <c r="W1449" s="22">
        <v>2</v>
      </c>
      <c r="X1449" s="40">
        <v>16</v>
      </c>
      <c r="Y1449" s="22">
        <v>0</v>
      </c>
      <c r="Z1449" s="22">
        <v>0</v>
      </c>
      <c r="AA1449" s="22" t="s">
        <v>212</v>
      </c>
      <c r="AB1449" s="22" t="s">
        <v>220</v>
      </c>
      <c r="AC1449" s="42">
        <f>IFERROR(LOOKUP(M1449,打分卡!$F$7:$J$7,打分卡!$K$7:$O$7),1)</f>
        <v>1</v>
      </c>
      <c r="AD1449" s="42">
        <f>IFERROR(LOOKUP(S1449,打分卡!$F$8:$J$8,打分卡!$K$8:$O$8),1)</f>
        <v>1</v>
      </c>
      <c r="AE1449" s="42">
        <f>IFERROR(LOOKUP(T1449,打分卡!$F$9:$I$9,打分卡!$K$9:$N$9),1)</f>
        <v>1</v>
      </c>
      <c r="AF1449" s="42">
        <f>IFERROR(LOOKUP(Q1449,打分卡!$F$10:$J$10,打分卡!$K$10:$O$10),1)</f>
        <v>1</v>
      </c>
      <c r="AG1449" s="42">
        <f>IFERROR(LOOKUP(R1449,打分卡!$F$11:$J$11,打分卡!$K$11:$O$11),1)</f>
        <v>1</v>
      </c>
      <c r="AH1449" s="42">
        <f>IFERROR(LOOKUP(U1449,打分卡!$F$12:$J$12,打分卡!$K$12:$O$12),1)</f>
        <v>2</v>
      </c>
      <c r="AI1449" s="42">
        <f>IFERROR(LOOKUP(X1449,打分卡!$F$13:$J$13,打分卡!$K$13:$O$13),1)</f>
        <v>1</v>
      </c>
      <c r="AJ1449" s="42">
        <f>IFERROR(LOOKUP(Y1449,打分卡!$F$14:$J$14,打分卡!$K$14:$O$14),1)</f>
        <v>1</v>
      </c>
      <c r="AK1449" s="42">
        <f>IFERROR(LOOKUP(W1449,打分卡!$F$15:$J$15,打分卡!$K$15:$O$15),1)</f>
        <v>2</v>
      </c>
      <c r="AL1449" s="45">
        <f t="shared" si="177"/>
        <v>1</v>
      </c>
      <c r="AM1449" s="42">
        <f>IFERROR(LOOKUP(Z1449,打分卡!$F$17:$H$17,打分卡!$K$17:$M$17),1)</f>
        <v>1</v>
      </c>
      <c r="AN1449" s="46">
        <f>(打分卡!$D$7*AC1449+打分卡!$D$8*AD1449+打分卡!$D$9*AE1449)/5</f>
        <v>8</v>
      </c>
      <c r="AO1449" s="46">
        <f>(打分卡!$D$10*AF1449+打分卡!$D$11*AG1449)/5</f>
        <v>4</v>
      </c>
      <c r="AP1449" s="46">
        <f>(打分卡!$D$12*AH1449+打分卡!$D$13*AI1449+打分卡!$D$14*AJ1449+打分卡!$D$15*AK1449)/5</f>
        <v>9.2</v>
      </c>
      <c r="AQ1449" s="46">
        <f>(打分卡!$D$16*AL1449+打分卡!$D$17*AM1449)/5</f>
        <v>2</v>
      </c>
      <c r="AR1449" s="48">
        <f t="shared" si="178"/>
        <v>23.2</v>
      </c>
      <c r="AS1449" s="45" t="str">
        <f t="shared" si="179"/>
        <v>未激活</v>
      </c>
      <c r="AT1449" s="45" t="str">
        <f t="shared" si="180"/>
        <v>连续下降-预警</v>
      </c>
      <c r="AU1449" s="45" t="str">
        <f t="shared" si="181"/>
        <v>唤醒：短信模板+首充补贴</v>
      </c>
    </row>
    <row r="1450" ht="15" customHeight="1" spans="1:47">
      <c r="A1450" s="30" t="s">
        <v>3731</v>
      </c>
      <c r="B1450" s="31" t="s">
        <v>3732</v>
      </c>
      <c r="C1450" s="31" t="s">
        <v>218</v>
      </c>
      <c r="D1450" s="31" t="s">
        <v>180</v>
      </c>
      <c r="E1450" s="31" t="s">
        <v>181</v>
      </c>
      <c r="F1450" s="30" t="s">
        <v>3733</v>
      </c>
      <c r="G1450" s="31">
        <v>30</v>
      </c>
      <c r="H1450" s="31" t="s">
        <v>3535</v>
      </c>
      <c r="I1450" s="31" t="s">
        <v>302</v>
      </c>
      <c r="J1450" s="33">
        <v>0</v>
      </c>
      <c r="K1450" s="33">
        <v>0</v>
      </c>
      <c r="L1450" s="33">
        <v>0</v>
      </c>
      <c r="M1450" s="33">
        <f t="shared" si="176"/>
        <v>0</v>
      </c>
      <c r="N1450" s="34">
        <f t="shared" si="182"/>
        <v>0</v>
      </c>
      <c r="O1450" s="35">
        <f>SUM($M$2:M1450)</f>
        <v>190743600</v>
      </c>
      <c r="P1450" s="34">
        <f t="shared" si="183"/>
        <v>1</v>
      </c>
      <c r="Q1450" s="37">
        <v>0</v>
      </c>
      <c r="R1450" s="31">
        <v>0</v>
      </c>
      <c r="S1450" s="31">
        <v>0</v>
      </c>
      <c r="T1450" s="31">
        <v>0</v>
      </c>
      <c r="U1450" s="37">
        <v>1.9</v>
      </c>
      <c r="V1450" s="31">
        <v>13</v>
      </c>
      <c r="W1450" s="31">
        <v>0</v>
      </c>
      <c r="X1450" s="38">
        <v>10</v>
      </c>
      <c r="Y1450" s="31">
        <v>0</v>
      </c>
      <c r="Z1450" s="31">
        <v>0</v>
      </c>
      <c r="AA1450" s="31" t="s">
        <v>212</v>
      </c>
      <c r="AB1450" s="31" t="s">
        <v>220</v>
      </c>
      <c r="AC1450" s="41">
        <f>IFERROR(LOOKUP(M1450,打分卡!$F$7:$J$7,打分卡!$K$7:$O$7),1)</f>
        <v>1</v>
      </c>
      <c r="AD1450" s="41">
        <f>IFERROR(LOOKUP(S1450,打分卡!$F$8:$J$8,打分卡!$K$8:$O$8),1)</f>
        <v>1</v>
      </c>
      <c r="AE1450" s="41">
        <f>IFERROR(LOOKUP(T1450,打分卡!$F$9:$I$9,打分卡!$K$9:$N$9),1)</f>
        <v>1</v>
      </c>
      <c r="AF1450" s="41">
        <f>IFERROR(LOOKUP(Q1450,打分卡!$F$10:$J$10,打分卡!$K$10:$O$10),1)</f>
        <v>1</v>
      </c>
      <c r="AG1450" s="41">
        <f>IFERROR(LOOKUP(R1450,打分卡!$F$11:$J$11,打分卡!$K$11:$O$11),1)</f>
        <v>1</v>
      </c>
      <c r="AH1450" s="41">
        <f>IFERROR(LOOKUP(U1450,打分卡!$F$12:$J$12,打分卡!$K$12:$O$12),1)</f>
        <v>1</v>
      </c>
      <c r="AI1450" s="41">
        <f>IFERROR(LOOKUP(X1450,打分卡!$F$13:$J$13,打分卡!$K$13:$O$13),1)</f>
        <v>1</v>
      </c>
      <c r="AJ1450" s="41">
        <f>IFERROR(LOOKUP(Y1450,打分卡!$F$14:$J$14,打分卡!$K$14:$O$14),1)</f>
        <v>1</v>
      </c>
      <c r="AK1450" s="41">
        <f>IFERROR(LOOKUP(W1450,打分卡!$F$15:$J$15,打分卡!$K$15:$O$15),1)</f>
        <v>1</v>
      </c>
      <c r="AL1450" s="43">
        <f t="shared" si="177"/>
        <v>1</v>
      </c>
      <c r="AM1450" s="41">
        <f>IFERROR(LOOKUP(Z1450,打分卡!$F$17:$H$17,打分卡!$K$17:$M$17),1)</f>
        <v>1</v>
      </c>
      <c r="AN1450" s="44">
        <f>(打分卡!$D$7*AC1450+打分卡!$D$8*AD1450+打分卡!$D$9*AE1450)/5</f>
        <v>8</v>
      </c>
      <c r="AO1450" s="44">
        <f>(打分卡!$D$10*AF1450+打分卡!$D$11*AG1450)/5</f>
        <v>4</v>
      </c>
      <c r="AP1450" s="44">
        <f>(打分卡!$D$12*AH1450+打分卡!$D$13*AI1450+打分卡!$D$14*AJ1450+打分卡!$D$15*AK1450)/5</f>
        <v>6</v>
      </c>
      <c r="AQ1450" s="44">
        <f>(打分卡!$D$16*AL1450+打分卡!$D$17*AM1450)/5</f>
        <v>2</v>
      </c>
      <c r="AR1450" s="47">
        <f t="shared" si="178"/>
        <v>20</v>
      </c>
      <c r="AS1450" s="43" t="str">
        <f t="shared" si="179"/>
        <v>未激活</v>
      </c>
      <c r="AT1450" s="43" t="str">
        <f t="shared" si="180"/>
        <v>连续下降-预警</v>
      </c>
      <c r="AU1450" s="43" t="str">
        <f t="shared" si="181"/>
        <v>唤醒：短信模板+首充补贴</v>
      </c>
    </row>
    <row r="1451" ht="15" customHeight="1" spans="1:47">
      <c r="A1451" s="20" t="s">
        <v>3734</v>
      </c>
      <c r="B1451" s="22" t="s">
        <v>3735</v>
      </c>
      <c r="C1451" s="22" t="s">
        <v>179</v>
      </c>
      <c r="D1451" s="22" t="s">
        <v>202</v>
      </c>
      <c r="E1451" s="22" t="s">
        <v>197</v>
      </c>
      <c r="F1451" s="20" t="s">
        <v>3565</v>
      </c>
      <c r="G1451" s="22">
        <v>25</v>
      </c>
      <c r="H1451" s="22" t="s">
        <v>3535</v>
      </c>
      <c r="I1451" s="22" t="s">
        <v>302</v>
      </c>
      <c r="J1451" s="36">
        <v>0</v>
      </c>
      <c r="K1451" s="36">
        <v>0</v>
      </c>
      <c r="L1451" s="36">
        <v>0</v>
      </c>
      <c r="M1451" s="36">
        <f t="shared" si="176"/>
        <v>0</v>
      </c>
      <c r="N1451" s="34">
        <f t="shared" si="182"/>
        <v>0</v>
      </c>
      <c r="O1451" s="35">
        <f>SUM($M$2:M1451)</f>
        <v>190743600</v>
      </c>
      <c r="P1451" s="34">
        <f t="shared" si="183"/>
        <v>1</v>
      </c>
      <c r="Q1451" s="39">
        <v>0</v>
      </c>
      <c r="R1451" s="22">
        <v>0</v>
      </c>
      <c r="S1451" s="22">
        <v>0</v>
      </c>
      <c r="T1451" s="22">
        <v>0</v>
      </c>
      <c r="U1451" s="39">
        <v>9.5</v>
      </c>
      <c r="V1451" s="22">
        <v>8</v>
      </c>
      <c r="W1451" s="22">
        <v>1</v>
      </c>
      <c r="X1451" s="40">
        <v>16</v>
      </c>
      <c r="Y1451" s="22">
        <v>1</v>
      </c>
      <c r="Z1451" s="22">
        <v>0</v>
      </c>
      <c r="AA1451" s="22" t="s">
        <v>212</v>
      </c>
      <c r="AB1451" s="22" t="s">
        <v>220</v>
      </c>
      <c r="AC1451" s="42">
        <f>IFERROR(LOOKUP(M1451,打分卡!$F$7:$J$7,打分卡!$K$7:$O$7),1)</f>
        <v>1</v>
      </c>
      <c r="AD1451" s="42">
        <f>IFERROR(LOOKUP(S1451,打分卡!$F$8:$J$8,打分卡!$K$8:$O$8),1)</f>
        <v>1</v>
      </c>
      <c r="AE1451" s="42">
        <f>IFERROR(LOOKUP(T1451,打分卡!$F$9:$I$9,打分卡!$K$9:$N$9),1)</f>
        <v>1</v>
      </c>
      <c r="AF1451" s="42">
        <f>IFERROR(LOOKUP(Q1451,打分卡!$F$10:$J$10,打分卡!$K$10:$O$10),1)</f>
        <v>1</v>
      </c>
      <c r="AG1451" s="42">
        <f>IFERROR(LOOKUP(R1451,打分卡!$F$11:$J$11,打分卡!$K$11:$O$11),1)</f>
        <v>1</v>
      </c>
      <c r="AH1451" s="42">
        <f>IFERROR(LOOKUP(U1451,打分卡!$F$12:$J$12,打分卡!$K$12:$O$12),1)</f>
        <v>2</v>
      </c>
      <c r="AI1451" s="42">
        <f>IFERROR(LOOKUP(X1451,打分卡!$F$13:$J$13,打分卡!$K$13:$O$13),1)</f>
        <v>1</v>
      </c>
      <c r="AJ1451" s="42">
        <f>IFERROR(LOOKUP(Y1451,打分卡!$F$14:$J$14,打分卡!$K$14:$O$14),1)</f>
        <v>2</v>
      </c>
      <c r="AK1451" s="42">
        <f>IFERROR(LOOKUP(W1451,打分卡!$F$15:$J$15,打分卡!$K$15:$O$15),1)</f>
        <v>2</v>
      </c>
      <c r="AL1451" s="45">
        <f t="shared" si="177"/>
        <v>1</v>
      </c>
      <c r="AM1451" s="42">
        <f>IFERROR(LOOKUP(Z1451,打分卡!$F$17:$H$17,打分卡!$K$17:$M$17),1)</f>
        <v>1</v>
      </c>
      <c r="AN1451" s="46">
        <f>(打分卡!$D$7*AC1451+打分卡!$D$8*AD1451+打分卡!$D$9*AE1451)/5</f>
        <v>8</v>
      </c>
      <c r="AO1451" s="46">
        <f>(打分卡!$D$10*AF1451+打分卡!$D$11*AG1451)/5</f>
        <v>4</v>
      </c>
      <c r="AP1451" s="46">
        <f>(打分卡!$D$12*AH1451+打分卡!$D$13*AI1451+打分卡!$D$14*AJ1451+打分卡!$D$15*AK1451)/5</f>
        <v>10.4</v>
      </c>
      <c r="AQ1451" s="46">
        <f>(打分卡!$D$16*AL1451+打分卡!$D$17*AM1451)/5</f>
        <v>2</v>
      </c>
      <c r="AR1451" s="48">
        <f t="shared" si="178"/>
        <v>24.4</v>
      </c>
      <c r="AS1451" s="45" t="str">
        <f t="shared" si="179"/>
        <v>未激活</v>
      </c>
      <c r="AT1451" s="45" t="str">
        <f t="shared" si="180"/>
        <v>连续下降-预警</v>
      </c>
      <c r="AU1451" s="45" t="str">
        <f t="shared" si="181"/>
        <v>唤醒：短信模板+首充补贴</v>
      </c>
    </row>
    <row r="1452" ht="15" customHeight="1" spans="1:47">
      <c r="A1452" s="30" t="s">
        <v>3736</v>
      </c>
      <c r="B1452" s="31" t="s">
        <v>3737</v>
      </c>
      <c r="C1452" s="31" t="s">
        <v>223</v>
      </c>
      <c r="D1452" s="31" t="s">
        <v>227</v>
      </c>
      <c r="E1452" s="31" t="s">
        <v>181</v>
      </c>
      <c r="F1452" s="30" t="s">
        <v>1739</v>
      </c>
      <c r="G1452" s="31">
        <v>12</v>
      </c>
      <c r="H1452" s="31" t="s">
        <v>3535</v>
      </c>
      <c r="I1452" s="31" t="s">
        <v>302</v>
      </c>
      <c r="J1452" s="33">
        <v>0</v>
      </c>
      <c r="K1452" s="33">
        <v>0</v>
      </c>
      <c r="L1452" s="33">
        <v>0</v>
      </c>
      <c r="M1452" s="33">
        <f t="shared" si="176"/>
        <v>0</v>
      </c>
      <c r="N1452" s="34">
        <f t="shared" si="182"/>
        <v>0</v>
      </c>
      <c r="O1452" s="35">
        <f>SUM($M$2:M1452)</f>
        <v>190743600</v>
      </c>
      <c r="P1452" s="34">
        <f t="shared" si="183"/>
        <v>1</v>
      </c>
      <c r="Q1452" s="37">
        <v>0</v>
      </c>
      <c r="R1452" s="31">
        <v>0</v>
      </c>
      <c r="S1452" s="31">
        <v>0</v>
      </c>
      <c r="T1452" s="31">
        <v>0</v>
      </c>
      <c r="U1452" s="37">
        <v>1.3</v>
      </c>
      <c r="V1452" s="31">
        <v>4</v>
      </c>
      <c r="W1452" s="31">
        <v>0</v>
      </c>
      <c r="X1452" s="38">
        <v>38</v>
      </c>
      <c r="Y1452" s="31">
        <v>0</v>
      </c>
      <c r="Z1452" s="31">
        <v>0</v>
      </c>
      <c r="AA1452" s="31" t="s">
        <v>212</v>
      </c>
      <c r="AB1452" s="31" t="s">
        <v>220</v>
      </c>
      <c r="AC1452" s="41">
        <f>IFERROR(LOOKUP(M1452,打分卡!$F$7:$J$7,打分卡!$K$7:$O$7),1)</f>
        <v>1</v>
      </c>
      <c r="AD1452" s="41">
        <f>IFERROR(LOOKUP(S1452,打分卡!$F$8:$J$8,打分卡!$K$8:$O$8),1)</f>
        <v>1</v>
      </c>
      <c r="AE1452" s="41">
        <f>IFERROR(LOOKUP(T1452,打分卡!$F$9:$I$9,打分卡!$K$9:$N$9),1)</f>
        <v>1</v>
      </c>
      <c r="AF1452" s="41">
        <f>IFERROR(LOOKUP(Q1452,打分卡!$F$10:$J$10,打分卡!$K$10:$O$10),1)</f>
        <v>1</v>
      </c>
      <c r="AG1452" s="41">
        <f>IFERROR(LOOKUP(R1452,打分卡!$F$11:$J$11,打分卡!$K$11:$O$11),1)</f>
        <v>1</v>
      </c>
      <c r="AH1452" s="41">
        <f>IFERROR(LOOKUP(U1452,打分卡!$F$12:$J$12,打分卡!$K$12:$O$12),1)</f>
        <v>1</v>
      </c>
      <c r="AI1452" s="41">
        <f>IFERROR(LOOKUP(X1452,打分卡!$F$13:$J$13,打分卡!$K$13:$O$13),1)</f>
        <v>2</v>
      </c>
      <c r="AJ1452" s="41">
        <f>IFERROR(LOOKUP(Y1452,打分卡!$F$14:$J$14,打分卡!$K$14:$O$14),1)</f>
        <v>1</v>
      </c>
      <c r="AK1452" s="41">
        <f>IFERROR(LOOKUP(W1452,打分卡!$F$15:$J$15,打分卡!$K$15:$O$15),1)</f>
        <v>1</v>
      </c>
      <c r="AL1452" s="43">
        <f t="shared" si="177"/>
        <v>1</v>
      </c>
      <c r="AM1452" s="41">
        <f>IFERROR(LOOKUP(Z1452,打分卡!$F$17:$H$17,打分卡!$K$17:$M$17),1)</f>
        <v>1</v>
      </c>
      <c r="AN1452" s="44">
        <f>(打分卡!$D$7*AC1452+打分卡!$D$8*AD1452+打分卡!$D$9*AE1452)/5</f>
        <v>8</v>
      </c>
      <c r="AO1452" s="44">
        <f>(打分卡!$D$10*AF1452+打分卡!$D$11*AG1452)/5</f>
        <v>4</v>
      </c>
      <c r="AP1452" s="44">
        <f>(打分卡!$D$12*AH1452+打分卡!$D$13*AI1452+打分卡!$D$14*AJ1452+打分卡!$D$15*AK1452)/5</f>
        <v>7.6</v>
      </c>
      <c r="AQ1452" s="44">
        <f>(打分卡!$D$16*AL1452+打分卡!$D$17*AM1452)/5</f>
        <v>2</v>
      </c>
      <c r="AR1452" s="47">
        <f t="shared" si="178"/>
        <v>21.6</v>
      </c>
      <c r="AS1452" s="43" t="str">
        <f t="shared" si="179"/>
        <v>未激活</v>
      </c>
      <c r="AT1452" s="43" t="str">
        <f t="shared" si="180"/>
        <v>连续下降-预警</v>
      </c>
      <c r="AU1452" s="43" t="str">
        <f t="shared" si="181"/>
        <v>唤醒：短信模板+首充补贴</v>
      </c>
    </row>
    <row r="1453" ht="15" customHeight="1" spans="1:47">
      <c r="A1453" s="20" t="s">
        <v>3738</v>
      </c>
      <c r="B1453" s="22" t="s">
        <v>3739</v>
      </c>
      <c r="C1453" s="22" t="s">
        <v>218</v>
      </c>
      <c r="D1453" s="22" t="s">
        <v>190</v>
      </c>
      <c r="E1453" s="22" t="s">
        <v>197</v>
      </c>
      <c r="F1453" s="20" t="s">
        <v>1392</v>
      </c>
      <c r="G1453" s="22">
        <v>21</v>
      </c>
      <c r="H1453" s="22" t="s">
        <v>3535</v>
      </c>
      <c r="I1453" s="22" t="s">
        <v>302</v>
      </c>
      <c r="J1453" s="36">
        <v>0</v>
      </c>
      <c r="K1453" s="36">
        <v>0</v>
      </c>
      <c r="L1453" s="36">
        <v>0</v>
      </c>
      <c r="M1453" s="36">
        <f t="shared" si="176"/>
        <v>0</v>
      </c>
      <c r="N1453" s="34">
        <f t="shared" si="182"/>
        <v>0</v>
      </c>
      <c r="O1453" s="35">
        <f>SUM($M$2:M1453)</f>
        <v>190743600</v>
      </c>
      <c r="P1453" s="34">
        <f t="shared" si="183"/>
        <v>1</v>
      </c>
      <c r="Q1453" s="39">
        <v>0</v>
      </c>
      <c r="R1453" s="22">
        <v>0</v>
      </c>
      <c r="S1453" s="22">
        <v>0</v>
      </c>
      <c r="T1453" s="22">
        <v>0</v>
      </c>
      <c r="U1453" s="39">
        <v>41.8</v>
      </c>
      <c r="V1453" s="22">
        <v>0</v>
      </c>
      <c r="W1453" s="22">
        <v>1</v>
      </c>
      <c r="X1453" s="40">
        <v>45</v>
      </c>
      <c r="Y1453" s="22">
        <v>1</v>
      </c>
      <c r="Z1453" s="22">
        <v>0</v>
      </c>
      <c r="AA1453" s="22" t="s">
        <v>212</v>
      </c>
      <c r="AB1453" s="22" t="s">
        <v>220</v>
      </c>
      <c r="AC1453" s="42">
        <f>IFERROR(LOOKUP(M1453,打分卡!$F$7:$J$7,打分卡!$K$7:$O$7),1)</f>
        <v>1</v>
      </c>
      <c r="AD1453" s="42">
        <f>IFERROR(LOOKUP(S1453,打分卡!$F$8:$J$8,打分卡!$K$8:$O$8),1)</f>
        <v>1</v>
      </c>
      <c r="AE1453" s="42">
        <f>IFERROR(LOOKUP(T1453,打分卡!$F$9:$I$9,打分卡!$K$9:$N$9),1)</f>
        <v>1</v>
      </c>
      <c r="AF1453" s="42">
        <f>IFERROR(LOOKUP(Q1453,打分卡!$F$10:$J$10,打分卡!$K$10:$O$10),1)</f>
        <v>1</v>
      </c>
      <c r="AG1453" s="42">
        <f>IFERROR(LOOKUP(R1453,打分卡!$F$11:$J$11,打分卡!$K$11:$O$11),1)</f>
        <v>1</v>
      </c>
      <c r="AH1453" s="42">
        <f>IFERROR(LOOKUP(U1453,打分卡!$F$12:$J$12,打分卡!$K$12:$O$12),1)</f>
        <v>4</v>
      </c>
      <c r="AI1453" s="42">
        <f>IFERROR(LOOKUP(X1453,打分卡!$F$13:$J$13,打分卡!$K$13:$O$13),1)</f>
        <v>3</v>
      </c>
      <c r="AJ1453" s="42">
        <f>IFERROR(LOOKUP(Y1453,打分卡!$F$14:$J$14,打分卡!$K$14:$O$14),1)</f>
        <v>2</v>
      </c>
      <c r="AK1453" s="42">
        <f>IFERROR(LOOKUP(W1453,打分卡!$F$15:$J$15,打分卡!$K$15:$O$15),1)</f>
        <v>2</v>
      </c>
      <c r="AL1453" s="45">
        <f t="shared" si="177"/>
        <v>1</v>
      </c>
      <c r="AM1453" s="42">
        <f>IFERROR(LOOKUP(Z1453,打分卡!$F$17:$H$17,打分卡!$K$17:$M$17),1)</f>
        <v>1</v>
      </c>
      <c r="AN1453" s="46">
        <f>(打分卡!$D$7*AC1453+打分卡!$D$8*AD1453+打分卡!$D$9*AE1453)/5</f>
        <v>8</v>
      </c>
      <c r="AO1453" s="46">
        <f>(打分卡!$D$10*AF1453+打分卡!$D$11*AG1453)/5</f>
        <v>4</v>
      </c>
      <c r="AP1453" s="46">
        <f>(打分卡!$D$12*AH1453+打分卡!$D$13*AI1453+打分卡!$D$14*AJ1453+打分卡!$D$15*AK1453)/5</f>
        <v>18.4</v>
      </c>
      <c r="AQ1453" s="46">
        <f>(打分卡!$D$16*AL1453+打分卡!$D$17*AM1453)/5</f>
        <v>2</v>
      </c>
      <c r="AR1453" s="48">
        <f t="shared" si="178"/>
        <v>32.4</v>
      </c>
      <c r="AS1453" s="45" t="str">
        <f t="shared" si="179"/>
        <v>未激活</v>
      </c>
      <c r="AT1453" s="45" t="str">
        <f t="shared" si="180"/>
        <v>连续下降-预警</v>
      </c>
      <c r="AU1453" s="45" t="str">
        <f t="shared" si="181"/>
        <v>唤醒：短信模板+首充补贴</v>
      </c>
    </row>
    <row r="1454" ht="15" customHeight="1" spans="1:47">
      <c r="A1454" s="30" t="s">
        <v>3740</v>
      </c>
      <c r="B1454" s="31" t="s">
        <v>3741</v>
      </c>
      <c r="C1454" s="31" t="s">
        <v>179</v>
      </c>
      <c r="D1454" s="31" t="s">
        <v>202</v>
      </c>
      <c r="E1454" s="31" t="s">
        <v>181</v>
      </c>
      <c r="F1454" s="30" t="s">
        <v>3742</v>
      </c>
      <c r="G1454" s="31">
        <v>13</v>
      </c>
      <c r="H1454" s="31" t="s">
        <v>3535</v>
      </c>
      <c r="I1454" s="31" t="s">
        <v>302</v>
      </c>
      <c r="J1454" s="33">
        <v>0</v>
      </c>
      <c r="K1454" s="33">
        <v>0</v>
      </c>
      <c r="L1454" s="33">
        <v>0</v>
      </c>
      <c r="M1454" s="33">
        <f t="shared" si="176"/>
        <v>0</v>
      </c>
      <c r="N1454" s="34">
        <f t="shared" si="182"/>
        <v>0</v>
      </c>
      <c r="O1454" s="35">
        <f>SUM($M$2:M1454)</f>
        <v>190743600</v>
      </c>
      <c r="P1454" s="34">
        <f t="shared" si="183"/>
        <v>1</v>
      </c>
      <c r="Q1454" s="37">
        <v>0</v>
      </c>
      <c r="R1454" s="31">
        <v>0</v>
      </c>
      <c r="S1454" s="31">
        <v>0</v>
      </c>
      <c r="T1454" s="31">
        <v>0</v>
      </c>
      <c r="U1454" s="37">
        <v>8.7</v>
      </c>
      <c r="V1454" s="31">
        <v>5</v>
      </c>
      <c r="W1454" s="31">
        <v>1</v>
      </c>
      <c r="X1454" s="38">
        <v>49</v>
      </c>
      <c r="Y1454" s="31">
        <v>0</v>
      </c>
      <c r="Z1454" s="31">
        <v>0</v>
      </c>
      <c r="AA1454" s="31" t="s">
        <v>212</v>
      </c>
      <c r="AB1454" s="31" t="s">
        <v>220</v>
      </c>
      <c r="AC1454" s="41">
        <f>IFERROR(LOOKUP(M1454,打分卡!$F$7:$J$7,打分卡!$K$7:$O$7),1)</f>
        <v>1</v>
      </c>
      <c r="AD1454" s="41">
        <f>IFERROR(LOOKUP(S1454,打分卡!$F$8:$J$8,打分卡!$K$8:$O$8),1)</f>
        <v>1</v>
      </c>
      <c r="AE1454" s="41">
        <f>IFERROR(LOOKUP(T1454,打分卡!$F$9:$I$9,打分卡!$K$9:$N$9),1)</f>
        <v>1</v>
      </c>
      <c r="AF1454" s="41">
        <f>IFERROR(LOOKUP(Q1454,打分卡!$F$10:$J$10,打分卡!$K$10:$O$10),1)</f>
        <v>1</v>
      </c>
      <c r="AG1454" s="41">
        <f>IFERROR(LOOKUP(R1454,打分卡!$F$11:$J$11,打分卡!$K$11:$O$11),1)</f>
        <v>1</v>
      </c>
      <c r="AH1454" s="41">
        <f>IFERROR(LOOKUP(U1454,打分卡!$F$12:$J$12,打分卡!$K$12:$O$12),1)</f>
        <v>2</v>
      </c>
      <c r="AI1454" s="41">
        <f>IFERROR(LOOKUP(X1454,打分卡!$F$13:$J$13,打分卡!$K$13:$O$13),1)</f>
        <v>3</v>
      </c>
      <c r="AJ1454" s="41">
        <f>IFERROR(LOOKUP(Y1454,打分卡!$F$14:$J$14,打分卡!$K$14:$O$14),1)</f>
        <v>1</v>
      </c>
      <c r="AK1454" s="41">
        <f>IFERROR(LOOKUP(W1454,打分卡!$F$15:$J$15,打分卡!$K$15:$O$15),1)</f>
        <v>2</v>
      </c>
      <c r="AL1454" s="43">
        <f t="shared" si="177"/>
        <v>1</v>
      </c>
      <c r="AM1454" s="41">
        <f>IFERROR(LOOKUP(Z1454,打分卡!$F$17:$H$17,打分卡!$K$17:$M$17),1)</f>
        <v>1</v>
      </c>
      <c r="AN1454" s="44">
        <f>(打分卡!$D$7*AC1454+打分卡!$D$8*AD1454+打分卡!$D$9*AE1454)/5</f>
        <v>8</v>
      </c>
      <c r="AO1454" s="44">
        <f>(打分卡!$D$10*AF1454+打分卡!$D$11*AG1454)/5</f>
        <v>4</v>
      </c>
      <c r="AP1454" s="44">
        <f>(打分卡!$D$12*AH1454+打分卡!$D$13*AI1454+打分卡!$D$14*AJ1454+打分卡!$D$15*AK1454)/5</f>
        <v>12.4</v>
      </c>
      <c r="AQ1454" s="44">
        <f>(打分卡!$D$16*AL1454+打分卡!$D$17*AM1454)/5</f>
        <v>2</v>
      </c>
      <c r="AR1454" s="47">
        <f t="shared" si="178"/>
        <v>26.4</v>
      </c>
      <c r="AS1454" s="43" t="str">
        <f t="shared" si="179"/>
        <v>未激活</v>
      </c>
      <c r="AT1454" s="43" t="str">
        <f t="shared" si="180"/>
        <v>连续下降-预警</v>
      </c>
      <c r="AU1454" s="43" t="str">
        <f t="shared" si="181"/>
        <v>唤醒：短信模板+首充补贴</v>
      </c>
    </row>
    <row r="1455" ht="15" customHeight="1" spans="1:47">
      <c r="A1455" s="20" t="s">
        <v>3743</v>
      </c>
      <c r="B1455" s="22" t="s">
        <v>3744</v>
      </c>
      <c r="C1455" s="22" t="s">
        <v>189</v>
      </c>
      <c r="D1455" s="22" t="s">
        <v>252</v>
      </c>
      <c r="E1455" s="22" t="s">
        <v>181</v>
      </c>
      <c r="F1455" s="20" t="s">
        <v>2547</v>
      </c>
      <c r="G1455" s="22">
        <v>14</v>
      </c>
      <c r="H1455" s="22" t="s">
        <v>3535</v>
      </c>
      <c r="I1455" s="22" t="s">
        <v>302</v>
      </c>
      <c r="J1455" s="36">
        <v>0</v>
      </c>
      <c r="K1455" s="36">
        <v>0</v>
      </c>
      <c r="L1455" s="36">
        <v>0</v>
      </c>
      <c r="M1455" s="36">
        <f t="shared" si="176"/>
        <v>0</v>
      </c>
      <c r="N1455" s="34">
        <f t="shared" si="182"/>
        <v>0</v>
      </c>
      <c r="O1455" s="35">
        <f>SUM($M$2:M1455)</f>
        <v>190743600</v>
      </c>
      <c r="P1455" s="34">
        <f t="shared" si="183"/>
        <v>1</v>
      </c>
      <c r="Q1455" s="39">
        <v>0</v>
      </c>
      <c r="R1455" s="22">
        <v>0</v>
      </c>
      <c r="S1455" s="22">
        <v>0</v>
      </c>
      <c r="T1455" s="22">
        <v>0</v>
      </c>
      <c r="U1455" s="39">
        <v>18.1</v>
      </c>
      <c r="V1455" s="22">
        <v>3</v>
      </c>
      <c r="W1455" s="22">
        <v>1</v>
      </c>
      <c r="X1455" s="40">
        <v>16</v>
      </c>
      <c r="Y1455" s="22">
        <v>0</v>
      </c>
      <c r="Z1455" s="22">
        <v>0</v>
      </c>
      <c r="AA1455" s="22" t="s">
        <v>212</v>
      </c>
      <c r="AB1455" s="22" t="s">
        <v>220</v>
      </c>
      <c r="AC1455" s="42">
        <f>IFERROR(LOOKUP(M1455,打分卡!$F$7:$J$7,打分卡!$K$7:$O$7),1)</f>
        <v>1</v>
      </c>
      <c r="AD1455" s="42">
        <f>IFERROR(LOOKUP(S1455,打分卡!$F$8:$J$8,打分卡!$K$8:$O$8),1)</f>
        <v>1</v>
      </c>
      <c r="AE1455" s="42">
        <f>IFERROR(LOOKUP(T1455,打分卡!$F$9:$I$9,打分卡!$K$9:$N$9),1)</f>
        <v>1</v>
      </c>
      <c r="AF1455" s="42">
        <f>IFERROR(LOOKUP(Q1455,打分卡!$F$10:$J$10,打分卡!$K$10:$O$10),1)</f>
        <v>1</v>
      </c>
      <c r="AG1455" s="42">
        <f>IFERROR(LOOKUP(R1455,打分卡!$F$11:$J$11,打分卡!$K$11:$O$11),1)</f>
        <v>1</v>
      </c>
      <c r="AH1455" s="42">
        <f>IFERROR(LOOKUP(U1455,打分卡!$F$12:$J$12,打分卡!$K$12:$O$12),1)</f>
        <v>3</v>
      </c>
      <c r="AI1455" s="42">
        <f>IFERROR(LOOKUP(X1455,打分卡!$F$13:$J$13,打分卡!$K$13:$O$13),1)</f>
        <v>1</v>
      </c>
      <c r="AJ1455" s="42">
        <f>IFERROR(LOOKUP(Y1455,打分卡!$F$14:$J$14,打分卡!$K$14:$O$14),1)</f>
        <v>1</v>
      </c>
      <c r="AK1455" s="42">
        <f>IFERROR(LOOKUP(W1455,打分卡!$F$15:$J$15,打分卡!$K$15:$O$15),1)</f>
        <v>2</v>
      </c>
      <c r="AL1455" s="45">
        <f t="shared" si="177"/>
        <v>1</v>
      </c>
      <c r="AM1455" s="42">
        <f>IFERROR(LOOKUP(Z1455,打分卡!$F$17:$H$17,打分卡!$K$17:$M$17),1)</f>
        <v>1</v>
      </c>
      <c r="AN1455" s="46">
        <f>(打分卡!$D$7*AC1455+打分卡!$D$8*AD1455+打分卡!$D$9*AE1455)/5</f>
        <v>8</v>
      </c>
      <c r="AO1455" s="46">
        <f>(打分卡!$D$10*AF1455+打分卡!$D$11*AG1455)/5</f>
        <v>4</v>
      </c>
      <c r="AP1455" s="46">
        <f>(打分卡!$D$12*AH1455+打分卡!$D$13*AI1455+打分卡!$D$14*AJ1455+打分卡!$D$15*AK1455)/5</f>
        <v>11.6</v>
      </c>
      <c r="AQ1455" s="46">
        <f>(打分卡!$D$16*AL1455+打分卡!$D$17*AM1455)/5</f>
        <v>2</v>
      </c>
      <c r="AR1455" s="48">
        <f t="shared" si="178"/>
        <v>25.6</v>
      </c>
      <c r="AS1455" s="45" t="str">
        <f t="shared" si="179"/>
        <v>未激活</v>
      </c>
      <c r="AT1455" s="45" t="str">
        <f t="shared" si="180"/>
        <v>连续下降-预警</v>
      </c>
      <c r="AU1455" s="45" t="str">
        <f t="shared" si="181"/>
        <v>唤醒：短信模板+首充补贴</v>
      </c>
    </row>
    <row r="1456" ht="15" customHeight="1" spans="1:47">
      <c r="A1456" s="30" t="s">
        <v>3745</v>
      </c>
      <c r="B1456" s="31" t="s">
        <v>3746</v>
      </c>
      <c r="C1456" s="31" t="s">
        <v>179</v>
      </c>
      <c r="D1456" s="31" t="s">
        <v>227</v>
      </c>
      <c r="E1456" s="31" t="s">
        <v>181</v>
      </c>
      <c r="F1456" s="30" t="s">
        <v>3747</v>
      </c>
      <c r="G1456" s="31">
        <v>36</v>
      </c>
      <c r="H1456" s="31" t="s">
        <v>3535</v>
      </c>
      <c r="I1456" s="31" t="s">
        <v>302</v>
      </c>
      <c r="J1456" s="33">
        <v>0</v>
      </c>
      <c r="K1456" s="33">
        <v>0</v>
      </c>
      <c r="L1456" s="33">
        <v>0</v>
      </c>
      <c r="M1456" s="33">
        <f t="shared" si="176"/>
        <v>0</v>
      </c>
      <c r="N1456" s="34">
        <f t="shared" si="182"/>
        <v>0</v>
      </c>
      <c r="O1456" s="35">
        <f>SUM($M$2:M1456)</f>
        <v>190743600</v>
      </c>
      <c r="P1456" s="34">
        <f t="shared" si="183"/>
        <v>1</v>
      </c>
      <c r="Q1456" s="37">
        <v>0</v>
      </c>
      <c r="R1456" s="31">
        <v>0</v>
      </c>
      <c r="S1456" s="31">
        <v>0</v>
      </c>
      <c r="T1456" s="31">
        <v>0</v>
      </c>
      <c r="U1456" s="37">
        <v>15.9</v>
      </c>
      <c r="V1456" s="31">
        <v>4</v>
      </c>
      <c r="W1456" s="31">
        <v>0</v>
      </c>
      <c r="X1456" s="38">
        <v>13</v>
      </c>
      <c r="Y1456" s="31">
        <v>0</v>
      </c>
      <c r="Z1456" s="31">
        <v>0</v>
      </c>
      <c r="AA1456" s="31" t="s">
        <v>212</v>
      </c>
      <c r="AB1456" s="31" t="s">
        <v>220</v>
      </c>
      <c r="AC1456" s="41">
        <f>IFERROR(LOOKUP(M1456,打分卡!$F$7:$J$7,打分卡!$K$7:$O$7),1)</f>
        <v>1</v>
      </c>
      <c r="AD1456" s="41">
        <f>IFERROR(LOOKUP(S1456,打分卡!$F$8:$J$8,打分卡!$K$8:$O$8),1)</f>
        <v>1</v>
      </c>
      <c r="AE1456" s="41">
        <f>IFERROR(LOOKUP(T1456,打分卡!$F$9:$I$9,打分卡!$K$9:$N$9),1)</f>
        <v>1</v>
      </c>
      <c r="AF1456" s="41">
        <f>IFERROR(LOOKUP(Q1456,打分卡!$F$10:$J$10,打分卡!$K$10:$O$10),1)</f>
        <v>1</v>
      </c>
      <c r="AG1456" s="41">
        <f>IFERROR(LOOKUP(R1456,打分卡!$F$11:$J$11,打分卡!$K$11:$O$11),1)</f>
        <v>1</v>
      </c>
      <c r="AH1456" s="41">
        <f>IFERROR(LOOKUP(U1456,打分卡!$F$12:$J$12,打分卡!$K$12:$O$12),1)</f>
        <v>3</v>
      </c>
      <c r="AI1456" s="41">
        <f>IFERROR(LOOKUP(X1456,打分卡!$F$13:$J$13,打分卡!$K$13:$O$13),1)</f>
        <v>1</v>
      </c>
      <c r="AJ1456" s="41">
        <f>IFERROR(LOOKUP(Y1456,打分卡!$F$14:$J$14,打分卡!$K$14:$O$14),1)</f>
        <v>1</v>
      </c>
      <c r="AK1456" s="41">
        <f>IFERROR(LOOKUP(W1456,打分卡!$F$15:$J$15,打分卡!$K$15:$O$15),1)</f>
        <v>1</v>
      </c>
      <c r="AL1456" s="43">
        <f t="shared" si="177"/>
        <v>1</v>
      </c>
      <c r="AM1456" s="41">
        <f>IFERROR(LOOKUP(Z1456,打分卡!$F$17:$H$17,打分卡!$K$17:$M$17),1)</f>
        <v>1</v>
      </c>
      <c r="AN1456" s="44">
        <f>(打分卡!$D$7*AC1456+打分卡!$D$8*AD1456+打分卡!$D$9*AE1456)/5</f>
        <v>8</v>
      </c>
      <c r="AO1456" s="44">
        <f>(打分卡!$D$10*AF1456+打分卡!$D$11*AG1456)/5</f>
        <v>4</v>
      </c>
      <c r="AP1456" s="44">
        <f>(打分卡!$D$12*AH1456+打分卡!$D$13*AI1456+打分卡!$D$14*AJ1456+打分卡!$D$15*AK1456)/5</f>
        <v>10.8</v>
      </c>
      <c r="AQ1456" s="44">
        <f>(打分卡!$D$16*AL1456+打分卡!$D$17*AM1456)/5</f>
        <v>2</v>
      </c>
      <c r="AR1456" s="47">
        <f t="shared" si="178"/>
        <v>24.8</v>
      </c>
      <c r="AS1456" s="43" t="str">
        <f t="shared" si="179"/>
        <v>未激活</v>
      </c>
      <c r="AT1456" s="43" t="str">
        <f t="shared" si="180"/>
        <v>连续下降-预警</v>
      </c>
      <c r="AU1456" s="43" t="str">
        <f t="shared" si="181"/>
        <v>唤醒：短信模板+首充补贴</v>
      </c>
    </row>
    <row r="1457" ht="15" customHeight="1" spans="1:47">
      <c r="A1457" s="20" t="s">
        <v>3748</v>
      </c>
      <c r="B1457" s="22" t="s">
        <v>3749</v>
      </c>
      <c r="C1457" s="22" t="s">
        <v>223</v>
      </c>
      <c r="D1457" s="22" t="s">
        <v>227</v>
      </c>
      <c r="E1457" s="22" t="s">
        <v>181</v>
      </c>
      <c r="F1457" s="20" t="s">
        <v>3750</v>
      </c>
      <c r="G1457" s="22">
        <v>33</v>
      </c>
      <c r="H1457" s="22" t="s">
        <v>3535</v>
      </c>
      <c r="I1457" s="22" t="s">
        <v>302</v>
      </c>
      <c r="J1457" s="36">
        <v>0</v>
      </c>
      <c r="K1457" s="36">
        <v>0</v>
      </c>
      <c r="L1457" s="36">
        <v>0</v>
      </c>
      <c r="M1457" s="36">
        <f t="shared" si="176"/>
        <v>0</v>
      </c>
      <c r="N1457" s="34">
        <f t="shared" si="182"/>
        <v>0</v>
      </c>
      <c r="O1457" s="35">
        <f>SUM($M$2:M1457)</f>
        <v>190743600</v>
      </c>
      <c r="P1457" s="34">
        <f t="shared" si="183"/>
        <v>1</v>
      </c>
      <c r="Q1457" s="39">
        <v>0</v>
      </c>
      <c r="R1457" s="22">
        <v>0</v>
      </c>
      <c r="S1457" s="22">
        <v>0</v>
      </c>
      <c r="T1457" s="22">
        <v>0</v>
      </c>
      <c r="U1457" s="39">
        <v>5</v>
      </c>
      <c r="V1457" s="22">
        <v>12</v>
      </c>
      <c r="W1457" s="22">
        <v>1</v>
      </c>
      <c r="X1457" s="40">
        <v>6</v>
      </c>
      <c r="Y1457" s="22">
        <v>0</v>
      </c>
      <c r="Z1457" s="22">
        <v>0</v>
      </c>
      <c r="AA1457" s="22" t="s">
        <v>212</v>
      </c>
      <c r="AB1457" s="22" t="s">
        <v>220</v>
      </c>
      <c r="AC1457" s="42">
        <f>IFERROR(LOOKUP(M1457,打分卡!$F$7:$J$7,打分卡!$K$7:$O$7),1)</f>
        <v>1</v>
      </c>
      <c r="AD1457" s="42">
        <f>IFERROR(LOOKUP(S1457,打分卡!$F$8:$J$8,打分卡!$K$8:$O$8),1)</f>
        <v>1</v>
      </c>
      <c r="AE1457" s="42">
        <f>IFERROR(LOOKUP(T1457,打分卡!$F$9:$I$9,打分卡!$K$9:$N$9),1)</f>
        <v>1</v>
      </c>
      <c r="AF1457" s="42">
        <f>IFERROR(LOOKUP(Q1457,打分卡!$F$10:$J$10,打分卡!$K$10:$O$10),1)</f>
        <v>1</v>
      </c>
      <c r="AG1457" s="42">
        <f>IFERROR(LOOKUP(R1457,打分卡!$F$11:$J$11,打分卡!$K$11:$O$11),1)</f>
        <v>1</v>
      </c>
      <c r="AH1457" s="42">
        <f>IFERROR(LOOKUP(U1457,打分卡!$F$12:$J$12,打分卡!$K$12:$O$12),1)</f>
        <v>2</v>
      </c>
      <c r="AI1457" s="42">
        <f>IFERROR(LOOKUP(X1457,打分卡!$F$13:$J$13,打分卡!$K$13:$O$13),1)</f>
        <v>1</v>
      </c>
      <c r="AJ1457" s="42">
        <f>IFERROR(LOOKUP(Y1457,打分卡!$F$14:$J$14,打分卡!$K$14:$O$14),1)</f>
        <v>1</v>
      </c>
      <c r="AK1457" s="42">
        <f>IFERROR(LOOKUP(W1457,打分卡!$F$15:$J$15,打分卡!$K$15:$O$15),1)</f>
        <v>2</v>
      </c>
      <c r="AL1457" s="45">
        <f t="shared" si="177"/>
        <v>1</v>
      </c>
      <c r="AM1457" s="42">
        <f>IFERROR(LOOKUP(Z1457,打分卡!$F$17:$H$17,打分卡!$K$17:$M$17),1)</f>
        <v>1</v>
      </c>
      <c r="AN1457" s="46">
        <f>(打分卡!$D$7*AC1457+打分卡!$D$8*AD1457+打分卡!$D$9*AE1457)/5</f>
        <v>8</v>
      </c>
      <c r="AO1457" s="46">
        <f>(打分卡!$D$10*AF1457+打分卡!$D$11*AG1457)/5</f>
        <v>4</v>
      </c>
      <c r="AP1457" s="46">
        <f>(打分卡!$D$12*AH1457+打分卡!$D$13*AI1457+打分卡!$D$14*AJ1457+打分卡!$D$15*AK1457)/5</f>
        <v>9.2</v>
      </c>
      <c r="AQ1457" s="46">
        <f>(打分卡!$D$16*AL1457+打分卡!$D$17*AM1457)/5</f>
        <v>2</v>
      </c>
      <c r="AR1457" s="48">
        <f t="shared" si="178"/>
        <v>23.2</v>
      </c>
      <c r="AS1457" s="45" t="str">
        <f t="shared" si="179"/>
        <v>未激活</v>
      </c>
      <c r="AT1457" s="45" t="str">
        <f t="shared" si="180"/>
        <v>连续下降-预警</v>
      </c>
      <c r="AU1457" s="45" t="str">
        <f t="shared" si="181"/>
        <v>唤醒：短信模板+首充补贴</v>
      </c>
    </row>
    <row r="1458" ht="15" customHeight="1" spans="1:47">
      <c r="A1458" s="30" t="s">
        <v>3751</v>
      </c>
      <c r="B1458" s="31" t="s">
        <v>3752</v>
      </c>
      <c r="C1458" s="31" t="s">
        <v>179</v>
      </c>
      <c r="D1458" s="31" t="s">
        <v>202</v>
      </c>
      <c r="E1458" s="31" t="s">
        <v>181</v>
      </c>
      <c r="F1458" s="30" t="s">
        <v>2234</v>
      </c>
      <c r="G1458" s="31">
        <v>16</v>
      </c>
      <c r="H1458" s="31" t="s">
        <v>3535</v>
      </c>
      <c r="I1458" s="31" t="s">
        <v>302</v>
      </c>
      <c r="J1458" s="33">
        <v>0</v>
      </c>
      <c r="K1458" s="33">
        <v>0</v>
      </c>
      <c r="L1458" s="33">
        <v>0</v>
      </c>
      <c r="M1458" s="33">
        <f t="shared" si="176"/>
        <v>0</v>
      </c>
      <c r="N1458" s="34">
        <f t="shared" si="182"/>
        <v>0</v>
      </c>
      <c r="O1458" s="35">
        <f>SUM($M$2:M1458)</f>
        <v>190743600</v>
      </c>
      <c r="P1458" s="34">
        <f t="shared" si="183"/>
        <v>1</v>
      </c>
      <c r="Q1458" s="37">
        <v>0</v>
      </c>
      <c r="R1458" s="31">
        <v>0</v>
      </c>
      <c r="S1458" s="31">
        <v>0</v>
      </c>
      <c r="T1458" s="31">
        <v>0</v>
      </c>
      <c r="U1458" s="37">
        <v>34.8</v>
      </c>
      <c r="V1458" s="31">
        <v>8</v>
      </c>
      <c r="W1458" s="31">
        <v>1</v>
      </c>
      <c r="X1458" s="38">
        <v>11</v>
      </c>
      <c r="Y1458" s="31">
        <v>1</v>
      </c>
      <c r="Z1458" s="31">
        <v>0</v>
      </c>
      <c r="AA1458" s="31" t="s">
        <v>212</v>
      </c>
      <c r="AB1458" s="31" t="s">
        <v>220</v>
      </c>
      <c r="AC1458" s="41">
        <f>IFERROR(LOOKUP(M1458,打分卡!$F$7:$J$7,打分卡!$K$7:$O$7),1)</f>
        <v>1</v>
      </c>
      <c r="AD1458" s="41">
        <f>IFERROR(LOOKUP(S1458,打分卡!$F$8:$J$8,打分卡!$K$8:$O$8),1)</f>
        <v>1</v>
      </c>
      <c r="AE1458" s="41">
        <f>IFERROR(LOOKUP(T1458,打分卡!$F$9:$I$9,打分卡!$K$9:$N$9),1)</f>
        <v>1</v>
      </c>
      <c r="AF1458" s="41">
        <f>IFERROR(LOOKUP(Q1458,打分卡!$F$10:$J$10,打分卡!$K$10:$O$10),1)</f>
        <v>1</v>
      </c>
      <c r="AG1458" s="41">
        <f>IFERROR(LOOKUP(R1458,打分卡!$F$11:$J$11,打分卡!$K$11:$O$11),1)</f>
        <v>1</v>
      </c>
      <c r="AH1458" s="41">
        <f>IFERROR(LOOKUP(U1458,打分卡!$F$12:$J$12,打分卡!$K$12:$O$12),1)</f>
        <v>4</v>
      </c>
      <c r="AI1458" s="41">
        <f>IFERROR(LOOKUP(X1458,打分卡!$F$13:$J$13,打分卡!$K$13:$O$13),1)</f>
        <v>1</v>
      </c>
      <c r="AJ1458" s="41">
        <f>IFERROR(LOOKUP(Y1458,打分卡!$F$14:$J$14,打分卡!$K$14:$O$14),1)</f>
        <v>2</v>
      </c>
      <c r="AK1458" s="41">
        <f>IFERROR(LOOKUP(W1458,打分卡!$F$15:$J$15,打分卡!$K$15:$O$15),1)</f>
        <v>2</v>
      </c>
      <c r="AL1458" s="43">
        <f t="shared" si="177"/>
        <v>1</v>
      </c>
      <c r="AM1458" s="41">
        <f>IFERROR(LOOKUP(Z1458,打分卡!$F$17:$H$17,打分卡!$K$17:$M$17),1)</f>
        <v>1</v>
      </c>
      <c r="AN1458" s="44">
        <f>(打分卡!$D$7*AC1458+打分卡!$D$8*AD1458+打分卡!$D$9*AE1458)/5</f>
        <v>8</v>
      </c>
      <c r="AO1458" s="44">
        <f>(打分卡!$D$10*AF1458+打分卡!$D$11*AG1458)/5</f>
        <v>4</v>
      </c>
      <c r="AP1458" s="44">
        <f>(打分卡!$D$12*AH1458+打分卡!$D$13*AI1458+打分卡!$D$14*AJ1458+打分卡!$D$15*AK1458)/5</f>
        <v>15.2</v>
      </c>
      <c r="AQ1458" s="44">
        <f>(打分卡!$D$16*AL1458+打分卡!$D$17*AM1458)/5</f>
        <v>2</v>
      </c>
      <c r="AR1458" s="47">
        <f t="shared" si="178"/>
        <v>29.2</v>
      </c>
      <c r="AS1458" s="43" t="str">
        <f t="shared" si="179"/>
        <v>未激活</v>
      </c>
      <c r="AT1458" s="43" t="str">
        <f t="shared" si="180"/>
        <v>连续下降-预警</v>
      </c>
      <c r="AU1458" s="43" t="str">
        <f t="shared" si="181"/>
        <v>唤醒：短信模板+首充补贴</v>
      </c>
    </row>
    <row r="1459" ht="15" customHeight="1" spans="1:47">
      <c r="A1459" s="20" t="s">
        <v>3753</v>
      </c>
      <c r="B1459" s="22" t="s">
        <v>3754</v>
      </c>
      <c r="C1459" s="22" t="s">
        <v>234</v>
      </c>
      <c r="D1459" s="22" t="s">
        <v>202</v>
      </c>
      <c r="E1459" s="22" t="s">
        <v>181</v>
      </c>
      <c r="F1459" s="20" t="s">
        <v>1383</v>
      </c>
      <c r="G1459" s="22">
        <v>13</v>
      </c>
      <c r="H1459" s="22" t="s">
        <v>3535</v>
      </c>
      <c r="I1459" s="22" t="s">
        <v>302</v>
      </c>
      <c r="J1459" s="36">
        <v>0</v>
      </c>
      <c r="K1459" s="36">
        <v>0</v>
      </c>
      <c r="L1459" s="36">
        <v>0</v>
      </c>
      <c r="M1459" s="36">
        <f t="shared" si="176"/>
        <v>0</v>
      </c>
      <c r="N1459" s="34">
        <f t="shared" si="182"/>
        <v>0</v>
      </c>
      <c r="O1459" s="35">
        <f>SUM($M$2:M1459)</f>
        <v>190743600</v>
      </c>
      <c r="P1459" s="34">
        <f t="shared" si="183"/>
        <v>1</v>
      </c>
      <c r="Q1459" s="39">
        <v>0</v>
      </c>
      <c r="R1459" s="22">
        <v>0</v>
      </c>
      <c r="S1459" s="22">
        <v>0</v>
      </c>
      <c r="T1459" s="22">
        <v>0</v>
      </c>
      <c r="U1459" s="39">
        <v>7</v>
      </c>
      <c r="V1459" s="22">
        <v>12</v>
      </c>
      <c r="W1459" s="22">
        <v>1</v>
      </c>
      <c r="X1459" s="40">
        <v>18</v>
      </c>
      <c r="Y1459" s="22">
        <v>1</v>
      </c>
      <c r="Z1459" s="22">
        <v>0</v>
      </c>
      <c r="AA1459" s="22" t="s">
        <v>212</v>
      </c>
      <c r="AB1459" s="22" t="s">
        <v>220</v>
      </c>
      <c r="AC1459" s="42">
        <f>IFERROR(LOOKUP(M1459,打分卡!$F$7:$J$7,打分卡!$K$7:$O$7),1)</f>
        <v>1</v>
      </c>
      <c r="AD1459" s="42">
        <f>IFERROR(LOOKUP(S1459,打分卡!$F$8:$J$8,打分卡!$K$8:$O$8),1)</f>
        <v>1</v>
      </c>
      <c r="AE1459" s="42">
        <f>IFERROR(LOOKUP(T1459,打分卡!$F$9:$I$9,打分卡!$K$9:$N$9),1)</f>
        <v>1</v>
      </c>
      <c r="AF1459" s="42">
        <f>IFERROR(LOOKUP(Q1459,打分卡!$F$10:$J$10,打分卡!$K$10:$O$10),1)</f>
        <v>1</v>
      </c>
      <c r="AG1459" s="42">
        <f>IFERROR(LOOKUP(R1459,打分卡!$F$11:$J$11,打分卡!$K$11:$O$11),1)</f>
        <v>1</v>
      </c>
      <c r="AH1459" s="42">
        <f>IFERROR(LOOKUP(U1459,打分卡!$F$12:$J$12,打分卡!$K$12:$O$12),1)</f>
        <v>2</v>
      </c>
      <c r="AI1459" s="42">
        <f>IFERROR(LOOKUP(X1459,打分卡!$F$13:$J$13,打分卡!$K$13:$O$13),1)</f>
        <v>2</v>
      </c>
      <c r="AJ1459" s="42">
        <f>IFERROR(LOOKUP(Y1459,打分卡!$F$14:$J$14,打分卡!$K$14:$O$14),1)</f>
        <v>2</v>
      </c>
      <c r="AK1459" s="42">
        <f>IFERROR(LOOKUP(W1459,打分卡!$F$15:$J$15,打分卡!$K$15:$O$15),1)</f>
        <v>2</v>
      </c>
      <c r="AL1459" s="45">
        <f t="shared" si="177"/>
        <v>1</v>
      </c>
      <c r="AM1459" s="42">
        <f>IFERROR(LOOKUP(Z1459,打分卡!$F$17:$H$17,打分卡!$K$17:$M$17),1)</f>
        <v>1</v>
      </c>
      <c r="AN1459" s="46">
        <f>(打分卡!$D$7*AC1459+打分卡!$D$8*AD1459+打分卡!$D$9*AE1459)/5</f>
        <v>8</v>
      </c>
      <c r="AO1459" s="46">
        <f>(打分卡!$D$10*AF1459+打分卡!$D$11*AG1459)/5</f>
        <v>4</v>
      </c>
      <c r="AP1459" s="46">
        <f>(打分卡!$D$12*AH1459+打分卡!$D$13*AI1459+打分卡!$D$14*AJ1459+打分卡!$D$15*AK1459)/5</f>
        <v>12</v>
      </c>
      <c r="AQ1459" s="46">
        <f>(打分卡!$D$16*AL1459+打分卡!$D$17*AM1459)/5</f>
        <v>2</v>
      </c>
      <c r="AR1459" s="48">
        <f t="shared" si="178"/>
        <v>26</v>
      </c>
      <c r="AS1459" s="45" t="str">
        <f t="shared" si="179"/>
        <v>未激活</v>
      </c>
      <c r="AT1459" s="45" t="str">
        <f t="shared" si="180"/>
        <v>连续下降-预警</v>
      </c>
      <c r="AU1459" s="45" t="str">
        <f t="shared" si="181"/>
        <v>唤醒：短信模板+首充补贴</v>
      </c>
    </row>
    <row r="1460" ht="15" customHeight="1" spans="1:47">
      <c r="A1460" s="30" t="s">
        <v>3755</v>
      </c>
      <c r="B1460" s="31" t="s">
        <v>3756</v>
      </c>
      <c r="C1460" s="31" t="s">
        <v>239</v>
      </c>
      <c r="D1460" s="31" t="s">
        <v>235</v>
      </c>
      <c r="E1460" s="31" t="s">
        <v>181</v>
      </c>
      <c r="F1460" s="30" t="s">
        <v>615</v>
      </c>
      <c r="G1460" s="31">
        <v>14</v>
      </c>
      <c r="H1460" s="31" t="s">
        <v>3535</v>
      </c>
      <c r="I1460" s="31" t="s">
        <v>302</v>
      </c>
      <c r="J1460" s="33">
        <v>0</v>
      </c>
      <c r="K1460" s="33">
        <v>0</v>
      </c>
      <c r="L1460" s="33">
        <v>0</v>
      </c>
      <c r="M1460" s="33">
        <f t="shared" si="176"/>
        <v>0</v>
      </c>
      <c r="N1460" s="34">
        <f t="shared" si="182"/>
        <v>0</v>
      </c>
      <c r="O1460" s="35">
        <f>SUM($M$2:M1460)</f>
        <v>190743600</v>
      </c>
      <c r="P1460" s="34">
        <f t="shared" si="183"/>
        <v>1</v>
      </c>
      <c r="Q1460" s="37">
        <v>0</v>
      </c>
      <c r="R1460" s="31">
        <v>0</v>
      </c>
      <c r="S1460" s="31">
        <v>0</v>
      </c>
      <c r="T1460" s="31">
        <v>0</v>
      </c>
      <c r="U1460" s="37">
        <v>20.6</v>
      </c>
      <c r="V1460" s="31">
        <v>15</v>
      </c>
      <c r="W1460" s="31">
        <v>0</v>
      </c>
      <c r="X1460" s="38">
        <v>7</v>
      </c>
      <c r="Y1460" s="31">
        <v>0</v>
      </c>
      <c r="Z1460" s="31">
        <v>0</v>
      </c>
      <c r="AA1460" s="31" t="s">
        <v>212</v>
      </c>
      <c r="AB1460" s="31" t="s">
        <v>220</v>
      </c>
      <c r="AC1460" s="41">
        <f>IFERROR(LOOKUP(M1460,打分卡!$F$7:$J$7,打分卡!$K$7:$O$7),1)</f>
        <v>1</v>
      </c>
      <c r="AD1460" s="41">
        <f>IFERROR(LOOKUP(S1460,打分卡!$F$8:$J$8,打分卡!$K$8:$O$8),1)</f>
        <v>1</v>
      </c>
      <c r="AE1460" s="41">
        <f>IFERROR(LOOKUP(T1460,打分卡!$F$9:$I$9,打分卡!$K$9:$N$9),1)</f>
        <v>1</v>
      </c>
      <c r="AF1460" s="41">
        <f>IFERROR(LOOKUP(Q1460,打分卡!$F$10:$J$10,打分卡!$K$10:$O$10),1)</f>
        <v>1</v>
      </c>
      <c r="AG1460" s="41">
        <f>IFERROR(LOOKUP(R1460,打分卡!$F$11:$J$11,打分卡!$K$11:$O$11),1)</f>
        <v>1</v>
      </c>
      <c r="AH1460" s="41">
        <f>IFERROR(LOOKUP(U1460,打分卡!$F$12:$J$12,打分卡!$K$12:$O$12),1)</f>
        <v>3</v>
      </c>
      <c r="AI1460" s="41">
        <f>IFERROR(LOOKUP(X1460,打分卡!$F$13:$J$13,打分卡!$K$13:$O$13),1)</f>
        <v>1</v>
      </c>
      <c r="AJ1460" s="41">
        <f>IFERROR(LOOKUP(Y1460,打分卡!$F$14:$J$14,打分卡!$K$14:$O$14),1)</f>
        <v>1</v>
      </c>
      <c r="AK1460" s="41">
        <f>IFERROR(LOOKUP(W1460,打分卡!$F$15:$J$15,打分卡!$K$15:$O$15),1)</f>
        <v>1</v>
      </c>
      <c r="AL1460" s="43">
        <f t="shared" si="177"/>
        <v>1</v>
      </c>
      <c r="AM1460" s="41">
        <f>IFERROR(LOOKUP(Z1460,打分卡!$F$17:$H$17,打分卡!$K$17:$M$17),1)</f>
        <v>1</v>
      </c>
      <c r="AN1460" s="44">
        <f>(打分卡!$D$7*AC1460+打分卡!$D$8*AD1460+打分卡!$D$9*AE1460)/5</f>
        <v>8</v>
      </c>
      <c r="AO1460" s="44">
        <f>(打分卡!$D$10*AF1460+打分卡!$D$11*AG1460)/5</f>
        <v>4</v>
      </c>
      <c r="AP1460" s="44">
        <f>(打分卡!$D$12*AH1460+打分卡!$D$13*AI1460+打分卡!$D$14*AJ1460+打分卡!$D$15*AK1460)/5</f>
        <v>10.8</v>
      </c>
      <c r="AQ1460" s="44">
        <f>(打分卡!$D$16*AL1460+打分卡!$D$17*AM1460)/5</f>
        <v>2</v>
      </c>
      <c r="AR1460" s="47">
        <f t="shared" si="178"/>
        <v>24.8</v>
      </c>
      <c r="AS1460" s="43" t="str">
        <f t="shared" si="179"/>
        <v>未激活</v>
      </c>
      <c r="AT1460" s="43" t="str">
        <f t="shared" si="180"/>
        <v>连续下降-预警</v>
      </c>
      <c r="AU1460" s="43" t="str">
        <f t="shared" si="181"/>
        <v>唤醒：短信模板+首充补贴</v>
      </c>
    </row>
    <row r="1461" ht="15" customHeight="1" spans="1:47">
      <c r="A1461" s="20" t="s">
        <v>3757</v>
      </c>
      <c r="B1461" s="22" t="s">
        <v>3758</v>
      </c>
      <c r="C1461" s="22" t="s">
        <v>189</v>
      </c>
      <c r="D1461" s="22" t="s">
        <v>196</v>
      </c>
      <c r="E1461" s="22" t="s">
        <v>197</v>
      </c>
      <c r="F1461" s="20" t="s">
        <v>3759</v>
      </c>
      <c r="G1461" s="22">
        <v>25</v>
      </c>
      <c r="H1461" s="22" t="s">
        <v>3535</v>
      </c>
      <c r="I1461" s="22" t="s">
        <v>302</v>
      </c>
      <c r="J1461" s="36">
        <v>0</v>
      </c>
      <c r="K1461" s="36">
        <v>0</v>
      </c>
      <c r="L1461" s="36">
        <v>0</v>
      </c>
      <c r="M1461" s="36">
        <f t="shared" si="176"/>
        <v>0</v>
      </c>
      <c r="N1461" s="34">
        <f t="shared" si="182"/>
        <v>0</v>
      </c>
      <c r="O1461" s="35">
        <f>SUM($M$2:M1461)</f>
        <v>190743600</v>
      </c>
      <c r="P1461" s="34">
        <f t="shared" si="183"/>
        <v>1</v>
      </c>
      <c r="Q1461" s="39">
        <v>0</v>
      </c>
      <c r="R1461" s="22">
        <v>0</v>
      </c>
      <c r="S1461" s="22">
        <v>0</v>
      </c>
      <c r="T1461" s="22">
        <v>0</v>
      </c>
      <c r="U1461" s="39">
        <v>13.9</v>
      </c>
      <c r="V1461" s="22">
        <v>3</v>
      </c>
      <c r="W1461" s="22">
        <v>1</v>
      </c>
      <c r="X1461" s="40">
        <v>14</v>
      </c>
      <c r="Y1461" s="22">
        <v>0</v>
      </c>
      <c r="Z1461" s="22">
        <v>0</v>
      </c>
      <c r="AA1461" s="22" t="s">
        <v>212</v>
      </c>
      <c r="AB1461" s="22" t="s">
        <v>220</v>
      </c>
      <c r="AC1461" s="42">
        <f>IFERROR(LOOKUP(M1461,打分卡!$F$7:$J$7,打分卡!$K$7:$O$7),1)</f>
        <v>1</v>
      </c>
      <c r="AD1461" s="42">
        <f>IFERROR(LOOKUP(S1461,打分卡!$F$8:$J$8,打分卡!$K$8:$O$8),1)</f>
        <v>1</v>
      </c>
      <c r="AE1461" s="42">
        <f>IFERROR(LOOKUP(T1461,打分卡!$F$9:$I$9,打分卡!$K$9:$N$9),1)</f>
        <v>1</v>
      </c>
      <c r="AF1461" s="42">
        <f>IFERROR(LOOKUP(Q1461,打分卡!$F$10:$J$10,打分卡!$K$10:$O$10),1)</f>
        <v>1</v>
      </c>
      <c r="AG1461" s="42">
        <f>IFERROR(LOOKUP(R1461,打分卡!$F$11:$J$11,打分卡!$K$11:$O$11),1)</f>
        <v>1</v>
      </c>
      <c r="AH1461" s="42">
        <f>IFERROR(LOOKUP(U1461,打分卡!$F$12:$J$12,打分卡!$K$12:$O$12),1)</f>
        <v>3</v>
      </c>
      <c r="AI1461" s="42">
        <f>IFERROR(LOOKUP(X1461,打分卡!$F$13:$J$13,打分卡!$K$13:$O$13),1)</f>
        <v>1</v>
      </c>
      <c r="AJ1461" s="42">
        <f>IFERROR(LOOKUP(Y1461,打分卡!$F$14:$J$14,打分卡!$K$14:$O$14),1)</f>
        <v>1</v>
      </c>
      <c r="AK1461" s="42">
        <f>IFERROR(LOOKUP(W1461,打分卡!$F$15:$J$15,打分卡!$K$15:$O$15),1)</f>
        <v>2</v>
      </c>
      <c r="AL1461" s="45">
        <f t="shared" si="177"/>
        <v>1</v>
      </c>
      <c r="AM1461" s="42">
        <f>IFERROR(LOOKUP(Z1461,打分卡!$F$17:$H$17,打分卡!$K$17:$M$17),1)</f>
        <v>1</v>
      </c>
      <c r="AN1461" s="46">
        <f>(打分卡!$D$7*AC1461+打分卡!$D$8*AD1461+打分卡!$D$9*AE1461)/5</f>
        <v>8</v>
      </c>
      <c r="AO1461" s="46">
        <f>(打分卡!$D$10*AF1461+打分卡!$D$11*AG1461)/5</f>
        <v>4</v>
      </c>
      <c r="AP1461" s="46">
        <f>(打分卡!$D$12*AH1461+打分卡!$D$13*AI1461+打分卡!$D$14*AJ1461+打分卡!$D$15*AK1461)/5</f>
        <v>11.6</v>
      </c>
      <c r="AQ1461" s="46">
        <f>(打分卡!$D$16*AL1461+打分卡!$D$17*AM1461)/5</f>
        <v>2</v>
      </c>
      <c r="AR1461" s="48">
        <f t="shared" si="178"/>
        <v>25.6</v>
      </c>
      <c r="AS1461" s="45" t="str">
        <f t="shared" si="179"/>
        <v>未激活</v>
      </c>
      <c r="AT1461" s="45" t="str">
        <f t="shared" si="180"/>
        <v>连续下降-预警</v>
      </c>
      <c r="AU1461" s="45" t="str">
        <f t="shared" si="181"/>
        <v>唤醒：短信模板+首充补贴</v>
      </c>
    </row>
    <row r="1462" ht="15" customHeight="1" spans="1:47">
      <c r="A1462" s="30" t="s">
        <v>3760</v>
      </c>
      <c r="B1462" s="31" t="s">
        <v>3761</v>
      </c>
      <c r="C1462" s="31" t="s">
        <v>223</v>
      </c>
      <c r="D1462" s="31" t="s">
        <v>190</v>
      </c>
      <c r="E1462" s="31" t="s">
        <v>181</v>
      </c>
      <c r="F1462" s="30" t="s">
        <v>3762</v>
      </c>
      <c r="G1462" s="31">
        <v>33</v>
      </c>
      <c r="H1462" s="31" t="s">
        <v>3535</v>
      </c>
      <c r="I1462" s="31" t="s">
        <v>302</v>
      </c>
      <c r="J1462" s="33">
        <v>0</v>
      </c>
      <c r="K1462" s="33">
        <v>0</v>
      </c>
      <c r="L1462" s="33">
        <v>0</v>
      </c>
      <c r="M1462" s="33">
        <f t="shared" si="176"/>
        <v>0</v>
      </c>
      <c r="N1462" s="34">
        <f t="shared" si="182"/>
        <v>0</v>
      </c>
      <c r="O1462" s="35">
        <f>SUM($M$2:M1462)</f>
        <v>190743600</v>
      </c>
      <c r="P1462" s="34">
        <f t="shared" si="183"/>
        <v>1</v>
      </c>
      <c r="Q1462" s="37">
        <v>0</v>
      </c>
      <c r="R1462" s="31">
        <v>0</v>
      </c>
      <c r="S1462" s="31">
        <v>0</v>
      </c>
      <c r="T1462" s="31">
        <v>0</v>
      </c>
      <c r="U1462" s="37">
        <v>22.3</v>
      </c>
      <c r="V1462" s="31">
        <v>4</v>
      </c>
      <c r="W1462" s="31">
        <v>1</v>
      </c>
      <c r="X1462" s="38">
        <v>27</v>
      </c>
      <c r="Y1462" s="31">
        <v>1</v>
      </c>
      <c r="Z1462" s="31">
        <v>0</v>
      </c>
      <c r="AA1462" s="31" t="s">
        <v>212</v>
      </c>
      <c r="AB1462" s="31" t="s">
        <v>220</v>
      </c>
      <c r="AC1462" s="41">
        <f>IFERROR(LOOKUP(M1462,打分卡!$F$7:$J$7,打分卡!$K$7:$O$7),1)</f>
        <v>1</v>
      </c>
      <c r="AD1462" s="41">
        <f>IFERROR(LOOKUP(S1462,打分卡!$F$8:$J$8,打分卡!$K$8:$O$8),1)</f>
        <v>1</v>
      </c>
      <c r="AE1462" s="41">
        <f>IFERROR(LOOKUP(T1462,打分卡!$F$9:$I$9,打分卡!$K$9:$N$9),1)</f>
        <v>1</v>
      </c>
      <c r="AF1462" s="41">
        <f>IFERROR(LOOKUP(Q1462,打分卡!$F$10:$J$10,打分卡!$K$10:$O$10),1)</f>
        <v>1</v>
      </c>
      <c r="AG1462" s="41">
        <f>IFERROR(LOOKUP(R1462,打分卡!$F$11:$J$11,打分卡!$K$11:$O$11),1)</f>
        <v>1</v>
      </c>
      <c r="AH1462" s="41">
        <f>IFERROR(LOOKUP(U1462,打分卡!$F$12:$J$12,打分卡!$K$12:$O$12),1)</f>
        <v>3</v>
      </c>
      <c r="AI1462" s="41">
        <f>IFERROR(LOOKUP(X1462,打分卡!$F$13:$J$13,打分卡!$K$13:$O$13),1)</f>
        <v>2</v>
      </c>
      <c r="AJ1462" s="41">
        <f>IFERROR(LOOKUP(Y1462,打分卡!$F$14:$J$14,打分卡!$K$14:$O$14),1)</f>
        <v>2</v>
      </c>
      <c r="AK1462" s="41">
        <f>IFERROR(LOOKUP(W1462,打分卡!$F$15:$J$15,打分卡!$K$15:$O$15),1)</f>
        <v>2</v>
      </c>
      <c r="AL1462" s="43">
        <f t="shared" si="177"/>
        <v>1</v>
      </c>
      <c r="AM1462" s="41">
        <f>IFERROR(LOOKUP(Z1462,打分卡!$F$17:$H$17,打分卡!$K$17:$M$17),1)</f>
        <v>1</v>
      </c>
      <c r="AN1462" s="44">
        <f>(打分卡!$D$7*AC1462+打分卡!$D$8*AD1462+打分卡!$D$9*AE1462)/5</f>
        <v>8</v>
      </c>
      <c r="AO1462" s="44">
        <f>(打分卡!$D$10*AF1462+打分卡!$D$11*AG1462)/5</f>
        <v>4</v>
      </c>
      <c r="AP1462" s="44">
        <f>(打分卡!$D$12*AH1462+打分卡!$D$13*AI1462+打分卡!$D$14*AJ1462+打分卡!$D$15*AK1462)/5</f>
        <v>14.4</v>
      </c>
      <c r="AQ1462" s="44">
        <f>(打分卡!$D$16*AL1462+打分卡!$D$17*AM1462)/5</f>
        <v>2</v>
      </c>
      <c r="AR1462" s="47">
        <f t="shared" si="178"/>
        <v>28.4</v>
      </c>
      <c r="AS1462" s="43" t="str">
        <f t="shared" si="179"/>
        <v>未激活</v>
      </c>
      <c r="AT1462" s="43" t="str">
        <f t="shared" si="180"/>
        <v>连续下降-预警</v>
      </c>
      <c r="AU1462" s="43" t="str">
        <f t="shared" si="181"/>
        <v>唤醒：短信模板+首充补贴</v>
      </c>
    </row>
    <row r="1463" ht="15" customHeight="1" spans="1:47">
      <c r="A1463" s="20" t="s">
        <v>3763</v>
      </c>
      <c r="B1463" s="22" t="s">
        <v>3764</v>
      </c>
      <c r="C1463" s="22" t="s">
        <v>179</v>
      </c>
      <c r="D1463" s="22" t="s">
        <v>202</v>
      </c>
      <c r="E1463" s="22" t="s">
        <v>181</v>
      </c>
      <c r="F1463" s="20" t="s">
        <v>3765</v>
      </c>
      <c r="G1463" s="22">
        <v>21</v>
      </c>
      <c r="H1463" s="22" t="s">
        <v>3535</v>
      </c>
      <c r="I1463" s="22" t="s">
        <v>302</v>
      </c>
      <c r="J1463" s="36">
        <v>0</v>
      </c>
      <c r="K1463" s="36">
        <v>0</v>
      </c>
      <c r="L1463" s="36">
        <v>0</v>
      </c>
      <c r="M1463" s="36">
        <f t="shared" si="176"/>
        <v>0</v>
      </c>
      <c r="N1463" s="34">
        <f t="shared" si="182"/>
        <v>0</v>
      </c>
      <c r="O1463" s="35">
        <f>SUM($M$2:M1463)</f>
        <v>190743600</v>
      </c>
      <c r="P1463" s="34">
        <f t="shared" si="183"/>
        <v>1</v>
      </c>
      <c r="Q1463" s="39">
        <v>0</v>
      </c>
      <c r="R1463" s="22">
        <v>0</v>
      </c>
      <c r="S1463" s="22">
        <v>0</v>
      </c>
      <c r="T1463" s="22">
        <v>0</v>
      </c>
      <c r="U1463" s="39">
        <v>17.7</v>
      </c>
      <c r="V1463" s="22">
        <v>4</v>
      </c>
      <c r="W1463" s="22">
        <v>0</v>
      </c>
      <c r="X1463" s="40">
        <v>21</v>
      </c>
      <c r="Y1463" s="22">
        <v>1</v>
      </c>
      <c r="Z1463" s="22">
        <v>0</v>
      </c>
      <c r="AA1463" s="22" t="s">
        <v>212</v>
      </c>
      <c r="AB1463" s="22" t="s">
        <v>220</v>
      </c>
      <c r="AC1463" s="42">
        <f>IFERROR(LOOKUP(M1463,打分卡!$F$7:$J$7,打分卡!$K$7:$O$7),1)</f>
        <v>1</v>
      </c>
      <c r="AD1463" s="42">
        <f>IFERROR(LOOKUP(S1463,打分卡!$F$8:$J$8,打分卡!$K$8:$O$8),1)</f>
        <v>1</v>
      </c>
      <c r="AE1463" s="42">
        <f>IFERROR(LOOKUP(T1463,打分卡!$F$9:$I$9,打分卡!$K$9:$N$9),1)</f>
        <v>1</v>
      </c>
      <c r="AF1463" s="42">
        <f>IFERROR(LOOKUP(Q1463,打分卡!$F$10:$J$10,打分卡!$K$10:$O$10),1)</f>
        <v>1</v>
      </c>
      <c r="AG1463" s="42">
        <f>IFERROR(LOOKUP(R1463,打分卡!$F$11:$J$11,打分卡!$K$11:$O$11),1)</f>
        <v>1</v>
      </c>
      <c r="AH1463" s="42">
        <f>IFERROR(LOOKUP(U1463,打分卡!$F$12:$J$12,打分卡!$K$12:$O$12),1)</f>
        <v>3</v>
      </c>
      <c r="AI1463" s="42">
        <f>IFERROR(LOOKUP(X1463,打分卡!$F$13:$J$13,打分卡!$K$13:$O$13),1)</f>
        <v>2</v>
      </c>
      <c r="AJ1463" s="42">
        <f>IFERROR(LOOKUP(Y1463,打分卡!$F$14:$J$14,打分卡!$K$14:$O$14),1)</f>
        <v>2</v>
      </c>
      <c r="AK1463" s="42">
        <f>IFERROR(LOOKUP(W1463,打分卡!$F$15:$J$15,打分卡!$K$15:$O$15),1)</f>
        <v>1</v>
      </c>
      <c r="AL1463" s="45">
        <f t="shared" si="177"/>
        <v>1</v>
      </c>
      <c r="AM1463" s="42">
        <f>IFERROR(LOOKUP(Z1463,打分卡!$F$17:$H$17,打分卡!$K$17:$M$17),1)</f>
        <v>1</v>
      </c>
      <c r="AN1463" s="46">
        <f>(打分卡!$D$7*AC1463+打分卡!$D$8*AD1463+打分卡!$D$9*AE1463)/5</f>
        <v>8</v>
      </c>
      <c r="AO1463" s="46">
        <f>(打分卡!$D$10*AF1463+打分卡!$D$11*AG1463)/5</f>
        <v>4</v>
      </c>
      <c r="AP1463" s="46">
        <f>(打分卡!$D$12*AH1463+打分卡!$D$13*AI1463+打分卡!$D$14*AJ1463+打分卡!$D$15*AK1463)/5</f>
        <v>13.6</v>
      </c>
      <c r="AQ1463" s="46">
        <f>(打分卡!$D$16*AL1463+打分卡!$D$17*AM1463)/5</f>
        <v>2</v>
      </c>
      <c r="AR1463" s="48">
        <f t="shared" si="178"/>
        <v>27.6</v>
      </c>
      <c r="AS1463" s="45" t="str">
        <f t="shared" si="179"/>
        <v>未激活</v>
      </c>
      <c r="AT1463" s="45" t="str">
        <f t="shared" si="180"/>
        <v>连续下降-预警</v>
      </c>
      <c r="AU1463" s="45" t="str">
        <f t="shared" si="181"/>
        <v>唤醒：短信模板+首充补贴</v>
      </c>
    </row>
    <row r="1464" ht="15" customHeight="1" spans="1:47">
      <c r="A1464" s="30" t="s">
        <v>3766</v>
      </c>
      <c r="B1464" s="31" t="s">
        <v>3767</v>
      </c>
      <c r="C1464" s="31" t="s">
        <v>223</v>
      </c>
      <c r="D1464" s="31" t="s">
        <v>202</v>
      </c>
      <c r="E1464" s="31" t="s">
        <v>181</v>
      </c>
      <c r="F1464" s="30" t="s">
        <v>664</v>
      </c>
      <c r="G1464" s="31">
        <v>21</v>
      </c>
      <c r="H1464" s="31" t="s">
        <v>3535</v>
      </c>
      <c r="I1464" s="31" t="s">
        <v>302</v>
      </c>
      <c r="J1464" s="33">
        <v>0</v>
      </c>
      <c r="K1464" s="33">
        <v>0</v>
      </c>
      <c r="L1464" s="33">
        <v>0</v>
      </c>
      <c r="M1464" s="33">
        <f t="shared" si="176"/>
        <v>0</v>
      </c>
      <c r="N1464" s="34">
        <f t="shared" si="182"/>
        <v>0</v>
      </c>
      <c r="O1464" s="35">
        <f>SUM($M$2:M1464)</f>
        <v>190743600</v>
      </c>
      <c r="P1464" s="34">
        <f t="shared" si="183"/>
        <v>1</v>
      </c>
      <c r="Q1464" s="37">
        <v>0</v>
      </c>
      <c r="R1464" s="31">
        <v>0</v>
      </c>
      <c r="S1464" s="31">
        <v>0</v>
      </c>
      <c r="T1464" s="31">
        <v>0</v>
      </c>
      <c r="U1464" s="37">
        <v>1.7</v>
      </c>
      <c r="V1464" s="31">
        <v>13</v>
      </c>
      <c r="W1464" s="31">
        <v>0</v>
      </c>
      <c r="X1464" s="38">
        <v>46</v>
      </c>
      <c r="Y1464" s="31">
        <v>1</v>
      </c>
      <c r="Z1464" s="31">
        <v>0</v>
      </c>
      <c r="AA1464" s="31" t="s">
        <v>212</v>
      </c>
      <c r="AB1464" s="31" t="s">
        <v>220</v>
      </c>
      <c r="AC1464" s="41">
        <f>IFERROR(LOOKUP(M1464,打分卡!$F$7:$J$7,打分卡!$K$7:$O$7),1)</f>
        <v>1</v>
      </c>
      <c r="AD1464" s="41">
        <f>IFERROR(LOOKUP(S1464,打分卡!$F$8:$J$8,打分卡!$K$8:$O$8),1)</f>
        <v>1</v>
      </c>
      <c r="AE1464" s="41">
        <f>IFERROR(LOOKUP(T1464,打分卡!$F$9:$I$9,打分卡!$K$9:$N$9),1)</f>
        <v>1</v>
      </c>
      <c r="AF1464" s="41">
        <f>IFERROR(LOOKUP(Q1464,打分卡!$F$10:$J$10,打分卡!$K$10:$O$10),1)</f>
        <v>1</v>
      </c>
      <c r="AG1464" s="41">
        <f>IFERROR(LOOKUP(R1464,打分卡!$F$11:$J$11,打分卡!$K$11:$O$11),1)</f>
        <v>1</v>
      </c>
      <c r="AH1464" s="41">
        <f>IFERROR(LOOKUP(U1464,打分卡!$F$12:$J$12,打分卡!$K$12:$O$12),1)</f>
        <v>1</v>
      </c>
      <c r="AI1464" s="41">
        <f>IFERROR(LOOKUP(X1464,打分卡!$F$13:$J$13,打分卡!$K$13:$O$13),1)</f>
        <v>3</v>
      </c>
      <c r="AJ1464" s="41">
        <f>IFERROR(LOOKUP(Y1464,打分卡!$F$14:$J$14,打分卡!$K$14:$O$14),1)</f>
        <v>2</v>
      </c>
      <c r="AK1464" s="41">
        <f>IFERROR(LOOKUP(W1464,打分卡!$F$15:$J$15,打分卡!$K$15:$O$15),1)</f>
        <v>1</v>
      </c>
      <c r="AL1464" s="43">
        <f t="shared" si="177"/>
        <v>1</v>
      </c>
      <c r="AM1464" s="41">
        <f>IFERROR(LOOKUP(Z1464,打分卡!$F$17:$H$17,打分卡!$K$17:$M$17),1)</f>
        <v>1</v>
      </c>
      <c r="AN1464" s="44">
        <f>(打分卡!$D$7*AC1464+打分卡!$D$8*AD1464+打分卡!$D$9*AE1464)/5</f>
        <v>8</v>
      </c>
      <c r="AO1464" s="44">
        <f>(打分卡!$D$10*AF1464+打分卡!$D$11*AG1464)/5</f>
        <v>4</v>
      </c>
      <c r="AP1464" s="44">
        <f>(打分卡!$D$12*AH1464+打分卡!$D$13*AI1464+打分卡!$D$14*AJ1464+打分卡!$D$15*AK1464)/5</f>
        <v>10.4</v>
      </c>
      <c r="AQ1464" s="44">
        <f>(打分卡!$D$16*AL1464+打分卡!$D$17*AM1464)/5</f>
        <v>2</v>
      </c>
      <c r="AR1464" s="47">
        <f t="shared" si="178"/>
        <v>24.4</v>
      </c>
      <c r="AS1464" s="43" t="str">
        <f t="shared" si="179"/>
        <v>未激活</v>
      </c>
      <c r="AT1464" s="43" t="str">
        <f t="shared" si="180"/>
        <v>连续下降-预警</v>
      </c>
      <c r="AU1464" s="43" t="str">
        <f t="shared" si="181"/>
        <v>唤醒：短信模板+首充补贴</v>
      </c>
    </row>
    <row r="1465" ht="15" customHeight="1" spans="1:47">
      <c r="A1465" s="20" t="s">
        <v>3768</v>
      </c>
      <c r="B1465" s="22" t="s">
        <v>3769</v>
      </c>
      <c r="C1465" s="22" t="s">
        <v>218</v>
      </c>
      <c r="D1465" s="22" t="s">
        <v>196</v>
      </c>
      <c r="E1465" s="22" t="s">
        <v>181</v>
      </c>
      <c r="F1465" s="20" t="s">
        <v>294</v>
      </c>
      <c r="G1465" s="22">
        <v>34</v>
      </c>
      <c r="H1465" s="22" t="s">
        <v>3535</v>
      </c>
      <c r="I1465" s="22" t="s">
        <v>302</v>
      </c>
      <c r="J1465" s="36">
        <v>0</v>
      </c>
      <c r="K1465" s="36">
        <v>0</v>
      </c>
      <c r="L1465" s="36">
        <v>0</v>
      </c>
      <c r="M1465" s="36">
        <f t="shared" si="176"/>
        <v>0</v>
      </c>
      <c r="N1465" s="34">
        <f t="shared" si="182"/>
        <v>0</v>
      </c>
      <c r="O1465" s="35">
        <f>SUM($M$2:M1465)</f>
        <v>190743600</v>
      </c>
      <c r="P1465" s="34">
        <f t="shared" si="183"/>
        <v>1</v>
      </c>
      <c r="Q1465" s="39">
        <v>0</v>
      </c>
      <c r="R1465" s="22">
        <v>0</v>
      </c>
      <c r="S1465" s="22">
        <v>0</v>
      </c>
      <c r="T1465" s="22">
        <v>0</v>
      </c>
      <c r="U1465" s="39">
        <v>0.9</v>
      </c>
      <c r="V1465" s="22">
        <v>0</v>
      </c>
      <c r="W1465" s="22">
        <v>0</v>
      </c>
      <c r="X1465" s="40">
        <v>34</v>
      </c>
      <c r="Y1465" s="22">
        <v>1</v>
      </c>
      <c r="Z1465" s="22">
        <v>0</v>
      </c>
      <c r="AA1465" s="22" t="s">
        <v>212</v>
      </c>
      <c r="AB1465" s="22" t="s">
        <v>220</v>
      </c>
      <c r="AC1465" s="42">
        <f>IFERROR(LOOKUP(M1465,打分卡!$F$7:$J$7,打分卡!$K$7:$O$7),1)</f>
        <v>1</v>
      </c>
      <c r="AD1465" s="42">
        <f>IFERROR(LOOKUP(S1465,打分卡!$F$8:$J$8,打分卡!$K$8:$O$8),1)</f>
        <v>1</v>
      </c>
      <c r="AE1465" s="42">
        <f>IFERROR(LOOKUP(T1465,打分卡!$F$9:$I$9,打分卡!$K$9:$N$9),1)</f>
        <v>1</v>
      </c>
      <c r="AF1465" s="42">
        <f>IFERROR(LOOKUP(Q1465,打分卡!$F$10:$J$10,打分卡!$K$10:$O$10),1)</f>
        <v>1</v>
      </c>
      <c r="AG1465" s="42">
        <f>IFERROR(LOOKUP(R1465,打分卡!$F$11:$J$11,打分卡!$K$11:$O$11),1)</f>
        <v>1</v>
      </c>
      <c r="AH1465" s="42">
        <f>IFERROR(LOOKUP(U1465,打分卡!$F$12:$J$12,打分卡!$K$12:$O$12),1)</f>
        <v>1</v>
      </c>
      <c r="AI1465" s="42">
        <f>IFERROR(LOOKUP(X1465,打分卡!$F$13:$J$13,打分卡!$K$13:$O$13),1)</f>
        <v>2</v>
      </c>
      <c r="AJ1465" s="42">
        <f>IFERROR(LOOKUP(Y1465,打分卡!$F$14:$J$14,打分卡!$K$14:$O$14),1)</f>
        <v>2</v>
      </c>
      <c r="AK1465" s="42">
        <f>IFERROR(LOOKUP(W1465,打分卡!$F$15:$J$15,打分卡!$K$15:$O$15),1)</f>
        <v>1</v>
      </c>
      <c r="AL1465" s="45">
        <f t="shared" si="177"/>
        <v>1</v>
      </c>
      <c r="AM1465" s="42">
        <f>IFERROR(LOOKUP(Z1465,打分卡!$F$17:$H$17,打分卡!$K$17:$M$17),1)</f>
        <v>1</v>
      </c>
      <c r="AN1465" s="46">
        <f>(打分卡!$D$7*AC1465+打分卡!$D$8*AD1465+打分卡!$D$9*AE1465)/5</f>
        <v>8</v>
      </c>
      <c r="AO1465" s="46">
        <f>(打分卡!$D$10*AF1465+打分卡!$D$11*AG1465)/5</f>
        <v>4</v>
      </c>
      <c r="AP1465" s="46">
        <f>(打分卡!$D$12*AH1465+打分卡!$D$13*AI1465+打分卡!$D$14*AJ1465+打分卡!$D$15*AK1465)/5</f>
        <v>8.8</v>
      </c>
      <c r="AQ1465" s="46">
        <f>(打分卡!$D$16*AL1465+打分卡!$D$17*AM1465)/5</f>
        <v>2</v>
      </c>
      <c r="AR1465" s="48">
        <f t="shared" si="178"/>
        <v>22.8</v>
      </c>
      <c r="AS1465" s="45" t="str">
        <f t="shared" si="179"/>
        <v>未激活</v>
      </c>
      <c r="AT1465" s="45" t="str">
        <f t="shared" si="180"/>
        <v>连续下降-预警</v>
      </c>
      <c r="AU1465" s="45" t="str">
        <f t="shared" si="181"/>
        <v>唤醒：短信模板+首充补贴</v>
      </c>
    </row>
    <row r="1466" ht="15" customHeight="1" spans="1:47">
      <c r="A1466" s="30" t="s">
        <v>3770</v>
      </c>
      <c r="B1466" s="31" t="s">
        <v>3771</v>
      </c>
      <c r="C1466" s="31" t="s">
        <v>209</v>
      </c>
      <c r="D1466" s="31" t="s">
        <v>235</v>
      </c>
      <c r="E1466" s="31" t="s">
        <v>181</v>
      </c>
      <c r="F1466" s="30" t="s">
        <v>3772</v>
      </c>
      <c r="G1466" s="31">
        <v>33</v>
      </c>
      <c r="H1466" s="31" t="s">
        <v>3535</v>
      </c>
      <c r="I1466" s="31" t="s">
        <v>302</v>
      </c>
      <c r="J1466" s="33">
        <v>0</v>
      </c>
      <c r="K1466" s="33">
        <v>0</v>
      </c>
      <c r="L1466" s="33">
        <v>0</v>
      </c>
      <c r="M1466" s="33">
        <f t="shared" si="176"/>
        <v>0</v>
      </c>
      <c r="N1466" s="34">
        <f t="shared" si="182"/>
        <v>0</v>
      </c>
      <c r="O1466" s="35">
        <f>SUM($M$2:M1466)</f>
        <v>190743600</v>
      </c>
      <c r="P1466" s="34">
        <f t="shared" si="183"/>
        <v>1</v>
      </c>
      <c r="Q1466" s="37">
        <v>0</v>
      </c>
      <c r="R1466" s="31">
        <v>0</v>
      </c>
      <c r="S1466" s="31">
        <v>0</v>
      </c>
      <c r="T1466" s="31">
        <v>0</v>
      </c>
      <c r="U1466" s="37">
        <v>0.8</v>
      </c>
      <c r="V1466" s="31">
        <v>13</v>
      </c>
      <c r="W1466" s="31">
        <v>0</v>
      </c>
      <c r="X1466" s="38">
        <v>41</v>
      </c>
      <c r="Y1466" s="31">
        <v>1</v>
      </c>
      <c r="Z1466" s="31">
        <v>0</v>
      </c>
      <c r="AA1466" s="31" t="s">
        <v>212</v>
      </c>
      <c r="AB1466" s="31" t="s">
        <v>220</v>
      </c>
      <c r="AC1466" s="41">
        <f>IFERROR(LOOKUP(M1466,打分卡!$F$7:$J$7,打分卡!$K$7:$O$7),1)</f>
        <v>1</v>
      </c>
      <c r="AD1466" s="41">
        <f>IFERROR(LOOKUP(S1466,打分卡!$F$8:$J$8,打分卡!$K$8:$O$8),1)</f>
        <v>1</v>
      </c>
      <c r="AE1466" s="41">
        <f>IFERROR(LOOKUP(T1466,打分卡!$F$9:$I$9,打分卡!$K$9:$N$9),1)</f>
        <v>1</v>
      </c>
      <c r="AF1466" s="41">
        <f>IFERROR(LOOKUP(Q1466,打分卡!$F$10:$J$10,打分卡!$K$10:$O$10),1)</f>
        <v>1</v>
      </c>
      <c r="AG1466" s="41">
        <f>IFERROR(LOOKUP(R1466,打分卡!$F$11:$J$11,打分卡!$K$11:$O$11),1)</f>
        <v>1</v>
      </c>
      <c r="AH1466" s="41">
        <f>IFERROR(LOOKUP(U1466,打分卡!$F$12:$J$12,打分卡!$K$12:$O$12),1)</f>
        <v>1</v>
      </c>
      <c r="AI1466" s="41">
        <f>IFERROR(LOOKUP(X1466,打分卡!$F$13:$J$13,打分卡!$K$13:$O$13),1)</f>
        <v>3</v>
      </c>
      <c r="AJ1466" s="41">
        <f>IFERROR(LOOKUP(Y1466,打分卡!$F$14:$J$14,打分卡!$K$14:$O$14),1)</f>
        <v>2</v>
      </c>
      <c r="AK1466" s="41">
        <f>IFERROR(LOOKUP(W1466,打分卡!$F$15:$J$15,打分卡!$K$15:$O$15),1)</f>
        <v>1</v>
      </c>
      <c r="AL1466" s="43">
        <f t="shared" si="177"/>
        <v>1</v>
      </c>
      <c r="AM1466" s="41">
        <f>IFERROR(LOOKUP(Z1466,打分卡!$F$17:$H$17,打分卡!$K$17:$M$17),1)</f>
        <v>1</v>
      </c>
      <c r="AN1466" s="44">
        <f>(打分卡!$D$7*AC1466+打分卡!$D$8*AD1466+打分卡!$D$9*AE1466)/5</f>
        <v>8</v>
      </c>
      <c r="AO1466" s="44">
        <f>(打分卡!$D$10*AF1466+打分卡!$D$11*AG1466)/5</f>
        <v>4</v>
      </c>
      <c r="AP1466" s="44">
        <f>(打分卡!$D$12*AH1466+打分卡!$D$13*AI1466+打分卡!$D$14*AJ1466+打分卡!$D$15*AK1466)/5</f>
        <v>10.4</v>
      </c>
      <c r="AQ1466" s="44">
        <f>(打分卡!$D$16*AL1466+打分卡!$D$17*AM1466)/5</f>
        <v>2</v>
      </c>
      <c r="AR1466" s="47">
        <f t="shared" si="178"/>
        <v>24.4</v>
      </c>
      <c r="AS1466" s="43" t="str">
        <f t="shared" si="179"/>
        <v>未激活</v>
      </c>
      <c r="AT1466" s="43" t="str">
        <f t="shared" si="180"/>
        <v>连续下降-预警</v>
      </c>
      <c r="AU1466" s="43" t="str">
        <f t="shared" si="181"/>
        <v>唤醒：短信模板+首充补贴</v>
      </c>
    </row>
    <row r="1467" ht="15" customHeight="1" spans="1:47">
      <c r="A1467" s="20" t="s">
        <v>3773</v>
      </c>
      <c r="B1467" s="22" t="s">
        <v>3774</v>
      </c>
      <c r="C1467" s="22" t="s">
        <v>223</v>
      </c>
      <c r="D1467" s="22" t="s">
        <v>196</v>
      </c>
      <c r="E1467" s="22" t="s">
        <v>197</v>
      </c>
      <c r="F1467" s="20" t="s">
        <v>3775</v>
      </c>
      <c r="G1467" s="22">
        <v>34</v>
      </c>
      <c r="H1467" s="22" t="s">
        <v>3535</v>
      </c>
      <c r="I1467" s="22" t="s">
        <v>302</v>
      </c>
      <c r="J1467" s="36">
        <v>0</v>
      </c>
      <c r="K1467" s="36">
        <v>0</v>
      </c>
      <c r="L1467" s="36">
        <v>0</v>
      </c>
      <c r="M1467" s="36">
        <f t="shared" si="176"/>
        <v>0</v>
      </c>
      <c r="N1467" s="34">
        <f t="shared" si="182"/>
        <v>0</v>
      </c>
      <c r="O1467" s="35">
        <f>SUM($M$2:M1467)</f>
        <v>190743600</v>
      </c>
      <c r="P1467" s="34">
        <f t="shared" si="183"/>
        <v>1</v>
      </c>
      <c r="Q1467" s="39">
        <v>0</v>
      </c>
      <c r="R1467" s="22">
        <v>0</v>
      </c>
      <c r="S1467" s="22">
        <v>0</v>
      </c>
      <c r="T1467" s="22">
        <v>0</v>
      </c>
      <c r="U1467" s="39">
        <v>28.2</v>
      </c>
      <c r="V1467" s="22">
        <v>13</v>
      </c>
      <c r="W1467" s="22">
        <v>0</v>
      </c>
      <c r="X1467" s="40">
        <v>22</v>
      </c>
      <c r="Y1467" s="22">
        <v>0</v>
      </c>
      <c r="Z1467" s="22">
        <v>0</v>
      </c>
      <c r="AA1467" s="22" t="s">
        <v>212</v>
      </c>
      <c r="AB1467" s="22" t="s">
        <v>220</v>
      </c>
      <c r="AC1467" s="42">
        <f>IFERROR(LOOKUP(M1467,打分卡!$F$7:$J$7,打分卡!$K$7:$O$7),1)</f>
        <v>1</v>
      </c>
      <c r="AD1467" s="42">
        <f>IFERROR(LOOKUP(S1467,打分卡!$F$8:$J$8,打分卡!$K$8:$O$8),1)</f>
        <v>1</v>
      </c>
      <c r="AE1467" s="42">
        <f>IFERROR(LOOKUP(T1467,打分卡!$F$9:$I$9,打分卡!$K$9:$N$9),1)</f>
        <v>1</v>
      </c>
      <c r="AF1467" s="42">
        <f>IFERROR(LOOKUP(Q1467,打分卡!$F$10:$J$10,打分卡!$K$10:$O$10),1)</f>
        <v>1</v>
      </c>
      <c r="AG1467" s="42">
        <f>IFERROR(LOOKUP(R1467,打分卡!$F$11:$J$11,打分卡!$K$11:$O$11),1)</f>
        <v>1</v>
      </c>
      <c r="AH1467" s="42">
        <f>IFERROR(LOOKUP(U1467,打分卡!$F$12:$J$12,打分卡!$K$12:$O$12),1)</f>
        <v>3</v>
      </c>
      <c r="AI1467" s="42">
        <f>IFERROR(LOOKUP(X1467,打分卡!$F$13:$J$13,打分卡!$K$13:$O$13),1)</f>
        <v>2</v>
      </c>
      <c r="AJ1467" s="42">
        <f>IFERROR(LOOKUP(Y1467,打分卡!$F$14:$J$14,打分卡!$K$14:$O$14),1)</f>
        <v>1</v>
      </c>
      <c r="AK1467" s="42">
        <f>IFERROR(LOOKUP(W1467,打分卡!$F$15:$J$15,打分卡!$K$15:$O$15),1)</f>
        <v>1</v>
      </c>
      <c r="AL1467" s="45">
        <f t="shared" si="177"/>
        <v>1</v>
      </c>
      <c r="AM1467" s="42">
        <f>IFERROR(LOOKUP(Z1467,打分卡!$F$17:$H$17,打分卡!$K$17:$M$17),1)</f>
        <v>1</v>
      </c>
      <c r="AN1467" s="46">
        <f>(打分卡!$D$7*AC1467+打分卡!$D$8*AD1467+打分卡!$D$9*AE1467)/5</f>
        <v>8</v>
      </c>
      <c r="AO1467" s="46">
        <f>(打分卡!$D$10*AF1467+打分卡!$D$11*AG1467)/5</f>
        <v>4</v>
      </c>
      <c r="AP1467" s="46">
        <f>(打分卡!$D$12*AH1467+打分卡!$D$13*AI1467+打分卡!$D$14*AJ1467+打分卡!$D$15*AK1467)/5</f>
        <v>12.4</v>
      </c>
      <c r="AQ1467" s="46">
        <f>(打分卡!$D$16*AL1467+打分卡!$D$17*AM1467)/5</f>
        <v>2</v>
      </c>
      <c r="AR1467" s="48">
        <f t="shared" si="178"/>
        <v>26.4</v>
      </c>
      <c r="AS1467" s="45" t="str">
        <f t="shared" si="179"/>
        <v>未激活</v>
      </c>
      <c r="AT1467" s="45" t="str">
        <f t="shared" si="180"/>
        <v>连续下降-预警</v>
      </c>
      <c r="AU1467" s="45" t="str">
        <f t="shared" si="181"/>
        <v>唤醒：短信模板+首充补贴</v>
      </c>
    </row>
    <row r="1468" ht="15" customHeight="1" spans="1:47">
      <c r="A1468" s="30" t="s">
        <v>3776</v>
      </c>
      <c r="B1468" s="31" t="s">
        <v>3777</v>
      </c>
      <c r="C1468" s="31" t="s">
        <v>239</v>
      </c>
      <c r="D1468" s="31" t="s">
        <v>190</v>
      </c>
      <c r="E1468" s="31" t="s">
        <v>181</v>
      </c>
      <c r="F1468" s="30" t="s">
        <v>831</v>
      </c>
      <c r="G1468" s="31">
        <v>17</v>
      </c>
      <c r="H1468" s="31" t="s">
        <v>3535</v>
      </c>
      <c r="I1468" s="31" t="s">
        <v>302</v>
      </c>
      <c r="J1468" s="33">
        <v>0</v>
      </c>
      <c r="K1468" s="33">
        <v>0</v>
      </c>
      <c r="L1468" s="33">
        <v>0</v>
      </c>
      <c r="M1468" s="33">
        <f t="shared" si="176"/>
        <v>0</v>
      </c>
      <c r="N1468" s="34">
        <f t="shared" si="182"/>
        <v>0</v>
      </c>
      <c r="O1468" s="35">
        <f>SUM($M$2:M1468)</f>
        <v>190743600</v>
      </c>
      <c r="P1468" s="34">
        <f t="shared" si="183"/>
        <v>1</v>
      </c>
      <c r="Q1468" s="37">
        <v>0</v>
      </c>
      <c r="R1468" s="31">
        <v>0</v>
      </c>
      <c r="S1468" s="31">
        <v>0</v>
      </c>
      <c r="T1468" s="31">
        <v>0</v>
      </c>
      <c r="U1468" s="37">
        <v>48.7</v>
      </c>
      <c r="V1468" s="31">
        <v>2</v>
      </c>
      <c r="W1468" s="31">
        <v>1</v>
      </c>
      <c r="X1468" s="38">
        <v>55</v>
      </c>
      <c r="Y1468" s="31">
        <v>1</v>
      </c>
      <c r="Z1468" s="31">
        <v>0</v>
      </c>
      <c r="AA1468" s="31" t="s">
        <v>212</v>
      </c>
      <c r="AB1468" s="31" t="s">
        <v>220</v>
      </c>
      <c r="AC1468" s="41">
        <f>IFERROR(LOOKUP(M1468,打分卡!$F$7:$J$7,打分卡!$K$7:$O$7),1)</f>
        <v>1</v>
      </c>
      <c r="AD1468" s="41">
        <f>IFERROR(LOOKUP(S1468,打分卡!$F$8:$J$8,打分卡!$K$8:$O$8),1)</f>
        <v>1</v>
      </c>
      <c r="AE1468" s="41">
        <f>IFERROR(LOOKUP(T1468,打分卡!$F$9:$I$9,打分卡!$K$9:$N$9),1)</f>
        <v>1</v>
      </c>
      <c r="AF1468" s="41">
        <f>IFERROR(LOOKUP(Q1468,打分卡!$F$10:$J$10,打分卡!$K$10:$O$10),1)</f>
        <v>1</v>
      </c>
      <c r="AG1468" s="41">
        <f>IFERROR(LOOKUP(R1468,打分卡!$F$11:$J$11,打分卡!$K$11:$O$11),1)</f>
        <v>1</v>
      </c>
      <c r="AH1468" s="41">
        <f>IFERROR(LOOKUP(U1468,打分卡!$F$12:$J$12,打分卡!$K$12:$O$12),1)</f>
        <v>4</v>
      </c>
      <c r="AI1468" s="41">
        <f>IFERROR(LOOKUP(X1468,打分卡!$F$13:$J$13,打分卡!$K$13:$O$13),1)</f>
        <v>3</v>
      </c>
      <c r="AJ1468" s="41">
        <f>IFERROR(LOOKUP(Y1468,打分卡!$F$14:$J$14,打分卡!$K$14:$O$14),1)</f>
        <v>2</v>
      </c>
      <c r="AK1468" s="41">
        <f>IFERROR(LOOKUP(W1468,打分卡!$F$15:$J$15,打分卡!$K$15:$O$15),1)</f>
        <v>2</v>
      </c>
      <c r="AL1468" s="43">
        <f t="shared" si="177"/>
        <v>1</v>
      </c>
      <c r="AM1468" s="41">
        <f>IFERROR(LOOKUP(Z1468,打分卡!$F$17:$H$17,打分卡!$K$17:$M$17),1)</f>
        <v>1</v>
      </c>
      <c r="AN1468" s="44">
        <f>(打分卡!$D$7*AC1468+打分卡!$D$8*AD1468+打分卡!$D$9*AE1468)/5</f>
        <v>8</v>
      </c>
      <c r="AO1468" s="44">
        <f>(打分卡!$D$10*AF1468+打分卡!$D$11*AG1468)/5</f>
        <v>4</v>
      </c>
      <c r="AP1468" s="44">
        <f>(打分卡!$D$12*AH1468+打分卡!$D$13*AI1468+打分卡!$D$14*AJ1468+打分卡!$D$15*AK1468)/5</f>
        <v>18.4</v>
      </c>
      <c r="AQ1468" s="44">
        <f>(打分卡!$D$16*AL1468+打分卡!$D$17*AM1468)/5</f>
        <v>2</v>
      </c>
      <c r="AR1468" s="47">
        <f t="shared" si="178"/>
        <v>32.4</v>
      </c>
      <c r="AS1468" s="43" t="str">
        <f t="shared" si="179"/>
        <v>未激活</v>
      </c>
      <c r="AT1468" s="43" t="str">
        <f t="shared" si="180"/>
        <v>连续下降-预警</v>
      </c>
      <c r="AU1468" s="43" t="str">
        <f t="shared" si="181"/>
        <v>唤醒：短信模板+首充补贴</v>
      </c>
    </row>
    <row r="1469" ht="15" customHeight="1" spans="1:47">
      <c r="A1469" s="20" t="s">
        <v>3778</v>
      </c>
      <c r="B1469" s="22" t="s">
        <v>3779</v>
      </c>
      <c r="C1469" s="22" t="s">
        <v>195</v>
      </c>
      <c r="D1469" s="22" t="s">
        <v>252</v>
      </c>
      <c r="E1469" s="22" t="s">
        <v>181</v>
      </c>
      <c r="F1469" s="20" t="s">
        <v>2785</v>
      </c>
      <c r="G1469" s="22">
        <v>1</v>
      </c>
      <c r="H1469" s="22" t="s">
        <v>642</v>
      </c>
      <c r="I1469" s="22" t="s">
        <v>302</v>
      </c>
      <c r="J1469" s="36">
        <v>0</v>
      </c>
      <c r="K1469" s="36">
        <v>0</v>
      </c>
      <c r="L1469" s="36">
        <v>0</v>
      </c>
      <c r="M1469" s="36">
        <f t="shared" si="176"/>
        <v>0</v>
      </c>
      <c r="N1469" s="34">
        <f t="shared" si="182"/>
        <v>0</v>
      </c>
      <c r="O1469" s="35">
        <f>SUM($M$2:M1469)</f>
        <v>190743600</v>
      </c>
      <c r="P1469" s="34">
        <f t="shared" si="183"/>
        <v>1</v>
      </c>
      <c r="Q1469" s="39">
        <v>0</v>
      </c>
      <c r="R1469" s="22">
        <v>0</v>
      </c>
      <c r="S1469" s="22">
        <v>0</v>
      </c>
      <c r="T1469" s="22">
        <v>0</v>
      </c>
      <c r="U1469" s="39">
        <v>560</v>
      </c>
      <c r="V1469" s="22">
        <v>3</v>
      </c>
      <c r="W1469" s="22">
        <v>18</v>
      </c>
      <c r="X1469" s="40">
        <v>991</v>
      </c>
      <c r="Y1469" s="22">
        <v>4</v>
      </c>
      <c r="Z1469" s="22">
        <v>0</v>
      </c>
      <c r="AA1469" s="22" t="s">
        <v>199</v>
      </c>
      <c r="AB1469" s="22" t="s">
        <v>220</v>
      </c>
      <c r="AC1469" s="42">
        <f>IFERROR(LOOKUP(M1469,打分卡!$F$7:$J$7,打分卡!$K$7:$O$7),1)</f>
        <v>1</v>
      </c>
      <c r="AD1469" s="42">
        <f>IFERROR(LOOKUP(S1469,打分卡!$F$8:$J$8,打分卡!$K$8:$O$8),1)</f>
        <v>1</v>
      </c>
      <c r="AE1469" s="42">
        <f>IFERROR(LOOKUP(T1469,打分卡!$F$9:$I$9,打分卡!$K$9:$N$9),1)</f>
        <v>1</v>
      </c>
      <c r="AF1469" s="42">
        <f>IFERROR(LOOKUP(Q1469,打分卡!$F$10:$J$10,打分卡!$K$10:$O$10),1)</f>
        <v>1</v>
      </c>
      <c r="AG1469" s="42">
        <f>IFERROR(LOOKUP(R1469,打分卡!$F$11:$J$11,打分卡!$K$11:$O$11),1)</f>
        <v>1</v>
      </c>
      <c r="AH1469" s="42">
        <f>IFERROR(LOOKUP(U1469,打分卡!$F$12:$J$12,打分卡!$K$12:$O$12),1)</f>
        <v>5</v>
      </c>
      <c r="AI1469" s="42">
        <f>IFERROR(LOOKUP(X1469,打分卡!$F$13:$J$13,打分卡!$K$13:$O$13),1)</f>
        <v>5</v>
      </c>
      <c r="AJ1469" s="42">
        <f>IFERROR(LOOKUP(Y1469,打分卡!$F$14:$J$14,打分卡!$K$14:$O$14),1)</f>
        <v>4</v>
      </c>
      <c r="AK1469" s="42">
        <f>IFERROR(LOOKUP(W1469,打分卡!$F$15:$J$15,打分卡!$K$15:$O$15),1)</f>
        <v>5</v>
      </c>
      <c r="AL1469" s="45">
        <f t="shared" si="177"/>
        <v>5</v>
      </c>
      <c r="AM1469" s="42">
        <f>IFERROR(LOOKUP(Z1469,打分卡!$F$17:$H$17,打分卡!$K$17:$M$17),1)</f>
        <v>1</v>
      </c>
      <c r="AN1469" s="46">
        <f>(打分卡!$D$7*AC1469+打分卡!$D$8*AD1469+打分卡!$D$9*AE1469)/5</f>
        <v>8</v>
      </c>
      <c r="AO1469" s="46">
        <f>(打分卡!$D$10*AF1469+打分卡!$D$11*AG1469)/5</f>
        <v>4</v>
      </c>
      <c r="AP1469" s="46">
        <f>(打分卡!$D$12*AH1469+打分卡!$D$13*AI1469+打分卡!$D$14*AJ1469+打分卡!$D$15*AK1469)/5</f>
        <v>28.8</v>
      </c>
      <c r="AQ1469" s="46">
        <f>(打分卡!$D$16*AL1469+打分卡!$D$17*AM1469)/5</f>
        <v>6.8</v>
      </c>
      <c r="AR1469" s="48">
        <f t="shared" si="178"/>
        <v>78</v>
      </c>
      <c r="AS1469" s="45" t="str">
        <f t="shared" si="179"/>
        <v>新客观察期</v>
      </c>
      <c r="AT1469" s="45" t="str">
        <f t="shared" si="180"/>
        <v/>
      </c>
      <c r="AU1469" s="45" t="str">
        <f t="shared" si="181"/>
        <v>培育：入门包+1v1场景教育</v>
      </c>
    </row>
    <row r="1470" ht="15" customHeight="1" spans="1:47">
      <c r="A1470" s="30" t="s">
        <v>3780</v>
      </c>
      <c r="B1470" s="31" t="s">
        <v>3781</v>
      </c>
      <c r="C1470" s="31" t="s">
        <v>189</v>
      </c>
      <c r="D1470" s="31" t="s">
        <v>196</v>
      </c>
      <c r="E1470" s="31" t="s">
        <v>197</v>
      </c>
      <c r="F1470" s="30" t="s">
        <v>3782</v>
      </c>
      <c r="G1470" s="31">
        <v>33</v>
      </c>
      <c r="H1470" s="31" t="s">
        <v>3535</v>
      </c>
      <c r="I1470" s="31" t="s">
        <v>302</v>
      </c>
      <c r="J1470" s="33">
        <v>0</v>
      </c>
      <c r="K1470" s="33">
        <v>0</v>
      </c>
      <c r="L1470" s="33">
        <v>0</v>
      </c>
      <c r="M1470" s="33">
        <f t="shared" si="176"/>
        <v>0</v>
      </c>
      <c r="N1470" s="34">
        <f t="shared" si="182"/>
        <v>0</v>
      </c>
      <c r="O1470" s="35">
        <f>SUM($M$2:M1470)</f>
        <v>190743600</v>
      </c>
      <c r="P1470" s="34">
        <f t="shared" si="183"/>
        <v>1</v>
      </c>
      <c r="Q1470" s="37">
        <v>0</v>
      </c>
      <c r="R1470" s="31">
        <v>0</v>
      </c>
      <c r="S1470" s="31">
        <v>0</v>
      </c>
      <c r="T1470" s="31">
        <v>0</v>
      </c>
      <c r="U1470" s="37">
        <v>2</v>
      </c>
      <c r="V1470" s="31">
        <v>13</v>
      </c>
      <c r="W1470" s="31">
        <v>0</v>
      </c>
      <c r="X1470" s="38">
        <v>31</v>
      </c>
      <c r="Y1470" s="31">
        <v>1</v>
      </c>
      <c r="Z1470" s="31">
        <v>0</v>
      </c>
      <c r="AA1470" s="31" t="s">
        <v>212</v>
      </c>
      <c r="AB1470" s="31" t="s">
        <v>220</v>
      </c>
      <c r="AC1470" s="41">
        <f>IFERROR(LOOKUP(M1470,打分卡!$F$7:$J$7,打分卡!$K$7:$O$7),1)</f>
        <v>1</v>
      </c>
      <c r="AD1470" s="41">
        <f>IFERROR(LOOKUP(S1470,打分卡!$F$8:$J$8,打分卡!$K$8:$O$8),1)</f>
        <v>1</v>
      </c>
      <c r="AE1470" s="41">
        <f>IFERROR(LOOKUP(T1470,打分卡!$F$9:$I$9,打分卡!$K$9:$N$9),1)</f>
        <v>1</v>
      </c>
      <c r="AF1470" s="41">
        <f>IFERROR(LOOKUP(Q1470,打分卡!$F$10:$J$10,打分卡!$K$10:$O$10),1)</f>
        <v>1</v>
      </c>
      <c r="AG1470" s="41">
        <f>IFERROR(LOOKUP(R1470,打分卡!$F$11:$J$11,打分卡!$K$11:$O$11),1)</f>
        <v>1</v>
      </c>
      <c r="AH1470" s="41">
        <f>IFERROR(LOOKUP(U1470,打分卡!$F$12:$J$12,打分卡!$K$12:$O$12),1)</f>
        <v>1</v>
      </c>
      <c r="AI1470" s="41">
        <f>IFERROR(LOOKUP(X1470,打分卡!$F$13:$J$13,打分卡!$K$13:$O$13),1)</f>
        <v>2</v>
      </c>
      <c r="AJ1470" s="41">
        <f>IFERROR(LOOKUP(Y1470,打分卡!$F$14:$J$14,打分卡!$K$14:$O$14),1)</f>
        <v>2</v>
      </c>
      <c r="AK1470" s="41">
        <f>IFERROR(LOOKUP(W1470,打分卡!$F$15:$J$15,打分卡!$K$15:$O$15),1)</f>
        <v>1</v>
      </c>
      <c r="AL1470" s="43">
        <f t="shared" si="177"/>
        <v>1</v>
      </c>
      <c r="AM1470" s="41">
        <f>IFERROR(LOOKUP(Z1470,打分卡!$F$17:$H$17,打分卡!$K$17:$M$17),1)</f>
        <v>1</v>
      </c>
      <c r="AN1470" s="44">
        <f>(打分卡!$D$7*AC1470+打分卡!$D$8*AD1470+打分卡!$D$9*AE1470)/5</f>
        <v>8</v>
      </c>
      <c r="AO1470" s="44">
        <f>(打分卡!$D$10*AF1470+打分卡!$D$11*AG1470)/5</f>
        <v>4</v>
      </c>
      <c r="AP1470" s="44">
        <f>(打分卡!$D$12*AH1470+打分卡!$D$13*AI1470+打分卡!$D$14*AJ1470+打分卡!$D$15*AK1470)/5</f>
        <v>8.8</v>
      </c>
      <c r="AQ1470" s="44">
        <f>(打分卡!$D$16*AL1470+打分卡!$D$17*AM1470)/5</f>
        <v>2</v>
      </c>
      <c r="AR1470" s="47">
        <f t="shared" si="178"/>
        <v>22.8</v>
      </c>
      <c r="AS1470" s="43" t="str">
        <f t="shared" si="179"/>
        <v>未激活</v>
      </c>
      <c r="AT1470" s="43" t="str">
        <f t="shared" si="180"/>
        <v>连续下降-预警</v>
      </c>
      <c r="AU1470" s="43" t="str">
        <f t="shared" si="181"/>
        <v>唤醒：短信模板+首充补贴</v>
      </c>
    </row>
    <row r="1471" ht="15" customHeight="1" spans="1:47">
      <c r="A1471" s="20" t="s">
        <v>3783</v>
      </c>
      <c r="B1471" s="22" t="s">
        <v>3784</v>
      </c>
      <c r="C1471" s="22" t="s">
        <v>223</v>
      </c>
      <c r="D1471" s="22" t="s">
        <v>227</v>
      </c>
      <c r="E1471" s="22" t="s">
        <v>181</v>
      </c>
      <c r="F1471" s="20" t="s">
        <v>3785</v>
      </c>
      <c r="G1471" s="22">
        <v>18</v>
      </c>
      <c r="H1471" s="22" t="s">
        <v>3535</v>
      </c>
      <c r="I1471" s="22" t="s">
        <v>302</v>
      </c>
      <c r="J1471" s="36">
        <v>0</v>
      </c>
      <c r="K1471" s="36">
        <v>0</v>
      </c>
      <c r="L1471" s="36">
        <v>0</v>
      </c>
      <c r="M1471" s="36">
        <f t="shared" si="176"/>
        <v>0</v>
      </c>
      <c r="N1471" s="34">
        <f t="shared" si="182"/>
        <v>0</v>
      </c>
      <c r="O1471" s="35">
        <f>SUM($M$2:M1471)</f>
        <v>190743600</v>
      </c>
      <c r="P1471" s="34">
        <f t="shared" si="183"/>
        <v>1</v>
      </c>
      <c r="Q1471" s="39">
        <v>0</v>
      </c>
      <c r="R1471" s="22">
        <v>0</v>
      </c>
      <c r="S1471" s="22">
        <v>0</v>
      </c>
      <c r="T1471" s="22">
        <v>0</v>
      </c>
      <c r="U1471" s="39">
        <v>0.6</v>
      </c>
      <c r="V1471" s="22">
        <v>7</v>
      </c>
      <c r="W1471" s="22">
        <v>0</v>
      </c>
      <c r="X1471" s="40">
        <v>6</v>
      </c>
      <c r="Y1471" s="22">
        <v>1</v>
      </c>
      <c r="Z1471" s="22">
        <v>0</v>
      </c>
      <c r="AA1471" s="22" t="s">
        <v>212</v>
      </c>
      <c r="AB1471" s="22" t="s">
        <v>220</v>
      </c>
      <c r="AC1471" s="42">
        <f>IFERROR(LOOKUP(M1471,打分卡!$F$7:$J$7,打分卡!$K$7:$O$7),1)</f>
        <v>1</v>
      </c>
      <c r="AD1471" s="42">
        <f>IFERROR(LOOKUP(S1471,打分卡!$F$8:$J$8,打分卡!$K$8:$O$8),1)</f>
        <v>1</v>
      </c>
      <c r="AE1471" s="42">
        <f>IFERROR(LOOKUP(T1471,打分卡!$F$9:$I$9,打分卡!$K$9:$N$9),1)</f>
        <v>1</v>
      </c>
      <c r="AF1471" s="42">
        <f>IFERROR(LOOKUP(Q1471,打分卡!$F$10:$J$10,打分卡!$K$10:$O$10),1)</f>
        <v>1</v>
      </c>
      <c r="AG1471" s="42">
        <f>IFERROR(LOOKUP(R1471,打分卡!$F$11:$J$11,打分卡!$K$11:$O$11),1)</f>
        <v>1</v>
      </c>
      <c r="AH1471" s="42">
        <f>IFERROR(LOOKUP(U1471,打分卡!$F$12:$J$12,打分卡!$K$12:$O$12),1)</f>
        <v>1</v>
      </c>
      <c r="AI1471" s="42">
        <f>IFERROR(LOOKUP(X1471,打分卡!$F$13:$J$13,打分卡!$K$13:$O$13),1)</f>
        <v>1</v>
      </c>
      <c r="AJ1471" s="42">
        <f>IFERROR(LOOKUP(Y1471,打分卡!$F$14:$J$14,打分卡!$K$14:$O$14),1)</f>
        <v>2</v>
      </c>
      <c r="AK1471" s="42">
        <f>IFERROR(LOOKUP(W1471,打分卡!$F$15:$J$15,打分卡!$K$15:$O$15),1)</f>
        <v>1</v>
      </c>
      <c r="AL1471" s="45">
        <f t="shared" si="177"/>
        <v>1</v>
      </c>
      <c r="AM1471" s="42">
        <f>IFERROR(LOOKUP(Z1471,打分卡!$F$17:$H$17,打分卡!$K$17:$M$17),1)</f>
        <v>1</v>
      </c>
      <c r="AN1471" s="46">
        <f>(打分卡!$D$7*AC1471+打分卡!$D$8*AD1471+打分卡!$D$9*AE1471)/5</f>
        <v>8</v>
      </c>
      <c r="AO1471" s="46">
        <f>(打分卡!$D$10*AF1471+打分卡!$D$11*AG1471)/5</f>
        <v>4</v>
      </c>
      <c r="AP1471" s="46">
        <f>(打分卡!$D$12*AH1471+打分卡!$D$13*AI1471+打分卡!$D$14*AJ1471+打分卡!$D$15*AK1471)/5</f>
        <v>7.2</v>
      </c>
      <c r="AQ1471" s="46">
        <f>(打分卡!$D$16*AL1471+打分卡!$D$17*AM1471)/5</f>
        <v>2</v>
      </c>
      <c r="AR1471" s="48">
        <f t="shared" si="178"/>
        <v>21.2</v>
      </c>
      <c r="AS1471" s="45" t="str">
        <f t="shared" si="179"/>
        <v>未激活</v>
      </c>
      <c r="AT1471" s="45" t="str">
        <f t="shared" si="180"/>
        <v>连续下降-预警</v>
      </c>
      <c r="AU1471" s="45" t="str">
        <f t="shared" si="181"/>
        <v>唤醒：短信模板+首充补贴</v>
      </c>
    </row>
    <row r="1472" ht="15" customHeight="1" spans="1:47">
      <c r="A1472" s="30" t="s">
        <v>3786</v>
      </c>
      <c r="B1472" s="31" t="s">
        <v>3787</v>
      </c>
      <c r="C1472" s="31" t="s">
        <v>179</v>
      </c>
      <c r="D1472" s="31" t="s">
        <v>227</v>
      </c>
      <c r="E1472" s="31" t="s">
        <v>181</v>
      </c>
      <c r="F1472" s="30" t="s">
        <v>3788</v>
      </c>
      <c r="G1472" s="31">
        <v>19</v>
      </c>
      <c r="H1472" s="31" t="s">
        <v>3535</v>
      </c>
      <c r="I1472" s="31" t="s">
        <v>302</v>
      </c>
      <c r="J1472" s="33">
        <v>0</v>
      </c>
      <c r="K1472" s="33">
        <v>0</v>
      </c>
      <c r="L1472" s="33">
        <v>0</v>
      </c>
      <c r="M1472" s="33">
        <f t="shared" si="176"/>
        <v>0</v>
      </c>
      <c r="N1472" s="34">
        <f t="shared" si="182"/>
        <v>0</v>
      </c>
      <c r="O1472" s="35">
        <f>SUM($M$2:M1472)</f>
        <v>190743600</v>
      </c>
      <c r="P1472" s="34">
        <f t="shared" si="183"/>
        <v>1</v>
      </c>
      <c r="Q1472" s="37">
        <v>0</v>
      </c>
      <c r="R1472" s="31">
        <v>0</v>
      </c>
      <c r="S1472" s="31">
        <v>0</v>
      </c>
      <c r="T1472" s="31">
        <v>0</v>
      </c>
      <c r="U1472" s="37">
        <v>1.9</v>
      </c>
      <c r="V1472" s="31">
        <v>5</v>
      </c>
      <c r="W1472" s="31">
        <v>1</v>
      </c>
      <c r="X1472" s="38">
        <v>46</v>
      </c>
      <c r="Y1472" s="31">
        <v>0</v>
      </c>
      <c r="Z1472" s="31">
        <v>0</v>
      </c>
      <c r="AA1472" s="31" t="s">
        <v>212</v>
      </c>
      <c r="AB1472" s="31" t="s">
        <v>220</v>
      </c>
      <c r="AC1472" s="41">
        <f>IFERROR(LOOKUP(M1472,打分卡!$F$7:$J$7,打分卡!$K$7:$O$7),1)</f>
        <v>1</v>
      </c>
      <c r="AD1472" s="41">
        <f>IFERROR(LOOKUP(S1472,打分卡!$F$8:$J$8,打分卡!$K$8:$O$8),1)</f>
        <v>1</v>
      </c>
      <c r="AE1472" s="41">
        <f>IFERROR(LOOKUP(T1472,打分卡!$F$9:$I$9,打分卡!$K$9:$N$9),1)</f>
        <v>1</v>
      </c>
      <c r="AF1472" s="41">
        <f>IFERROR(LOOKUP(Q1472,打分卡!$F$10:$J$10,打分卡!$K$10:$O$10),1)</f>
        <v>1</v>
      </c>
      <c r="AG1472" s="41">
        <f>IFERROR(LOOKUP(R1472,打分卡!$F$11:$J$11,打分卡!$K$11:$O$11),1)</f>
        <v>1</v>
      </c>
      <c r="AH1472" s="41">
        <f>IFERROR(LOOKUP(U1472,打分卡!$F$12:$J$12,打分卡!$K$12:$O$12),1)</f>
        <v>1</v>
      </c>
      <c r="AI1472" s="41">
        <f>IFERROR(LOOKUP(X1472,打分卡!$F$13:$J$13,打分卡!$K$13:$O$13),1)</f>
        <v>3</v>
      </c>
      <c r="AJ1472" s="41">
        <f>IFERROR(LOOKUP(Y1472,打分卡!$F$14:$J$14,打分卡!$K$14:$O$14),1)</f>
        <v>1</v>
      </c>
      <c r="AK1472" s="41">
        <f>IFERROR(LOOKUP(W1472,打分卡!$F$15:$J$15,打分卡!$K$15:$O$15),1)</f>
        <v>2</v>
      </c>
      <c r="AL1472" s="43">
        <f t="shared" si="177"/>
        <v>1</v>
      </c>
      <c r="AM1472" s="41">
        <f>IFERROR(LOOKUP(Z1472,打分卡!$F$17:$H$17,打分卡!$K$17:$M$17),1)</f>
        <v>1</v>
      </c>
      <c r="AN1472" s="44">
        <f>(打分卡!$D$7*AC1472+打分卡!$D$8*AD1472+打分卡!$D$9*AE1472)/5</f>
        <v>8</v>
      </c>
      <c r="AO1472" s="44">
        <f>(打分卡!$D$10*AF1472+打分卡!$D$11*AG1472)/5</f>
        <v>4</v>
      </c>
      <c r="AP1472" s="44">
        <f>(打分卡!$D$12*AH1472+打分卡!$D$13*AI1472+打分卡!$D$14*AJ1472+打分卡!$D$15*AK1472)/5</f>
        <v>10</v>
      </c>
      <c r="AQ1472" s="44">
        <f>(打分卡!$D$16*AL1472+打分卡!$D$17*AM1472)/5</f>
        <v>2</v>
      </c>
      <c r="AR1472" s="47">
        <f t="shared" si="178"/>
        <v>24</v>
      </c>
      <c r="AS1472" s="43" t="str">
        <f t="shared" si="179"/>
        <v>未激活</v>
      </c>
      <c r="AT1472" s="43" t="str">
        <f t="shared" si="180"/>
        <v>连续下降-预警</v>
      </c>
      <c r="AU1472" s="43" t="str">
        <f t="shared" si="181"/>
        <v>唤醒：短信模板+首充补贴</v>
      </c>
    </row>
    <row r="1473" ht="15" customHeight="1" spans="1:47">
      <c r="A1473" s="20" t="s">
        <v>3789</v>
      </c>
      <c r="B1473" s="22" t="s">
        <v>3790</v>
      </c>
      <c r="C1473" s="22" t="s">
        <v>234</v>
      </c>
      <c r="D1473" s="22" t="s">
        <v>180</v>
      </c>
      <c r="E1473" s="22" t="s">
        <v>181</v>
      </c>
      <c r="F1473" s="20" t="s">
        <v>3791</v>
      </c>
      <c r="G1473" s="22">
        <v>21</v>
      </c>
      <c r="H1473" s="22" t="s">
        <v>3535</v>
      </c>
      <c r="I1473" s="22" t="s">
        <v>302</v>
      </c>
      <c r="J1473" s="36">
        <v>0</v>
      </c>
      <c r="K1473" s="36">
        <v>0</v>
      </c>
      <c r="L1473" s="36">
        <v>0</v>
      </c>
      <c r="M1473" s="36">
        <f t="shared" si="176"/>
        <v>0</v>
      </c>
      <c r="N1473" s="34">
        <f t="shared" si="182"/>
        <v>0</v>
      </c>
      <c r="O1473" s="35">
        <f>SUM($M$2:M1473)</f>
        <v>190743600</v>
      </c>
      <c r="P1473" s="34">
        <f t="shared" si="183"/>
        <v>1</v>
      </c>
      <c r="Q1473" s="39">
        <v>0</v>
      </c>
      <c r="R1473" s="22">
        <v>0</v>
      </c>
      <c r="S1473" s="22">
        <v>0</v>
      </c>
      <c r="T1473" s="22">
        <v>0</v>
      </c>
      <c r="U1473" s="39">
        <v>2.4</v>
      </c>
      <c r="V1473" s="22">
        <v>13</v>
      </c>
      <c r="W1473" s="22">
        <v>0</v>
      </c>
      <c r="X1473" s="40">
        <v>32</v>
      </c>
      <c r="Y1473" s="22">
        <v>1</v>
      </c>
      <c r="Z1473" s="22">
        <v>0</v>
      </c>
      <c r="AA1473" s="22" t="s">
        <v>212</v>
      </c>
      <c r="AB1473" s="22" t="s">
        <v>220</v>
      </c>
      <c r="AC1473" s="42">
        <f>IFERROR(LOOKUP(M1473,打分卡!$F$7:$J$7,打分卡!$K$7:$O$7),1)</f>
        <v>1</v>
      </c>
      <c r="AD1473" s="42">
        <f>IFERROR(LOOKUP(S1473,打分卡!$F$8:$J$8,打分卡!$K$8:$O$8),1)</f>
        <v>1</v>
      </c>
      <c r="AE1473" s="42">
        <f>IFERROR(LOOKUP(T1473,打分卡!$F$9:$I$9,打分卡!$K$9:$N$9),1)</f>
        <v>1</v>
      </c>
      <c r="AF1473" s="42">
        <f>IFERROR(LOOKUP(Q1473,打分卡!$F$10:$J$10,打分卡!$K$10:$O$10),1)</f>
        <v>1</v>
      </c>
      <c r="AG1473" s="42">
        <f>IFERROR(LOOKUP(R1473,打分卡!$F$11:$J$11,打分卡!$K$11:$O$11),1)</f>
        <v>1</v>
      </c>
      <c r="AH1473" s="42">
        <f>IFERROR(LOOKUP(U1473,打分卡!$F$12:$J$12,打分卡!$K$12:$O$12),1)</f>
        <v>1</v>
      </c>
      <c r="AI1473" s="42">
        <f>IFERROR(LOOKUP(X1473,打分卡!$F$13:$J$13,打分卡!$K$13:$O$13),1)</f>
        <v>2</v>
      </c>
      <c r="AJ1473" s="42">
        <f>IFERROR(LOOKUP(Y1473,打分卡!$F$14:$J$14,打分卡!$K$14:$O$14),1)</f>
        <v>2</v>
      </c>
      <c r="AK1473" s="42">
        <f>IFERROR(LOOKUP(W1473,打分卡!$F$15:$J$15,打分卡!$K$15:$O$15),1)</f>
        <v>1</v>
      </c>
      <c r="AL1473" s="45">
        <f t="shared" si="177"/>
        <v>1</v>
      </c>
      <c r="AM1473" s="42">
        <f>IFERROR(LOOKUP(Z1473,打分卡!$F$17:$H$17,打分卡!$K$17:$M$17),1)</f>
        <v>1</v>
      </c>
      <c r="AN1473" s="46">
        <f>(打分卡!$D$7*AC1473+打分卡!$D$8*AD1473+打分卡!$D$9*AE1473)/5</f>
        <v>8</v>
      </c>
      <c r="AO1473" s="46">
        <f>(打分卡!$D$10*AF1473+打分卡!$D$11*AG1473)/5</f>
        <v>4</v>
      </c>
      <c r="AP1473" s="46">
        <f>(打分卡!$D$12*AH1473+打分卡!$D$13*AI1473+打分卡!$D$14*AJ1473+打分卡!$D$15*AK1473)/5</f>
        <v>8.8</v>
      </c>
      <c r="AQ1473" s="46">
        <f>(打分卡!$D$16*AL1473+打分卡!$D$17*AM1473)/5</f>
        <v>2</v>
      </c>
      <c r="AR1473" s="48">
        <f t="shared" si="178"/>
        <v>22.8</v>
      </c>
      <c r="AS1473" s="45" t="str">
        <f t="shared" si="179"/>
        <v>未激活</v>
      </c>
      <c r="AT1473" s="45" t="str">
        <f t="shared" si="180"/>
        <v>连续下降-预警</v>
      </c>
      <c r="AU1473" s="45" t="str">
        <f t="shared" si="181"/>
        <v>唤醒：短信模板+首充补贴</v>
      </c>
    </row>
    <row r="1474" ht="15" customHeight="1" spans="1:47">
      <c r="A1474" s="30" t="s">
        <v>3792</v>
      </c>
      <c r="B1474" s="31" t="s">
        <v>3793</v>
      </c>
      <c r="C1474" s="31" t="s">
        <v>234</v>
      </c>
      <c r="D1474" s="31" t="s">
        <v>196</v>
      </c>
      <c r="E1474" s="31" t="s">
        <v>181</v>
      </c>
      <c r="F1474" s="30" t="s">
        <v>2200</v>
      </c>
      <c r="G1474" s="31">
        <v>19</v>
      </c>
      <c r="H1474" s="31" t="s">
        <v>3535</v>
      </c>
      <c r="I1474" s="31" t="s">
        <v>302</v>
      </c>
      <c r="J1474" s="33">
        <v>0</v>
      </c>
      <c r="K1474" s="33">
        <v>0</v>
      </c>
      <c r="L1474" s="33">
        <v>0</v>
      </c>
      <c r="M1474" s="33">
        <f t="shared" ref="M1474:M1537" si="184">SUM(J1474:L1474)</f>
        <v>0</v>
      </c>
      <c r="N1474" s="34">
        <f t="shared" si="182"/>
        <v>0</v>
      </c>
      <c r="O1474" s="35">
        <f>SUM($M$2:M1474)</f>
        <v>190743600</v>
      </c>
      <c r="P1474" s="34">
        <f t="shared" si="183"/>
        <v>1</v>
      </c>
      <c r="Q1474" s="37">
        <v>0</v>
      </c>
      <c r="R1474" s="31">
        <v>0</v>
      </c>
      <c r="S1474" s="31">
        <v>0</v>
      </c>
      <c r="T1474" s="31">
        <v>0</v>
      </c>
      <c r="U1474" s="37">
        <v>0.8</v>
      </c>
      <c r="V1474" s="31">
        <v>5</v>
      </c>
      <c r="W1474" s="31">
        <v>0</v>
      </c>
      <c r="X1474" s="38">
        <v>20</v>
      </c>
      <c r="Y1474" s="31">
        <v>1</v>
      </c>
      <c r="Z1474" s="31">
        <v>0</v>
      </c>
      <c r="AA1474" s="31" t="s">
        <v>212</v>
      </c>
      <c r="AB1474" s="31" t="s">
        <v>220</v>
      </c>
      <c r="AC1474" s="41">
        <f>IFERROR(LOOKUP(M1474,打分卡!$F$7:$J$7,打分卡!$K$7:$O$7),1)</f>
        <v>1</v>
      </c>
      <c r="AD1474" s="41">
        <f>IFERROR(LOOKUP(S1474,打分卡!$F$8:$J$8,打分卡!$K$8:$O$8),1)</f>
        <v>1</v>
      </c>
      <c r="AE1474" s="41">
        <f>IFERROR(LOOKUP(T1474,打分卡!$F$9:$I$9,打分卡!$K$9:$N$9),1)</f>
        <v>1</v>
      </c>
      <c r="AF1474" s="41">
        <f>IFERROR(LOOKUP(Q1474,打分卡!$F$10:$J$10,打分卡!$K$10:$O$10),1)</f>
        <v>1</v>
      </c>
      <c r="AG1474" s="41">
        <f>IFERROR(LOOKUP(R1474,打分卡!$F$11:$J$11,打分卡!$K$11:$O$11),1)</f>
        <v>1</v>
      </c>
      <c r="AH1474" s="41">
        <f>IFERROR(LOOKUP(U1474,打分卡!$F$12:$J$12,打分卡!$K$12:$O$12),1)</f>
        <v>1</v>
      </c>
      <c r="AI1474" s="41">
        <f>IFERROR(LOOKUP(X1474,打分卡!$F$13:$J$13,打分卡!$K$13:$O$13),1)</f>
        <v>2</v>
      </c>
      <c r="AJ1474" s="41">
        <f>IFERROR(LOOKUP(Y1474,打分卡!$F$14:$J$14,打分卡!$K$14:$O$14),1)</f>
        <v>2</v>
      </c>
      <c r="AK1474" s="41">
        <f>IFERROR(LOOKUP(W1474,打分卡!$F$15:$J$15,打分卡!$K$15:$O$15),1)</f>
        <v>1</v>
      </c>
      <c r="AL1474" s="43">
        <f t="shared" ref="AL1474:AL1537" si="185">IF(AA1474="连续下降",1,IF(AA1474="下降",2,IF(AA1474="上升",5,3)))</f>
        <v>1</v>
      </c>
      <c r="AM1474" s="41">
        <f>IFERROR(LOOKUP(Z1474,打分卡!$F$17:$H$17,打分卡!$K$17:$M$17),1)</f>
        <v>1</v>
      </c>
      <c r="AN1474" s="44">
        <f>(打分卡!$D$7*AC1474+打分卡!$D$8*AD1474+打分卡!$D$9*AE1474)/5</f>
        <v>8</v>
      </c>
      <c r="AO1474" s="44">
        <f>(打分卡!$D$10*AF1474+打分卡!$D$11*AG1474)/5</f>
        <v>4</v>
      </c>
      <c r="AP1474" s="44">
        <f>(打分卡!$D$12*AH1474+打分卡!$D$13*AI1474+打分卡!$D$14*AJ1474+打分卡!$D$15*AK1474)/5</f>
        <v>8.8</v>
      </c>
      <c r="AQ1474" s="44">
        <f>(打分卡!$D$16*AL1474+打分卡!$D$17*AM1474)/5</f>
        <v>2</v>
      </c>
      <c r="AR1474" s="47">
        <f t="shared" ref="AR1474:AR1537" si="186">IF(G1474&lt;3,AP1474/30*40+AO1474+AP1474+AQ1474,AN1474+AO1474+AP1474+AQ1474)</f>
        <v>22.8</v>
      </c>
      <c r="AS1474" s="43" t="str">
        <f t="shared" ref="AS1474:AS1537" si="187">IF(M1474=0,IF(G1474&lt;3,"新客观察期","未激活"),IF(AR1474&gt;=90,"SKA",IF(AR1474&gt;=75,"KA",IF(AR1474&gt;=40,"腰部","基础长尾"))))</f>
        <v>未激活</v>
      </c>
      <c r="AT1474" s="43" t="str">
        <f t="shared" ref="AT1474:AT1537" si="188">IF(AA1474="连续下降","连续下降-预警","")</f>
        <v>连续下降-预警</v>
      </c>
      <c r="AU1474" s="43" t="str">
        <f t="shared" ref="AU1474:AU1537" si="189">IF(AS1474="SKA","守·共创：卡片短信/AI外呼新场景POC",IF(AS1474="KA","扩·深化：AI外呼场景深化+Push/企微补全",IF(AS1474="腰部","拉·主攻：主推AI外呼+大促作战包",IF(AS1474="新客观察期","培育：入门包+1v1场景教育",IF(AS1474="基础长尾","激活：企微+Push低成本先跑","唤醒：短信模板+首充补贴")))))</f>
        <v>唤醒：短信模板+首充补贴</v>
      </c>
    </row>
    <row r="1475" ht="15" customHeight="1" spans="1:47">
      <c r="A1475" s="20" t="s">
        <v>3794</v>
      </c>
      <c r="B1475" s="22" t="s">
        <v>3795</v>
      </c>
      <c r="C1475" s="22" t="s">
        <v>195</v>
      </c>
      <c r="D1475" s="22" t="s">
        <v>252</v>
      </c>
      <c r="E1475" s="22" t="s">
        <v>197</v>
      </c>
      <c r="F1475" s="20" t="s">
        <v>457</v>
      </c>
      <c r="G1475" s="22">
        <v>25</v>
      </c>
      <c r="H1475" s="22" t="s">
        <v>3535</v>
      </c>
      <c r="I1475" s="22" t="s">
        <v>302</v>
      </c>
      <c r="J1475" s="36">
        <v>0</v>
      </c>
      <c r="K1475" s="36">
        <v>0</v>
      </c>
      <c r="L1475" s="36">
        <v>0</v>
      </c>
      <c r="M1475" s="36">
        <f t="shared" si="184"/>
        <v>0</v>
      </c>
      <c r="N1475" s="34">
        <f t="shared" ref="N1475:N1538" si="190">M1475/$M$2002</f>
        <v>0</v>
      </c>
      <c r="O1475" s="35">
        <f>SUM($M$2:M1475)</f>
        <v>190743600</v>
      </c>
      <c r="P1475" s="34">
        <f t="shared" ref="P1475:P1538" si="191">O1475/$M$2002</f>
        <v>1</v>
      </c>
      <c r="Q1475" s="39">
        <v>0</v>
      </c>
      <c r="R1475" s="22">
        <v>0</v>
      </c>
      <c r="S1475" s="22">
        <v>0</v>
      </c>
      <c r="T1475" s="22">
        <v>0</v>
      </c>
      <c r="U1475" s="39">
        <v>8.4</v>
      </c>
      <c r="V1475" s="22">
        <v>13</v>
      </c>
      <c r="W1475" s="22">
        <v>1</v>
      </c>
      <c r="X1475" s="40">
        <v>12</v>
      </c>
      <c r="Y1475" s="22">
        <v>0</v>
      </c>
      <c r="Z1475" s="22">
        <v>0</v>
      </c>
      <c r="AA1475" s="22" t="s">
        <v>212</v>
      </c>
      <c r="AB1475" s="22" t="s">
        <v>220</v>
      </c>
      <c r="AC1475" s="42">
        <f>IFERROR(LOOKUP(M1475,打分卡!$F$7:$J$7,打分卡!$K$7:$O$7),1)</f>
        <v>1</v>
      </c>
      <c r="AD1475" s="42">
        <f>IFERROR(LOOKUP(S1475,打分卡!$F$8:$J$8,打分卡!$K$8:$O$8),1)</f>
        <v>1</v>
      </c>
      <c r="AE1475" s="42">
        <f>IFERROR(LOOKUP(T1475,打分卡!$F$9:$I$9,打分卡!$K$9:$N$9),1)</f>
        <v>1</v>
      </c>
      <c r="AF1475" s="42">
        <f>IFERROR(LOOKUP(Q1475,打分卡!$F$10:$J$10,打分卡!$K$10:$O$10),1)</f>
        <v>1</v>
      </c>
      <c r="AG1475" s="42">
        <f>IFERROR(LOOKUP(R1475,打分卡!$F$11:$J$11,打分卡!$K$11:$O$11),1)</f>
        <v>1</v>
      </c>
      <c r="AH1475" s="42">
        <f>IFERROR(LOOKUP(U1475,打分卡!$F$12:$J$12,打分卡!$K$12:$O$12),1)</f>
        <v>2</v>
      </c>
      <c r="AI1475" s="42">
        <f>IFERROR(LOOKUP(X1475,打分卡!$F$13:$J$13,打分卡!$K$13:$O$13),1)</f>
        <v>1</v>
      </c>
      <c r="AJ1475" s="42">
        <f>IFERROR(LOOKUP(Y1475,打分卡!$F$14:$J$14,打分卡!$K$14:$O$14),1)</f>
        <v>1</v>
      </c>
      <c r="AK1475" s="42">
        <f>IFERROR(LOOKUP(W1475,打分卡!$F$15:$J$15,打分卡!$K$15:$O$15),1)</f>
        <v>2</v>
      </c>
      <c r="AL1475" s="45">
        <f t="shared" si="185"/>
        <v>1</v>
      </c>
      <c r="AM1475" s="42">
        <f>IFERROR(LOOKUP(Z1475,打分卡!$F$17:$H$17,打分卡!$K$17:$M$17),1)</f>
        <v>1</v>
      </c>
      <c r="AN1475" s="46">
        <f>(打分卡!$D$7*AC1475+打分卡!$D$8*AD1475+打分卡!$D$9*AE1475)/5</f>
        <v>8</v>
      </c>
      <c r="AO1475" s="46">
        <f>(打分卡!$D$10*AF1475+打分卡!$D$11*AG1475)/5</f>
        <v>4</v>
      </c>
      <c r="AP1475" s="46">
        <f>(打分卡!$D$12*AH1475+打分卡!$D$13*AI1475+打分卡!$D$14*AJ1475+打分卡!$D$15*AK1475)/5</f>
        <v>9.2</v>
      </c>
      <c r="AQ1475" s="46">
        <f>(打分卡!$D$16*AL1475+打分卡!$D$17*AM1475)/5</f>
        <v>2</v>
      </c>
      <c r="AR1475" s="48">
        <f t="shared" si="186"/>
        <v>23.2</v>
      </c>
      <c r="AS1475" s="45" t="str">
        <f t="shared" si="187"/>
        <v>未激活</v>
      </c>
      <c r="AT1475" s="45" t="str">
        <f t="shared" si="188"/>
        <v>连续下降-预警</v>
      </c>
      <c r="AU1475" s="45" t="str">
        <f t="shared" si="189"/>
        <v>唤醒：短信模板+首充补贴</v>
      </c>
    </row>
    <row r="1476" ht="15" customHeight="1" spans="1:47">
      <c r="A1476" s="30" t="s">
        <v>3796</v>
      </c>
      <c r="B1476" s="31" t="s">
        <v>3797</v>
      </c>
      <c r="C1476" s="31" t="s">
        <v>189</v>
      </c>
      <c r="D1476" s="31" t="s">
        <v>235</v>
      </c>
      <c r="E1476" s="31" t="s">
        <v>197</v>
      </c>
      <c r="F1476" s="30" t="s">
        <v>3798</v>
      </c>
      <c r="G1476" s="31">
        <v>35</v>
      </c>
      <c r="H1476" s="31" t="s">
        <v>3535</v>
      </c>
      <c r="I1476" s="31" t="s">
        <v>302</v>
      </c>
      <c r="J1476" s="33">
        <v>0</v>
      </c>
      <c r="K1476" s="33">
        <v>0</v>
      </c>
      <c r="L1476" s="33">
        <v>0</v>
      </c>
      <c r="M1476" s="33">
        <f t="shared" si="184"/>
        <v>0</v>
      </c>
      <c r="N1476" s="34">
        <f t="shared" si="190"/>
        <v>0</v>
      </c>
      <c r="O1476" s="35">
        <f>SUM($M$2:M1476)</f>
        <v>190743600</v>
      </c>
      <c r="P1476" s="34">
        <f t="shared" si="191"/>
        <v>1</v>
      </c>
      <c r="Q1476" s="37">
        <v>0</v>
      </c>
      <c r="R1476" s="31">
        <v>0</v>
      </c>
      <c r="S1476" s="31">
        <v>0</v>
      </c>
      <c r="T1476" s="31">
        <v>0</v>
      </c>
      <c r="U1476" s="37">
        <v>1.5</v>
      </c>
      <c r="V1476" s="31">
        <v>1</v>
      </c>
      <c r="W1476" s="31">
        <v>1</v>
      </c>
      <c r="X1476" s="38">
        <v>16</v>
      </c>
      <c r="Y1476" s="31">
        <v>1</v>
      </c>
      <c r="Z1476" s="31">
        <v>0</v>
      </c>
      <c r="AA1476" s="31" t="s">
        <v>212</v>
      </c>
      <c r="AB1476" s="31" t="s">
        <v>220</v>
      </c>
      <c r="AC1476" s="41">
        <f>IFERROR(LOOKUP(M1476,打分卡!$F$7:$J$7,打分卡!$K$7:$O$7),1)</f>
        <v>1</v>
      </c>
      <c r="AD1476" s="41">
        <f>IFERROR(LOOKUP(S1476,打分卡!$F$8:$J$8,打分卡!$K$8:$O$8),1)</f>
        <v>1</v>
      </c>
      <c r="AE1476" s="41">
        <f>IFERROR(LOOKUP(T1476,打分卡!$F$9:$I$9,打分卡!$K$9:$N$9),1)</f>
        <v>1</v>
      </c>
      <c r="AF1476" s="41">
        <f>IFERROR(LOOKUP(Q1476,打分卡!$F$10:$J$10,打分卡!$K$10:$O$10),1)</f>
        <v>1</v>
      </c>
      <c r="AG1476" s="41">
        <f>IFERROR(LOOKUP(R1476,打分卡!$F$11:$J$11,打分卡!$K$11:$O$11),1)</f>
        <v>1</v>
      </c>
      <c r="AH1476" s="41">
        <f>IFERROR(LOOKUP(U1476,打分卡!$F$12:$J$12,打分卡!$K$12:$O$12),1)</f>
        <v>1</v>
      </c>
      <c r="AI1476" s="41">
        <f>IFERROR(LOOKUP(X1476,打分卡!$F$13:$J$13,打分卡!$K$13:$O$13),1)</f>
        <v>1</v>
      </c>
      <c r="AJ1476" s="41">
        <f>IFERROR(LOOKUP(Y1476,打分卡!$F$14:$J$14,打分卡!$K$14:$O$14),1)</f>
        <v>2</v>
      </c>
      <c r="AK1476" s="41">
        <f>IFERROR(LOOKUP(W1476,打分卡!$F$15:$J$15,打分卡!$K$15:$O$15),1)</f>
        <v>2</v>
      </c>
      <c r="AL1476" s="43">
        <f t="shared" si="185"/>
        <v>1</v>
      </c>
      <c r="AM1476" s="41">
        <f>IFERROR(LOOKUP(Z1476,打分卡!$F$17:$H$17,打分卡!$K$17:$M$17),1)</f>
        <v>1</v>
      </c>
      <c r="AN1476" s="44">
        <f>(打分卡!$D$7*AC1476+打分卡!$D$8*AD1476+打分卡!$D$9*AE1476)/5</f>
        <v>8</v>
      </c>
      <c r="AO1476" s="44">
        <f>(打分卡!$D$10*AF1476+打分卡!$D$11*AG1476)/5</f>
        <v>4</v>
      </c>
      <c r="AP1476" s="44">
        <f>(打分卡!$D$12*AH1476+打分卡!$D$13*AI1476+打分卡!$D$14*AJ1476+打分卡!$D$15*AK1476)/5</f>
        <v>8</v>
      </c>
      <c r="AQ1476" s="44">
        <f>(打分卡!$D$16*AL1476+打分卡!$D$17*AM1476)/5</f>
        <v>2</v>
      </c>
      <c r="AR1476" s="47">
        <f t="shared" si="186"/>
        <v>22</v>
      </c>
      <c r="AS1476" s="43" t="str">
        <f t="shared" si="187"/>
        <v>未激活</v>
      </c>
      <c r="AT1476" s="43" t="str">
        <f t="shared" si="188"/>
        <v>连续下降-预警</v>
      </c>
      <c r="AU1476" s="43" t="str">
        <f t="shared" si="189"/>
        <v>唤醒：短信模板+首充补贴</v>
      </c>
    </row>
    <row r="1477" ht="15" customHeight="1" spans="1:47">
      <c r="A1477" s="20" t="s">
        <v>3799</v>
      </c>
      <c r="B1477" s="22" t="s">
        <v>3800</v>
      </c>
      <c r="C1477" s="22" t="s">
        <v>239</v>
      </c>
      <c r="D1477" s="22" t="s">
        <v>180</v>
      </c>
      <c r="E1477" s="22" t="s">
        <v>181</v>
      </c>
      <c r="F1477" s="20" t="s">
        <v>814</v>
      </c>
      <c r="G1477" s="22">
        <v>14</v>
      </c>
      <c r="H1477" s="22" t="s">
        <v>3535</v>
      </c>
      <c r="I1477" s="22" t="s">
        <v>302</v>
      </c>
      <c r="J1477" s="36">
        <v>0</v>
      </c>
      <c r="K1477" s="36">
        <v>0</v>
      </c>
      <c r="L1477" s="36">
        <v>0</v>
      </c>
      <c r="M1477" s="36">
        <f t="shared" si="184"/>
        <v>0</v>
      </c>
      <c r="N1477" s="34">
        <f t="shared" si="190"/>
        <v>0</v>
      </c>
      <c r="O1477" s="35">
        <f>SUM($M$2:M1477)</f>
        <v>190743600</v>
      </c>
      <c r="P1477" s="34">
        <f t="shared" si="191"/>
        <v>1</v>
      </c>
      <c r="Q1477" s="39">
        <v>0</v>
      </c>
      <c r="R1477" s="22">
        <v>0</v>
      </c>
      <c r="S1477" s="22">
        <v>0</v>
      </c>
      <c r="T1477" s="22">
        <v>0</v>
      </c>
      <c r="U1477" s="39">
        <v>1.6</v>
      </c>
      <c r="V1477" s="22">
        <v>8</v>
      </c>
      <c r="W1477" s="22">
        <v>0</v>
      </c>
      <c r="X1477" s="40">
        <v>8</v>
      </c>
      <c r="Y1477" s="22">
        <v>1</v>
      </c>
      <c r="Z1477" s="22">
        <v>0</v>
      </c>
      <c r="AA1477" s="22" t="s">
        <v>212</v>
      </c>
      <c r="AB1477" s="22" t="s">
        <v>220</v>
      </c>
      <c r="AC1477" s="42">
        <f>IFERROR(LOOKUP(M1477,打分卡!$F$7:$J$7,打分卡!$K$7:$O$7),1)</f>
        <v>1</v>
      </c>
      <c r="AD1477" s="42">
        <f>IFERROR(LOOKUP(S1477,打分卡!$F$8:$J$8,打分卡!$K$8:$O$8),1)</f>
        <v>1</v>
      </c>
      <c r="AE1477" s="42">
        <f>IFERROR(LOOKUP(T1477,打分卡!$F$9:$I$9,打分卡!$K$9:$N$9),1)</f>
        <v>1</v>
      </c>
      <c r="AF1477" s="42">
        <f>IFERROR(LOOKUP(Q1477,打分卡!$F$10:$J$10,打分卡!$K$10:$O$10),1)</f>
        <v>1</v>
      </c>
      <c r="AG1477" s="42">
        <f>IFERROR(LOOKUP(R1477,打分卡!$F$11:$J$11,打分卡!$K$11:$O$11),1)</f>
        <v>1</v>
      </c>
      <c r="AH1477" s="42">
        <f>IFERROR(LOOKUP(U1477,打分卡!$F$12:$J$12,打分卡!$K$12:$O$12),1)</f>
        <v>1</v>
      </c>
      <c r="AI1477" s="42">
        <f>IFERROR(LOOKUP(X1477,打分卡!$F$13:$J$13,打分卡!$K$13:$O$13),1)</f>
        <v>1</v>
      </c>
      <c r="AJ1477" s="42">
        <f>IFERROR(LOOKUP(Y1477,打分卡!$F$14:$J$14,打分卡!$K$14:$O$14),1)</f>
        <v>2</v>
      </c>
      <c r="AK1477" s="42">
        <f>IFERROR(LOOKUP(W1477,打分卡!$F$15:$J$15,打分卡!$K$15:$O$15),1)</f>
        <v>1</v>
      </c>
      <c r="AL1477" s="45">
        <f t="shared" si="185"/>
        <v>1</v>
      </c>
      <c r="AM1477" s="42">
        <f>IFERROR(LOOKUP(Z1477,打分卡!$F$17:$H$17,打分卡!$K$17:$M$17),1)</f>
        <v>1</v>
      </c>
      <c r="AN1477" s="46">
        <f>(打分卡!$D$7*AC1477+打分卡!$D$8*AD1477+打分卡!$D$9*AE1477)/5</f>
        <v>8</v>
      </c>
      <c r="AO1477" s="46">
        <f>(打分卡!$D$10*AF1477+打分卡!$D$11*AG1477)/5</f>
        <v>4</v>
      </c>
      <c r="AP1477" s="46">
        <f>(打分卡!$D$12*AH1477+打分卡!$D$13*AI1477+打分卡!$D$14*AJ1477+打分卡!$D$15*AK1477)/5</f>
        <v>7.2</v>
      </c>
      <c r="AQ1477" s="46">
        <f>(打分卡!$D$16*AL1477+打分卡!$D$17*AM1477)/5</f>
        <v>2</v>
      </c>
      <c r="AR1477" s="48">
        <f t="shared" si="186"/>
        <v>21.2</v>
      </c>
      <c r="AS1477" s="45" t="str">
        <f t="shared" si="187"/>
        <v>未激活</v>
      </c>
      <c r="AT1477" s="45" t="str">
        <f t="shared" si="188"/>
        <v>连续下降-预警</v>
      </c>
      <c r="AU1477" s="45" t="str">
        <f t="shared" si="189"/>
        <v>唤醒：短信模板+首充补贴</v>
      </c>
    </row>
    <row r="1478" ht="15" customHeight="1" spans="1:47">
      <c r="A1478" s="30" t="s">
        <v>3801</v>
      </c>
      <c r="B1478" s="31" t="s">
        <v>3802</v>
      </c>
      <c r="C1478" s="31" t="s">
        <v>234</v>
      </c>
      <c r="D1478" s="31" t="s">
        <v>196</v>
      </c>
      <c r="E1478" s="31" t="s">
        <v>181</v>
      </c>
      <c r="F1478" s="30" t="s">
        <v>3803</v>
      </c>
      <c r="G1478" s="31">
        <v>31</v>
      </c>
      <c r="H1478" s="31" t="s">
        <v>3535</v>
      </c>
      <c r="I1478" s="31" t="s">
        <v>302</v>
      </c>
      <c r="J1478" s="33">
        <v>0</v>
      </c>
      <c r="K1478" s="33">
        <v>0</v>
      </c>
      <c r="L1478" s="33">
        <v>0</v>
      </c>
      <c r="M1478" s="33">
        <f t="shared" si="184"/>
        <v>0</v>
      </c>
      <c r="N1478" s="34">
        <f t="shared" si="190"/>
        <v>0</v>
      </c>
      <c r="O1478" s="35">
        <f>SUM($M$2:M1478)</f>
        <v>190743600</v>
      </c>
      <c r="P1478" s="34">
        <f t="shared" si="191"/>
        <v>1</v>
      </c>
      <c r="Q1478" s="37">
        <v>0</v>
      </c>
      <c r="R1478" s="31">
        <v>0</v>
      </c>
      <c r="S1478" s="31">
        <v>0</v>
      </c>
      <c r="T1478" s="31">
        <v>0</v>
      </c>
      <c r="U1478" s="37">
        <v>1.3</v>
      </c>
      <c r="V1478" s="31">
        <v>15</v>
      </c>
      <c r="W1478" s="31">
        <v>1</v>
      </c>
      <c r="X1478" s="38">
        <v>53</v>
      </c>
      <c r="Y1478" s="31">
        <v>1</v>
      </c>
      <c r="Z1478" s="31">
        <v>0</v>
      </c>
      <c r="AA1478" s="31" t="s">
        <v>212</v>
      </c>
      <c r="AB1478" s="31" t="s">
        <v>220</v>
      </c>
      <c r="AC1478" s="41">
        <f>IFERROR(LOOKUP(M1478,打分卡!$F$7:$J$7,打分卡!$K$7:$O$7),1)</f>
        <v>1</v>
      </c>
      <c r="AD1478" s="41">
        <f>IFERROR(LOOKUP(S1478,打分卡!$F$8:$J$8,打分卡!$K$8:$O$8),1)</f>
        <v>1</v>
      </c>
      <c r="AE1478" s="41">
        <f>IFERROR(LOOKUP(T1478,打分卡!$F$9:$I$9,打分卡!$K$9:$N$9),1)</f>
        <v>1</v>
      </c>
      <c r="AF1478" s="41">
        <f>IFERROR(LOOKUP(Q1478,打分卡!$F$10:$J$10,打分卡!$K$10:$O$10),1)</f>
        <v>1</v>
      </c>
      <c r="AG1478" s="41">
        <f>IFERROR(LOOKUP(R1478,打分卡!$F$11:$J$11,打分卡!$K$11:$O$11),1)</f>
        <v>1</v>
      </c>
      <c r="AH1478" s="41">
        <f>IFERROR(LOOKUP(U1478,打分卡!$F$12:$J$12,打分卡!$K$12:$O$12),1)</f>
        <v>1</v>
      </c>
      <c r="AI1478" s="41">
        <f>IFERROR(LOOKUP(X1478,打分卡!$F$13:$J$13,打分卡!$K$13:$O$13),1)</f>
        <v>3</v>
      </c>
      <c r="AJ1478" s="41">
        <f>IFERROR(LOOKUP(Y1478,打分卡!$F$14:$J$14,打分卡!$K$14:$O$14),1)</f>
        <v>2</v>
      </c>
      <c r="AK1478" s="41">
        <f>IFERROR(LOOKUP(W1478,打分卡!$F$15:$J$15,打分卡!$K$15:$O$15),1)</f>
        <v>2</v>
      </c>
      <c r="AL1478" s="43">
        <f t="shared" si="185"/>
        <v>1</v>
      </c>
      <c r="AM1478" s="41">
        <f>IFERROR(LOOKUP(Z1478,打分卡!$F$17:$H$17,打分卡!$K$17:$M$17),1)</f>
        <v>1</v>
      </c>
      <c r="AN1478" s="44">
        <f>(打分卡!$D$7*AC1478+打分卡!$D$8*AD1478+打分卡!$D$9*AE1478)/5</f>
        <v>8</v>
      </c>
      <c r="AO1478" s="44">
        <f>(打分卡!$D$10*AF1478+打分卡!$D$11*AG1478)/5</f>
        <v>4</v>
      </c>
      <c r="AP1478" s="44">
        <f>(打分卡!$D$12*AH1478+打分卡!$D$13*AI1478+打分卡!$D$14*AJ1478+打分卡!$D$15*AK1478)/5</f>
        <v>11.2</v>
      </c>
      <c r="AQ1478" s="44">
        <f>(打分卡!$D$16*AL1478+打分卡!$D$17*AM1478)/5</f>
        <v>2</v>
      </c>
      <c r="AR1478" s="47">
        <f t="shared" si="186"/>
        <v>25.2</v>
      </c>
      <c r="AS1478" s="43" t="str">
        <f t="shared" si="187"/>
        <v>未激活</v>
      </c>
      <c r="AT1478" s="43" t="str">
        <f t="shared" si="188"/>
        <v>连续下降-预警</v>
      </c>
      <c r="AU1478" s="43" t="str">
        <f t="shared" si="189"/>
        <v>唤醒：短信模板+首充补贴</v>
      </c>
    </row>
    <row r="1479" ht="15" customHeight="1" spans="1:47">
      <c r="A1479" s="20" t="s">
        <v>3804</v>
      </c>
      <c r="B1479" s="22" t="s">
        <v>3805</v>
      </c>
      <c r="C1479" s="22" t="s">
        <v>218</v>
      </c>
      <c r="D1479" s="22" t="s">
        <v>235</v>
      </c>
      <c r="E1479" s="22" t="s">
        <v>181</v>
      </c>
      <c r="F1479" s="20" t="s">
        <v>1812</v>
      </c>
      <c r="G1479" s="22">
        <v>18</v>
      </c>
      <c r="H1479" s="22" t="s">
        <v>3535</v>
      </c>
      <c r="I1479" s="22" t="s">
        <v>302</v>
      </c>
      <c r="J1479" s="36">
        <v>0</v>
      </c>
      <c r="K1479" s="36">
        <v>0</v>
      </c>
      <c r="L1479" s="36">
        <v>0</v>
      </c>
      <c r="M1479" s="36">
        <f t="shared" si="184"/>
        <v>0</v>
      </c>
      <c r="N1479" s="34">
        <f t="shared" si="190"/>
        <v>0</v>
      </c>
      <c r="O1479" s="35">
        <f>SUM($M$2:M1479)</f>
        <v>190743600</v>
      </c>
      <c r="P1479" s="34">
        <f t="shared" si="191"/>
        <v>1</v>
      </c>
      <c r="Q1479" s="39">
        <v>0</v>
      </c>
      <c r="R1479" s="22">
        <v>0</v>
      </c>
      <c r="S1479" s="22">
        <v>0</v>
      </c>
      <c r="T1479" s="22">
        <v>0</v>
      </c>
      <c r="U1479" s="39">
        <v>12</v>
      </c>
      <c r="V1479" s="22">
        <v>5</v>
      </c>
      <c r="W1479" s="22">
        <v>0</v>
      </c>
      <c r="X1479" s="40">
        <v>7</v>
      </c>
      <c r="Y1479" s="22">
        <v>1</v>
      </c>
      <c r="Z1479" s="22">
        <v>0</v>
      </c>
      <c r="AA1479" s="22" t="s">
        <v>212</v>
      </c>
      <c r="AB1479" s="22" t="s">
        <v>220</v>
      </c>
      <c r="AC1479" s="42">
        <f>IFERROR(LOOKUP(M1479,打分卡!$F$7:$J$7,打分卡!$K$7:$O$7),1)</f>
        <v>1</v>
      </c>
      <c r="AD1479" s="42">
        <f>IFERROR(LOOKUP(S1479,打分卡!$F$8:$J$8,打分卡!$K$8:$O$8),1)</f>
        <v>1</v>
      </c>
      <c r="AE1479" s="42">
        <f>IFERROR(LOOKUP(T1479,打分卡!$F$9:$I$9,打分卡!$K$9:$N$9),1)</f>
        <v>1</v>
      </c>
      <c r="AF1479" s="42">
        <f>IFERROR(LOOKUP(Q1479,打分卡!$F$10:$J$10,打分卡!$K$10:$O$10),1)</f>
        <v>1</v>
      </c>
      <c r="AG1479" s="42">
        <f>IFERROR(LOOKUP(R1479,打分卡!$F$11:$J$11,打分卡!$K$11:$O$11),1)</f>
        <v>1</v>
      </c>
      <c r="AH1479" s="42">
        <f>IFERROR(LOOKUP(U1479,打分卡!$F$12:$J$12,打分卡!$K$12:$O$12),1)</f>
        <v>3</v>
      </c>
      <c r="AI1479" s="42">
        <f>IFERROR(LOOKUP(X1479,打分卡!$F$13:$J$13,打分卡!$K$13:$O$13),1)</f>
        <v>1</v>
      </c>
      <c r="AJ1479" s="42">
        <f>IFERROR(LOOKUP(Y1479,打分卡!$F$14:$J$14,打分卡!$K$14:$O$14),1)</f>
        <v>2</v>
      </c>
      <c r="AK1479" s="42">
        <f>IFERROR(LOOKUP(W1479,打分卡!$F$15:$J$15,打分卡!$K$15:$O$15),1)</f>
        <v>1</v>
      </c>
      <c r="AL1479" s="45">
        <f t="shared" si="185"/>
        <v>1</v>
      </c>
      <c r="AM1479" s="42">
        <f>IFERROR(LOOKUP(Z1479,打分卡!$F$17:$H$17,打分卡!$K$17:$M$17),1)</f>
        <v>1</v>
      </c>
      <c r="AN1479" s="46">
        <f>(打分卡!$D$7*AC1479+打分卡!$D$8*AD1479+打分卡!$D$9*AE1479)/5</f>
        <v>8</v>
      </c>
      <c r="AO1479" s="46">
        <f>(打分卡!$D$10*AF1479+打分卡!$D$11*AG1479)/5</f>
        <v>4</v>
      </c>
      <c r="AP1479" s="46">
        <f>(打分卡!$D$12*AH1479+打分卡!$D$13*AI1479+打分卡!$D$14*AJ1479+打分卡!$D$15*AK1479)/5</f>
        <v>12</v>
      </c>
      <c r="AQ1479" s="46">
        <f>(打分卡!$D$16*AL1479+打分卡!$D$17*AM1479)/5</f>
        <v>2</v>
      </c>
      <c r="AR1479" s="48">
        <f t="shared" si="186"/>
        <v>26</v>
      </c>
      <c r="AS1479" s="45" t="str">
        <f t="shared" si="187"/>
        <v>未激活</v>
      </c>
      <c r="AT1479" s="45" t="str">
        <f t="shared" si="188"/>
        <v>连续下降-预警</v>
      </c>
      <c r="AU1479" s="45" t="str">
        <f t="shared" si="189"/>
        <v>唤醒：短信模板+首充补贴</v>
      </c>
    </row>
    <row r="1480" ht="15" customHeight="1" spans="1:47">
      <c r="A1480" s="30" t="s">
        <v>3806</v>
      </c>
      <c r="B1480" s="31" t="s">
        <v>3807</v>
      </c>
      <c r="C1480" s="31" t="s">
        <v>179</v>
      </c>
      <c r="D1480" s="31" t="s">
        <v>202</v>
      </c>
      <c r="E1480" s="31" t="s">
        <v>197</v>
      </c>
      <c r="F1480" s="30" t="s">
        <v>3689</v>
      </c>
      <c r="G1480" s="31">
        <v>36</v>
      </c>
      <c r="H1480" s="31" t="s">
        <v>3535</v>
      </c>
      <c r="I1480" s="31" t="s">
        <v>302</v>
      </c>
      <c r="J1480" s="33">
        <v>0</v>
      </c>
      <c r="K1480" s="33">
        <v>0</v>
      </c>
      <c r="L1480" s="33">
        <v>0</v>
      </c>
      <c r="M1480" s="33">
        <f t="shared" si="184"/>
        <v>0</v>
      </c>
      <c r="N1480" s="34">
        <f t="shared" si="190"/>
        <v>0</v>
      </c>
      <c r="O1480" s="35">
        <f>SUM($M$2:M1480)</f>
        <v>190743600</v>
      </c>
      <c r="P1480" s="34">
        <f t="shared" si="191"/>
        <v>1</v>
      </c>
      <c r="Q1480" s="37">
        <v>0</v>
      </c>
      <c r="R1480" s="31">
        <v>0</v>
      </c>
      <c r="S1480" s="31">
        <v>0</v>
      </c>
      <c r="T1480" s="31">
        <v>0</v>
      </c>
      <c r="U1480" s="37">
        <v>0.9</v>
      </c>
      <c r="V1480" s="31">
        <v>9</v>
      </c>
      <c r="W1480" s="31">
        <v>2</v>
      </c>
      <c r="X1480" s="38">
        <v>23</v>
      </c>
      <c r="Y1480" s="31">
        <v>1</v>
      </c>
      <c r="Z1480" s="31">
        <v>0</v>
      </c>
      <c r="AA1480" s="31" t="s">
        <v>212</v>
      </c>
      <c r="AB1480" s="31" t="s">
        <v>220</v>
      </c>
      <c r="AC1480" s="41">
        <f>IFERROR(LOOKUP(M1480,打分卡!$F$7:$J$7,打分卡!$K$7:$O$7),1)</f>
        <v>1</v>
      </c>
      <c r="AD1480" s="41">
        <f>IFERROR(LOOKUP(S1480,打分卡!$F$8:$J$8,打分卡!$K$8:$O$8),1)</f>
        <v>1</v>
      </c>
      <c r="AE1480" s="41">
        <f>IFERROR(LOOKUP(T1480,打分卡!$F$9:$I$9,打分卡!$K$9:$N$9),1)</f>
        <v>1</v>
      </c>
      <c r="AF1480" s="41">
        <f>IFERROR(LOOKUP(Q1480,打分卡!$F$10:$J$10,打分卡!$K$10:$O$10),1)</f>
        <v>1</v>
      </c>
      <c r="AG1480" s="41">
        <f>IFERROR(LOOKUP(R1480,打分卡!$F$11:$J$11,打分卡!$K$11:$O$11),1)</f>
        <v>1</v>
      </c>
      <c r="AH1480" s="41">
        <f>IFERROR(LOOKUP(U1480,打分卡!$F$12:$J$12,打分卡!$K$12:$O$12),1)</f>
        <v>1</v>
      </c>
      <c r="AI1480" s="41">
        <f>IFERROR(LOOKUP(X1480,打分卡!$F$13:$J$13,打分卡!$K$13:$O$13),1)</f>
        <v>2</v>
      </c>
      <c r="AJ1480" s="41">
        <f>IFERROR(LOOKUP(Y1480,打分卡!$F$14:$J$14,打分卡!$K$14:$O$14),1)</f>
        <v>2</v>
      </c>
      <c r="AK1480" s="41">
        <f>IFERROR(LOOKUP(W1480,打分卡!$F$15:$J$15,打分卡!$K$15:$O$15),1)</f>
        <v>2</v>
      </c>
      <c r="AL1480" s="43">
        <f t="shared" si="185"/>
        <v>1</v>
      </c>
      <c r="AM1480" s="41">
        <f>IFERROR(LOOKUP(Z1480,打分卡!$F$17:$H$17,打分卡!$K$17:$M$17),1)</f>
        <v>1</v>
      </c>
      <c r="AN1480" s="44">
        <f>(打分卡!$D$7*AC1480+打分卡!$D$8*AD1480+打分卡!$D$9*AE1480)/5</f>
        <v>8</v>
      </c>
      <c r="AO1480" s="44">
        <f>(打分卡!$D$10*AF1480+打分卡!$D$11*AG1480)/5</f>
        <v>4</v>
      </c>
      <c r="AP1480" s="44">
        <f>(打分卡!$D$12*AH1480+打分卡!$D$13*AI1480+打分卡!$D$14*AJ1480+打分卡!$D$15*AK1480)/5</f>
        <v>9.6</v>
      </c>
      <c r="AQ1480" s="44">
        <f>(打分卡!$D$16*AL1480+打分卡!$D$17*AM1480)/5</f>
        <v>2</v>
      </c>
      <c r="AR1480" s="47">
        <f t="shared" si="186"/>
        <v>23.6</v>
      </c>
      <c r="AS1480" s="43" t="str">
        <f t="shared" si="187"/>
        <v>未激活</v>
      </c>
      <c r="AT1480" s="43" t="str">
        <f t="shared" si="188"/>
        <v>连续下降-预警</v>
      </c>
      <c r="AU1480" s="43" t="str">
        <f t="shared" si="189"/>
        <v>唤醒：短信模板+首充补贴</v>
      </c>
    </row>
    <row r="1481" ht="15" customHeight="1" spans="1:47">
      <c r="A1481" s="20" t="s">
        <v>3808</v>
      </c>
      <c r="B1481" s="22" t="s">
        <v>3809</v>
      </c>
      <c r="C1481" s="22" t="s">
        <v>218</v>
      </c>
      <c r="D1481" s="22" t="s">
        <v>202</v>
      </c>
      <c r="E1481" s="22" t="s">
        <v>181</v>
      </c>
      <c r="F1481" s="20" t="s">
        <v>3765</v>
      </c>
      <c r="G1481" s="22">
        <v>21</v>
      </c>
      <c r="H1481" s="22" t="s">
        <v>3535</v>
      </c>
      <c r="I1481" s="22" t="s">
        <v>302</v>
      </c>
      <c r="J1481" s="36">
        <v>0</v>
      </c>
      <c r="K1481" s="36">
        <v>0</v>
      </c>
      <c r="L1481" s="36">
        <v>0</v>
      </c>
      <c r="M1481" s="36">
        <f t="shared" si="184"/>
        <v>0</v>
      </c>
      <c r="N1481" s="34">
        <f t="shared" si="190"/>
        <v>0</v>
      </c>
      <c r="O1481" s="35">
        <f>SUM($M$2:M1481)</f>
        <v>190743600</v>
      </c>
      <c r="P1481" s="34">
        <f t="shared" si="191"/>
        <v>1</v>
      </c>
      <c r="Q1481" s="39">
        <v>0</v>
      </c>
      <c r="R1481" s="22">
        <v>0</v>
      </c>
      <c r="S1481" s="22">
        <v>0</v>
      </c>
      <c r="T1481" s="22">
        <v>0</v>
      </c>
      <c r="U1481" s="39">
        <v>13.2</v>
      </c>
      <c r="V1481" s="22">
        <v>10</v>
      </c>
      <c r="W1481" s="22">
        <v>1</v>
      </c>
      <c r="X1481" s="40">
        <v>65</v>
      </c>
      <c r="Y1481" s="22">
        <v>1</v>
      </c>
      <c r="Z1481" s="22">
        <v>0</v>
      </c>
      <c r="AA1481" s="22" t="s">
        <v>212</v>
      </c>
      <c r="AB1481" s="22" t="s">
        <v>220</v>
      </c>
      <c r="AC1481" s="42">
        <f>IFERROR(LOOKUP(M1481,打分卡!$F$7:$J$7,打分卡!$K$7:$O$7),1)</f>
        <v>1</v>
      </c>
      <c r="AD1481" s="42">
        <f>IFERROR(LOOKUP(S1481,打分卡!$F$8:$J$8,打分卡!$K$8:$O$8),1)</f>
        <v>1</v>
      </c>
      <c r="AE1481" s="42">
        <f>IFERROR(LOOKUP(T1481,打分卡!$F$9:$I$9,打分卡!$K$9:$N$9),1)</f>
        <v>1</v>
      </c>
      <c r="AF1481" s="42">
        <f>IFERROR(LOOKUP(Q1481,打分卡!$F$10:$J$10,打分卡!$K$10:$O$10),1)</f>
        <v>1</v>
      </c>
      <c r="AG1481" s="42">
        <f>IFERROR(LOOKUP(R1481,打分卡!$F$11:$J$11,打分卡!$K$11:$O$11),1)</f>
        <v>1</v>
      </c>
      <c r="AH1481" s="42">
        <f>IFERROR(LOOKUP(U1481,打分卡!$F$12:$J$12,打分卡!$K$12:$O$12),1)</f>
        <v>3</v>
      </c>
      <c r="AI1481" s="42">
        <f>IFERROR(LOOKUP(X1481,打分卡!$F$13:$J$13,打分卡!$K$13:$O$13),1)</f>
        <v>3</v>
      </c>
      <c r="AJ1481" s="42">
        <f>IFERROR(LOOKUP(Y1481,打分卡!$F$14:$J$14,打分卡!$K$14:$O$14),1)</f>
        <v>2</v>
      </c>
      <c r="AK1481" s="42">
        <f>IFERROR(LOOKUP(W1481,打分卡!$F$15:$J$15,打分卡!$K$15:$O$15),1)</f>
        <v>2</v>
      </c>
      <c r="AL1481" s="45">
        <f t="shared" si="185"/>
        <v>1</v>
      </c>
      <c r="AM1481" s="42">
        <f>IFERROR(LOOKUP(Z1481,打分卡!$F$17:$H$17,打分卡!$K$17:$M$17),1)</f>
        <v>1</v>
      </c>
      <c r="AN1481" s="46">
        <f>(打分卡!$D$7*AC1481+打分卡!$D$8*AD1481+打分卡!$D$9*AE1481)/5</f>
        <v>8</v>
      </c>
      <c r="AO1481" s="46">
        <f>(打分卡!$D$10*AF1481+打分卡!$D$11*AG1481)/5</f>
        <v>4</v>
      </c>
      <c r="AP1481" s="46">
        <f>(打分卡!$D$12*AH1481+打分卡!$D$13*AI1481+打分卡!$D$14*AJ1481+打分卡!$D$15*AK1481)/5</f>
        <v>16</v>
      </c>
      <c r="AQ1481" s="46">
        <f>(打分卡!$D$16*AL1481+打分卡!$D$17*AM1481)/5</f>
        <v>2</v>
      </c>
      <c r="AR1481" s="48">
        <f t="shared" si="186"/>
        <v>30</v>
      </c>
      <c r="AS1481" s="45" t="str">
        <f t="shared" si="187"/>
        <v>未激活</v>
      </c>
      <c r="AT1481" s="45" t="str">
        <f t="shared" si="188"/>
        <v>连续下降-预警</v>
      </c>
      <c r="AU1481" s="45" t="str">
        <f t="shared" si="189"/>
        <v>唤醒：短信模板+首充补贴</v>
      </c>
    </row>
    <row r="1482" ht="15" customHeight="1" spans="1:47">
      <c r="A1482" s="30" t="s">
        <v>3810</v>
      </c>
      <c r="B1482" s="31" t="s">
        <v>3811</v>
      </c>
      <c r="C1482" s="31" t="s">
        <v>189</v>
      </c>
      <c r="D1482" s="31" t="s">
        <v>196</v>
      </c>
      <c r="E1482" s="31" t="s">
        <v>181</v>
      </c>
      <c r="F1482" s="30" t="s">
        <v>1984</v>
      </c>
      <c r="G1482" s="31">
        <v>21</v>
      </c>
      <c r="H1482" s="31" t="s">
        <v>3535</v>
      </c>
      <c r="I1482" s="31" t="s">
        <v>302</v>
      </c>
      <c r="J1482" s="33">
        <v>0</v>
      </c>
      <c r="K1482" s="33">
        <v>0</v>
      </c>
      <c r="L1482" s="33">
        <v>0</v>
      </c>
      <c r="M1482" s="33">
        <f t="shared" si="184"/>
        <v>0</v>
      </c>
      <c r="N1482" s="34">
        <f t="shared" si="190"/>
        <v>0</v>
      </c>
      <c r="O1482" s="35">
        <f>SUM($M$2:M1482)</f>
        <v>190743600</v>
      </c>
      <c r="P1482" s="34">
        <f t="shared" si="191"/>
        <v>1</v>
      </c>
      <c r="Q1482" s="37">
        <v>0</v>
      </c>
      <c r="R1482" s="31">
        <v>0</v>
      </c>
      <c r="S1482" s="31">
        <v>0</v>
      </c>
      <c r="T1482" s="31">
        <v>0</v>
      </c>
      <c r="U1482" s="37">
        <v>4.2</v>
      </c>
      <c r="V1482" s="31">
        <v>0</v>
      </c>
      <c r="W1482" s="31">
        <v>2</v>
      </c>
      <c r="X1482" s="38">
        <v>8</v>
      </c>
      <c r="Y1482" s="31">
        <v>1</v>
      </c>
      <c r="Z1482" s="31">
        <v>0</v>
      </c>
      <c r="AA1482" s="31" t="s">
        <v>212</v>
      </c>
      <c r="AB1482" s="31" t="s">
        <v>220</v>
      </c>
      <c r="AC1482" s="41">
        <f>IFERROR(LOOKUP(M1482,打分卡!$F$7:$J$7,打分卡!$K$7:$O$7),1)</f>
        <v>1</v>
      </c>
      <c r="AD1482" s="41">
        <f>IFERROR(LOOKUP(S1482,打分卡!$F$8:$J$8,打分卡!$K$8:$O$8),1)</f>
        <v>1</v>
      </c>
      <c r="AE1482" s="41">
        <f>IFERROR(LOOKUP(T1482,打分卡!$F$9:$I$9,打分卡!$K$9:$N$9),1)</f>
        <v>1</v>
      </c>
      <c r="AF1482" s="41">
        <f>IFERROR(LOOKUP(Q1482,打分卡!$F$10:$J$10,打分卡!$K$10:$O$10),1)</f>
        <v>1</v>
      </c>
      <c r="AG1482" s="41">
        <f>IFERROR(LOOKUP(R1482,打分卡!$F$11:$J$11,打分卡!$K$11:$O$11),1)</f>
        <v>1</v>
      </c>
      <c r="AH1482" s="41">
        <f>IFERROR(LOOKUP(U1482,打分卡!$F$12:$J$12,打分卡!$K$12:$O$12),1)</f>
        <v>2</v>
      </c>
      <c r="AI1482" s="41">
        <f>IFERROR(LOOKUP(X1482,打分卡!$F$13:$J$13,打分卡!$K$13:$O$13),1)</f>
        <v>1</v>
      </c>
      <c r="AJ1482" s="41">
        <f>IFERROR(LOOKUP(Y1482,打分卡!$F$14:$J$14,打分卡!$K$14:$O$14),1)</f>
        <v>2</v>
      </c>
      <c r="AK1482" s="41">
        <f>IFERROR(LOOKUP(W1482,打分卡!$F$15:$J$15,打分卡!$K$15:$O$15),1)</f>
        <v>2</v>
      </c>
      <c r="AL1482" s="43">
        <f t="shared" si="185"/>
        <v>1</v>
      </c>
      <c r="AM1482" s="41">
        <f>IFERROR(LOOKUP(Z1482,打分卡!$F$17:$H$17,打分卡!$K$17:$M$17),1)</f>
        <v>1</v>
      </c>
      <c r="AN1482" s="44">
        <f>(打分卡!$D$7*AC1482+打分卡!$D$8*AD1482+打分卡!$D$9*AE1482)/5</f>
        <v>8</v>
      </c>
      <c r="AO1482" s="44">
        <f>(打分卡!$D$10*AF1482+打分卡!$D$11*AG1482)/5</f>
        <v>4</v>
      </c>
      <c r="AP1482" s="44">
        <f>(打分卡!$D$12*AH1482+打分卡!$D$13*AI1482+打分卡!$D$14*AJ1482+打分卡!$D$15*AK1482)/5</f>
        <v>10.4</v>
      </c>
      <c r="AQ1482" s="44">
        <f>(打分卡!$D$16*AL1482+打分卡!$D$17*AM1482)/5</f>
        <v>2</v>
      </c>
      <c r="AR1482" s="47">
        <f t="shared" si="186"/>
        <v>24.4</v>
      </c>
      <c r="AS1482" s="43" t="str">
        <f t="shared" si="187"/>
        <v>未激活</v>
      </c>
      <c r="AT1482" s="43" t="str">
        <f t="shared" si="188"/>
        <v>连续下降-预警</v>
      </c>
      <c r="AU1482" s="43" t="str">
        <f t="shared" si="189"/>
        <v>唤醒：短信模板+首充补贴</v>
      </c>
    </row>
    <row r="1483" ht="15" customHeight="1" spans="1:47">
      <c r="A1483" s="20" t="s">
        <v>3812</v>
      </c>
      <c r="B1483" s="22" t="s">
        <v>3813</v>
      </c>
      <c r="C1483" s="22" t="s">
        <v>209</v>
      </c>
      <c r="D1483" s="22" t="s">
        <v>227</v>
      </c>
      <c r="E1483" s="22" t="s">
        <v>181</v>
      </c>
      <c r="F1483" s="20" t="s">
        <v>2363</v>
      </c>
      <c r="G1483" s="22">
        <v>24</v>
      </c>
      <c r="H1483" s="22" t="s">
        <v>3535</v>
      </c>
      <c r="I1483" s="22" t="s">
        <v>302</v>
      </c>
      <c r="J1483" s="36">
        <v>0</v>
      </c>
      <c r="K1483" s="36">
        <v>0</v>
      </c>
      <c r="L1483" s="36">
        <v>0</v>
      </c>
      <c r="M1483" s="36">
        <f t="shared" si="184"/>
        <v>0</v>
      </c>
      <c r="N1483" s="34">
        <f t="shared" si="190"/>
        <v>0</v>
      </c>
      <c r="O1483" s="35">
        <f>SUM($M$2:M1483)</f>
        <v>190743600</v>
      </c>
      <c r="P1483" s="34">
        <f t="shared" si="191"/>
        <v>1</v>
      </c>
      <c r="Q1483" s="39">
        <v>0</v>
      </c>
      <c r="R1483" s="22">
        <v>0</v>
      </c>
      <c r="S1483" s="22">
        <v>0</v>
      </c>
      <c r="T1483" s="22">
        <v>0</v>
      </c>
      <c r="U1483" s="39">
        <v>13.3</v>
      </c>
      <c r="V1483" s="22">
        <v>10</v>
      </c>
      <c r="W1483" s="22">
        <v>2</v>
      </c>
      <c r="X1483" s="40">
        <v>57</v>
      </c>
      <c r="Y1483" s="22">
        <v>1</v>
      </c>
      <c r="Z1483" s="22">
        <v>0</v>
      </c>
      <c r="AA1483" s="22" t="s">
        <v>212</v>
      </c>
      <c r="AB1483" s="22" t="s">
        <v>220</v>
      </c>
      <c r="AC1483" s="42">
        <f>IFERROR(LOOKUP(M1483,打分卡!$F$7:$J$7,打分卡!$K$7:$O$7),1)</f>
        <v>1</v>
      </c>
      <c r="AD1483" s="42">
        <f>IFERROR(LOOKUP(S1483,打分卡!$F$8:$J$8,打分卡!$K$8:$O$8),1)</f>
        <v>1</v>
      </c>
      <c r="AE1483" s="42">
        <f>IFERROR(LOOKUP(T1483,打分卡!$F$9:$I$9,打分卡!$K$9:$N$9),1)</f>
        <v>1</v>
      </c>
      <c r="AF1483" s="42">
        <f>IFERROR(LOOKUP(Q1483,打分卡!$F$10:$J$10,打分卡!$K$10:$O$10),1)</f>
        <v>1</v>
      </c>
      <c r="AG1483" s="42">
        <f>IFERROR(LOOKUP(R1483,打分卡!$F$11:$J$11,打分卡!$K$11:$O$11),1)</f>
        <v>1</v>
      </c>
      <c r="AH1483" s="42">
        <f>IFERROR(LOOKUP(U1483,打分卡!$F$12:$J$12,打分卡!$K$12:$O$12),1)</f>
        <v>3</v>
      </c>
      <c r="AI1483" s="42">
        <f>IFERROR(LOOKUP(X1483,打分卡!$F$13:$J$13,打分卡!$K$13:$O$13),1)</f>
        <v>3</v>
      </c>
      <c r="AJ1483" s="42">
        <f>IFERROR(LOOKUP(Y1483,打分卡!$F$14:$J$14,打分卡!$K$14:$O$14),1)</f>
        <v>2</v>
      </c>
      <c r="AK1483" s="42">
        <f>IFERROR(LOOKUP(W1483,打分卡!$F$15:$J$15,打分卡!$K$15:$O$15),1)</f>
        <v>2</v>
      </c>
      <c r="AL1483" s="45">
        <f t="shared" si="185"/>
        <v>1</v>
      </c>
      <c r="AM1483" s="42">
        <f>IFERROR(LOOKUP(Z1483,打分卡!$F$17:$H$17,打分卡!$K$17:$M$17),1)</f>
        <v>1</v>
      </c>
      <c r="AN1483" s="46">
        <f>(打分卡!$D$7*AC1483+打分卡!$D$8*AD1483+打分卡!$D$9*AE1483)/5</f>
        <v>8</v>
      </c>
      <c r="AO1483" s="46">
        <f>(打分卡!$D$10*AF1483+打分卡!$D$11*AG1483)/5</f>
        <v>4</v>
      </c>
      <c r="AP1483" s="46">
        <f>(打分卡!$D$12*AH1483+打分卡!$D$13*AI1483+打分卡!$D$14*AJ1483+打分卡!$D$15*AK1483)/5</f>
        <v>16</v>
      </c>
      <c r="AQ1483" s="46">
        <f>(打分卡!$D$16*AL1483+打分卡!$D$17*AM1483)/5</f>
        <v>2</v>
      </c>
      <c r="AR1483" s="48">
        <f t="shared" si="186"/>
        <v>30</v>
      </c>
      <c r="AS1483" s="45" t="str">
        <f t="shared" si="187"/>
        <v>未激活</v>
      </c>
      <c r="AT1483" s="45" t="str">
        <f t="shared" si="188"/>
        <v>连续下降-预警</v>
      </c>
      <c r="AU1483" s="45" t="str">
        <f t="shared" si="189"/>
        <v>唤醒：短信模板+首充补贴</v>
      </c>
    </row>
    <row r="1484" ht="15" customHeight="1" spans="1:47">
      <c r="A1484" s="30" t="s">
        <v>3814</v>
      </c>
      <c r="B1484" s="31" t="s">
        <v>3815</v>
      </c>
      <c r="C1484" s="31" t="s">
        <v>223</v>
      </c>
      <c r="D1484" s="31" t="s">
        <v>180</v>
      </c>
      <c r="E1484" s="31" t="s">
        <v>181</v>
      </c>
      <c r="F1484" s="30" t="s">
        <v>3816</v>
      </c>
      <c r="G1484" s="31">
        <v>35</v>
      </c>
      <c r="H1484" s="31" t="s">
        <v>3535</v>
      </c>
      <c r="I1484" s="31" t="s">
        <v>302</v>
      </c>
      <c r="J1484" s="33">
        <v>0</v>
      </c>
      <c r="K1484" s="33">
        <v>0</v>
      </c>
      <c r="L1484" s="33">
        <v>0</v>
      </c>
      <c r="M1484" s="33">
        <f t="shared" si="184"/>
        <v>0</v>
      </c>
      <c r="N1484" s="34">
        <f t="shared" si="190"/>
        <v>0</v>
      </c>
      <c r="O1484" s="35">
        <f>SUM($M$2:M1484)</f>
        <v>190743600</v>
      </c>
      <c r="P1484" s="34">
        <f t="shared" si="191"/>
        <v>1</v>
      </c>
      <c r="Q1484" s="37">
        <v>0</v>
      </c>
      <c r="R1484" s="31">
        <v>0</v>
      </c>
      <c r="S1484" s="31">
        <v>0</v>
      </c>
      <c r="T1484" s="31">
        <v>0</v>
      </c>
      <c r="U1484" s="37">
        <v>10.9</v>
      </c>
      <c r="V1484" s="31">
        <v>11</v>
      </c>
      <c r="W1484" s="31">
        <v>2</v>
      </c>
      <c r="X1484" s="38">
        <v>73</v>
      </c>
      <c r="Y1484" s="31">
        <v>1</v>
      </c>
      <c r="Z1484" s="31">
        <v>0</v>
      </c>
      <c r="AA1484" s="31" t="s">
        <v>212</v>
      </c>
      <c r="AB1484" s="31" t="s">
        <v>220</v>
      </c>
      <c r="AC1484" s="41">
        <f>IFERROR(LOOKUP(M1484,打分卡!$F$7:$J$7,打分卡!$K$7:$O$7),1)</f>
        <v>1</v>
      </c>
      <c r="AD1484" s="41">
        <f>IFERROR(LOOKUP(S1484,打分卡!$F$8:$J$8,打分卡!$K$8:$O$8),1)</f>
        <v>1</v>
      </c>
      <c r="AE1484" s="41">
        <f>IFERROR(LOOKUP(T1484,打分卡!$F$9:$I$9,打分卡!$K$9:$N$9),1)</f>
        <v>1</v>
      </c>
      <c r="AF1484" s="41">
        <f>IFERROR(LOOKUP(Q1484,打分卡!$F$10:$J$10,打分卡!$K$10:$O$10),1)</f>
        <v>1</v>
      </c>
      <c r="AG1484" s="41">
        <f>IFERROR(LOOKUP(R1484,打分卡!$F$11:$J$11,打分卡!$K$11:$O$11),1)</f>
        <v>1</v>
      </c>
      <c r="AH1484" s="41">
        <f>IFERROR(LOOKUP(U1484,打分卡!$F$12:$J$12,打分卡!$K$12:$O$12),1)</f>
        <v>3</v>
      </c>
      <c r="AI1484" s="41">
        <f>IFERROR(LOOKUP(X1484,打分卡!$F$13:$J$13,打分卡!$K$13:$O$13),1)</f>
        <v>3</v>
      </c>
      <c r="AJ1484" s="41">
        <f>IFERROR(LOOKUP(Y1484,打分卡!$F$14:$J$14,打分卡!$K$14:$O$14),1)</f>
        <v>2</v>
      </c>
      <c r="AK1484" s="41">
        <f>IFERROR(LOOKUP(W1484,打分卡!$F$15:$J$15,打分卡!$K$15:$O$15),1)</f>
        <v>2</v>
      </c>
      <c r="AL1484" s="43">
        <f t="shared" si="185"/>
        <v>1</v>
      </c>
      <c r="AM1484" s="41">
        <f>IFERROR(LOOKUP(Z1484,打分卡!$F$17:$H$17,打分卡!$K$17:$M$17),1)</f>
        <v>1</v>
      </c>
      <c r="AN1484" s="44">
        <f>(打分卡!$D$7*AC1484+打分卡!$D$8*AD1484+打分卡!$D$9*AE1484)/5</f>
        <v>8</v>
      </c>
      <c r="AO1484" s="44">
        <f>(打分卡!$D$10*AF1484+打分卡!$D$11*AG1484)/5</f>
        <v>4</v>
      </c>
      <c r="AP1484" s="44">
        <f>(打分卡!$D$12*AH1484+打分卡!$D$13*AI1484+打分卡!$D$14*AJ1484+打分卡!$D$15*AK1484)/5</f>
        <v>16</v>
      </c>
      <c r="AQ1484" s="44">
        <f>(打分卡!$D$16*AL1484+打分卡!$D$17*AM1484)/5</f>
        <v>2</v>
      </c>
      <c r="AR1484" s="47">
        <f t="shared" si="186"/>
        <v>30</v>
      </c>
      <c r="AS1484" s="43" t="str">
        <f t="shared" si="187"/>
        <v>未激活</v>
      </c>
      <c r="AT1484" s="43" t="str">
        <f t="shared" si="188"/>
        <v>连续下降-预警</v>
      </c>
      <c r="AU1484" s="43" t="str">
        <f t="shared" si="189"/>
        <v>唤醒：短信模板+首充补贴</v>
      </c>
    </row>
    <row r="1485" ht="15" customHeight="1" spans="1:47">
      <c r="A1485" s="20" t="s">
        <v>3817</v>
      </c>
      <c r="B1485" s="22" t="s">
        <v>3818</v>
      </c>
      <c r="C1485" s="22" t="s">
        <v>195</v>
      </c>
      <c r="D1485" s="22" t="s">
        <v>190</v>
      </c>
      <c r="E1485" s="22" t="s">
        <v>197</v>
      </c>
      <c r="F1485" s="20" t="s">
        <v>3819</v>
      </c>
      <c r="G1485" s="22">
        <v>30</v>
      </c>
      <c r="H1485" s="22" t="s">
        <v>3535</v>
      </c>
      <c r="I1485" s="22" t="s">
        <v>302</v>
      </c>
      <c r="J1485" s="36">
        <v>0</v>
      </c>
      <c r="K1485" s="36">
        <v>0</v>
      </c>
      <c r="L1485" s="36">
        <v>0</v>
      </c>
      <c r="M1485" s="36">
        <f t="shared" si="184"/>
        <v>0</v>
      </c>
      <c r="N1485" s="34">
        <f t="shared" si="190"/>
        <v>0</v>
      </c>
      <c r="O1485" s="35">
        <f>SUM($M$2:M1485)</f>
        <v>190743600</v>
      </c>
      <c r="P1485" s="34">
        <f t="shared" si="191"/>
        <v>1</v>
      </c>
      <c r="Q1485" s="39">
        <v>0</v>
      </c>
      <c r="R1485" s="22">
        <v>0</v>
      </c>
      <c r="S1485" s="22">
        <v>0</v>
      </c>
      <c r="T1485" s="22">
        <v>0</v>
      </c>
      <c r="U1485" s="39">
        <v>5.1</v>
      </c>
      <c r="V1485" s="22">
        <v>5</v>
      </c>
      <c r="W1485" s="22">
        <v>0</v>
      </c>
      <c r="X1485" s="40">
        <v>7</v>
      </c>
      <c r="Y1485" s="22">
        <v>1</v>
      </c>
      <c r="Z1485" s="22">
        <v>0</v>
      </c>
      <c r="AA1485" s="22" t="s">
        <v>212</v>
      </c>
      <c r="AB1485" s="22" t="s">
        <v>220</v>
      </c>
      <c r="AC1485" s="42">
        <f>IFERROR(LOOKUP(M1485,打分卡!$F$7:$J$7,打分卡!$K$7:$O$7),1)</f>
        <v>1</v>
      </c>
      <c r="AD1485" s="42">
        <f>IFERROR(LOOKUP(S1485,打分卡!$F$8:$J$8,打分卡!$K$8:$O$8),1)</f>
        <v>1</v>
      </c>
      <c r="AE1485" s="42">
        <f>IFERROR(LOOKUP(T1485,打分卡!$F$9:$I$9,打分卡!$K$9:$N$9),1)</f>
        <v>1</v>
      </c>
      <c r="AF1485" s="42">
        <f>IFERROR(LOOKUP(Q1485,打分卡!$F$10:$J$10,打分卡!$K$10:$O$10),1)</f>
        <v>1</v>
      </c>
      <c r="AG1485" s="42">
        <f>IFERROR(LOOKUP(R1485,打分卡!$F$11:$J$11,打分卡!$K$11:$O$11),1)</f>
        <v>1</v>
      </c>
      <c r="AH1485" s="42">
        <f>IFERROR(LOOKUP(U1485,打分卡!$F$12:$J$12,打分卡!$K$12:$O$12),1)</f>
        <v>2</v>
      </c>
      <c r="AI1485" s="42">
        <f>IFERROR(LOOKUP(X1485,打分卡!$F$13:$J$13,打分卡!$K$13:$O$13),1)</f>
        <v>1</v>
      </c>
      <c r="AJ1485" s="42">
        <f>IFERROR(LOOKUP(Y1485,打分卡!$F$14:$J$14,打分卡!$K$14:$O$14),1)</f>
        <v>2</v>
      </c>
      <c r="AK1485" s="42">
        <f>IFERROR(LOOKUP(W1485,打分卡!$F$15:$J$15,打分卡!$K$15:$O$15),1)</f>
        <v>1</v>
      </c>
      <c r="AL1485" s="45">
        <f t="shared" si="185"/>
        <v>1</v>
      </c>
      <c r="AM1485" s="42">
        <f>IFERROR(LOOKUP(Z1485,打分卡!$F$17:$H$17,打分卡!$K$17:$M$17),1)</f>
        <v>1</v>
      </c>
      <c r="AN1485" s="46">
        <f>(打分卡!$D$7*AC1485+打分卡!$D$8*AD1485+打分卡!$D$9*AE1485)/5</f>
        <v>8</v>
      </c>
      <c r="AO1485" s="46">
        <f>(打分卡!$D$10*AF1485+打分卡!$D$11*AG1485)/5</f>
        <v>4</v>
      </c>
      <c r="AP1485" s="46">
        <f>(打分卡!$D$12*AH1485+打分卡!$D$13*AI1485+打分卡!$D$14*AJ1485+打分卡!$D$15*AK1485)/5</f>
        <v>9.6</v>
      </c>
      <c r="AQ1485" s="46">
        <f>(打分卡!$D$16*AL1485+打分卡!$D$17*AM1485)/5</f>
        <v>2</v>
      </c>
      <c r="AR1485" s="48">
        <f t="shared" si="186"/>
        <v>23.6</v>
      </c>
      <c r="AS1485" s="45" t="str">
        <f t="shared" si="187"/>
        <v>未激活</v>
      </c>
      <c r="AT1485" s="45" t="str">
        <f t="shared" si="188"/>
        <v>连续下降-预警</v>
      </c>
      <c r="AU1485" s="45" t="str">
        <f t="shared" si="189"/>
        <v>唤醒：短信模板+首充补贴</v>
      </c>
    </row>
    <row r="1486" ht="15" customHeight="1" spans="1:47">
      <c r="A1486" s="30" t="s">
        <v>3820</v>
      </c>
      <c r="B1486" s="31" t="s">
        <v>3821</v>
      </c>
      <c r="C1486" s="31" t="s">
        <v>223</v>
      </c>
      <c r="D1486" s="31" t="s">
        <v>190</v>
      </c>
      <c r="E1486" s="31" t="s">
        <v>181</v>
      </c>
      <c r="F1486" s="30" t="s">
        <v>3822</v>
      </c>
      <c r="G1486" s="31">
        <v>35</v>
      </c>
      <c r="H1486" s="31" t="s">
        <v>3535</v>
      </c>
      <c r="I1486" s="31" t="s">
        <v>302</v>
      </c>
      <c r="J1486" s="33">
        <v>0</v>
      </c>
      <c r="K1486" s="33">
        <v>0</v>
      </c>
      <c r="L1486" s="33">
        <v>0</v>
      </c>
      <c r="M1486" s="33">
        <f t="shared" si="184"/>
        <v>0</v>
      </c>
      <c r="N1486" s="34">
        <f t="shared" si="190"/>
        <v>0</v>
      </c>
      <c r="O1486" s="35">
        <f>SUM($M$2:M1486)</f>
        <v>190743600</v>
      </c>
      <c r="P1486" s="34">
        <f t="shared" si="191"/>
        <v>1</v>
      </c>
      <c r="Q1486" s="37">
        <v>0</v>
      </c>
      <c r="R1486" s="31">
        <v>0</v>
      </c>
      <c r="S1486" s="31">
        <v>0</v>
      </c>
      <c r="T1486" s="31">
        <v>0</v>
      </c>
      <c r="U1486" s="37">
        <v>28.4</v>
      </c>
      <c r="V1486" s="31">
        <v>3</v>
      </c>
      <c r="W1486" s="31">
        <v>0</v>
      </c>
      <c r="X1486" s="38">
        <v>20</v>
      </c>
      <c r="Y1486" s="31">
        <v>0</v>
      </c>
      <c r="Z1486" s="31">
        <v>0</v>
      </c>
      <c r="AA1486" s="31" t="s">
        <v>212</v>
      </c>
      <c r="AB1486" s="31" t="s">
        <v>220</v>
      </c>
      <c r="AC1486" s="41">
        <f>IFERROR(LOOKUP(M1486,打分卡!$F$7:$J$7,打分卡!$K$7:$O$7),1)</f>
        <v>1</v>
      </c>
      <c r="AD1486" s="41">
        <f>IFERROR(LOOKUP(S1486,打分卡!$F$8:$J$8,打分卡!$K$8:$O$8),1)</f>
        <v>1</v>
      </c>
      <c r="AE1486" s="41">
        <f>IFERROR(LOOKUP(T1486,打分卡!$F$9:$I$9,打分卡!$K$9:$N$9),1)</f>
        <v>1</v>
      </c>
      <c r="AF1486" s="41">
        <f>IFERROR(LOOKUP(Q1486,打分卡!$F$10:$J$10,打分卡!$K$10:$O$10),1)</f>
        <v>1</v>
      </c>
      <c r="AG1486" s="41">
        <f>IFERROR(LOOKUP(R1486,打分卡!$F$11:$J$11,打分卡!$K$11:$O$11),1)</f>
        <v>1</v>
      </c>
      <c r="AH1486" s="41">
        <f>IFERROR(LOOKUP(U1486,打分卡!$F$12:$J$12,打分卡!$K$12:$O$12),1)</f>
        <v>3</v>
      </c>
      <c r="AI1486" s="41">
        <f>IFERROR(LOOKUP(X1486,打分卡!$F$13:$J$13,打分卡!$K$13:$O$13),1)</f>
        <v>2</v>
      </c>
      <c r="AJ1486" s="41">
        <f>IFERROR(LOOKUP(Y1486,打分卡!$F$14:$J$14,打分卡!$K$14:$O$14),1)</f>
        <v>1</v>
      </c>
      <c r="AK1486" s="41">
        <f>IFERROR(LOOKUP(W1486,打分卡!$F$15:$J$15,打分卡!$K$15:$O$15),1)</f>
        <v>1</v>
      </c>
      <c r="AL1486" s="43">
        <f t="shared" si="185"/>
        <v>1</v>
      </c>
      <c r="AM1486" s="41">
        <f>IFERROR(LOOKUP(Z1486,打分卡!$F$17:$H$17,打分卡!$K$17:$M$17),1)</f>
        <v>1</v>
      </c>
      <c r="AN1486" s="44">
        <f>(打分卡!$D$7*AC1486+打分卡!$D$8*AD1486+打分卡!$D$9*AE1486)/5</f>
        <v>8</v>
      </c>
      <c r="AO1486" s="44">
        <f>(打分卡!$D$10*AF1486+打分卡!$D$11*AG1486)/5</f>
        <v>4</v>
      </c>
      <c r="AP1486" s="44">
        <f>(打分卡!$D$12*AH1486+打分卡!$D$13*AI1486+打分卡!$D$14*AJ1486+打分卡!$D$15*AK1486)/5</f>
        <v>12.4</v>
      </c>
      <c r="AQ1486" s="44">
        <f>(打分卡!$D$16*AL1486+打分卡!$D$17*AM1486)/5</f>
        <v>2</v>
      </c>
      <c r="AR1486" s="47">
        <f t="shared" si="186"/>
        <v>26.4</v>
      </c>
      <c r="AS1486" s="43" t="str">
        <f t="shared" si="187"/>
        <v>未激活</v>
      </c>
      <c r="AT1486" s="43" t="str">
        <f t="shared" si="188"/>
        <v>连续下降-预警</v>
      </c>
      <c r="AU1486" s="43" t="str">
        <f t="shared" si="189"/>
        <v>唤醒：短信模板+首充补贴</v>
      </c>
    </row>
    <row r="1487" ht="15" customHeight="1" spans="1:47">
      <c r="A1487" s="20" t="s">
        <v>3823</v>
      </c>
      <c r="B1487" s="22" t="s">
        <v>3824</v>
      </c>
      <c r="C1487" s="22" t="s">
        <v>179</v>
      </c>
      <c r="D1487" s="22" t="s">
        <v>202</v>
      </c>
      <c r="E1487" s="22" t="s">
        <v>181</v>
      </c>
      <c r="F1487" s="20" t="s">
        <v>3825</v>
      </c>
      <c r="G1487" s="22">
        <v>35</v>
      </c>
      <c r="H1487" s="22" t="s">
        <v>3535</v>
      </c>
      <c r="I1487" s="22" t="s">
        <v>302</v>
      </c>
      <c r="J1487" s="36">
        <v>0</v>
      </c>
      <c r="K1487" s="36">
        <v>0</v>
      </c>
      <c r="L1487" s="36">
        <v>0</v>
      </c>
      <c r="M1487" s="36">
        <f t="shared" si="184"/>
        <v>0</v>
      </c>
      <c r="N1487" s="34">
        <f t="shared" si="190"/>
        <v>0</v>
      </c>
      <c r="O1487" s="35">
        <f>SUM($M$2:M1487)</f>
        <v>190743600</v>
      </c>
      <c r="P1487" s="34">
        <f t="shared" si="191"/>
        <v>1</v>
      </c>
      <c r="Q1487" s="39">
        <v>0</v>
      </c>
      <c r="R1487" s="22">
        <v>0</v>
      </c>
      <c r="S1487" s="22">
        <v>0</v>
      </c>
      <c r="T1487" s="22">
        <v>0</v>
      </c>
      <c r="U1487" s="39">
        <v>5.2</v>
      </c>
      <c r="V1487" s="22">
        <v>5</v>
      </c>
      <c r="W1487" s="22">
        <v>0</v>
      </c>
      <c r="X1487" s="40">
        <v>18</v>
      </c>
      <c r="Y1487" s="22">
        <v>1</v>
      </c>
      <c r="Z1487" s="22">
        <v>0</v>
      </c>
      <c r="AA1487" s="22" t="s">
        <v>212</v>
      </c>
      <c r="AB1487" s="22" t="s">
        <v>220</v>
      </c>
      <c r="AC1487" s="42">
        <f>IFERROR(LOOKUP(M1487,打分卡!$F$7:$J$7,打分卡!$K$7:$O$7),1)</f>
        <v>1</v>
      </c>
      <c r="AD1487" s="42">
        <f>IFERROR(LOOKUP(S1487,打分卡!$F$8:$J$8,打分卡!$K$8:$O$8),1)</f>
        <v>1</v>
      </c>
      <c r="AE1487" s="42">
        <f>IFERROR(LOOKUP(T1487,打分卡!$F$9:$I$9,打分卡!$K$9:$N$9),1)</f>
        <v>1</v>
      </c>
      <c r="AF1487" s="42">
        <f>IFERROR(LOOKUP(Q1487,打分卡!$F$10:$J$10,打分卡!$K$10:$O$10),1)</f>
        <v>1</v>
      </c>
      <c r="AG1487" s="42">
        <f>IFERROR(LOOKUP(R1487,打分卡!$F$11:$J$11,打分卡!$K$11:$O$11),1)</f>
        <v>1</v>
      </c>
      <c r="AH1487" s="42">
        <f>IFERROR(LOOKUP(U1487,打分卡!$F$12:$J$12,打分卡!$K$12:$O$12),1)</f>
        <v>2</v>
      </c>
      <c r="AI1487" s="42">
        <f>IFERROR(LOOKUP(X1487,打分卡!$F$13:$J$13,打分卡!$K$13:$O$13),1)</f>
        <v>2</v>
      </c>
      <c r="AJ1487" s="42">
        <f>IFERROR(LOOKUP(Y1487,打分卡!$F$14:$J$14,打分卡!$K$14:$O$14),1)</f>
        <v>2</v>
      </c>
      <c r="AK1487" s="42">
        <f>IFERROR(LOOKUP(W1487,打分卡!$F$15:$J$15,打分卡!$K$15:$O$15),1)</f>
        <v>1</v>
      </c>
      <c r="AL1487" s="45">
        <f t="shared" si="185"/>
        <v>1</v>
      </c>
      <c r="AM1487" s="42">
        <f>IFERROR(LOOKUP(Z1487,打分卡!$F$17:$H$17,打分卡!$K$17:$M$17),1)</f>
        <v>1</v>
      </c>
      <c r="AN1487" s="46">
        <f>(打分卡!$D$7*AC1487+打分卡!$D$8*AD1487+打分卡!$D$9*AE1487)/5</f>
        <v>8</v>
      </c>
      <c r="AO1487" s="46">
        <f>(打分卡!$D$10*AF1487+打分卡!$D$11*AG1487)/5</f>
        <v>4</v>
      </c>
      <c r="AP1487" s="46">
        <f>(打分卡!$D$12*AH1487+打分卡!$D$13*AI1487+打分卡!$D$14*AJ1487+打分卡!$D$15*AK1487)/5</f>
        <v>11.2</v>
      </c>
      <c r="AQ1487" s="46">
        <f>(打分卡!$D$16*AL1487+打分卡!$D$17*AM1487)/5</f>
        <v>2</v>
      </c>
      <c r="AR1487" s="48">
        <f t="shared" si="186"/>
        <v>25.2</v>
      </c>
      <c r="AS1487" s="45" t="str">
        <f t="shared" si="187"/>
        <v>未激活</v>
      </c>
      <c r="AT1487" s="45" t="str">
        <f t="shared" si="188"/>
        <v>连续下降-预警</v>
      </c>
      <c r="AU1487" s="45" t="str">
        <f t="shared" si="189"/>
        <v>唤醒：短信模板+首充补贴</v>
      </c>
    </row>
    <row r="1488" ht="15" customHeight="1" spans="1:47">
      <c r="A1488" s="30" t="s">
        <v>3826</v>
      </c>
      <c r="B1488" s="31" t="s">
        <v>3827</v>
      </c>
      <c r="C1488" s="31" t="s">
        <v>218</v>
      </c>
      <c r="D1488" s="31" t="s">
        <v>190</v>
      </c>
      <c r="E1488" s="31" t="s">
        <v>197</v>
      </c>
      <c r="F1488" s="30" t="s">
        <v>3709</v>
      </c>
      <c r="G1488" s="31">
        <v>31</v>
      </c>
      <c r="H1488" s="31" t="s">
        <v>3535</v>
      </c>
      <c r="I1488" s="31" t="s">
        <v>302</v>
      </c>
      <c r="J1488" s="33">
        <v>0</v>
      </c>
      <c r="K1488" s="33">
        <v>0</v>
      </c>
      <c r="L1488" s="33">
        <v>0</v>
      </c>
      <c r="M1488" s="33">
        <f t="shared" si="184"/>
        <v>0</v>
      </c>
      <c r="N1488" s="34">
        <f t="shared" si="190"/>
        <v>0</v>
      </c>
      <c r="O1488" s="35">
        <f>SUM($M$2:M1488)</f>
        <v>190743600</v>
      </c>
      <c r="P1488" s="34">
        <f t="shared" si="191"/>
        <v>1</v>
      </c>
      <c r="Q1488" s="37">
        <v>0</v>
      </c>
      <c r="R1488" s="31">
        <v>0</v>
      </c>
      <c r="S1488" s="31">
        <v>0</v>
      </c>
      <c r="T1488" s="31">
        <v>0</v>
      </c>
      <c r="U1488" s="37">
        <v>3.7</v>
      </c>
      <c r="V1488" s="31">
        <v>2</v>
      </c>
      <c r="W1488" s="31">
        <v>0</v>
      </c>
      <c r="X1488" s="38">
        <v>5</v>
      </c>
      <c r="Y1488" s="31">
        <v>0</v>
      </c>
      <c r="Z1488" s="31">
        <v>0</v>
      </c>
      <c r="AA1488" s="31" t="s">
        <v>212</v>
      </c>
      <c r="AB1488" s="31" t="s">
        <v>220</v>
      </c>
      <c r="AC1488" s="41">
        <f>IFERROR(LOOKUP(M1488,打分卡!$F$7:$J$7,打分卡!$K$7:$O$7),1)</f>
        <v>1</v>
      </c>
      <c r="AD1488" s="41">
        <f>IFERROR(LOOKUP(S1488,打分卡!$F$8:$J$8,打分卡!$K$8:$O$8),1)</f>
        <v>1</v>
      </c>
      <c r="AE1488" s="41">
        <f>IFERROR(LOOKUP(T1488,打分卡!$F$9:$I$9,打分卡!$K$9:$N$9),1)</f>
        <v>1</v>
      </c>
      <c r="AF1488" s="41">
        <f>IFERROR(LOOKUP(Q1488,打分卡!$F$10:$J$10,打分卡!$K$10:$O$10),1)</f>
        <v>1</v>
      </c>
      <c r="AG1488" s="41">
        <f>IFERROR(LOOKUP(R1488,打分卡!$F$11:$J$11,打分卡!$K$11:$O$11),1)</f>
        <v>1</v>
      </c>
      <c r="AH1488" s="41">
        <f>IFERROR(LOOKUP(U1488,打分卡!$F$12:$J$12,打分卡!$K$12:$O$12),1)</f>
        <v>2</v>
      </c>
      <c r="AI1488" s="41">
        <f>IFERROR(LOOKUP(X1488,打分卡!$F$13:$J$13,打分卡!$K$13:$O$13),1)</f>
        <v>1</v>
      </c>
      <c r="AJ1488" s="41">
        <f>IFERROR(LOOKUP(Y1488,打分卡!$F$14:$J$14,打分卡!$K$14:$O$14),1)</f>
        <v>1</v>
      </c>
      <c r="AK1488" s="41">
        <f>IFERROR(LOOKUP(W1488,打分卡!$F$15:$J$15,打分卡!$K$15:$O$15),1)</f>
        <v>1</v>
      </c>
      <c r="AL1488" s="43">
        <f t="shared" si="185"/>
        <v>1</v>
      </c>
      <c r="AM1488" s="41">
        <f>IFERROR(LOOKUP(Z1488,打分卡!$F$17:$H$17,打分卡!$K$17:$M$17),1)</f>
        <v>1</v>
      </c>
      <c r="AN1488" s="44">
        <f>(打分卡!$D$7*AC1488+打分卡!$D$8*AD1488+打分卡!$D$9*AE1488)/5</f>
        <v>8</v>
      </c>
      <c r="AO1488" s="44">
        <f>(打分卡!$D$10*AF1488+打分卡!$D$11*AG1488)/5</f>
        <v>4</v>
      </c>
      <c r="AP1488" s="44">
        <f>(打分卡!$D$12*AH1488+打分卡!$D$13*AI1488+打分卡!$D$14*AJ1488+打分卡!$D$15*AK1488)/5</f>
        <v>8.4</v>
      </c>
      <c r="AQ1488" s="44">
        <f>(打分卡!$D$16*AL1488+打分卡!$D$17*AM1488)/5</f>
        <v>2</v>
      </c>
      <c r="AR1488" s="47">
        <f t="shared" si="186"/>
        <v>22.4</v>
      </c>
      <c r="AS1488" s="43" t="str">
        <f t="shared" si="187"/>
        <v>未激活</v>
      </c>
      <c r="AT1488" s="43" t="str">
        <f t="shared" si="188"/>
        <v>连续下降-预警</v>
      </c>
      <c r="AU1488" s="43" t="str">
        <f t="shared" si="189"/>
        <v>唤醒：短信模板+首充补贴</v>
      </c>
    </row>
    <row r="1489" ht="15" customHeight="1" spans="1:47">
      <c r="A1489" s="20" t="s">
        <v>3828</v>
      </c>
      <c r="B1489" s="22" t="s">
        <v>3829</v>
      </c>
      <c r="C1489" s="22" t="s">
        <v>239</v>
      </c>
      <c r="D1489" s="22" t="s">
        <v>202</v>
      </c>
      <c r="E1489" s="22" t="s">
        <v>197</v>
      </c>
      <c r="F1489" s="20" t="s">
        <v>3830</v>
      </c>
      <c r="G1489" s="22">
        <v>25</v>
      </c>
      <c r="H1489" s="22" t="s">
        <v>3535</v>
      </c>
      <c r="I1489" s="22" t="s">
        <v>302</v>
      </c>
      <c r="J1489" s="36">
        <v>0</v>
      </c>
      <c r="K1489" s="36">
        <v>0</v>
      </c>
      <c r="L1489" s="36">
        <v>0</v>
      </c>
      <c r="M1489" s="36">
        <f t="shared" si="184"/>
        <v>0</v>
      </c>
      <c r="N1489" s="34">
        <f t="shared" si="190"/>
        <v>0</v>
      </c>
      <c r="O1489" s="35">
        <f>SUM($M$2:M1489)</f>
        <v>190743600</v>
      </c>
      <c r="P1489" s="34">
        <f t="shared" si="191"/>
        <v>1</v>
      </c>
      <c r="Q1489" s="39">
        <v>0</v>
      </c>
      <c r="R1489" s="22">
        <v>0</v>
      </c>
      <c r="S1489" s="22">
        <v>0</v>
      </c>
      <c r="T1489" s="22">
        <v>0</v>
      </c>
      <c r="U1489" s="39">
        <v>4.1</v>
      </c>
      <c r="V1489" s="22">
        <v>7</v>
      </c>
      <c r="W1489" s="22">
        <v>2</v>
      </c>
      <c r="X1489" s="40">
        <v>32</v>
      </c>
      <c r="Y1489" s="22">
        <v>0</v>
      </c>
      <c r="Z1489" s="22">
        <v>0</v>
      </c>
      <c r="AA1489" s="22" t="s">
        <v>212</v>
      </c>
      <c r="AB1489" s="22" t="s">
        <v>220</v>
      </c>
      <c r="AC1489" s="42">
        <f>IFERROR(LOOKUP(M1489,打分卡!$F$7:$J$7,打分卡!$K$7:$O$7),1)</f>
        <v>1</v>
      </c>
      <c r="AD1489" s="42">
        <f>IFERROR(LOOKUP(S1489,打分卡!$F$8:$J$8,打分卡!$K$8:$O$8),1)</f>
        <v>1</v>
      </c>
      <c r="AE1489" s="42">
        <f>IFERROR(LOOKUP(T1489,打分卡!$F$9:$I$9,打分卡!$K$9:$N$9),1)</f>
        <v>1</v>
      </c>
      <c r="AF1489" s="42">
        <f>IFERROR(LOOKUP(Q1489,打分卡!$F$10:$J$10,打分卡!$K$10:$O$10),1)</f>
        <v>1</v>
      </c>
      <c r="AG1489" s="42">
        <f>IFERROR(LOOKUP(R1489,打分卡!$F$11:$J$11,打分卡!$K$11:$O$11),1)</f>
        <v>1</v>
      </c>
      <c r="AH1489" s="42">
        <f>IFERROR(LOOKUP(U1489,打分卡!$F$12:$J$12,打分卡!$K$12:$O$12),1)</f>
        <v>2</v>
      </c>
      <c r="AI1489" s="42">
        <f>IFERROR(LOOKUP(X1489,打分卡!$F$13:$J$13,打分卡!$K$13:$O$13),1)</f>
        <v>2</v>
      </c>
      <c r="AJ1489" s="42">
        <f>IFERROR(LOOKUP(Y1489,打分卡!$F$14:$J$14,打分卡!$K$14:$O$14),1)</f>
        <v>1</v>
      </c>
      <c r="AK1489" s="42">
        <f>IFERROR(LOOKUP(W1489,打分卡!$F$15:$J$15,打分卡!$K$15:$O$15),1)</f>
        <v>2</v>
      </c>
      <c r="AL1489" s="45">
        <f t="shared" si="185"/>
        <v>1</v>
      </c>
      <c r="AM1489" s="42">
        <f>IFERROR(LOOKUP(Z1489,打分卡!$F$17:$H$17,打分卡!$K$17:$M$17),1)</f>
        <v>1</v>
      </c>
      <c r="AN1489" s="46">
        <f>(打分卡!$D$7*AC1489+打分卡!$D$8*AD1489+打分卡!$D$9*AE1489)/5</f>
        <v>8</v>
      </c>
      <c r="AO1489" s="46">
        <f>(打分卡!$D$10*AF1489+打分卡!$D$11*AG1489)/5</f>
        <v>4</v>
      </c>
      <c r="AP1489" s="46">
        <f>(打分卡!$D$12*AH1489+打分卡!$D$13*AI1489+打分卡!$D$14*AJ1489+打分卡!$D$15*AK1489)/5</f>
        <v>10.8</v>
      </c>
      <c r="AQ1489" s="46">
        <f>(打分卡!$D$16*AL1489+打分卡!$D$17*AM1489)/5</f>
        <v>2</v>
      </c>
      <c r="AR1489" s="48">
        <f t="shared" si="186"/>
        <v>24.8</v>
      </c>
      <c r="AS1489" s="45" t="str">
        <f t="shared" si="187"/>
        <v>未激活</v>
      </c>
      <c r="AT1489" s="45" t="str">
        <f t="shared" si="188"/>
        <v>连续下降-预警</v>
      </c>
      <c r="AU1489" s="45" t="str">
        <f t="shared" si="189"/>
        <v>唤醒：短信模板+首充补贴</v>
      </c>
    </row>
    <row r="1490" ht="15" customHeight="1" spans="1:47">
      <c r="A1490" s="30" t="s">
        <v>3831</v>
      </c>
      <c r="B1490" s="31" t="s">
        <v>3832</v>
      </c>
      <c r="C1490" s="31" t="s">
        <v>179</v>
      </c>
      <c r="D1490" s="31" t="s">
        <v>202</v>
      </c>
      <c r="E1490" s="31" t="s">
        <v>197</v>
      </c>
      <c r="F1490" s="30" t="s">
        <v>3833</v>
      </c>
      <c r="G1490" s="31">
        <v>26</v>
      </c>
      <c r="H1490" s="31" t="s">
        <v>3535</v>
      </c>
      <c r="I1490" s="31" t="s">
        <v>302</v>
      </c>
      <c r="J1490" s="33">
        <v>0</v>
      </c>
      <c r="K1490" s="33">
        <v>0</v>
      </c>
      <c r="L1490" s="33">
        <v>0</v>
      </c>
      <c r="M1490" s="33">
        <f t="shared" si="184"/>
        <v>0</v>
      </c>
      <c r="N1490" s="34">
        <f t="shared" si="190"/>
        <v>0</v>
      </c>
      <c r="O1490" s="35">
        <f>SUM($M$2:M1490)</f>
        <v>190743600</v>
      </c>
      <c r="P1490" s="34">
        <f t="shared" si="191"/>
        <v>1</v>
      </c>
      <c r="Q1490" s="37">
        <v>0</v>
      </c>
      <c r="R1490" s="31">
        <v>0</v>
      </c>
      <c r="S1490" s="31">
        <v>0</v>
      </c>
      <c r="T1490" s="31">
        <v>0</v>
      </c>
      <c r="U1490" s="37">
        <v>6.4</v>
      </c>
      <c r="V1490" s="31">
        <v>13</v>
      </c>
      <c r="W1490" s="31">
        <v>0</v>
      </c>
      <c r="X1490" s="38">
        <v>19</v>
      </c>
      <c r="Y1490" s="31">
        <v>1</v>
      </c>
      <c r="Z1490" s="31">
        <v>0</v>
      </c>
      <c r="AA1490" s="31" t="s">
        <v>212</v>
      </c>
      <c r="AB1490" s="31" t="s">
        <v>220</v>
      </c>
      <c r="AC1490" s="41">
        <f>IFERROR(LOOKUP(M1490,打分卡!$F$7:$J$7,打分卡!$K$7:$O$7),1)</f>
        <v>1</v>
      </c>
      <c r="AD1490" s="41">
        <f>IFERROR(LOOKUP(S1490,打分卡!$F$8:$J$8,打分卡!$K$8:$O$8),1)</f>
        <v>1</v>
      </c>
      <c r="AE1490" s="41">
        <f>IFERROR(LOOKUP(T1490,打分卡!$F$9:$I$9,打分卡!$K$9:$N$9),1)</f>
        <v>1</v>
      </c>
      <c r="AF1490" s="41">
        <f>IFERROR(LOOKUP(Q1490,打分卡!$F$10:$J$10,打分卡!$K$10:$O$10),1)</f>
        <v>1</v>
      </c>
      <c r="AG1490" s="41">
        <f>IFERROR(LOOKUP(R1490,打分卡!$F$11:$J$11,打分卡!$K$11:$O$11),1)</f>
        <v>1</v>
      </c>
      <c r="AH1490" s="41">
        <f>IFERROR(LOOKUP(U1490,打分卡!$F$12:$J$12,打分卡!$K$12:$O$12),1)</f>
        <v>2</v>
      </c>
      <c r="AI1490" s="41">
        <f>IFERROR(LOOKUP(X1490,打分卡!$F$13:$J$13,打分卡!$K$13:$O$13),1)</f>
        <v>2</v>
      </c>
      <c r="AJ1490" s="41">
        <f>IFERROR(LOOKUP(Y1490,打分卡!$F$14:$J$14,打分卡!$K$14:$O$14),1)</f>
        <v>2</v>
      </c>
      <c r="AK1490" s="41">
        <f>IFERROR(LOOKUP(W1490,打分卡!$F$15:$J$15,打分卡!$K$15:$O$15),1)</f>
        <v>1</v>
      </c>
      <c r="AL1490" s="43">
        <f t="shared" si="185"/>
        <v>1</v>
      </c>
      <c r="AM1490" s="41">
        <f>IFERROR(LOOKUP(Z1490,打分卡!$F$17:$H$17,打分卡!$K$17:$M$17),1)</f>
        <v>1</v>
      </c>
      <c r="AN1490" s="44">
        <f>(打分卡!$D$7*AC1490+打分卡!$D$8*AD1490+打分卡!$D$9*AE1490)/5</f>
        <v>8</v>
      </c>
      <c r="AO1490" s="44">
        <f>(打分卡!$D$10*AF1490+打分卡!$D$11*AG1490)/5</f>
        <v>4</v>
      </c>
      <c r="AP1490" s="44">
        <f>(打分卡!$D$12*AH1490+打分卡!$D$13*AI1490+打分卡!$D$14*AJ1490+打分卡!$D$15*AK1490)/5</f>
        <v>11.2</v>
      </c>
      <c r="AQ1490" s="44">
        <f>(打分卡!$D$16*AL1490+打分卡!$D$17*AM1490)/5</f>
        <v>2</v>
      </c>
      <c r="AR1490" s="47">
        <f t="shared" si="186"/>
        <v>25.2</v>
      </c>
      <c r="AS1490" s="43" t="str">
        <f t="shared" si="187"/>
        <v>未激活</v>
      </c>
      <c r="AT1490" s="43" t="str">
        <f t="shared" si="188"/>
        <v>连续下降-预警</v>
      </c>
      <c r="AU1490" s="43" t="str">
        <f t="shared" si="189"/>
        <v>唤醒：短信模板+首充补贴</v>
      </c>
    </row>
    <row r="1491" ht="15" customHeight="1" spans="1:47">
      <c r="A1491" s="20" t="s">
        <v>3834</v>
      </c>
      <c r="B1491" s="22" t="s">
        <v>3835</v>
      </c>
      <c r="C1491" s="22" t="s">
        <v>218</v>
      </c>
      <c r="D1491" s="22" t="s">
        <v>252</v>
      </c>
      <c r="E1491" s="22" t="s">
        <v>197</v>
      </c>
      <c r="F1491" s="20" t="s">
        <v>1967</v>
      </c>
      <c r="G1491" s="22">
        <v>21</v>
      </c>
      <c r="H1491" s="22" t="s">
        <v>3535</v>
      </c>
      <c r="I1491" s="22" t="s">
        <v>302</v>
      </c>
      <c r="J1491" s="36">
        <v>0</v>
      </c>
      <c r="K1491" s="36">
        <v>0</v>
      </c>
      <c r="L1491" s="36">
        <v>0</v>
      </c>
      <c r="M1491" s="36">
        <f t="shared" si="184"/>
        <v>0</v>
      </c>
      <c r="N1491" s="34">
        <f t="shared" si="190"/>
        <v>0</v>
      </c>
      <c r="O1491" s="35">
        <f>SUM($M$2:M1491)</f>
        <v>190743600</v>
      </c>
      <c r="P1491" s="34">
        <f t="shared" si="191"/>
        <v>1</v>
      </c>
      <c r="Q1491" s="39">
        <v>0</v>
      </c>
      <c r="R1491" s="22">
        <v>0</v>
      </c>
      <c r="S1491" s="22">
        <v>0</v>
      </c>
      <c r="T1491" s="22">
        <v>0</v>
      </c>
      <c r="U1491" s="39">
        <v>1.4</v>
      </c>
      <c r="V1491" s="22">
        <v>10</v>
      </c>
      <c r="W1491" s="22">
        <v>0</v>
      </c>
      <c r="X1491" s="40">
        <v>40</v>
      </c>
      <c r="Y1491" s="22">
        <v>0</v>
      </c>
      <c r="Z1491" s="22">
        <v>0</v>
      </c>
      <c r="AA1491" s="22" t="s">
        <v>212</v>
      </c>
      <c r="AB1491" s="22" t="s">
        <v>220</v>
      </c>
      <c r="AC1491" s="42">
        <f>IFERROR(LOOKUP(M1491,打分卡!$F$7:$J$7,打分卡!$K$7:$O$7),1)</f>
        <v>1</v>
      </c>
      <c r="AD1491" s="42">
        <f>IFERROR(LOOKUP(S1491,打分卡!$F$8:$J$8,打分卡!$K$8:$O$8),1)</f>
        <v>1</v>
      </c>
      <c r="AE1491" s="42">
        <f>IFERROR(LOOKUP(T1491,打分卡!$F$9:$I$9,打分卡!$K$9:$N$9),1)</f>
        <v>1</v>
      </c>
      <c r="AF1491" s="42">
        <f>IFERROR(LOOKUP(Q1491,打分卡!$F$10:$J$10,打分卡!$K$10:$O$10),1)</f>
        <v>1</v>
      </c>
      <c r="AG1491" s="42">
        <f>IFERROR(LOOKUP(R1491,打分卡!$F$11:$J$11,打分卡!$K$11:$O$11),1)</f>
        <v>1</v>
      </c>
      <c r="AH1491" s="42">
        <f>IFERROR(LOOKUP(U1491,打分卡!$F$12:$J$12,打分卡!$K$12:$O$12),1)</f>
        <v>1</v>
      </c>
      <c r="AI1491" s="42">
        <f>IFERROR(LOOKUP(X1491,打分卡!$F$13:$J$13,打分卡!$K$13:$O$13),1)</f>
        <v>3</v>
      </c>
      <c r="AJ1491" s="42">
        <f>IFERROR(LOOKUP(Y1491,打分卡!$F$14:$J$14,打分卡!$K$14:$O$14),1)</f>
        <v>1</v>
      </c>
      <c r="AK1491" s="42">
        <f>IFERROR(LOOKUP(W1491,打分卡!$F$15:$J$15,打分卡!$K$15:$O$15),1)</f>
        <v>1</v>
      </c>
      <c r="AL1491" s="45">
        <f t="shared" si="185"/>
        <v>1</v>
      </c>
      <c r="AM1491" s="42">
        <f>IFERROR(LOOKUP(Z1491,打分卡!$F$17:$H$17,打分卡!$K$17:$M$17),1)</f>
        <v>1</v>
      </c>
      <c r="AN1491" s="46">
        <f>(打分卡!$D$7*AC1491+打分卡!$D$8*AD1491+打分卡!$D$9*AE1491)/5</f>
        <v>8</v>
      </c>
      <c r="AO1491" s="46">
        <f>(打分卡!$D$10*AF1491+打分卡!$D$11*AG1491)/5</f>
        <v>4</v>
      </c>
      <c r="AP1491" s="46">
        <f>(打分卡!$D$12*AH1491+打分卡!$D$13*AI1491+打分卡!$D$14*AJ1491+打分卡!$D$15*AK1491)/5</f>
        <v>9.2</v>
      </c>
      <c r="AQ1491" s="46">
        <f>(打分卡!$D$16*AL1491+打分卡!$D$17*AM1491)/5</f>
        <v>2</v>
      </c>
      <c r="AR1491" s="48">
        <f t="shared" si="186"/>
        <v>23.2</v>
      </c>
      <c r="AS1491" s="45" t="str">
        <f t="shared" si="187"/>
        <v>未激活</v>
      </c>
      <c r="AT1491" s="45" t="str">
        <f t="shared" si="188"/>
        <v>连续下降-预警</v>
      </c>
      <c r="AU1491" s="45" t="str">
        <f t="shared" si="189"/>
        <v>唤醒：短信模板+首充补贴</v>
      </c>
    </row>
    <row r="1492" ht="15" customHeight="1" spans="1:47">
      <c r="A1492" s="30" t="s">
        <v>3836</v>
      </c>
      <c r="B1492" s="31" t="s">
        <v>3837</v>
      </c>
      <c r="C1492" s="31" t="s">
        <v>189</v>
      </c>
      <c r="D1492" s="31" t="s">
        <v>235</v>
      </c>
      <c r="E1492" s="31" t="s">
        <v>181</v>
      </c>
      <c r="F1492" s="30" t="s">
        <v>3833</v>
      </c>
      <c r="G1492" s="31">
        <v>26</v>
      </c>
      <c r="H1492" s="31" t="s">
        <v>3535</v>
      </c>
      <c r="I1492" s="31" t="s">
        <v>302</v>
      </c>
      <c r="J1492" s="33">
        <v>0</v>
      </c>
      <c r="K1492" s="33">
        <v>0</v>
      </c>
      <c r="L1492" s="33">
        <v>0</v>
      </c>
      <c r="M1492" s="33">
        <f t="shared" si="184"/>
        <v>0</v>
      </c>
      <c r="N1492" s="34">
        <f t="shared" si="190"/>
        <v>0</v>
      </c>
      <c r="O1492" s="35">
        <f>SUM($M$2:M1492)</f>
        <v>190743600</v>
      </c>
      <c r="P1492" s="34">
        <f t="shared" si="191"/>
        <v>1</v>
      </c>
      <c r="Q1492" s="37">
        <v>0</v>
      </c>
      <c r="R1492" s="31">
        <v>0</v>
      </c>
      <c r="S1492" s="31">
        <v>0</v>
      </c>
      <c r="T1492" s="31">
        <v>0</v>
      </c>
      <c r="U1492" s="37">
        <v>3.5</v>
      </c>
      <c r="V1492" s="31">
        <v>15</v>
      </c>
      <c r="W1492" s="31">
        <v>1</v>
      </c>
      <c r="X1492" s="38">
        <v>9</v>
      </c>
      <c r="Y1492" s="31">
        <v>1</v>
      </c>
      <c r="Z1492" s="31">
        <v>0</v>
      </c>
      <c r="AA1492" s="31" t="s">
        <v>212</v>
      </c>
      <c r="AB1492" s="31" t="s">
        <v>220</v>
      </c>
      <c r="AC1492" s="41">
        <f>IFERROR(LOOKUP(M1492,打分卡!$F$7:$J$7,打分卡!$K$7:$O$7),1)</f>
        <v>1</v>
      </c>
      <c r="AD1492" s="41">
        <f>IFERROR(LOOKUP(S1492,打分卡!$F$8:$J$8,打分卡!$K$8:$O$8),1)</f>
        <v>1</v>
      </c>
      <c r="AE1492" s="41">
        <f>IFERROR(LOOKUP(T1492,打分卡!$F$9:$I$9,打分卡!$K$9:$N$9),1)</f>
        <v>1</v>
      </c>
      <c r="AF1492" s="41">
        <f>IFERROR(LOOKUP(Q1492,打分卡!$F$10:$J$10,打分卡!$K$10:$O$10),1)</f>
        <v>1</v>
      </c>
      <c r="AG1492" s="41">
        <f>IFERROR(LOOKUP(R1492,打分卡!$F$11:$J$11,打分卡!$K$11:$O$11),1)</f>
        <v>1</v>
      </c>
      <c r="AH1492" s="41">
        <f>IFERROR(LOOKUP(U1492,打分卡!$F$12:$J$12,打分卡!$K$12:$O$12),1)</f>
        <v>2</v>
      </c>
      <c r="AI1492" s="41">
        <f>IFERROR(LOOKUP(X1492,打分卡!$F$13:$J$13,打分卡!$K$13:$O$13),1)</f>
        <v>1</v>
      </c>
      <c r="AJ1492" s="41">
        <f>IFERROR(LOOKUP(Y1492,打分卡!$F$14:$J$14,打分卡!$K$14:$O$14),1)</f>
        <v>2</v>
      </c>
      <c r="AK1492" s="41">
        <f>IFERROR(LOOKUP(W1492,打分卡!$F$15:$J$15,打分卡!$K$15:$O$15),1)</f>
        <v>2</v>
      </c>
      <c r="AL1492" s="43">
        <f t="shared" si="185"/>
        <v>1</v>
      </c>
      <c r="AM1492" s="41">
        <f>IFERROR(LOOKUP(Z1492,打分卡!$F$17:$H$17,打分卡!$K$17:$M$17),1)</f>
        <v>1</v>
      </c>
      <c r="AN1492" s="44">
        <f>(打分卡!$D$7*AC1492+打分卡!$D$8*AD1492+打分卡!$D$9*AE1492)/5</f>
        <v>8</v>
      </c>
      <c r="AO1492" s="44">
        <f>(打分卡!$D$10*AF1492+打分卡!$D$11*AG1492)/5</f>
        <v>4</v>
      </c>
      <c r="AP1492" s="44">
        <f>(打分卡!$D$12*AH1492+打分卡!$D$13*AI1492+打分卡!$D$14*AJ1492+打分卡!$D$15*AK1492)/5</f>
        <v>10.4</v>
      </c>
      <c r="AQ1492" s="44">
        <f>(打分卡!$D$16*AL1492+打分卡!$D$17*AM1492)/5</f>
        <v>2</v>
      </c>
      <c r="AR1492" s="47">
        <f t="shared" si="186"/>
        <v>24.4</v>
      </c>
      <c r="AS1492" s="43" t="str">
        <f t="shared" si="187"/>
        <v>未激活</v>
      </c>
      <c r="AT1492" s="43" t="str">
        <f t="shared" si="188"/>
        <v>连续下降-预警</v>
      </c>
      <c r="AU1492" s="43" t="str">
        <f t="shared" si="189"/>
        <v>唤醒：短信模板+首充补贴</v>
      </c>
    </row>
    <row r="1493" ht="15" customHeight="1" spans="1:47">
      <c r="A1493" s="20" t="s">
        <v>3838</v>
      </c>
      <c r="B1493" s="22" t="s">
        <v>3839</v>
      </c>
      <c r="C1493" s="22" t="s">
        <v>189</v>
      </c>
      <c r="D1493" s="22" t="s">
        <v>227</v>
      </c>
      <c r="E1493" s="22" t="s">
        <v>181</v>
      </c>
      <c r="F1493" s="20" t="s">
        <v>3840</v>
      </c>
      <c r="G1493" s="22">
        <v>25</v>
      </c>
      <c r="H1493" s="22" t="s">
        <v>3535</v>
      </c>
      <c r="I1493" s="22" t="s">
        <v>302</v>
      </c>
      <c r="J1493" s="36">
        <v>0</v>
      </c>
      <c r="K1493" s="36">
        <v>0</v>
      </c>
      <c r="L1493" s="36">
        <v>0</v>
      </c>
      <c r="M1493" s="36">
        <f t="shared" si="184"/>
        <v>0</v>
      </c>
      <c r="N1493" s="34">
        <f t="shared" si="190"/>
        <v>0</v>
      </c>
      <c r="O1493" s="35">
        <f>SUM($M$2:M1493)</f>
        <v>190743600</v>
      </c>
      <c r="P1493" s="34">
        <f t="shared" si="191"/>
        <v>1</v>
      </c>
      <c r="Q1493" s="39">
        <v>0</v>
      </c>
      <c r="R1493" s="22">
        <v>0</v>
      </c>
      <c r="S1493" s="22">
        <v>0</v>
      </c>
      <c r="T1493" s="22">
        <v>0</v>
      </c>
      <c r="U1493" s="39">
        <v>4.7</v>
      </c>
      <c r="V1493" s="22">
        <v>1</v>
      </c>
      <c r="W1493" s="22">
        <v>1</v>
      </c>
      <c r="X1493" s="40">
        <v>53</v>
      </c>
      <c r="Y1493" s="22">
        <v>0</v>
      </c>
      <c r="Z1493" s="22">
        <v>0</v>
      </c>
      <c r="AA1493" s="22" t="s">
        <v>212</v>
      </c>
      <c r="AB1493" s="22" t="s">
        <v>220</v>
      </c>
      <c r="AC1493" s="42">
        <f>IFERROR(LOOKUP(M1493,打分卡!$F$7:$J$7,打分卡!$K$7:$O$7),1)</f>
        <v>1</v>
      </c>
      <c r="AD1493" s="42">
        <f>IFERROR(LOOKUP(S1493,打分卡!$F$8:$J$8,打分卡!$K$8:$O$8),1)</f>
        <v>1</v>
      </c>
      <c r="AE1493" s="42">
        <f>IFERROR(LOOKUP(T1493,打分卡!$F$9:$I$9,打分卡!$K$9:$N$9),1)</f>
        <v>1</v>
      </c>
      <c r="AF1493" s="42">
        <f>IFERROR(LOOKUP(Q1493,打分卡!$F$10:$J$10,打分卡!$K$10:$O$10),1)</f>
        <v>1</v>
      </c>
      <c r="AG1493" s="42">
        <f>IFERROR(LOOKUP(R1493,打分卡!$F$11:$J$11,打分卡!$K$11:$O$11),1)</f>
        <v>1</v>
      </c>
      <c r="AH1493" s="42">
        <f>IFERROR(LOOKUP(U1493,打分卡!$F$12:$J$12,打分卡!$K$12:$O$12),1)</f>
        <v>2</v>
      </c>
      <c r="AI1493" s="42">
        <f>IFERROR(LOOKUP(X1493,打分卡!$F$13:$J$13,打分卡!$K$13:$O$13),1)</f>
        <v>3</v>
      </c>
      <c r="AJ1493" s="42">
        <f>IFERROR(LOOKUP(Y1493,打分卡!$F$14:$J$14,打分卡!$K$14:$O$14),1)</f>
        <v>1</v>
      </c>
      <c r="AK1493" s="42">
        <f>IFERROR(LOOKUP(W1493,打分卡!$F$15:$J$15,打分卡!$K$15:$O$15),1)</f>
        <v>2</v>
      </c>
      <c r="AL1493" s="45">
        <f t="shared" si="185"/>
        <v>1</v>
      </c>
      <c r="AM1493" s="42">
        <f>IFERROR(LOOKUP(Z1493,打分卡!$F$17:$H$17,打分卡!$K$17:$M$17),1)</f>
        <v>1</v>
      </c>
      <c r="AN1493" s="46">
        <f>(打分卡!$D$7*AC1493+打分卡!$D$8*AD1493+打分卡!$D$9*AE1493)/5</f>
        <v>8</v>
      </c>
      <c r="AO1493" s="46">
        <f>(打分卡!$D$10*AF1493+打分卡!$D$11*AG1493)/5</f>
        <v>4</v>
      </c>
      <c r="AP1493" s="46">
        <f>(打分卡!$D$12*AH1493+打分卡!$D$13*AI1493+打分卡!$D$14*AJ1493+打分卡!$D$15*AK1493)/5</f>
        <v>12.4</v>
      </c>
      <c r="AQ1493" s="46">
        <f>(打分卡!$D$16*AL1493+打分卡!$D$17*AM1493)/5</f>
        <v>2</v>
      </c>
      <c r="AR1493" s="48">
        <f t="shared" si="186"/>
        <v>26.4</v>
      </c>
      <c r="AS1493" s="45" t="str">
        <f t="shared" si="187"/>
        <v>未激活</v>
      </c>
      <c r="AT1493" s="45" t="str">
        <f t="shared" si="188"/>
        <v>连续下降-预警</v>
      </c>
      <c r="AU1493" s="45" t="str">
        <f t="shared" si="189"/>
        <v>唤醒：短信模板+首充补贴</v>
      </c>
    </row>
    <row r="1494" ht="15" customHeight="1" spans="1:47">
      <c r="A1494" s="30" t="s">
        <v>3841</v>
      </c>
      <c r="B1494" s="31" t="s">
        <v>3842</v>
      </c>
      <c r="C1494" s="31" t="s">
        <v>223</v>
      </c>
      <c r="D1494" s="31" t="s">
        <v>202</v>
      </c>
      <c r="E1494" s="31" t="s">
        <v>181</v>
      </c>
      <c r="F1494" s="30" t="s">
        <v>1987</v>
      </c>
      <c r="G1494" s="31">
        <v>20</v>
      </c>
      <c r="H1494" s="31" t="s">
        <v>3535</v>
      </c>
      <c r="I1494" s="31" t="s">
        <v>302</v>
      </c>
      <c r="J1494" s="33">
        <v>0</v>
      </c>
      <c r="K1494" s="33">
        <v>0</v>
      </c>
      <c r="L1494" s="33">
        <v>0</v>
      </c>
      <c r="M1494" s="33">
        <f t="shared" si="184"/>
        <v>0</v>
      </c>
      <c r="N1494" s="34">
        <f t="shared" si="190"/>
        <v>0</v>
      </c>
      <c r="O1494" s="35">
        <f>SUM($M$2:M1494)</f>
        <v>190743600</v>
      </c>
      <c r="P1494" s="34">
        <f t="shared" si="191"/>
        <v>1</v>
      </c>
      <c r="Q1494" s="37">
        <v>0</v>
      </c>
      <c r="R1494" s="31">
        <v>0</v>
      </c>
      <c r="S1494" s="31">
        <v>0</v>
      </c>
      <c r="T1494" s="31">
        <v>0</v>
      </c>
      <c r="U1494" s="37">
        <v>0.6</v>
      </c>
      <c r="V1494" s="31">
        <v>10</v>
      </c>
      <c r="W1494" s="31">
        <v>1</v>
      </c>
      <c r="X1494" s="38">
        <v>37</v>
      </c>
      <c r="Y1494" s="31">
        <v>1</v>
      </c>
      <c r="Z1494" s="31">
        <v>0</v>
      </c>
      <c r="AA1494" s="31" t="s">
        <v>212</v>
      </c>
      <c r="AB1494" s="31" t="s">
        <v>220</v>
      </c>
      <c r="AC1494" s="41">
        <f>IFERROR(LOOKUP(M1494,打分卡!$F$7:$J$7,打分卡!$K$7:$O$7),1)</f>
        <v>1</v>
      </c>
      <c r="AD1494" s="41">
        <f>IFERROR(LOOKUP(S1494,打分卡!$F$8:$J$8,打分卡!$K$8:$O$8),1)</f>
        <v>1</v>
      </c>
      <c r="AE1494" s="41">
        <f>IFERROR(LOOKUP(T1494,打分卡!$F$9:$I$9,打分卡!$K$9:$N$9),1)</f>
        <v>1</v>
      </c>
      <c r="AF1494" s="41">
        <f>IFERROR(LOOKUP(Q1494,打分卡!$F$10:$J$10,打分卡!$K$10:$O$10),1)</f>
        <v>1</v>
      </c>
      <c r="AG1494" s="41">
        <f>IFERROR(LOOKUP(R1494,打分卡!$F$11:$J$11,打分卡!$K$11:$O$11),1)</f>
        <v>1</v>
      </c>
      <c r="AH1494" s="41">
        <f>IFERROR(LOOKUP(U1494,打分卡!$F$12:$J$12,打分卡!$K$12:$O$12),1)</f>
        <v>1</v>
      </c>
      <c r="AI1494" s="41">
        <f>IFERROR(LOOKUP(X1494,打分卡!$F$13:$J$13,打分卡!$K$13:$O$13),1)</f>
        <v>2</v>
      </c>
      <c r="AJ1494" s="41">
        <f>IFERROR(LOOKUP(Y1494,打分卡!$F$14:$J$14,打分卡!$K$14:$O$14),1)</f>
        <v>2</v>
      </c>
      <c r="AK1494" s="41">
        <f>IFERROR(LOOKUP(W1494,打分卡!$F$15:$J$15,打分卡!$K$15:$O$15),1)</f>
        <v>2</v>
      </c>
      <c r="AL1494" s="43">
        <f t="shared" si="185"/>
        <v>1</v>
      </c>
      <c r="AM1494" s="41">
        <f>IFERROR(LOOKUP(Z1494,打分卡!$F$17:$H$17,打分卡!$K$17:$M$17),1)</f>
        <v>1</v>
      </c>
      <c r="AN1494" s="44">
        <f>(打分卡!$D$7*AC1494+打分卡!$D$8*AD1494+打分卡!$D$9*AE1494)/5</f>
        <v>8</v>
      </c>
      <c r="AO1494" s="44">
        <f>(打分卡!$D$10*AF1494+打分卡!$D$11*AG1494)/5</f>
        <v>4</v>
      </c>
      <c r="AP1494" s="44">
        <f>(打分卡!$D$12*AH1494+打分卡!$D$13*AI1494+打分卡!$D$14*AJ1494+打分卡!$D$15*AK1494)/5</f>
        <v>9.6</v>
      </c>
      <c r="AQ1494" s="44">
        <f>(打分卡!$D$16*AL1494+打分卡!$D$17*AM1494)/5</f>
        <v>2</v>
      </c>
      <c r="AR1494" s="47">
        <f t="shared" si="186"/>
        <v>23.6</v>
      </c>
      <c r="AS1494" s="43" t="str">
        <f t="shared" si="187"/>
        <v>未激活</v>
      </c>
      <c r="AT1494" s="43" t="str">
        <f t="shared" si="188"/>
        <v>连续下降-预警</v>
      </c>
      <c r="AU1494" s="43" t="str">
        <f t="shared" si="189"/>
        <v>唤醒：短信模板+首充补贴</v>
      </c>
    </row>
    <row r="1495" ht="15" customHeight="1" spans="1:47">
      <c r="A1495" s="20" t="s">
        <v>3843</v>
      </c>
      <c r="B1495" s="22" t="s">
        <v>3844</v>
      </c>
      <c r="C1495" s="22" t="s">
        <v>179</v>
      </c>
      <c r="D1495" s="22" t="s">
        <v>202</v>
      </c>
      <c r="E1495" s="22" t="s">
        <v>181</v>
      </c>
      <c r="F1495" s="20" t="s">
        <v>3819</v>
      </c>
      <c r="G1495" s="22">
        <v>30</v>
      </c>
      <c r="H1495" s="22" t="s">
        <v>3535</v>
      </c>
      <c r="I1495" s="22" t="s">
        <v>302</v>
      </c>
      <c r="J1495" s="36">
        <v>0</v>
      </c>
      <c r="K1495" s="36">
        <v>0</v>
      </c>
      <c r="L1495" s="36">
        <v>0</v>
      </c>
      <c r="M1495" s="36">
        <f t="shared" si="184"/>
        <v>0</v>
      </c>
      <c r="N1495" s="34">
        <f t="shared" si="190"/>
        <v>0</v>
      </c>
      <c r="O1495" s="35">
        <f>SUM($M$2:M1495)</f>
        <v>190743600</v>
      </c>
      <c r="P1495" s="34">
        <f t="shared" si="191"/>
        <v>1</v>
      </c>
      <c r="Q1495" s="39">
        <v>0</v>
      </c>
      <c r="R1495" s="22">
        <v>0</v>
      </c>
      <c r="S1495" s="22">
        <v>0</v>
      </c>
      <c r="T1495" s="22">
        <v>0</v>
      </c>
      <c r="U1495" s="39">
        <v>37.2</v>
      </c>
      <c r="V1495" s="22">
        <v>12</v>
      </c>
      <c r="W1495" s="22">
        <v>1</v>
      </c>
      <c r="X1495" s="40">
        <v>6</v>
      </c>
      <c r="Y1495" s="22">
        <v>1</v>
      </c>
      <c r="Z1495" s="22">
        <v>0</v>
      </c>
      <c r="AA1495" s="22" t="s">
        <v>212</v>
      </c>
      <c r="AB1495" s="22" t="s">
        <v>220</v>
      </c>
      <c r="AC1495" s="42">
        <f>IFERROR(LOOKUP(M1495,打分卡!$F$7:$J$7,打分卡!$K$7:$O$7),1)</f>
        <v>1</v>
      </c>
      <c r="AD1495" s="42">
        <f>IFERROR(LOOKUP(S1495,打分卡!$F$8:$J$8,打分卡!$K$8:$O$8),1)</f>
        <v>1</v>
      </c>
      <c r="AE1495" s="42">
        <f>IFERROR(LOOKUP(T1495,打分卡!$F$9:$I$9,打分卡!$K$9:$N$9),1)</f>
        <v>1</v>
      </c>
      <c r="AF1495" s="42">
        <f>IFERROR(LOOKUP(Q1495,打分卡!$F$10:$J$10,打分卡!$K$10:$O$10),1)</f>
        <v>1</v>
      </c>
      <c r="AG1495" s="42">
        <f>IFERROR(LOOKUP(R1495,打分卡!$F$11:$J$11,打分卡!$K$11:$O$11),1)</f>
        <v>1</v>
      </c>
      <c r="AH1495" s="42">
        <f>IFERROR(LOOKUP(U1495,打分卡!$F$12:$J$12,打分卡!$K$12:$O$12),1)</f>
        <v>4</v>
      </c>
      <c r="AI1495" s="42">
        <f>IFERROR(LOOKUP(X1495,打分卡!$F$13:$J$13,打分卡!$K$13:$O$13),1)</f>
        <v>1</v>
      </c>
      <c r="AJ1495" s="42">
        <f>IFERROR(LOOKUP(Y1495,打分卡!$F$14:$J$14,打分卡!$K$14:$O$14),1)</f>
        <v>2</v>
      </c>
      <c r="AK1495" s="42">
        <f>IFERROR(LOOKUP(W1495,打分卡!$F$15:$J$15,打分卡!$K$15:$O$15),1)</f>
        <v>2</v>
      </c>
      <c r="AL1495" s="45">
        <f t="shared" si="185"/>
        <v>1</v>
      </c>
      <c r="AM1495" s="42">
        <f>IFERROR(LOOKUP(Z1495,打分卡!$F$17:$H$17,打分卡!$K$17:$M$17),1)</f>
        <v>1</v>
      </c>
      <c r="AN1495" s="46">
        <f>(打分卡!$D$7*AC1495+打分卡!$D$8*AD1495+打分卡!$D$9*AE1495)/5</f>
        <v>8</v>
      </c>
      <c r="AO1495" s="46">
        <f>(打分卡!$D$10*AF1495+打分卡!$D$11*AG1495)/5</f>
        <v>4</v>
      </c>
      <c r="AP1495" s="46">
        <f>(打分卡!$D$12*AH1495+打分卡!$D$13*AI1495+打分卡!$D$14*AJ1495+打分卡!$D$15*AK1495)/5</f>
        <v>15.2</v>
      </c>
      <c r="AQ1495" s="46">
        <f>(打分卡!$D$16*AL1495+打分卡!$D$17*AM1495)/5</f>
        <v>2</v>
      </c>
      <c r="AR1495" s="48">
        <f t="shared" si="186"/>
        <v>29.2</v>
      </c>
      <c r="AS1495" s="45" t="str">
        <f t="shared" si="187"/>
        <v>未激活</v>
      </c>
      <c r="AT1495" s="45" t="str">
        <f t="shared" si="188"/>
        <v>连续下降-预警</v>
      </c>
      <c r="AU1495" s="45" t="str">
        <f t="shared" si="189"/>
        <v>唤醒：短信模板+首充补贴</v>
      </c>
    </row>
    <row r="1496" ht="15" customHeight="1" spans="1:47">
      <c r="A1496" s="30" t="s">
        <v>3845</v>
      </c>
      <c r="B1496" s="31" t="s">
        <v>3846</v>
      </c>
      <c r="C1496" s="31" t="s">
        <v>189</v>
      </c>
      <c r="D1496" s="31" t="s">
        <v>227</v>
      </c>
      <c r="E1496" s="31" t="s">
        <v>181</v>
      </c>
      <c r="F1496" s="30" t="s">
        <v>3847</v>
      </c>
      <c r="G1496" s="31">
        <v>26</v>
      </c>
      <c r="H1496" s="31" t="s">
        <v>3535</v>
      </c>
      <c r="I1496" s="31" t="s">
        <v>302</v>
      </c>
      <c r="J1496" s="33">
        <v>0</v>
      </c>
      <c r="K1496" s="33">
        <v>0</v>
      </c>
      <c r="L1496" s="33">
        <v>0</v>
      </c>
      <c r="M1496" s="33">
        <f t="shared" si="184"/>
        <v>0</v>
      </c>
      <c r="N1496" s="34">
        <f t="shared" si="190"/>
        <v>0</v>
      </c>
      <c r="O1496" s="35">
        <f>SUM($M$2:M1496)</f>
        <v>190743600</v>
      </c>
      <c r="P1496" s="34">
        <f t="shared" si="191"/>
        <v>1</v>
      </c>
      <c r="Q1496" s="37">
        <v>0</v>
      </c>
      <c r="R1496" s="31">
        <v>0</v>
      </c>
      <c r="S1496" s="31">
        <v>0</v>
      </c>
      <c r="T1496" s="31">
        <v>0</v>
      </c>
      <c r="U1496" s="37">
        <v>7.6</v>
      </c>
      <c r="V1496" s="31">
        <v>12</v>
      </c>
      <c r="W1496" s="31">
        <v>2</v>
      </c>
      <c r="X1496" s="38">
        <v>24</v>
      </c>
      <c r="Y1496" s="31">
        <v>1</v>
      </c>
      <c r="Z1496" s="31">
        <v>0</v>
      </c>
      <c r="AA1496" s="31" t="s">
        <v>212</v>
      </c>
      <c r="AB1496" s="31" t="s">
        <v>220</v>
      </c>
      <c r="AC1496" s="41">
        <f>IFERROR(LOOKUP(M1496,打分卡!$F$7:$J$7,打分卡!$K$7:$O$7),1)</f>
        <v>1</v>
      </c>
      <c r="AD1496" s="41">
        <f>IFERROR(LOOKUP(S1496,打分卡!$F$8:$J$8,打分卡!$K$8:$O$8),1)</f>
        <v>1</v>
      </c>
      <c r="AE1496" s="41">
        <f>IFERROR(LOOKUP(T1496,打分卡!$F$9:$I$9,打分卡!$K$9:$N$9),1)</f>
        <v>1</v>
      </c>
      <c r="AF1496" s="41">
        <f>IFERROR(LOOKUP(Q1496,打分卡!$F$10:$J$10,打分卡!$K$10:$O$10),1)</f>
        <v>1</v>
      </c>
      <c r="AG1496" s="41">
        <f>IFERROR(LOOKUP(R1496,打分卡!$F$11:$J$11,打分卡!$K$11:$O$11),1)</f>
        <v>1</v>
      </c>
      <c r="AH1496" s="41">
        <f>IFERROR(LOOKUP(U1496,打分卡!$F$12:$J$12,打分卡!$K$12:$O$12),1)</f>
        <v>2</v>
      </c>
      <c r="AI1496" s="41">
        <f>IFERROR(LOOKUP(X1496,打分卡!$F$13:$J$13,打分卡!$K$13:$O$13),1)</f>
        <v>2</v>
      </c>
      <c r="AJ1496" s="41">
        <f>IFERROR(LOOKUP(Y1496,打分卡!$F$14:$J$14,打分卡!$K$14:$O$14),1)</f>
        <v>2</v>
      </c>
      <c r="AK1496" s="41">
        <f>IFERROR(LOOKUP(W1496,打分卡!$F$15:$J$15,打分卡!$K$15:$O$15),1)</f>
        <v>2</v>
      </c>
      <c r="AL1496" s="43">
        <f t="shared" si="185"/>
        <v>1</v>
      </c>
      <c r="AM1496" s="41">
        <f>IFERROR(LOOKUP(Z1496,打分卡!$F$17:$H$17,打分卡!$K$17:$M$17),1)</f>
        <v>1</v>
      </c>
      <c r="AN1496" s="44">
        <f>(打分卡!$D$7*AC1496+打分卡!$D$8*AD1496+打分卡!$D$9*AE1496)/5</f>
        <v>8</v>
      </c>
      <c r="AO1496" s="44">
        <f>(打分卡!$D$10*AF1496+打分卡!$D$11*AG1496)/5</f>
        <v>4</v>
      </c>
      <c r="AP1496" s="44">
        <f>(打分卡!$D$12*AH1496+打分卡!$D$13*AI1496+打分卡!$D$14*AJ1496+打分卡!$D$15*AK1496)/5</f>
        <v>12</v>
      </c>
      <c r="AQ1496" s="44">
        <f>(打分卡!$D$16*AL1496+打分卡!$D$17*AM1496)/5</f>
        <v>2</v>
      </c>
      <c r="AR1496" s="47">
        <f t="shared" si="186"/>
        <v>26</v>
      </c>
      <c r="AS1496" s="43" t="str">
        <f t="shared" si="187"/>
        <v>未激活</v>
      </c>
      <c r="AT1496" s="43" t="str">
        <f t="shared" si="188"/>
        <v>连续下降-预警</v>
      </c>
      <c r="AU1496" s="43" t="str">
        <f t="shared" si="189"/>
        <v>唤醒：短信模板+首充补贴</v>
      </c>
    </row>
    <row r="1497" ht="15" customHeight="1" spans="1:47">
      <c r="A1497" s="20" t="s">
        <v>3848</v>
      </c>
      <c r="B1497" s="22" t="s">
        <v>3849</v>
      </c>
      <c r="C1497" s="22" t="s">
        <v>195</v>
      </c>
      <c r="D1497" s="22" t="s">
        <v>227</v>
      </c>
      <c r="E1497" s="22" t="s">
        <v>197</v>
      </c>
      <c r="F1497" s="20" t="s">
        <v>3850</v>
      </c>
      <c r="G1497" s="22">
        <v>28</v>
      </c>
      <c r="H1497" s="22" t="s">
        <v>3535</v>
      </c>
      <c r="I1497" s="22" t="s">
        <v>302</v>
      </c>
      <c r="J1497" s="36">
        <v>0</v>
      </c>
      <c r="K1497" s="36">
        <v>0</v>
      </c>
      <c r="L1497" s="36">
        <v>0</v>
      </c>
      <c r="M1497" s="36">
        <f t="shared" si="184"/>
        <v>0</v>
      </c>
      <c r="N1497" s="34">
        <f t="shared" si="190"/>
        <v>0</v>
      </c>
      <c r="O1497" s="35">
        <f>SUM($M$2:M1497)</f>
        <v>190743600</v>
      </c>
      <c r="P1497" s="34">
        <f t="shared" si="191"/>
        <v>1</v>
      </c>
      <c r="Q1497" s="39">
        <v>0</v>
      </c>
      <c r="R1497" s="22">
        <v>0</v>
      </c>
      <c r="S1497" s="22">
        <v>0</v>
      </c>
      <c r="T1497" s="22">
        <v>0</v>
      </c>
      <c r="U1497" s="39">
        <v>28.1</v>
      </c>
      <c r="V1497" s="22">
        <v>7</v>
      </c>
      <c r="W1497" s="22">
        <v>0</v>
      </c>
      <c r="X1497" s="40">
        <v>61</v>
      </c>
      <c r="Y1497" s="22">
        <v>0</v>
      </c>
      <c r="Z1497" s="22">
        <v>0</v>
      </c>
      <c r="AA1497" s="22" t="s">
        <v>212</v>
      </c>
      <c r="AB1497" s="22" t="s">
        <v>220</v>
      </c>
      <c r="AC1497" s="42">
        <f>IFERROR(LOOKUP(M1497,打分卡!$F$7:$J$7,打分卡!$K$7:$O$7),1)</f>
        <v>1</v>
      </c>
      <c r="AD1497" s="42">
        <f>IFERROR(LOOKUP(S1497,打分卡!$F$8:$J$8,打分卡!$K$8:$O$8),1)</f>
        <v>1</v>
      </c>
      <c r="AE1497" s="42">
        <f>IFERROR(LOOKUP(T1497,打分卡!$F$9:$I$9,打分卡!$K$9:$N$9),1)</f>
        <v>1</v>
      </c>
      <c r="AF1497" s="42">
        <f>IFERROR(LOOKUP(Q1497,打分卡!$F$10:$J$10,打分卡!$K$10:$O$10),1)</f>
        <v>1</v>
      </c>
      <c r="AG1497" s="42">
        <f>IFERROR(LOOKUP(R1497,打分卡!$F$11:$J$11,打分卡!$K$11:$O$11),1)</f>
        <v>1</v>
      </c>
      <c r="AH1497" s="42">
        <f>IFERROR(LOOKUP(U1497,打分卡!$F$12:$J$12,打分卡!$K$12:$O$12),1)</f>
        <v>3</v>
      </c>
      <c r="AI1497" s="42">
        <f>IFERROR(LOOKUP(X1497,打分卡!$F$13:$J$13,打分卡!$K$13:$O$13),1)</f>
        <v>3</v>
      </c>
      <c r="AJ1497" s="42">
        <f>IFERROR(LOOKUP(Y1497,打分卡!$F$14:$J$14,打分卡!$K$14:$O$14),1)</f>
        <v>1</v>
      </c>
      <c r="AK1497" s="42">
        <f>IFERROR(LOOKUP(W1497,打分卡!$F$15:$J$15,打分卡!$K$15:$O$15),1)</f>
        <v>1</v>
      </c>
      <c r="AL1497" s="45">
        <f t="shared" si="185"/>
        <v>1</v>
      </c>
      <c r="AM1497" s="42">
        <f>IFERROR(LOOKUP(Z1497,打分卡!$F$17:$H$17,打分卡!$K$17:$M$17),1)</f>
        <v>1</v>
      </c>
      <c r="AN1497" s="46">
        <f>(打分卡!$D$7*AC1497+打分卡!$D$8*AD1497+打分卡!$D$9*AE1497)/5</f>
        <v>8</v>
      </c>
      <c r="AO1497" s="46">
        <f>(打分卡!$D$10*AF1497+打分卡!$D$11*AG1497)/5</f>
        <v>4</v>
      </c>
      <c r="AP1497" s="46">
        <f>(打分卡!$D$12*AH1497+打分卡!$D$13*AI1497+打分卡!$D$14*AJ1497+打分卡!$D$15*AK1497)/5</f>
        <v>14</v>
      </c>
      <c r="AQ1497" s="46">
        <f>(打分卡!$D$16*AL1497+打分卡!$D$17*AM1497)/5</f>
        <v>2</v>
      </c>
      <c r="AR1497" s="48">
        <f t="shared" si="186"/>
        <v>28</v>
      </c>
      <c r="AS1497" s="45" t="str">
        <f t="shared" si="187"/>
        <v>未激活</v>
      </c>
      <c r="AT1497" s="45" t="str">
        <f t="shared" si="188"/>
        <v>连续下降-预警</v>
      </c>
      <c r="AU1497" s="45" t="str">
        <f t="shared" si="189"/>
        <v>唤醒：短信模板+首充补贴</v>
      </c>
    </row>
    <row r="1498" ht="15" customHeight="1" spans="1:47">
      <c r="A1498" s="30" t="s">
        <v>3851</v>
      </c>
      <c r="B1498" s="31" t="s">
        <v>3852</v>
      </c>
      <c r="C1498" s="31" t="s">
        <v>179</v>
      </c>
      <c r="D1498" s="31" t="s">
        <v>202</v>
      </c>
      <c r="E1498" s="31" t="s">
        <v>181</v>
      </c>
      <c r="F1498" s="30" t="s">
        <v>2418</v>
      </c>
      <c r="G1498" s="31">
        <v>21</v>
      </c>
      <c r="H1498" s="31" t="s">
        <v>3535</v>
      </c>
      <c r="I1498" s="31" t="s">
        <v>302</v>
      </c>
      <c r="J1498" s="33">
        <v>0</v>
      </c>
      <c r="K1498" s="33">
        <v>0</v>
      </c>
      <c r="L1498" s="33">
        <v>0</v>
      </c>
      <c r="M1498" s="33">
        <f t="shared" si="184"/>
        <v>0</v>
      </c>
      <c r="N1498" s="34">
        <f t="shared" si="190"/>
        <v>0</v>
      </c>
      <c r="O1498" s="35">
        <f>SUM($M$2:M1498)</f>
        <v>190743600</v>
      </c>
      <c r="P1498" s="34">
        <f t="shared" si="191"/>
        <v>1</v>
      </c>
      <c r="Q1498" s="37">
        <v>0</v>
      </c>
      <c r="R1498" s="31">
        <v>0</v>
      </c>
      <c r="S1498" s="31">
        <v>0</v>
      </c>
      <c r="T1498" s="31">
        <v>0</v>
      </c>
      <c r="U1498" s="37">
        <v>0.9</v>
      </c>
      <c r="V1498" s="31">
        <v>13</v>
      </c>
      <c r="W1498" s="31">
        <v>2</v>
      </c>
      <c r="X1498" s="38">
        <v>14</v>
      </c>
      <c r="Y1498" s="31">
        <v>1</v>
      </c>
      <c r="Z1498" s="31">
        <v>0</v>
      </c>
      <c r="AA1498" s="31" t="s">
        <v>212</v>
      </c>
      <c r="AB1498" s="31" t="s">
        <v>220</v>
      </c>
      <c r="AC1498" s="41">
        <f>IFERROR(LOOKUP(M1498,打分卡!$F$7:$J$7,打分卡!$K$7:$O$7),1)</f>
        <v>1</v>
      </c>
      <c r="AD1498" s="41">
        <f>IFERROR(LOOKUP(S1498,打分卡!$F$8:$J$8,打分卡!$K$8:$O$8),1)</f>
        <v>1</v>
      </c>
      <c r="AE1498" s="41">
        <f>IFERROR(LOOKUP(T1498,打分卡!$F$9:$I$9,打分卡!$K$9:$N$9),1)</f>
        <v>1</v>
      </c>
      <c r="AF1498" s="41">
        <f>IFERROR(LOOKUP(Q1498,打分卡!$F$10:$J$10,打分卡!$K$10:$O$10),1)</f>
        <v>1</v>
      </c>
      <c r="AG1498" s="41">
        <f>IFERROR(LOOKUP(R1498,打分卡!$F$11:$J$11,打分卡!$K$11:$O$11),1)</f>
        <v>1</v>
      </c>
      <c r="AH1498" s="41">
        <f>IFERROR(LOOKUP(U1498,打分卡!$F$12:$J$12,打分卡!$K$12:$O$12),1)</f>
        <v>1</v>
      </c>
      <c r="AI1498" s="41">
        <f>IFERROR(LOOKUP(X1498,打分卡!$F$13:$J$13,打分卡!$K$13:$O$13),1)</f>
        <v>1</v>
      </c>
      <c r="AJ1498" s="41">
        <f>IFERROR(LOOKUP(Y1498,打分卡!$F$14:$J$14,打分卡!$K$14:$O$14),1)</f>
        <v>2</v>
      </c>
      <c r="AK1498" s="41">
        <f>IFERROR(LOOKUP(W1498,打分卡!$F$15:$J$15,打分卡!$K$15:$O$15),1)</f>
        <v>2</v>
      </c>
      <c r="AL1498" s="43">
        <f t="shared" si="185"/>
        <v>1</v>
      </c>
      <c r="AM1498" s="41">
        <f>IFERROR(LOOKUP(Z1498,打分卡!$F$17:$H$17,打分卡!$K$17:$M$17),1)</f>
        <v>1</v>
      </c>
      <c r="AN1498" s="44">
        <f>(打分卡!$D$7*AC1498+打分卡!$D$8*AD1498+打分卡!$D$9*AE1498)/5</f>
        <v>8</v>
      </c>
      <c r="AO1498" s="44">
        <f>(打分卡!$D$10*AF1498+打分卡!$D$11*AG1498)/5</f>
        <v>4</v>
      </c>
      <c r="AP1498" s="44">
        <f>(打分卡!$D$12*AH1498+打分卡!$D$13*AI1498+打分卡!$D$14*AJ1498+打分卡!$D$15*AK1498)/5</f>
        <v>8</v>
      </c>
      <c r="AQ1498" s="44">
        <f>(打分卡!$D$16*AL1498+打分卡!$D$17*AM1498)/5</f>
        <v>2</v>
      </c>
      <c r="AR1498" s="47">
        <f t="shared" si="186"/>
        <v>22</v>
      </c>
      <c r="AS1498" s="43" t="str">
        <f t="shared" si="187"/>
        <v>未激活</v>
      </c>
      <c r="AT1498" s="43" t="str">
        <f t="shared" si="188"/>
        <v>连续下降-预警</v>
      </c>
      <c r="AU1498" s="43" t="str">
        <f t="shared" si="189"/>
        <v>唤醒：短信模板+首充补贴</v>
      </c>
    </row>
    <row r="1499" ht="15" customHeight="1" spans="1:47">
      <c r="A1499" s="20" t="s">
        <v>3853</v>
      </c>
      <c r="B1499" s="22" t="s">
        <v>3854</v>
      </c>
      <c r="C1499" s="22" t="s">
        <v>218</v>
      </c>
      <c r="D1499" s="22" t="s">
        <v>202</v>
      </c>
      <c r="E1499" s="22" t="s">
        <v>197</v>
      </c>
      <c r="F1499" s="20" t="s">
        <v>271</v>
      </c>
      <c r="G1499" s="22">
        <v>20</v>
      </c>
      <c r="H1499" s="22" t="s">
        <v>3535</v>
      </c>
      <c r="I1499" s="22" t="s">
        <v>302</v>
      </c>
      <c r="J1499" s="36">
        <v>0</v>
      </c>
      <c r="K1499" s="36">
        <v>0</v>
      </c>
      <c r="L1499" s="36">
        <v>0</v>
      </c>
      <c r="M1499" s="36">
        <f t="shared" si="184"/>
        <v>0</v>
      </c>
      <c r="N1499" s="34">
        <f t="shared" si="190"/>
        <v>0</v>
      </c>
      <c r="O1499" s="35">
        <f>SUM($M$2:M1499)</f>
        <v>190743600</v>
      </c>
      <c r="P1499" s="34">
        <f t="shared" si="191"/>
        <v>1</v>
      </c>
      <c r="Q1499" s="39">
        <v>0</v>
      </c>
      <c r="R1499" s="22">
        <v>0</v>
      </c>
      <c r="S1499" s="22">
        <v>0</v>
      </c>
      <c r="T1499" s="22">
        <v>0</v>
      </c>
      <c r="U1499" s="39">
        <v>10.8</v>
      </c>
      <c r="V1499" s="22">
        <v>8</v>
      </c>
      <c r="W1499" s="22">
        <v>0</v>
      </c>
      <c r="X1499" s="40">
        <v>24</v>
      </c>
      <c r="Y1499" s="22">
        <v>0</v>
      </c>
      <c r="Z1499" s="22">
        <v>0</v>
      </c>
      <c r="AA1499" s="22" t="s">
        <v>212</v>
      </c>
      <c r="AB1499" s="22" t="s">
        <v>220</v>
      </c>
      <c r="AC1499" s="42">
        <f>IFERROR(LOOKUP(M1499,打分卡!$F$7:$J$7,打分卡!$K$7:$O$7),1)</f>
        <v>1</v>
      </c>
      <c r="AD1499" s="42">
        <f>IFERROR(LOOKUP(S1499,打分卡!$F$8:$J$8,打分卡!$K$8:$O$8),1)</f>
        <v>1</v>
      </c>
      <c r="AE1499" s="42">
        <f>IFERROR(LOOKUP(T1499,打分卡!$F$9:$I$9,打分卡!$K$9:$N$9),1)</f>
        <v>1</v>
      </c>
      <c r="AF1499" s="42">
        <f>IFERROR(LOOKUP(Q1499,打分卡!$F$10:$J$10,打分卡!$K$10:$O$10),1)</f>
        <v>1</v>
      </c>
      <c r="AG1499" s="42">
        <f>IFERROR(LOOKUP(R1499,打分卡!$F$11:$J$11,打分卡!$K$11:$O$11),1)</f>
        <v>1</v>
      </c>
      <c r="AH1499" s="42">
        <f>IFERROR(LOOKUP(U1499,打分卡!$F$12:$J$12,打分卡!$K$12:$O$12),1)</f>
        <v>3</v>
      </c>
      <c r="AI1499" s="42">
        <f>IFERROR(LOOKUP(X1499,打分卡!$F$13:$J$13,打分卡!$K$13:$O$13),1)</f>
        <v>2</v>
      </c>
      <c r="AJ1499" s="42">
        <f>IFERROR(LOOKUP(Y1499,打分卡!$F$14:$J$14,打分卡!$K$14:$O$14),1)</f>
        <v>1</v>
      </c>
      <c r="AK1499" s="42">
        <f>IFERROR(LOOKUP(W1499,打分卡!$F$15:$J$15,打分卡!$K$15:$O$15),1)</f>
        <v>1</v>
      </c>
      <c r="AL1499" s="45">
        <f t="shared" si="185"/>
        <v>1</v>
      </c>
      <c r="AM1499" s="42">
        <f>IFERROR(LOOKUP(Z1499,打分卡!$F$17:$H$17,打分卡!$K$17:$M$17),1)</f>
        <v>1</v>
      </c>
      <c r="AN1499" s="46">
        <f>(打分卡!$D$7*AC1499+打分卡!$D$8*AD1499+打分卡!$D$9*AE1499)/5</f>
        <v>8</v>
      </c>
      <c r="AO1499" s="46">
        <f>(打分卡!$D$10*AF1499+打分卡!$D$11*AG1499)/5</f>
        <v>4</v>
      </c>
      <c r="AP1499" s="46">
        <f>(打分卡!$D$12*AH1499+打分卡!$D$13*AI1499+打分卡!$D$14*AJ1499+打分卡!$D$15*AK1499)/5</f>
        <v>12.4</v>
      </c>
      <c r="AQ1499" s="46">
        <f>(打分卡!$D$16*AL1499+打分卡!$D$17*AM1499)/5</f>
        <v>2</v>
      </c>
      <c r="AR1499" s="48">
        <f t="shared" si="186"/>
        <v>26.4</v>
      </c>
      <c r="AS1499" s="45" t="str">
        <f t="shared" si="187"/>
        <v>未激活</v>
      </c>
      <c r="AT1499" s="45" t="str">
        <f t="shared" si="188"/>
        <v>连续下降-预警</v>
      </c>
      <c r="AU1499" s="45" t="str">
        <f t="shared" si="189"/>
        <v>唤醒：短信模板+首充补贴</v>
      </c>
    </row>
    <row r="1500" ht="15" customHeight="1" spans="1:47">
      <c r="A1500" s="30" t="s">
        <v>3855</v>
      </c>
      <c r="B1500" s="31" t="s">
        <v>3856</v>
      </c>
      <c r="C1500" s="31" t="s">
        <v>189</v>
      </c>
      <c r="D1500" s="31" t="s">
        <v>202</v>
      </c>
      <c r="E1500" s="31" t="s">
        <v>181</v>
      </c>
      <c r="F1500" s="30" t="s">
        <v>3857</v>
      </c>
      <c r="G1500" s="31">
        <v>19</v>
      </c>
      <c r="H1500" s="31" t="s">
        <v>3535</v>
      </c>
      <c r="I1500" s="31" t="s">
        <v>302</v>
      </c>
      <c r="J1500" s="33">
        <v>0</v>
      </c>
      <c r="K1500" s="33">
        <v>0</v>
      </c>
      <c r="L1500" s="33">
        <v>0</v>
      </c>
      <c r="M1500" s="33">
        <f t="shared" si="184"/>
        <v>0</v>
      </c>
      <c r="N1500" s="34">
        <f t="shared" si="190"/>
        <v>0</v>
      </c>
      <c r="O1500" s="35">
        <f>SUM($M$2:M1500)</f>
        <v>190743600</v>
      </c>
      <c r="P1500" s="34">
        <f t="shared" si="191"/>
        <v>1</v>
      </c>
      <c r="Q1500" s="37">
        <v>0</v>
      </c>
      <c r="R1500" s="31">
        <v>0</v>
      </c>
      <c r="S1500" s="31">
        <v>0</v>
      </c>
      <c r="T1500" s="31">
        <v>0</v>
      </c>
      <c r="U1500" s="37">
        <v>12.1</v>
      </c>
      <c r="V1500" s="31">
        <v>3</v>
      </c>
      <c r="W1500" s="31">
        <v>0</v>
      </c>
      <c r="X1500" s="38">
        <v>22</v>
      </c>
      <c r="Y1500" s="31">
        <v>1</v>
      </c>
      <c r="Z1500" s="31">
        <v>0</v>
      </c>
      <c r="AA1500" s="31" t="s">
        <v>212</v>
      </c>
      <c r="AB1500" s="31" t="s">
        <v>220</v>
      </c>
      <c r="AC1500" s="41">
        <f>IFERROR(LOOKUP(M1500,打分卡!$F$7:$J$7,打分卡!$K$7:$O$7),1)</f>
        <v>1</v>
      </c>
      <c r="AD1500" s="41">
        <f>IFERROR(LOOKUP(S1500,打分卡!$F$8:$J$8,打分卡!$K$8:$O$8),1)</f>
        <v>1</v>
      </c>
      <c r="AE1500" s="41">
        <f>IFERROR(LOOKUP(T1500,打分卡!$F$9:$I$9,打分卡!$K$9:$N$9),1)</f>
        <v>1</v>
      </c>
      <c r="AF1500" s="41">
        <f>IFERROR(LOOKUP(Q1500,打分卡!$F$10:$J$10,打分卡!$K$10:$O$10),1)</f>
        <v>1</v>
      </c>
      <c r="AG1500" s="41">
        <f>IFERROR(LOOKUP(R1500,打分卡!$F$11:$J$11,打分卡!$K$11:$O$11),1)</f>
        <v>1</v>
      </c>
      <c r="AH1500" s="41">
        <f>IFERROR(LOOKUP(U1500,打分卡!$F$12:$J$12,打分卡!$K$12:$O$12),1)</f>
        <v>3</v>
      </c>
      <c r="AI1500" s="41">
        <f>IFERROR(LOOKUP(X1500,打分卡!$F$13:$J$13,打分卡!$K$13:$O$13),1)</f>
        <v>2</v>
      </c>
      <c r="AJ1500" s="41">
        <f>IFERROR(LOOKUP(Y1500,打分卡!$F$14:$J$14,打分卡!$K$14:$O$14),1)</f>
        <v>2</v>
      </c>
      <c r="AK1500" s="41">
        <f>IFERROR(LOOKUP(W1500,打分卡!$F$15:$J$15,打分卡!$K$15:$O$15),1)</f>
        <v>1</v>
      </c>
      <c r="AL1500" s="43">
        <f t="shared" si="185"/>
        <v>1</v>
      </c>
      <c r="AM1500" s="41">
        <f>IFERROR(LOOKUP(Z1500,打分卡!$F$17:$H$17,打分卡!$K$17:$M$17),1)</f>
        <v>1</v>
      </c>
      <c r="AN1500" s="44">
        <f>(打分卡!$D$7*AC1500+打分卡!$D$8*AD1500+打分卡!$D$9*AE1500)/5</f>
        <v>8</v>
      </c>
      <c r="AO1500" s="44">
        <f>(打分卡!$D$10*AF1500+打分卡!$D$11*AG1500)/5</f>
        <v>4</v>
      </c>
      <c r="AP1500" s="44">
        <f>(打分卡!$D$12*AH1500+打分卡!$D$13*AI1500+打分卡!$D$14*AJ1500+打分卡!$D$15*AK1500)/5</f>
        <v>13.6</v>
      </c>
      <c r="AQ1500" s="44">
        <f>(打分卡!$D$16*AL1500+打分卡!$D$17*AM1500)/5</f>
        <v>2</v>
      </c>
      <c r="AR1500" s="47">
        <f t="shared" si="186"/>
        <v>27.6</v>
      </c>
      <c r="AS1500" s="43" t="str">
        <f t="shared" si="187"/>
        <v>未激活</v>
      </c>
      <c r="AT1500" s="43" t="str">
        <f t="shared" si="188"/>
        <v>连续下降-预警</v>
      </c>
      <c r="AU1500" s="43" t="str">
        <f t="shared" si="189"/>
        <v>唤醒：短信模板+首充补贴</v>
      </c>
    </row>
    <row r="1501" ht="15" customHeight="1" spans="1:47">
      <c r="A1501" s="20" t="s">
        <v>3858</v>
      </c>
      <c r="B1501" s="22" t="s">
        <v>3859</v>
      </c>
      <c r="C1501" s="22" t="s">
        <v>195</v>
      </c>
      <c r="D1501" s="22" t="s">
        <v>202</v>
      </c>
      <c r="E1501" s="22" t="s">
        <v>197</v>
      </c>
      <c r="F1501" s="20" t="s">
        <v>3860</v>
      </c>
      <c r="G1501" s="22">
        <v>32</v>
      </c>
      <c r="H1501" s="22" t="s">
        <v>3535</v>
      </c>
      <c r="I1501" s="22" t="s">
        <v>302</v>
      </c>
      <c r="J1501" s="36">
        <v>0</v>
      </c>
      <c r="K1501" s="36">
        <v>0</v>
      </c>
      <c r="L1501" s="36">
        <v>0</v>
      </c>
      <c r="M1501" s="36">
        <f t="shared" si="184"/>
        <v>0</v>
      </c>
      <c r="N1501" s="34">
        <f t="shared" si="190"/>
        <v>0</v>
      </c>
      <c r="O1501" s="35">
        <f>SUM($M$2:M1501)</f>
        <v>190743600</v>
      </c>
      <c r="P1501" s="34">
        <f t="shared" si="191"/>
        <v>1</v>
      </c>
      <c r="Q1501" s="39">
        <v>0</v>
      </c>
      <c r="R1501" s="22">
        <v>0</v>
      </c>
      <c r="S1501" s="22">
        <v>0</v>
      </c>
      <c r="T1501" s="22">
        <v>0</v>
      </c>
      <c r="U1501" s="39">
        <v>7.2</v>
      </c>
      <c r="V1501" s="22">
        <v>13</v>
      </c>
      <c r="W1501" s="22">
        <v>1</v>
      </c>
      <c r="X1501" s="40">
        <v>13</v>
      </c>
      <c r="Y1501" s="22">
        <v>1</v>
      </c>
      <c r="Z1501" s="22">
        <v>0</v>
      </c>
      <c r="AA1501" s="22" t="s">
        <v>212</v>
      </c>
      <c r="AB1501" s="22" t="s">
        <v>220</v>
      </c>
      <c r="AC1501" s="42">
        <f>IFERROR(LOOKUP(M1501,打分卡!$F$7:$J$7,打分卡!$K$7:$O$7),1)</f>
        <v>1</v>
      </c>
      <c r="AD1501" s="42">
        <f>IFERROR(LOOKUP(S1501,打分卡!$F$8:$J$8,打分卡!$K$8:$O$8),1)</f>
        <v>1</v>
      </c>
      <c r="AE1501" s="42">
        <f>IFERROR(LOOKUP(T1501,打分卡!$F$9:$I$9,打分卡!$K$9:$N$9),1)</f>
        <v>1</v>
      </c>
      <c r="AF1501" s="42">
        <f>IFERROR(LOOKUP(Q1501,打分卡!$F$10:$J$10,打分卡!$K$10:$O$10),1)</f>
        <v>1</v>
      </c>
      <c r="AG1501" s="42">
        <f>IFERROR(LOOKUP(R1501,打分卡!$F$11:$J$11,打分卡!$K$11:$O$11),1)</f>
        <v>1</v>
      </c>
      <c r="AH1501" s="42">
        <f>IFERROR(LOOKUP(U1501,打分卡!$F$12:$J$12,打分卡!$K$12:$O$12),1)</f>
        <v>2</v>
      </c>
      <c r="AI1501" s="42">
        <f>IFERROR(LOOKUP(X1501,打分卡!$F$13:$J$13,打分卡!$K$13:$O$13),1)</f>
        <v>1</v>
      </c>
      <c r="AJ1501" s="42">
        <f>IFERROR(LOOKUP(Y1501,打分卡!$F$14:$J$14,打分卡!$K$14:$O$14),1)</f>
        <v>2</v>
      </c>
      <c r="AK1501" s="42">
        <f>IFERROR(LOOKUP(W1501,打分卡!$F$15:$J$15,打分卡!$K$15:$O$15),1)</f>
        <v>2</v>
      </c>
      <c r="AL1501" s="45">
        <f t="shared" si="185"/>
        <v>1</v>
      </c>
      <c r="AM1501" s="42">
        <f>IFERROR(LOOKUP(Z1501,打分卡!$F$17:$H$17,打分卡!$K$17:$M$17),1)</f>
        <v>1</v>
      </c>
      <c r="AN1501" s="46">
        <f>(打分卡!$D$7*AC1501+打分卡!$D$8*AD1501+打分卡!$D$9*AE1501)/5</f>
        <v>8</v>
      </c>
      <c r="AO1501" s="46">
        <f>(打分卡!$D$10*AF1501+打分卡!$D$11*AG1501)/5</f>
        <v>4</v>
      </c>
      <c r="AP1501" s="46">
        <f>(打分卡!$D$12*AH1501+打分卡!$D$13*AI1501+打分卡!$D$14*AJ1501+打分卡!$D$15*AK1501)/5</f>
        <v>10.4</v>
      </c>
      <c r="AQ1501" s="46">
        <f>(打分卡!$D$16*AL1501+打分卡!$D$17*AM1501)/5</f>
        <v>2</v>
      </c>
      <c r="AR1501" s="48">
        <f t="shared" si="186"/>
        <v>24.4</v>
      </c>
      <c r="AS1501" s="45" t="str">
        <f t="shared" si="187"/>
        <v>未激活</v>
      </c>
      <c r="AT1501" s="45" t="str">
        <f t="shared" si="188"/>
        <v>连续下降-预警</v>
      </c>
      <c r="AU1501" s="45" t="str">
        <f t="shared" si="189"/>
        <v>唤醒：短信模板+首充补贴</v>
      </c>
    </row>
    <row r="1502" ht="15" customHeight="1" spans="1:47">
      <c r="A1502" s="30" t="s">
        <v>3861</v>
      </c>
      <c r="B1502" s="31" t="s">
        <v>3862</v>
      </c>
      <c r="C1502" s="31" t="s">
        <v>189</v>
      </c>
      <c r="D1502" s="31" t="s">
        <v>196</v>
      </c>
      <c r="E1502" s="31" t="s">
        <v>181</v>
      </c>
      <c r="F1502" s="30" t="s">
        <v>3863</v>
      </c>
      <c r="G1502" s="31">
        <v>30</v>
      </c>
      <c r="H1502" s="31" t="s">
        <v>3535</v>
      </c>
      <c r="I1502" s="31" t="s">
        <v>302</v>
      </c>
      <c r="J1502" s="33">
        <v>0</v>
      </c>
      <c r="K1502" s="33">
        <v>0</v>
      </c>
      <c r="L1502" s="33">
        <v>0</v>
      </c>
      <c r="M1502" s="33">
        <f t="shared" si="184"/>
        <v>0</v>
      </c>
      <c r="N1502" s="34">
        <f t="shared" si="190"/>
        <v>0</v>
      </c>
      <c r="O1502" s="35">
        <f>SUM($M$2:M1502)</f>
        <v>190743600</v>
      </c>
      <c r="P1502" s="34">
        <f t="shared" si="191"/>
        <v>1</v>
      </c>
      <c r="Q1502" s="37">
        <v>0</v>
      </c>
      <c r="R1502" s="31">
        <v>0</v>
      </c>
      <c r="S1502" s="31">
        <v>0</v>
      </c>
      <c r="T1502" s="31">
        <v>0</v>
      </c>
      <c r="U1502" s="37">
        <v>9.7</v>
      </c>
      <c r="V1502" s="31">
        <v>10</v>
      </c>
      <c r="W1502" s="31">
        <v>2</v>
      </c>
      <c r="X1502" s="38">
        <v>11</v>
      </c>
      <c r="Y1502" s="31">
        <v>1</v>
      </c>
      <c r="Z1502" s="31">
        <v>0</v>
      </c>
      <c r="AA1502" s="31" t="s">
        <v>212</v>
      </c>
      <c r="AB1502" s="31" t="s">
        <v>220</v>
      </c>
      <c r="AC1502" s="41">
        <f>IFERROR(LOOKUP(M1502,打分卡!$F$7:$J$7,打分卡!$K$7:$O$7),1)</f>
        <v>1</v>
      </c>
      <c r="AD1502" s="41">
        <f>IFERROR(LOOKUP(S1502,打分卡!$F$8:$J$8,打分卡!$K$8:$O$8),1)</f>
        <v>1</v>
      </c>
      <c r="AE1502" s="41">
        <f>IFERROR(LOOKUP(T1502,打分卡!$F$9:$I$9,打分卡!$K$9:$N$9),1)</f>
        <v>1</v>
      </c>
      <c r="AF1502" s="41">
        <f>IFERROR(LOOKUP(Q1502,打分卡!$F$10:$J$10,打分卡!$K$10:$O$10),1)</f>
        <v>1</v>
      </c>
      <c r="AG1502" s="41">
        <f>IFERROR(LOOKUP(R1502,打分卡!$F$11:$J$11,打分卡!$K$11:$O$11),1)</f>
        <v>1</v>
      </c>
      <c r="AH1502" s="41">
        <f>IFERROR(LOOKUP(U1502,打分卡!$F$12:$J$12,打分卡!$K$12:$O$12),1)</f>
        <v>2</v>
      </c>
      <c r="AI1502" s="41">
        <f>IFERROR(LOOKUP(X1502,打分卡!$F$13:$J$13,打分卡!$K$13:$O$13),1)</f>
        <v>1</v>
      </c>
      <c r="AJ1502" s="41">
        <f>IFERROR(LOOKUP(Y1502,打分卡!$F$14:$J$14,打分卡!$K$14:$O$14),1)</f>
        <v>2</v>
      </c>
      <c r="AK1502" s="41">
        <f>IFERROR(LOOKUP(W1502,打分卡!$F$15:$J$15,打分卡!$K$15:$O$15),1)</f>
        <v>2</v>
      </c>
      <c r="AL1502" s="43">
        <f t="shared" si="185"/>
        <v>1</v>
      </c>
      <c r="AM1502" s="41">
        <f>IFERROR(LOOKUP(Z1502,打分卡!$F$17:$H$17,打分卡!$K$17:$M$17),1)</f>
        <v>1</v>
      </c>
      <c r="AN1502" s="44">
        <f>(打分卡!$D$7*AC1502+打分卡!$D$8*AD1502+打分卡!$D$9*AE1502)/5</f>
        <v>8</v>
      </c>
      <c r="AO1502" s="44">
        <f>(打分卡!$D$10*AF1502+打分卡!$D$11*AG1502)/5</f>
        <v>4</v>
      </c>
      <c r="AP1502" s="44">
        <f>(打分卡!$D$12*AH1502+打分卡!$D$13*AI1502+打分卡!$D$14*AJ1502+打分卡!$D$15*AK1502)/5</f>
        <v>10.4</v>
      </c>
      <c r="AQ1502" s="44">
        <f>(打分卡!$D$16*AL1502+打分卡!$D$17*AM1502)/5</f>
        <v>2</v>
      </c>
      <c r="AR1502" s="47">
        <f t="shared" si="186"/>
        <v>24.4</v>
      </c>
      <c r="AS1502" s="43" t="str">
        <f t="shared" si="187"/>
        <v>未激活</v>
      </c>
      <c r="AT1502" s="43" t="str">
        <f t="shared" si="188"/>
        <v>连续下降-预警</v>
      </c>
      <c r="AU1502" s="43" t="str">
        <f t="shared" si="189"/>
        <v>唤醒：短信模板+首充补贴</v>
      </c>
    </row>
    <row r="1503" ht="15" customHeight="1" spans="1:47">
      <c r="A1503" s="20" t="s">
        <v>3864</v>
      </c>
      <c r="B1503" s="22" t="s">
        <v>3865</v>
      </c>
      <c r="C1503" s="22" t="s">
        <v>209</v>
      </c>
      <c r="D1503" s="22" t="s">
        <v>227</v>
      </c>
      <c r="E1503" s="22" t="s">
        <v>181</v>
      </c>
      <c r="F1503" s="20" t="s">
        <v>2274</v>
      </c>
      <c r="G1503" s="22">
        <v>12</v>
      </c>
      <c r="H1503" s="22" t="s">
        <v>3535</v>
      </c>
      <c r="I1503" s="22" t="s">
        <v>302</v>
      </c>
      <c r="J1503" s="36">
        <v>0</v>
      </c>
      <c r="K1503" s="36">
        <v>0</v>
      </c>
      <c r="L1503" s="36">
        <v>0</v>
      </c>
      <c r="M1503" s="36">
        <f t="shared" si="184"/>
        <v>0</v>
      </c>
      <c r="N1503" s="34">
        <f t="shared" si="190"/>
        <v>0</v>
      </c>
      <c r="O1503" s="35">
        <f>SUM($M$2:M1503)</f>
        <v>190743600</v>
      </c>
      <c r="P1503" s="34">
        <f t="shared" si="191"/>
        <v>1</v>
      </c>
      <c r="Q1503" s="39">
        <v>0</v>
      </c>
      <c r="R1503" s="22">
        <v>0</v>
      </c>
      <c r="S1503" s="22">
        <v>0</v>
      </c>
      <c r="T1503" s="22">
        <v>0</v>
      </c>
      <c r="U1503" s="39">
        <v>3.4</v>
      </c>
      <c r="V1503" s="22">
        <v>7</v>
      </c>
      <c r="W1503" s="22">
        <v>2</v>
      </c>
      <c r="X1503" s="40">
        <v>12</v>
      </c>
      <c r="Y1503" s="22">
        <v>1</v>
      </c>
      <c r="Z1503" s="22">
        <v>0</v>
      </c>
      <c r="AA1503" s="22" t="s">
        <v>212</v>
      </c>
      <c r="AB1503" s="22" t="s">
        <v>220</v>
      </c>
      <c r="AC1503" s="42">
        <f>IFERROR(LOOKUP(M1503,打分卡!$F$7:$J$7,打分卡!$K$7:$O$7),1)</f>
        <v>1</v>
      </c>
      <c r="AD1503" s="42">
        <f>IFERROR(LOOKUP(S1503,打分卡!$F$8:$J$8,打分卡!$K$8:$O$8),1)</f>
        <v>1</v>
      </c>
      <c r="AE1503" s="42">
        <f>IFERROR(LOOKUP(T1503,打分卡!$F$9:$I$9,打分卡!$K$9:$N$9),1)</f>
        <v>1</v>
      </c>
      <c r="AF1503" s="42">
        <f>IFERROR(LOOKUP(Q1503,打分卡!$F$10:$J$10,打分卡!$K$10:$O$10),1)</f>
        <v>1</v>
      </c>
      <c r="AG1503" s="42">
        <f>IFERROR(LOOKUP(R1503,打分卡!$F$11:$J$11,打分卡!$K$11:$O$11),1)</f>
        <v>1</v>
      </c>
      <c r="AH1503" s="42">
        <f>IFERROR(LOOKUP(U1503,打分卡!$F$12:$J$12,打分卡!$K$12:$O$12),1)</f>
        <v>2</v>
      </c>
      <c r="AI1503" s="42">
        <f>IFERROR(LOOKUP(X1503,打分卡!$F$13:$J$13,打分卡!$K$13:$O$13),1)</f>
        <v>1</v>
      </c>
      <c r="AJ1503" s="42">
        <f>IFERROR(LOOKUP(Y1503,打分卡!$F$14:$J$14,打分卡!$K$14:$O$14),1)</f>
        <v>2</v>
      </c>
      <c r="AK1503" s="42">
        <f>IFERROR(LOOKUP(W1503,打分卡!$F$15:$J$15,打分卡!$K$15:$O$15),1)</f>
        <v>2</v>
      </c>
      <c r="AL1503" s="45">
        <f t="shared" si="185"/>
        <v>1</v>
      </c>
      <c r="AM1503" s="42">
        <f>IFERROR(LOOKUP(Z1503,打分卡!$F$17:$H$17,打分卡!$K$17:$M$17),1)</f>
        <v>1</v>
      </c>
      <c r="AN1503" s="46">
        <f>(打分卡!$D$7*AC1503+打分卡!$D$8*AD1503+打分卡!$D$9*AE1503)/5</f>
        <v>8</v>
      </c>
      <c r="AO1503" s="46">
        <f>(打分卡!$D$10*AF1503+打分卡!$D$11*AG1503)/5</f>
        <v>4</v>
      </c>
      <c r="AP1503" s="46">
        <f>(打分卡!$D$12*AH1503+打分卡!$D$13*AI1503+打分卡!$D$14*AJ1503+打分卡!$D$15*AK1503)/5</f>
        <v>10.4</v>
      </c>
      <c r="AQ1503" s="46">
        <f>(打分卡!$D$16*AL1503+打分卡!$D$17*AM1503)/5</f>
        <v>2</v>
      </c>
      <c r="AR1503" s="48">
        <f t="shared" si="186"/>
        <v>24.4</v>
      </c>
      <c r="AS1503" s="45" t="str">
        <f t="shared" si="187"/>
        <v>未激活</v>
      </c>
      <c r="AT1503" s="45" t="str">
        <f t="shared" si="188"/>
        <v>连续下降-预警</v>
      </c>
      <c r="AU1503" s="45" t="str">
        <f t="shared" si="189"/>
        <v>唤醒：短信模板+首充补贴</v>
      </c>
    </row>
    <row r="1504" ht="15" customHeight="1" spans="1:47">
      <c r="A1504" s="30" t="s">
        <v>3866</v>
      </c>
      <c r="B1504" s="31" t="s">
        <v>3867</v>
      </c>
      <c r="C1504" s="31" t="s">
        <v>223</v>
      </c>
      <c r="D1504" s="31" t="s">
        <v>227</v>
      </c>
      <c r="E1504" s="31" t="s">
        <v>181</v>
      </c>
      <c r="F1504" s="30" t="s">
        <v>3868</v>
      </c>
      <c r="G1504" s="31">
        <v>34</v>
      </c>
      <c r="H1504" s="31" t="s">
        <v>3535</v>
      </c>
      <c r="I1504" s="31" t="s">
        <v>302</v>
      </c>
      <c r="J1504" s="33">
        <v>0</v>
      </c>
      <c r="K1504" s="33">
        <v>0</v>
      </c>
      <c r="L1504" s="33">
        <v>0</v>
      </c>
      <c r="M1504" s="33">
        <f t="shared" si="184"/>
        <v>0</v>
      </c>
      <c r="N1504" s="34">
        <f t="shared" si="190"/>
        <v>0</v>
      </c>
      <c r="O1504" s="35">
        <f>SUM($M$2:M1504)</f>
        <v>190743600</v>
      </c>
      <c r="P1504" s="34">
        <f t="shared" si="191"/>
        <v>1</v>
      </c>
      <c r="Q1504" s="37">
        <v>0</v>
      </c>
      <c r="R1504" s="31">
        <v>0</v>
      </c>
      <c r="S1504" s="31">
        <v>0</v>
      </c>
      <c r="T1504" s="31">
        <v>0</v>
      </c>
      <c r="U1504" s="37">
        <v>1.6</v>
      </c>
      <c r="V1504" s="31">
        <v>10</v>
      </c>
      <c r="W1504" s="31">
        <v>1</v>
      </c>
      <c r="X1504" s="38">
        <v>27</v>
      </c>
      <c r="Y1504" s="31">
        <v>0</v>
      </c>
      <c r="Z1504" s="31">
        <v>0</v>
      </c>
      <c r="AA1504" s="31" t="s">
        <v>212</v>
      </c>
      <c r="AB1504" s="31" t="s">
        <v>220</v>
      </c>
      <c r="AC1504" s="41">
        <f>IFERROR(LOOKUP(M1504,打分卡!$F$7:$J$7,打分卡!$K$7:$O$7),1)</f>
        <v>1</v>
      </c>
      <c r="AD1504" s="41">
        <f>IFERROR(LOOKUP(S1504,打分卡!$F$8:$J$8,打分卡!$K$8:$O$8),1)</f>
        <v>1</v>
      </c>
      <c r="AE1504" s="41">
        <f>IFERROR(LOOKUP(T1504,打分卡!$F$9:$I$9,打分卡!$K$9:$N$9),1)</f>
        <v>1</v>
      </c>
      <c r="AF1504" s="41">
        <f>IFERROR(LOOKUP(Q1504,打分卡!$F$10:$J$10,打分卡!$K$10:$O$10),1)</f>
        <v>1</v>
      </c>
      <c r="AG1504" s="41">
        <f>IFERROR(LOOKUP(R1504,打分卡!$F$11:$J$11,打分卡!$K$11:$O$11),1)</f>
        <v>1</v>
      </c>
      <c r="AH1504" s="41">
        <f>IFERROR(LOOKUP(U1504,打分卡!$F$12:$J$12,打分卡!$K$12:$O$12),1)</f>
        <v>1</v>
      </c>
      <c r="AI1504" s="41">
        <f>IFERROR(LOOKUP(X1504,打分卡!$F$13:$J$13,打分卡!$K$13:$O$13),1)</f>
        <v>2</v>
      </c>
      <c r="AJ1504" s="41">
        <f>IFERROR(LOOKUP(Y1504,打分卡!$F$14:$J$14,打分卡!$K$14:$O$14),1)</f>
        <v>1</v>
      </c>
      <c r="AK1504" s="41">
        <f>IFERROR(LOOKUP(W1504,打分卡!$F$15:$J$15,打分卡!$K$15:$O$15),1)</f>
        <v>2</v>
      </c>
      <c r="AL1504" s="43">
        <f t="shared" si="185"/>
        <v>1</v>
      </c>
      <c r="AM1504" s="41">
        <f>IFERROR(LOOKUP(Z1504,打分卡!$F$17:$H$17,打分卡!$K$17:$M$17),1)</f>
        <v>1</v>
      </c>
      <c r="AN1504" s="44">
        <f>(打分卡!$D$7*AC1504+打分卡!$D$8*AD1504+打分卡!$D$9*AE1504)/5</f>
        <v>8</v>
      </c>
      <c r="AO1504" s="44">
        <f>(打分卡!$D$10*AF1504+打分卡!$D$11*AG1504)/5</f>
        <v>4</v>
      </c>
      <c r="AP1504" s="44">
        <f>(打分卡!$D$12*AH1504+打分卡!$D$13*AI1504+打分卡!$D$14*AJ1504+打分卡!$D$15*AK1504)/5</f>
        <v>8.4</v>
      </c>
      <c r="AQ1504" s="44">
        <f>(打分卡!$D$16*AL1504+打分卡!$D$17*AM1504)/5</f>
        <v>2</v>
      </c>
      <c r="AR1504" s="47">
        <f t="shared" si="186"/>
        <v>22.4</v>
      </c>
      <c r="AS1504" s="43" t="str">
        <f t="shared" si="187"/>
        <v>未激活</v>
      </c>
      <c r="AT1504" s="43" t="str">
        <f t="shared" si="188"/>
        <v>连续下降-预警</v>
      </c>
      <c r="AU1504" s="43" t="str">
        <f t="shared" si="189"/>
        <v>唤醒：短信模板+首充补贴</v>
      </c>
    </row>
    <row r="1505" ht="15" customHeight="1" spans="1:47">
      <c r="A1505" s="20" t="s">
        <v>3869</v>
      </c>
      <c r="B1505" s="22" t="s">
        <v>3870</v>
      </c>
      <c r="C1505" s="22" t="s">
        <v>189</v>
      </c>
      <c r="D1505" s="22" t="s">
        <v>202</v>
      </c>
      <c r="E1505" s="22" t="s">
        <v>181</v>
      </c>
      <c r="F1505" s="20" t="s">
        <v>790</v>
      </c>
      <c r="G1505" s="22">
        <v>16</v>
      </c>
      <c r="H1505" s="22" t="s">
        <v>3535</v>
      </c>
      <c r="I1505" s="22" t="s">
        <v>302</v>
      </c>
      <c r="J1505" s="36">
        <v>0</v>
      </c>
      <c r="K1505" s="36">
        <v>0</v>
      </c>
      <c r="L1505" s="36">
        <v>0</v>
      </c>
      <c r="M1505" s="36">
        <f t="shared" si="184"/>
        <v>0</v>
      </c>
      <c r="N1505" s="34">
        <f t="shared" si="190"/>
        <v>0</v>
      </c>
      <c r="O1505" s="35">
        <f>SUM($M$2:M1505)</f>
        <v>190743600</v>
      </c>
      <c r="P1505" s="34">
        <f t="shared" si="191"/>
        <v>1</v>
      </c>
      <c r="Q1505" s="39">
        <v>0</v>
      </c>
      <c r="R1505" s="22">
        <v>0</v>
      </c>
      <c r="S1505" s="22">
        <v>0</v>
      </c>
      <c r="T1505" s="22">
        <v>0</v>
      </c>
      <c r="U1505" s="39">
        <v>5.9</v>
      </c>
      <c r="V1505" s="22">
        <v>1</v>
      </c>
      <c r="W1505" s="22">
        <v>2</v>
      </c>
      <c r="X1505" s="40">
        <v>43</v>
      </c>
      <c r="Y1505" s="22">
        <v>0</v>
      </c>
      <c r="Z1505" s="22">
        <v>0</v>
      </c>
      <c r="AA1505" s="22" t="s">
        <v>212</v>
      </c>
      <c r="AB1505" s="22" t="s">
        <v>220</v>
      </c>
      <c r="AC1505" s="42">
        <f>IFERROR(LOOKUP(M1505,打分卡!$F$7:$J$7,打分卡!$K$7:$O$7),1)</f>
        <v>1</v>
      </c>
      <c r="AD1505" s="42">
        <f>IFERROR(LOOKUP(S1505,打分卡!$F$8:$J$8,打分卡!$K$8:$O$8),1)</f>
        <v>1</v>
      </c>
      <c r="AE1505" s="42">
        <f>IFERROR(LOOKUP(T1505,打分卡!$F$9:$I$9,打分卡!$K$9:$N$9),1)</f>
        <v>1</v>
      </c>
      <c r="AF1505" s="42">
        <f>IFERROR(LOOKUP(Q1505,打分卡!$F$10:$J$10,打分卡!$K$10:$O$10),1)</f>
        <v>1</v>
      </c>
      <c r="AG1505" s="42">
        <f>IFERROR(LOOKUP(R1505,打分卡!$F$11:$J$11,打分卡!$K$11:$O$11),1)</f>
        <v>1</v>
      </c>
      <c r="AH1505" s="42">
        <f>IFERROR(LOOKUP(U1505,打分卡!$F$12:$J$12,打分卡!$K$12:$O$12),1)</f>
        <v>2</v>
      </c>
      <c r="AI1505" s="42">
        <f>IFERROR(LOOKUP(X1505,打分卡!$F$13:$J$13,打分卡!$K$13:$O$13),1)</f>
        <v>3</v>
      </c>
      <c r="AJ1505" s="42">
        <f>IFERROR(LOOKUP(Y1505,打分卡!$F$14:$J$14,打分卡!$K$14:$O$14),1)</f>
        <v>1</v>
      </c>
      <c r="AK1505" s="42">
        <f>IFERROR(LOOKUP(W1505,打分卡!$F$15:$J$15,打分卡!$K$15:$O$15),1)</f>
        <v>2</v>
      </c>
      <c r="AL1505" s="45">
        <f t="shared" si="185"/>
        <v>1</v>
      </c>
      <c r="AM1505" s="42">
        <f>IFERROR(LOOKUP(Z1505,打分卡!$F$17:$H$17,打分卡!$K$17:$M$17),1)</f>
        <v>1</v>
      </c>
      <c r="AN1505" s="46">
        <f>(打分卡!$D$7*AC1505+打分卡!$D$8*AD1505+打分卡!$D$9*AE1505)/5</f>
        <v>8</v>
      </c>
      <c r="AO1505" s="46">
        <f>(打分卡!$D$10*AF1505+打分卡!$D$11*AG1505)/5</f>
        <v>4</v>
      </c>
      <c r="AP1505" s="46">
        <f>(打分卡!$D$12*AH1505+打分卡!$D$13*AI1505+打分卡!$D$14*AJ1505+打分卡!$D$15*AK1505)/5</f>
        <v>12.4</v>
      </c>
      <c r="AQ1505" s="46">
        <f>(打分卡!$D$16*AL1505+打分卡!$D$17*AM1505)/5</f>
        <v>2</v>
      </c>
      <c r="AR1505" s="48">
        <f t="shared" si="186"/>
        <v>26.4</v>
      </c>
      <c r="AS1505" s="45" t="str">
        <f t="shared" si="187"/>
        <v>未激活</v>
      </c>
      <c r="AT1505" s="45" t="str">
        <f t="shared" si="188"/>
        <v>连续下降-预警</v>
      </c>
      <c r="AU1505" s="45" t="str">
        <f t="shared" si="189"/>
        <v>唤醒：短信模板+首充补贴</v>
      </c>
    </row>
    <row r="1506" ht="15" customHeight="1" spans="1:47">
      <c r="A1506" s="30" t="s">
        <v>3871</v>
      </c>
      <c r="B1506" s="31" t="s">
        <v>3872</v>
      </c>
      <c r="C1506" s="31" t="s">
        <v>218</v>
      </c>
      <c r="D1506" s="31" t="s">
        <v>190</v>
      </c>
      <c r="E1506" s="31" t="s">
        <v>181</v>
      </c>
      <c r="F1506" s="30" t="s">
        <v>740</v>
      </c>
      <c r="G1506" s="31">
        <v>20</v>
      </c>
      <c r="H1506" s="31" t="s">
        <v>3535</v>
      </c>
      <c r="I1506" s="31" t="s">
        <v>302</v>
      </c>
      <c r="J1506" s="33">
        <v>0</v>
      </c>
      <c r="K1506" s="33">
        <v>0</v>
      </c>
      <c r="L1506" s="33">
        <v>0</v>
      </c>
      <c r="M1506" s="33">
        <f t="shared" si="184"/>
        <v>0</v>
      </c>
      <c r="N1506" s="34">
        <f t="shared" si="190"/>
        <v>0</v>
      </c>
      <c r="O1506" s="35">
        <f>SUM($M$2:M1506)</f>
        <v>190743600</v>
      </c>
      <c r="P1506" s="34">
        <f t="shared" si="191"/>
        <v>1</v>
      </c>
      <c r="Q1506" s="37">
        <v>0</v>
      </c>
      <c r="R1506" s="31">
        <v>0</v>
      </c>
      <c r="S1506" s="31">
        <v>0</v>
      </c>
      <c r="T1506" s="31">
        <v>0</v>
      </c>
      <c r="U1506" s="37">
        <v>0.8</v>
      </c>
      <c r="V1506" s="31">
        <v>6</v>
      </c>
      <c r="W1506" s="31">
        <v>2</v>
      </c>
      <c r="X1506" s="38">
        <v>14</v>
      </c>
      <c r="Y1506" s="31">
        <v>1</v>
      </c>
      <c r="Z1506" s="31">
        <v>0</v>
      </c>
      <c r="AA1506" s="31" t="s">
        <v>212</v>
      </c>
      <c r="AB1506" s="31" t="s">
        <v>220</v>
      </c>
      <c r="AC1506" s="41">
        <f>IFERROR(LOOKUP(M1506,打分卡!$F$7:$J$7,打分卡!$K$7:$O$7),1)</f>
        <v>1</v>
      </c>
      <c r="AD1506" s="41">
        <f>IFERROR(LOOKUP(S1506,打分卡!$F$8:$J$8,打分卡!$K$8:$O$8),1)</f>
        <v>1</v>
      </c>
      <c r="AE1506" s="41">
        <f>IFERROR(LOOKUP(T1506,打分卡!$F$9:$I$9,打分卡!$K$9:$N$9),1)</f>
        <v>1</v>
      </c>
      <c r="AF1506" s="41">
        <f>IFERROR(LOOKUP(Q1506,打分卡!$F$10:$J$10,打分卡!$K$10:$O$10),1)</f>
        <v>1</v>
      </c>
      <c r="AG1506" s="41">
        <f>IFERROR(LOOKUP(R1506,打分卡!$F$11:$J$11,打分卡!$K$11:$O$11),1)</f>
        <v>1</v>
      </c>
      <c r="AH1506" s="41">
        <f>IFERROR(LOOKUP(U1506,打分卡!$F$12:$J$12,打分卡!$K$12:$O$12),1)</f>
        <v>1</v>
      </c>
      <c r="AI1506" s="41">
        <f>IFERROR(LOOKUP(X1506,打分卡!$F$13:$J$13,打分卡!$K$13:$O$13),1)</f>
        <v>1</v>
      </c>
      <c r="AJ1506" s="41">
        <f>IFERROR(LOOKUP(Y1506,打分卡!$F$14:$J$14,打分卡!$K$14:$O$14),1)</f>
        <v>2</v>
      </c>
      <c r="AK1506" s="41">
        <f>IFERROR(LOOKUP(W1506,打分卡!$F$15:$J$15,打分卡!$K$15:$O$15),1)</f>
        <v>2</v>
      </c>
      <c r="AL1506" s="43">
        <f t="shared" si="185"/>
        <v>1</v>
      </c>
      <c r="AM1506" s="41">
        <f>IFERROR(LOOKUP(Z1506,打分卡!$F$17:$H$17,打分卡!$K$17:$M$17),1)</f>
        <v>1</v>
      </c>
      <c r="AN1506" s="44">
        <f>(打分卡!$D$7*AC1506+打分卡!$D$8*AD1506+打分卡!$D$9*AE1506)/5</f>
        <v>8</v>
      </c>
      <c r="AO1506" s="44">
        <f>(打分卡!$D$10*AF1506+打分卡!$D$11*AG1506)/5</f>
        <v>4</v>
      </c>
      <c r="AP1506" s="44">
        <f>(打分卡!$D$12*AH1506+打分卡!$D$13*AI1506+打分卡!$D$14*AJ1506+打分卡!$D$15*AK1506)/5</f>
        <v>8</v>
      </c>
      <c r="AQ1506" s="44">
        <f>(打分卡!$D$16*AL1506+打分卡!$D$17*AM1506)/5</f>
        <v>2</v>
      </c>
      <c r="AR1506" s="47">
        <f t="shared" si="186"/>
        <v>22</v>
      </c>
      <c r="AS1506" s="43" t="str">
        <f t="shared" si="187"/>
        <v>未激活</v>
      </c>
      <c r="AT1506" s="43" t="str">
        <f t="shared" si="188"/>
        <v>连续下降-预警</v>
      </c>
      <c r="AU1506" s="43" t="str">
        <f t="shared" si="189"/>
        <v>唤醒：短信模板+首充补贴</v>
      </c>
    </row>
    <row r="1507" ht="15" customHeight="1" spans="1:47">
      <c r="A1507" s="20" t="s">
        <v>3873</v>
      </c>
      <c r="B1507" s="22" t="s">
        <v>3874</v>
      </c>
      <c r="C1507" s="22" t="s">
        <v>195</v>
      </c>
      <c r="D1507" s="22" t="s">
        <v>235</v>
      </c>
      <c r="E1507" s="22" t="s">
        <v>181</v>
      </c>
      <c r="F1507" s="20" t="s">
        <v>1779</v>
      </c>
      <c r="G1507" s="22">
        <v>13</v>
      </c>
      <c r="H1507" s="22" t="s">
        <v>3535</v>
      </c>
      <c r="I1507" s="22" t="s">
        <v>302</v>
      </c>
      <c r="J1507" s="36">
        <v>0</v>
      </c>
      <c r="K1507" s="36">
        <v>0</v>
      </c>
      <c r="L1507" s="36">
        <v>0</v>
      </c>
      <c r="M1507" s="36">
        <f t="shared" si="184"/>
        <v>0</v>
      </c>
      <c r="N1507" s="34">
        <f t="shared" si="190"/>
        <v>0</v>
      </c>
      <c r="O1507" s="35">
        <f>SUM($M$2:M1507)</f>
        <v>190743600</v>
      </c>
      <c r="P1507" s="34">
        <f t="shared" si="191"/>
        <v>1</v>
      </c>
      <c r="Q1507" s="39">
        <v>0</v>
      </c>
      <c r="R1507" s="22">
        <v>0</v>
      </c>
      <c r="S1507" s="22">
        <v>0</v>
      </c>
      <c r="T1507" s="22">
        <v>0</v>
      </c>
      <c r="U1507" s="39">
        <v>27.4</v>
      </c>
      <c r="V1507" s="22">
        <v>13</v>
      </c>
      <c r="W1507" s="22">
        <v>0</v>
      </c>
      <c r="X1507" s="40">
        <v>48</v>
      </c>
      <c r="Y1507" s="22">
        <v>1</v>
      </c>
      <c r="Z1507" s="22">
        <v>0</v>
      </c>
      <c r="AA1507" s="22" t="s">
        <v>212</v>
      </c>
      <c r="AB1507" s="22" t="s">
        <v>220</v>
      </c>
      <c r="AC1507" s="42">
        <f>IFERROR(LOOKUP(M1507,打分卡!$F$7:$J$7,打分卡!$K$7:$O$7),1)</f>
        <v>1</v>
      </c>
      <c r="AD1507" s="42">
        <f>IFERROR(LOOKUP(S1507,打分卡!$F$8:$J$8,打分卡!$K$8:$O$8),1)</f>
        <v>1</v>
      </c>
      <c r="AE1507" s="42">
        <f>IFERROR(LOOKUP(T1507,打分卡!$F$9:$I$9,打分卡!$K$9:$N$9),1)</f>
        <v>1</v>
      </c>
      <c r="AF1507" s="42">
        <f>IFERROR(LOOKUP(Q1507,打分卡!$F$10:$J$10,打分卡!$K$10:$O$10),1)</f>
        <v>1</v>
      </c>
      <c r="AG1507" s="42">
        <f>IFERROR(LOOKUP(R1507,打分卡!$F$11:$J$11,打分卡!$K$11:$O$11),1)</f>
        <v>1</v>
      </c>
      <c r="AH1507" s="42">
        <f>IFERROR(LOOKUP(U1507,打分卡!$F$12:$J$12,打分卡!$K$12:$O$12),1)</f>
        <v>3</v>
      </c>
      <c r="AI1507" s="42">
        <f>IFERROR(LOOKUP(X1507,打分卡!$F$13:$J$13,打分卡!$K$13:$O$13),1)</f>
        <v>3</v>
      </c>
      <c r="AJ1507" s="42">
        <f>IFERROR(LOOKUP(Y1507,打分卡!$F$14:$J$14,打分卡!$K$14:$O$14),1)</f>
        <v>2</v>
      </c>
      <c r="AK1507" s="42">
        <f>IFERROR(LOOKUP(W1507,打分卡!$F$15:$J$15,打分卡!$K$15:$O$15),1)</f>
        <v>1</v>
      </c>
      <c r="AL1507" s="45">
        <f t="shared" si="185"/>
        <v>1</v>
      </c>
      <c r="AM1507" s="42">
        <f>IFERROR(LOOKUP(Z1507,打分卡!$F$17:$H$17,打分卡!$K$17:$M$17),1)</f>
        <v>1</v>
      </c>
      <c r="AN1507" s="46">
        <f>(打分卡!$D$7*AC1507+打分卡!$D$8*AD1507+打分卡!$D$9*AE1507)/5</f>
        <v>8</v>
      </c>
      <c r="AO1507" s="46">
        <f>(打分卡!$D$10*AF1507+打分卡!$D$11*AG1507)/5</f>
        <v>4</v>
      </c>
      <c r="AP1507" s="46">
        <f>(打分卡!$D$12*AH1507+打分卡!$D$13*AI1507+打分卡!$D$14*AJ1507+打分卡!$D$15*AK1507)/5</f>
        <v>15.2</v>
      </c>
      <c r="AQ1507" s="46">
        <f>(打分卡!$D$16*AL1507+打分卡!$D$17*AM1507)/5</f>
        <v>2</v>
      </c>
      <c r="AR1507" s="48">
        <f t="shared" si="186"/>
        <v>29.2</v>
      </c>
      <c r="AS1507" s="45" t="str">
        <f t="shared" si="187"/>
        <v>未激活</v>
      </c>
      <c r="AT1507" s="45" t="str">
        <f t="shared" si="188"/>
        <v>连续下降-预警</v>
      </c>
      <c r="AU1507" s="45" t="str">
        <f t="shared" si="189"/>
        <v>唤醒：短信模板+首充补贴</v>
      </c>
    </row>
    <row r="1508" ht="15" customHeight="1" spans="1:47">
      <c r="A1508" s="30" t="s">
        <v>3875</v>
      </c>
      <c r="B1508" s="31" t="s">
        <v>3876</v>
      </c>
      <c r="C1508" s="31" t="s">
        <v>189</v>
      </c>
      <c r="D1508" s="31" t="s">
        <v>190</v>
      </c>
      <c r="E1508" s="31" t="s">
        <v>197</v>
      </c>
      <c r="F1508" s="30" t="s">
        <v>1954</v>
      </c>
      <c r="G1508" s="31">
        <v>15</v>
      </c>
      <c r="H1508" s="31" t="s">
        <v>3535</v>
      </c>
      <c r="I1508" s="31" t="s">
        <v>302</v>
      </c>
      <c r="J1508" s="33">
        <v>0</v>
      </c>
      <c r="K1508" s="33">
        <v>0</v>
      </c>
      <c r="L1508" s="33">
        <v>0</v>
      </c>
      <c r="M1508" s="33">
        <f t="shared" si="184"/>
        <v>0</v>
      </c>
      <c r="N1508" s="34">
        <f t="shared" si="190"/>
        <v>0</v>
      </c>
      <c r="O1508" s="35">
        <f>SUM($M$2:M1508)</f>
        <v>190743600</v>
      </c>
      <c r="P1508" s="34">
        <f t="shared" si="191"/>
        <v>1</v>
      </c>
      <c r="Q1508" s="37">
        <v>0</v>
      </c>
      <c r="R1508" s="31">
        <v>0</v>
      </c>
      <c r="S1508" s="31">
        <v>0</v>
      </c>
      <c r="T1508" s="31">
        <v>0</v>
      </c>
      <c r="U1508" s="37">
        <v>29.5</v>
      </c>
      <c r="V1508" s="31">
        <v>12</v>
      </c>
      <c r="W1508" s="31">
        <v>1</v>
      </c>
      <c r="X1508" s="38">
        <v>10</v>
      </c>
      <c r="Y1508" s="31">
        <v>0</v>
      </c>
      <c r="Z1508" s="31">
        <v>0</v>
      </c>
      <c r="AA1508" s="31" t="s">
        <v>212</v>
      </c>
      <c r="AB1508" s="31" t="s">
        <v>220</v>
      </c>
      <c r="AC1508" s="41">
        <f>IFERROR(LOOKUP(M1508,打分卡!$F$7:$J$7,打分卡!$K$7:$O$7),1)</f>
        <v>1</v>
      </c>
      <c r="AD1508" s="41">
        <f>IFERROR(LOOKUP(S1508,打分卡!$F$8:$J$8,打分卡!$K$8:$O$8),1)</f>
        <v>1</v>
      </c>
      <c r="AE1508" s="41">
        <f>IFERROR(LOOKUP(T1508,打分卡!$F$9:$I$9,打分卡!$K$9:$N$9),1)</f>
        <v>1</v>
      </c>
      <c r="AF1508" s="41">
        <f>IFERROR(LOOKUP(Q1508,打分卡!$F$10:$J$10,打分卡!$K$10:$O$10),1)</f>
        <v>1</v>
      </c>
      <c r="AG1508" s="41">
        <f>IFERROR(LOOKUP(R1508,打分卡!$F$11:$J$11,打分卡!$K$11:$O$11),1)</f>
        <v>1</v>
      </c>
      <c r="AH1508" s="41">
        <f>IFERROR(LOOKUP(U1508,打分卡!$F$12:$J$12,打分卡!$K$12:$O$12),1)</f>
        <v>3</v>
      </c>
      <c r="AI1508" s="41">
        <f>IFERROR(LOOKUP(X1508,打分卡!$F$13:$J$13,打分卡!$K$13:$O$13),1)</f>
        <v>1</v>
      </c>
      <c r="AJ1508" s="41">
        <f>IFERROR(LOOKUP(Y1508,打分卡!$F$14:$J$14,打分卡!$K$14:$O$14),1)</f>
        <v>1</v>
      </c>
      <c r="AK1508" s="41">
        <f>IFERROR(LOOKUP(W1508,打分卡!$F$15:$J$15,打分卡!$K$15:$O$15),1)</f>
        <v>2</v>
      </c>
      <c r="AL1508" s="43">
        <f t="shared" si="185"/>
        <v>1</v>
      </c>
      <c r="AM1508" s="41">
        <f>IFERROR(LOOKUP(Z1508,打分卡!$F$17:$H$17,打分卡!$K$17:$M$17),1)</f>
        <v>1</v>
      </c>
      <c r="AN1508" s="44">
        <f>(打分卡!$D$7*AC1508+打分卡!$D$8*AD1508+打分卡!$D$9*AE1508)/5</f>
        <v>8</v>
      </c>
      <c r="AO1508" s="44">
        <f>(打分卡!$D$10*AF1508+打分卡!$D$11*AG1508)/5</f>
        <v>4</v>
      </c>
      <c r="AP1508" s="44">
        <f>(打分卡!$D$12*AH1508+打分卡!$D$13*AI1508+打分卡!$D$14*AJ1508+打分卡!$D$15*AK1508)/5</f>
        <v>11.6</v>
      </c>
      <c r="AQ1508" s="44">
        <f>(打分卡!$D$16*AL1508+打分卡!$D$17*AM1508)/5</f>
        <v>2</v>
      </c>
      <c r="AR1508" s="47">
        <f t="shared" si="186"/>
        <v>25.6</v>
      </c>
      <c r="AS1508" s="43" t="str">
        <f t="shared" si="187"/>
        <v>未激活</v>
      </c>
      <c r="AT1508" s="43" t="str">
        <f t="shared" si="188"/>
        <v>连续下降-预警</v>
      </c>
      <c r="AU1508" s="43" t="str">
        <f t="shared" si="189"/>
        <v>唤醒：短信模板+首充补贴</v>
      </c>
    </row>
    <row r="1509" ht="15" customHeight="1" spans="1:47">
      <c r="A1509" s="20" t="s">
        <v>3877</v>
      </c>
      <c r="B1509" s="22" t="s">
        <v>3878</v>
      </c>
      <c r="C1509" s="22" t="s">
        <v>195</v>
      </c>
      <c r="D1509" s="22" t="s">
        <v>202</v>
      </c>
      <c r="E1509" s="22" t="s">
        <v>181</v>
      </c>
      <c r="F1509" s="20" t="s">
        <v>920</v>
      </c>
      <c r="G1509" s="22">
        <v>24</v>
      </c>
      <c r="H1509" s="22" t="s">
        <v>3535</v>
      </c>
      <c r="I1509" s="22" t="s">
        <v>302</v>
      </c>
      <c r="J1509" s="36">
        <v>0</v>
      </c>
      <c r="K1509" s="36">
        <v>0</v>
      </c>
      <c r="L1509" s="36">
        <v>0</v>
      </c>
      <c r="M1509" s="36">
        <f t="shared" si="184"/>
        <v>0</v>
      </c>
      <c r="N1509" s="34">
        <f t="shared" si="190"/>
        <v>0</v>
      </c>
      <c r="O1509" s="35">
        <f>SUM($M$2:M1509)</f>
        <v>190743600</v>
      </c>
      <c r="P1509" s="34">
        <f t="shared" si="191"/>
        <v>1</v>
      </c>
      <c r="Q1509" s="39">
        <v>0</v>
      </c>
      <c r="R1509" s="22">
        <v>0</v>
      </c>
      <c r="S1509" s="22">
        <v>0</v>
      </c>
      <c r="T1509" s="22">
        <v>0</v>
      </c>
      <c r="U1509" s="39">
        <v>0.6</v>
      </c>
      <c r="V1509" s="22">
        <v>11</v>
      </c>
      <c r="W1509" s="22">
        <v>2</v>
      </c>
      <c r="X1509" s="40">
        <v>30</v>
      </c>
      <c r="Y1509" s="22">
        <v>0</v>
      </c>
      <c r="Z1509" s="22">
        <v>0</v>
      </c>
      <c r="AA1509" s="22" t="s">
        <v>212</v>
      </c>
      <c r="AB1509" s="22" t="s">
        <v>220</v>
      </c>
      <c r="AC1509" s="42">
        <f>IFERROR(LOOKUP(M1509,打分卡!$F$7:$J$7,打分卡!$K$7:$O$7),1)</f>
        <v>1</v>
      </c>
      <c r="AD1509" s="42">
        <f>IFERROR(LOOKUP(S1509,打分卡!$F$8:$J$8,打分卡!$K$8:$O$8),1)</f>
        <v>1</v>
      </c>
      <c r="AE1509" s="42">
        <f>IFERROR(LOOKUP(T1509,打分卡!$F$9:$I$9,打分卡!$K$9:$N$9),1)</f>
        <v>1</v>
      </c>
      <c r="AF1509" s="42">
        <f>IFERROR(LOOKUP(Q1509,打分卡!$F$10:$J$10,打分卡!$K$10:$O$10),1)</f>
        <v>1</v>
      </c>
      <c r="AG1509" s="42">
        <f>IFERROR(LOOKUP(R1509,打分卡!$F$11:$J$11,打分卡!$K$11:$O$11),1)</f>
        <v>1</v>
      </c>
      <c r="AH1509" s="42">
        <f>IFERROR(LOOKUP(U1509,打分卡!$F$12:$J$12,打分卡!$K$12:$O$12),1)</f>
        <v>1</v>
      </c>
      <c r="AI1509" s="42">
        <f>IFERROR(LOOKUP(X1509,打分卡!$F$13:$J$13,打分卡!$K$13:$O$13),1)</f>
        <v>2</v>
      </c>
      <c r="AJ1509" s="42">
        <f>IFERROR(LOOKUP(Y1509,打分卡!$F$14:$J$14,打分卡!$K$14:$O$14),1)</f>
        <v>1</v>
      </c>
      <c r="AK1509" s="42">
        <f>IFERROR(LOOKUP(W1509,打分卡!$F$15:$J$15,打分卡!$K$15:$O$15),1)</f>
        <v>2</v>
      </c>
      <c r="AL1509" s="45">
        <f t="shared" si="185"/>
        <v>1</v>
      </c>
      <c r="AM1509" s="42">
        <f>IFERROR(LOOKUP(Z1509,打分卡!$F$17:$H$17,打分卡!$K$17:$M$17),1)</f>
        <v>1</v>
      </c>
      <c r="AN1509" s="46">
        <f>(打分卡!$D$7*AC1509+打分卡!$D$8*AD1509+打分卡!$D$9*AE1509)/5</f>
        <v>8</v>
      </c>
      <c r="AO1509" s="46">
        <f>(打分卡!$D$10*AF1509+打分卡!$D$11*AG1509)/5</f>
        <v>4</v>
      </c>
      <c r="AP1509" s="46">
        <f>(打分卡!$D$12*AH1509+打分卡!$D$13*AI1509+打分卡!$D$14*AJ1509+打分卡!$D$15*AK1509)/5</f>
        <v>8.4</v>
      </c>
      <c r="AQ1509" s="46">
        <f>(打分卡!$D$16*AL1509+打分卡!$D$17*AM1509)/5</f>
        <v>2</v>
      </c>
      <c r="AR1509" s="48">
        <f t="shared" si="186"/>
        <v>22.4</v>
      </c>
      <c r="AS1509" s="45" t="str">
        <f t="shared" si="187"/>
        <v>未激活</v>
      </c>
      <c r="AT1509" s="45" t="str">
        <f t="shared" si="188"/>
        <v>连续下降-预警</v>
      </c>
      <c r="AU1509" s="45" t="str">
        <f t="shared" si="189"/>
        <v>唤醒：短信模板+首充补贴</v>
      </c>
    </row>
    <row r="1510" ht="15" customHeight="1" spans="1:47">
      <c r="A1510" s="30" t="s">
        <v>3879</v>
      </c>
      <c r="B1510" s="31" t="s">
        <v>3880</v>
      </c>
      <c r="C1510" s="31" t="s">
        <v>239</v>
      </c>
      <c r="D1510" s="31" t="s">
        <v>235</v>
      </c>
      <c r="E1510" s="31" t="s">
        <v>181</v>
      </c>
      <c r="F1510" s="30" t="s">
        <v>3881</v>
      </c>
      <c r="G1510" s="31">
        <v>34</v>
      </c>
      <c r="H1510" s="31" t="s">
        <v>3535</v>
      </c>
      <c r="I1510" s="31" t="s">
        <v>302</v>
      </c>
      <c r="J1510" s="33">
        <v>0</v>
      </c>
      <c r="K1510" s="33">
        <v>0</v>
      </c>
      <c r="L1510" s="33">
        <v>0</v>
      </c>
      <c r="M1510" s="33">
        <f t="shared" si="184"/>
        <v>0</v>
      </c>
      <c r="N1510" s="34">
        <f t="shared" si="190"/>
        <v>0</v>
      </c>
      <c r="O1510" s="35">
        <f>SUM($M$2:M1510)</f>
        <v>190743600</v>
      </c>
      <c r="P1510" s="34">
        <f t="shared" si="191"/>
        <v>1</v>
      </c>
      <c r="Q1510" s="37">
        <v>0</v>
      </c>
      <c r="R1510" s="31">
        <v>0</v>
      </c>
      <c r="S1510" s="31">
        <v>0</v>
      </c>
      <c r="T1510" s="31">
        <v>0</v>
      </c>
      <c r="U1510" s="37">
        <v>33.5</v>
      </c>
      <c r="V1510" s="31">
        <v>15</v>
      </c>
      <c r="W1510" s="31">
        <v>1</v>
      </c>
      <c r="X1510" s="38">
        <v>22</v>
      </c>
      <c r="Y1510" s="31">
        <v>0</v>
      </c>
      <c r="Z1510" s="31">
        <v>0</v>
      </c>
      <c r="AA1510" s="31" t="s">
        <v>212</v>
      </c>
      <c r="AB1510" s="31" t="s">
        <v>220</v>
      </c>
      <c r="AC1510" s="41">
        <f>IFERROR(LOOKUP(M1510,打分卡!$F$7:$J$7,打分卡!$K$7:$O$7),1)</f>
        <v>1</v>
      </c>
      <c r="AD1510" s="41">
        <f>IFERROR(LOOKUP(S1510,打分卡!$F$8:$J$8,打分卡!$K$8:$O$8),1)</f>
        <v>1</v>
      </c>
      <c r="AE1510" s="41">
        <f>IFERROR(LOOKUP(T1510,打分卡!$F$9:$I$9,打分卡!$K$9:$N$9),1)</f>
        <v>1</v>
      </c>
      <c r="AF1510" s="41">
        <f>IFERROR(LOOKUP(Q1510,打分卡!$F$10:$J$10,打分卡!$K$10:$O$10),1)</f>
        <v>1</v>
      </c>
      <c r="AG1510" s="41">
        <f>IFERROR(LOOKUP(R1510,打分卡!$F$11:$J$11,打分卡!$K$11:$O$11),1)</f>
        <v>1</v>
      </c>
      <c r="AH1510" s="41">
        <f>IFERROR(LOOKUP(U1510,打分卡!$F$12:$J$12,打分卡!$K$12:$O$12),1)</f>
        <v>4</v>
      </c>
      <c r="AI1510" s="41">
        <f>IFERROR(LOOKUP(X1510,打分卡!$F$13:$J$13,打分卡!$K$13:$O$13),1)</f>
        <v>2</v>
      </c>
      <c r="AJ1510" s="41">
        <f>IFERROR(LOOKUP(Y1510,打分卡!$F$14:$J$14,打分卡!$K$14:$O$14),1)</f>
        <v>1</v>
      </c>
      <c r="AK1510" s="41">
        <f>IFERROR(LOOKUP(W1510,打分卡!$F$15:$J$15,打分卡!$K$15:$O$15),1)</f>
        <v>2</v>
      </c>
      <c r="AL1510" s="43">
        <f t="shared" si="185"/>
        <v>1</v>
      </c>
      <c r="AM1510" s="41">
        <f>IFERROR(LOOKUP(Z1510,打分卡!$F$17:$H$17,打分卡!$K$17:$M$17),1)</f>
        <v>1</v>
      </c>
      <c r="AN1510" s="44">
        <f>(打分卡!$D$7*AC1510+打分卡!$D$8*AD1510+打分卡!$D$9*AE1510)/5</f>
        <v>8</v>
      </c>
      <c r="AO1510" s="44">
        <f>(打分卡!$D$10*AF1510+打分卡!$D$11*AG1510)/5</f>
        <v>4</v>
      </c>
      <c r="AP1510" s="44">
        <f>(打分卡!$D$12*AH1510+打分卡!$D$13*AI1510+打分卡!$D$14*AJ1510+打分卡!$D$15*AK1510)/5</f>
        <v>15.6</v>
      </c>
      <c r="AQ1510" s="44">
        <f>(打分卡!$D$16*AL1510+打分卡!$D$17*AM1510)/5</f>
        <v>2</v>
      </c>
      <c r="AR1510" s="47">
        <f t="shared" si="186"/>
        <v>29.6</v>
      </c>
      <c r="AS1510" s="43" t="str">
        <f t="shared" si="187"/>
        <v>未激活</v>
      </c>
      <c r="AT1510" s="43" t="str">
        <f t="shared" si="188"/>
        <v>连续下降-预警</v>
      </c>
      <c r="AU1510" s="43" t="str">
        <f t="shared" si="189"/>
        <v>唤醒：短信模板+首充补贴</v>
      </c>
    </row>
    <row r="1511" ht="15" customHeight="1" spans="1:47">
      <c r="A1511" s="20" t="s">
        <v>3882</v>
      </c>
      <c r="B1511" s="22" t="s">
        <v>3883</v>
      </c>
      <c r="C1511" s="22" t="s">
        <v>234</v>
      </c>
      <c r="D1511" s="22" t="s">
        <v>180</v>
      </c>
      <c r="E1511" s="22" t="s">
        <v>181</v>
      </c>
      <c r="F1511" s="20" t="s">
        <v>372</v>
      </c>
      <c r="G1511" s="22">
        <v>26</v>
      </c>
      <c r="H1511" s="22" t="s">
        <v>3535</v>
      </c>
      <c r="I1511" s="22" t="s">
        <v>302</v>
      </c>
      <c r="J1511" s="36">
        <v>0</v>
      </c>
      <c r="K1511" s="36">
        <v>0</v>
      </c>
      <c r="L1511" s="36">
        <v>0</v>
      </c>
      <c r="M1511" s="36">
        <f t="shared" si="184"/>
        <v>0</v>
      </c>
      <c r="N1511" s="34">
        <f t="shared" si="190"/>
        <v>0</v>
      </c>
      <c r="O1511" s="35">
        <f>SUM($M$2:M1511)</f>
        <v>190743600</v>
      </c>
      <c r="P1511" s="34">
        <f t="shared" si="191"/>
        <v>1</v>
      </c>
      <c r="Q1511" s="39">
        <v>0</v>
      </c>
      <c r="R1511" s="22">
        <v>0</v>
      </c>
      <c r="S1511" s="22">
        <v>0</v>
      </c>
      <c r="T1511" s="22">
        <v>0</v>
      </c>
      <c r="U1511" s="39">
        <v>45.8</v>
      </c>
      <c r="V1511" s="22">
        <v>0</v>
      </c>
      <c r="W1511" s="22">
        <v>0</v>
      </c>
      <c r="X1511" s="40">
        <v>9</v>
      </c>
      <c r="Y1511" s="22">
        <v>1</v>
      </c>
      <c r="Z1511" s="22">
        <v>0</v>
      </c>
      <c r="AA1511" s="22" t="s">
        <v>212</v>
      </c>
      <c r="AB1511" s="22" t="s">
        <v>220</v>
      </c>
      <c r="AC1511" s="42">
        <f>IFERROR(LOOKUP(M1511,打分卡!$F$7:$J$7,打分卡!$K$7:$O$7),1)</f>
        <v>1</v>
      </c>
      <c r="AD1511" s="42">
        <f>IFERROR(LOOKUP(S1511,打分卡!$F$8:$J$8,打分卡!$K$8:$O$8),1)</f>
        <v>1</v>
      </c>
      <c r="AE1511" s="42">
        <f>IFERROR(LOOKUP(T1511,打分卡!$F$9:$I$9,打分卡!$K$9:$N$9),1)</f>
        <v>1</v>
      </c>
      <c r="AF1511" s="42">
        <f>IFERROR(LOOKUP(Q1511,打分卡!$F$10:$J$10,打分卡!$K$10:$O$10),1)</f>
        <v>1</v>
      </c>
      <c r="AG1511" s="42">
        <f>IFERROR(LOOKUP(R1511,打分卡!$F$11:$J$11,打分卡!$K$11:$O$11),1)</f>
        <v>1</v>
      </c>
      <c r="AH1511" s="42">
        <f>IFERROR(LOOKUP(U1511,打分卡!$F$12:$J$12,打分卡!$K$12:$O$12),1)</f>
        <v>4</v>
      </c>
      <c r="AI1511" s="42">
        <f>IFERROR(LOOKUP(X1511,打分卡!$F$13:$J$13,打分卡!$K$13:$O$13),1)</f>
        <v>1</v>
      </c>
      <c r="AJ1511" s="42">
        <f>IFERROR(LOOKUP(Y1511,打分卡!$F$14:$J$14,打分卡!$K$14:$O$14),1)</f>
        <v>2</v>
      </c>
      <c r="AK1511" s="42">
        <f>IFERROR(LOOKUP(W1511,打分卡!$F$15:$J$15,打分卡!$K$15:$O$15),1)</f>
        <v>1</v>
      </c>
      <c r="AL1511" s="45">
        <f t="shared" si="185"/>
        <v>1</v>
      </c>
      <c r="AM1511" s="42">
        <f>IFERROR(LOOKUP(Z1511,打分卡!$F$17:$H$17,打分卡!$K$17:$M$17),1)</f>
        <v>1</v>
      </c>
      <c r="AN1511" s="46">
        <f>(打分卡!$D$7*AC1511+打分卡!$D$8*AD1511+打分卡!$D$9*AE1511)/5</f>
        <v>8</v>
      </c>
      <c r="AO1511" s="46">
        <f>(打分卡!$D$10*AF1511+打分卡!$D$11*AG1511)/5</f>
        <v>4</v>
      </c>
      <c r="AP1511" s="46">
        <f>(打分卡!$D$12*AH1511+打分卡!$D$13*AI1511+打分卡!$D$14*AJ1511+打分卡!$D$15*AK1511)/5</f>
        <v>14.4</v>
      </c>
      <c r="AQ1511" s="46">
        <f>(打分卡!$D$16*AL1511+打分卡!$D$17*AM1511)/5</f>
        <v>2</v>
      </c>
      <c r="AR1511" s="48">
        <f t="shared" si="186"/>
        <v>28.4</v>
      </c>
      <c r="AS1511" s="45" t="str">
        <f t="shared" si="187"/>
        <v>未激活</v>
      </c>
      <c r="AT1511" s="45" t="str">
        <f t="shared" si="188"/>
        <v>连续下降-预警</v>
      </c>
      <c r="AU1511" s="45" t="str">
        <f t="shared" si="189"/>
        <v>唤醒：短信模板+首充补贴</v>
      </c>
    </row>
    <row r="1512" ht="15" customHeight="1" spans="1:47">
      <c r="A1512" s="30" t="s">
        <v>3884</v>
      </c>
      <c r="B1512" s="31" t="s">
        <v>3885</v>
      </c>
      <c r="C1512" s="31" t="s">
        <v>223</v>
      </c>
      <c r="D1512" s="31" t="s">
        <v>196</v>
      </c>
      <c r="E1512" s="31" t="s">
        <v>181</v>
      </c>
      <c r="F1512" s="30" t="s">
        <v>3886</v>
      </c>
      <c r="G1512" s="31">
        <v>24</v>
      </c>
      <c r="H1512" s="31" t="s">
        <v>3535</v>
      </c>
      <c r="I1512" s="31" t="s">
        <v>302</v>
      </c>
      <c r="J1512" s="33">
        <v>0</v>
      </c>
      <c r="K1512" s="33">
        <v>0</v>
      </c>
      <c r="L1512" s="33">
        <v>0</v>
      </c>
      <c r="M1512" s="33">
        <f t="shared" si="184"/>
        <v>0</v>
      </c>
      <c r="N1512" s="34">
        <f t="shared" si="190"/>
        <v>0</v>
      </c>
      <c r="O1512" s="35">
        <f>SUM($M$2:M1512)</f>
        <v>190743600</v>
      </c>
      <c r="P1512" s="34">
        <f t="shared" si="191"/>
        <v>1</v>
      </c>
      <c r="Q1512" s="37">
        <v>0</v>
      </c>
      <c r="R1512" s="31">
        <v>0</v>
      </c>
      <c r="S1512" s="31">
        <v>0</v>
      </c>
      <c r="T1512" s="31">
        <v>0</v>
      </c>
      <c r="U1512" s="37">
        <v>0.6</v>
      </c>
      <c r="V1512" s="31">
        <v>13</v>
      </c>
      <c r="W1512" s="31">
        <v>2</v>
      </c>
      <c r="X1512" s="38">
        <v>11</v>
      </c>
      <c r="Y1512" s="31">
        <v>1</v>
      </c>
      <c r="Z1512" s="31">
        <v>0</v>
      </c>
      <c r="AA1512" s="31" t="s">
        <v>212</v>
      </c>
      <c r="AB1512" s="31" t="s">
        <v>220</v>
      </c>
      <c r="AC1512" s="41">
        <f>IFERROR(LOOKUP(M1512,打分卡!$F$7:$J$7,打分卡!$K$7:$O$7),1)</f>
        <v>1</v>
      </c>
      <c r="AD1512" s="41">
        <f>IFERROR(LOOKUP(S1512,打分卡!$F$8:$J$8,打分卡!$K$8:$O$8),1)</f>
        <v>1</v>
      </c>
      <c r="AE1512" s="41">
        <f>IFERROR(LOOKUP(T1512,打分卡!$F$9:$I$9,打分卡!$K$9:$N$9),1)</f>
        <v>1</v>
      </c>
      <c r="AF1512" s="41">
        <f>IFERROR(LOOKUP(Q1512,打分卡!$F$10:$J$10,打分卡!$K$10:$O$10),1)</f>
        <v>1</v>
      </c>
      <c r="AG1512" s="41">
        <f>IFERROR(LOOKUP(R1512,打分卡!$F$11:$J$11,打分卡!$K$11:$O$11),1)</f>
        <v>1</v>
      </c>
      <c r="AH1512" s="41">
        <f>IFERROR(LOOKUP(U1512,打分卡!$F$12:$J$12,打分卡!$K$12:$O$12),1)</f>
        <v>1</v>
      </c>
      <c r="AI1512" s="41">
        <f>IFERROR(LOOKUP(X1512,打分卡!$F$13:$J$13,打分卡!$K$13:$O$13),1)</f>
        <v>1</v>
      </c>
      <c r="AJ1512" s="41">
        <f>IFERROR(LOOKUP(Y1512,打分卡!$F$14:$J$14,打分卡!$K$14:$O$14),1)</f>
        <v>2</v>
      </c>
      <c r="AK1512" s="41">
        <f>IFERROR(LOOKUP(W1512,打分卡!$F$15:$J$15,打分卡!$K$15:$O$15),1)</f>
        <v>2</v>
      </c>
      <c r="AL1512" s="43">
        <f t="shared" si="185"/>
        <v>1</v>
      </c>
      <c r="AM1512" s="41">
        <f>IFERROR(LOOKUP(Z1512,打分卡!$F$17:$H$17,打分卡!$K$17:$M$17),1)</f>
        <v>1</v>
      </c>
      <c r="AN1512" s="44">
        <f>(打分卡!$D$7*AC1512+打分卡!$D$8*AD1512+打分卡!$D$9*AE1512)/5</f>
        <v>8</v>
      </c>
      <c r="AO1512" s="44">
        <f>(打分卡!$D$10*AF1512+打分卡!$D$11*AG1512)/5</f>
        <v>4</v>
      </c>
      <c r="AP1512" s="44">
        <f>(打分卡!$D$12*AH1512+打分卡!$D$13*AI1512+打分卡!$D$14*AJ1512+打分卡!$D$15*AK1512)/5</f>
        <v>8</v>
      </c>
      <c r="AQ1512" s="44">
        <f>(打分卡!$D$16*AL1512+打分卡!$D$17*AM1512)/5</f>
        <v>2</v>
      </c>
      <c r="AR1512" s="47">
        <f t="shared" si="186"/>
        <v>22</v>
      </c>
      <c r="AS1512" s="43" t="str">
        <f t="shared" si="187"/>
        <v>未激活</v>
      </c>
      <c r="AT1512" s="43" t="str">
        <f t="shared" si="188"/>
        <v>连续下降-预警</v>
      </c>
      <c r="AU1512" s="43" t="str">
        <f t="shared" si="189"/>
        <v>唤醒：短信模板+首充补贴</v>
      </c>
    </row>
    <row r="1513" ht="15" customHeight="1" spans="1:47">
      <c r="A1513" s="20" t="s">
        <v>3887</v>
      </c>
      <c r="B1513" s="22" t="s">
        <v>3888</v>
      </c>
      <c r="C1513" s="22" t="s">
        <v>218</v>
      </c>
      <c r="D1513" s="22" t="s">
        <v>227</v>
      </c>
      <c r="E1513" s="22" t="s">
        <v>181</v>
      </c>
      <c r="F1513" s="20" t="s">
        <v>1243</v>
      </c>
      <c r="G1513" s="22">
        <v>3</v>
      </c>
      <c r="H1513" s="22" t="s">
        <v>642</v>
      </c>
      <c r="I1513" s="22" t="s">
        <v>302</v>
      </c>
      <c r="J1513" s="36">
        <v>0</v>
      </c>
      <c r="K1513" s="36">
        <v>0</v>
      </c>
      <c r="L1513" s="36">
        <v>0</v>
      </c>
      <c r="M1513" s="36">
        <f t="shared" si="184"/>
        <v>0</v>
      </c>
      <c r="N1513" s="34">
        <f t="shared" si="190"/>
        <v>0</v>
      </c>
      <c r="O1513" s="35">
        <f>SUM($M$2:M1513)</f>
        <v>190743600</v>
      </c>
      <c r="P1513" s="34">
        <f t="shared" si="191"/>
        <v>1</v>
      </c>
      <c r="Q1513" s="39">
        <v>0</v>
      </c>
      <c r="R1513" s="22">
        <v>0</v>
      </c>
      <c r="S1513" s="22">
        <v>0</v>
      </c>
      <c r="T1513" s="22">
        <v>0</v>
      </c>
      <c r="U1513" s="39">
        <v>266</v>
      </c>
      <c r="V1513" s="22">
        <v>2</v>
      </c>
      <c r="W1513" s="22">
        <v>8</v>
      </c>
      <c r="X1513" s="40">
        <v>412</v>
      </c>
      <c r="Y1513" s="22">
        <v>2</v>
      </c>
      <c r="Z1513" s="22">
        <v>0</v>
      </c>
      <c r="AA1513" s="22" t="s">
        <v>199</v>
      </c>
      <c r="AB1513" s="22" t="s">
        <v>220</v>
      </c>
      <c r="AC1513" s="42">
        <f>IFERROR(LOOKUP(M1513,打分卡!$F$7:$J$7,打分卡!$K$7:$O$7),1)</f>
        <v>1</v>
      </c>
      <c r="AD1513" s="42">
        <f>IFERROR(LOOKUP(S1513,打分卡!$F$8:$J$8,打分卡!$K$8:$O$8),1)</f>
        <v>1</v>
      </c>
      <c r="AE1513" s="42">
        <f>IFERROR(LOOKUP(T1513,打分卡!$F$9:$I$9,打分卡!$K$9:$N$9),1)</f>
        <v>1</v>
      </c>
      <c r="AF1513" s="42">
        <f>IFERROR(LOOKUP(Q1513,打分卡!$F$10:$J$10,打分卡!$K$10:$O$10),1)</f>
        <v>1</v>
      </c>
      <c r="AG1513" s="42">
        <f>IFERROR(LOOKUP(R1513,打分卡!$F$11:$J$11,打分卡!$K$11:$O$11),1)</f>
        <v>1</v>
      </c>
      <c r="AH1513" s="42">
        <f>IFERROR(LOOKUP(U1513,打分卡!$F$12:$J$12,打分卡!$K$12:$O$12),1)</f>
        <v>5</v>
      </c>
      <c r="AI1513" s="42">
        <f>IFERROR(LOOKUP(X1513,打分卡!$F$13:$J$13,打分卡!$K$13:$O$13),1)</f>
        <v>5</v>
      </c>
      <c r="AJ1513" s="42">
        <f>IFERROR(LOOKUP(Y1513,打分卡!$F$14:$J$14,打分卡!$K$14:$O$14),1)</f>
        <v>3</v>
      </c>
      <c r="AK1513" s="42">
        <f>IFERROR(LOOKUP(W1513,打分卡!$F$15:$J$15,打分卡!$K$15:$O$15),1)</f>
        <v>4</v>
      </c>
      <c r="AL1513" s="45">
        <f t="shared" si="185"/>
        <v>5</v>
      </c>
      <c r="AM1513" s="42">
        <f>IFERROR(LOOKUP(Z1513,打分卡!$F$17:$H$17,打分卡!$K$17:$M$17),1)</f>
        <v>1</v>
      </c>
      <c r="AN1513" s="46">
        <f>(打分卡!$D$7*AC1513+打分卡!$D$8*AD1513+打分卡!$D$9*AE1513)/5</f>
        <v>8</v>
      </c>
      <c r="AO1513" s="46">
        <f>(打分卡!$D$10*AF1513+打分卡!$D$11*AG1513)/5</f>
        <v>4</v>
      </c>
      <c r="AP1513" s="46">
        <f>(打分卡!$D$12*AH1513+打分卡!$D$13*AI1513+打分卡!$D$14*AJ1513+打分卡!$D$15*AK1513)/5</f>
        <v>26.8</v>
      </c>
      <c r="AQ1513" s="46">
        <f>(打分卡!$D$16*AL1513+打分卡!$D$17*AM1513)/5</f>
        <v>6.8</v>
      </c>
      <c r="AR1513" s="48">
        <f t="shared" si="186"/>
        <v>45.6</v>
      </c>
      <c r="AS1513" s="45" t="str">
        <f t="shared" si="187"/>
        <v>未激活</v>
      </c>
      <c r="AT1513" s="45" t="str">
        <f t="shared" si="188"/>
        <v/>
      </c>
      <c r="AU1513" s="45" t="str">
        <f t="shared" si="189"/>
        <v>唤醒：短信模板+首充补贴</v>
      </c>
    </row>
    <row r="1514" ht="15" customHeight="1" spans="1:47">
      <c r="A1514" s="30" t="s">
        <v>3889</v>
      </c>
      <c r="B1514" s="31" t="s">
        <v>3890</v>
      </c>
      <c r="C1514" s="31" t="s">
        <v>239</v>
      </c>
      <c r="D1514" s="31" t="s">
        <v>202</v>
      </c>
      <c r="E1514" s="31" t="s">
        <v>181</v>
      </c>
      <c r="F1514" s="30" t="s">
        <v>3891</v>
      </c>
      <c r="G1514" s="31">
        <v>36</v>
      </c>
      <c r="H1514" s="31" t="s">
        <v>3535</v>
      </c>
      <c r="I1514" s="31" t="s">
        <v>302</v>
      </c>
      <c r="J1514" s="33">
        <v>0</v>
      </c>
      <c r="K1514" s="33">
        <v>0</v>
      </c>
      <c r="L1514" s="33">
        <v>0</v>
      </c>
      <c r="M1514" s="33">
        <f t="shared" si="184"/>
        <v>0</v>
      </c>
      <c r="N1514" s="34">
        <f t="shared" si="190"/>
        <v>0</v>
      </c>
      <c r="O1514" s="35">
        <f>SUM($M$2:M1514)</f>
        <v>190743600</v>
      </c>
      <c r="P1514" s="34">
        <f t="shared" si="191"/>
        <v>1</v>
      </c>
      <c r="Q1514" s="37">
        <v>0</v>
      </c>
      <c r="R1514" s="31">
        <v>0</v>
      </c>
      <c r="S1514" s="31">
        <v>0</v>
      </c>
      <c r="T1514" s="31">
        <v>0</v>
      </c>
      <c r="U1514" s="37">
        <v>6.1</v>
      </c>
      <c r="V1514" s="31">
        <v>8</v>
      </c>
      <c r="W1514" s="31">
        <v>0</v>
      </c>
      <c r="X1514" s="38">
        <v>12</v>
      </c>
      <c r="Y1514" s="31">
        <v>0</v>
      </c>
      <c r="Z1514" s="31">
        <v>0</v>
      </c>
      <c r="AA1514" s="31" t="s">
        <v>212</v>
      </c>
      <c r="AB1514" s="31" t="s">
        <v>220</v>
      </c>
      <c r="AC1514" s="41">
        <f>IFERROR(LOOKUP(M1514,打分卡!$F$7:$J$7,打分卡!$K$7:$O$7),1)</f>
        <v>1</v>
      </c>
      <c r="AD1514" s="41">
        <f>IFERROR(LOOKUP(S1514,打分卡!$F$8:$J$8,打分卡!$K$8:$O$8),1)</f>
        <v>1</v>
      </c>
      <c r="AE1514" s="41">
        <f>IFERROR(LOOKUP(T1514,打分卡!$F$9:$I$9,打分卡!$K$9:$N$9),1)</f>
        <v>1</v>
      </c>
      <c r="AF1514" s="41">
        <f>IFERROR(LOOKUP(Q1514,打分卡!$F$10:$J$10,打分卡!$K$10:$O$10),1)</f>
        <v>1</v>
      </c>
      <c r="AG1514" s="41">
        <f>IFERROR(LOOKUP(R1514,打分卡!$F$11:$J$11,打分卡!$K$11:$O$11),1)</f>
        <v>1</v>
      </c>
      <c r="AH1514" s="41">
        <f>IFERROR(LOOKUP(U1514,打分卡!$F$12:$J$12,打分卡!$K$12:$O$12),1)</f>
        <v>2</v>
      </c>
      <c r="AI1514" s="41">
        <f>IFERROR(LOOKUP(X1514,打分卡!$F$13:$J$13,打分卡!$K$13:$O$13),1)</f>
        <v>1</v>
      </c>
      <c r="AJ1514" s="41">
        <f>IFERROR(LOOKUP(Y1514,打分卡!$F$14:$J$14,打分卡!$K$14:$O$14),1)</f>
        <v>1</v>
      </c>
      <c r="AK1514" s="41">
        <f>IFERROR(LOOKUP(W1514,打分卡!$F$15:$J$15,打分卡!$K$15:$O$15),1)</f>
        <v>1</v>
      </c>
      <c r="AL1514" s="43">
        <f t="shared" si="185"/>
        <v>1</v>
      </c>
      <c r="AM1514" s="41">
        <f>IFERROR(LOOKUP(Z1514,打分卡!$F$17:$H$17,打分卡!$K$17:$M$17),1)</f>
        <v>1</v>
      </c>
      <c r="AN1514" s="44">
        <f>(打分卡!$D$7*AC1514+打分卡!$D$8*AD1514+打分卡!$D$9*AE1514)/5</f>
        <v>8</v>
      </c>
      <c r="AO1514" s="44">
        <f>(打分卡!$D$10*AF1514+打分卡!$D$11*AG1514)/5</f>
        <v>4</v>
      </c>
      <c r="AP1514" s="44">
        <f>(打分卡!$D$12*AH1514+打分卡!$D$13*AI1514+打分卡!$D$14*AJ1514+打分卡!$D$15*AK1514)/5</f>
        <v>8.4</v>
      </c>
      <c r="AQ1514" s="44">
        <f>(打分卡!$D$16*AL1514+打分卡!$D$17*AM1514)/5</f>
        <v>2</v>
      </c>
      <c r="AR1514" s="47">
        <f t="shared" si="186"/>
        <v>22.4</v>
      </c>
      <c r="AS1514" s="43" t="str">
        <f t="shared" si="187"/>
        <v>未激活</v>
      </c>
      <c r="AT1514" s="43" t="str">
        <f t="shared" si="188"/>
        <v>连续下降-预警</v>
      </c>
      <c r="AU1514" s="43" t="str">
        <f t="shared" si="189"/>
        <v>唤醒：短信模板+首充补贴</v>
      </c>
    </row>
    <row r="1515" ht="15" customHeight="1" spans="1:47">
      <c r="A1515" s="20" t="s">
        <v>3892</v>
      </c>
      <c r="B1515" s="22" t="s">
        <v>3893</v>
      </c>
      <c r="C1515" s="22" t="s">
        <v>179</v>
      </c>
      <c r="D1515" s="22" t="s">
        <v>252</v>
      </c>
      <c r="E1515" s="22" t="s">
        <v>181</v>
      </c>
      <c r="F1515" s="20" t="s">
        <v>3894</v>
      </c>
      <c r="G1515" s="22">
        <v>29</v>
      </c>
      <c r="H1515" s="22" t="s">
        <v>3535</v>
      </c>
      <c r="I1515" s="22" t="s">
        <v>302</v>
      </c>
      <c r="J1515" s="36">
        <v>0</v>
      </c>
      <c r="K1515" s="36">
        <v>0</v>
      </c>
      <c r="L1515" s="36">
        <v>0</v>
      </c>
      <c r="M1515" s="36">
        <f t="shared" si="184"/>
        <v>0</v>
      </c>
      <c r="N1515" s="34">
        <f t="shared" si="190"/>
        <v>0</v>
      </c>
      <c r="O1515" s="35">
        <f>SUM($M$2:M1515)</f>
        <v>190743600</v>
      </c>
      <c r="P1515" s="34">
        <f t="shared" si="191"/>
        <v>1</v>
      </c>
      <c r="Q1515" s="39">
        <v>0</v>
      </c>
      <c r="R1515" s="22">
        <v>0</v>
      </c>
      <c r="S1515" s="22">
        <v>0</v>
      </c>
      <c r="T1515" s="22">
        <v>0</v>
      </c>
      <c r="U1515" s="39">
        <v>0.9</v>
      </c>
      <c r="V1515" s="22">
        <v>1</v>
      </c>
      <c r="W1515" s="22">
        <v>2</v>
      </c>
      <c r="X1515" s="40">
        <v>35</v>
      </c>
      <c r="Y1515" s="22">
        <v>0</v>
      </c>
      <c r="Z1515" s="22">
        <v>0</v>
      </c>
      <c r="AA1515" s="22" t="s">
        <v>212</v>
      </c>
      <c r="AB1515" s="22" t="s">
        <v>220</v>
      </c>
      <c r="AC1515" s="42">
        <f>IFERROR(LOOKUP(M1515,打分卡!$F$7:$J$7,打分卡!$K$7:$O$7),1)</f>
        <v>1</v>
      </c>
      <c r="AD1515" s="42">
        <f>IFERROR(LOOKUP(S1515,打分卡!$F$8:$J$8,打分卡!$K$8:$O$8),1)</f>
        <v>1</v>
      </c>
      <c r="AE1515" s="42">
        <f>IFERROR(LOOKUP(T1515,打分卡!$F$9:$I$9,打分卡!$K$9:$N$9),1)</f>
        <v>1</v>
      </c>
      <c r="AF1515" s="42">
        <f>IFERROR(LOOKUP(Q1515,打分卡!$F$10:$J$10,打分卡!$K$10:$O$10),1)</f>
        <v>1</v>
      </c>
      <c r="AG1515" s="42">
        <f>IFERROR(LOOKUP(R1515,打分卡!$F$11:$J$11,打分卡!$K$11:$O$11),1)</f>
        <v>1</v>
      </c>
      <c r="AH1515" s="42">
        <f>IFERROR(LOOKUP(U1515,打分卡!$F$12:$J$12,打分卡!$K$12:$O$12),1)</f>
        <v>1</v>
      </c>
      <c r="AI1515" s="42">
        <f>IFERROR(LOOKUP(X1515,打分卡!$F$13:$J$13,打分卡!$K$13:$O$13),1)</f>
        <v>2</v>
      </c>
      <c r="AJ1515" s="42">
        <f>IFERROR(LOOKUP(Y1515,打分卡!$F$14:$J$14,打分卡!$K$14:$O$14),1)</f>
        <v>1</v>
      </c>
      <c r="AK1515" s="42">
        <f>IFERROR(LOOKUP(W1515,打分卡!$F$15:$J$15,打分卡!$K$15:$O$15),1)</f>
        <v>2</v>
      </c>
      <c r="AL1515" s="45">
        <f t="shared" si="185"/>
        <v>1</v>
      </c>
      <c r="AM1515" s="42">
        <f>IFERROR(LOOKUP(Z1515,打分卡!$F$17:$H$17,打分卡!$K$17:$M$17),1)</f>
        <v>1</v>
      </c>
      <c r="AN1515" s="46">
        <f>(打分卡!$D$7*AC1515+打分卡!$D$8*AD1515+打分卡!$D$9*AE1515)/5</f>
        <v>8</v>
      </c>
      <c r="AO1515" s="46">
        <f>(打分卡!$D$10*AF1515+打分卡!$D$11*AG1515)/5</f>
        <v>4</v>
      </c>
      <c r="AP1515" s="46">
        <f>(打分卡!$D$12*AH1515+打分卡!$D$13*AI1515+打分卡!$D$14*AJ1515+打分卡!$D$15*AK1515)/5</f>
        <v>8.4</v>
      </c>
      <c r="AQ1515" s="46">
        <f>(打分卡!$D$16*AL1515+打分卡!$D$17*AM1515)/5</f>
        <v>2</v>
      </c>
      <c r="AR1515" s="48">
        <f t="shared" si="186"/>
        <v>22.4</v>
      </c>
      <c r="AS1515" s="45" t="str">
        <f t="shared" si="187"/>
        <v>未激活</v>
      </c>
      <c r="AT1515" s="45" t="str">
        <f t="shared" si="188"/>
        <v>连续下降-预警</v>
      </c>
      <c r="AU1515" s="45" t="str">
        <f t="shared" si="189"/>
        <v>唤醒：短信模板+首充补贴</v>
      </c>
    </row>
    <row r="1516" ht="15" customHeight="1" spans="1:47">
      <c r="A1516" s="30" t="s">
        <v>3895</v>
      </c>
      <c r="B1516" s="31" t="s">
        <v>3896</v>
      </c>
      <c r="C1516" s="31" t="s">
        <v>195</v>
      </c>
      <c r="D1516" s="31" t="s">
        <v>202</v>
      </c>
      <c r="E1516" s="31" t="s">
        <v>181</v>
      </c>
      <c r="F1516" s="30" t="s">
        <v>3897</v>
      </c>
      <c r="G1516" s="31">
        <v>29</v>
      </c>
      <c r="H1516" s="31" t="s">
        <v>3535</v>
      </c>
      <c r="I1516" s="31" t="s">
        <v>302</v>
      </c>
      <c r="J1516" s="33">
        <v>0</v>
      </c>
      <c r="K1516" s="33">
        <v>0</v>
      </c>
      <c r="L1516" s="33">
        <v>0</v>
      </c>
      <c r="M1516" s="33">
        <f t="shared" si="184"/>
        <v>0</v>
      </c>
      <c r="N1516" s="34">
        <f t="shared" si="190"/>
        <v>0</v>
      </c>
      <c r="O1516" s="35">
        <f>SUM($M$2:M1516)</f>
        <v>190743600</v>
      </c>
      <c r="P1516" s="34">
        <f t="shared" si="191"/>
        <v>1</v>
      </c>
      <c r="Q1516" s="37">
        <v>0</v>
      </c>
      <c r="R1516" s="31">
        <v>0</v>
      </c>
      <c r="S1516" s="31">
        <v>0</v>
      </c>
      <c r="T1516" s="31">
        <v>0</v>
      </c>
      <c r="U1516" s="37">
        <v>25.4</v>
      </c>
      <c r="V1516" s="31">
        <v>10</v>
      </c>
      <c r="W1516" s="31">
        <v>2</v>
      </c>
      <c r="X1516" s="38">
        <v>20</v>
      </c>
      <c r="Y1516" s="31">
        <v>0</v>
      </c>
      <c r="Z1516" s="31">
        <v>0</v>
      </c>
      <c r="AA1516" s="31" t="s">
        <v>212</v>
      </c>
      <c r="AB1516" s="31" t="s">
        <v>220</v>
      </c>
      <c r="AC1516" s="41">
        <f>IFERROR(LOOKUP(M1516,打分卡!$F$7:$J$7,打分卡!$K$7:$O$7),1)</f>
        <v>1</v>
      </c>
      <c r="AD1516" s="41">
        <f>IFERROR(LOOKUP(S1516,打分卡!$F$8:$J$8,打分卡!$K$8:$O$8),1)</f>
        <v>1</v>
      </c>
      <c r="AE1516" s="41">
        <f>IFERROR(LOOKUP(T1516,打分卡!$F$9:$I$9,打分卡!$K$9:$N$9),1)</f>
        <v>1</v>
      </c>
      <c r="AF1516" s="41">
        <f>IFERROR(LOOKUP(Q1516,打分卡!$F$10:$J$10,打分卡!$K$10:$O$10),1)</f>
        <v>1</v>
      </c>
      <c r="AG1516" s="41">
        <f>IFERROR(LOOKUP(R1516,打分卡!$F$11:$J$11,打分卡!$K$11:$O$11),1)</f>
        <v>1</v>
      </c>
      <c r="AH1516" s="41">
        <f>IFERROR(LOOKUP(U1516,打分卡!$F$12:$J$12,打分卡!$K$12:$O$12),1)</f>
        <v>3</v>
      </c>
      <c r="AI1516" s="41">
        <f>IFERROR(LOOKUP(X1516,打分卡!$F$13:$J$13,打分卡!$K$13:$O$13),1)</f>
        <v>2</v>
      </c>
      <c r="AJ1516" s="41">
        <f>IFERROR(LOOKUP(Y1516,打分卡!$F$14:$J$14,打分卡!$K$14:$O$14),1)</f>
        <v>1</v>
      </c>
      <c r="AK1516" s="41">
        <f>IFERROR(LOOKUP(W1516,打分卡!$F$15:$J$15,打分卡!$K$15:$O$15),1)</f>
        <v>2</v>
      </c>
      <c r="AL1516" s="43">
        <f t="shared" si="185"/>
        <v>1</v>
      </c>
      <c r="AM1516" s="41">
        <f>IFERROR(LOOKUP(Z1516,打分卡!$F$17:$H$17,打分卡!$K$17:$M$17),1)</f>
        <v>1</v>
      </c>
      <c r="AN1516" s="44">
        <f>(打分卡!$D$7*AC1516+打分卡!$D$8*AD1516+打分卡!$D$9*AE1516)/5</f>
        <v>8</v>
      </c>
      <c r="AO1516" s="44">
        <f>(打分卡!$D$10*AF1516+打分卡!$D$11*AG1516)/5</f>
        <v>4</v>
      </c>
      <c r="AP1516" s="44">
        <f>(打分卡!$D$12*AH1516+打分卡!$D$13*AI1516+打分卡!$D$14*AJ1516+打分卡!$D$15*AK1516)/5</f>
        <v>13.2</v>
      </c>
      <c r="AQ1516" s="44">
        <f>(打分卡!$D$16*AL1516+打分卡!$D$17*AM1516)/5</f>
        <v>2</v>
      </c>
      <c r="AR1516" s="47">
        <f t="shared" si="186"/>
        <v>27.2</v>
      </c>
      <c r="AS1516" s="43" t="str">
        <f t="shared" si="187"/>
        <v>未激活</v>
      </c>
      <c r="AT1516" s="43" t="str">
        <f t="shared" si="188"/>
        <v>连续下降-预警</v>
      </c>
      <c r="AU1516" s="43" t="str">
        <f t="shared" si="189"/>
        <v>唤醒：短信模板+首充补贴</v>
      </c>
    </row>
    <row r="1517" ht="15" customHeight="1" spans="1:47">
      <c r="A1517" s="20" t="s">
        <v>3898</v>
      </c>
      <c r="B1517" s="22" t="s">
        <v>3899</v>
      </c>
      <c r="C1517" s="22" t="s">
        <v>218</v>
      </c>
      <c r="D1517" s="22" t="s">
        <v>202</v>
      </c>
      <c r="E1517" s="22" t="s">
        <v>181</v>
      </c>
      <c r="F1517" s="20" t="s">
        <v>2397</v>
      </c>
      <c r="G1517" s="22">
        <v>13</v>
      </c>
      <c r="H1517" s="22" t="s">
        <v>3535</v>
      </c>
      <c r="I1517" s="22" t="s">
        <v>302</v>
      </c>
      <c r="J1517" s="36">
        <v>0</v>
      </c>
      <c r="K1517" s="36">
        <v>0</v>
      </c>
      <c r="L1517" s="36">
        <v>0</v>
      </c>
      <c r="M1517" s="36">
        <f t="shared" si="184"/>
        <v>0</v>
      </c>
      <c r="N1517" s="34">
        <f t="shared" si="190"/>
        <v>0</v>
      </c>
      <c r="O1517" s="35">
        <f>SUM($M$2:M1517)</f>
        <v>190743600</v>
      </c>
      <c r="P1517" s="34">
        <f t="shared" si="191"/>
        <v>1</v>
      </c>
      <c r="Q1517" s="39">
        <v>0</v>
      </c>
      <c r="R1517" s="22">
        <v>0</v>
      </c>
      <c r="S1517" s="22">
        <v>0</v>
      </c>
      <c r="T1517" s="22">
        <v>0</v>
      </c>
      <c r="U1517" s="39">
        <v>29.3</v>
      </c>
      <c r="V1517" s="22">
        <v>11</v>
      </c>
      <c r="W1517" s="22">
        <v>0</v>
      </c>
      <c r="X1517" s="40">
        <v>11</v>
      </c>
      <c r="Y1517" s="22">
        <v>1</v>
      </c>
      <c r="Z1517" s="22">
        <v>0</v>
      </c>
      <c r="AA1517" s="22" t="s">
        <v>212</v>
      </c>
      <c r="AB1517" s="22" t="s">
        <v>220</v>
      </c>
      <c r="AC1517" s="42">
        <f>IFERROR(LOOKUP(M1517,打分卡!$F$7:$J$7,打分卡!$K$7:$O$7),1)</f>
        <v>1</v>
      </c>
      <c r="AD1517" s="42">
        <f>IFERROR(LOOKUP(S1517,打分卡!$F$8:$J$8,打分卡!$K$8:$O$8),1)</f>
        <v>1</v>
      </c>
      <c r="AE1517" s="42">
        <f>IFERROR(LOOKUP(T1517,打分卡!$F$9:$I$9,打分卡!$K$9:$N$9),1)</f>
        <v>1</v>
      </c>
      <c r="AF1517" s="42">
        <f>IFERROR(LOOKUP(Q1517,打分卡!$F$10:$J$10,打分卡!$K$10:$O$10),1)</f>
        <v>1</v>
      </c>
      <c r="AG1517" s="42">
        <f>IFERROR(LOOKUP(R1517,打分卡!$F$11:$J$11,打分卡!$K$11:$O$11),1)</f>
        <v>1</v>
      </c>
      <c r="AH1517" s="42">
        <f>IFERROR(LOOKUP(U1517,打分卡!$F$12:$J$12,打分卡!$K$12:$O$12),1)</f>
        <v>3</v>
      </c>
      <c r="AI1517" s="42">
        <f>IFERROR(LOOKUP(X1517,打分卡!$F$13:$J$13,打分卡!$K$13:$O$13),1)</f>
        <v>1</v>
      </c>
      <c r="AJ1517" s="42">
        <f>IFERROR(LOOKUP(Y1517,打分卡!$F$14:$J$14,打分卡!$K$14:$O$14),1)</f>
        <v>2</v>
      </c>
      <c r="AK1517" s="42">
        <f>IFERROR(LOOKUP(W1517,打分卡!$F$15:$J$15,打分卡!$K$15:$O$15),1)</f>
        <v>1</v>
      </c>
      <c r="AL1517" s="45">
        <f t="shared" si="185"/>
        <v>1</v>
      </c>
      <c r="AM1517" s="42">
        <f>IFERROR(LOOKUP(Z1517,打分卡!$F$17:$H$17,打分卡!$K$17:$M$17),1)</f>
        <v>1</v>
      </c>
      <c r="AN1517" s="46">
        <f>(打分卡!$D$7*AC1517+打分卡!$D$8*AD1517+打分卡!$D$9*AE1517)/5</f>
        <v>8</v>
      </c>
      <c r="AO1517" s="46">
        <f>(打分卡!$D$10*AF1517+打分卡!$D$11*AG1517)/5</f>
        <v>4</v>
      </c>
      <c r="AP1517" s="46">
        <f>(打分卡!$D$12*AH1517+打分卡!$D$13*AI1517+打分卡!$D$14*AJ1517+打分卡!$D$15*AK1517)/5</f>
        <v>12</v>
      </c>
      <c r="AQ1517" s="46">
        <f>(打分卡!$D$16*AL1517+打分卡!$D$17*AM1517)/5</f>
        <v>2</v>
      </c>
      <c r="AR1517" s="48">
        <f t="shared" si="186"/>
        <v>26</v>
      </c>
      <c r="AS1517" s="45" t="str">
        <f t="shared" si="187"/>
        <v>未激活</v>
      </c>
      <c r="AT1517" s="45" t="str">
        <f t="shared" si="188"/>
        <v>连续下降-预警</v>
      </c>
      <c r="AU1517" s="45" t="str">
        <f t="shared" si="189"/>
        <v>唤醒：短信模板+首充补贴</v>
      </c>
    </row>
    <row r="1518" ht="15" customHeight="1" spans="1:47">
      <c r="A1518" s="30" t="s">
        <v>3900</v>
      </c>
      <c r="B1518" s="31" t="s">
        <v>3901</v>
      </c>
      <c r="C1518" s="31" t="s">
        <v>239</v>
      </c>
      <c r="D1518" s="31" t="s">
        <v>190</v>
      </c>
      <c r="E1518" s="31" t="s">
        <v>197</v>
      </c>
      <c r="F1518" s="30" t="s">
        <v>3902</v>
      </c>
      <c r="G1518" s="31">
        <v>20</v>
      </c>
      <c r="H1518" s="31" t="s">
        <v>3535</v>
      </c>
      <c r="I1518" s="31" t="s">
        <v>302</v>
      </c>
      <c r="J1518" s="33">
        <v>0</v>
      </c>
      <c r="K1518" s="33">
        <v>0</v>
      </c>
      <c r="L1518" s="33">
        <v>0</v>
      </c>
      <c r="M1518" s="33">
        <f t="shared" si="184"/>
        <v>0</v>
      </c>
      <c r="N1518" s="34">
        <f t="shared" si="190"/>
        <v>0</v>
      </c>
      <c r="O1518" s="35">
        <f>SUM($M$2:M1518)</f>
        <v>190743600</v>
      </c>
      <c r="P1518" s="34">
        <f t="shared" si="191"/>
        <v>1</v>
      </c>
      <c r="Q1518" s="37">
        <v>0</v>
      </c>
      <c r="R1518" s="31">
        <v>0</v>
      </c>
      <c r="S1518" s="31">
        <v>0</v>
      </c>
      <c r="T1518" s="31">
        <v>0</v>
      </c>
      <c r="U1518" s="37">
        <v>35.6</v>
      </c>
      <c r="V1518" s="31">
        <v>8</v>
      </c>
      <c r="W1518" s="31">
        <v>2</v>
      </c>
      <c r="X1518" s="38">
        <v>53</v>
      </c>
      <c r="Y1518" s="31">
        <v>1</v>
      </c>
      <c r="Z1518" s="31">
        <v>0</v>
      </c>
      <c r="AA1518" s="31" t="s">
        <v>212</v>
      </c>
      <c r="AB1518" s="31" t="s">
        <v>220</v>
      </c>
      <c r="AC1518" s="41">
        <f>IFERROR(LOOKUP(M1518,打分卡!$F$7:$J$7,打分卡!$K$7:$O$7),1)</f>
        <v>1</v>
      </c>
      <c r="AD1518" s="41">
        <f>IFERROR(LOOKUP(S1518,打分卡!$F$8:$J$8,打分卡!$K$8:$O$8),1)</f>
        <v>1</v>
      </c>
      <c r="AE1518" s="41">
        <f>IFERROR(LOOKUP(T1518,打分卡!$F$9:$I$9,打分卡!$K$9:$N$9),1)</f>
        <v>1</v>
      </c>
      <c r="AF1518" s="41">
        <f>IFERROR(LOOKUP(Q1518,打分卡!$F$10:$J$10,打分卡!$K$10:$O$10),1)</f>
        <v>1</v>
      </c>
      <c r="AG1518" s="41">
        <f>IFERROR(LOOKUP(R1518,打分卡!$F$11:$J$11,打分卡!$K$11:$O$11),1)</f>
        <v>1</v>
      </c>
      <c r="AH1518" s="41">
        <f>IFERROR(LOOKUP(U1518,打分卡!$F$12:$J$12,打分卡!$K$12:$O$12),1)</f>
        <v>4</v>
      </c>
      <c r="AI1518" s="41">
        <f>IFERROR(LOOKUP(X1518,打分卡!$F$13:$J$13,打分卡!$K$13:$O$13),1)</f>
        <v>3</v>
      </c>
      <c r="AJ1518" s="41">
        <f>IFERROR(LOOKUP(Y1518,打分卡!$F$14:$J$14,打分卡!$K$14:$O$14),1)</f>
        <v>2</v>
      </c>
      <c r="AK1518" s="41">
        <f>IFERROR(LOOKUP(W1518,打分卡!$F$15:$J$15,打分卡!$K$15:$O$15),1)</f>
        <v>2</v>
      </c>
      <c r="AL1518" s="43">
        <f t="shared" si="185"/>
        <v>1</v>
      </c>
      <c r="AM1518" s="41">
        <f>IFERROR(LOOKUP(Z1518,打分卡!$F$17:$H$17,打分卡!$K$17:$M$17),1)</f>
        <v>1</v>
      </c>
      <c r="AN1518" s="44">
        <f>(打分卡!$D$7*AC1518+打分卡!$D$8*AD1518+打分卡!$D$9*AE1518)/5</f>
        <v>8</v>
      </c>
      <c r="AO1518" s="44">
        <f>(打分卡!$D$10*AF1518+打分卡!$D$11*AG1518)/5</f>
        <v>4</v>
      </c>
      <c r="AP1518" s="44">
        <f>(打分卡!$D$12*AH1518+打分卡!$D$13*AI1518+打分卡!$D$14*AJ1518+打分卡!$D$15*AK1518)/5</f>
        <v>18.4</v>
      </c>
      <c r="AQ1518" s="44">
        <f>(打分卡!$D$16*AL1518+打分卡!$D$17*AM1518)/5</f>
        <v>2</v>
      </c>
      <c r="AR1518" s="47">
        <f t="shared" si="186"/>
        <v>32.4</v>
      </c>
      <c r="AS1518" s="43" t="str">
        <f t="shared" si="187"/>
        <v>未激活</v>
      </c>
      <c r="AT1518" s="43" t="str">
        <f t="shared" si="188"/>
        <v>连续下降-预警</v>
      </c>
      <c r="AU1518" s="43" t="str">
        <f t="shared" si="189"/>
        <v>唤醒：短信模板+首充补贴</v>
      </c>
    </row>
    <row r="1519" ht="15" customHeight="1" spans="1:47">
      <c r="A1519" s="20" t="s">
        <v>3903</v>
      </c>
      <c r="B1519" s="22" t="s">
        <v>3904</v>
      </c>
      <c r="C1519" s="22" t="s">
        <v>189</v>
      </c>
      <c r="D1519" s="22" t="s">
        <v>196</v>
      </c>
      <c r="E1519" s="22" t="s">
        <v>181</v>
      </c>
      <c r="F1519" s="20" t="s">
        <v>3905</v>
      </c>
      <c r="G1519" s="22">
        <v>32</v>
      </c>
      <c r="H1519" s="22" t="s">
        <v>3535</v>
      </c>
      <c r="I1519" s="22" t="s">
        <v>302</v>
      </c>
      <c r="J1519" s="36">
        <v>0</v>
      </c>
      <c r="K1519" s="36">
        <v>0</v>
      </c>
      <c r="L1519" s="36">
        <v>0</v>
      </c>
      <c r="M1519" s="36">
        <f t="shared" si="184"/>
        <v>0</v>
      </c>
      <c r="N1519" s="34">
        <f t="shared" si="190"/>
        <v>0</v>
      </c>
      <c r="O1519" s="35">
        <f>SUM($M$2:M1519)</f>
        <v>190743600</v>
      </c>
      <c r="P1519" s="34">
        <f t="shared" si="191"/>
        <v>1</v>
      </c>
      <c r="Q1519" s="39">
        <v>0</v>
      </c>
      <c r="R1519" s="22">
        <v>0</v>
      </c>
      <c r="S1519" s="22">
        <v>0</v>
      </c>
      <c r="T1519" s="22">
        <v>0</v>
      </c>
      <c r="U1519" s="39">
        <v>19.5</v>
      </c>
      <c r="V1519" s="22">
        <v>3</v>
      </c>
      <c r="W1519" s="22">
        <v>1</v>
      </c>
      <c r="X1519" s="40">
        <v>71</v>
      </c>
      <c r="Y1519" s="22">
        <v>1</v>
      </c>
      <c r="Z1519" s="22">
        <v>0</v>
      </c>
      <c r="AA1519" s="22" t="s">
        <v>212</v>
      </c>
      <c r="AB1519" s="22" t="s">
        <v>220</v>
      </c>
      <c r="AC1519" s="42">
        <f>IFERROR(LOOKUP(M1519,打分卡!$F$7:$J$7,打分卡!$K$7:$O$7),1)</f>
        <v>1</v>
      </c>
      <c r="AD1519" s="42">
        <f>IFERROR(LOOKUP(S1519,打分卡!$F$8:$J$8,打分卡!$K$8:$O$8),1)</f>
        <v>1</v>
      </c>
      <c r="AE1519" s="42">
        <f>IFERROR(LOOKUP(T1519,打分卡!$F$9:$I$9,打分卡!$K$9:$N$9),1)</f>
        <v>1</v>
      </c>
      <c r="AF1519" s="42">
        <f>IFERROR(LOOKUP(Q1519,打分卡!$F$10:$J$10,打分卡!$K$10:$O$10),1)</f>
        <v>1</v>
      </c>
      <c r="AG1519" s="42">
        <f>IFERROR(LOOKUP(R1519,打分卡!$F$11:$J$11,打分卡!$K$11:$O$11),1)</f>
        <v>1</v>
      </c>
      <c r="AH1519" s="42">
        <f>IFERROR(LOOKUP(U1519,打分卡!$F$12:$J$12,打分卡!$K$12:$O$12),1)</f>
        <v>3</v>
      </c>
      <c r="AI1519" s="42">
        <f>IFERROR(LOOKUP(X1519,打分卡!$F$13:$J$13,打分卡!$K$13:$O$13),1)</f>
        <v>3</v>
      </c>
      <c r="AJ1519" s="42">
        <f>IFERROR(LOOKUP(Y1519,打分卡!$F$14:$J$14,打分卡!$K$14:$O$14),1)</f>
        <v>2</v>
      </c>
      <c r="AK1519" s="42">
        <f>IFERROR(LOOKUP(W1519,打分卡!$F$15:$J$15,打分卡!$K$15:$O$15),1)</f>
        <v>2</v>
      </c>
      <c r="AL1519" s="45">
        <f t="shared" si="185"/>
        <v>1</v>
      </c>
      <c r="AM1519" s="42">
        <f>IFERROR(LOOKUP(Z1519,打分卡!$F$17:$H$17,打分卡!$K$17:$M$17),1)</f>
        <v>1</v>
      </c>
      <c r="AN1519" s="46">
        <f>(打分卡!$D$7*AC1519+打分卡!$D$8*AD1519+打分卡!$D$9*AE1519)/5</f>
        <v>8</v>
      </c>
      <c r="AO1519" s="46">
        <f>(打分卡!$D$10*AF1519+打分卡!$D$11*AG1519)/5</f>
        <v>4</v>
      </c>
      <c r="AP1519" s="46">
        <f>(打分卡!$D$12*AH1519+打分卡!$D$13*AI1519+打分卡!$D$14*AJ1519+打分卡!$D$15*AK1519)/5</f>
        <v>16</v>
      </c>
      <c r="AQ1519" s="46">
        <f>(打分卡!$D$16*AL1519+打分卡!$D$17*AM1519)/5</f>
        <v>2</v>
      </c>
      <c r="AR1519" s="48">
        <f t="shared" si="186"/>
        <v>30</v>
      </c>
      <c r="AS1519" s="45" t="str">
        <f t="shared" si="187"/>
        <v>未激活</v>
      </c>
      <c r="AT1519" s="45" t="str">
        <f t="shared" si="188"/>
        <v>连续下降-预警</v>
      </c>
      <c r="AU1519" s="45" t="str">
        <f t="shared" si="189"/>
        <v>唤醒：短信模板+首充补贴</v>
      </c>
    </row>
    <row r="1520" ht="15" customHeight="1" spans="1:47">
      <c r="A1520" s="30" t="s">
        <v>3906</v>
      </c>
      <c r="B1520" s="31" t="s">
        <v>3907</v>
      </c>
      <c r="C1520" s="31" t="s">
        <v>189</v>
      </c>
      <c r="D1520" s="31" t="s">
        <v>202</v>
      </c>
      <c r="E1520" s="31" t="s">
        <v>181</v>
      </c>
      <c r="F1520" s="30" t="s">
        <v>1175</v>
      </c>
      <c r="G1520" s="31">
        <v>15</v>
      </c>
      <c r="H1520" s="31" t="s">
        <v>3535</v>
      </c>
      <c r="I1520" s="31" t="s">
        <v>302</v>
      </c>
      <c r="J1520" s="33">
        <v>0</v>
      </c>
      <c r="K1520" s="33">
        <v>0</v>
      </c>
      <c r="L1520" s="33">
        <v>0</v>
      </c>
      <c r="M1520" s="33">
        <f t="shared" si="184"/>
        <v>0</v>
      </c>
      <c r="N1520" s="34">
        <f t="shared" si="190"/>
        <v>0</v>
      </c>
      <c r="O1520" s="35">
        <f>SUM($M$2:M1520)</f>
        <v>190743600</v>
      </c>
      <c r="P1520" s="34">
        <f t="shared" si="191"/>
        <v>1</v>
      </c>
      <c r="Q1520" s="37">
        <v>0</v>
      </c>
      <c r="R1520" s="31">
        <v>0</v>
      </c>
      <c r="S1520" s="31">
        <v>0</v>
      </c>
      <c r="T1520" s="31">
        <v>0</v>
      </c>
      <c r="U1520" s="37">
        <v>2.9</v>
      </c>
      <c r="V1520" s="31">
        <v>4</v>
      </c>
      <c r="W1520" s="31">
        <v>2</v>
      </c>
      <c r="X1520" s="38">
        <v>12</v>
      </c>
      <c r="Y1520" s="31">
        <v>1</v>
      </c>
      <c r="Z1520" s="31">
        <v>0</v>
      </c>
      <c r="AA1520" s="31" t="s">
        <v>212</v>
      </c>
      <c r="AB1520" s="31" t="s">
        <v>220</v>
      </c>
      <c r="AC1520" s="41">
        <f>IFERROR(LOOKUP(M1520,打分卡!$F$7:$J$7,打分卡!$K$7:$O$7),1)</f>
        <v>1</v>
      </c>
      <c r="AD1520" s="41">
        <f>IFERROR(LOOKUP(S1520,打分卡!$F$8:$J$8,打分卡!$K$8:$O$8),1)</f>
        <v>1</v>
      </c>
      <c r="AE1520" s="41">
        <f>IFERROR(LOOKUP(T1520,打分卡!$F$9:$I$9,打分卡!$K$9:$N$9),1)</f>
        <v>1</v>
      </c>
      <c r="AF1520" s="41">
        <f>IFERROR(LOOKUP(Q1520,打分卡!$F$10:$J$10,打分卡!$K$10:$O$10),1)</f>
        <v>1</v>
      </c>
      <c r="AG1520" s="41">
        <f>IFERROR(LOOKUP(R1520,打分卡!$F$11:$J$11,打分卡!$K$11:$O$11),1)</f>
        <v>1</v>
      </c>
      <c r="AH1520" s="41">
        <f>IFERROR(LOOKUP(U1520,打分卡!$F$12:$J$12,打分卡!$K$12:$O$12),1)</f>
        <v>2</v>
      </c>
      <c r="AI1520" s="41">
        <f>IFERROR(LOOKUP(X1520,打分卡!$F$13:$J$13,打分卡!$K$13:$O$13),1)</f>
        <v>1</v>
      </c>
      <c r="AJ1520" s="41">
        <f>IFERROR(LOOKUP(Y1520,打分卡!$F$14:$J$14,打分卡!$K$14:$O$14),1)</f>
        <v>2</v>
      </c>
      <c r="AK1520" s="41">
        <f>IFERROR(LOOKUP(W1520,打分卡!$F$15:$J$15,打分卡!$K$15:$O$15),1)</f>
        <v>2</v>
      </c>
      <c r="AL1520" s="43">
        <f t="shared" si="185"/>
        <v>1</v>
      </c>
      <c r="AM1520" s="41">
        <f>IFERROR(LOOKUP(Z1520,打分卡!$F$17:$H$17,打分卡!$K$17:$M$17),1)</f>
        <v>1</v>
      </c>
      <c r="AN1520" s="44">
        <f>(打分卡!$D$7*AC1520+打分卡!$D$8*AD1520+打分卡!$D$9*AE1520)/5</f>
        <v>8</v>
      </c>
      <c r="AO1520" s="44">
        <f>(打分卡!$D$10*AF1520+打分卡!$D$11*AG1520)/5</f>
        <v>4</v>
      </c>
      <c r="AP1520" s="44">
        <f>(打分卡!$D$12*AH1520+打分卡!$D$13*AI1520+打分卡!$D$14*AJ1520+打分卡!$D$15*AK1520)/5</f>
        <v>10.4</v>
      </c>
      <c r="AQ1520" s="44">
        <f>(打分卡!$D$16*AL1520+打分卡!$D$17*AM1520)/5</f>
        <v>2</v>
      </c>
      <c r="AR1520" s="47">
        <f t="shared" si="186"/>
        <v>24.4</v>
      </c>
      <c r="AS1520" s="43" t="str">
        <f t="shared" si="187"/>
        <v>未激活</v>
      </c>
      <c r="AT1520" s="43" t="str">
        <f t="shared" si="188"/>
        <v>连续下降-预警</v>
      </c>
      <c r="AU1520" s="43" t="str">
        <f t="shared" si="189"/>
        <v>唤醒：短信模板+首充补贴</v>
      </c>
    </row>
    <row r="1521" ht="15" customHeight="1" spans="1:47">
      <c r="A1521" s="20" t="s">
        <v>3908</v>
      </c>
      <c r="B1521" s="22" t="s">
        <v>3909</v>
      </c>
      <c r="C1521" s="22" t="s">
        <v>223</v>
      </c>
      <c r="D1521" s="22" t="s">
        <v>235</v>
      </c>
      <c r="E1521" s="22" t="s">
        <v>181</v>
      </c>
      <c r="F1521" s="20" t="s">
        <v>3910</v>
      </c>
      <c r="G1521" s="22">
        <v>23</v>
      </c>
      <c r="H1521" s="22" t="s">
        <v>3535</v>
      </c>
      <c r="I1521" s="22" t="s">
        <v>302</v>
      </c>
      <c r="J1521" s="36">
        <v>0</v>
      </c>
      <c r="K1521" s="36">
        <v>0</v>
      </c>
      <c r="L1521" s="36">
        <v>0</v>
      </c>
      <c r="M1521" s="36">
        <f t="shared" si="184"/>
        <v>0</v>
      </c>
      <c r="N1521" s="34">
        <f t="shared" si="190"/>
        <v>0</v>
      </c>
      <c r="O1521" s="35">
        <f>SUM($M$2:M1521)</f>
        <v>190743600</v>
      </c>
      <c r="P1521" s="34">
        <f t="shared" si="191"/>
        <v>1</v>
      </c>
      <c r="Q1521" s="39">
        <v>0</v>
      </c>
      <c r="R1521" s="22">
        <v>0</v>
      </c>
      <c r="S1521" s="22">
        <v>0</v>
      </c>
      <c r="T1521" s="22">
        <v>0</v>
      </c>
      <c r="U1521" s="39">
        <v>24.5</v>
      </c>
      <c r="V1521" s="22">
        <v>9</v>
      </c>
      <c r="W1521" s="22">
        <v>0</v>
      </c>
      <c r="X1521" s="40">
        <v>42</v>
      </c>
      <c r="Y1521" s="22">
        <v>1</v>
      </c>
      <c r="Z1521" s="22">
        <v>0</v>
      </c>
      <c r="AA1521" s="22" t="s">
        <v>212</v>
      </c>
      <c r="AB1521" s="22" t="s">
        <v>220</v>
      </c>
      <c r="AC1521" s="42">
        <f>IFERROR(LOOKUP(M1521,打分卡!$F$7:$J$7,打分卡!$K$7:$O$7),1)</f>
        <v>1</v>
      </c>
      <c r="AD1521" s="42">
        <f>IFERROR(LOOKUP(S1521,打分卡!$F$8:$J$8,打分卡!$K$8:$O$8),1)</f>
        <v>1</v>
      </c>
      <c r="AE1521" s="42">
        <f>IFERROR(LOOKUP(T1521,打分卡!$F$9:$I$9,打分卡!$K$9:$N$9),1)</f>
        <v>1</v>
      </c>
      <c r="AF1521" s="42">
        <f>IFERROR(LOOKUP(Q1521,打分卡!$F$10:$J$10,打分卡!$K$10:$O$10),1)</f>
        <v>1</v>
      </c>
      <c r="AG1521" s="42">
        <f>IFERROR(LOOKUP(R1521,打分卡!$F$11:$J$11,打分卡!$K$11:$O$11),1)</f>
        <v>1</v>
      </c>
      <c r="AH1521" s="42">
        <f>IFERROR(LOOKUP(U1521,打分卡!$F$12:$J$12,打分卡!$K$12:$O$12),1)</f>
        <v>3</v>
      </c>
      <c r="AI1521" s="42">
        <f>IFERROR(LOOKUP(X1521,打分卡!$F$13:$J$13,打分卡!$K$13:$O$13),1)</f>
        <v>3</v>
      </c>
      <c r="AJ1521" s="42">
        <f>IFERROR(LOOKUP(Y1521,打分卡!$F$14:$J$14,打分卡!$K$14:$O$14),1)</f>
        <v>2</v>
      </c>
      <c r="AK1521" s="42">
        <f>IFERROR(LOOKUP(W1521,打分卡!$F$15:$J$15,打分卡!$K$15:$O$15),1)</f>
        <v>1</v>
      </c>
      <c r="AL1521" s="45">
        <f t="shared" si="185"/>
        <v>1</v>
      </c>
      <c r="AM1521" s="42">
        <f>IFERROR(LOOKUP(Z1521,打分卡!$F$17:$H$17,打分卡!$K$17:$M$17),1)</f>
        <v>1</v>
      </c>
      <c r="AN1521" s="46">
        <f>(打分卡!$D$7*AC1521+打分卡!$D$8*AD1521+打分卡!$D$9*AE1521)/5</f>
        <v>8</v>
      </c>
      <c r="AO1521" s="46">
        <f>(打分卡!$D$10*AF1521+打分卡!$D$11*AG1521)/5</f>
        <v>4</v>
      </c>
      <c r="AP1521" s="46">
        <f>(打分卡!$D$12*AH1521+打分卡!$D$13*AI1521+打分卡!$D$14*AJ1521+打分卡!$D$15*AK1521)/5</f>
        <v>15.2</v>
      </c>
      <c r="AQ1521" s="46">
        <f>(打分卡!$D$16*AL1521+打分卡!$D$17*AM1521)/5</f>
        <v>2</v>
      </c>
      <c r="AR1521" s="48">
        <f t="shared" si="186"/>
        <v>29.2</v>
      </c>
      <c r="AS1521" s="45" t="str">
        <f t="shared" si="187"/>
        <v>未激活</v>
      </c>
      <c r="AT1521" s="45" t="str">
        <f t="shared" si="188"/>
        <v>连续下降-预警</v>
      </c>
      <c r="AU1521" s="45" t="str">
        <f t="shared" si="189"/>
        <v>唤醒：短信模板+首充补贴</v>
      </c>
    </row>
    <row r="1522" ht="15" customHeight="1" spans="1:47">
      <c r="A1522" s="30" t="s">
        <v>3911</v>
      </c>
      <c r="B1522" s="31" t="s">
        <v>3912</v>
      </c>
      <c r="C1522" s="31" t="s">
        <v>218</v>
      </c>
      <c r="D1522" s="31" t="s">
        <v>180</v>
      </c>
      <c r="E1522" s="31" t="s">
        <v>197</v>
      </c>
      <c r="F1522" s="30" t="s">
        <v>3913</v>
      </c>
      <c r="G1522" s="31">
        <v>31</v>
      </c>
      <c r="H1522" s="31" t="s">
        <v>3535</v>
      </c>
      <c r="I1522" s="31" t="s">
        <v>302</v>
      </c>
      <c r="J1522" s="33">
        <v>0</v>
      </c>
      <c r="K1522" s="33">
        <v>0</v>
      </c>
      <c r="L1522" s="33">
        <v>0</v>
      </c>
      <c r="M1522" s="33">
        <f t="shared" si="184"/>
        <v>0</v>
      </c>
      <c r="N1522" s="34">
        <f t="shared" si="190"/>
        <v>0</v>
      </c>
      <c r="O1522" s="35">
        <f>SUM($M$2:M1522)</f>
        <v>190743600</v>
      </c>
      <c r="P1522" s="34">
        <f t="shared" si="191"/>
        <v>1</v>
      </c>
      <c r="Q1522" s="37">
        <v>0</v>
      </c>
      <c r="R1522" s="31">
        <v>0</v>
      </c>
      <c r="S1522" s="31">
        <v>0</v>
      </c>
      <c r="T1522" s="31">
        <v>0</v>
      </c>
      <c r="U1522" s="37">
        <v>19</v>
      </c>
      <c r="V1522" s="31">
        <v>12</v>
      </c>
      <c r="W1522" s="31">
        <v>1</v>
      </c>
      <c r="X1522" s="38">
        <v>55</v>
      </c>
      <c r="Y1522" s="31">
        <v>0</v>
      </c>
      <c r="Z1522" s="31">
        <v>0</v>
      </c>
      <c r="AA1522" s="31" t="s">
        <v>212</v>
      </c>
      <c r="AB1522" s="31" t="s">
        <v>220</v>
      </c>
      <c r="AC1522" s="41">
        <f>IFERROR(LOOKUP(M1522,打分卡!$F$7:$J$7,打分卡!$K$7:$O$7),1)</f>
        <v>1</v>
      </c>
      <c r="AD1522" s="41">
        <f>IFERROR(LOOKUP(S1522,打分卡!$F$8:$J$8,打分卡!$K$8:$O$8),1)</f>
        <v>1</v>
      </c>
      <c r="AE1522" s="41">
        <f>IFERROR(LOOKUP(T1522,打分卡!$F$9:$I$9,打分卡!$K$9:$N$9),1)</f>
        <v>1</v>
      </c>
      <c r="AF1522" s="41">
        <f>IFERROR(LOOKUP(Q1522,打分卡!$F$10:$J$10,打分卡!$K$10:$O$10),1)</f>
        <v>1</v>
      </c>
      <c r="AG1522" s="41">
        <f>IFERROR(LOOKUP(R1522,打分卡!$F$11:$J$11,打分卡!$K$11:$O$11),1)</f>
        <v>1</v>
      </c>
      <c r="AH1522" s="41">
        <f>IFERROR(LOOKUP(U1522,打分卡!$F$12:$J$12,打分卡!$K$12:$O$12),1)</f>
        <v>3</v>
      </c>
      <c r="AI1522" s="41">
        <f>IFERROR(LOOKUP(X1522,打分卡!$F$13:$J$13,打分卡!$K$13:$O$13),1)</f>
        <v>3</v>
      </c>
      <c r="AJ1522" s="41">
        <f>IFERROR(LOOKUP(Y1522,打分卡!$F$14:$J$14,打分卡!$K$14:$O$14),1)</f>
        <v>1</v>
      </c>
      <c r="AK1522" s="41">
        <f>IFERROR(LOOKUP(W1522,打分卡!$F$15:$J$15,打分卡!$K$15:$O$15),1)</f>
        <v>2</v>
      </c>
      <c r="AL1522" s="43">
        <f t="shared" si="185"/>
        <v>1</v>
      </c>
      <c r="AM1522" s="41">
        <f>IFERROR(LOOKUP(Z1522,打分卡!$F$17:$H$17,打分卡!$K$17:$M$17),1)</f>
        <v>1</v>
      </c>
      <c r="AN1522" s="44">
        <f>(打分卡!$D$7*AC1522+打分卡!$D$8*AD1522+打分卡!$D$9*AE1522)/5</f>
        <v>8</v>
      </c>
      <c r="AO1522" s="44">
        <f>(打分卡!$D$10*AF1522+打分卡!$D$11*AG1522)/5</f>
        <v>4</v>
      </c>
      <c r="AP1522" s="44">
        <f>(打分卡!$D$12*AH1522+打分卡!$D$13*AI1522+打分卡!$D$14*AJ1522+打分卡!$D$15*AK1522)/5</f>
        <v>14.8</v>
      </c>
      <c r="AQ1522" s="44">
        <f>(打分卡!$D$16*AL1522+打分卡!$D$17*AM1522)/5</f>
        <v>2</v>
      </c>
      <c r="AR1522" s="47">
        <f t="shared" si="186"/>
        <v>28.8</v>
      </c>
      <c r="AS1522" s="43" t="str">
        <f t="shared" si="187"/>
        <v>未激活</v>
      </c>
      <c r="AT1522" s="43" t="str">
        <f t="shared" si="188"/>
        <v>连续下降-预警</v>
      </c>
      <c r="AU1522" s="43" t="str">
        <f t="shared" si="189"/>
        <v>唤醒：短信模板+首充补贴</v>
      </c>
    </row>
    <row r="1523" ht="15" customHeight="1" spans="1:47">
      <c r="A1523" s="20" t="s">
        <v>3914</v>
      </c>
      <c r="B1523" s="22" t="s">
        <v>3915</v>
      </c>
      <c r="C1523" s="22" t="s">
        <v>195</v>
      </c>
      <c r="D1523" s="22" t="s">
        <v>196</v>
      </c>
      <c r="E1523" s="22" t="s">
        <v>197</v>
      </c>
      <c r="F1523" s="20" t="s">
        <v>3916</v>
      </c>
      <c r="G1523" s="22">
        <v>12</v>
      </c>
      <c r="H1523" s="22" t="s">
        <v>3535</v>
      </c>
      <c r="I1523" s="22" t="s">
        <v>302</v>
      </c>
      <c r="J1523" s="36">
        <v>0</v>
      </c>
      <c r="K1523" s="36">
        <v>0</v>
      </c>
      <c r="L1523" s="36">
        <v>0</v>
      </c>
      <c r="M1523" s="36">
        <f t="shared" si="184"/>
        <v>0</v>
      </c>
      <c r="N1523" s="34">
        <f t="shared" si="190"/>
        <v>0</v>
      </c>
      <c r="O1523" s="35">
        <f>SUM($M$2:M1523)</f>
        <v>190743600</v>
      </c>
      <c r="P1523" s="34">
        <f t="shared" si="191"/>
        <v>1</v>
      </c>
      <c r="Q1523" s="39">
        <v>0</v>
      </c>
      <c r="R1523" s="22">
        <v>0</v>
      </c>
      <c r="S1523" s="22">
        <v>0</v>
      </c>
      <c r="T1523" s="22">
        <v>0</v>
      </c>
      <c r="U1523" s="39">
        <v>28.5</v>
      </c>
      <c r="V1523" s="22">
        <v>2</v>
      </c>
      <c r="W1523" s="22">
        <v>1</v>
      </c>
      <c r="X1523" s="40">
        <v>19</v>
      </c>
      <c r="Y1523" s="22">
        <v>0</v>
      </c>
      <c r="Z1523" s="22">
        <v>0</v>
      </c>
      <c r="AA1523" s="22" t="s">
        <v>212</v>
      </c>
      <c r="AB1523" s="22" t="s">
        <v>220</v>
      </c>
      <c r="AC1523" s="42">
        <f>IFERROR(LOOKUP(M1523,打分卡!$F$7:$J$7,打分卡!$K$7:$O$7),1)</f>
        <v>1</v>
      </c>
      <c r="AD1523" s="42">
        <f>IFERROR(LOOKUP(S1523,打分卡!$F$8:$J$8,打分卡!$K$8:$O$8),1)</f>
        <v>1</v>
      </c>
      <c r="AE1523" s="42">
        <f>IFERROR(LOOKUP(T1523,打分卡!$F$9:$I$9,打分卡!$K$9:$N$9),1)</f>
        <v>1</v>
      </c>
      <c r="AF1523" s="42">
        <f>IFERROR(LOOKUP(Q1523,打分卡!$F$10:$J$10,打分卡!$K$10:$O$10),1)</f>
        <v>1</v>
      </c>
      <c r="AG1523" s="42">
        <f>IFERROR(LOOKUP(R1523,打分卡!$F$11:$J$11,打分卡!$K$11:$O$11),1)</f>
        <v>1</v>
      </c>
      <c r="AH1523" s="42">
        <f>IFERROR(LOOKUP(U1523,打分卡!$F$12:$J$12,打分卡!$K$12:$O$12),1)</f>
        <v>3</v>
      </c>
      <c r="AI1523" s="42">
        <f>IFERROR(LOOKUP(X1523,打分卡!$F$13:$J$13,打分卡!$K$13:$O$13),1)</f>
        <v>2</v>
      </c>
      <c r="AJ1523" s="42">
        <f>IFERROR(LOOKUP(Y1523,打分卡!$F$14:$J$14,打分卡!$K$14:$O$14),1)</f>
        <v>1</v>
      </c>
      <c r="AK1523" s="42">
        <f>IFERROR(LOOKUP(W1523,打分卡!$F$15:$J$15,打分卡!$K$15:$O$15),1)</f>
        <v>2</v>
      </c>
      <c r="AL1523" s="45">
        <f t="shared" si="185"/>
        <v>1</v>
      </c>
      <c r="AM1523" s="42">
        <f>IFERROR(LOOKUP(Z1523,打分卡!$F$17:$H$17,打分卡!$K$17:$M$17),1)</f>
        <v>1</v>
      </c>
      <c r="AN1523" s="46">
        <f>(打分卡!$D$7*AC1523+打分卡!$D$8*AD1523+打分卡!$D$9*AE1523)/5</f>
        <v>8</v>
      </c>
      <c r="AO1523" s="46">
        <f>(打分卡!$D$10*AF1523+打分卡!$D$11*AG1523)/5</f>
        <v>4</v>
      </c>
      <c r="AP1523" s="46">
        <f>(打分卡!$D$12*AH1523+打分卡!$D$13*AI1523+打分卡!$D$14*AJ1523+打分卡!$D$15*AK1523)/5</f>
        <v>13.2</v>
      </c>
      <c r="AQ1523" s="46">
        <f>(打分卡!$D$16*AL1523+打分卡!$D$17*AM1523)/5</f>
        <v>2</v>
      </c>
      <c r="AR1523" s="48">
        <f t="shared" si="186"/>
        <v>27.2</v>
      </c>
      <c r="AS1523" s="45" t="str">
        <f t="shared" si="187"/>
        <v>未激活</v>
      </c>
      <c r="AT1523" s="45" t="str">
        <f t="shared" si="188"/>
        <v>连续下降-预警</v>
      </c>
      <c r="AU1523" s="45" t="str">
        <f t="shared" si="189"/>
        <v>唤醒：短信模板+首充补贴</v>
      </c>
    </row>
    <row r="1524" ht="15" customHeight="1" spans="1:47">
      <c r="A1524" s="30" t="s">
        <v>3917</v>
      </c>
      <c r="B1524" s="31" t="s">
        <v>3918</v>
      </c>
      <c r="C1524" s="31" t="s">
        <v>189</v>
      </c>
      <c r="D1524" s="31" t="s">
        <v>196</v>
      </c>
      <c r="E1524" s="31" t="s">
        <v>181</v>
      </c>
      <c r="F1524" s="30" t="s">
        <v>3919</v>
      </c>
      <c r="G1524" s="31">
        <v>31</v>
      </c>
      <c r="H1524" s="31" t="s">
        <v>3535</v>
      </c>
      <c r="I1524" s="31" t="s">
        <v>302</v>
      </c>
      <c r="J1524" s="33">
        <v>0</v>
      </c>
      <c r="K1524" s="33">
        <v>0</v>
      </c>
      <c r="L1524" s="33">
        <v>0</v>
      </c>
      <c r="M1524" s="33">
        <f t="shared" si="184"/>
        <v>0</v>
      </c>
      <c r="N1524" s="34">
        <f t="shared" si="190"/>
        <v>0</v>
      </c>
      <c r="O1524" s="35">
        <f>SUM($M$2:M1524)</f>
        <v>190743600</v>
      </c>
      <c r="P1524" s="34">
        <f t="shared" si="191"/>
        <v>1</v>
      </c>
      <c r="Q1524" s="37">
        <v>0</v>
      </c>
      <c r="R1524" s="31">
        <v>0</v>
      </c>
      <c r="S1524" s="31">
        <v>0</v>
      </c>
      <c r="T1524" s="31">
        <v>0</v>
      </c>
      <c r="U1524" s="37">
        <v>1</v>
      </c>
      <c r="V1524" s="31">
        <v>9</v>
      </c>
      <c r="W1524" s="31">
        <v>2</v>
      </c>
      <c r="X1524" s="38">
        <v>31</v>
      </c>
      <c r="Y1524" s="31">
        <v>1</v>
      </c>
      <c r="Z1524" s="31">
        <v>0</v>
      </c>
      <c r="AA1524" s="31" t="s">
        <v>212</v>
      </c>
      <c r="AB1524" s="31" t="s">
        <v>220</v>
      </c>
      <c r="AC1524" s="41">
        <f>IFERROR(LOOKUP(M1524,打分卡!$F$7:$J$7,打分卡!$K$7:$O$7),1)</f>
        <v>1</v>
      </c>
      <c r="AD1524" s="41">
        <f>IFERROR(LOOKUP(S1524,打分卡!$F$8:$J$8,打分卡!$K$8:$O$8),1)</f>
        <v>1</v>
      </c>
      <c r="AE1524" s="41">
        <f>IFERROR(LOOKUP(T1524,打分卡!$F$9:$I$9,打分卡!$K$9:$N$9),1)</f>
        <v>1</v>
      </c>
      <c r="AF1524" s="41">
        <f>IFERROR(LOOKUP(Q1524,打分卡!$F$10:$J$10,打分卡!$K$10:$O$10),1)</f>
        <v>1</v>
      </c>
      <c r="AG1524" s="41">
        <f>IFERROR(LOOKUP(R1524,打分卡!$F$11:$J$11,打分卡!$K$11:$O$11),1)</f>
        <v>1</v>
      </c>
      <c r="AH1524" s="41">
        <f>IFERROR(LOOKUP(U1524,打分卡!$F$12:$J$12,打分卡!$K$12:$O$12),1)</f>
        <v>1</v>
      </c>
      <c r="AI1524" s="41">
        <f>IFERROR(LOOKUP(X1524,打分卡!$F$13:$J$13,打分卡!$K$13:$O$13),1)</f>
        <v>2</v>
      </c>
      <c r="AJ1524" s="41">
        <f>IFERROR(LOOKUP(Y1524,打分卡!$F$14:$J$14,打分卡!$K$14:$O$14),1)</f>
        <v>2</v>
      </c>
      <c r="AK1524" s="41">
        <f>IFERROR(LOOKUP(W1524,打分卡!$F$15:$J$15,打分卡!$K$15:$O$15),1)</f>
        <v>2</v>
      </c>
      <c r="AL1524" s="43">
        <f t="shared" si="185"/>
        <v>1</v>
      </c>
      <c r="AM1524" s="41">
        <f>IFERROR(LOOKUP(Z1524,打分卡!$F$17:$H$17,打分卡!$K$17:$M$17),1)</f>
        <v>1</v>
      </c>
      <c r="AN1524" s="44">
        <f>(打分卡!$D$7*AC1524+打分卡!$D$8*AD1524+打分卡!$D$9*AE1524)/5</f>
        <v>8</v>
      </c>
      <c r="AO1524" s="44">
        <f>(打分卡!$D$10*AF1524+打分卡!$D$11*AG1524)/5</f>
        <v>4</v>
      </c>
      <c r="AP1524" s="44">
        <f>(打分卡!$D$12*AH1524+打分卡!$D$13*AI1524+打分卡!$D$14*AJ1524+打分卡!$D$15*AK1524)/5</f>
        <v>9.6</v>
      </c>
      <c r="AQ1524" s="44">
        <f>(打分卡!$D$16*AL1524+打分卡!$D$17*AM1524)/5</f>
        <v>2</v>
      </c>
      <c r="AR1524" s="47">
        <f t="shared" si="186"/>
        <v>23.6</v>
      </c>
      <c r="AS1524" s="43" t="str">
        <f t="shared" si="187"/>
        <v>未激活</v>
      </c>
      <c r="AT1524" s="43" t="str">
        <f t="shared" si="188"/>
        <v>连续下降-预警</v>
      </c>
      <c r="AU1524" s="43" t="str">
        <f t="shared" si="189"/>
        <v>唤醒：短信模板+首充补贴</v>
      </c>
    </row>
    <row r="1525" ht="15" customHeight="1" spans="1:47">
      <c r="A1525" s="20" t="s">
        <v>3920</v>
      </c>
      <c r="B1525" s="22" t="s">
        <v>3921</v>
      </c>
      <c r="C1525" s="22" t="s">
        <v>223</v>
      </c>
      <c r="D1525" s="22" t="s">
        <v>190</v>
      </c>
      <c r="E1525" s="22" t="s">
        <v>197</v>
      </c>
      <c r="F1525" s="20" t="s">
        <v>3922</v>
      </c>
      <c r="G1525" s="22">
        <v>33</v>
      </c>
      <c r="H1525" s="22" t="s">
        <v>3535</v>
      </c>
      <c r="I1525" s="22" t="s">
        <v>302</v>
      </c>
      <c r="J1525" s="36">
        <v>0</v>
      </c>
      <c r="K1525" s="36">
        <v>0</v>
      </c>
      <c r="L1525" s="36">
        <v>0</v>
      </c>
      <c r="M1525" s="36">
        <f t="shared" si="184"/>
        <v>0</v>
      </c>
      <c r="N1525" s="34">
        <f t="shared" si="190"/>
        <v>0</v>
      </c>
      <c r="O1525" s="35">
        <f>SUM($M$2:M1525)</f>
        <v>190743600</v>
      </c>
      <c r="P1525" s="34">
        <f t="shared" si="191"/>
        <v>1</v>
      </c>
      <c r="Q1525" s="39">
        <v>0</v>
      </c>
      <c r="R1525" s="22">
        <v>0</v>
      </c>
      <c r="S1525" s="22">
        <v>0</v>
      </c>
      <c r="T1525" s="22">
        <v>0</v>
      </c>
      <c r="U1525" s="39">
        <v>0.8</v>
      </c>
      <c r="V1525" s="22">
        <v>0</v>
      </c>
      <c r="W1525" s="22">
        <v>2</v>
      </c>
      <c r="X1525" s="40">
        <v>6</v>
      </c>
      <c r="Y1525" s="22">
        <v>1</v>
      </c>
      <c r="Z1525" s="22">
        <v>0</v>
      </c>
      <c r="AA1525" s="22" t="s">
        <v>212</v>
      </c>
      <c r="AB1525" s="22" t="s">
        <v>220</v>
      </c>
      <c r="AC1525" s="42">
        <f>IFERROR(LOOKUP(M1525,打分卡!$F$7:$J$7,打分卡!$K$7:$O$7),1)</f>
        <v>1</v>
      </c>
      <c r="AD1525" s="42">
        <f>IFERROR(LOOKUP(S1525,打分卡!$F$8:$J$8,打分卡!$K$8:$O$8),1)</f>
        <v>1</v>
      </c>
      <c r="AE1525" s="42">
        <f>IFERROR(LOOKUP(T1525,打分卡!$F$9:$I$9,打分卡!$K$9:$N$9),1)</f>
        <v>1</v>
      </c>
      <c r="AF1525" s="42">
        <f>IFERROR(LOOKUP(Q1525,打分卡!$F$10:$J$10,打分卡!$K$10:$O$10),1)</f>
        <v>1</v>
      </c>
      <c r="AG1525" s="42">
        <f>IFERROR(LOOKUP(R1525,打分卡!$F$11:$J$11,打分卡!$K$11:$O$11),1)</f>
        <v>1</v>
      </c>
      <c r="AH1525" s="42">
        <f>IFERROR(LOOKUP(U1525,打分卡!$F$12:$J$12,打分卡!$K$12:$O$12),1)</f>
        <v>1</v>
      </c>
      <c r="AI1525" s="42">
        <f>IFERROR(LOOKUP(X1525,打分卡!$F$13:$J$13,打分卡!$K$13:$O$13),1)</f>
        <v>1</v>
      </c>
      <c r="AJ1525" s="42">
        <f>IFERROR(LOOKUP(Y1525,打分卡!$F$14:$J$14,打分卡!$K$14:$O$14),1)</f>
        <v>2</v>
      </c>
      <c r="AK1525" s="42">
        <f>IFERROR(LOOKUP(W1525,打分卡!$F$15:$J$15,打分卡!$K$15:$O$15),1)</f>
        <v>2</v>
      </c>
      <c r="AL1525" s="45">
        <f t="shared" si="185"/>
        <v>1</v>
      </c>
      <c r="AM1525" s="42">
        <f>IFERROR(LOOKUP(Z1525,打分卡!$F$17:$H$17,打分卡!$K$17:$M$17),1)</f>
        <v>1</v>
      </c>
      <c r="AN1525" s="46">
        <f>(打分卡!$D$7*AC1525+打分卡!$D$8*AD1525+打分卡!$D$9*AE1525)/5</f>
        <v>8</v>
      </c>
      <c r="AO1525" s="46">
        <f>(打分卡!$D$10*AF1525+打分卡!$D$11*AG1525)/5</f>
        <v>4</v>
      </c>
      <c r="AP1525" s="46">
        <f>(打分卡!$D$12*AH1525+打分卡!$D$13*AI1525+打分卡!$D$14*AJ1525+打分卡!$D$15*AK1525)/5</f>
        <v>8</v>
      </c>
      <c r="AQ1525" s="46">
        <f>(打分卡!$D$16*AL1525+打分卡!$D$17*AM1525)/5</f>
        <v>2</v>
      </c>
      <c r="AR1525" s="48">
        <f t="shared" si="186"/>
        <v>22</v>
      </c>
      <c r="AS1525" s="45" t="str">
        <f t="shared" si="187"/>
        <v>未激活</v>
      </c>
      <c r="AT1525" s="45" t="str">
        <f t="shared" si="188"/>
        <v>连续下降-预警</v>
      </c>
      <c r="AU1525" s="45" t="str">
        <f t="shared" si="189"/>
        <v>唤醒：短信模板+首充补贴</v>
      </c>
    </row>
    <row r="1526" ht="15" customHeight="1" spans="1:47">
      <c r="A1526" s="30" t="s">
        <v>3923</v>
      </c>
      <c r="B1526" s="31" t="s">
        <v>3924</v>
      </c>
      <c r="C1526" s="31" t="s">
        <v>234</v>
      </c>
      <c r="D1526" s="31" t="s">
        <v>196</v>
      </c>
      <c r="E1526" s="31" t="s">
        <v>181</v>
      </c>
      <c r="F1526" s="30" t="s">
        <v>3765</v>
      </c>
      <c r="G1526" s="31">
        <v>21</v>
      </c>
      <c r="H1526" s="31" t="s">
        <v>3535</v>
      </c>
      <c r="I1526" s="31" t="s">
        <v>302</v>
      </c>
      <c r="J1526" s="33">
        <v>0</v>
      </c>
      <c r="K1526" s="33">
        <v>0</v>
      </c>
      <c r="L1526" s="33">
        <v>0</v>
      </c>
      <c r="M1526" s="33">
        <f t="shared" si="184"/>
        <v>0</v>
      </c>
      <c r="N1526" s="34">
        <f t="shared" si="190"/>
        <v>0</v>
      </c>
      <c r="O1526" s="35">
        <f>SUM($M$2:M1526)</f>
        <v>190743600</v>
      </c>
      <c r="P1526" s="34">
        <f t="shared" si="191"/>
        <v>1</v>
      </c>
      <c r="Q1526" s="37">
        <v>0</v>
      </c>
      <c r="R1526" s="31">
        <v>0</v>
      </c>
      <c r="S1526" s="31">
        <v>0</v>
      </c>
      <c r="T1526" s="31">
        <v>0</v>
      </c>
      <c r="U1526" s="37">
        <v>28.1</v>
      </c>
      <c r="V1526" s="31">
        <v>2</v>
      </c>
      <c r="W1526" s="31">
        <v>0</v>
      </c>
      <c r="X1526" s="38">
        <v>9</v>
      </c>
      <c r="Y1526" s="31">
        <v>0</v>
      </c>
      <c r="Z1526" s="31">
        <v>0</v>
      </c>
      <c r="AA1526" s="31" t="s">
        <v>212</v>
      </c>
      <c r="AB1526" s="31" t="s">
        <v>220</v>
      </c>
      <c r="AC1526" s="41">
        <f>IFERROR(LOOKUP(M1526,打分卡!$F$7:$J$7,打分卡!$K$7:$O$7),1)</f>
        <v>1</v>
      </c>
      <c r="AD1526" s="41">
        <f>IFERROR(LOOKUP(S1526,打分卡!$F$8:$J$8,打分卡!$K$8:$O$8),1)</f>
        <v>1</v>
      </c>
      <c r="AE1526" s="41">
        <f>IFERROR(LOOKUP(T1526,打分卡!$F$9:$I$9,打分卡!$K$9:$N$9),1)</f>
        <v>1</v>
      </c>
      <c r="AF1526" s="41">
        <f>IFERROR(LOOKUP(Q1526,打分卡!$F$10:$J$10,打分卡!$K$10:$O$10),1)</f>
        <v>1</v>
      </c>
      <c r="AG1526" s="41">
        <f>IFERROR(LOOKUP(R1526,打分卡!$F$11:$J$11,打分卡!$K$11:$O$11),1)</f>
        <v>1</v>
      </c>
      <c r="AH1526" s="41">
        <f>IFERROR(LOOKUP(U1526,打分卡!$F$12:$J$12,打分卡!$K$12:$O$12),1)</f>
        <v>3</v>
      </c>
      <c r="AI1526" s="41">
        <f>IFERROR(LOOKUP(X1526,打分卡!$F$13:$J$13,打分卡!$K$13:$O$13),1)</f>
        <v>1</v>
      </c>
      <c r="AJ1526" s="41">
        <f>IFERROR(LOOKUP(Y1526,打分卡!$F$14:$J$14,打分卡!$K$14:$O$14),1)</f>
        <v>1</v>
      </c>
      <c r="AK1526" s="41">
        <f>IFERROR(LOOKUP(W1526,打分卡!$F$15:$J$15,打分卡!$K$15:$O$15),1)</f>
        <v>1</v>
      </c>
      <c r="AL1526" s="43">
        <f t="shared" si="185"/>
        <v>1</v>
      </c>
      <c r="AM1526" s="41">
        <f>IFERROR(LOOKUP(Z1526,打分卡!$F$17:$H$17,打分卡!$K$17:$M$17),1)</f>
        <v>1</v>
      </c>
      <c r="AN1526" s="44">
        <f>(打分卡!$D$7*AC1526+打分卡!$D$8*AD1526+打分卡!$D$9*AE1526)/5</f>
        <v>8</v>
      </c>
      <c r="AO1526" s="44">
        <f>(打分卡!$D$10*AF1526+打分卡!$D$11*AG1526)/5</f>
        <v>4</v>
      </c>
      <c r="AP1526" s="44">
        <f>(打分卡!$D$12*AH1526+打分卡!$D$13*AI1526+打分卡!$D$14*AJ1526+打分卡!$D$15*AK1526)/5</f>
        <v>10.8</v>
      </c>
      <c r="AQ1526" s="44">
        <f>(打分卡!$D$16*AL1526+打分卡!$D$17*AM1526)/5</f>
        <v>2</v>
      </c>
      <c r="AR1526" s="47">
        <f t="shared" si="186"/>
        <v>24.8</v>
      </c>
      <c r="AS1526" s="43" t="str">
        <f t="shared" si="187"/>
        <v>未激活</v>
      </c>
      <c r="AT1526" s="43" t="str">
        <f t="shared" si="188"/>
        <v>连续下降-预警</v>
      </c>
      <c r="AU1526" s="43" t="str">
        <f t="shared" si="189"/>
        <v>唤醒：短信模板+首充补贴</v>
      </c>
    </row>
    <row r="1527" ht="15" customHeight="1" spans="1:47">
      <c r="A1527" s="20" t="s">
        <v>3925</v>
      </c>
      <c r="B1527" s="22" t="s">
        <v>3926</v>
      </c>
      <c r="C1527" s="22" t="s">
        <v>218</v>
      </c>
      <c r="D1527" s="22" t="s">
        <v>227</v>
      </c>
      <c r="E1527" s="22" t="s">
        <v>181</v>
      </c>
      <c r="F1527" s="20" t="s">
        <v>3927</v>
      </c>
      <c r="G1527" s="22">
        <v>36</v>
      </c>
      <c r="H1527" s="22" t="s">
        <v>3535</v>
      </c>
      <c r="I1527" s="22" t="s">
        <v>302</v>
      </c>
      <c r="J1527" s="36">
        <v>0</v>
      </c>
      <c r="K1527" s="36">
        <v>0</v>
      </c>
      <c r="L1527" s="36">
        <v>0</v>
      </c>
      <c r="M1527" s="36">
        <f t="shared" si="184"/>
        <v>0</v>
      </c>
      <c r="N1527" s="34">
        <f t="shared" si="190"/>
        <v>0</v>
      </c>
      <c r="O1527" s="35">
        <f>SUM($M$2:M1527)</f>
        <v>190743600</v>
      </c>
      <c r="P1527" s="34">
        <f t="shared" si="191"/>
        <v>1</v>
      </c>
      <c r="Q1527" s="39">
        <v>0</v>
      </c>
      <c r="R1527" s="22">
        <v>0</v>
      </c>
      <c r="S1527" s="22">
        <v>0</v>
      </c>
      <c r="T1527" s="22">
        <v>0</v>
      </c>
      <c r="U1527" s="39">
        <v>1.6</v>
      </c>
      <c r="V1527" s="22">
        <v>9</v>
      </c>
      <c r="W1527" s="22">
        <v>0</v>
      </c>
      <c r="X1527" s="40">
        <v>76</v>
      </c>
      <c r="Y1527" s="22">
        <v>0</v>
      </c>
      <c r="Z1527" s="22">
        <v>0</v>
      </c>
      <c r="AA1527" s="22" t="s">
        <v>212</v>
      </c>
      <c r="AB1527" s="22" t="s">
        <v>220</v>
      </c>
      <c r="AC1527" s="42">
        <f>IFERROR(LOOKUP(M1527,打分卡!$F$7:$J$7,打分卡!$K$7:$O$7),1)</f>
        <v>1</v>
      </c>
      <c r="AD1527" s="42">
        <f>IFERROR(LOOKUP(S1527,打分卡!$F$8:$J$8,打分卡!$K$8:$O$8),1)</f>
        <v>1</v>
      </c>
      <c r="AE1527" s="42">
        <f>IFERROR(LOOKUP(T1527,打分卡!$F$9:$I$9,打分卡!$K$9:$N$9),1)</f>
        <v>1</v>
      </c>
      <c r="AF1527" s="42">
        <f>IFERROR(LOOKUP(Q1527,打分卡!$F$10:$J$10,打分卡!$K$10:$O$10),1)</f>
        <v>1</v>
      </c>
      <c r="AG1527" s="42">
        <f>IFERROR(LOOKUP(R1527,打分卡!$F$11:$J$11,打分卡!$K$11:$O$11),1)</f>
        <v>1</v>
      </c>
      <c r="AH1527" s="42">
        <f>IFERROR(LOOKUP(U1527,打分卡!$F$12:$J$12,打分卡!$K$12:$O$12),1)</f>
        <v>1</v>
      </c>
      <c r="AI1527" s="42">
        <f>IFERROR(LOOKUP(X1527,打分卡!$F$13:$J$13,打分卡!$K$13:$O$13),1)</f>
        <v>3</v>
      </c>
      <c r="AJ1527" s="42">
        <f>IFERROR(LOOKUP(Y1527,打分卡!$F$14:$J$14,打分卡!$K$14:$O$14),1)</f>
        <v>1</v>
      </c>
      <c r="AK1527" s="42">
        <f>IFERROR(LOOKUP(W1527,打分卡!$F$15:$J$15,打分卡!$K$15:$O$15),1)</f>
        <v>1</v>
      </c>
      <c r="AL1527" s="45">
        <f t="shared" si="185"/>
        <v>1</v>
      </c>
      <c r="AM1527" s="42">
        <f>IFERROR(LOOKUP(Z1527,打分卡!$F$17:$H$17,打分卡!$K$17:$M$17),1)</f>
        <v>1</v>
      </c>
      <c r="AN1527" s="46">
        <f>(打分卡!$D$7*AC1527+打分卡!$D$8*AD1527+打分卡!$D$9*AE1527)/5</f>
        <v>8</v>
      </c>
      <c r="AO1527" s="46">
        <f>(打分卡!$D$10*AF1527+打分卡!$D$11*AG1527)/5</f>
        <v>4</v>
      </c>
      <c r="AP1527" s="46">
        <f>(打分卡!$D$12*AH1527+打分卡!$D$13*AI1527+打分卡!$D$14*AJ1527+打分卡!$D$15*AK1527)/5</f>
        <v>9.2</v>
      </c>
      <c r="AQ1527" s="46">
        <f>(打分卡!$D$16*AL1527+打分卡!$D$17*AM1527)/5</f>
        <v>2</v>
      </c>
      <c r="AR1527" s="48">
        <f t="shared" si="186"/>
        <v>23.2</v>
      </c>
      <c r="AS1527" s="45" t="str">
        <f t="shared" si="187"/>
        <v>未激活</v>
      </c>
      <c r="AT1527" s="45" t="str">
        <f t="shared" si="188"/>
        <v>连续下降-预警</v>
      </c>
      <c r="AU1527" s="45" t="str">
        <f t="shared" si="189"/>
        <v>唤醒：短信模板+首充补贴</v>
      </c>
    </row>
    <row r="1528" ht="15" customHeight="1" spans="1:47">
      <c r="A1528" s="30" t="s">
        <v>3928</v>
      </c>
      <c r="B1528" s="31" t="s">
        <v>3929</v>
      </c>
      <c r="C1528" s="31" t="s">
        <v>195</v>
      </c>
      <c r="D1528" s="31" t="s">
        <v>180</v>
      </c>
      <c r="E1528" s="31" t="s">
        <v>181</v>
      </c>
      <c r="F1528" s="30" t="s">
        <v>1843</v>
      </c>
      <c r="G1528" s="31">
        <v>12</v>
      </c>
      <c r="H1528" s="31" t="s">
        <v>3535</v>
      </c>
      <c r="I1528" s="31" t="s">
        <v>302</v>
      </c>
      <c r="J1528" s="33">
        <v>0</v>
      </c>
      <c r="K1528" s="33">
        <v>0</v>
      </c>
      <c r="L1528" s="33">
        <v>0</v>
      </c>
      <c r="M1528" s="33">
        <f t="shared" si="184"/>
        <v>0</v>
      </c>
      <c r="N1528" s="34">
        <f t="shared" si="190"/>
        <v>0</v>
      </c>
      <c r="O1528" s="35">
        <f>SUM($M$2:M1528)</f>
        <v>190743600</v>
      </c>
      <c r="P1528" s="34">
        <f t="shared" si="191"/>
        <v>1</v>
      </c>
      <c r="Q1528" s="37">
        <v>0</v>
      </c>
      <c r="R1528" s="31">
        <v>0</v>
      </c>
      <c r="S1528" s="31">
        <v>0</v>
      </c>
      <c r="T1528" s="31">
        <v>0</v>
      </c>
      <c r="U1528" s="37">
        <v>14.7</v>
      </c>
      <c r="V1528" s="31">
        <v>15</v>
      </c>
      <c r="W1528" s="31">
        <v>1</v>
      </c>
      <c r="X1528" s="38">
        <v>10</v>
      </c>
      <c r="Y1528" s="31">
        <v>0</v>
      </c>
      <c r="Z1528" s="31">
        <v>0</v>
      </c>
      <c r="AA1528" s="31" t="s">
        <v>212</v>
      </c>
      <c r="AB1528" s="31" t="s">
        <v>220</v>
      </c>
      <c r="AC1528" s="41">
        <f>IFERROR(LOOKUP(M1528,打分卡!$F$7:$J$7,打分卡!$K$7:$O$7),1)</f>
        <v>1</v>
      </c>
      <c r="AD1528" s="41">
        <f>IFERROR(LOOKUP(S1528,打分卡!$F$8:$J$8,打分卡!$K$8:$O$8),1)</f>
        <v>1</v>
      </c>
      <c r="AE1528" s="41">
        <f>IFERROR(LOOKUP(T1528,打分卡!$F$9:$I$9,打分卡!$K$9:$N$9),1)</f>
        <v>1</v>
      </c>
      <c r="AF1528" s="41">
        <f>IFERROR(LOOKUP(Q1528,打分卡!$F$10:$J$10,打分卡!$K$10:$O$10),1)</f>
        <v>1</v>
      </c>
      <c r="AG1528" s="41">
        <f>IFERROR(LOOKUP(R1528,打分卡!$F$11:$J$11,打分卡!$K$11:$O$11),1)</f>
        <v>1</v>
      </c>
      <c r="AH1528" s="41">
        <f>IFERROR(LOOKUP(U1528,打分卡!$F$12:$J$12,打分卡!$K$12:$O$12),1)</f>
        <v>3</v>
      </c>
      <c r="AI1528" s="41">
        <f>IFERROR(LOOKUP(X1528,打分卡!$F$13:$J$13,打分卡!$K$13:$O$13),1)</f>
        <v>1</v>
      </c>
      <c r="AJ1528" s="41">
        <f>IFERROR(LOOKUP(Y1528,打分卡!$F$14:$J$14,打分卡!$K$14:$O$14),1)</f>
        <v>1</v>
      </c>
      <c r="AK1528" s="41">
        <f>IFERROR(LOOKUP(W1528,打分卡!$F$15:$J$15,打分卡!$K$15:$O$15),1)</f>
        <v>2</v>
      </c>
      <c r="AL1528" s="43">
        <f t="shared" si="185"/>
        <v>1</v>
      </c>
      <c r="AM1528" s="41">
        <f>IFERROR(LOOKUP(Z1528,打分卡!$F$17:$H$17,打分卡!$K$17:$M$17),1)</f>
        <v>1</v>
      </c>
      <c r="AN1528" s="44">
        <f>(打分卡!$D$7*AC1528+打分卡!$D$8*AD1528+打分卡!$D$9*AE1528)/5</f>
        <v>8</v>
      </c>
      <c r="AO1528" s="44">
        <f>(打分卡!$D$10*AF1528+打分卡!$D$11*AG1528)/5</f>
        <v>4</v>
      </c>
      <c r="AP1528" s="44">
        <f>(打分卡!$D$12*AH1528+打分卡!$D$13*AI1528+打分卡!$D$14*AJ1528+打分卡!$D$15*AK1528)/5</f>
        <v>11.6</v>
      </c>
      <c r="AQ1528" s="44">
        <f>(打分卡!$D$16*AL1528+打分卡!$D$17*AM1528)/5</f>
        <v>2</v>
      </c>
      <c r="AR1528" s="47">
        <f t="shared" si="186"/>
        <v>25.6</v>
      </c>
      <c r="AS1528" s="43" t="str">
        <f t="shared" si="187"/>
        <v>未激活</v>
      </c>
      <c r="AT1528" s="43" t="str">
        <f t="shared" si="188"/>
        <v>连续下降-预警</v>
      </c>
      <c r="AU1528" s="43" t="str">
        <f t="shared" si="189"/>
        <v>唤醒：短信模板+首充补贴</v>
      </c>
    </row>
    <row r="1529" ht="15" customHeight="1" spans="1:47">
      <c r="A1529" s="20" t="s">
        <v>3930</v>
      </c>
      <c r="B1529" s="22" t="s">
        <v>3931</v>
      </c>
      <c r="C1529" s="22" t="s">
        <v>189</v>
      </c>
      <c r="D1529" s="22" t="s">
        <v>252</v>
      </c>
      <c r="E1529" s="22" t="s">
        <v>181</v>
      </c>
      <c r="F1529" s="20" t="s">
        <v>1644</v>
      </c>
      <c r="G1529" s="22">
        <v>23</v>
      </c>
      <c r="H1529" s="22" t="s">
        <v>3535</v>
      </c>
      <c r="I1529" s="22" t="s">
        <v>302</v>
      </c>
      <c r="J1529" s="36">
        <v>0</v>
      </c>
      <c r="K1529" s="36">
        <v>0</v>
      </c>
      <c r="L1529" s="36">
        <v>0</v>
      </c>
      <c r="M1529" s="36">
        <f t="shared" si="184"/>
        <v>0</v>
      </c>
      <c r="N1529" s="34">
        <f t="shared" si="190"/>
        <v>0</v>
      </c>
      <c r="O1529" s="35">
        <f>SUM($M$2:M1529)</f>
        <v>190743600</v>
      </c>
      <c r="P1529" s="34">
        <f t="shared" si="191"/>
        <v>1</v>
      </c>
      <c r="Q1529" s="39">
        <v>0</v>
      </c>
      <c r="R1529" s="22">
        <v>0</v>
      </c>
      <c r="S1529" s="22">
        <v>0</v>
      </c>
      <c r="T1529" s="22">
        <v>0</v>
      </c>
      <c r="U1529" s="39">
        <v>2.6</v>
      </c>
      <c r="V1529" s="22">
        <v>7</v>
      </c>
      <c r="W1529" s="22">
        <v>1</v>
      </c>
      <c r="X1529" s="40">
        <v>13</v>
      </c>
      <c r="Y1529" s="22">
        <v>0</v>
      </c>
      <c r="Z1529" s="22">
        <v>0</v>
      </c>
      <c r="AA1529" s="22" t="s">
        <v>212</v>
      </c>
      <c r="AB1529" s="22" t="s">
        <v>220</v>
      </c>
      <c r="AC1529" s="42">
        <f>IFERROR(LOOKUP(M1529,打分卡!$F$7:$J$7,打分卡!$K$7:$O$7),1)</f>
        <v>1</v>
      </c>
      <c r="AD1529" s="42">
        <f>IFERROR(LOOKUP(S1529,打分卡!$F$8:$J$8,打分卡!$K$8:$O$8),1)</f>
        <v>1</v>
      </c>
      <c r="AE1529" s="42">
        <f>IFERROR(LOOKUP(T1529,打分卡!$F$9:$I$9,打分卡!$K$9:$N$9),1)</f>
        <v>1</v>
      </c>
      <c r="AF1529" s="42">
        <f>IFERROR(LOOKUP(Q1529,打分卡!$F$10:$J$10,打分卡!$K$10:$O$10),1)</f>
        <v>1</v>
      </c>
      <c r="AG1529" s="42">
        <f>IFERROR(LOOKUP(R1529,打分卡!$F$11:$J$11,打分卡!$K$11:$O$11),1)</f>
        <v>1</v>
      </c>
      <c r="AH1529" s="42">
        <f>IFERROR(LOOKUP(U1529,打分卡!$F$12:$J$12,打分卡!$K$12:$O$12),1)</f>
        <v>1</v>
      </c>
      <c r="AI1529" s="42">
        <f>IFERROR(LOOKUP(X1529,打分卡!$F$13:$J$13,打分卡!$K$13:$O$13),1)</f>
        <v>1</v>
      </c>
      <c r="AJ1529" s="42">
        <f>IFERROR(LOOKUP(Y1529,打分卡!$F$14:$J$14,打分卡!$K$14:$O$14),1)</f>
        <v>1</v>
      </c>
      <c r="AK1529" s="42">
        <f>IFERROR(LOOKUP(W1529,打分卡!$F$15:$J$15,打分卡!$K$15:$O$15),1)</f>
        <v>2</v>
      </c>
      <c r="AL1529" s="45">
        <f t="shared" si="185"/>
        <v>1</v>
      </c>
      <c r="AM1529" s="42">
        <f>IFERROR(LOOKUP(Z1529,打分卡!$F$17:$H$17,打分卡!$K$17:$M$17),1)</f>
        <v>1</v>
      </c>
      <c r="AN1529" s="46">
        <f>(打分卡!$D$7*AC1529+打分卡!$D$8*AD1529+打分卡!$D$9*AE1529)/5</f>
        <v>8</v>
      </c>
      <c r="AO1529" s="46">
        <f>(打分卡!$D$10*AF1529+打分卡!$D$11*AG1529)/5</f>
        <v>4</v>
      </c>
      <c r="AP1529" s="46">
        <f>(打分卡!$D$12*AH1529+打分卡!$D$13*AI1529+打分卡!$D$14*AJ1529+打分卡!$D$15*AK1529)/5</f>
        <v>6.8</v>
      </c>
      <c r="AQ1529" s="46">
        <f>(打分卡!$D$16*AL1529+打分卡!$D$17*AM1529)/5</f>
        <v>2</v>
      </c>
      <c r="AR1529" s="48">
        <f t="shared" si="186"/>
        <v>20.8</v>
      </c>
      <c r="AS1529" s="45" t="str">
        <f t="shared" si="187"/>
        <v>未激活</v>
      </c>
      <c r="AT1529" s="45" t="str">
        <f t="shared" si="188"/>
        <v>连续下降-预警</v>
      </c>
      <c r="AU1529" s="45" t="str">
        <f t="shared" si="189"/>
        <v>唤醒：短信模板+首充补贴</v>
      </c>
    </row>
    <row r="1530" ht="15" customHeight="1" spans="1:47">
      <c r="A1530" s="30" t="s">
        <v>3932</v>
      </c>
      <c r="B1530" s="31" t="s">
        <v>3933</v>
      </c>
      <c r="C1530" s="31" t="s">
        <v>209</v>
      </c>
      <c r="D1530" s="31" t="s">
        <v>202</v>
      </c>
      <c r="E1530" s="31" t="s">
        <v>197</v>
      </c>
      <c r="F1530" s="30" t="s">
        <v>592</v>
      </c>
      <c r="G1530" s="31">
        <v>17</v>
      </c>
      <c r="H1530" s="31" t="s">
        <v>3535</v>
      </c>
      <c r="I1530" s="31" t="s">
        <v>302</v>
      </c>
      <c r="J1530" s="33">
        <v>0</v>
      </c>
      <c r="K1530" s="33">
        <v>0</v>
      </c>
      <c r="L1530" s="33">
        <v>0</v>
      </c>
      <c r="M1530" s="33">
        <f t="shared" si="184"/>
        <v>0</v>
      </c>
      <c r="N1530" s="34">
        <f t="shared" si="190"/>
        <v>0</v>
      </c>
      <c r="O1530" s="35">
        <f>SUM($M$2:M1530)</f>
        <v>190743600</v>
      </c>
      <c r="P1530" s="34">
        <f t="shared" si="191"/>
        <v>1</v>
      </c>
      <c r="Q1530" s="37">
        <v>0</v>
      </c>
      <c r="R1530" s="31">
        <v>0</v>
      </c>
      <c r="S1530" s="31">
        <v>0</v>
      </c>
      <c r="T1530" s="31">
        <v>0</v>
      </c>
      <c r="U1530" s="37">
        <v>0.6</v>
      </c>
      <c r="V1530" s="31">
        <v>13</v>
      </c>
      <c r="W1530" s="31">
        <v>1</v>
      </c>
      <c r="X1530" s="38">
        <v>10</v>
      </c>
      <c r="Y1530" s="31">
        <v>1</v>
      </c>
      <c r="Z1530" s="31">
        <v>0</v>
      </c>
      <c r="AA1530" s="31" t="s">
        <v>212</v>
      </c>
      <c r="AB1530" s="31" t="s">
        <v>220</v>
      </c>
      <c r="AC1530" s="41">
        <f>IFERROR(LOOKUP(M1530,打分卡!$F$7:$J$7,打分卡!$K$7:$O$7),1)</f>
        <v>1</v>
      </c>
      <c r="AD1530" s="41">
        <f>IFERROR(LOOKUP(S1530,打分卡!$F$8:$J$8,打分卡!$K$8:$O$8),1)</f>
        <v>1</v>
      </c>
      <c r="AE1530" s="41">
        <f>IFERROR(LOOKUP(T1530,打分卡!$F$9:$I$9,打分卡!$K$9:$N$9),1)</f>
        <v>1</v>
      </c>
      <c r="AF1530" s="41">
        <f>IFERROR(LOOKUP(Q1530,打分卡!$F$10:$J$10,打分卡!$K$10:$O$10),1)</f>
        <v>1</v>
      </c>
      <c r="AG1530" s="41">
        <f>IFERROR(LOOKUP(R1530,打分卡!$F$11:$J$11,打分卡!$K$11:$O$11),1)</f>
        <v>1</v>
      </c>
      <c r="AH1530" s="41">
        <f>IFERROR(LOOKUP(U1530,打分卡!$F$12:$J$12,打分卡!$K$12:$O$12),1)</f>
        <v>1</v>
      </c>
      <c r="AI1530" s="41">
        <f>IFERROR(LOOKUP(X1530,打分卡!$F$13:$J$13,打分卡!$K$13:$O$13),1)</f>
        <v>1</v>
      </c>
      <c r="AJ1530" s="41">
        <f>IFERROR(LOOKUP(Y1530,打分卡!$F$14:$J$14,打分卡!$K$14:$O$14),1)</f>
        <v>2</v>
      </c>
      <c r="AK1530" s="41">
        <f>IFERROR(LOOKUP(W1530,打分卡!$F$15:$J$15,打分卡!$K$15:$O$15),1)</f>
        <v>2</v>
      </c>
      <c r="AL1530" s="43">
        <f t="shared" si="185"/>
        <v>1</v>
      </c>
      <c r="AM1530" s="41">
        <f>IFERROR(LOOKUP(Z1530,打分卡!$F$17:$H$17,打分卡!$K$17:$M$17),1)</f>
        <v>1</v>
      </c>
      <c r="AN1530" s="44">
        <f>(打分卡!$D$7*AC1530+打分卡!$D$8*AD1530+打分卡!$D$9*AE1530)/5</f>
        <v>8</v>
      </c>
      <c r="AO1530" s="44">
        <f>(打分卡!$D$10*AF1530+打分卡!$D$11*AG1530)/5</f>
        <v>4</v>
      </c>
      <c r="AP1530" s="44">
        <f>(打分卡!$D$12*AH1530+打分卡!$D$13*AI1530+打分卡!$D$14*AJ1530+打分卡!$D$15*AK1530)/5</f>
        <v>8</v>
      </c>
      <c r="AQ1530" s="44">
        <f>(打分卡!$D$16*AL1530+打分卡!$D$17*AM1530)/5</f>
        <v>2</v>
      </c>
      <c r="AR1530" s="47">
        <f t="shared" si="186"/>
        <v>22</v>
      </c>
      <c r="AS1530" s="43" t="str">
        <f t="shared" si="187"/>
        <v>未激活</v>
      </c>
      <c r="AT1530" s="43" t="str">
        <f t="shared" si="188"/>
        <v>连续下降-预警</v>
      </c>
      <c r="AU1530" s="43" t="str">
        <f t="shared" si="189"/>
        <v>唤醒：短信模板+首充补贴</v>
      </c>
    </row>
    <row r="1531" ht="15" customHeight="1" spans="1:47">
      <c r="A1531" s="20" t="s">
        <v>3934</v>
      </c>
      <c r="B1531" s="22" t="s">
        <v>3935</v>
      </c>
      <c r="C1531" s="22" t="s">
        <v>179</v>
      </c>
      <c r="D1531" s="22" t="s">
        <v>180</v>
      </c>
      <c r="E1531" s="22" t="s">
        <v>181</v>
      </c>
      <c r="F1531" s="20" t="s">
        <v>3936</v>
      </c>
      <c r="G1531" s="22">
        <v>31</v>
      </c>
      <c r="H1531" s="22" t="s">
        <v>3535</v>
      </c>
      <c r="I1531" s="22" t="s">
        <v>302</v>
      </c>
      <c r="J1531" s="36">
        <v>0</v>
      </c>
      <c r="K1531" s="36">
        <v>0</v>
      </c>
      <c r="L1531" s="36">
        <v>0</v>
      </c>
      <c r="M1531" s="36">
        <f t="shared" si="184"/>
        <v>0</v>
      </c>
      <c r="N1531" s="34">
        <f t="shared" si="190"/>
        <v>0</v>
      </c>
      <c r="O1531" s="35">
        <f>SUM($M$2:M1531)</f>
        <v>190743600</v>
      </c>
      <c r="P1531" s="34">
        <f t="shared" si="191"/>
        <v>1</v>
      </c>
      <c r="Q1531" s="39">
        <v>0</v>
      </c>
      <c r="R1531" s="22">
        <v>0</v>
      </c>
      <c r="S1531" s="22">
        <v>0</v>
      </c>
      <c r="T1531" s="22">
        <v>0</v>
      </c>
      <c r="U1531" s="39">
        <v>19.9</v>
      </c>
      <c r="V1531" s="22">
        <v>15</v>
      </c>
      <c r="W1531" s="22">
        <v>0</v>
      </c>
      <c r="X1531" s="40">
        <v>6</v>
      </c>
      <c r="Y1531" s="22">
        <v>0</v>
      </c>
      <c r="Z1531" s="22">
        <v>0</v>
      </c>
      <c r="AA1531" s="22" t="s">
        <v>212</v>
      </c>
      <c r="AB1531" s="22" t="s">
        <v>220</v>
      </c>
      <c r="AC1531" s="42">
        <f>IFERROR(LOOKUP(M1531,打分卡!$F$7:$J$7,打分卡!$K$7:$O$7),1)</f>
        <v>1</v>
      </c>
      <c r="AD1531" s="42">
        <f>IFERROR(LOOKUP(S1531,打分卡!$F$8:$J$8,打分卡!$K$8:$O$8),1)</f>
        <v>1</v>
      </c>
      <c r="AE1531" s="42">
        <f>IFERROR(LOOKUP(T1531,打分卡!$F$9:$I$9,打分卡!$K$9:$N$9),1)</f>
        <v>1</v>
      </c>
      <c r="AF1531" s="42">
        <f>IFERROR(LOOKUP(Q1531,打分卡!$F$10:$J$10,打分卡!$K$10:$O$10),1)</f>
        <v>1</v>
      </c>
      <c r="AG1531" s="42">
        <f>IFERROR(LOOKUP(R1531,打分卡!$F$11:$J$11,打分卡!$K$11:$O$11),1)</f>
        <v>1</v>
      </c>
      <c r="AH1531" s="42">
        <f>IFERROR(LOOKUP(U1531,打分卡!$F$12:$J$12,打分卡!$K$12:$O$12),1)</f>
        <v>3</v>
      </c>
      <c r="AI1531" s="42">
        <f>IFERROR(LOOKUP(X1531,打分卡!$F$13:$J$13,打分卡!$K$13:$O$13),1)</f>
        <v>1</v>
      </c>
      <c r="AJ1531" s="42">
        <f>IFERROR(LOOKUP(Y1531,打分卡!$F$14:$J$14,打分卡!$K$14:$O$14),1)</f>
        <v>1</v>
      </c>
      <c r="AK1531" s="42">
        <f>IFERROR(LOOKUP(W1531,打分卡!$F$15:$J$15,打分卡!$K$15:$O$15),1)</f>
        <v>1</v>
      </c>
      <c r="AL1531" s="45">
        <f t="shared" si="185"/>
        <v>1</v>
      </c>
      <c r="AM1531" s="42">
        <f>IFERROR(LOOKUP(Z1531,打分卡!$F$17:$H$17,打分卡!$K$17:$M$17),1)</f>
        <v>1</v>
      </c>
      <c r="AN1531" s="46">
        <f>(打分卡!$D$7*AC1531+打分卡!$D$8*AD1531+打分卡!$D$9*AE1531)/5</f>
        <v>8</v>
      </c>
      <c r="AO1531" s="46">
        <f>(打分卡!$D$10*AF1531+打分卡!$D$11*AG1531)/5</f>
        <v>4</v>
      </c>
      <c r="AP1531" s="46">
        <f>(打分卡!$D$12*AH1531+打分卡!$D$13*AI1531+打分卡!$D$14*AJ1531+打分卡!$D$15*AK1531)/5</f>
        <v>10.8</v>
      </c>
      <c r="AQ1531" s="46">
        <f>(打分卡!$D$16*AL1531+打分卡!$D$17*AM1531)/5</f>
        <v>2</v>
      </c>
      <c r="AR1531" s="48">
        <f t="shared" si="186"/>
        <v>24.8</v>
      </c>
      <c r="AS1531" s="45" t="str">
        <f t="shared" si="187"/>
        <v>未激活</v>
      </c>
      <c r="AT1531" s="45" t="str">
        <f t="shared" si="188"/>
        <v>连续下降-预警</v>
      </c>
      <c r="AU1531" s="45" t="str">
        <f t="shared" si="189"/>
        <v>唤醒：短信模板+首充补贴</v>
      </c>
    </row>
    <row r="1532" ht="15" customHeight="1" spans="1:47">
      <c r="A1532" s="30" t="s">
        <v>3937</v>
      </c>
      <c r="B1532" s="31" t="s">
        <v>3938</v>
      </c>
      <c r="C1532" s="31" t="s">
        <v>239</v>
      </c>
      <c r="D1532" s="31" t="s">
        <v>202</v>
      </c>
      <c r="E1532" s="31" t="s">
        <v>197</v>
      </c>
      <c r="F1532" s="30" t="s">
        <v>3939</v>
      </c>
      <c r="G1532" s="31">
        <v>34</v>
      </c>
      <c r="H1532" s="31" t="s">
        <v>3535</v>
      </c>
      <c r="I1532" s="31" t="s">
        <v>302</v>
      </c>
      <c r="J1532" s="33">
        <v>0</v>
      </c>
      <c r="K1532" s="33">
        <v>0</v>
      </c>
      <c r="L1532" s="33">
        <v>0</v>
      </c>
      <c r="M1532" s="33">
        <f t="shared" si="184"/>
        <v>0</v>
      </c>
      <c r="N1532" s="34">
        <f t="shared" si="190"/>
        <v>0</v>
      </c>
      <c r="O1532" s="35">
        <f>SUM($M$2:M1532)</f>
        <v>190743600</v>
      </c>
      <c r="P1532" s="34">
        <f t="shared" si="191"/>
        <v>1</v>
      </c>
      <c r="Q1532" s="37">
        <v>0</v>
      </c>
      <c r="R1532" s="31">
        <v>0</v>
      </c>
      <c r="S1532" s="31">
        <v>0</v>
      </c>
      <c r="T1532" s="31">
        <v>0</v>
      </c>
      <c r="U1532" s="37">
        <v>2.6</v>
      </c>
      <c r="V1532" s="31">
        <v>7</v>
      </c>
      <c r="W1532" s="31">
        <v>2</v>
      </c>
      <c r="X1532" s="38">
        <v>12</v>
      </c>
      <c r="Y1532" s="31">
        <v>1</v>
      </c>
      <c r="Z1532" s="31">
        <v>0</v>
      </c>
      <c r="AA1532" s="31" t="s">
        <v>212</v>
      </c>
      <c r="AB1532" s="31" t="s">
        <v>220</v>
      </c>
      <c r="AC1532" s="41">
        <f>IFERROR(LOOKUP(M1532,打分卡!$F$7:$J$7,打分卡!$K$7:$O$7),1)</f>
        <v>1</v>
      </c>
      <c r="AD1532" s="41">
        <f>IFERROR(LOOKUP(S1532,打分卡!$F$8:$J$8,打分卡!$K$8:$O$8),1)</f>
        <v>1</v>
      </c>
      <c r="AE1532" s="41">
        <f>IFERROR(LOOKUP(T1532,打分卡!$F$9:$I$9,打分卡!$K$9:$N$9),1)</f>
        <v>1</v>
      </c>
      <c r="AF1532" s="41">
        <f>IFERROR(LOOKUP(Q1532,打分卡!$F$10:$J$10,打分卡!$K$10:$O$10),1)</f>
        <v>1</v>
      </c>
      <c r="AG1532" s="41">
        <f>IFERROR(LOOKUP(R1532,打分卡!$F$11:$J$11,打分卡!$K$11:$O$11),1)</f>
        <v>1</v>
      </c>
      <c r="AH1532" s="41">
        <f>IFERROR(LOOKUP(U1532,打分卡!$F$12:$J$12,打分卡!$K$12:$O$12),1)</f>
        <v>1</v>
      </c>
      <c r="AI1532" s="41">
        <f>IFERROR(LOOKUP(X1532,打分卡!$F$13:$J$13,打分卡!$K$13:$O$13),1)</f>
        <v>1</v>
      </c>
      <c r="AJ1532" s="41">
        <f>IFERROR(LOOKUP(Y1532,打分卡!$F$14:$J$14,打分卡!$K$14:$O$14),1)</f>
        <v>2</v>
      </c>
      <c r="AK1532" s="41">
        <f>IFERROR(LOOKUP(W1532,打分卡!$F$15:$J$15,打分卡!$K$15:$O$15),1)</f>
        <v>2</v>
      </c>
      <c r="AL1532" s="43">
        <f t="shared" si="185"/>
        <v>1</v>
      </c>
      <c r="AM1532" s="41">
        <f>IFERROR(LOOKUP(Z1532,打分卡!$F$17:$H$17,打分卡!$K$17:$M$17),1)</f>
        <v>1</v>
      </c>
      <c r="AN1532" s="44">
        <f>(打分卡!$D$7*AC1532+打分卡!$D$8*AD1532+打分卡!$D$9*AE1532)/5</f>
        <v>8</v>
      </c>
      <c r="AO1532" s="44">
        <f>(打分卡!$D$10*AF1532+打分卡!$D$11*AG1532)/5</f>
        <v>4</v>
      </c>
      <c r="AP1532" s="44">
        <f>(打分卡!$D$12*AH1532+打分卡!$D$13*AI1532+打分卡!$D$14*AJ1532+打分卡!$D$15*AK1532)/5</f>
        <v>8</v>
      </c>
      <c r="AQ1532" s="44">
        <f>(打分卡!$D$16*AL1532+打分卡!$D$17*AM1532)/5</f>
        <v>2</v>
      </c>
      <c r="AR1532" s="47">
        <f t="shared" si="186"/>
        <v>22</v>
      </c>
      <c r="AS1532" s="43" t="str">
        <f t="shared" si="187"/>
        <v>未激活</v>
      </c>
      <c r="AT1532" s="43" t="str">
        <f t="shared" si="188"/>
        <v>连续下降-预警</v>
      </c>
      <c r="AU1532" s="43" t="str">
        <f t="shared" si="189"/>
        <v>唤醒：短信模板+首充补贴</v>
      </c>
    </row>
    <row r="1533" ht="15" customHeight="1" spans="1:47">
      <c r="A1533" s="20" t="s">
        <v>3940</v>
      </c>
      <c r="B1533" s="22" t="s">
        <v>3941</v>
      </c>
      <c r="C1533" s="22" t="s">
        <v>218</v>
      </c>
      <c r="D1533" s="22" t="s">
        <v>202</v>
      </c>
      <c r="E1533" s="22" t="s">
        <v>181</v>
      </c>
      <c r="F1533" s="20" t="s">
        <v>3942</v>
      </c>
      <c r="G1533" s="22">
        <v>13</v>
      </c>
      <c r="H1533" s="22" t="s">
        <v>3535</v>
      </c>
      <c r="I1533" s="22" t="s">
        <v>302</v>
      </c>
      <c r="J1533" s="36">
        <v>0</v>
      </c>
      <c r="K1533" s="36">
        <v>0</v>
      </c>
      <c r="L1533" s="36">
        <v>0</v>
      </c>
      <c r="M1533" s="36">
        <f t="shared" si="184"/>
        <v>0</v>
      </c>
      <c r="N1533" s="34">
        <f t="shared" si="190"/>
        <v>0</v>
      </c>
      <c r="O1533" s="35">
        <f>SUM($M$2:M1533)</f>
        <v>190743600</v>
      </c>
      <c r="P1533" s="34">
        <f t="shared" si="191"/>
        <v>1</v>
      </c>
      <c r="Q1533" s="39">
        <v>0</v>
      </c>
      <c r="R1533" s="22">
        <v>0</v>
      </c>
      <c r="S1533" s="22">
        <v>0</v>
      </c>
      <c r="T1533" s="22">
        <v>0</v>
      </c>
      <c r="U1533" s="39">
        <v>3.4</v>
      </c>
      <c r="V1533" s="22">
        <v>7</v>
      </c>
      <c r="W1533" s="22">
        <v>1</v>
      </c>
      <c r="X1533" s="40">
        <v>58</v>
      </c>
      <c r="Y1533" s="22">
        <v>0</v>
      </c>
      <c r="Z1533" s="22">
        <v>0</v>
      </c>
      <c r="AA1533" s="22" t="s">
        <v>212</v>
      </c>
      <c r="AB1533" s="22" t="s">
        <v>220</v>
      </c>
      <c r="AC1533" s="42">
        <f>IFERROR(LOOKUP(M1533,打分卡!$F$7:$J$7,打分卡!$K$7:$O$7),1)</f>
        <v>1</v>
      </c>
      <c r="AD1533" s="42">
        <f>IFERROR(LOOKUP(S1533,打分卡!$F$8:$J$8,打分卡!$K$8:$O$8),1)</f>
        <v>1</v>
      </c>
      <c r="AE1533" s="42">
        <f>IFERROR(LOOKUP(T1533,打分卡!$F$9:$I$9,打分卡!$K$9:$N$9),1)</f>
        <v>1</v>
      </c>
      <c r="AF1533" s="42">
        <f>IFERROR(LOOKUP(Q1533,打分卡!$F$10:$J$10,打分卡!$K$10:$O$10),1)</f>
        <v>1</v>
      </c>
      <c r="AG1533" s="42">
        <f>IFERROR(LOOKUP(R1533,打分卡!$F$11:$J$11,打分卡!$K$11:$O$11),1)</f>
        <v>1</v>
      </c>
      <c r="AH1533" s="42">
        <f>IFERROR(LOOKUP(U1533,打分卡!$F$12:$J$12,打分卡!$K$12:$O$12),1)</f>
        <v>2</v>
      </c>
      <c r="AI1533" s="42">
        <f>IFERROR(LOOKUP(X1533,打分卡!$F$13:$J$13,打分卡!$K$13:$O$13),1)</f>
        <v>3</v>
      </c>
      <c r="AJ1533" s="42">
        <f>IFERROR(LOOKUP(Y1533,打分卡!$F$14:$J$14,打分卡!$K$14:$O$14),1)</f>
        <v>1</v>
      </c>
      <c r="AK1533" s="42">
        <f>IFERROR(LOOKUP(W1533,打分卡!$F$15:$J$15,打分卡!$K$15:$O$15),1)</f>
        <v>2</v>
      </c>
      <c r="AL1533" s="45">
        <f t="shared" si="185"/>
        <v>1</v>
      </c>
      <c r="AM1533" s="42">
        <f>IFERROR(LOOKUP(Z1533,打分卡!$F$17:$H$17,打分卡!$K$17:$M$17),1)</f>
        <v>1</v>
      </c>
      <c r="AN1533" s="46">
        <f>(打分卡!$D$7*AC1533+打分卡!$D$8*AD1533+打分卡!$D$9*AE1533)/5</f>
        <v>8</v>
      </c>
      <c r="AO1533" s="46">
        <f>(打分卡!$D$10*AF1533+打分卡!$D$11*AG1533)/5</f>
        <v>4</v>
      </c>
      <c r="AP1533" s="46">
        <f>(打分卡!$D$12*AH1533+打分卡!$D$13*AI1533+打分卡!$D$14*AJ1533+打分卡!$D$15*AK1533)/5</f>
        <v>12.4</v>
      </c>
      <c r="AQ1533" s="46">
        <f>(打分卡!$D$16*AL1533+打分卡!$D$17*AM1533)/5</f>
        <v>2</v>
      </c>
      <c r="AR1533" s="48">
        <f t="shared" si="186"/>
        <v>26.4</v>
      </c>
      <c r="AS1533" s="45" t="str">
        <f t="shared" si="187"/>
        <v>未激活</v>
      </c>
      <c r="AT1533" s="45" t="str">
        <f t="shared" si="188"/>
        <v>连续下降-预警</v>
      </c>
      <c r="AU1533" s="45" t="str">
        <f t="shared" si="189"/>
        <v>唤醒：短信模板+首充补贴</v>
      </c>
    </row>
    <row r="1534" ht="15" customHeight="1" spans="1:47">
      <c r="A1534" s="30" t="s">
        <v>3943</v>
      </c>
      <c r="B1534" s="31" t="s">
        <v>3944</v>
      </c>
      <c r="C1534" s="31" t="s">
        <v>218</v>
      </c>
      <c r="D1534" s="31" t="s">
        <v>252</v>
      </c>
      <c r="E1534" s="31" t="s">
        <v>181</v>
      </c>
      <c r="F1534" s="30" t="s">
        <v>1102</v>
      </c>
      <c r="G1534" s="31">
        <v>3</v>
      </c>
      <c r="H1534" s="31" t="s">
        <v>642</v>
      </c>
      <c r="I1534" s="31" t="s">
        <v>302</v>
      </c>
      <c r="J1534" s="33">
        <v>0</v>
      </c>
      <c r="K1534" s="33">
        <v>0</v>
      </c>
      <c r="L1534" s="33">
        <v>0</v>
      </c>
      <c r="M1534" s="33">
        <f t="shared" si="184"/>
        <v>0</v>
      </c>
      <c r="N1534" s="34">
        <f t="shared" si="190"/>
        <v>0</v>
      </c>
      <c r="O1534" s="35">
        <f>SUM($M$2:M1534)</f>
        <v>190743600</v>
      </c>
      <c r="P1534" s="34">
        <f t="shared" si="191"/>
        <v>1</v>
      </c>
      <c r="Q1534" s="37">
        <v>0</v>
      </c>
      <c r="R1534" s="31">
        <v>0</v>
      </c>
      <c r="S1534" s="31">
        <v>0</v>
      </c>
      <c r="T1534" s="31">
        <v>0</v>
      </c>
      <c r="U1534" s="37">
        <v>739</v>
      </c>
      <c r="V1534" s="31">
        <v>5</v>
      </c>
      <c r="W1534" s="31">
        <v>15</v>
      </c>
      <c r="X1534" s="38">
        <v>1331</v>
      </c>
      <c r="Y1534" s="31">
        <v>2</v>
      </c>
      <c r="Z1534" s="31">
        <v>0</v>
      </c>
      <c r="AA1534" s="31" t="s">
        <v>199</v>
      </c>
      <c r="AB1534" s="31" t="s">
        <v>220</v>
      </c>
      <c r="AC1534" s="41">
        <f>IFERROR(LOOKUP(M1534,打分卡!$F$7:$J$7,打分卡!$K$7:$O$7),1)</f>
        <v>1</v>
      </c>
      <c r="AD1534" s="41">
        <f>IFERROR(LOOKUP(S1534,打分卡!$F$8:$J$8,打分卡!$K$8:$O$8),1)</f>
        <v>1</v>
      </c>
      <c r="AE1534" s="41">
        <f>IFERROR(LOOKUP(T1534,打分卡!$F$9:$I$9,打分卡!$K$9:$N$9),1)</f>
        <v>1</v>
      </c>
      <c r="AF1534" s="41">
        <f>IFERROR(LOOKUP(Q1534,打分卡!$F$10:$J$10,打分卡!$K$10:$O$10),1)</f>
        <v>1</v>
      </c>
      <c r="AG1534" s="41">
        <f>IFERROR(LOOKUP(R1534,打分卡!$F$11:$J$11,打分卡!$K$11:$O$11),1)</f>
        <v>1</v>
      </c>
      <c r="AH1534" s="41">
        <f>IFERROR(LOOKUP(U1534,打分卡!$F$12:$J$12,打分卡!$K$12:$O$12),1)</f>
        <v>5</v>
      </c>
      <c r="AI1534" s="41">
        <f>IFERROR(LOOKUP(X1534,打分卡!$F$13:$J$13,打分卡!$K$13:$O$13),1)</f>
        <v>5</v>
      </c>
      <c r="AJ1534" s="41">
        <f>IFERROR(LOOKUP(Y1534,打分卡!$F$14:$J$14,打分卡!$K$14:$O$14),1)</f>
        <v>3</v>
      </c>
      <c r="AK1534" s="41">
        <f>IFERROR(LOOKUP(W1534,打分卡!$F$15:$J$15,打分卡!$K$15:$O$15),1)</f>
        <v>5</v>
      </c>
      <c r="AL1534" s="43">
        <f t="shared" si="185"/>
        <v>5</v>
      </c>
      <c r="AM1534" s="41">
        <f>IFERROR(LOOKUP(Z1534,打分卡!$F$17:$H$17,打分卡!$K$17:$M$17),1)</f>
        <v>1</v>
      </c>
      <c r="AN1534" s="44">
        <f>(打分卡!$D$7*AC1534+打分卡!$D$8*AD1534+打分卡!$D$9*AE1534)/5</f>
        <v>8</v>
      </c>
      <c r="AO1534" s="44">
        <f>(打分卡!$D$10*AF1534+打分卡!$D$11*AG1534)/5</f>
        <v>4</v>
      </c>
      <c r="AP1534" s="44">
        <f>(打分卡!$D$12*AH1534+打分卡!$D$13*AI1534+打分卡!$D$14*AJ1534+打分卡!$D$15*AK1534)/5</f>
        <v>27.6</v>
      </c>
      <c r="AQ1534" s="44">
        <f>(打分卡!$D$16*AL1534+打分卡!$D$17*AM1534)/5</f>
        <v>6.8</v>
      </c>
      <c r="AR1534" s="47">
        <f t="shared" si="186"/>
        <v>46.4</v>
      </c>
      <c r="AS1534" s="43" t="str">
        <f t="shared" si="187"/>
        <v>未激活</v>
      </c>
      <c r="AT1534" s="43" t="str">
        <f t="shared" si="188"/>
        <v/>
      </c>
      <c r="AU1534" s="43" t="str">
        <f t="shared" si="189"/>
        <v>唤醒：短信模板+首充补贴</v>
      </c>
    </row>
    <row r="1535" ht="15" customHeight="1" spans="1:47">
      <c r="A1535" s="20" t="s">
        <v>3945</v>
      </c>
      <c r="B1535" s="22" t="s">
        <v>3946</v>
      </c>
      <c r="C1535" s="22" t="s">
        <v>239</v>
      </c>
      <c r="D1535" s="22" t="s">
        <v>196</v>
      </c>
      <c r="E1535" s="22" t="s">
        <v>181</v>
      </c>
      <c r="F1535" s="20" t="s">
        <v>3947</v>
      </c>
      <c r="G1535" s="22">
        <v>28</v>
      </c>
      <c r="H1535" s="22" t="s">
        <v>3535</v>
      </c>
      <c r="I1535" s="22" t="s">
        <v>302</v>
      </c>
      <c r="J1535" s="36">
        <v>0</v>
      </c>
      <c r="K1535" s="36">
        <v>0</v>
      </c>
      <c r="L1535" s="36">
        <v>0</v>
      </c>
      <c r="M1535" s="36">
        <f t="shared" si="184"/>
        <v>0</v>
      </c>
      <c r="N1535" s="34">
        <f t="shared" si="190"/>
        <v>0</v>
      </c>
      <c r="O1535" s="35">
        <f>SUM($M$2:M1535)</f>
        <v>190743600</v>
      </c>
      <c r="P1535" s="34">
        <f t="shared" si="191"/>
        <v>1</v>
      </c>
      <c r="Q1535" s="39">
        <v>0</v>
      </c>
      <c r="R1535" s="22">
        <v>0</v>
      </c>
      <c r="S1535" s="22">
        <v>0</v>
      </c>
      <c r="T1535" s="22">
        <v>0</v>
      </c>
      <c r="U1535" s="39">
        <v>15.6</v>
      </c>
      <c r="V1535" s="22">
        <v>3</v>
      </c>
      <c r="W1535" s="22">
        <v>2</v>
      </c>
      <c r="X1535" s="40">
        <v>12</v>
      </c>
      <c r="Y1535" s="22">
        <v>1</v>
      </c>
      <c r="Z1535" s="22">
        <v>0</v>
      </c>
      <c r="AA1535" s="22" t="s">
        <v>212</v>
      </c>
      <c r="AB1535" s="22" t="s">
        <v>220</v>
      </c>
      <c r="AC1535" s="42">
        <f>IFERROR(LOOKUP(M1535,打分卡!$F$7:$J$7,打分卡!$K$7:$O$7),1)</f>
        <v>1</v>
      </c>
      <c r="AD1535" s="42">
        <f>IFERROR(LOOKUP(S1535,打分卡!$F$8:$J$8,打分卡!$K$8:$O$8),1)</f>
        <v>1</v>
      </c>
      <c r="AE1535" s="42">
        <f>IFERROR(LOOKUP(T1535,打分卡!$F$9:$I$9,打分卡!$K$9:$N$9),1)</f>
        <v>1</v>
      </c>
      <c r="AF1535" s="42">
        <f>IFERROR(LOOKUP(Q1535,打分卡!$F$10:$J$10,打分卡!$K$10:$O$10),1)</f>
        <v>1</v>
      </c>
      <c r="AG1535" s="42">
        <f>IFERROR(LOOKUP(R1535,打分卡!$F$11:$J$11,打分卡!$K$11:$O$11),1)</f>
        <v>1</v>
      </c>
      <c r="AH1535" s="42">
        <f>IFERROR(LOOKUP(U1535,打分卡!$F$12:$J$12,打分卡!$K$12:$O$12),1)</f>
        <v>3</v>
      </c>
      <c r="AI1535" s="42">
        <f>IFERROR(LOOKUP(X1535,打分卡!$F$13:$J$13,打分卡!$K$13:$O$13),1)</f>
        <v>1</v>
      </c>
      <c r="AJ1535" s="42">
        <f>IFERROR(LOOKUP(Y1535,打分卡!$F$14:$J$14,打分卡!$K$14:$O$14),1)</f>
        <v>2</v>
      </c>
      <c r="AK1535" s="42">
        <f>IFERROR(LOOKUP(W1535,打分卡!$F$15:$J$15,打分卡!$K$15:$O$15),1)</f>
        <v>2</v>
      </c>
      <c r="AL1535" s="45">
        <f t="shared" si="185"/>
        <v>1</v>
      </c>
      <c r="AM1535" s="42">
        <f>IFERROR(LOOKUP(Z1535,打分卡!$F$17:$H$17,打分卡!$K$17:$M$17),1)</f>
        <v>1</v>
      </c>
      <c r="AN1535" s="46">
        <f>(打分卡!$D$7*AC1535+打分卡!$D$8*AD1535+打分卡!$D$9*AE1535)/5</f>
        <v>8</v>
      </c>
      <c r="AO1535" s="46">
        <f>(打分卡!$D$10*AF1535+打分卡!$D$11*AG1535)/5</f>
        <v>4</v>
      </c>
      <c r="AP1535" s="46">
        <f>(打分卡!$D$12*AH1535+打分卡!$D$13*AI1535+打分卡!$D$14*AJ1535+打分卡!$D$15*AK1535)/5</f>
        <v>12.8</v>
      </c>
      <c r="AQ1535" s="46">
        <f>(打分卡!$D$16*AL1535+打分卡!$D$17*AM1535)/5</f>
        <v>2</v>
      </c>
      <c r="AR1535" s="48">
        <f t="shared" si="186"/>
        <v>26.8</v>
      </c>
      <c r="AS1535" s="45" t="str">
        <f t="shared" si="187"/>
        <v>未激活</v>
      </c>
      <c r="AT1535" s="45" t="str">
        <f t="shared" si="188"/>
        <v>连续下降-预警</v>
      </c>
      <c r="AU1535" s="45" t="str">
        <f t="shared" si="189"/>
        <v>唤醒：短信模板+首充补贴</v>
      </c>
    </row>
    <row r="1536" ht="15" customHeight="1" spans="1:47">
      <c r="A1536" s="30" t="s">
        <v>3948</v>
      </c>
      <c r="B1536" s="31" t="s">
        <v>3949</v>
      </c>
      <c r="C1536" s="31" t="s">
        <v>189</v>
      </c>
      <c r="D1536" s="31" t="s">
        <v>190</v>
      </c>
      <c r="E1536" s="31" t="s">
        <v>181</v>
      </c>
      <c r="F1536" s="30" t="s">
        <v>834</v>
      </c>
      <c r="G1536" s="31">
        <v>24</v>
      </c>
      <c r="H1536" s="31" t="s">
        <v>3535</v>
      </c>
      <c r="I1536" s="31" t="s">
        <v>302</v>
      </c>
      <c r="J1536" s="33">
        <v>0</v>
      </c>
      <c r="K1536" s="33">
        <v>0</v>
      </c>
      <c r="L1536" s="33">
        <v>0</v>
      </c>
      <c r="M1536" s="33">
        <f t="shared" si="184"/>
        <v>0</v>
      </c>
      <c r="N1536" s="34">
        <f t="shared" si="190"/>
        <v>0</v>
      </c>
      <c r="O1536" s="35">
        <f>SUM($M$2:M1536)</f>
        <v>190743600</v>
      </c>
      <c r="P1536" s="34">
        <f t="shared" si="191"/>
        <v>1</v>
      </c>
      <c r="Q1536" s="37">
        <v>0</v>
      </c>
      <c r="R1536" s="31">
        <v>0</v>
      </c>
      <c r="S1536" s="31">
        <v>0</v>
      </c>
      <c r="T1536" s="31">
        <v>0</v>
      </c>
      <c r="U1536" s="37">
        <v>2.8</v>
      </c>
      <c r="V1536" s="31">
        <v>7</v>
      </c>
      <c r="W1536" s="31">
        <v>2</v>
      </c>
      <c r="X1536" s="38">
        <v>23</v>
      </c>
      <c r="Y1536" s="31">
        <v>1</v>
      </c>
      <c r="Z1536" s="31">
        <v>0</v>
      </c>
      <c r="AA1536" s="31" t="s">
        <v>212</v>
      </c>
      <c r="AB1536" s="31" t="s">
        <v>220</v>
      </c>
      <c r="AC1536" s="41">
        <f>IFERROR(LOOKUP(M1536,打分卡!$F$7:$J$7,打分卡!$K$7:$O$7),1)</f>
        <v>1</v>
      </c>
      <c r="AD1536" s="41">
        <f>IFERROR(LOOKUP(S1536,打分卡!$F$8:$J$8,打分卡!$K$8:$O$8),1)</f>
        <v>1</v>
      </c>
      <c r="AE1536" s="41">
        <f>IFERROR(LOOKUP(T1536,打分卡!$F$9:$I$9,打分卡!$K$9:$N$9),1)</f>
        <v>1</v>
      </c>
      <c r="AF1536" s="41">
        <f>IFERROR(LOOKUP(Q1536,打分卡!$F$10:$J$10,打分卡!$K$10:$O$10),1)</f>
        <v>1</v>
      </c>
      <c r="AG1536" s="41">
        <f>IFERROR(LOOKUP(R1536,打分卡!$F$11:$J$11,打分卡!$K$11:$O$11),1)</f>
        <v>1</v>
      </c>
      <c r="AH1536" s="41">
        <f>IFERROR(LOOKUP(U1536,打分卡!$F$12:$J$12,打分卡!$K$12:$O$12),1)</f>
        <v>2</v>
      </c>
      <c r="AI1536" s="41">
        <f>IFERROR(LOOKUP(X1536,打分卡!$F$13:$J$13,打分卡!$K$13:$O$13),1)</f>
        <v>2</v>
      </c>
      <c r="AJ1536" s="41">
        <f>IFERROR(LOOKUP(Y1536,打分卡!$F$14:$J$14,打分卡!$K$14:$O$14),1)</f>
        <v>2</v>
      </c>
      <c r="AK1536" s="41">
        <f>IFERROR(LOOKUP(W1536,打分卡!$F$15:$J$15,打分卡!$K$15:$O$15),1)</f>
        <v>2</v>
      </c>
      <c r="AL1536" s="43">
        <f t="shared" si="185"/>
        <v>1</v>
      </c>
      <c r="AM1536" s="41">
        <f>IFERROR(LOOKUP(Z1536,打分卡!$F$17:$H$17,打分卡!$K$17:$M$17),1)</f>
        <v>1</v>
      </c>
      <c r="AN1536" s="44">
        <f>(打分卡!$D$7*AC1536+打分卡!$D$8*AD1536+打分卡!$D$9*AE1536)/5</f>
        <v>8</v>
      </c>
      <c r="AO1536" s="44">
        <f>(打分卡!$D$10*AF1536+打分卡!$D$11*AG1536)/5</f>
        <v>4</v>
      </c>
      <c r="AP1536" s="44">
        <f>(打分卡!$D$12*AH1536+打分卡!$D$13*AI1536+打分卡!$D$14*AJ1536+打分卡!$D$15*AK1536)/5</f>
        <v>12</v>
      </c>
      <c r="AQ1536" s="44">
        <f>(打分卡!$D$16*AL1536+打分卡!$D$17*AM1536)/5</f>
        <v>2</v>
      </c>
      <c r="AR1536" s="47">
        <f t="shared" si="186"/>
        <v>26</v>
      </c>
      <c r="AS1536" s="43" t="str">
        <f t="shared" si="187"/>
        <v>未激活</v>
      </c>
      <c r="AT1536" s="43" t="str">
        <f t="shared" si="188"/>
        <v>连续下降-预警</v>
      </c>
      <c r="AU1536" s="43" t="str">
        <f t="shared" si="189"/>
        <v>唤醒：短信模板+首充补贴</v>
      </c>
    </row>
    <row r="1537" ht="15" customHeight="1" spans="1:47">
      <c r="A1537" s="20" t="s">
        <v>3950</v>
      </c>
      <c r="B1537" s="22" t="s">
        <v>3951</v>
      </c>
      <c r="C1537" s="22" t="s">
        <v>234</v>
      </c>
      <c r="D1537" s="22" t="s">
        <v>202</v>
      </c>
      <c r="E1537" s="22" t="s">
        <v>181</v>
      </c>
      <c r="F1537" s="20" t="s">
        <v>3952</v>
      </c>
      <c r="G1537" s="22">
        <v>34</v>
      </c>
      <c r="H1537" s="22" t="s">
        <v>3535</v>
      </c>
      <c r="I1537" s="22" t="s">
        <v>302</v>
      </c>
      <c r="J1537" s="36">
        <v>0</v>
      </c>
      <c r="K1537" s="36">
        <v>0</v>
      </c>
      <c r="L1537" s="36">
        <v>0</v>
      </c>
      <c r="M1537" s="36">
        <f t="shared" si="184"/>
        <v>0</v>
      </c>
      <c r="N1537" s="34">
        <f t="shared" si="190"/>
        <v>0</v>
      </c>
      <c r="O1537" s="35">
        <f>SUM($M$2:M1537)</f>
        <v>190743600</v>
      </c>
      <c r="P1537" s="34">
        <f t="shared" si="191"/>
        <v>1</v>
      </c>
      <c r="Q1537" s="39">
        <v>0</v>
      </c>
      <c r="R1537" s="22">
        <v>0</v>
      </c>
      <c r="S1537" s="22">
        <v>0</v>
      </c>
      <c r="T1537" s="22">
        <v>0</v>
      </c>
      <c r="U1537" s="39">
        <v>3.5</v>
      </c>
      <c r="V1537" s="22">
        <v>5</v>
      </c>
      <c r="W1537" s="22">
        <v>0</v>
      </c>
      <c r="X1537" s="40">
        <v>79</v>
      </c>
      <c r="Y1537" s="22">
        <v>1</v>
      </c>
      <c r="Z1537" s="22">
        <v>0</v>
      </c>
      <c r="AA1537" s="22" t="s">
        <v>212</v>
      </c>
      <c r="AB1537" s="22" t="s">
        <v>220</v>
      </c>
      <c r="AC1537" s="42">
        <f>IFERROR(LOOKUP(M1537,打分卡!$F$7:$J$7,打分卡!$K$7:$O$7),1)</f>
        <v>1</v>
      </c>
      <c r="AD1537" s="42">
        <f>IFERROR(LOOKUP(S1537,打分卡!$F$8:$J$8,打分卡!$K$8:$O$8),1)</f>
        <v>1</v>
      </c>
      <c r="AE1537" s="42">
        <f>IFERROR(LOOKUP(T1537,打分卡!$F$9:$I$9,打分卡!$K$9:$N$9),1)</f>
        <v>1</v>
      </c>
      <c r="AF1537" s="42">
        <f>IFERROR(LOOKUP(Q1537,打分卡!$F$10:$J$10,打分卡!$K$10:$O$10),1)</f>
        <v>1</v>
      </c>
      <c r="AG1537" s="42">
        <f>IFERROR(LOOKUP(R1537,打分卡!$F$11:$J$11,打分卡!$K$11:$O$11),1)</f>
        <v>1</v>
      </c>
      <c r="AH1537" s="42">
        <f>IFERROR(LOOKUP(U1537,打分卡!$F$12:$J$12,打分卡!$K$12:$O$12),1)</f>
        <v>2</v>
      </c>
      <c r="AI1537" s="42">
        <f>IFERROR(LOOKUP(X1537,打分卡!$F$13:$J$13,打分卡!$K$13:$O$13),1)</f>
        <v>3</v>
      </c>
      <c r="AJ1537" s="42">
        <f>IFERROR(LOOKUP(Y1537,打分卡!$F$14:$J$14,打分卡!$K$14:$O$14),1)</f>
        <v>2</v>
      </c>
      <c r="AK1537" s="42">
        <f>IFERROR(LOOKUP(W1537,打分卡!$F$15:$J$15,打分卡!$K$15:$O$15),1)</f>
        <v>1</v>
      </c>
      <c r="AL1537" s="45">
        <f t="shared" si="185"/>
        <v>1</v>
      </c>
      <c r="AM1537" s="42">
        <f>IFERROR(LOOKUP(Z1537,打分卡!$F$17:$H$17,打分卡!$K$17:$M$17),1)</f>
        <v>1</v>
      </c>
      <c r="AN1537" s="46">
        <f>(打分卡!$D$7*AC1537+打分卡!$D$8*AD1537+打分卡!$D$9*AE1537)/5</f>
        <v>8</v>
      </c>
      <c r="AO1537" s="46">
        <f>(打分卡!$D$10*AF1537+打分卡!$D$11*AG1537)/5</f>
        <v>4</v>
      </c>
      <c r="AP1537" s="46">
        <f>(打分卡!$D$12*AH1537+打分卡!$D$13*AI1537+打分卡!$D$14*AJ1537+打分卡!$D$15*AK1537)/5</f>
        <v>12.8</v>
      </c>
      <c r="AQ1537" s="46">
        <f>(打分卡!$D$16*AL1537+打分卡!$D$17*AM1537)/5</f>
        <v>2</v>
      </c>
      <c r="AR1537" s="48">
        <f t="shared" si="186"/>
        <v>26.8</v>
      </c>
      <c r="AS1537" s="45" t="str">
        <f t="shared" si="187"/>
        <v>未激活</v>
      </c>
      <c r="AT1537" s="45" t="str">
        <f t="shared" si="188"/>
        <v>连续下降-预警</v>
      </c>
      <c r="AU1537" s="45" t="str">
        <f t="shared" si="189"/>
        <v>唤醒：短信模板+首充补贴</v>
      </c>
    </row>
    <row r="1538" ht="15" customHeight="1" spans="1:47">
      <c r="A1538" s="30" t="s">
        <v>3953</v>
      </c>
      <c r="B1538" s="31" t="s">
        <v>3954</v>
      </c>
      <c r="C1538" s="31" t="s">
        <v>189</v>
      </c>
      <c r="D1538" s="31" t="s">
        <v>180</v>
      </c>
      <c r="E1538" s="31" t="s">
        <v>197</v>
      </c>
      <c r="F1538" s="30" t="s">
        <v>231</v>
      </c>
      <c r="G1538" s="31">
        <v>23</v>
      </c>
      <c r="H1538" s="31" t="s">
        <v>3535</v>
      </c>
      <c r="I1538" s="31" t="s">
        <v>302</v>
      </c>
      <c r="J1538" s="33">
        <v>0</v>
      </c>
      <c r="K1538" s="33">
        <v>0</v>
      </c>
      <c r="L1538" s="33">
        <v>0</v>
      </c>
      <c r="M1538" s="33">
        <f t="shared" ref="M1538:M1601" si="192">SUM(J1538:L1538)</f>
        <v>0</v>
      </c>
      <c r="N1538" s="34">
        <f t="shared" si="190"/>
        <v>0</v>
      </c>
      <c r="O1538" s="35">
        <f>SUM($M$2:M1538)</f>
        <v>190743600</v>
      </c>
      <c r="P1538" s="34">
        <f t="shared" si="191"/>
        <v>1</v>
      </c>
      <c r="Q1538" s="37">
        <v>0</v>
      </c>
      <c r="R1538" s="31">
        <v>0</v>
      </c>
      <c r="S1538" s="31">
        <v>0</v>
      </c>
      <c r="T1538" s="31">
        <v>0</v>
      </c>
      <c r="U1538" s="37">
        <v>10.4</v>
      </c>
      <c r="V1538" s="31">
        <v>15</v>
      </c>
      <c r="W1538" s="31">
        <v>1</v>
      </c>
      <c r="X1538" s="38">
        <v>10</v>
      </c>
      <c r="Y1538" s="31">
        <v>0</v>
      </c>
      <c r="Z1538" s="31">
        <v>0</v>
      </c>
      <c r="AA1538" s="31" t="s">
        <v>212</v>
      </c>
      <c r="AB1538" s="31" t="s">
        <v>220</v>
      </c>
      <c r="AC1538" s="41">
        <f>IFERROR(LOOKUP(M1538,打分卡!$F$7:$J$7,打分卡!$K$7:$O$7),1)</f>
        <v>1</v>
      </c>
      <c r="AD1538" s="41">
        <f>IFERROR(LOOKUP(S1538,打分卡!$F$8:$J$8,打分卡!$K$8:$O$8),1)</f>
        <v>1</v>
      </c>
      <c r="AE1538" s="41">
        <f>IFERROR(LOOKUP(T1538,打分卡!$F$9:$I$9,打分卡!$K$9:$N$9),1)</f>
        <v>1</v>
      </c>
      <c r="AF1538" s="41">
        <f>IFERROR(LOOKUP(Q1538,打分卡!$F$10:$J$10,打分卡!$K$10:$O$10),1)</f>
        <v>1</v>
      </c>
      <c r="AG1538" s="41">
        <f>IFERROR(LOOKUP(R1538,打分卡!$F$11:$J$11,打分卡!$K$11:$O$11),1)</f>
        <v>1</v>
      </c>
      <c r="AH1538" s="41">
        <f>IFERROR(LOOKUP(U1538,打分卡!$F$12:$J$12,打分卡!$K$12:$O$12),1)</f>
        <v>2</v>
      </c>
      <c r="AI1538" s="41">
        <f>IFERROR(LOOKUP(X1538,打分卡!$F$13:$J$13,打分卡!$K$13:$O$13),1)</f>
        <v>1</v>
      </c>
      <c r="AJ1538" s="41">
        <f>IFERROR(LOOKUP(Y1538,打分卡!$F$14:$J$14,打分卡!$K$14:$O$14),1)</f>
        <v>1</v>
      </c>
      <c r="AK1538" s="41">
        <f>IFERROR(LOOKUP(W1538,打分卡!$F$15:$J$15,打分卡!$K$15:$O$15),1)</f>
        <v>2</v>
      </c>
      <c r="AL1538" s="43">
        <f t="shared" ref="AL1538:AL1601" si="193">IF(AA1538="连续下降",1,IF(AA1538="下降",2,IF(AA1538="上升",5,3)))</f>
        <v>1</v>
      </c>
      <c r="AM1538" s="41">
        <f>IFERROR(LOOKUP(Z1538,打分卡!$F$17:$H$17,打分卡!$K$17:$M$17),1)</f>
        <v>1</v>
      </c>
      <c r="AN1538" s="44">
        <f>(打分卡!$D$7*AC1538+打分卡!$D$8*AD1538+打分卡!$D$9*AE1538)/5</f>
        <v>8</v>
      </c>
      <c r="AO1538" s="44">
        <f>(打分卡!$D$10*AF1538+打分卡!$D$11*AG1538)/5</f>
        <v>4</v>
      </c>
      <c r="AP1538" s="44">
        <f>(打分卡!$D$12*AH1538+打分卡!$D$13*AI1538+打分卡!$D$14*AJ1538+打分卡!$D$15*AK1538)/5</f>
        <v>9.2</v>
      </c>
      <c r="AQ1538" s="44">
        <f>(打分卡!$D$16*AL1538+打分卡!$D$17*AM1538)/5</f>
        <v>2</v>
      </c>
      <c r="AR1538" s="47">
        <f t="shared" ref="AR1538:AR1601" si="194">IF(G1538&lt;3,AP1538/30*40+AO1538+AP1538+AQ1538,AN1538+AO1538+AP1538+AQ1538)</f>
        <v>23.2</v>
      </c>
      <c r="AS1538" s="43" t="str">
        <f t="shared" ref="AS1538:AS1601" si="195">IF(M1538=0,IF(G1538&lt;3,"新客观察期","未激活"),IF(AR1538&gt;=90,"SKA",IF(AR1538&gt;=75,"KA",IF(AR1538&gt;=40,"腰部","基础长尾"))))</f>
        <v>未激活</v>
      </c>
      <c r="AT1538" s="43" t="str">
        <f t="shared" ref="AT1538:AT1601" si="196">IF(AA1538="连续下降","连续下降-预警","")</f>
        <v>连续下降-预警</v>
      </c>
      <c r="AU1538" s="43" t="str">
        <f t="shared" ref="AU1538:AU1601" si="197">IF(AS1538="SKA","守·共创：卡片短信/AI外呼新场景POC",IF(AS1538="KA","扩·深化：AI外呼场景深化+Push/企微补全",IF(AS1538="腰部","拉·主攻：主推AI外呼+大促作战包",IF(AS1538="新客观察期","培育：入门包+1v1场景教育",IF(AS1538="基础长尾","激活：企微+Push低成本先跑","唤醒：短信模板+首充补贴")))))</f>
        <v>唤醒：短信模板+首充补贴</v>
      </c>
    </row>
    <row r="1539" ht="15" customHeight="1" spans="1:47">
      <c r="A1539" s="20" t="s">
        <v>3955</v>
      </c>
      <c r="B1539" s="22" t="s">
        <v>3956</v>
      </c>
      <c r="C1539" s="22" t="s">
        <v>195</v>
      </c>
      <c r="D1539" s="22" t="s">
        <v>202</v>
      </c>
      <c r="E1539" s="22" t="s">
        <v>181</v>
      </c>
      <c r="F1539" s="20" t="s">
        <v>282</v>
      </c>
      <c r="G1539" s="22">
        <v>14</v>
      </c>
      <c r="H1539" s="22" t="s">
        <v>3535</v>
      </c>
      <c r="I1539" s="22" t="s">
        <v>302</v>
      </c>
      <c r="J1539" s="36">
        <v>0</v>
      </c>
      <c r="K1539" s="36">
        <v>0</v>
      </c>
      <c r="L1539" s="36">
        <v>0</v>
      </c>
      <c r="M1539" s="36">
        <f t="shared" si="192"/>
        <v>0</v>
      </c>
      <c r="N1539" s="34">
        <f t="shared" ref="N1539:N1602" si="198">M1539/$M$2002</f>
        <v>0</v>
      </c>
      <c r="O1539" s="35">
        <f>SUM($M$2:M1539)</f>
        <v>190743600</v>
      </c>
      <c r="P1539" s="34">
        <f t="shared" ref="P1539:P1602" si="199">O1539/$M$2002</f>
        <v>1</v>
      </c>
      <c r="Q1539" s="39">
        <v>0</v>
      </c>
      <c r="R1539" s="22">
        <v>0</v>
      </c>
      <c r="S1539" s="22">
        <v>0</v>
      </c>
      <c r="T1539" s="22">
        <v>0</v>
      </c>
      <c r="U1539" s="39">
        <v>15.3</v>
      </c>
      <c r="V1539" s="22">
        <v>14</v>
      </c>
      <c r="W1539" s="22">
        <v>2</v>
      </c>
      <c r="X1539" s="40">
        <v>16</v>
      </c>
      <c r="Y1539" s="22">
        <v>0</v>
      </c>
      <c r="Z1539" s="22">
        <v>0</v>
      </c>
      <c r="AA1539" s="22" t="s">
        <v>212</v>
      </c>
      <c r="AB1539" s="22" t="s">
        <v>220</v>
      </c>
      <c r="AC1539" s="42">
        <f>IFERROR(LOOKUP(M1539,打分卡!$F$7:$J$7,打分卡!$K$7:$O$7),1)</f>
        <v>1</v>
      </c>
      <c r="AD1539" s="42">
        <f>IFERROR(LOOKUP(S1539,打分卡!$F$8:$J$8,打分卡!$K$8:$O$8),1)</f>
        <v>1</v>
      </c>
      <c r="AE1539" s="42">
        <f>IFERROR(LOOKUP(T1539,打分卡!$F$9:$I$9,打分卡!$K$9:$N$9),1)</f>
        <v>1</v>
      </c>
      <c r="AF1539" s="42">
        <f>IFERROR(LOOKUP(Q1539,打分卡!$F$10:$J$10,打分卡!$K$10:$O$10),1)</f>
        <v>1</v>
      </c>
      <c r="AG1539" s="42">
        <f>IFERROR(LOOKUP(R1539,打分卡!$F$11:$J$11,打分卡!$K$11:$O$11),1)</f>
        <v>1</v>
      </c>
      <c r="AH1539" s="42">
        <f>IFERROR(LOOKUP(U1539,打分卡!$F$12:$J$12,打分卡!$K$12:$O$12),1)</f>
        <v>3</v>
      </c>
      <c r="AI1539" s="42">
        <f>IFERROR(LOOKUP(X1539,打分卡!$F$13:$J$13,打分卡!$K$13:$O$13),1)</f>
        <v>1</v>
      </c>
      <c r="AJ1539" s="42">
        <f>IFERROR(LOOKUP(Y1539,打分卡!$F$14:$J$14,打分卡!$K$14:$O$14),1)</f>
        <v>1</v>
      </c>
      <c r="AK1539" s="42">
        <f>IFERROR(LOOKUP(W1539,打分卡!$F$15:$J$15,打分卡!$K$15:$O$15),1)</f>
        <v>2</v>
      </c>
      <c r="AL1539" s="45">
        <f t="shared" si="193"/>
        <v>1</v>
      </c>
      <c r="AM1539" s="42">
        <f>IFERROR(LOOKUP(Z1539,打分卡!$F$17:$H$17,打分卡!$K$17:$M$17),1)</f>
        <v>1</v>
      </c>
      <c r="AN1539" s="46">
        <f>(打分卡!$D$7*AC1539+打分卡!$D$8*AD1539+打分卡!$D$9*AE1539)/5</f>
        <v>8</v>
      </c>
      <c r="AO1539" s="46">
        <f>(打分卡!$D$10*AF1539+打分卡!$D$11*AG1539)/5</f>
        <v>4</v>
      </c>
      <c r="AP1539" s="46">
        <f>(打分卡!$D$12*AH1539+打分卡!$D$13*AI1539+打分卡!$D$14*AJ1539+打分卡!$D$15*AK1539)/5</f>
        <v>11.6</v>
      </c>
      <c r="AQ1539" s="46">
        <f>(打分卡!$D$16*AL1539+打分卡!$D$17*AM1539)/5</f>
        <v>2</v>
      </c>
      <c r="AR1539" s="48">
        <f t="shared" si="194"/>
        <v>25.6</v>
      </c>
      <c r="AS1539" s="45" t="str">
        <f t="shared" si="195"/>
        <v>未激活</v>
      </c>
      <c r="AT1539" s="45" t="str">
        <f t="shared" si="196"/>
        <v>连续下降-预警</v>
      </c>
      <c r="AU1539" s="45" t="str">
        <f t="shared" si="197"/>
        <v>唤醒：短信模板+首充补贴</v>
      </c>
    </row>
    <row r="1540" ht="15" customHeight="1" spans="1:47">
      <c r="A1540" s="30" t="s">
        <v>3957</v>
      </c>
      <c r="B1540" s="31" t="s">
        <v>3958</v>
      </c>
      <c r="C1540" s="31" t="s">
        <v>218</v>
      </c>
      <c r="D1540" s="31" t="s">
        <v>202</v>
      </c>
      <c r="E1540" s="31" t="s">
        <v>197</v>
      </c>
      <c r="F1540" s="30" t="s">
        <v>1722</v>
      </c>
      <c r="G1540" s="31">
        <v>20</v>
      </c>
      <c r="H1540" s="31" t="s">
        <v>3535</v>
      </c>
      <c r="I1540" s="31" t="s">
        <v>302</v>
      </c>
      <c r="J1540" s="33">
        <v>0</v>
      </c>
      <c r="K1540" s="33">
        <v>0</v>
      </c>
      <c r="L1540" s="33">
        <v>0</v>
      </c>
      <c r="M1540" s="33">
        <f t="shared" si="192"/>
        <v>0</v>
      </c>
      <c r="N1540" s="34">
        <f t="shared" si="198"/>
        <v>0</v>
      </c>
      <c r="O1540" s="35">
        <f>SUM($M$2:M1540)</f>
        <v>190743600</v>
      </c>
      <c r="P1540" s="34">
        <f t="shared" si="199"/>
        <v>1</v>
      </c>
      <c r="Q1540" s="37">
        <v>0</v>
      </c>
      <c r="R1540" s="31">
        <v>0</v>
      </c>
      <c r="S1540" s="31">
        <v>0</v>
      </c>
      <c r="T1540" s="31">
        <v>0</v>
      </c>
      <c r="U1540" s="37">
        <v>9.8</v>
      </c>
      <c r="V1540" s="31">
        <v>10</v>
      </c>
      <c r="W1540" s="31">
        <v>2</v>
      </c>
      <c r="X1540" s="38">
        <v>6</v>
      </c>
      <c r="Y1540" s="31">
        <v>0</v>
      </c>
      <c r="Z1540" s="31">
        <v>0</v>
      </c>
      <c r="AA1540" s="31" t="s">
        <v>212</v>
      </c>
      <c r="AB1540" s="31" t="s">
        <v>220</v>
      </c>
      <c r="AC1540" s="41">
        <f>IFERROR(LOOKUP(M1540,打分卡!$F$7:$J$7,打分卡!$K$7:$O$7),1)</f>
        <v>1</v>
      </c>
      <c r="AD1540" s="41">
        <f>IFERROR(LOOKUP(S1540,打分卡!$F$8:$J$8,打分卡!$K$8:$O$8),1)</f>
        <v>1</v>
      </c>
      <c r="AE1540" s="41">
        <f>IFERROR(LOOKUP(T1540,打分卡!$F$9:$I$9,打分卡!$K$9:$N$9),1)</f>
        <v>1</v>
      </c>
      <c r="AF1540" s="41">
        <f>IFERROR(LOOKUP(Q1540,打分卡!$F$10:$J$10,打分卡!$K$10:$O$10),1)</f>
        <v>1</v>
      </c>
      <c r="AG1540" s="41">
        <f>IFERROR(LOOKUP(R1540,打分卡!$F$11:$J$11,打分卡!$K$11:$O$11),1)</f>
        <v>1</v>
      </c>
      <c r="AH1540" s="41">
        <f>IFERROR(LOOKUP(U1540,打分卡!$F$12:$J$12,打分卡!$K$12:$O$12),1)</f>
        <v>2</v>
      </c>
      <c r="AI1540" s="41">
        <f>IFERROR(LOOKUP(X1540,打分卡!$F$13:$J$13,打分卡!$K$13:$O$13),1)</f>
        <v>1</v>
      </c>
      <c r="AJ1540" s="41">
        <f>IFERROR(LOOKUP(Y1540,打分卡!$F$14:$J$14,打分卡!$K$14:$O$14),1)</f>
        <v>1</v>
      </c>
      <c r="AK1540" s="41">
        <f>IFERROR(LOOKUP(W1540,打分卡!$F$15:$J$15,打分卡!$K$15:$O$15),1)</f>
        <v>2</v>
      </c>
      <c r="AL1540" s="43">
        <f t="shared" si="193"/>
        <v>1</v>
      </c>
      <c r="AM1540" s="41">
        <f>IFERROR(LOOKUP(Z1540,打分卡!$F$17:$H$17,打分卡!$K$17:$M$17),1)</f>
        <v>1</v>
      </c>
      <c r="AN1540" s="44">
        <f>(打分卡!$D$7*AC1540+打分卡!$D$8*AD1540+打分卡!$D$9*AE1540)/5</f>
        <v>8</v>
      </c>
      <c r="AO1540" s="44">
        <f>(打分卡!$D$10*AF1540+打分卡!$D$11*AG1540)/5</f>
        <v>4</v>
      </c>
      <c r="AP1540" s="44">
        <f>(打分卡!$D$12*AH1540+打分卡!$D$13*AI1540+打分卡!$D$14*AJ1540+打分卡!$D$15*AK1540)/5</f>
        <v>9.2</v>
      </c>
      <c r="AQ1540" s="44">
        <f>(打分卡!$D$16*AL1540+打分卡!$D$17*AM1540)/5</f>
        <v>2</v>
      </c>
      <c r="AR1540" s="47">
        <f t="shared" si="194"/>
        <v>23.2</v>
      </c>
      <c r="AS1540" s="43" t="str">
        <f t="shared" si="195"/>
        <v>未激活</v>
      </c>
      <c r="AT1540" s="43" t="str">
        <f t="shared" si="196"/>
        <v>连续下降-预警</v>
      </c>
      <c r="AU1540" s="43" t="str">
        <f t="shared" si="197"/>
        <v>唤醒：短信模板+首充补贴</v>
      </c>
    </row>
    <row r="1541" ht="15" customHeight="1" spans="1:47">
      <c r="A1541" s="20" t="s">
        <v>3959</v>
      </c>
      <c r="B1541" s="22" t="s">
        <v>3960</v>
      </c>
      <c r="C1541" s="22" t="s">
        <v>195</v>
      </c>
      <c r="D1541" s="22" t="s">
        <v>252</v>
      </c>
      <c r="E1541" s="22" t="s">
        <v>181</v>
      </c>
      <c r="F1541" s="20" t="s">
        <v>711</v>
      </c>
      <c r="G1541" s="22">
        <v>23</v>
      </c>
      <c r="H1541" s="22" t="s">
        <v>3535</v>
      </c>
      <c r="I1541" s="22" t="s">
        <v>302</v>
      </c>
      <c r="J1541" s="36">
        <v>0</v>
      </c>
      <c r="K1541" s="36">
        <v>0</v>
      </c>
      <c r="L1541" s="36">
        <v>0</v>
      </c>
      <c r="M1541" s="36">
        <f t="shared" si="192"/>
        <v>0</v>
      </c>
      <c r="N1541" s="34">
        <f t="shared" si="198"/>
        <v>0</v>
      </c>
      <c r="O1541" s="35">
        <f>SUM($M$2:M1541)</f>
        <v>190743600</v>
      </c>
      <c r="P1541" s="34">
        <f t="shared" si="199"/>
        <v>1</v>
      </c>
      <c r="Q1541" s="39">
        <v>0</v>
      </c>
      <c r="R1541" s="22">
        <v>0</v>
      </c>
      <c r="S1541" s="22">
        <v>0</v>
      </c>
      <c r="T1541" s="22">
        <v>0</v>
      </c>
      <c r="U1541" s="39">
        <v>4.4</v>
      </c>
      <c r="V1541" s="22">
        <v>3</v>
      </c>
      <c r="W1541" s="22">
        <v>0</v>
      </c>
      <c r="X1541" s="40">
        <v>38</v>
      </c>
      <c r="Y1541" s="22">
        <v>1</v>
      </c>
      <c r="Z1541" s="22">
        <v>0</v>
      </c>
      <c r="AA1541" s="22" t="s">
        <v>212</v>
      </c>
      <c r="AB1541" s="22" t="s">
        <v>220</v>
      </c>
      <c r="AC1541" s="42">
        <f>IFERROR(LOOKUP(M1541,打分卡!$F$7:$J$7,打分卡!$K$7:$O$7),1)</f>
        <v>1</v>
      </c>
      <c r="AD1541" s="42">
        <f>IFERROR(LOOKUP(S1541,打分卡!$F$8:$J$8,打分卡!$K$8:$O$8),1)</f>
        <v>1</v>
      </c>
      <c r="AE1541" s="42">
        <f>IFERROR(LOOKUP(T1541,打分卡!$F$9:$I$9,打分卡!$K$9:$N$9),1)</f>
        <v>1</v>
      </c>
      <c r="AF1541" s="42">
        <f>IFERROR(LOOKUP(Q1541,打分卡!$F$10:$J$10,打分卡!$K$10:$O$10),1)</f>
        <v>1</v>
      </c>
      <c r="AG1541" s="42">
        <f>IFERROR(LOOKUP(R1541,打分卡!$F$11:$J$11,打分卡!$K$11:$O$11),1)</f>
        <v>1</v>
      </c>
      <c r="AH1541" s="42">
        <f>IFERROR(LOOKUP(U1541,打分卡!$F$12:$J$12,打分卡!$K$12:$O$12),1)</f>
        <v>2</v>
      </c>
      <c r="AI1541" s="42">
        <f>IFERROR(LOOKUP(X1541,打分卡!$F$13:$J$13,打分卡!$K$13:$O$13),1)</f>
        <v>2</v>
      </c>
      <c r="AJ1541" s="42">
        <f>IFERROR(LOOKUP(Y1541,打分卡!$F$14:$J$14,打分卡!$K$14:$O$14),1)</f>
        <v>2</v>
      </c>
      <c r="AK1541" s="42">
        <f>IFERROR(LOOKUP(W1541,打分卡!$F$15:$J$15,打分卡!$K$15:$O$15),1)</f>
        <v>1</v>
      </c>
      <c r="AL1541" s="45">
        <f t="shared" si="193"/>
        <v>1</v>
      </c>
      <c r="AM1541" s="42">
        <f>IFERROR(LOOKUP(Z1541,打分卡!$F$17:$H$17,打分卡!$K$17:$M$17),1)</f>
        <v>1</v>
      </c>
      <c r="AN1541" s="46">
        <f>(打分卡!$D$7*AC1541+打分卡!$D$8*AD1541+打分卡!$D$9*AE1541)/5</f>
        <v>8</v>
      </c>
      <c r="AO1541" s="46">
        <f>(打分卡!$D$10*AF1541+打分卡!$D$11*AG1541)/5</f>
        <v>4</v>
      </c>
      <c r="AP1541" s="46">
        <f>(打分卡!$D$12*AH1541+打分卡!$D$13*AI1541+打分卡!$D$14*AJ1541+打分卡!$D$15*AK1541)/5</f>
        <v>11.2</v>
      </c>
      <c r="AQ1541" s="46">
        <f>(打分卡!$D$16*AL1541+打分卡!$D$17*AM1541)/5</f>
        <v>2</v>
      </c>
      <c r="AR1541" s="48">
        <f t="shared" si="194"/>
        <v>25.2</v>
      </c>
      <c r="AS1541" s="45" t="str">
        <f t="shared" si="195"/>
        <v>未激活</v>
      </c>
      <c r="AT1541" s="45" t="str">
        <f t="shared" si="196"/>
        <v>连续下降-预警</v>
      </c>
      <c r="AU1541" s="45" t="str">
        <f t="shared" si="197"/>
        <v>唤醒：短信模板+首充补贴</v>
      </c>
    </row>
    <row r="1542" ht="15" customHeight="1" spans="1:47">
      <c r="A1542" s="30" t="s">
        <v>3961</v>
      </c>
      <c r="B1542" s="31" t="s">
        <v>3962</v>
      </c>
      <c r="C1542" s="31" t="s">
        <v>239</v>
      </c>
      <c r="D1542" s="31" t="s">
        <v>202</v>
      </c>
      <c r="E1542" s="31" t="s">
        <v>181</v>
      </c>
      <c r="F1542" s="30" t="s">
        <v>519</v>
      </c>
      <c r="G1542" s="31">
        <v>13</v>
      </c>
      <c r="H1542" s="31" t="s">
        <v>3535</v>
      </c>
      <c r="I1542" s="31" t="s">
        <v>302</v>
      </c>
      <c r="J1542" s="33">
        <v>0</v>
      </c>
      <c r="K1542" s="33">
        <v>0</v>
      </c>
      <c r="L1542" s="33">
        <v>0</v>
      </c>
      <c r="M1542" s="33">
        <f t="shared" si="192"/>
        <v>0</v>
      </c>
      <c r="N1542" s="34">
        <f t="shared" si="198"/>
        <v>0</v>
      </c>
      <c r="O1542" s="35">
        <f>SUM($M$2:M1542)</f>
        <v>190743600</v>
      </c>
      <c r="P1542" s="34">
        <f t="shared" si="199"/>
        <v>1</v>
      </c>
      <c r="Q1542" s="37">
        <v>0</v>
      </c>
      <c r="R1542" s="31">
        <v>0</v>
      </c>
      <c r="S1542" s="31">
        <v>0</v>
      </c>
      <c r="T1542" s="31">
        <v>0</v>
      </c>
      <c r="U1542" s="37">
        <v>9.5</v>
      </c>
      <c r="V1542" s="31">
        <v>0</v>
      </c>
      <c r="W1542" s="31">
        <v>1</v>
      </c>
      <c r="X1542" s="38">
        <v>15</v>
      </c>
      <c r="Y1542" s="31">
        <v>1</v>
      </c>
      <c r="Z1542" s="31">
        <v>0</v>
      </c>
      <c r="AA1542" s="31" t="s">
        <v>212</v>
      </c>
      <c r="AB1542" s="31" t="s">
        <v>220</v>
      </c>
      <c r="AC1542" s="41">
        <f>IFERROR(LOOKUP(M1542,打分卡!$F$7:$J$7,打分卡!$K$7:$O$7),1)</f>
        <v>1</v>
      </c>
      <c r="AD1542" s="41">
        <f>IFERROR(LOOKUP(S1542,打分卡!$F$8:$J$8,打分卡!$K$8:$O$8),1)</f>
        <v>1</v>
      </c>
      <c r="AE1542" s="41">
        <f>IFERROR(LOOKUP(T1542,打分卡!$F$9:$I$9,打分卡!$K$9:$N$9),1)</f>
        <v>1</v>
      </c>
      <c r="AF1542" s="41">
        <f>IFERROR(LOOKUP(Q1542,打分卡!$F$10:$J$10,打分卡!$K$10:$O$10),1)</f>
        <v>1</v>
      </c>
      <c r="AG1542" s="41">
        <f>IFERROR(LOOKUP(R1542,打分卡!$F$11:$J$11,打分卡!$K$11:$O$11),1)</f>
        <v>1</v>
      </c>
      <c r="AH1542" s="41">
        <f>IFERROR(LOOKUP(U1542,打分卡!$F$12:$J$12,打分卡!$K$12:$O$12),1)</f>
        <v>2</v>
      </c>
      <c r="AI1542" s="41">
        <f>IFERROR(LOOKUP(X1542,打分卡!$F$13:$J$13,打分卡!$K$13:$O$13),1)</f>
        <v>1</v>
      </c>
      <c r="AJ1542" s="41">
        <f>IFERROR(LOOKUP(Y1542,打分卡!$F$14:$J$14,打分卡!$K$14:$O$14),1)</f>
        <v>2</v>
      </c>
      <c r="AK1542" s="41">
        <f>IFERROR(LOOKUP(W1542,打分卡!$F$15:$J$15,打分卡!$K$15:$O$15),1)</f>
        <v>2</v>
      </c>
      <c r="AL1542" s="43">
        <f t="shared" si="193"/>
        <v>1</v>
      </c>
      <c r="AM1542" s="41">
        <f>IFERROR(LOOKUP(Z1542,打分卡!$F$17:$H$17,打分卡!$K$17:$M$17),1)</f>
        <v>1</v>
      </c>
      <c r="AN1542" s="44">
        <f>(打分卡!$D$7*AC1542+打分卡!$D$8*AD1542+打分卡!$D$9*AE1542)/5</f>
        <v>8</v>
      </c>
      <c r="AO1542" s="44">
        <f>(打分卡!$D$10*AF1542+打分卡!$D$11*AG1542)/5</f>
        <v>4</v>
      </c>
      <c r="AP1542" s="44">
        <f>(打分卡!$D$12*AH1542+打分卡!$D$13*AI1542+打分卡!$D$14*AJ1542+打分卡!$D$15*AK1542)/5</f>
        <v>10.4</v>
      </c>
      <c r="AQ1542" s="44">
        <f>(打分卡!$D$16*AL1542+打分卡!$D$17*AM1542)/5</f>
        <v>2</v>
      </c>
      <c r="AR1542" s="47">
        <f t="shared" si="194"/>
        <v>24.4</v>
      </c>
      <c r="AS1542" s="43" t="str">
        <f t="shared" si="195"/>
        <v>未激活</v>
      </c>
      <c r="AT1542" s="43" t="str">
        <f t="shared" si="196"/>
        <v>连续下降-预警</v>
      </c>
      <c r="AU1542" s="43" t="str">
        <f t="shared" si="197"/>
        <v>唤醒：短信模板+首充补贴</v>
      </c>
    </row>
    <row r="1543" ht="15" customHeight="1" spans="1:47">
      <c r="A1543" s="20" t="s">
        <v>3963</v>
      </c>
      <c r="B1543" s="22" t="s">
        <v>3964</v>
      </c>
      <c r="C1543" s="22" t="s">
        <v>189</v>
      </c>
      <c r="D1543" s="22" t="s">
        <v>180</v>
      </c>
      <c r="E1543" s="22" t="s">
        <v>181</v>
      </c>
      <c r="F1543" s="20" t="s">
        <v>3965</v>
      </c>
      <c r="G1543" s="22">
        <v>32</v>
      </c>
      <c r="H1543" s="22" t="s">
        <v>3535</v>
      </c>
      <c r="I1543" s="22" t="s">
        <v>302</v>
      </c>
      <c r="J1543" s="36">
        <v>0</v>
      </c>
      <c r="K1543" s="36">
        <v>0</v>
      </c>
      <c r="L1543" s="36">
        <v>0</v>
      </c>
      <c r="M1543" s="36">
        <f t="shared" si="192"/>
        <v>0</v>
      </c>
      <c r="N1543" s="34">
        <f t="shared" si="198"/>
        <v>0</v>
      </c>
      <c r="O1543" s="35">
        <f>SUM($M$2:M1543)</f>
        <v>190743600</v>
      </c>
      <c r="P1543" s="34">
        <f t="shared" si="199"/>
        <v>1</v>
      </c>
      <c r="Q1543" s="39">
        <v>0</v>
      </c>
      <c r="R1543" s="22">
        <v>0</v>
      </c>
      <c r="S1543" s="22">
        <v>0</v>
      </c>
      <c r="T1543" s="22">
        <v>0</v>
      </c>
      <c r="U1543" s="39">
        <v>16.5</v>
      </c>
      <c r="V1543" s="22">
        <v>6</v>
      </c>
      <c r="W1543" s="22">
        <v>1</v>
      </c>
      <c r="X1543" s="40">
        <v>5</v>
      </c>
      <c r="Y1543" s="22">
        <v>1</v>
      </c>
      <c r="Z1543" s="22">
        <v>0</v>
      </c>
      <c r="AA1543" s="22" t="s">
        <v>212</v>
      </c>
      <c r="AB1543" s="22" t="s">
        <v>220</v>
      </c>
      <c r="AC1543" s="42">
        <f>IFERROR(LOOKUP(M1543,打分卡!$F$7:$J$7,打分卡!$K$7:$O$7),1)</f>
        <v>1</v>
      </c>
      <c r="AD1543" s="42">
        <f>IFERROR(LOOKUP(S1543,打分卡!$F$8:$J$8,打分卡!$K$8:$O$8),1)</f>
        <v>1</v>
      </c>
      <c r="AE1543" s="42">
        <f>IFERROR(LOOKUP(T1543,打分卡!$F$9:$I$9,打分卡!$K$9:$N$9),1)</f>
        <v>1</v>
      </c>
      <c r="AF1543" s="42">
        <f>IFERROR(LOOKUP(Q1543,打分卡!$F$10:$J$10,打分卡!$K$10:$O$10),1)</f>
        <v>1</v>
      </c>
      <c r="AG1543" s="42">
        <f>IFERROR(LOOKUP(R1543,打分卡!$F$11:$J$11,打分卡!$K$11:$O$11),1)</f>
        <v>1</v>
      </c>
      <c r="AH1543" s="42">
        <f>IFERROR(LOOKUP(U1543,打分卡!$F$12:$J$12,打分卡!$K$12:$O$12),1)</f>
        <v>3</v>
      </c>
      <c r="AI1543" s="42">
        <f>IFERROR(LOOKUP(X1543,打分卡!$F$13:$J$13,打分卡!$K$13:$O$13),1)</f>
        <v>1</v>
      </c>
      <c r="AJ1543" s="42">
        <f>IFERROR(LOOKUP(Y1543,打分卡!$F$14:$J$14,打分卡!$K$14:$O$14),1)</f>
        <v>2</v>
      </c>
      <c r="AK1543" s="42">
        <f>IFERROR(LOOKUP(W1543,打分卡!$F$15:$J$15,打分卡!$K$15:$O$15),1)</f>
        <v>2</v>
      </c>
      <c r="AL1543" s="45">
        <f t="shared" si="193"/>
        <v>1</v>
      </c>
      <c r="AM1543" s="42">
        <f>IFERROR(LOOKUP(Z1543,打分卡!$F$17:$H$17,打分卡!$K$17:$M$17),1)</f>
        <v>1</v>
      </c>
      <c r="AN1543" s="46">
        <f>(打分卡!$D$7*AC1543+打分卡!$D$8*AD1543+打分卡!$D$9*AE1543)/5</f>
        <v>8</v>
      </c>
      <c r="AO1543" s="46">
        <f>(打分卡!$D$10*AF1543+打分卡!$D$11*AG1543)/5</f>
        <v>4</v>
      </c>
      <c r="AP1543" s="46">
        <f>(打分卡!$D$12*AH1543+打分卡!$D$13*AI1543+打分卡!$D$14*AJ1543+打分卡!$D$15*AK1543)/5</f>
        <v>12.8</v>
      </c>
      <c r="AQ1543" s="46">
        <f>(打分卡!$D$16*AL1543+打分卡!$D$17*AM1543)/5</f>
        <v>2</v>
      </c>
      <c r="AR1543" s="48">
        <f t="shared" si="194"/>
        <v>26.8</v>
      </c>
      <c r="AS1543" s="45" t="str">
        <f t="shared" si="195"/>
        <v>未激活</v>
      </c>
      <c r="AT1543" s="45" t="str">
        <f t="shared" si="196"/>
        <v>连续下降-预警</v>
      </c>
      <c r="AU1543" s="45" t="str">
        <f t="shared" si="197"/>
        <v>唤醒：短信模板+首充补贴</v>
      </c>
    </row>
    <row r="1544" ht="15" customHeight="1" spans="1:47">
      <c r="A1544" s="30" t="s">
        <v>3966</v>
      </c>
      <c r="B1544" s="31" t="s">
        <v>3967</v>
      </c>
      <c r="C1544" s="31" t="s">
        <v>189</v>
      </c>
      <c r="D1544" s="31" t="s">
        <v>196</v>
      </c>
      <c r="E1544" s="31" t="s">
        <v>181</v>
      </c>
      <c r="F1544" s="30" t="s">
        <v>3968</v>
      </c>
      <c r="G1544" s="31">
        <v>28</v>
      </c>
      <c r="H1544" s="31" t="s">
        <v>3535</v>
      </c>
      <c r="I1544" s="31" t="s">
        <v>302</v>
      </c>
      <c r="J1544" s="33">
        <v>0</v>
      </c>
      <c r="K1544" s="33">
        <v>0</v>
      </c>
      <c r="L1544" s="33">
        <v>0</v>
      </c>
      <c r="M1544" s="33">
        <f t="shared" si="192"/>
        <v>0</v>
      </c>
      <c r="N1544" s="34">
        <f t="shared" si="198"/>
        <v>0</v>
      </c>
      <c r="O1544" s="35">
        <f>SUM($M$2:M1544)</f>
        <v>190743600</v>
      </c>
      <c r="P1544" s="34">
        <f t="shared" si="199"/>
        <v>1</v>
      </c>
      <c r="Q1544" s="37">
        <v>0</v>
      </c>
      <c r="R1544" s="31">
        <v>0</v>
      </c>
      <c r="S1544" s="31">
        <v>0</v>
      </c>
      <c r="T1544" s="31">
        <v>0</v>
      </c>
      <c r="U1544" s="37">
        <v>10.2</v>
      </c>
      <c r="V1544" s="31">
        <v>6</v>
      </c>
      <c r="W1544" s="31">
        <v>2</v>
      </c>
      <c r="X1544" s="38">
        <v>41</v>
      </c>
      <c r="Y1544" s="31">
        <v>1</v>
      </c>
      <c r="Z1544" s="31">
        <v>0</v>
      </c>
      <c r="AA1544" s="31" t="s">
        <v>212</v>
      </c>
      <c r="AB1544" s="31" t="s">
        <v>220</v>
      </c>
      <c r="AC1544" s="41">
        <f>IFERROR(LOOKUP(M1544,打分卡!$F$7:$J$7,打分卡!$K$7:$O$7),1)</f>
        <v>1</v>
      </c>
      <c r="AD1544" s="41">
        <f>IFERROR(LOOKUP(S1544,打分卡!$F$8:$J$8,打分卡!$K$8:$O$8),1)</f>
        <v>1</v>
      </c>
      <c r="AE1544" s="41">
        <f>IFERROR(LOOKUP(T1544,打分卡!$F$9:$I$9,打分卡!$K$9:$N$9),1)</f>
        <v>1</v>
      </c>
      <c r="AF1544" s="41">
        <f>IFERROR(LOOKUP(Q1544,打分卡!$F$10:$J$10,打分卡!$K$10:$O$10),1)</f>
        <v>1</v>
      </c>
      <c r="AG1544" s="41">
        <f>IFERROR(LOOKUP(R1544,打分卡!$F$11:$J$11,打分卡!$K$11:$O$11),1)</f>
        <v>1</v>
      </c>
      <c r="AH1544" s="41">
        <f>IFERROR(LOOKUP(U1544,打分卡!$F$12:$J$12,打分卡!$K$12:$O$12),1)</f>
        <v>2</v>
      </c>
      <c r="AI1544" s="41">
        <f>IFERROR(LOOKUP(X1544,打分卡!$F$13:$J$13,打分卡!$K$13:$O$13),1)</f>
        <v>3</v>
      </c>
      <c r="AJ1544" s="41">
        <f>IFERROR(LOOKUP(Y1544,打分卡!$F$14:$J$14,打分卡!$K$14:$O$14),1)</f>
        <v>2</v>
      </c>
      <c r="AK1544" s="41">
        <f>IFERROR(LOOKUP(W1544,打分卡!$F$15:$J$15,打分卡!$K$15:$O$15),1)</f>
        <v>2</v>
      </c>
      <c r="AL1544" s="43">
        <f t="shared" si="193"/>
        <v>1</v>
      </c>
      <c r="AM1544" s="41">
        <f>IFERROR(LOOKUP(Z1544,打分卡!$F$17:$H$17,打分卡!$K$17:$M$17),1)</f>
        <v>1</v>
      </c>
      <c r="AN1544" s="44">
        <f>(打分卡!$D$7*AC1544+打分卡!$D$8*AD1544+打分卡!$D$9*AE1544)/5</f>
        <v>8</v>
      </c>
      <c r="AO1544" s="44">
        <f>(打分卡!$D$10*AF1544+打分卡!$D$11*AG1544)/5</f>
        <v>4</v>
      </c>
      <c r="AP1544" s="44">
        <f>(打分卡!$D$12*AH1544+打分卡!$D$13*AI1544+打分卡!$D$14*AJ1544+打分卡!$D$15*AK1544)/5</f>
        <v>13.6</v>
      </c>
      <c r="AQ1544" s="44">
        <f>(打分卡!$D$16*AL1544+打分卡!$D$17*AM1544)/5</f>
        <v>2</v>
      </c>
      <c r="AR1544" s="47">
        <f t="shared" si="194"/>
        <v>27.6</v>
      </c>
      <c r="AS1544" s="43" t="str">
        <f t="shared" si="195"/>
        <v>未激活</v>
      </c>
      <c r="AT1544" s="43" t="str">
        <f t="shared" si="196"/>
        <v>连续下降-预警</v>
      </c>
      <c r="AU1544" s="43" t="str">
        <f t="shared" si="197"/>
        <v>唤醒：短信模板+首充补贴</v>
      </c>
    </row>
    <row r="1545" ht="15" customHeight="1" spans="1:47">
      <c r="A1545" s="20" t="s">
        <v>3969</v>
      </c>
      <c r="B1545" s="22" t="s">
        <v>3970</v>
      </c>
      <c r="C1545" s="22" t="s">
        <v>239</v>
      </c>
      <c r="D1545" s="22" t="s">
        <v>235</v>
      </c>
      <c r="E1545" s="22" t="s">
        <v>181</v>
      </c>
      <c r="F1545" s="20" t="s">
        <v>3971</v>
      </c>
      <c r="G1545" s="22">
        <v>31</v>
      </c>
      <c r="H1545" s="22" t="s">
        <v>3535</v>
      </c>
      <c r="I1545" s="22" t="s">
        <v>302</v>
      </c>
      <c r="J1545" s="36">
        <v>0</v>
      </c>
      <c r="K1545" s="36">
        <v>0</v>
      </c>
      <c r="L1545" s="36">
        <v>0</v>
      </c>
      <c r="M1545" s="36">
        <f t="shared" si="192"/>
        <v>0</v>
      </c>
      <c r="N1545" s="34">
        <f t="shared" si="198"/>
        <v>0</v>
      </c>
      <c r="O1545" s="35">
        <f>SUM($M$2:M1545)</f>
        <v>190743600</v>
      </c>
      <c r="P1545" s="34">
        <f t="shared" si="199"/>
        <v>1</v>
      </c>
      <c r="Q1545" s="39">
        <v>0</v>
      </c>
      <c r="R1545" s="22">
        <v>0</v>
      </c>
      <c r="S1545" s="22">
        <v>0</v>
      </c>
      <c r="T1545" s="22">
        <v>0</v>
      </c>
      <c r="U1545" s="39">
        <v>3.4</v>
      </c>
      <c r="V1545" s="22">
        <v>4</v>
      </c>
      <c r="W1545" s="22">
        <v>0</v>
      </c>
      <c r="X1545" s="40">
        <v>21</v>
      </c>
      <c r="Y1545" s="22">
        <v>0</v>
      </c>
      <c r="Z1545" s="22">
        <v>0</v>
      </c>
      <c r="AA1545" s="22" t="s">
        <v>212</v>
      </c>
      <c r="AB1545" s="22" t="s">
        <v>220</v>
      </c>
      <c r="AC1545" s="42">
        <f>IFERROR(LOOKUP(M1545,打分卡!$F$7:$J$7,打分卡!$K$7:$O$7),1)</f>
        <v>1</v>
      </c>
      <c r="AD1545" s="42">
        <f>IFERROR(LOOKUP(S1545,打分卡!$F$8:$J$8,打分卡!$K$8:$O$8),1)</f>
        <v>1</v>
      </c>
      <c r="AE1545" s="42">
        <f>IFERROR(LOOKUP(T1545,打分卡!$F$9:$I$9,打分卡!$K$9:$N$9),1)</f>
        <v>1</v>
      </c>
      <c r="AF1545" s="42">
        <f>IFERROR(LOOKUP(Q1545,打分卡!$F$10:$J$10,打分卡!$K$10:$O$10),1)</f>
        <v>1</v>
      </c>
      <c r="AG1545" s="42">
        <f>IFERROR(LOOKUP(R1545,打分卡!$F$11:$J$11,打分卡!$K$11:$O$11),1)</f>
        <v>1</v>
      </c>
      <c r="AH1545" s="42">
        <f>IFERROR(LOOKUP(U1545,打分卡!$F$12:$J$12,打分卡!$K$12:$O$12),1)</f>
        <v>2</v>
      </c>
      <c r="AI1545" s="42">
        <f>IFERROR(LOOKUP(X1545,打分卡!$F$13:$J$13,打分卡!$K$13:$O$13),1)</f>
        <v>2</v>
      </c>
      <c r="AJ1545" s="42">
        <f>IFERROR(LOOKUP(Y1545,打分卡!$F$14:$J$14,打分卡!$K$14:$O$14),1)</f>
        <v>1</v>
      </c>
      <c r="AK1545" s="42">
        <f>IFERROR(LOOKUP(W1545,打分卡!$F$15:$J$15,打分卡!$K$15:$O$15),1)</f>
        <v>1</v>
      </c>
      <c r="AL1545" s="45">
        <f t="shared" si="193"/>
        <v>1</v>
      </c>
      <c r="AM1545" s="42">
        <f>IFERROR(LOOKUP(Z1545,打分卡!$F$17:$H$17,打分卡!$K$17:$M$17),1)</f>
        <v>1</v>
      </c>
      <c r="AN1545" s="46">
        <f>(打分卡!$D$7*AC1545+打分卡!$D$8*AD1545+打分卡!$D$9*AE1545)/5</f>
        <v>8</v>
      </c>
      <c r="AO1545" s="46">
        <f>(打分卡!$D$10*AF1545+打分卡!$D$11*AG1545)/5</f>
        <v>4</v>
      </c>
      <c r="AP1545" s="46">
        <f>(打分卡!$D$12*AH1545+打分卡!$D$13*AI1545+打分卡!$D$14*AJ1545+打分卡!$D$15*AK1545)/5</f>
        <v>10</v>
      </c>
      <c r="AQ1545" s="46">
        <f>(打分卡!$D$16*AL1545+打分卡!$D$17*AM1545)/5</f>
        <v>2</v>
      </c>
      <c r="AR1545" s="48">
        <f t="shared" si="194"/>
        <v>24</v>
      </c>
      <c r="AS1545" s="45" t="str">
        <f t="shared" si="195"/>
        <v>未激活</v>
      </c>
      <c r="AT1545" s="45" t="str">
        <f t="shared" si="196"/>
        <v>连续下降-预警</v>
      </c>
      <c r="AU1545" s="45" t="str">
        <f t="shared" si="197"/>
        <v>唤醒：短信模板+首充补贴</v>
      </c>
    </row>
    <row r="1546" ht="15" customHeight="1" spans="1:47">
      <c r="A1546" s="30" t="s">
        <v>3972</v>
      </c>
      <c r="B1546" s="31" t="s">
        <v>3973</v>
      </c>
      <c r="C1546" s="31" t="s">
        <v>239</v>
      </c>
      <c r="D1546" s="31" t="s">
        <v>190</v>
      </c>
      <c r="E1546" s="31" t="s">
        <v>197</v>
      </c>
      <c r="F1546" s="30" t="s">
        <v>879</v>
      </c>
      <c r="G1546" s="31">
        <v>21</v>
      </c>
      <c r="H1546" s="31" t="s">
        <v>3535</v>
      </c>
      <c r="I1546" s="31" t="s">
        <v>302</v>
      </c>
      <c r="J1546" s="33">
        <v>0</v>
      </c>
      <c r="K1546" s="33">
        <v>0</v>
      </c>
      <c r="L1546" s="33">
        <v>0</v>
      </c>
      <c r="M1546" s="33">
        <f t="shared" si="192"/>
        <v>0</v>
      </c>
      <c r="N1546" s="34">
        <f t="shared" si="198"/>
        <v>0</v>
      </c>
      <c r="O1546" s="35">
        <f>SUM($M$2:M1546)</f>
        <v>190743600</v>
      </c>
      <c r="P1546" s="34">
        <f t="shared" si="199"/>
        <v>1</v>
      </c>
      <c r="Q1546" s="37">
        <v>0</v>
      </c>
      <c r="R1546" s="31">
        <v>0</v>
      </c>
      <c r="S1546" s="31">
        <v>0</v>
      </c>
      <c r="T1546" s="31">
        <v>0</v>
      </c>
      <c r="U1546" s="37">
        <v>1.6</v>
      </c>
      <c r="V1546" s="31">
        <v>12</v>
      </c>
      <c r="W1546" s="31">
        <v>1</v>
      </c>
      <c r="X1546" s="38">
        <v>11</v>
      </c>
      <c r="Y1546" s="31">
        <v>1</v>
      </c>
      <c r="Z1546" s="31">
        <v>0</v>
      </c>
      <c r="AA1546" s="31" t="s">
        <v>212</v>
      </c>
      <c r="AB1546" s="31" t="s">
        <v>220</v>
      </c>
      <c r="AC1546" s="41">
        <f>IFERROR(LOOKUP(M1546,打分卡!$F$7:$J$7,打分卡!$K$7:$O$7),1)</f>
        <v>1</v>
      </c>
      <c r="AD1546" s="41">
        <f>IFERROR(LOOKUP(S1546,打分卡!$F$8:$J$8,打分卡!$K$8:$O$8),1)</f>
        <v>1</v>
      </c>
      <c r="AE1546" s="41">
        <f>IFERROR(LOOKUP(T1546,打分卡!$F$9:$I$9,打分卡!$K$9:$N$9),1)</f>
        <v>1</v>
      </c>
      <c r="AF1546" s="41">
        <f>IFERROR(LOOKUP(Q1546,打分卡!$F$10:$J$10,打分卡!$K$10:$O$10),1)</f>
        <v>1</v>
      </c>
      <c r="AG1546" s="41">
        <f>IFERROR(LOOKUP(R1546,打分卡!$F$11:$J$11,打分卡!$K$11:$O$11),1)</f>
        <v>1</v>
      </c>
      <c r="AH1546" s="41">
        <f>IFERROR(LOOKUP(U1546,打分卡!$F$12:$J$12,打分卡!$K$12:$O$12),1)</f>
        <v>1</v>
      </c>
      <c r="AI1546" s="41">
        <f>IFERROR(LOOKUP(X1546,打分卡!$F$13:$J$13,打分卡!$K$13:$O$13),1)</f>
        <v>1</v>
      </c>
      <c r="AJ1546" s="41">
        <f>IFERROR(LOOKUP(Y1546,打分卡!$F$14:$J$14,打分卡!$K$14:$O$14),1)</f>
        <v>2</v>
      </c>
      <c r="AK1546" s="41">
        <f>IFERROR(LOOKUP(W1546,打分卡!$F$15:$J$15,打分卡!$K$15:$O$15),1)</f>
        <v>2</v>
      </c>
      <c r="AL1546" s="43">
        <f t="shared" si="193"/>
        <v>1</v>
      </c>
      <c r="AM1546" s="41">
        <f>IFERROR(LOOKUP(Z1546,打分卡!$F$17:$H$17,打分卡!$K$17:$M$17),1)</f>
        <v>1</v>
      </c>
      <c r="AN1546" s="44">
        <f>(打分卡!$D$7*AC1546+打分卡!$D$8*AD1546+打分卡!$D$9*AE1546)/5</f>
        <v>8</v>
      </c>
      <c r="AO1546" s="44">
        <f>(打分卡!$D$10*AF1546+打分卡!$D$11*AG1546)/5</f>
        <v>4</v>
      </c>
      <c r="AP1546" s="44">
        <f>(打分卡!$D$12*AH1546+打分卡!$D$13*AI1546+打分卡!$D$14*AJ1546+打分卡!$D$15*AK1546)/5</f>
        <v>8</v>
      </c>
      <c r="AQ1546" s="44">
        <f>(打分卡!$D$16*AL1546+打分卡!$D$17*AM1546)/5</f>
        <v>2</v>
      </c>
      <c r="AR1546" s="47">
        <f t="shared" si="194"/>
        <v>22</v>
      </c>
      <c r="AS1546" s="43" t="str">
        <f t="shared" si="195"/>
        <v>未激活</v>
      </c>
      <c r="AT1546" s="43" t="str">
        <f t="shared" si="196"/>
        <v>连续下降-预警</v>
      </c>
      <c r="AU1546" s="43" t="str">
        <f t="shared" si="197"/>
        <v>唤醒：短信模板+首充补贴</v>
      </c>
    </row>
    <row r="1547" ht="15" customHeight="1" spans="1:47">
      <c r="A1547" s="20" t="s">
        <v>3974</v>
      </c>
      <c r="B1547" s="22" t="s">
        <v>3975</v>
      </c>
      <c r="C1547" s="22" t="s">
        <v>223</v>
      </c>
      <c r="D1547" s="22" t="s">
        <v>180</v>
      </c>
      <c r="E1547" s="22" t="s">
        <v>181</v>
      </c>
      <c r="F1547" s="20" t="s">
        <v>3976</v>
      </c>
      <c r="G1547" s="22">
        <v>34</v>
      </c>
      <c r="H1547" s="22" t="s">
        <v>3535</v>
      </c>
      <c r="I1547" s="22" t="s">
        <v>302</v>
      </c>
      <c r="J1547" s="36">
        <v>0</v>
      </c>
      <c r="K1547" s="36">
        <v>0</v>
      </c>
      <c r="L1547" s="36">
        <v>0</v>
      </c>
      <c r="M1547" s="36">
        <f t="shared" si="192"/>
        <v>0</v>
      </c>
      <c r="N1547" s="34">
        <f t="shared" si="198"/>
        <v>0</v>
      </c>
      <c r="O1547" s="35">
        <f>SUM($M$2:M1547)</f>
        <v>190743600</v>
      </c>
      <c r="P1547" s="34">
        <f t="shared" si="199"/>
        <v>1</v>
      </c>
      <c r="Q1547" s="39">
        <v>0</v>
      </c>
      <c r="R1547" s="22">
        <v>0</v>
      </c>
      <c r="S1547" s="22">
        <v>0</v>
      </c>
      <c r="T1547" s="22">
        <v>0</v>
      </c>
      <c r="U1547" s="39">
        <v>0.8</v>
      </c>
      <c r="V1547" s="22">
        <v>7</v>
      </c>
      <c r="W1547" s="22">
        <v>1</v>
      </c>
      <c r="X1547" s="40">
        <v>22</v>
      </c>
      <c r="Y1547" s="22">
        <v>0</v>
      </c>
      <c r="Z1547" s="22">
        <v>0</v>
      </c>
      <c r="AA1547" s="22" t="s">
        <v>212</v>
      </c>
      <c r="AB1547" s="22" t="s">
        <v>220</v>
      </c>
      <c r="AC1547" s="42">
        <f>IFERROR(LOOKUP(M1547,打分卡!$F$7:$J$7,打分卡!$K$7:$O$7),1)</f>
        <v>1</v>
      </c>
      <c r="AD1547" s="42">
        <f>IFERROR(LOOKUP(S1547,打分卡!$F$8:$J$8,打分卡!$K$8:$O$8),1)</f>
        <v>1</v>
      </c>
      <c r="AE1547" s="42">
        <f>IFERROR(LOOKUP(T1547,打分卡!$F$9:$I$9,打分卡!$K$9:$N$9),1)</f>
        <v>1</v>
      </c>
      <c r="AF1547" s="42">
        <f>IFERROR(LOOKUP(Q1547,打分卡!$F$10:$J$10,打分卡!$K$10:$O$10),1)</f>
        <v>1</v>
      </c>
      <c r="AG1547" s="42">
        <f>IFERROR(LOOKUP(R1547,打分卡!$F$11:$J$11,打分卡!$K$11:$O$11),1)</f>
        <v>1</v>
      </c>
      <c r="AH1547" s="42">
        <f>IFERROR(LOOKUP(U1547,打分卡!$F$12:$J$12,打分卡!$K$12:$O$12),1)</f>
        <v>1</v>
      </c>
      <c r="AI1547" s="42">
        <f>IFERROR(LOOKUP(X1547,打分卡!$F$13:$J$13,打分卡!$K$13:$O$13),1)</f>
        <v>2</v>
      </c>
      <c r="AJ1547" s="42">
        <f>IFERROR(LOOKUP(Y1547,打分卡!$F$14:$J$14,打分卡!$K$14:$O$14),1)</f>
        <v>1</v>
      </c>
      <c r="AK1547" s="42">
        <f>IFERROR(LOOKUP(W1547,打分卡!$F$15:$J$15,打分卡!$K$15:$O$15),1)</f>
        <v>2</v>
      </c>
      <c r="AL1547" s="45">
        <f t="shared" si="193"/>
        <v>1</v>
      </c>
      <c r="AM1547" s="42">
        <f>IFERROR(LOOKUP(Z1547,打分卡!$F$17:$H$17,打分卡!$K$17:$M$17),1)</f>
        <v>1</v>
      </c>
      <c r="AN1547" s="46">
        <f>(打分卡!$D$7*AC1547+打分卡!$D$8*AD1547+打分卡!$D$9*AE1547)/5</f>
        <v>8</v>
      </c>
      <c r="AO1547" s="46">
        <f>(打分卡!$D$10*AF1547+打分卡!$D$11*AG1547)/5</f>
        <v>4</v>
      </c>
      <c r="AP1547" s="46">
        <f>(打分卡!$D$12*AH1547+打分卡!$D$13*AI1547+打分卡!$D$14*AJ1547+打分卡!$D$15*AK1547)/5</f>
        <v>8.4</v>
      </c>
      <c r="AQ1547" s="46">
        <f>(打分卡!$D$16*AL1547+打分卡!$D$17*AM1547)/5</f>
        <v>2</v>
      </c>
      <c r="AR1547" s="48">
        <f t="shared" si="194"/>
        <v>22.4</v>
      </c>
      <c r="AS1547" s="45" t="str">
        <f t="shared" si="195"/>
        <v>未激活</v>
      </c>
      <c r="AT1547" s="45" t="str">
        <f t="shared" si="196"/>
        <v>连续下降-预警</v>
      </c>
      <c r="AU1547" s="45" t="str">
        <f t="shared" si="197"/>
        <v>唤醒：短信模板+首充补贴</v>
      </c>
    </row>
    <row r="1548" ht="15" customHeight="1" spans="1:47">
      <c r="A1548" s="30" t="s">
        <v>3977</v>
      </c>
      <c r="B1548" s="31" t="s">
        <v>3978</v>
      </c>
      <c r="C1548" s="31" t="s">
        <v>218</v>
      </c>
      <c r="D1548" s="31" t="s">
        <v>196</v>
      </c>
      <c r="E1548" s="31" t="s">
        <v>197</v>
      </c>
      <c r="F1548" s="30" t="s">
        <v>240</v>
      </c>
      <c r="G1548" s="31">
        <v>36</v>
      </c>
      <c r="H1548" s="31" t="s">
        <v>3535</v>
      </c>
      <c r="I1548" s="31" t="s">
        <v>302</v>
      </c>
      <c r="J1548" s="33">
        <v>0</v>
      </c>
      <c r="K1548" s="33">
        <v>0</v>
      </c>
      <c r="L1548" s="33">
        <v>0</v>
      </c>
      <c r="M1548" s="33">
        <f t="shared" si="192"/>
        <v>0</v>
      </c>
      <c r="N1548" s="34">
        <f t="shared" si="198"/>
        <v>0</v>
      </c>
      <c r="O1548" s="35">
        <f>SUM($M$2:M1548)</f>
        <v>190743600</v>
      </c>
      <c r="P1548" s="34">
        <f t="shared" si="199"/>
        <v>1</v>
      </c>
      <c r="Q1548" s="37">
        <v>0</v>
      </c>
      <c r="R1548" s="31">
        <v>0</v>
      </c>
      <c r="S1548" s="31">
        <v>0</v>
      </c>
      <c r="T1548" s="31">
        <v>0</v>
      </c>
      <c r="U1548" s="37">
        <v>1.4</v>
      </c>
      <c r="V1548" s="31">
        <v>2</v>
      </c>
      <c r="W1548" s="31">
        <v>2</v>
      </c>
      <c r="X1548" s="38">
        <v>5</v>
      </c>
      <c r="Y1548" s="31">
        <v>0</v>
      </c>
      <c r="Z1548" s="31">
        <v>0</v>
      </c>
      <c r="AA1548" s="31" t="s">
        <v>212</v>
      </c>
      <c r="AB1548" s="31" t="s">
        <v>220</v>
      </c>
      <c r="AC1548" s="41">
        <f>IFERROR(LOOKUP(M1548,打分卡!$F$7:$J$7,打分卡!$K$7:$O$7),1)</f>
        <v>1</v>
      </c>
      <c r="AD1548" s="41">
        <f>IFERROR(LOOKUP(S1548,打分卡!$F$8:$J$8,打分卡!$K$8:$O$8),1)</f>
        <v>1</v>
      </c>
      <c r="AE1548" s="41">
        <f>IFERROR(LOOKUP(T1548,打分卡!$F$9:$I$9,打分卡!$K$9:$N$9),1)</f>
        <v>1</v>
      </c>
      <c r="AF1548" s="41">
        <f>IFERROR(LOOKUP(Q1548,打分卡!$F$10:$J$10,打分卡!$K$10:$O$10),1)</f>
        <v>1</v>
      </c>
      <c r="AG1548" s="41">
        <f>IFERROR(LOOKUP(R1548,打分卡!$F$11:$J$11,打分卡!$K$11:$O$11),1)</f>
        <v>1</v>
      </c>
      <c r="AH1548" s="41">
        <f>IFERROR(LOOKUP(U1548,打分卡!$F$12:$J$12,打分卡!$K$12:$O$12),1)</f>
        <v>1</v>
      </c>
      <c r="AI1548" s="41">
        <f>IFERROR(LOOKUP(X1548,打分卡!$F$13:$J$13,打分卡!$K$13:$O$13),1)</f>
        <v>1</v>
      </c>
      <c r="AJ1548" s="41">
        <f>IFERROR(LOOKUP(Y1548,打分卡!$F$14:$J$14,打分卡!$K$14:$O$14),1)</f>
        <v>1</v>
      </c>
      <c r="AK1548" s="41">
        <f>IFERROR(LOOKUP(W1548,打分卡!$F$15:$J$15,打分卡!$K$15:$O$15),1)</f>
        <v>2</v>
      </c>
      <c r="AL1548" s="43">
        <f t="shared" si="193"/>
        <v>1</v>
      </c>
      <c r="AM1548" s="41">
        <f>IFERROR(LOOKUP(Z1548,打分卡!$F$17:$H$17,打分卡!$K$17:$M$17),1)</f>
        <v>1</v>
      </c>
      <c r="AN1548" s="44">
        <f>(打分卡!$D$7*AC1548+打分卡!$D$8*AD1548+打分卡!$D$9*AE1548)/5</f>
        <v>8</v>
      </c>
      <c r="AO1548" s="44">
        <f>(打分卡!$D$10*AF1548+打分卡!$D$11*AG1548)/5</f>
        <v>4</v>
      </c>
      <c r="AP1548" s="44">
        <f>(打分卡!$D$12*AH1548+打分卡!$D$13*AI1548+打分卡!$D$14*AJ1548+打分卡!$D$15*AK1548)/5</f>
        <v>6.8</v>
      </c>
      <c r="AQ1548" s="44">
        <f>(打分卡!$D$16*AL1548+打分卡!$D$17*AM1548)/5</f>
        <v>2</v>
      </c>
      <c r="AR1548" s="47">
        <f t="shared" si="194"/>
        <v>20.8</v>
      </c>
      <c r="AS1548" s="43" t="str">
        <f t="shared" si="195"/>
        <v>未激活</v>
      </c>
      <c r="AT1548" s="43" t="str">
        <f t="shared" si="196"/>
        <v>连续下降-预警</v>
      </c>
      <c r="AU1548" s="43" t="str">
        <f t="shared" si="197"/>
        <v>唤醒：短信模板+首充补贴</v>
      </c>
    </row>
    <row r="1549" ht="15" customHeight="1" spans="1:47">
      <c r="A1549" s="20" t="s">
        <v>3979</v>
      </c>
      <c r="B1549" s="22" t="s">
        <v>3980</v>
      </c>
      <c r="C1549" s="22" t="s">
        <v>189</v>
      </c>
      <c r="D1549" s="22" t="s">
        <v>227</v>
      </c>
      <c r="E1549" s="22" t="s">
        <v>181</v>
      </c>
      <c r="F1549" s="20" t="s">
        <v>3981</v>
      </c>
      <c r="G1549" s="22">
        <v>27</v>
      </c>
      <c r="H1549" s="22" t="s">
        <v>3535</v>
      </c>
      <c r="I1549" s="22" t="s">
        <v>302</v>
      </c>
      <c r="J1549" s="36">
        <v>0</v>
      </c>
      <c r="K1549" s="36">
        <v>0</v>
      </c>
      <c r="L1549" s="36">
        <v>0</v>
      </c>
      <c r="M1549" s="36">
        <f t="shared" si="192"/>
        <v>0</v>
      </c>
      <c r="N1549" s="34">
        <f t="shared" si="198"/>
        <v>0</v>
      </c>
      <c r="O1549" s="35">
        <f>SUM($M$2:M1549)</f>
        <v>190743600</v>
      </c>
      <c r="P1549" s="34">
        <f t="shared" si="199"/>
        <v>1</v>
      </c>
      <c r="Q1549" s="39">
        <v>0</v>
      </c>
      <c r="R1549" s="22">
        <v>0</v>
      </c>
      <c r="S1549" s="22">
        <v>0</v>
      </c>
      <c r="T1549" s="22">
        <v>0</v>
      </c>
      <c r="U1549" s="39">
        <v>1.7</v>
      </c>
      <c r="V1549" s="22">
        <v>10</v>
      </c>
      <c r="W1549" s="22">
        <v>2</v>
      </c>
      <c r="X1549" s="40">
        <v>20</v>
      </c>
      <c r="Y1549" s="22">
        <v>1</v>
      </c>
      <c r="Z1549" s="22">
        <v>0</v>
      </c>
      <c r="AA1549" s="22" t="s">
        <v>212</v>
      </c>
      <c r="AB1549" s="22" t="s">
        <v>220</v>
      </c>
      <c r="AC1549" s="42">
        <f>IFERROR(LOOKUP(M1549,打分卡!$F$7:$J$7,打分卡!$K$7:$O$7),1)</f>
        <v>1</v>
      </c>
      <c r="AD1549" s="42">
        <f>IFERROR(LOOKUP(S1549,打分卡!$F$8:$J$8,打分卡!$K$8:$O$8),1)</f>
        <v>1</v>
      </c>
      <c r="AE1549" s="42">
        <f>IFERROR(LOOKUP(T1549,打分卡!$F$9:$I$9,打分卡!$K$9:$N$9),1)</f>
        <v>1</v>
      </c>
      <c r="AF1549" s="42">
        <f>IFERROR(LOOKUP(Q1549,打分卡!$F$10:$J$10,打分卡!$K$10:$O$10),1)</f>
        <v>1</v>
      </c>
      <c r="AG1549" s="42">
        <f>IFERROR(LOOKUP(R1549,打分卡!$F$11:$J$11,打分卡!$K$11:$O$11),1)</f>
        <v>1</v>
      </c>
      <c r="AH1549" s="42">
        <f>IFERROR(LOOKUP(U1549,打分卡!$F$12:$J$12,打分卡!$K$12:$O$12),1)</f>
        <v>1</v>
      </c>
      <c r="AI1549" s="42">
        <f>IFERROR(LOOKUP(X1549,打分卡!$F$13:$J$13,打分卡!$K$13:$O$13),1)</f>
        <v>2</v>
      </c>
      <c r="AJ1549" s="42">
        <f>IFERROR(LOOKUP(Y1549,打分卡!$F$14:$J$14,打分卡!$K$14:$O$14),1)</f>
        <v>2</v>
      </c>
      <c r="AK1549" s="42">
        <f>IFERROR(LOOKUP(W1549,打分卡!$F$15:$J$15,打分卡!$K$15:$O$15),1)</f>
        <v>2</v>
      </c>
      <c r="AL1549" s="45">
        <f t="shared" si="193"/>
        <v>1</v>
      </c>
      <c r="AM1549" s="42">
        <f>IFERROR(LOOKUP(Z1549,打分卡!$F$17:$H$17,打分卡!$K$17:$M$17),1)</f>
        <v>1</v>
      </c>
      <c r="AN1549" s="46">
        <f>(打分卡!$D$7*AC1549+打分卡!$D$8*AD1549+打分卡!$D$9*AE1549)/5</f>
        <v>8</v>
      </c>
      <c r="AO1549" s="46">
        <f>(打分卡!$D$10*AF1549+打分卡!$D$11*AG1549)/5</f>
        <v>4</v>
      </c>
      <c r="AP1549" s="46">
        <f>(打分卡!$D$12*AH1549+打分卡!$D$13*AI1549+打分卡!$D$14*AJ1549+打分卡!$D$15*AK1549)/5</f>
        <v>9.6</v>
      </c>
      <c r="AQ1549" s="46">
        <f>(打分卡!$D$16*AL1549+打分卡!$D$17*AM1549)/5</f>
        <v>2</v>
      </c>
      <c r="AR1549" s="48">
        <f t="shared" si="194"/>
        <v>23.6</v>
      </c>
      <c r="AS1549" s="45" t="str">
        <f t="shared" si="195"/>
        <v>未激活</v>
      </c>
      <c r="AT1549" s="45" t="str">
        <f t="shared" si="196"/>
        <v>连续下降-预警</v>
      </c>
      <c r="AU1549" s="45" t="str">
        <f t="shared" si="197"/>
        <v>唤醒：短信模板+首充补贴</v>
      </c>
    </row>
    <row r="1550" ht="15" customHeight="1" spans="1:47">
      <c r="A1550" s="30" t="s">
        <v>3982</v>
      </c>
      <c r="B1550" s="31" t="s">
        <v>3983</v>
      </c>
      <c r="C1550" s="31" t="s">
        <v>218</v>
      </c>
      <c r="D1550" s="31" t="s">
        <v>180</v>
      </c>
      <c r="E1550" s="31" t="s">
        <v>181</v>
      </c>
      <c r="F1550" s="30" t="s">
        <v>3984</v>
      </c>
      <c r="G1550" s="31">
        <v>32</v>
      </c>
      <c r="H1550" s="31" t="s">
        <v>3535</v>
      </c>
      <c r="I1550" s="31" t="s">
        <v>302</v>
      </c>
      <c r="J1550" s="33">
        <v>0</v>
      </c>
      <c r="K1550" s="33">
        <v>0</v>
      </c>
      <c r="L1550" s="33">
        <v>0</v>
      </c>
      <c r="M1550" s="33">
        <f t="shared" si="192"/>
        <v>0</v>
      </c>
      <c r="N1550" s="34">
        <f t="shared" si="198"/>
        <v>0</v>
      </c>
      <c r="O1550" s="35">
        <f>SUM($M$2:M1550)</f>
        <v>190743600</v>
      </c>
      <c r="P1550" s="34">
        <f t="shared" si="199"/>
        <v>1</v>
      </c>
      <c r="Q1550" s="37">
        <v>0</v>
      </c>
      <c r="R1550" s="31">
        <v>0</v>
      </c>
      <c r="S1550" s="31">
        <v>0</v>
      </c>
      <c r="T1550" s="31">
        <v>0</v>
      </c>
      <c r="U1550" s="37">
        <v>13.3</v>
      </c>
      <c r="V1550" s="31">
        <v>8</v>
      </c>
      <c r="W1550" s="31">
        <v>2</v>
      </c>
      <c r="X1550" s="38">
        <v>9</v>
      </c>
      <c r="Y1550" s="31">
        <v>0</v>
      </c>
      <c r="Z1550" s="31">
        <v>0</v>
      </c>
      <c r="AA1550" s="31" t="s">
        <v>212</v>
      </c>
      <c r="AB1550" s="31" t="s">
        <v>220</v>
      </c>
      <c r="AC1550" s="41">
        <f>IFERROR(LOOKUP(M1550,打分卡!$F$7:$J$7,打分卡!$K$7:$O$7),1)</f>
        <v>1</v>
      </c>
      <c r="AD1550" s="41">
        <f>IFERROR(LOOKUP(S1550,打分卡!$F$8:$J$8,打分卡!$K$8:$O$8),1)</f>
        <v>1</v>
      </c>
      <c r="AE1550" s="41">
        <f>IFERROR(LOOKUP(T1550,打分卡!$F$9:$I$9,打分卡!$K$9:$N$9),1)</f>
        <v>1</v>
      </c>
      <c r="AF1550" s="41">
        <f>IFERROR(LOOKUP(Q1550,打分卡!$F$10:$J$10,打分卡!$K$10:$O$10),1)</f>
        <v>1</v>
      </c>
      <c r="AG1550" s="41">
        <f>IFERROR(LOOKUP(R1550,打分卡!$F$11:$J$11,打分卡!$K$11:$O$11),1)</f>
        <v>1</v>
      </c>
      <c r="AH1550" s="41">
        <f>IFERROR(LOOKUP(U1550,打分卡!$F$12:$J$12,打分卡!$K$12:$O$12),1)</f>
        <v>3</v>
      </c>
      <c r="AI1550" s="41">
        <f>IFERROR(LOOKUP(X1550,打分卡!$F$13:$J$13,打分卡!$K$13:$O$13),1)</f>
        <v>1</v>
      </c>
      <c r="AJ1550" s="41">
        <f>IFERROR(LOOKUP(Y1550,打分卡!$F$14:$J$14,打分卡!$K$14:$O$14),1)</f>
        <v>1</v>
      </c>
      <c r="AK1550" s="41">
        <f>IFERROR(LOOKUP(W1550,打分卡!$F$15:$J$15,打分卡!$K$15:$O$15),1)</f>
        <v>2</v>
      </c>
      <c r="AL1550" s="43">
        <f t="shared" si="193"/>
        <v>1</v>
      </c>
      <c r="AM1550" s="41">
        <f>IFERROR(LOOKUP(Z1550,打分卡!$F$17:$H$17,打分卡!$K$17:$M$17),1)</f>
        <v>1</v>
      </c>
      <c r="AN1550" s="44">
        <f>(打分卡!$D$7*AC1550+打分卡!$D$8*AD1550+打分卡!$D$9*AE1550)/5</f>
        <v>8</v>
      </c>
      <c r="AO1550" s="44">
        <f>(打分卡!$D$10*AF1550+打分卡!$D$11*AG1550)/5</f>
        <v>4</v>
      </c>
      <c r="AP1550" s="44">
        <f>(打分卡!$D$12*AH1550+打分卡!$D$13*AI1550+打分卡!$D$14*AJ1550+打分卡!$D$15*AK1550)/5</f>
        <v>11.6</v>
      </c>
      <c r="AQ1550" s="44">
        <f>(打分卡!$D$16*AL1550+打分卡!$D$17*AM1550)/5</f>
        <v>2</v>
      </c>
      <c r="AR1550" s="47">
        <f t="shared" si="194"/>
        <v>25.6</v>
      </c>
      <c r="AS1550" s="43" t="str">
        <f t="shared" si="195"/>
        <v>未激活</v>
      </c>
      <c r="AT1550" s="43" t="str">
        <f t="shared" si="196"/>
        <v>连续下降-预警</v>
      </c>
      <c r="AU1550" s="43" t="str">
        <f t="shared" si="197"/>
        <v>唤醒：短信模板+首充补贴</v>
      </c>
    </row>
    <row r="1551" ht="15" customHeight="1" spans="1:47">
      <c r="A1551" s="20" t="s">
        <v>3985</v>
      </c>
      <c r="B1551" s="22" t="s">
        <v>3986</v>
      </c>
      <c r="C1551" s="22" t="s">
        <v>209</v>
      </c>
      <c r="D1551" s="22" t="s">
        <v>202</v>
      </c>
      <c r="E1551" s="22" t="s">
        <v>197</v>
      </c>
      <c r="F1551" s="20" t="s">
        <v>3987</v>
      </c>
      <c r="G1551" s="22">
        <v>33</v>
      </c>
      <c r="H1551" s="22" t="s">
        <v>3535</v>
      </c>
      <c r="I1551" s="22" t="s">
        <v>302</v>
      </c>
      <c r="J1551" s="36">
        <v>0</v>
      </c>
      <c r="K1551" s="36">
        <v>0</v>
      </c>
      <c r="L1551" s="36">
        <v>0</v>
      </c>
      <c r="M1551" s="36">
        <f t="shared" si="192"/>
        <v>0</v>
      </c>
      <c r="N1551" s="34">
        <f t="shared" si="198"/>
        <v>0</v>
      </c>
      <c r="O1551" s="35">
        <f>SUM($M$2:M1551)</f>
        <v>190743600</v>
      </c>
      <c r="P1551" s="34">
        <f t="shared" si="199"/>
        <v>1</v>
      </c>
      <c r="Q1551" s="39">
        <v>0</v>
      </c>
      <c r="R1551" s="22">
        <v>0</v>
      </c>
      <c r="S1551" s="22">
        <v>0</v>
      </c>
      <c r="T1551" s="22">
        <v>0</v>
      </c>
      <c r="U1551" s="39">
        <v>0.8</v>
      </c>
      <c r="V1551" s="22">
        <v>6</v>
      </c>
      <c r="W1551" s="22">
        <v>1</v>
      </c>
      <c r="X1551" s="40">
        <v>9</v>
      </c>
      <c r="Y1551" s="22">
        <v>0</v>
      </c>
      <c r="Z1551" s="22">
        <v>0</v>
      </c>
      <c r="AA1551" s="22" t="s">
        <v>212</v>
      </c>
      <c r="AB1551" s="22" t="s">
        <v>220</v>
      </c>
      <c r="AC1551" s="42">
        <f>IFERROR(LOOKUP(M1551,打分卡!$F$7:$J$7,打分卡!$K$7:$O$7),1)</f>
        <v>1</v>
      </c>
      <c r="AD1551" s="42">
        <f>IFERROR(LOOKUP(S1551,打分卡!$F$8:$J$8,打分卡!$K$8:$O$8),1)</f>
        <v>1</v>
      </c>
      <c r="AE1551" s="42">
        <f>IFERROR(LOOKUP(T1551,打分卡!$F$9:$I$9,打分卡!$K$9:$N$9),1)</f>
        <v>1</v>
      </c>
      <c r="AF1551" s="42">
        <f>IFERROR(LOOKUP(Q1551,打分卡!$F$10:$J$10,打分卡!$K$10:$O$10),1)</f>
        <v>1</v>
      </c>
      <c r="AG1551" s="42">
        <f>IFERROR(LOOKUP(R1551,打分卡!$F$11:$J$11,打分卡!$K$11:$O$11),1)</f>
        <v>1</v>
      </c>
      <c r="AH1551" s="42">
        <f>IFERROR(LOOKUP(U1551,打分卡!$F$12:$J$12,打分卡!$K$12:$O$12),1)</f>
        <v>1</v>
      </c>
      <c r="AI1551" s="42">
        <f>IFERROR(LOOKUP(X1551,打分卡!$F$13:$J$13,打分卡!$K$13:$O$13),1)</f>
        <v>1</v>
      </c>
      <c r="AJ1551" s="42">
        <f>IFERROR(LOOKUP(Y1551,打分卡!$F$14:$J$14,打分卡!$K$14:$O$14),1)</f>
        <v>1</v>
      </c>
      <c r="AK1551" s="42">
        <f>IFERROR(LOOKUP(W1551,打分卡!$F$15:$J$15,打分卡!$K$15:$O$15),1)</f>
        <v>2</v>
      </c>
      <c r="AL1551" s="45">
        <f t="shared" si="193"/>
        <v>1</v>
      </c>
      <c r="AM1551" s="42">
        <f>IFERROR(LOOKUP(Z1551,打分卡!$F$17:$H$17,打分卡!$K$17:$M$17),1)</f>
        <v>1</v>
      </c>
      <c r="AN1551" s="46">
        <f>(打分卡!$D$7*AC1551+打分卡!$D$8*AD1551+打分卡!$D$9*AE1551)/5</f>
        <v>8</v>
      </c>
      <c r="AO1551" s="46">
        <f>(打分卡!$D$10*AF1551+打分卡!$D$11*AG1551)/5</f>
        <v>4</v>
      </c>
      <c r="AP1551" s="46">
        <f>(打分卡!$D$12*AH1551+打分卡!$D$13*AI1551+打分卡!$D$14*AJ1551+打分卡!$D$15*AK1551)/5</f>
        <v>6.8</v>
      </c>
      <c r="AQ1551" s="46">
        <f>(打分卡!$D$16*AL1551+打分卡!$D$17*AM1551)/5</f>
        <v>2</v>
      </c>
      <c r="AR1551" s="48">
        <f t="shared" si="194"/>
        <v>20.8</v>
      </c>
      <c r="AS1551" s="45" t="str">
        <f t="shared" si="195"/>
        <v>未激活</v>
      </c>
      <c r="AT1551" s="45" t="str">
        <f t="shared" si="196"/>
        <v>连续下降-预警</v>
      </c>
      <c r="AU1551" s="45" t="str">
        <f t="shared" si="197"/>
        <v>唤醒：短信模板+首充补贴</v>
      </c>
    </row>
    <row r="1552" ht="15" customHeight="1" spans="1:47">
      <c r="A1552" s="30" t="s">
        <v>3988</v>
      </c>
      <c r="B1552" s="31" t="s">
        <v>3989</v>
      </c>
      <c r="C1552" s="31" t="s">
        <v>209</v>
      </c>
      <c r="D1552" s="31" t="s">
        <v>202</v>
      </c>
      <c r="E1552" s="31" t="s">
        <v>181</v>
      </c>
      <c r="F1552" s="30" t="s">
        <v>3850</v>
      </c>
      <c r="G1552" s="31">
        <v>28</v>
      </c>
      <c r="H1552" s="31" t="s">
        <v>3535</v>
      </c>
      <c r="I1552" s="31" t="s">
        <v>302</v>
      </c>
      <c r="J1552" s="33">
        <v>0</v>
      </c>
      <c r="K1552" s="33">
        <v>0</v>
      </c>
      <c r="L1552" s="33">
        <v>0</v>
      </c>
      <c r="M1552" s="33">
        <f t="shared" si="192"/>
        <v>0</v>
      </c>
      <c r="N1552" s="34">
        <f t="shared" si="198"/>
        <v>0</v>
      </c>
      <c r="O1552" s="35">
        <f>SUM($M$2:M1552)</f>
        <v>190743600</v>
      </c>
      <c r="P1552" s="34">
        <f t="shared" si="199"/>
        <v>1</v>
      </c>
      <c r="Q1552" s="37">
        <v>0</v>
      </c>
      <c r="R1552" s="31">
        <v>0</v>
      </c>
      <c r="S1552" s="31">
        <v>0</v>
      </c>
      <c r="T1552" s="31">
        <v>0</v>
      </c>
      <c r="U1552" s="37">
        <v>10.9</v>
      </c>
      <c r="V1552" s="31">
        <v>7</v>
      </c>
      <c r="W1552" s="31">
        <v>0</v>
      </c>
      <c r="X1552" s="38">
        <v>5</v>
      </c>
      <c r="Y1552" s="31">
        <v>0</v>
      </c>
      <c r="Z1552" s="31">
        <v>0</v>
      </c>
      <c r="AA1552" s="31" t="s">
        <v>212</v>
      </c>
      <c r="AB1552" s="31" t="s">
        <v>220</v>
      </c>
      <c r="AC1552" s="41">
        <f>IFERROR(LOOKUP(M1552,打分卡!$F$7:$J$7,打分卡!$K$7:$O$7),1)</f>
        <v>1</v>
      </c>
      <c r="AD1552" s="41">
        <f>IFERROR(LOOKUP(S1552,打分卡!$F$8:$J$8,打分卡!$K$8:$O$8),1)</f>
        <v>1</v>
      </c>
      <c r="AE1552" s="41">
        <f>IFERROR(LOOKUP(T1552,打分卡!$F$9:$I$9,打分卡!$K$9:$N$9),1)</f>
        <v>1</v>
      </c>
      <c r="AF1552" s="41">
        <f>IFERROR(LOOKUP(Q1552,打分卡!$F$10:$J$10,打分卡!$K$10:$O$10),1)</f>
        <v>1</v>
      </c>
      <c r="AG1552" s="41">
        <f>IFERROR(LOOKUP(R1552,打分卡!$F$11:$J$11,打分卡!$K$11:$O$11),1)</f>
        <v>1</v>
      </c>
      <c r="AH1552" s="41">
        <f>IFERROR(LOOKUP(U1552,打分卡!$F$12:$J$12,打分卡!$K$12:$O$12),1)</f>
        <v>3</v>
      </c>
      <c r="AI1552" s="41">
        <f>IFERROR(LOOKUP(X1552,打分卡!$F$13:$J$13,打分卡!$K$13:$O$13),1)</f>
        <v>1</v>
      </c>
      <c r="AJ1552" s="41">
        <f>IFERROR(LOOKUP(Y1552,打分卡!$F$14:$J$14,打分卡!$K$14:$O$14),1)</f>
        <v>1</v>
      </c>
      <c r="AK1552" s="41">
        <f>IFERROR(LOOKUP(W1552,打分卡!$F$15:$J$15,打分卡!$K$15:$O$15),1)</f>
        <v>1</v>
      </c>
      <c r="AL1552" s="43">
        <f t="shared" si="193"/>
        <v>1</v>
      </c>
      <c r="AM1552" s="41">
        <f>IFERROR(LOOKUP(Z1552,打分卡!$F$17:$H$17,打分卡!$K$17:$M$17),1)</f>
        <v>1</v>
      </c>
      <c r="AN1552" s="44">
        <f>(打分卡!$D$7*AC1552+打分卡!$D$8*AD1552+打分卡!$D$9*AE1552)/5</f>
        <v>8</v>
      </c>
      <c r="AO1552" s="44">
        <f>(打分卡!$D$10*AF1552+打分卡!$D$11*AG1552)/5</f>
        <v>4</v>
      </c>
      <c r="AP1552" s="44">
        <f>(打分卡!$D$12*AH1552+打分卡!$D$13*AI1552+打分卡!$D$14*AJ1552+打分卡!$D$15*AK1552)/5</f>
        <v>10.8</v>
      </c>
      <c r="AQ1552" s="44">
        <f>(打分卡!$D$16*AL1552+打分卡!$D$17*AM1552)/5</f>
        <v>2</v>
      </c>
      <c r="AR1552" s="47">
        <f t="shared" si="194"/>
        <v>24.8</v>
      </c>
      <c r="AS1552" s="43" t="str">
        <f t="shared" si="195"/>
        <v>未激活</v>
      </c>
      <c r="AT1552" s="43" t="str">
        <f t="shared" si="196"/>
        <v>连续下降-预警</v>
      </c>
      <c r="AU1552" s="43" t="str">
        <f t="shared" si="197"/>
        <v>唤醒：短信模板+首充补贴</v>
      </c>
    </row>
    <row r="1553" ht="15" customHeight="1" spans="1:47">
      <c r="A1553" s="20" t="s">
        <v>3990</v>
      </c>
      <c r="B1553" s="22" t="s">
        <v>3991</v>
      </c>
      <c r="C1553" s="22" t="s">
        <v>189</v>
      </c>
      <c r="D1553" s="22" t="s">
        <v>196</v>
      </c>
      <c r="E1553" s="22" t="s">
        <v>181</v>
      </c>
      <c r="F1553" s="20" t="s">
        <v>433</v>
      </c>
      <c r="G1553" s="22">
        <v>30</v>
      </c>
      <c r="H1553" s="22" t="s">
        <v>3535</v>
      </c>
      <c r="I1553" s="22" t="s">
        <v>302</v>
      </c>
      <c r="J1553" s="36">
        <v>0</v>
      </c>
      <c r="K1553" s="36">
        <v>0</v>
      </c>
      <c r="L1553" s="36">
        <v>0</v>
      </c>
      <c r="M1553" s="36">
        <f t="shared" si="192"/>
        <v>0</v>
      </c>
      <c r="N1553" s="34">
        <f t="shared" si="198"/>
        <v>0</v>
      </c>
      <c r="O1553" s="35">
        <f>SUM($M$2:M1553)</f>
        <v>190743600</v>
      </c>
      <c r="P1553" s="34">
        <f t="shared" si="199"/>
        <v>1</v>
      </c>
      <c r="Q1553" s="39">
        <v>0</v>
      </c>
      <c r="R1553" s="22">
        <v>0</v>
      </c>
      <c r="S1553" s="22">
        <v>0</v>
      </c>
      <c r="T1553" s="22">
        <v>0</v>
      </c>
      <c r="U1553" s="39">
        <v>3</v>
      </c>
      <c r="V1553" s="22">
        <v>11</v>
      </c>
      <c r="W1553" s="22">
        <v>0</v>
      </c>
      <c r="X1553" s="40">
        <v>40</v>
      </c>
      <c r="Y1553" s="22">
        <v>0</v>
      </c>
      <c r="Z1553" s="22">
        <v>0</v>
      </c>
      <c r="AA1553" s="22" t="s">
        <v>212</v>
      </c>
      <c r="AB1553" s="22" t="s">
        <v>220</v>
      </c>
      <c r="AC1553" s="42">
        <f>IFERROR(LOOKUP(M1553,打分卡!$F$7:$J$7,打分卡!$K$7:$O$7),1)</f>
        <v>1</v>
      </c>
      <c r="AD1553" s="42">
        <f>IFERROR(LOOKUP(S1553,打分卡!$F$8:$J$8,打分卡!$K$8:$O$8),1)</f>
        <v>1</v>
      </c>
      <c r="AE1553" s="42">
        <f>IFERROR(LOOKUP(T1553,打分卡!$F$9:$I$9,打分卡!$K$9:$N$9),1)</f>
        <v>1</v>
      </c>
      <c r="AF1553" s="42">
        <f>IFERROR(LOOKUP(Q1553,打分卡!$F$10:$J$10,打分卡!$K$10:$O$10),1)</f>
        <v>1</v>
      </c>
      <c r="AG1553" s="42">
        <f>IFERROR(LOOKUP(R1553,打分卡!$F$11:$J$11,打分卡!$K$11:$O$11),1)</f>
        <v>1</v>
      </c>
      <c r="AH1553" s="42">
        <f>IFERROR(LOOKUP(U1553,打分卡!$F$12:$J$12,打分卡!$K$12:$O$12),1)</f>
        <v>2</v>
      </c>
      <c r="AI1553" s="42">
        <f>IFERROR(LOOKUP(X1553,打分卡!$F$13:$J$13,打分卡!$K$13:$O$13),1)</f>
        <v>3</v>
      </c>
      <c r="AJ1553" s="42">
        <f>IFERROR(LOOKUP(Y1553,打分卡!$F$14:$J$14,打分卡!$K$14:$O$14),1)</f>
        <v>1</v>
      </c>
      <c r="AK1553" s="42">
        <f>IFERROR(LOOKUP(W1553,打分卡!$F$15:$J$15,打分卡!$K$15:$O$15),1)</f>
        <v>1</v>
      </c>
      <c r="AL1553" s="45">
        <f t="shared" si="193"/>
        <v>1</v>
      </c>
      <c r="AM1553" s="42">
        <f>IFERROR(LOOKUP(Z1553,打分卡!$F$17:$H$17,打分卡!$K$17:$M$17),1)</f>
        <v>1</v>
      </c>
      <c r="AN1553" s="46">
        <f>(打分卡!$D$7*AC1553+打分卡!$D$8*AD1553+打分卡!$D$9*AE1553)/5</f>
        <v>8</v>
      </c>
      <c r="AO1553" s="46">
        <f>(打分卡!$D$10*AF1553+打分卡!$D$11*AG1553)/5</f>
        <v>4</v>
      </c>
      <c r="AP1553" s="46">
        <f>(打分卡!$D$12*AH1553+打分卡!$D$13*AI1553+打分卡!$D$14*AJ1553+打分卡!$D$15*AK1553)/5</f>
        <v>11.6</v>
      </c>
      <c r="AQ1553" s="46">
        <f>(打分卡!$D$16*AL1553+打分卡!$D$17*AM1553)/5</f>
        <v>2</v>
      </c>
      <c r="AR1553" s="48">
        <f t="shared" si="194"/>
        <v>25.6</v>
      </c>
      <c r="AS1553" s="45" t="str">
        <f t="shared" si="195"/>
        <v>未激活</v>
      </c>
      <c r="AT1553" s="45" t="str">
        <f t="shared" si="196"/>
        <v>连续下降-预警</v>
      </c>
      <c r="AU1553" s="45" t="str">
        <f t="shared" si="197"/>
        <v>唤醒：短信模板+首充补贴</v>
      </c>
    </row>
    <row r="1554" ht="15" customHeight="1" spans="1:47">
      <c r="A1554" s="30" t="s">
        <v>3992</v>
      </c>
      <c r="B1554" s="31" t="s">
        <v>3993</v>
      </c>
      <c r="C1554" s="31" t="s">
        <v>189</v>
      </c>
      <c r="D1554" s="31" t="s">
        <v>202</v>
      </c>
      <c r="E1554" s="31" t="s">
        <v>197</v>
      </c>
      <c r="F1554" s="30" t="s">
        <v>3699</v>
      </c>
      <c r="G1554" s="31">
        <v>30</v>
      </c>
      <c r="H1554" s="31" t="s">
        <v>3535</v>
      </c>
      <c r="I1554" s="31" t="s">
        <v>302</v>
      </c>
      <c r="J1554" s="33">
        <v>0</v>
      </c>
      <c r="K1554" s="33">
        <v>0</v>
      </c>
      <c r="L1554" s="33">
        <v>0</v>
      </c>
      <c r="M1554" s="33">
        <f t="shared" si="192"/>
        <v>0</v>
      </c>
      <c r="N1554" s="34">
        <f t="shared" si="198"/>
        <v>0</v>
      </c>
      <c r="O1554" s="35">
        <f>SUM($M$2:M1554)</f>
        <v>190743600</v>
      </c>
      <c r="P1554" s="34">
        <f t="shared" si="199"/>
        <v>1</v>
      </c>
      <c r="Q1554" s="37">
        <v>0</v>
      </c>
      <c r="R1554" s="31">
        <v>0</v>
      </c>
      <c r="S1554" s="31">
        <v>0</v>
      </c>
      <c r="T1554" s="31">
        <v>0</v>
      </c>
      <c r="U1554" s="37">
        <v>1.6</v>
      </c>
      <c r="V1554" s="31">
        <v>9</v>
      </c>
      <c r="W1554" s="31">
        <v>2</v>
      </c>
      <c r="X1554" s="38">
        <v>14</v>
      </c>
      <c r="Y1554" s="31">
        <v>1</v>
      </c>
      <c r="Z1554" s="31">
        <v>0</v>
      </c>
      <c r="AA1554" s="31" t="s">
        <v>212</v>
      </c>
      <c r="AB1554" s="31" t="s">
        <v>220</v>
      </c>
      <c r="AC1554" s="41">
        <f>IFERROR(LOOKUP(M1554,打分卡!$F$7:$J$7,打分卡!$K$7:$O$7),1)</f>
        <v>1</v>
      </c>
      <c r="AD1554" s="41">
        <f>IFERROR(LOOKUP(S1554,打分卡!$F$8:$J$8,打分卡!$K$8:$O$8),1)</f>
        <v>1</v>
      </c>
      <c r="AE1554" s="41">
        <f>IFERROR(LOOKUP(T1554,打分卡!$F$9:$I$9,打分卡!$K$9:$N$9),1)</f>
        <v>1</v>
      </c>
      <c r="AF1554" s="41">
        <f>IFERROR(LOOKUP(Q1554,打分卡!$F$10:$J$10,打分卡!$K$10:$O$10),1)</f>
        <v>1</v>
      </c>
      <c r="AG1554" s="41">
        <f>IFERROR(LOOKUP(R1554,打分卡!$F$11:$J$11,打分卡!$K$11:$O$11),1)</f>
        <v>1</v>
      </c>
      <c r="AH1554" s="41">
        <f>IFERROR(LOOKUP(U1554,打分卡!$F$12:$J$12,打分卡!$K$12:$O$12),1)</f>
        <v>1</v>
      </c>
      <c r="AI1554" s="41">
        <f>IFERROR(LOOKUP(X1554,打分卡!$F$13:$J$13,打分卡!$K$13:$O$13),1)</f>
        <v>1</v>
      </c>
      <c r="AJ1554" s="41">
        <f>IFERROR(LOOKUP(Y1554,打分卡!$F$14:$J$14,打分卡!$K$14:$O$14),1)</f>
        <v>2</v>
      </c>
      <c r="AK1554" s="41">
        <f>IFERROR(LOOKUP(W1554,打分卡!$F$15:$J$15,打分卡!$K$15:$O$15),1)</f>
        <v>2</v>
      </c>
      <c r="AL1554" s="43">
        <f t="shared" si="193"/>
        <v>1</v>
      </c>
      <c r="AM1554" s="41">
        <f>IFERROR(LOOKUP(Z1554,打分卡!$F$17:$H$17,打分卡!$K$17:$M$17),1)</f>
        <v>1</v>
      </c>
      <c r="AN1554" s="44">
        <f>(打分卡!$D$7*AC1554+打分卡!$D$8*AD1554+打分卡!$D$9*AE1554)/5</f>
        <v>8</v>
      </c>
      <c r="AO1554" s="44">
        <f>(打分卡!$D$10*AF1554+打分卡!$D$11*AG1554)/5</f>
        <v>4</v>
      </c>
      <c r="AP1554" s="44">
        <f>(打分卡!$D$12*AH1554+打分卡!$D$13*AI1554+打分卡!$D$14*AJ1554+打分卡!$D$15*AK1554)/5</f>
        <v>8</v>
      </c>
      <c r="AQ1554" s="44">
        <f>(打分卡!$D$16*AL1554+打分卡!$D$17*AM1554)/5</f>
        <v>2</v>
      </c>
      <c r="AR1554" s="47">
        <f t="shared" si="194"/>
        <v>22</v>
      </c>
      <c r="AS1554" s="43" t="str">
        <f t="shared" si="195"/>
        <v>未激活</v>
      </c>
      <c r="AT1554" s="43" t="str">
        <f t="shared" si="196"/>
        <v>连续下降-预警</v>
      </c>
      <c r="AU1554" s="43" t="str">
        <f t="shared" si="197"/>
        <v>唤醒：短信模板+首充补贴</v>
      </c>
    </row>
    <row r="1555" ht="15" customHeight="1" spans="1:47">
      <c r="A1555" s="20" t="s">
        <v>3994</v>
      </c>
      <c r="B1555" s="22" t="s">
        <v>3995</v>
      </c>
      <c r="C1555" s="22" t="s">
        <v>179</v>
      </c>
      <c r="D1555" s="22" t="s">
        <v>227</v>
      </c>
      <c r="E1555" s="22" t="s">
        <v>181</v>
      </c>
      <c r="F1555" s="20" t="s">
        <v>191</v>
      </c>
      <c r="G1555" s="22">
        <v>35</v>
      </c>
      <c r="H1555" s="22" t="s">
        <v>3535</v>
      </c>
      <c r="I1555" s="22" t="s">
        <v>302</v>
      </c>
      <c r="J1555" s="36">
        <v>0</v>
      </c>
      <c r="K1555" s="36">
        <v>0</v>
      </c>
      <c r="L1555" s="36">
        <v>0</v>
      </c>
      <c r="M1555" s="36">
        <f t="shared" si="192"/>
        <v>0</v>
      </c>
      <c r="N1555" s="34">
        <f t="shared" si="198"/>
        <v>0</v>
      </c>
      <c r="O1555" s="35">
        <f>SUM($M$2:M1555)</f>
        <v>190743600</v>
      </c>
      <c r="P1555" s="34">
        <f t="shared" si="199"/>
        <v>1</v>
      </c>
      <c r="Q1555" s="39">
        <v>0</v>
      </c>
      <c r="R1555" s="22">
        <v>0</v>
      </c>
      <c r="S1555" s="22">
        <v>0</v>
      </c>
      <c r="T1555" s="22">
        <v>0</v>
      </c>
      <c r="U1555" s="39">
        <v>0.8</v>
      </c>
      <c r="V1555" s="22">
        <v>13</v>
      </c>
      <c r="W1555" s="22">
        <v>1</v>
      </c>
      <c r="X1555" s="40">
        <v>25</v>
      </c>
      <c r="Y1555" s="22">
        <v>1</v>
      </c>
      <c r="Z1555" s="22">
        <v>0</v>
      </c>
      <c r="AA1555" s="22" t="s">
        <v>212</v>
      </c>
      <c r="AB1555" s="22" t="s">
        <v>220</v>
      </c>
      <c r="AC1555" s="42">
        <f>IFERROR(LOOKUP(M1555,打分卡!$F$7:$J$7,打分卡!$K$7:$O$7),1)</f>
        <v>1</v>
      </c>
      <c r="AD1555" s="42">
        <f>IFERROR(LOOKUP(S1555,打分卡!$F$8:$J$8,打分卡!$K$8:$O$8),1)</f>
        <v>1</v>
      </c>
      <c r="AE1555" s="42">
        <f>IFERROR(LOOKUP(T1555,打分卡!$F$9:$I$9,打分卡!$K$9:$N$9),1)</f>
        <v>1</v>
      </c>
      <c r="AF1555" s="42">
        <f>IFERROR(LOOKUP(Q1555,打分卡!$F$10:$J$10,打分卡!$K$10:$O$10),1)</f>
        <v>1</v>
      </c>
      <c r="AG1555" s="42">
        <f>IFERROR(LOOKUP(R1555,打分卡!$F$11:$J$11,打分卡!$K$11:$O$11),1)</f>
        <v>1</v>
      </c>
      <c r="AH1555" s="42">
        <f>IFERROR(LOOKUP(U1555,打分卡!$F$12:$J$12,打分卡!$K$12:$O$12),1)</f>
        <v>1</v>
      </c>
      <c r="AI1555" s="42">
        <f>IFERROR(LOOKUP(X1555,打分卡!$F$13:$J$13,打分卡!$K$13:$O$13),1)</f>
        <v>2</v>
      </c>
      <c r="AJ1555" s="42">
        <f>IFERROR(LOOKUP(Y1555,打分卡!$F$14:$J$14,打分卡!$K$14:$O$14),1)</f>
        <v>2</v>
      </c>
      <c r="AK1555" s="42">
        <f>IFERROR(LOOKUP(W1555,打分卡!$F$15:$J$15,打分卡!$K$15:$O$15),1)</f>
        <v>2</v>
      </c>
      <c r="AL1555" s="45">
        <f t="shared" si="193"/>
        <v>1</v>
      </c>
      <c r="AM1555" s="42">
        <f>IFERROR(LOOKUP(Z1555,打分卡!$F$17:$H$17,打分卡!$K$17:$M$17),1)</f>
        <v>1</v>
      </c>
      <c r="AN1555" s="46">
        <f>(打分卡!$D$7*AC1555+打分卡!$D$8*AD1555+打分卡!$D$9*AE1555)/5</f>
        <v>8</v>
      </c>
      <c r="AO1555" s="46">
        <f>(打分卡!$D$10*AF1555+打分卡!$D$11*AG1555)/5</f>
        <v>4</v>
      </c>
      <c r="AP1555" s="46">
        <f>(打分卡!$D$12*AH1555+打分卡!$D$13*AI1555+打分卡!$D$14*AJ1555+打分卡!$D$15*AK1555)/5</f>
        <v>9.6</v>
      </c>
      <c r="AQ1555" s="46">
        <f>(打分卡!$D$16*AL1555+打分卡!$D$17*AM1555)/5</f>
        <v>2</v>
      </c>
      <c r="AR1555" s="48">
        <f t="shared" si="194"/>
        <v>23.6</v>
      </c>
      <c r="AS1555" s="45" t="str">
        <f t="shared" si="195"/>
        <v>未激活</v>
      </c>
      <c r="AT1555" s="45" t="str">
        <f t="shared" si="196"/>
        <v>连续下降-预警</v>
      </c>
      <c r="AU1555" s="45" t="str">
        <f t="shared" si="197"/>
        <v>唤醒：短信模板+首充补贴</v>
      </c>
    </row>
    <row r="1556" ht="15" customHeight="1" spans="1:47">
      <c r="A1556" s="30" t="s">
        <v>3996</v>
      </c>
      <c r="B1556" s="31" t="s">
        <v>3997</v>
      </c>
      <c r="C1556" s="31" t="s">
        <v>218</v>
      </c>
      <c r="D1556" s="31" t="s">
        <v>196</v>
      </c>
      <c r="E1556" s="31" t="s">
        <v>181</v>
      </c>
      <c r="F1556" s="30" t="s">
        <v>1046</v>
      </c>
      <c r="G1556" s="31">
        <v>23</v>
      </c>
      <c r="H1556" s="31" t="s">
        <v>3535</v>
      </c>
      <c r="I1556" s="31" t="s">
        <v>302</v>
      </c>
      <c r="J1556" s="33">
        <v>0</v>
      </c>
      <c r="K1556" s="33">
        <v>0</v>
      </c>
      <c r="L1556" s="33">
        <v>0</v>
      </c>
      <c r="M1556" s="33">
        <f t="shared" si="192"/>
        <v>0</v>
      </c>
      <c r="N1556" s="34">
        <f t="shared" si="198"/>
        <v>0</v>
      </c>
      <c r="O1556" s="35">
        <f>SUM($M$2:M1556)</f>
        <v>190743600</v>
      </c>
      <c r="P1556" s="34">
        <f t="shared" si="199"/>
        <v>1</v>
      </c>
      <c r="Q1556" s="37">
        <v>0</v>
      </c>
      <c r="R1556" s="31">
        <v>0</v>
      </c>
      <c r="S1556" s="31">
        <v>0</v>
      </c>
      <c r="T1556" s="31">
        <v>0</v>
      </c>
      <c r="U1556" s="37">
        <v>9.1</v>
      </c>
      <c r="V1556" s="31">
        <v>4</v>
      </c>
      <c r="W1556" s="31">
        <v>1</v>
      </c>
      <c r="X1556" s="38">
        <v>31</v>
      </c>
      <c r="Y1556" s="31">
        <v>1</v>
      </c>
      <c r="Z1556" s="31">
        <v>0</v>
      </c>
      <c r="AA1556" s="31" t="s">
        <v>212</v>
      </c>
      <c r="AB1556" s="31" t="s">
        <v>220</v>
      </c>
      <c r="AC1556" s="41">
        <f>IFERROR(LOOKUP(M1556,打分卡!$F$7:$J$7,打分卡!$K$7:$O$7),1)</f>
        <v>1</v>
      </c>
      <c r="AD1556" s="41">
        <f>IFERROR(LOOKUP(S1556,打分卡!$F$8:$J$8,打分卡!$K$8:$O$8),1)</f>
        <v>1</v>
      </c>
      <c r="AE1556" s="41">
        <f>IFERROR(LOOKUP(T1556,打分卡!$F$9:$I$9,打分卡!$K$9:$N$9),1)</f>
        <v>1</v>
      </c>
      <c r="AF1556" s="41">
        <f>IFERROR(LOOKUP(Q1556,打分卡!$F$10:$J$10,打分卡!$K$10:$O$10),1)</f>
        <v>1</v>
      </c>
      <c r="AG1556" s="41">
        <f>IFERROR(LOOKUP(R1556,打分卡!$F$11:$J$11,打分卡!$K$11:$O$11),1)</f>
        <v>1</v>
      </c>
      <c r="AH1556" s="41">
        <f>IFERROR(LOOKUP(U1556,打分卡!$F$12:$J$12,打分卡!$K$12:$O$12),1)</f>
        <v>2</v>
      </c>
      <c r="AI1556" s="41">
        <f>IFERROR(LOOKUP(X1556,打分卡!$F$13:$J$13,打分卡!$K$13:$O$13),1)</f>
        <v>2</v>
      </c>
      <c r="AJ1556" s="41">
        <f>IFERROR(LOOKUP(Y1556,打分卡!$F$14:$J$14,打分卡!$K$14:$O$14),1)</f>
        <v>2</v>
      </c>
      <c r="AK1556" s="41">
        <f>IFERROR(LOOKUP(W1556,打分卡!$F$15:$J$15,打分卡!$K$15:$O$15),1)</f>
        <v>2</v>
      </c>
      <c r="AL1556" s="43">
        <f t="shared" si="193"/>
        <v>1</v>
      </c>
      <c r="AM1556" s="41">
        <f>IFERROR(LOOKUP(Z1556,打分卡!$F$17:$H$17,打分卡!$K$17:$M$17),1)</f>
        <v>1</v>
      </c>
      <c r="AN1556" s="44">
        <f>(打分卡!$D$7*AC1556+打分卡!$D$8*AD1556+打分卡!$D$9*AE1556)/5</f>
        <v>8</v>
      </c>
      <c r="AO1556" s="44">
        <f>(打分卡!$D$10*AF1556+打分卡!$D$11*AG1556)/5</f>
        <v>4</v>
      </c>
      <c r="AP1556" s="44">
        <f>(打分卡!$D$12*AH1556+打分卡!$D$13*AI1556+打分卡!$D$14*AJ1556+打分卡!$D$15*AK1556)/5</f>
        <v>12</v>
      </c>
      <c r="AQ1556" s="44">
        <f>(打分卡!$D$16*AL1556+打分卡!$D$17*AM1556)/5</f>
        <v>2</v>
      </c>
      <c r="AR1556" s="47">
        <f t="shared" si="194"/>
        <v>26</v>
      </c>
      <c r="AS1556" s="43" t="str">
        <f t="shared" si="195"/>
        <v>未激活</v>
      </c>
      <c r="AT1556" s="43" t="str">
        <f t="shared" si="196"/>
        <v>连续下降-预警</v>
      </c>
      <c r="AU1556" s="43" t="str">
        <f t="shared" si="197"/>
        <v>唤醒：短信模板+首充补贴</v>
      </c>
    </row>
    <row r="1557" ht="15" customHeight="1" spans="1:47">
      <c r="A1557" s="20" t="s">
        <v>3998</v>
      </c>
      <c r="B1557" s="22" t="s">
        <v>3999</v>
      </c>
      <c r="C1557" s="22" t="s">
        <v>195</v>
      </c>
      <c r="D1557" s="22" t="s">
        <v>190</v>
      </c>
      <c r="E1557" s="22" t="s">
        <v>197</v>
      </c>
      <c r="F1557" s="20" t="s">
        <v>277</v>
      </c>
      <c r="G1557" s="22">
        <v>36</v>
      </c>
      <c r="H1557" s="22" t="s">
        <v>3535</v>
      </c>
      <c r="I1557" s="22" t="s">
        <v>302</v>
      </c>
      <c r="J1557" s="36">
        <v>0</v>
      </c>
      <c r="K1557" s="36">
        <v>0</v>
      </c>
      <c r="L1557" s="36">
        <v>0</v>
      </c>
      <c r="M1557" s="36">
        <f t="shared" si="192"/>
        <v>0</v>
      </c>
      <c r="N1557" s="34">
        <f t="shared" si="198"/>
        <v>0</v>
      </c>
      <c r="O1557" s="35">
        <f>SUM($M$2:M1557)</f>
        <v>190743600</v>
      </c>
      <c r="P1557" s="34">
        <f t="shared" si="199"/>
        <v>1</v>
      </c>
      <c r="Q1557" s="39">
        <v>0</v>
      </c>
      <c r="R1557" s="22">
        <v>0</v>
      </c>
      <c r="S1557" s="22">
        <v>0</v>
      </c>
      <c r="T1557" s="22">
        <v>0</v>
      </c>
      <c r="U1557" s="39">
        <v>24.2</v>
      </c>
      <c r="V1557" s="22">
        <v>5</v>
      </c>
      <c r="W1557" s="22">
        <v>2</v>
      </c>
      <c r="X1557" s="40">
        <v>7</v>
      </c>
      <c r="Y1557" s="22">
        <v>1</v>
      </c>
      <c r="Z1557" s="22">
        <v>0</v>
      </c>
      <c r="AA1557" s="22" t="s">
        <v>212</v>
      </c>
      <c r="AB1557" s="22" t="s">
        <v>220</v>
      </c>
      <c r="AC1557" s="42">
        <f>IFERROR(LOOKUP(M1557,打分卡!$F$7:$J$7,打分卡!$K$7:$O$7),1)</f>
        <v>1</v>
      </c>
      <c r="AD1557" s="42">
        <f>IFERROR(LOOKUP(S1557,打分卡!$F$8:$J$8,打分卡!$K$8:$O$8),1)</f>
        <v>1</v>
      </c>
      <c r="AE1557" s="42">
        <f>IFERROR(LOOKUP(T1557,打分卡!$F$9:$I$9,打分卡!$K$9:$N$9),1)</f>
        <v>1</v>
      </c>
      <c r="AF1557" s="42">
        <f>IFERROR(LOOKUP(Q1557,打分卡!$F$10:$J$10,打分卡!$K$10:$O$10),1)</f>
        <v>1</v>
      </c>
      <c r="AG1557" s="42">
        <f>IFERROR(LOOKUP(R1557,打分卡!$F$11:$J$11,打分卡!$K$11:$O$11),1)</f>
        <v>1</v>
      </c>
      <c r="AH1557" s="42">
        <f>IFERROR(LOOKUP(U1557,打分卡!$F$12:$J$12,打分卡!$K$12:$O$12),1)</f>
        <v>3</v>
      </c>
      <c r="AI1557" s="42">
        <f>IFERROR(LOOKUP(X1557,打分卡!$F$13:$J$13,打分卡!$K$13:$O$13),1)</f>
        <v>1</v>
      </c>
      <c r="AJ1557" s="42">
        <f>IFERROR(LOOKUP(Y1557,打分卡!$F$14:$J$14,打分卡!$K$14:$O$14),1)</f>
        <v>2</v>
      </c>
      <c r="AK1557" s="42">
        <f>IFERROR(LOOKUP(W1557,打分卡!$F$15:$J$15,打分卡!$K$15:$O$15),1)</f>
        <v>2</v>
      </c>
      <c r="AL1557" s="45">
        <f t="shared" si="193"/>
        <v>1</v>
      </c>
      <c r="AM1557" s="42">
        <f>IFERROR(LOOKUP(Z1557,打分卡!$F$17:$H$17,打分卡!$K$17:$M$17),1)</f>
        <v>1</v>
      </c>
      <c r="AN1557" s="46">
        <f>(打分卡!$D$7*AC1557+打分卡!$D$8*AD1557+打分卡!$D$9*AE1557)/5</f>
        <v>8</v>
      </c>
      <c r="AO1557" s="46">
        <f>(打分卡!$D$10*AF1557+打分卡!$D$11*AG1557)/5</f>
        <v>4</v>
      </c>
      <c r="AP1557" s="46">
        <f>(打分卡!$D$12*AH1557+打分卡!$D$13*AI1557+打分卡!$D$14*AJ1557+打分卡!$D$15*AK1557)/5</f>
        <v>12.8</v>
      </c>
      <c r="AQ1557" s="46">
        <f>(打分卡!$D$16*AL1557+打分卡!$D$17*AM1557)/5</f>
        <v>2</v>
      </c>
      <c r="AR1557" s="48">
        <f t="shared" si="194"/>
        <v>26.8</v>
      </c>
      <c r="AS1557" s="45" t="str">
        <f t="shared" si="195"/>
        <v>未激活</v>
      </c>
      <c r="AT1557" s="45" t="str">
        <f t="shared" si="196"/>
        <v>连续下降-预警</v>
      </c>
      <c r="AU1557" s="45" t="str">
        <f t="shared" si="197"/>
        <v>唤醒：短信模板+首充补贴</v>
      </c>
    </row>
    <row r="1558" ht="15" customHeight="1" spans="1:47">
      <c r="A1558" s="30" t="s">
        <v>4000</v>
      </c>
      <c r="B1558" s="31" t="s">
        <v>4001</v>
      </c>
      <c r="C1558" s="31" t="s">
        <v>218</v>
      </c>
      <c r="D1558" s="31" t="s">
        <v>202</v>
      </c>
      <c r="E1558" s="31" t="s">
        <v>181</v>
      </c>
      <c r="F1558" s="30" t="s">
        <v>3609</v>
      </c>
      <c r="G1558" s="31">
        <v>36</v>
      </c>
      <c r="H1558" s="31" t="s">
        <v>3535</v>
      </c>
      <c r="I1558" s="31" t="s">
        <v>302</v>
      </c>
      <c r="J1558" s="33">
        <v>0</v>
      </c>
      <c r="K1558" s="33">
        <v>0</v>
      </c>
      <c r="L1558" s="33">
        <v>0</v>
      </c>
      <c r="M1558" s="33">
        <f t="shared" si="192"/>
        <v>0</v>
      </c>
      <c r="N1558" s="34">
        <f t="shared" si="198"/>
        <v>0</v>
      </c>
      <c r="O1558" s="35">
        <f>SUM($M$2:M1558)</f>
        <v>190743600</v>
      </c>
      <c r="P1558" s="34">
        <f t="shared" si="199"/>
        <v>1</v>
      </c>
      <c r="Q1558" s="37">
        <v>0</v>
      </c>
      <c r="R1558" s="31">
        <v>0</v>
      </c>
      <c r="S1558" s="31">
        <v>0</v>
      </c>
      <c r="T1558" s="31">
        <v>0</v>
      </c>
      <c r="U1558" s="37">
        <v>2</v>
      </c>
      <c r="V1558" s="31">
        <v>13</v>
      </c>
      <c r="W1558" s="31">
        <v>0</v>
      </c>
      <c r="X1558" s="38">
        <v>54</v>
      </c>
      <c r="Y1558" s="31">
        <v>1</v>
      </c>
      <c r="Z1558" s="31">
        <v>0</v>
      </c>
      <c r="AA1558" s="31" t="s">
        <v>212</v>
      </c>
      <c r="AB1558" s="31" t="s">
        <v>220</v>
      </c>
      <c r="AC1558" s="41">
        <f>IFERROR(LOOKUP(M1558,打分卡!$F$7:$J$7,打分卡!$K$7:$O$7),1)</f>
        <v>1</v>
      </c>
      <c r="AD1558" s="41">
        <f>IFERROR(LOOKUP(S1558,打分卡!$F$8:$J$8,打分卡!$K$8:$O$8),1)</f>
        <v>1</v>
      </c>
      <c r="AE1558" s="41">
        <f>IFERROR(LOOKUP(T1558,打分卡!$F$9:$I$9,打分卡!$K$9:$N$9),1)</f>
        <v>1</v>
      </c>
      <c r="AF1558" s="41">
        <f>IFERROR(LOOKUP(Q1558,打分卡!$F$10:$J$10,打分卡!$K$10:$O$10),1)</f>
        <v>1</v>
      </c>
      <c r="AG1558" s="41">
        <f>IFERROR(LOOKUP(R1558,打分卡!$F$11:$J$11,打分卡!$K$11:$O$11),1)</f>
        <v>1</v>
      </c>
      <c r="AH1558" s="41">
        <f>IFERROR(LOOKUP(U1558,打分卡!$F$12:$J$12,打分卡!$K$12:$O$12),1)</f>
        <v>1</v>
      </c>
      <c r="AI1558" s="41">
        <f>IFERROR(LOOKUP(X1558,打分卡!$F$13:$J$13,打分卡!$K$13:$O$13),1)</f>
        <v>3</v>
      </c>
      <c r="AJ1558" s="41">
        <f>IFERROR(LOOKUP(Y1558,打分卡!$F$14:$J$14,打分卡!$K$14:$O$14),1)</f>
        <v>2</v>
      </c>
      <c r="AK1558" s="41">
        <f>IFERROR(LOOKUP(W1558,打分卡!$F$15:$J$15,打分卡!$K$15:$O$15),1)</f>
        <v>1</v>
      </c>
      <c r="AL1558" s="43">
        <f t="shared" si="193"/>
        <v>1</v>
      </c>
      <c r="AM1558" s="41">
        <f>IFERROR(LOOKUP(Z1558,打分卡!$F$17:$H$17,打分卡!$K$17:$M$17),1)</f>
        <v>1</v>
      </c>
      <c r="AN1558" s="44">
        <f>(打分卡!$D$7*AC1558+打分卡!$D$8*AD1558+打分卡!$D$9*AE1558)/5</f>
        <v>8</v>
      </c>
      <c r="AO1558" s="44">
        <f>(打分卡!$D$10*AF1558+打分卡!$D$11*AG1558)/5</f>
        <v>4</v>
      </c>
      <c r="AP1558" s="44">
        <f>(打分卡!$D$12*AH1558+打分卡!$D$13*AI1558+打分卡!$D$14*AJ1558+打分卡!$D$15*AK1558)/5</f>
        <v>10.4</v>
      </c>
      <c r="AQ1558" s="44">
        <f>(打分卡!$D$16*AL1558+打分卡!$D$17*AM1558)/5</f>
        <v>2</v>
      </c>
      <c r="AR1558" s="47">
        <f t="shared" si="194"/>
        <v>24.4</v>
      </c>
      <c r="AS1558" s="43" t="str">
        <f t="shared" si="195"/>
        <v>未激活</v>
      </c>
      <c r="AT1558" s="43" t="str">
        <f t="shared" si="196"/>
        <v>连续下降-预警</v>
      </c>
      <c r="AU1558" s="43" t="str">
        <f t="shared" si="197"/>
        <v>唤醒：短信模板+首充补贴</v>
      </c>
    </row>
    <row r="1559" ht="15" customHeight="1" spans="1:47">
      <c r="A1559" s="20" t="s">
        <v>4002</v>
      </c>
      <c r="B1559" s="22" t="s">
        <v>4003</v>
      </c>
      <c r="C1559" s="22" t="s">
        <v>239</v>
      </c>
      <c r="D1559" s="22" t="s">
        <v>202</v>
      </c>
      <c r="E1559" s="22" t="s">
        <v>181</v>
      </c>
      <c r="F1559" s="20" t="s">
        <v>516</v>
      </c>
      <c r="G1559" s="22">
        <v>22</v>
      </c>
      <c r="H1559" s="22" t="s">
        <v>3535</v>
      </c>
      <c r="I1559" s="22" t="s">
        <v>302</v>
      </c>
      <c r="J1559" s="36">
        <v>0</v>
      </c>
      <c r="K1559" s="36">
        <v>0</v>
      </c>
      <c r="L1559" s="36">
        <v>0</v>
      </c>
      <c r="M1559" s="36">
        <f t="shared" si="192"/>
        <v>0</v>
      </c>
      <c r="N1559" s="34">
        <f t="shared" si="198"/>
        <v>0</v>
      </c>
      <c r="O1559" s="35">
        <f>SUM($M$2:M1559)</f>
        <v>190743600</v>
      </c>
      <c r="P1559" s="34">
        <f t="shared" si="199"/>
        <v>1</v>
      </c>
      <c r="Q1559" s="39">
        <v>0</v>
      </c>
      <c r="R1559" s="22">
        <v>0</v>
      </c>
      <c r="S1559" s="22">
        <v>0</v>
      </c>
      <c r="T1559" s="22">
        <v>0</v>
      </c>
      <c r="U1559" s="39">
        <v>1.2</v>
      </c>
      <c r="V1559" s="22">
        <v>2</v>
      </c>
      <c r="W1559" s="22">
        <v>1</v>
      </c>
      <c r="X1559" s="40">
        <v>14</v>
      </c>
      <c r="Y1559" s="22">
        <v>1</v>
      </c>
      <c r="Z1559" s="22">
        <v>0</v>
      </c>
      <c r="AA1559" s="22" t="s">
        <v>212</v>
      </c>
      <c r="AB1559" s="22" t="s">
        <v>220</v>
      </c>
      <c r="AC1559" s="42">
        <f>IFERROR(LOOKUP(M1559,打分卡!$F$7:$J$7,打分卡!$K$7:$O$7),1)</f>
        <v>1</v>
      </c>
      <c r="AD1559" s="42">
        <f>IFERROR(LOOKUP(S1559,打分卡!$F$8:$J$8,打分卡!$K$8:$O$8),1)</f>
        <v>1</v>
      </c>
      <c r="AE1559" s="42">
        <f>IFERROR(LOOKUP(T1559,打分卡!$F$9:$I$9,打分卡!$K$9:$N$9),1)</f>
        <v>1</v>
      </c>
      <c r="AF1559" s="42">
        <f>IFERROR(LOOKUP(Q1559,打分卡!$F$10:$J$10,打分卡!$K$10:$O$10),1)</f>
        <v>1</v>
      </c>
      <c r="AG1559" s="42">
        <f>IFERROR(LOOKUP(R1559,打分卡!$F$11:$J$11,打分卡!$K$11:$O$11),1)</f>
        <v>1</v>
      </c>
      <c r="AH1559" s="42">
        <f>IFERROR(LOOKUP(U1559,打分卡!$F$12:$J$12,打分卡!$K$12:$O$12),1)</f>
        <v>1</v>
      </c>
      <c r="AI1559" s="42">
        <f>IFERROR(LOOKUP(X1559,打分卡!$F$13:$J$13,打分卡!$K$13:$O$13),1)</f>
        <v>1</v>
      </c>
      <c r="AJ1559" s="42">
        <f>IFERROR(LOOKUP(Y1559,打分卡!$F$14:$J$14,打分卡!$K$14:$O$14),1)</f>
        <v>2</v>
      </c>
      <c r="AK1559" s="42">
        <f>IFERROR(LOOKUP(W1559,打分卡!$F$15:$J$15,打分卡!$K$15:$O$15),1)</f>
        <v>2</v>
      </c>
      <c r="AL1559" s="45">
        <f t="shared" si="193"/>
        <v>1</v>
      </c>
      <c r="AM1559" s="42">
        <f>IFERROR(LOOKUP(Z1559,打分卡!$F$17:$H$17,打分卡!$K$17:$M$17),1)</f>
        <v>1</v>
      </c>
      <c r="AN1559" s="46">
        <f>(打分卡!$D$7*AC1559+打分卡!$D$8*AD1559+打分卡!$D$9*AE1559)/5</f>
        <v>8</v>
      </c>
      <c r="AO1559" s="46">
        <f>(打分卡!$D$10*AF1559+打分卡!$D$11*AG1559)/5</f>
        <v>4</v>
      </c>
      <c r="AP1559" s="46">
        <f>(打分卡!$D$12*AH1559+打分卡!$D$13*AI1559+打分卡!$D$14*AJ1559+打分卡!$D$15*AK1559)/5</f>
        <v>8</v>
      </c>
      <c r="AQ1559" s="46">
        <f>(打分卡!$D$16*AL1559+打分卡!$D$17*AM1559)/5</f>
        <v>2</v>
      </c>
      <c r="AR1559" s="48">
        <f t="shared" si="194"/>
        <v>22</v>
      </c>
      <c r="AS1559" s="45" t="str">
        <f t="shared" si="195"/>
        <v>未激活</v>
      </c>
      <c r="AT1559" s="45" t="str">
        <f t="shared" si="196"/>
        <v>连续下降-预警</v>
      </c>
      <c r="AU1559" s="45" t="str">
        <f t="shared" si="197"/>
        <v>唤醒：短信模板+首充补贴</v>
      </c>
    </row>
    <row r="1560" ht="15" customHeight="1" spans="1:47">
      <c r="A1560" s="30" t="s">
        <v>4004</v>
      </c>
      <c r="B1560" s="31" t="s">
        <v>4005</v>
      </c>
      <c r="C1560" s="31" t="s">
        <v>189</v>
      </c>
      <c r="D1560" s="31" t="s">
        <v>196</v>
      </c>
      <c r="E1560" s="31" t="s">
        <v>181</v>
      </c>
      <c r="F1560" s="30" t="s">
        <v>3699</v>
      </c>
      <c r="G1560" s="31">
        <v>30</v>
      </c>
      <c r="H1560" s="31" t="s">
        <v>3535</v>
      </c>
      <c r="I1560" s="31" t="s">
        <v>302</v>
      </c>
      <c r="J1560" s="33">
        <v>0</v>
      </c>
      <c r="K1560" s="33">
        <v>0</v>
      </c>
      <c r="L1560" s="33">
        <v>0</v>
      </c>
      <c r="M1560" s="33">
        <f t="shared" si="192"/>
        <v>0</v>
      </c>
      <c r="N1560" s="34">
        <f t="shared" si="198"/>
        <v>0</v>
      </c>
      <c r="O1560" s="35">
        <f>SUM($M$2:M1560)</f>
        <v>190743600</v>
      </c>
      <c r="P1560" s="34">
        <f t="shared" si="199"/>
        <v>1</v>
      </c>
      <c r="Q1560" s="37">
        <v>0</v>
      </c>
      <c r="R1560" s="31">
        <v>0</v>
      </c>
      <c r="S1560" s="31">
        <v>0</v>
      </c>
      <c r="T1560" s="31">
        <v>0</v>
      </c>
      <c r="U1560" s="37">
        <v>3.1</v>
      </c>
      <c r="V1560" s="31">
        <v>13</v>
      </c>
      <c r="W1560" s="31">
        <v>2</v>
      </c>
      <c r="X1560" s="38">
        <v>63</v>
      </c>
      <c r="Y1560" s="31">
        <v>1</v>
      </c>
      <c r="Z1560" s="31">
        <v>0</v>
      </c>
      <c r="AA1560" s="31" t="s">
        <v>212</v>
      </c>
      <c r="AB1560" s="31" t="s">
        <v>220</v>
      </c>
      <c r="AC1560" s="41">
        <f>IFERROR(LOOKUP(M1560,打分卡!$F$7:$J$7,打分卡!$K$7:$O$7),1)</f>
        <v>1</v>
      </c>
      <c r="AD1560" s="41">
        <f>IFERROR(LOOKUP(S1560,打分卡!$F$8:$J$8,打分卡!$K$8:$O$8),1)</f>
        <v>1</v>
      </c>
      <c r="AE1560" s="41">
        <f>IFERROR(LOOKUP(T1560,打分卡!$F$9:$I$9,打分卡!$K$9:$N$9),1)</f>
        <v>1</v>
      </c>
      <c r="AF1560" s="41">
        <f>IFERROR(LOOKUP(Q1560,打分卡!$F$10:$J$10,打分卡!$K$10:$O$10),1)</f>
        <v>1</v>
      </c>
      <c r="AG1560" s="41">
        <f>IFERROR(LOOKUP(R1560,打分卡!$F$11:$J$11,打分卡!$K$11:$O$11),1)</f>
        <v>1</v>
      </c>
      <c r="AH1560" s="41">
        <f>IFERROR(LOOKUP(U1560,打分卡!$F$12:$J$12,打分卡!$K$12:$O$12),1)</f>
        <v>2</v>
      </c>
      <c r="AI1560" s="41">
        <f>IFERROR(LOOKUP(X1560,打分卡!$F$13:$J$13,打分卡!$K$13:$O$13),1)</f>
        <v>3</v>
      </c>
      <c r="AJ1560" s="41">
        <f>IFERROR(LOOKUP(Y1560,打分卡!$F$14:$J$14,打分卡!$K$14:$O$14),1)</f>
        <v>2</v>
      </c>
      <c r="AK1560" s="41">
        <f>IFERROR(LOOKUP(W1560,打分卡!$F$15:$J$15,打分卡!$K$15:$O$15),1)</f>
        <v>2</v>
      </c>
      <c r="AL1560" s="43">
        <f t="shared" si="193"/>
        <v>1</v>
      </c>
      <c r="AM1560" s="41">
        <f>IFERROR(LOOKUP(Z1560,打分卡!$F$17:$H$17,打分卡!$K$17:$M$17),1)</f>
        <v>1</v>
      </c>
      <c r="AN1560" s="44">
        <f>(打分卡!$D$7*AC1560+打分卡!$D$8*AD1560+打分卡!$D$9*AE1560)/5</f>
        <v>8</v>
      </c>
      <c r="AO1560" s="44">
        <f>(打分卡!$D$10*AF1560+打分卡!$D$11*AG1560)/5</f>
        <v>4</v>
      </c>
      <c r="AP1560" s="44">
        <f>(打分卡!$D$12*AH1560+打分卡!$D$13*AI1560+打分卡!$D$14*AJ1560+打分卡!$D$15*AK1560)/5</f>
        <v>13.6</v>
      </c>
      <c r="AQ1560" s="44">
        <f>(打分卡!$D$16*AL1560+打分卡!$D$17*AM1560)/5</f>
        <v>2</v>
      </c>
      <c r="AR1560" s="47">
        <f t="shared" si="194"/>
        <v>27.6</v>
      </c>
      <c r="AS1560" s="43" t="str">
        <f t="shared" si="195"/>
        <v>未激活</v>
      </c>
      <c r="AT1560" s="43" t="str">
        <f t="shared" si="196"/>
        <v>连续下降-预警</v>
      </c>
      <c r="AU1560" s="43" t="str">
        <f t="shared" si="197"/>
        <v>唤醒：短信模板+首充补贴</v>
      </c>
    </row>
    <row r="1561" ht="15" customHeight="1" spans="1:47">
      <c r="A1561" s="20" t="s">
        <v>4006</v>
      </c>
      <c r="B1561" s="22" t="s">
        <v>4007</v>
      </c>
      <c r="C1561" s="22" t="s">
        <v>239</v>
      </c>
      <c r="D1561" s="22" t="s">
        <v>227</v>
      </c>
      <c r="E1561" s="22" t="s">
        <v>197</v>
      </c>
      <c r="F1561" s="20" t="s">
        <v>4008</v>
      </c>
      <c r="G1561" s="22">
        <v>30</v>
      </c>
      <c r="H1561" s="22" t="s">
        <v>3535</v>
      </c>
      <c r="I1561" s="22" t="s">
        <v>302</v>
      </c>
      <c r="J1561" s="36">
        <v>0</v>
      </c>
      <c r="K1561" s="36">
        <v>0</v>
      </c>
      <c r="L1561" s="36">
        <v>0</v>
      </c>
      <c r="M1561" s="36">
        <f t="shared" si="192"/>
        <v>0</v>
      </c>
      <c r="N1561" s="34">
        <f t="shared" si="198"/>
        <v>0</v>
      </c>
      <c r="O1561" s="35">
        <f>SUM($M$2:M1561)</f>
        <v>190743600</v>
      </c>
      <c r="P1561" s="34">
        <f t="shared" si="199"/>
        <v>1</v>
      </c>
      <c r="Q1561" s="39">
        <v>0</v>
      </c>
      <c r="R1561" s="22">
        <v>0</v>
      </c>
      <c r="S1561" s="22">
        <v>0</v>
      </c>
      <c r="T1561" s="22">
        <v>0</v>
      </c>
      <c r="U1561" s="39">
        <v>2.9</v>
      </c>
      <c r="V1561" s="22">
        <v>5</v>
      </c>
      <c r="W1561" s="22">
        <v>0</v>
      </c>
      <c r="X1561" s="40">
        <v>71</v>
      </c>
      <c r="Y1561" s="22">
        <v>1</v>
      </c>
      <c r="Z1561" s="22">
        <v>0</v>
      </c>
      <c r="AA1561" s="22" t="s">
        <v>212</v>
      </c>
      <c r="AB1561" s="22" t="s">
        <v>220</v>
      </c>
      <c r="AC1561" s="42">
        <f>IFERROR(LOOKUP(M1561,打分卡!$F$7:$J$7,打分卡!$K$7:$O$7),1)</f>
        <v>1</v>
      </c>
      <c r="AD1561" s="42">
        <f>IFERROR(LOOKUP(S1561,打分卡!$F$8:$J$8,打分卡!$K$8:$O$8),1)</f>
        <v>1</v>
      </c>
      <c r="AE1561" s="42">
        <f>IFERROR(LOOKUP(T1561,打分卡!$F$9:$I$9,打分卡!$K$9:$N$9),1)</f>
        <v>1</v>
      </c>
      <c r="AF1561" s="42">
        <f>IFERROR(LOOKUP(Q1561,打分卡!$F$10:$J$10,打分卡!$K$10:$O$10),1)</f>
        <v>1</v>
      </c>
      <c r="AG1561" s="42">
        <f>IFERROR(LOOKUP(R1561,打分卡!$F$11:$J$11,打分卡!$K$11:$O$11),1)</f>
        <v>1</v>
      </c>
      <c r="AH1561" s="42">
        <f>IFERROR(LOOKUP(U1561,打分卡!$F$12:$J$12,打分卡!$K$12:$O$12),1)</f>
        <v>2</v>
      </c>
      <c r="AI1561" s="42">
        <f>IFERROR(LOOKUP(X1561,打分卡!$F$13:$J$13,打分卡!$K$13:$O$13),1)</f>
        <v>3</v>
      </c>
      <c r="AJ1561" s="42">
        <f>IFERROR(LOOKUP(Y1561,打分卡!$F$14:$J$14,打分卡!$K$14:$O$14),1)</f>
        <v>2</v>
      </c>
      <c r="AK1561" s="42">
        <f>IFERROR(LOOKUP(W1561,打分卡!$F$15:$J$15,打分卡!$K$15:$O$15),1)</f>
        <v>1</v>
      </c>
      <c r="AL1561" s="45">
        <f t="shared" si="193"/>
        <v>1</v>
      </c>
      <c r="AM1561" s="42">
        <f>IFERROR(LOOKUP(Z1561,打分卡!$F$17:$H$17,打分卡!$K$17:$M$17),1)</f>
        <v>1</v>
      </c>
      <c r="AN1561" s="46">
        <f>(打分卡!$D$7*AC1561+打分卡!$D$8*AD1561+打分卡!$D$9*AE1561)/5</f>
        <v>8</v>
      </c>
      <c r="AO1561" s="46">
        <f>(打分卡!$D$10*AF1561+打分卡!$D$11*AG1561)/5</f>
        <v>4</v>
      </c>
      <c r="AP1561" s="46">
        <f>(打分卡!$D$12*AH1561+打分卡!$D$13*AI1561+打分卡!$D$14*AJ1561+打分卡!$D$15*AK1561)/5</f>
        <v>12.8</v>
      </c>
      <c r="AQ1561" s="46">
        <f>(打分卡!$D$16*AL1561+打分卡!$D$17*AM1561)/5</f>
        <v>2</v>
      </c>
      <c r="AR1561" s="48">
        <f t="shared" si="194"/>
        <v>26.8</v>
      </c>
      <c r="AS1561" s="45" t="str">
        <f t="shared" si="195"/>
        <v>未激活</v>
      </c>
      <c r="AT1561" s="45" t="str">
        <f t="shared" si="196"/>
        <v>连续下降-预警</v>
      </c>
      <c r="AU1561" s="45" t="str">
        <f t="shared" si="197"/>
        <v>唤醒：短信模板+首充补贴</v>
      </c>
    </row>
    <row r="1562" ht="15" customHeight="1" spans="1:47">
      <c r="A1562" s="30" t="s">
        <v>4009</v>
      </c>
      <c r="B1562" s="31" t="s">
        <v>4010</v>
      </c>
      <c r="C1562" s="31" t="s">
        <v>218</v>
      </c>
      <c r="D1562" s="31" t="s">
        <v>202</v>
      </c>
      <c r="E1562" s="31" t="s">
        <v>181</v>
      </c>
      <c r="F1562" s="30" t="s">
        <v>3676</v>
      </c>
      <c r="G1562" s="31">
        <v>26</v>
      </c>
      <c r="H1562" s="31" t="s">
        <v>3535</v>
      </c>
      <c r="I1562" s="31" t="s">
        <v>302</v>
      </c>
      <c r="J1562" s="33">
        <v>0</v>
      </c>
      <c r="K1562" s="33">
        <v>0</v>
      </c>
      <c r="L1562" s="33">
        <v>0</v>
      </c>
      <c r="M1562" s="33">
        <f t="shared" si="192"/>
        <v>0</v>
      </c>
      <c r="N1562" s="34">
        <f t="shared" si="198"/>
        <v>0</v>
      </c>
      <c r="O1562" s="35">
        <f>SUM($M$2:M1562)</f>
        <v>190743600</v>
      </c>
      <c r="P1562" s="34">
        <f t="shared" si="199"/>
        <v>1</v>
      </c>
      <c r="Q1562" s="37">
        <v>0</v>
      </c>
      <c r="R1562" s="31">
        <v>0</v>
      </c>
      <c r="S1562" s="31">
        <v>0</v>
      </c>
      <c r="T1562" s="31">
        <v>0</v>
      </c>
      <c r="U1562" s="37">
        <v>2.2</v>
      </c>
      <c r="V1562" s="31">
        <v>8</v>
      </c>
      <c r="W1562" s="31">
        <v>1</v>
      </c>
      <c r="X1562" s="38">
        <v>30</v>
      </c>
      <c r="Y1562" s="31">
        <v>1</v>
      </c>
      <c r="Z1562" s="31">
        <v>0</v>
      </c>
      <c r="AA1562" s="31" t="s">
        <v>212</v>
      </c>
      <c r="AB1562" s="31" t="s">
        <v>220</v>
      </c>
      <c r="AC1562" s="41">
        <f>IFERROR(LOOKUP(M1562,打分卡!$F$7:$J$7,打分卡!$K$7:$O$7),1)</f>
        <v>1</v>
      </c>
      <c r="AD1562" s="41">
        <f>IFERROR(LOOKUP(S1562,打分卡!$F$8:$J$8,打分卡!$K$8:$O$8),1)</f>
        <v>1</v>
      </c>
      <c r="AE1562" s="41">
        <f>IFERROR(LOOKUP(T1562,打分卡!$F$9:$I$9,打分卡!$K$9:$N$9),1)</f>
        <v>1</v>
      </c>
      <c r="AF1562" s="41">
        <f>IFERROR(LOOKUP(Q1562,打分卡!$F$10:$J$10,打分卡!$K$10:$O$10),1)</f>
        <v>1</v>
      </c>
      <c r="AG1562" s="41">
        <f>IFERROR(LOOKUP(R1562,打分卡!$F$11:$J$11,打分卡!$K$11:$O$11),1)</f>
        <v>1</v>
      </c>
      <c r="AH1562" s="41">
        <f>IFERROR(LOOKUP(U1562,打分卡!$F$12:$J$12,打分卡!$K$12:$O$12),1)</f>
        <v>1</v>
      </c>
      <c r="AI1562" s="41">
        <f>IFERROR(LOOKUP(X1562,打分卡!$F$13:$J$13,打分卡!$K$13:$O$13),1)</f>
        <v>2</v>
      </c>
      <c r="AJ1562" s="41">
        <f>IFERROR(LOOKUP(Y1562,打分卡!$F$14:$J$14,打分卡!$K$14:$O$14),1)</f>
        <v>2</v>
      </c>
      <c r="AK1562" s="41">
        <f>IFERROR(LOOKUP(W1562,打分卡!$F$15:$J$15,打分卡!$K$15:$O$15),1)</f>
        <v>2</v>
      </c>
      <c r="AL1562" s="43">
        <f t="shared" si="193"/>
        <v>1</v>
      </c>
      <c r="AM1562" s="41">
        <f>IFERROR(LOOKUP(Z1562,打分卡!$F$17:$H$17,打分卡!$K$17:$M$17),1)</f>
        <v>1</v>
      </c>
      <c r="AN1562" s="44">
        <f>(打分卡!$D$7*AC1562+打分卡!$D$8*AD1562+打分卡!$D$9*AE1562)/5</f>
        <v>8</v>
      </c>
      <c r="AO1562" s="44">
        <f>(打分卡!$D$10*AF1562+打分卡!$D$11*AG1562)/5</f>
        <v>4</v>
      </c>
      <c r="AP1562" s="44">
        <f>(打分卡!$D$12*AH1562+打分卡!$D$13*AI1562+打分卡!$D$14*AJ1562+打分卡!$D$15*AK1562)/5</f>
        <v>9.6</v>
      </c>
      <c r="AQ1562" s="44">
        <f>(打分卡!$D$16*AL1562+打分卡!$D$17*AM1562)/5</f>
        <v>2</v>
      </c>
      <c r="AR1562" s="47">
        <f t="shared" si="194"/>
        <v>23.6</v>
      </c>
      <c r="AS1562" s="43" t="str">
        <f t="shared" si="195"/>
        <v>未激活</v>
      </c>
      <c r="AT1562" s="43" t="str">
        <f t="shared" si="196"/>
        <v>连续下降-预警</v>
      </c>
      <c r="AU1562" s="43" t="str">
        <f t="shared" si="197"/>
        <v>唤醒：短信模板+首充补贴</v>
      </c>
    </row>
    <row r="1563" ht="15" customHeight="1" spans="1:47">
      <c r="A1563" s="20" t="s">
        <v>4011</v>
      </c>
      <c r="B1563" s="22" t="s">
        <v>4012</v>
      </c>
      <c r="C1563" s="22" t="s">
        <v>179</v>
      </c>
      <c r="D1563" s="22" t="s">
        <v>202</v>
      </c>
      <c r="E1563" s="22" t="s">
        <v>181</v>
      </c>
      <c r="F1563" s="20" t="s">
        <v>412</v>
      </c>
      <c r="G1563" s="22">
        <v>28</v>
      </c>
      <c r="H1563" s="22" t="s">
        <v>3535</v>
      </c>
      <c r="I1563" s="22" t="s">
        <v>302</v>
      </c>
      <c r="J1563" s="36">
        <v>0</v>
      </c>
      <c r="K1563" s="36">
        <v>0</v>
      </c>
      <c r="L1563" s="36">
        <v>0</v>
      </c>
      <c r="M1563" s="36">
        <f t="shared" si="192"/>
        <v>0</v>
      </c>
      <c r="N1563" s="34">
        <f t="shared" si="198"/>
        <v>0</v>
      </c>
      <c r="O1563" s="35">
        <f>SUM($M$2:M1563)</f>
        <v>190743600</v>
      </c>
      <c r="P1563" s="34">
        <f t="shared" si="199"/>
        <v>1</v>
      </c>
      <c r="Q1563" s="39">
        <v>0</v>
      </c>
      <c r="R1563" s="22">
        <v>0</v>
      </c>
      <c r="S1563" s="22">
        <v>0</v>
      </c>
      <c r="T1563" s="22">
        <v>0</v>
      </c>
      <c r="U1563" s="39">
        <v>5.3</v>
      </c>
      <c r="V1563" s="22">
        <v>12</v>
      </c>
      <c r="W1563" s="22">
        <v>0</v>
      </c>
      <c r="X1563" s="40">
        <v>19</v>
      </c>
      <c r="Y1563" s="22">
        <v>0</v>
      </c>
      <c r="Z1563" s="22">
        <v>0</v>
      </c>
      <c r="AA1563" s="22" t="s">
        <v>212</v>
      </c>
      <c r="AB1563" s="22" t="s">
        <v>220</v>
      </c>
      <c r="AC1563" s="42">
        <f>IFERROR(LOOKUP(M1563,打分卡!$F$7:$J$7,打分卡!$K$7:$O$7),1)</f>
        <v>1</v>
      </c>
      <c r="AD1563" s="42">
        <f>IFERROR(LOOKUP(S1563,打分卡!$F$8:$J$8,打分卡!$K$8:$O$8),1)</f>
        <v>1</v>
      </c>
      <c r="AE1563" s="42">
        <f>IFERROR(LOOKUP(T1563,打分卡!$F$9:$I$9,打分卡!$K$9:$N$9),1)</f>
        <v>1</v>
      </c>
      <c r="AF1563" s="42">
        <f>IFERROR(LOOKUP(Q1563,打分卡!$F$10:$J$10,打分卡!$K$10:$O$10),1)</f>
        <v>1</v>
      </c>
      <c r="AG1563" s="42">
        <f>IFERROR(LOOKUP(R1563,打分卡!$F$11:$J$11,打分卡!$K$11:$O$11),1)</f>
        <v>1</v>
      </c>
      <c r="AH1563" s="42">
        <f>IFERROR(LOOKUP(U1563,打分卡!$F$12:$J$12,打分卡!$K$12:$O$12),1)</f>
        <v>2</v>
      </c>
      <c r="AI1563" s="42">
        <f>IFERROR(LOOKUP(X1563,打分卡!$F$13:$J$13,打分卡!$K$13:$O$13),1)</f>
        <v>2</v>
      </c>
      <c r="AJ1563" s="42">
        <f>IFERROR(LOOKUP(Y1563,打分卡!$F$14:$J$14,打分卡!$K$14:$O$14),1)</f>
        <v>1</v>
      </c>
      <c r="AK1563" s="42">
        <f>IFERROR(LOOKUP(W1563,打分卡!$F$15:$J$15,打分卡!$K$15:$O$15),1)</f>
        <v>1</v>
      </c>
      <c r="AL1563" s="45">
        <f t="shared" si="193"/>
        <v>1</v>
      </c>
      <c r="AM1563" s="42">
        <f>IFERROR(LOOKUP(Z1563,打分卡!$F$17:$H$17,打分卡!$K$17:$M$17),1)</f>
        <v>1</v>
      </c>
      <c r="AN1563" s="46">
        <f>(打分卡!$D$7*AC1563+打分卡!$D$8*AD1563+打分卡!$D$9*AE1563)/5</f>
        <v>8</v>
      </c>
      <c r="AO1563" s="46">
        <f>(打分卡!$D$10*AF1563+打分卡!$D$11*AG1563)/5</f>
        <v>4</v>
      </c>
      <c r="AP1563" s="46">
        <f>(打分卡!$D$12*AH1563+打分卡!$D$13*AI1563+打分卡!$D$14*AJ1563+打分卡!$D$15*AK1563)/5</f>
        <v>10</v>
      </c>
      <c r="AQ1563" s="46">
        <f>(打分卡!$D$16*AL1563+打分卡!$D$17*AM1563)/5</f>
        <v>2</v>
      </c>
      <c r="AR1563" s="48">
        <f t="shared" si="194"/>
        <v>24</v>
      </c>
      <c r="AS1563" s="45" t="str">
        <f t="shared" si="195"/>
        <v>未激活</v>
      </c>
      <c r="AT1563" s="45" t="str">
        <f t="shared" si="196"/>
        <v>连续下降-预警</v>
      </c>
      <c r="AU1563" s="45" t="str">
        <f t="shared" si="197"/>
        <v>唤醒：短信模板+首充补贴</v>
      </c>
    </row>
    <row r="1564" ht="15" customHeight="1" spans="1:47">
      <c r="A1564" s="30" t="s">
        <v>4013</v>
      </c>
      <c r="B1564" s="31" t="s">
        <v>4014</v>
      </c>
      <c r="C1564" s="31" t="s">
        <v>239</v>
      </c>
      <c r="D1564" s="31" t="s">
        <v>190</v>
      </c>
      <c r="E1564" s="31" t="s">
        <v>181</v>
      </c>
      <c r="F1564" s="30" t="s">
        <v>4015</v>
      </c>
      <c r="G1564" s="31">
        <v>32</v>
      </c>
      <c r="H1564" s="31" t="s">
        <v>3535</v>
      </c>
      <c r="I1564" s="31" t="s">
        <v>302</v>
      </c>
      <c r="J1564" s="33">
        <v>0</v>
      </c>
      <c r="K1564" s="33">
        <v>0</v>
      </c>
      <c r="L1564" s="33">
        <v>0</v>
      </c>
      <c r="M1564" s="33">
        <f t="shared" si="192"/>
        <v>0</v>
      </c>
      <c r="N1564" s="34">
        <f t="shared" si="198"/>
        <v>0</v>
      </c>
      <c r="O1564" s="35">
        <f>SUM($M$2:M1564)</f>
        <v>190743600</v>
      </c>
      <c r="P1564" s="34">
        <f t="shared" si="199"/>
        <v>1</v>
      </c>
      <c r="Q1564" s="37">
        <v>0</v>
      </c>
      <c r="R1564" s="31">
        <v>0</v>
      </c>
      <c r="S1564" s="31">
        <v>0</v>
      </c>
      <c r="T1564" s="31">
        <v>0</v>
      </c>
      <c r="U1564" s="37">
        <v>2.6</v>
      </c>
      <c r="V1564" s="31">
        <v>13</v>
      </c>
      <c r="W1564" s="31">
        <v>1</v>
      </c>
      <c r="X1564" s="38">
        <v>71</v>
      </c>
      <c r="Y1564" s="31">
        <v>0</v>
      </c>
      <c r="Z1564" s="31">
        <v>0</v>
      </c>
      <c r="AA1564" s="31" t="s">
        <v>212</v>
      </c>
      <c r="AB1564" s="31" t="s">
        <v>220</v>
      </c>
      <c r="AC1564" s="41">
        <f>IFERROR(LOOKUP(M1564,打分卡!$F$7:$J$7,打分卡!$K$7:$O$7),1)</f>
        <v>1</v>
      </c>
      <c r="AD1564" s="41">
        <f>IFERROR(LOOKUP(S1564,打分卡!$F$8:$J$8,打分卡!$K$8:$O$8),1)</f>
        <v>1</v>
      </c>
      <c r="AE1564" s="41">
        <f>IFERROR(LOOKUP(T1564,打分卡!$F$9:$I$9,打分卡!$K$9:$N$9),1)</f>
        <v>1</v>
      </c>
      <c r="AF1564" s="41">
        <f>IFERROR(LOOKUP(Q1564,打分卡!$F$10:$J$10,打分卡!$K$10:$O$10),1)</f>
        <v>1</v>
      </c>
      <c r="AG1564" s="41">
        <f>IFERROR(LOOKUP(R1564,打分卡!$F$11:$J$11,打分卡!$K$11:$O$11),1)</f>
        <v>1</v>
      </c>
      <c r="AH1564" s="41">
        <f>IFERROR(LOOKUP(U1564,打分卡!$F$12:$J$12,打分卡!$K$12:$O$12),1)</f>
        <v>1</v>
      </c>
      <c r="AI1564" s="41">
        <f>IFERROR(LOOKUP(X1564,打分卡!$F$13:$J$13,打分卡!$K$13:$O$13),1)</f>
        <v>3</v>
      </c>
      <c r="AJ1564" s="41">
        <f>IFERROR(LOOKUP(Y1564,打分卡!$F$14:$J$14,打分卡!$K$14:$O$14),1)</f>
        <v>1</v>
      </c>
      <c r="AK1564" s="41">
        <f>IFERROR(LOOKUP(W1564,打分卡!$F$15:$J$15,打分卡!$K$15:$O$15),1)</f>
        <v>2</v>
      </c>
      <c r="AL1564" s="43">
        <f t="shared" si="193"/>
        <v>1</v>
      </c>
      <c r="AM1564" s="41">
        <f>IFERROR(LOOKUP(Z1564,打分卡!$F$17:$H$17,打分卡!$K$17:$M$17),1)</f>
        <v>1</v>
      </c>
      <c r="AN1564" s="44">
        <f>(打分卡!$D$7*AC1564+打分卡!$D$8*AD1564+打分卡!$D$9*AE1564)/5</f>
        <v>8</v>
      </c>
      <c r="AO1564" s="44">
        <f>(打分卡!$D$10*AF1564+打分卡!$D$11*AG1564)/5</f>
        <v>4</v>
      </c>
      <c r="AP1564" s="44">
        <f>(打分卡!$D$12*AH1564+打分卡!$D$13*AI1564+打分卡!$D$14*AJ1564+打分卡!$D$15*AK1564)/5</f>
        <v>10</v>
      </c>
      <c r="AQ1564" s="44">
        <f>(打分卡!$D$16*AL1564+打分卡!$D$17*AM1564)/5</f>
        <v>2</v>
      </c>
      <c r="AR1564" s="47">
        <f t="shared" si="194"/>
        <v>24</v>
      </c>
      <c r="AS1564" s="43" t="str">
        <f t="shared" si="195"/>
        <v>未激活</v>
      </c>
      <c r="AT1564" s="43" t="str">
        <f t="shared" si="196"/>
        <v>连续下降-预警</v>
      </c>
      <c r="AU1564" s="43" t="str">
        <f t="shared" si="197"/>
        <v>唤醒：短信模板+首充补贴</v>
      </c>
    </row>
    <row r="1565" ht="15" customHeight="1" spans="1:47">
      <c r="A1565" s="20" t="s">
        <v>4016</v>
      </c>
      <c r="B1565" s="22" t="s">
        <v>4017</v>
      </c>
      <c r="C1565" s="22" t="s">
        <v>179</v>
      </c>
      <c r="D1565" s="22" t="s">
        <v>196</v>
      </c>
      <c r="E1565" s="22" t="s">
        <v>197</v>
      </c>
      <c r="F1565" s="20" t="s">
        <v>4018</v>
      </c>
      <c r="G1565" s="22">
        <v>24</v>
      </c>
      <c r="H1565" s="22" t="s">
        <v>3535</v>
      </c>
      <c r="I1565" s="22" t="s">
        <v>302</v>
      </c>
      <c r="J1565" s="36">
        <v>0</v>
      </c>
      <c r="K1565" s="36">
        <v>0</v>
      </c>
      <c r="L1565" s="36">
        <v>0</v>
      </c>
      <c r="M1565" s="36">
        <f t="shared" si="192"/>
        <v>0</v>
      </c>
      <c r="N1565" s="34">
        <f t="shared" si="198"/>
        <v>0</v>
      </c>
      <c r="O1565" s="35">
        <f>SUM($M$2:M1565)</f>
        <v>190743600</v>
      </c>
      <c r="P1565" s="34">
        <f t="shared" si="199"/>
        <v>1</v>
      </c>
      <c r="Q1565" s="39">
        <v>0</v>
      </c>
      <c r="R1565" s="22">
        <v>0</v>
      </c>
      <c r="S1565" s="22">
        <v>0</v>
      </c>
      <c r="T1565" s="22">
        <v>0</v>
      </c>
      <c r="U1565" s="39">
        <v>1.8</v>
      </c>
      <c r="V1565" s="22">
        <v>12</v>
      </c>
      <c r="W1565" s="22">
        <v>2</v>
      </c>
      <c r="X1565" s="40">
        <v>5</v>
      </c>
      <c r="Y1565" s="22">
        <v>1</v>
      </c>
      <c r="Z1565" s="22">
        <v>0</v>
      </c>
      <c r="AA1565" s="22" t="s">
        <v>212</v>
      </c>
      <c r="AB1565" s="22" t="s">
        <v>220</v>
      </c>
      <c r="AC1565" s="42">
        <f>IFERROR(LOOKUP(M1565,打分卡!$F$7:$J$7,打分卡!$K$7:$O$7),1)</f>
        <v>1</v>
      </c>
      <c r="AD1565" s="42">
        <f>IFERROR(LOOKUP(S1565,打分卡!$F$8:$J$8,打分卡!$K$8:$O$8),1)</f>
        <v>1</v>
      </c>
      <c r="AE1565" s="42">
        <f>IFERROR(LOOKUP(T1565,打分卡!$F$9:$I$9,打分卡!$K$9:$N$9),1)</f>
        <v>1</v>
      </c>
      <c r="AF1565" s="42">
        <f>IFERROR(LOOKUP(Q1565,打分卡!$F$10:$J$10,打分卡!$K$10:$O$10),1)</f>
        <v>1</v>
      </c>
      <c r="AG1565" s="42">
        <f>IFERROR(LOOKUP(R1565,打分卡!$F$11:$J$11,打分卡!$K$11:$O$11),1)</f>
        <v>1</v>
      </c>
      <c r="AH1565" s="42">
        <f>IFERROR(LOOKUP(U1565,打分卡!$F$12:$J$12,打分卡!$K$12:$O$12),1)</f>
        <v>1</v>
      </c>
      <c r="AI1565" s="42">
        <f>IFERROR(LOOKUP(X1565,打分卡!$F$13:$J$13,打分卡!$K$13:$O$13),1)</f>
        <v>1</v>
      </c>
      <c r="AJ1565" s="42">
        <f>IFERROR(LOOKUP(Y1565,打分卡!$F$14:$J$14,打分卡!$K$14:$O$14),1)</f>
        <v>2</v>
      </c>
      <c r="AK1565" s="42">
        <f>IFERROR(LOOKUP(W1565,打分卡!$F$15:$J$15,打分卡!$K$15:$O$15),1)</f>
        <v>2</v>
      </c>
      <c r="AL1565" s="45">
        <f t="shared" si="193"/>
        <v>1</v>
      </c>
      <c r="AM1565" s="42">
        <f>IFERROR(LOOKUP(Z1565,打分卡!$F$17:$H$17,打分卡!$K$17:$M$17),1)</f>
        <v>1</v>
      </c>
      <c r="AN1565" s="46">
        <f>(打分卡!$D$7*AC1565+打分卡!$D$8*AD1565+打分卡!$D$9*AE1565)/5</f>
        <v>8</v>
      </c>
      <c r="AO1565" s="46">
        <f>(打分卡!$D$10*AF1565+打分卡!$D$11*AG1565)/5</f>
        <v>4</v>
      </c>
      <c r="AP1565" s="46">
        <f>(打分卡!$D$12*AH1565+打分卡!$D$13*AI1565+打分卡!$D$14*AJ1565+打分卡!$D$15*AK1565)/5</f>
        <v>8</v>
      </c>
      <c r="AQ1565" s="46">
        <f>(打分卡!$D$16*AL1565+打分卡!$D$17*AM1565)/5</f>
        <v>2</v>
      </c>
      <c r="AR1565" s="48">
        <f t="shared" si="194"/>
        <v>22</v>
      </c>
      <c r="AS1565" s="45" t="str">
        <f t="shared" si="195"/>
        <v>未激活</v>
      </c>
      <c r="AT1565" s="45" t="str">
        <f t="shared" si="196"/>
        <v>连续下降-预警</v>
      </c>
      <c r="AU1565" s="45" t="str">
        <f t="shared" si="197"/>
        <v>唤醒：短信模板+首充补贴</v>
      </c>
    </row>
    <row r="1566" ht="15" customHeight="1" spans="1:47">
      <c r="A1566" s="30" t="s">
        <v>4019</v>
      </c>
      <c r="B1566" s="31" t="s">
        <v>4020</v>
      </c>
      <c r="C1566" s="31" t="s">
        <v>209</v>
      </c>
      <c r="D1566" s="31" t="s">
        <v>252</v>
      </c>
      <c r="E1566" s="31" t="s">
        <v>181</v>
      </c>
      <c r="F1566" s="30" t="s">
        <v>3863</v>
      </c>
      <c r="G1566" s="31">
        <v>30</v>
      </c>
      <c r="H1566" s="31" t="s">
        <v>3535</v>
      </c>
      <c r="I1566" s="31" t="s">
        <v>302</v>
      </c>
      <c r="J1566" s="33">
        <v>0</v>
      </c>
      <c r="K1566" s="33">
        <v>0</v>
      </c>
      <c r="L1566" s="33">
        <v>0</v>
      </c>
      <c r="M1566" s="33">
        <f t="shared" si="192"/>
        <v>0</v>
      </c>
      <c r="N1566" s="34">
        <f t="shared" si="198"/>
        <v>0</v>
      </c>
      <c r="O1566" s="35">
        <f>SUM($M$2:M1566)</f>
        <v>190743600</v>
      </c>
      <c r="P1566" s="34">
        <f t="shared" si="199"/>
        <v>1</v>
      </c>
      <c r="Q1566" s="37">
        <v>0</v>
      </c>
      <c r="R1566" s="31">
        <v>0</v>
      </c>
      <c r="S1566" s="31">
        <v>0</v>
      </c>
      <c r="T1566" s="31">
        <v>0</v>
      </c>
      <c r="U1566" s="37">
        <v>0.8</v>
      </c>
      <c r="V1566" s="31">
        <v>10</v>
      </c>
      <c r="W1566" s="31">
        <v>1</v>
      </c>
      <c r="X1566" s="38">
        <v>75</v>
      </c>
      <c r="Y1566" s="31">
        <v>1</v>
      </c>
      <c r="Z1566" s="31">
        <v>0</v>
      </c>
      <c r="AA1566" s="31" t="s">
        <v>212</v>
      </c>
      <c r="AB1566" s="31" t="s">
        <v>220</v>
      </c>
      <c r="AC1566" s="41">
        <f>IFERROR(LOOKUP(M1566,打分卡!$F$7:$J$7,打分卡!$K$7:$O$7),1)</f>
        <v>1</v>
      </c>
      <c r="AD1566" s="41">
        <f>IFERROR(LOOKUP(S1566,打分卡!$F$8:$J$8,打分卡!$K$8:$O$8),1)</f>
        <v>1</v>
      </c>
      <c r="AE1566" s="41">
        <f>IFERROR(LOOKUP(T1566,打分卡!$F$9:$I$9,打分卡!$K$9:$N$9),1)</f>
        <v>1</v>
      </c>
      <c r="AF1566" s="41">
        <f>IFERROR(LOOKUP(Q1566,打分卡!$F$10:$J$10,打分卡!$K$10:$O$10),1)</f>
        <v>1</v>
      </c>
      <c r="AG1566" s="41">
        <f>IFERROR(LOOKUP(R1566,打分卡!$F$11:$J$11,打分卡!$K$11:$O$11),1)</f>
        <v>1</v>
      </c>
      <c r="AH1566" s="41">
        <f>IFERROR(LOOKUP(U1566,打分卡!$F$12:$J$12,打分卡!$K$12:$O$12),1)</f>
        <v>1</v>
      </c>
      <c r="AI1566" s="41">
        <f>IFERROR(LOOKUP(X1566,打分卡!$F$13:$J$13,打分卡!$K$13:$O$13),1)</f>
        <v>3</v>
      </c>
      <c r="AJ1566" s="41">
        <f>IFERROR(LOOKUP(Y1566,打分卡!$F$14:$J$14,打分卡!$K$14:$O$14),1)</f>
        <v>2</v>
      </c>
      <c r="AK1566" s="41">
        <f>IFERROR(LOOKUP(W1566,打分卡!$F$15:$J$15,打分卡!$K$15:$O$15),1)</f>
        <v>2</v>
      </c>
      <c r="AL1566" s="43">
        <f t="shared" si="193"/>
        <v>1</v>
      </c>
      <c r="AM1566" s="41">
        <f>IFERROR(LOOKUP(Z1566,打分卡!$F$17:$H$17,打分卡!$K$17:$M$17),1)</f>
        <v>1</v>
      </c>
      <c r="AN1566" s="44">
        <f>(打分卡!$D$7*AC1566+打分卡!$D$8*AD1566+打分卡!$D$9*AE1566)/5</f>
        <v>8</v>
      </c>
      <c r="AO1566" s="44">
        <f>(打分卡!$D$10*AF1566+打分卡!$D$11*AG1566)/5</f>
        <v>4</v>
      </c>
      <c r="AP1566" s="44">
        <f>(打分卡!$D$12*AH1566+打分卡!$D$13*AI1566+打分卡!$D$14*AJ1566+打分卡!$D$15*AK1566)/5</f>
        <v>11.2</v>
      </c>
      <c r="AQ1566" s="44">
        <f>(打分卡!$D$16*AL1566+打分卡!$D$17*AM1566)/5</f>
        <v>2</v>
      </c>
      <c r="AR1566" s="47">
        <f t="shared" si="194"/>
        <v>25.2</v>
      </c>
      <c r="AS1566" s="43" t="str">
        <f t="shared" si="195"/>
        <v>未激活</v>
      </c>
      <c r="AT1566" s="43" t="str">
        <f t="shared" si="196"/>
        <v>连续下降-预警</v>
      </c>
      <c r="AU1566" s="43" t="str">
        <f t="shared" si="197"/>
        <v>唤醒：短信模板+首充补贴</v>
      </c>
    </row>
    <row r="1567" ht="15" customHeight="1" spans="1:47">
      <c r="A1567" s="20" t="s">
        <v>4021</v>
      </c>
      <c r="B1567" s="22" t="s">
        <v>4022</v>
      </c>
      <c r="C1567" s="22" t="s">
        <v>179</v>
      </c>
      <c r="D1567" s="22" t="s">
        <v>202</v>
      </c>
      <c r="E1567" s="22" t="s">
        <v>181</v>
      </c>
      <c r="F1567" s="20" t="s">
        <v>4023</v>
      </c>
      <c r="G1567" s="22">
        <v>31</v>
      </c>
      <c r="H1567" s="22" t="s">
        <v>3535</v>
      </c>
      <c r="I1567" s="22" t="s">
        <v>302</v>
      </c>
      <c r="J1567" s="36">
        <v>0</v>
      </c>
      <c r="K1567" s="36">
        <v>0</v>
      </c>
      <c r="L1567" s="36">
        <v>0</v>
      </c>
      <c r="M1567" s="36">
        <f t="shared" si="192"/>
        <v>0</v>
      </c>
      <c r="N1567" s="34">
        <f t="shared" si="198"/>
        <v>0</v>
      </c>
      <c r="O1567" s="35">
        <f>SUM($M$2:M1567)</f>
        <v>190743600</v>
      </c>
      <c r="P1567" s="34">
        <f t="shared" si="199"/>
        <v>1</v>
      </c>
      <c r="Q1567" s="39">
        <v>0</v>
      </c>
      <c r="R1567" s="22">
        <v>0</v>
      </c>
      <c r="S1567" s="22">
        <v>0</v>
      </c>
      <c r="T1567" s="22">
        <v>0</v>
      </c>
      <c r="U1567" s="39">
        <v>2</v>
      </c>
      <c r="V1567" s="22">
        <v>4</v>
      </c>
      <c r="W1567" s="22">
        <v>0</v>
      </c>
      <c r="X1567" s="40">
        <v>15</v>
      </c>
      <c r="Y1567" s="22">
        <v>1</v>
      </c>
      <c r="Z1567" s="22">
        <v>0</v>
      </c>
      <c r="AA1567" s="22" t="s">
        <v>212</v>
      </c>
      <c r="AB1567" s="22" t="s">
        <v>220</v>
      </c>
      <c r="AC1567" s="42">
        <f>IFERROR(LOOKUP(M1567,打分卡!$F$7:$J$7,打分卡!$K$7:$O$7),1)</f>
        <v>1</v>
      </c>
      <c r="AD1567" s="42">
        <f>IFERROR(LOOKUP(S1567,打分卡!$F$8:$J$8,打分卡!$K$8:$O$8),1)</f>
        <v>1</v>
      </c>
      <c r="AE1567" s="42">
        <f>IFERROR(LOOKUP(T1567,打分卡!$F$9:$I$9,打分卡!$K$9:$N$9),1)</f>
        <v>1</v>
      </c>
      <c r="AF1567" s="42">
        <f>IFERROR(LOOKUP(Q1567,打分卡!$F$10:$J$10,打分卡!$K$10:$O$10),1)</f>
        <v>1</v>
      </c>
      <c r="AG1567" s="42">
        <f>IFERROR(LOOKUP(R1567,打分卡!$F$11:$J$11,打分卡!$K$11:$O$11),1)</f>
        <v>1</v>
      </c>
      <c r="AH1567" s="42">
        <f>IFERROR(LOOKUP(U1567,打分卡!$F$12:$J$12,打分卡!$K$12:$O$12),1)</f>
        <v>1</v>
      </c>
      <c r="AI1567" s="42">
        <f>IFERROR(LOOKUP(X1567,打分卡!$F$13:$J$13,打分卡!$K$13:$O$13),1)</f>
        <v>1</v>
      </c>
      <c r="AJ1567" s="42">
        <f>IFERROR(LOOKUP(Y1567,打分卡!$F$14:$J$14,打分卡!$K$14:$O$14),1)</f>
        <v>2</v>
      </c>
      <c r="AK1567" s="42">
        <f>IFERROR(LOOKUP(W1567,打分卡!$F$15:$J$15,打分卡!$K$15:$O$15),1)</f>
        <v>1</v>
      </c>
      <c r="AL1567" s="45">
        <f t="shared" si="193"/>
        <v>1</v>
      </c>
      <c r="AM1567" s="42">
        <f>IFERROR(LOOKUP(Z1567,打分卡!$F$17:$H$17,打分卡!$K$17:$M$17),1)</f>
        <v>1</v>
      </c>
      <c r="AN1567" s="46">
        <f>(打分卡!$D$7*AC1567+打分卡!$D$8*AD1567+打分卡!$D$9*AE1567)/5</f>
        <v>8</v>
      </c>
      <c r="AO1567" s="46">
        <f>(打分卡!$D$10*AF1567+打分卡!$D$11*AG1567)/5</f>
        <v>4</v>
      </c>
      <c r="AP1567" s="46">
        <f>(打分卡!$D$12*AH1567+打分卡!$D$13*AI1567+打分卡!$D$14*AJ1567+打分卡!$D$15*AK1567)/5</f>
        <v>7.2</v>
      </c>
      <c r="AQ1567" s="46">
        <f>(打分卡!$D$16*AL1567+打分卡!$D$17*AM1567)/5</f>
        <v>2</v>
      </c>
      <c r="AR1567" s="48">
        <f t="shared" si="194"/>
        <v>21.2</v>
      </c>
      <c r="AS1567" s="45" t="str">
        <f t="shared" si="195"/>
        <v>未激活</v>
      </c>
      <c r="AT1567" s="45" t="str">
        <f t="shared" si="196"/>
        <v>连续下降-预警</v>
      </c>
      <c r="AU1567" s="45" t="str">
        <f t="shared" si="197"/>
        <v>唤醒：短信模板+首充补贴</v>
      </c>
    </row>
    <row r="1568" ht="15" customHeight="1" spans="1:47">
      <c r="A1568" s="30" t="s">
        <v>4024</v>
      </c>
      <c r="B1568" s="31" t="s">
        <v>4025</v>
      </c>
      <c r="C1568" s="31" t="s">
        <v>189</v>
      </c>
      <c r="D1568" s="31" t="s">
        <v>196</v>
      </c>
      <c r="E1568" s="31" t="s">
        <v>181</v>
      </c>
      <c r="F1568" s="30" t="s">
        <v>825</v>
      </c>
      <c r="G1568" s="31">
        <v>17</v>
      </c>
      <c r="H1568" s="31" t="s">
        <v>3535</v>
      </c>
      <c r="I1568" s="31" t="s">
        <v>302</v>
      </c>
      <c r="J1568" s="33">
        <v>0</v>
      </c>
      <c r="K1568" s="33">
        <v>0</v>
      </c>
      <c r="L1568" s="33">
        <v>0</v>
      </c>
      <c r="M1568" s="33">
        <f t="shared" si="192"/>
        <v>0</v>
      </c>
      <c r="N1568" s="34">
        <f t="shared" si="198"/>
        <v>0</v>
      </c>
      <c r="O1568" s="35">
        <f>SUM($M$2:M1568)</f>
        <v>190743600</v>
      </c>
      <c r="P1568" s="34">
        <f t="shared" si="199"/>
        <v>1</v>
      </c>
      <c r="Q1568" s="37">
        <v>0</v>
      </c>
      <c r="R1568" s="31">
        <v>0</v>
      </c>
      <c r="S1568" s="31">
        <v>0</v>
      </c>
      <c r="T1568" s="31">
        <v>0</v>
      </c>
      <c r="U1568" s="37">
        <v>8.7</v>
      </c>
      <c r="V1568" s="31">
        <v>0</v>
      </c>
      <c r="W1568" s="31">
        <v>2</v>
      </c>
      <c r="X1568" s="38">
        <v>5</v>
      </c>
      <c r="Y1568" s="31">
        <v>0</v>
      </c>
      <c r="Z1568" s="31">
        <v>0</v>
      </c>
      <c r="AA1568" s="31" t="s">
        <v>212</v>
      </c>
      <c r="AB1568" s="31" t="s">
        <v>220</v>
      </c>
      <c r="AC1568" s="41">
        <f>IFERROR(LOOKUP(M1568,打分卡!$F$7:$J$7,打分卡!$K$7:$O$7),1)</f>
        <v>1</v>
      </c>
      <c r="AD1568" s="41">
        <f>IFERROR(LOOKUP(S1568,打分卡!$F$8:$J$8,打分卡!$K$8:$O$8),1)</f>
        <v>1</v>
      </c>
      <c r="AE1568" s="41">
        <f>IFERROR(LOOKUP(T1568,打分卡!$F$9:$I$9,打分卡!$K$9:$N$9),1)</f>
        <v>1</v>
      </c>
      <c r="AF1568" s="41">
        <f>IFERROR(LOOKUP(Q1568,打分卡!$F$10:$J$10,打分卡!$K$10:$O$10),1)</f>
        <v>1</v>
      </c>
      <c r="AG1568" s="41">
        <f>IFERROR(LOOKUP(R1568,打分卡!$F$11:$J$11,打分卡!$K$11:$O$11),1)</f>
        <v>1</v>
      </c>
      <c r="AH1568" s="41">
        <f>IFERROR(LOOKUP(U1568,打分卡!$F$12:$J$12,打分卡!$K$12:$O$12),1)</f>
        <v>2</v>
      </c>
      <c r="AI1568" s="41">
        <f>IFERROR(LOOKUP(X1568,打分卡!$F$13:$J$13,打分卡!$K$13:$O$13),1)</f>
        <v>1</v>
      </c>
      <c r="AJ1568" s="41">
        <f>IFERROR(LOOKUP(Y1568,打分卡!$F$14:$J$14,打分卡!$K$14:$O$14),1)</f>
        <v>1</v>
      </c>
      <c r="AK1568" s="41">
        <f>IFERROR(LOOKUP(W1568,打分卡!$F$15:$J$15,打分卡!$K$15:$O$15),1)</f>
        <v>2</v>
      </c>
      <c r="AL1568" s="43">
        <f t="shared" si="193"/>
        <v>1</v>
      </c>
      <c r="AM1568" s="41">
        <f>IFERROR(LOOKUP(Z1568,打分卡!$F$17:$H$17,打分卡!$K$17:$M$17),1)</f>
        <v>1</v>
      </c>
      <c r="AN1568" s="44">
        <f>(打分卡!$D$7*AC1568+打分卡!$D$8*AD1568+打分卡!$D$9*AE1568)/5</f>
        <v>8</v>
      </c>
      <c r="AO1568" s="44">
        <f>(打分卡!$D$10*AF1568+打分卡!$D$11*AG1568)/5</f>
        <v>4</v>
      </c>
      <c r="AP1568" s="44">
        <f>(打分卡!$D$12*AH1568+打分卡!$D$13*AI1568+打分卡!$D$14*AJ1568+打分卡!$D$15*AK1568)/5</f>
        <v>9.2</v>
      </c>
      <c r="AQ1568" s="44">
        <f>(打分卡!$D$16*AL1568+打分卡!$D$17*AM1568)/5</f>
        <v>2</v>
      </c>
      <c r="AR1568" s="47">
        <f t="shared" si="194"/>
        <v>23.2</v>
      </c>
      <c r="AS1568" s="43" t="str">
        <f t="shared" si="195"/>
        <v>未激活</v>
      </c>
      <c r="AT1568" s="43" t="str">
        <f t="shared" si="196"/>
        <v>连续下降-预警</v>
      </c>
      <c r="AU1568" s="43" t="str">
        <f t="shared" si="197"/>
        <v>唤醒：短信模板+首充补贴</v>
      </c>
    </row>
    <row r="1569" ht="15" customHeight="1" spans="1:47">
      <c r="A1569" s="20" t="s">
        <v>4026</v>
      </c>
      <c r="B1569" s="22" t="s">
        <v>4027</v>
      </c>
      <c r="C1569" s="22" t="s">
        <v>189</v>
      </c>
      <c r="D1569" s="22" t="s">
        <v>202</v>
      </c>
      <c r="E1569" s="22" t="s">
        <v>181</v>
      </c>
      <c r="F1569" s="20" t="s">
        <v>228</v>
      </c>
      <c r="G1569" s="22">
        <v>25</v>
      </c>
      <c r="H1569" s="22" t="s">
        <v>3535</v>
      </c>
      <c r="I1569" s="22" t="s">
        <v>302</v>
      </c>
      <c r="J1569" s="36">
        <v>0</v>
      </c>
      <c r="K1569" s="36">
        <v>0</v>
      </c>
      <c r="L1569" s="36">
        <v>0</v>
      </c>
      <c r="M1569" s="36">
        <f t="shared" si="192"/>
        <v>0</v>
      </c>
      <c r="N1569" s="34">
        <f t="shared" si="198"/>
        <v>0</v>
      </c>
      <c r="O1569" s="35">
        <f>SUM($M$2:M1569)</f>
        <v>190743600</v>
      </c>
      <c r="P1569" s="34">
        <f t="shared" si="199"/>
        <v>1</v>
      </c>
      <c r="Q1569" s="39">
        <v>0</v>
      </c>
      <c r="R1569" s="22">
        <v>0</v>
      </c>
      <c r="S1569" s="22">
        <v>0</v>
      </c>
      <c r="T1569" s="22">
        <v>0</v>
      </c>
      <c r="U1569" s="39">
        <v>1.1</v>
      </c>
      <c r="V1569" s="22">
        <v>0</v>
      </c>
      <c r="W1569" s="22">
        <v>0</v>
      </c>
      <c r="X1569" s="40">
        <v>23</v>
      </c>
      <c r="Y1569" s="22">
        <v>0</v>
      </c>
      <c r="Z1569" s="22">
        <v>0</v>
      </c>
      <c r="AA1569" s="22" t="s">
        <v>212</v>
      </c>
      <c r="AB1569" s="22" t="s">
        <v>220</v>
      </c>
      <c r="AC1569" s="42">
        <f>IFERROR(LOOKUP(M1569,打分卡!$F$7:$J$7,打分卡!$K$7:$O$7),1)</f>
        <v>1</v>
      </c>
      <c r="AD1569" s="42">
        <f>IFERROR(LOOKUP(S1569,打分卡!$F$8:$J$8,打分卡!$K$8:$O$8),1)</f>
        <v>1</v>
      </c>
      <c r="AE1569" s="42">
        <f>IFERROR(LOOKUP(T1569,打分卡!$F$9:$I$9,打分卡!$K$9:$N$9),1)</f>
        <v>1</v>
      </c>
      <c r="AF1569" s="42">
        <f>IFERROR(LOOKUP(Q1569,打分卡!$F$10:$J$10,打分卡!$K$10:$O$10),1)</f>
        <v>1</v>
      </c>
      <c r="AG1569" s="42">
        <f>IFERROR(LOOKUP(R1569,打分卡!$F$11:$J$11,打分卡!$K$11:$O$11),1)</f>
        <v>1</v>
      </c>
      <c r="AH1569" s="42">
        <f>IFERROR(LOOKUP(U1569,打分卡!$F$12:$J$12,打分卡!$K$12:$O$12),1)</f>
        <v>1</v>
      </c>
      <c r="AI1569" s="42">
        <f>IFERROR(LOOKUP(X1569,打分卡!$F$13:$J$13,打分卡!$K$13:$O$13),1)</f>
        <v>2</v>
      </c>
      <c r="AJ1569" s="42">
        <f>IFERROR(LOOKUP(Y1569,打分卡!$F$14:$J$14,打分卡!$K$14:$O$14),1)</f>
        <v>1</v>
      </c>
      <c r="AK1569" s="42">
        <f>IFERROR(LOOKUP(W1569,打分卡!$F$15:$J$15,打分卡!$K$15:$O$15),1)</f>
        <v>1</v>
      </c>
      <c r="AL1569" s="45">
        <f t="shared" si="193"/>
        <v>1</v>
      </c>
      <c r="AM1569" s="42">
        <f>IFERROR(LOOKUP(Z1569,打分卡!$F$17:$H$17,打分卡!$K$17:$M$17),1)</f>
        <v>1</v>
      </c>
      <c r="AN1569" s="46">
        <f>(打分卡!$D$7*AC1569+打分卡!$D$8*AD1569+打分卡!$D$9*AE1569)/5</f>
        <v>8</v>
      </c>
      <c r="AO1569" s="46">
        <f>(打分卡!$D$10*AF1569+打分卡!$D$11*AG1569)/5</f>
        <v>4</v>
      </c>
      <c r="AP1569" s="46">
        <f>(打分卡!$D$12*AH1569+打分卡!$D$13*AI1569+打分卡!$D$14*AJ1569+打分卡!$D$15*AK1569)/5</f>
        <v>7.6</v>
      </c>
      <c r="AQ1569" s="46">
        <f>(打分卡!$D$16*AL1569+打分卡!$D$17*AM1569)/5</f>
        <v>2</v>
      </c>
      <c r="AR1569" s="48">
        <f t="shared" si="194"/>
        <v>21.6</v>
      </c>
      <c r="AS1569" s="45" t="str">
        <f t="shared" si="195"/>
        <v>未激活</v>
      </c>
      <c r="AT1569" s="45" t="str">
        <f t="shared" si="196"/>
        <v>连续下降-预警</v>
      </c>
      <c r="AU1569" s="45" t="str">
        <f t="shared" si="197"/>
        <v>唤醒：短信模板+首充补贴</v>
      </c>
    </row>
    <row r="1570" ht="15" customHeight="1" spans="1:47">
      <c r="A1570" s="30" t="s">
        <v>4028</v>
      </c>
      <c r="B1570" s="31" t="s">
        <v>4029</v>
      </c>
      <c r="C1570" s="31" t="s">
        <v>223</v>
      </c>
      <c r="D1570" s="31" t="s">
        <v>196</v>
      </c>
      <c r="E1570" s="31" t="s">
        <v>181</v>
      </c>
      <c r="F1570" s="30" t="s">
        <v>1837</v>
      </c>
      <c r="G1570" s="31">
        <v>19</v>
      </c>
      <c r="H1570" s="31" t="s">
        <v>3535</v>
      </c>
      <c r="I1570" s="31" t="s">
        <v>302</v>
      </c>
      <c r="J1570" s="33">
        <v>0</v>
      </c>
      <c r="K1570" s="33">
        <v>0</v>
      </c>
      <c r="L1570" s="33">
        <v>0</v>
      </c>
      <c r="M1570" s="33">
        <f t="shared" si="192"/>
        <v>0</v>
      </c>
      <c r="N1570" s="34">
        <f t="shared" si="198"/>
        <v>0</v>
      </c>
      <c r="O1570" s="35">
        <f>SUM($M$2:M1570)</f>
        <v>190743600</v>
      </c>
      <c r="P1570" s="34">
        <f t="shared" si="199"/>
        <v>1</v>
      </c>
      <c r="Q1570" s="37">
        <v>0</v>
      </c>
      <c r="R1570" s="31">
        <v>0</v>
      </c>
      <c r="S1570" s="31">
        <v>0</v>
      </c>
      <c r="T1570" s="31">
        <v>0</v>
      </c>
      <c r="U1570" s="37">
        <v>49.3</v>
      </c>
      <c r="V1570" s="31">
        <v>2</v>
      </c>
      <c r="W1570" s="31">
        <v>1</v>
      </c>
      <c r="X1570" s="38">
        <v>30</v>
      </c>
      <c r="Y1570" s="31">
        <v>0</v>
      </c>
      <c r="Z1570" s="31">
        <v>0</v>
      </c>
      <c r="AA1570" s="31" t="s">
        <v>212</v>
      </c>
      <c r="AB1570" s="31" t="s">
        <v>220</v>
      </c>
      <c r="AC1570" s="41">
        <f>IFERROR(LOOKUP(M1570,打分卡!$F$7:$J$7,打分卡!$K$7:$O$7),1)</f>
        <v>1</v>
      </c>
      <c r="AD1570" s="41">
        <f>IFERROR(LOOKUP(S1570,打分卡!$F$8:$J$8,打分卡!$K$8:$O$8),1)</f>
        <v>1</v>
      </c>
      <c r="AE1570" s="41">
        <f>IFERROR(LOOKUP(T1570,打分卡!$F$9:$I$9,打分卡!$K$9:$N$9),1)</f>
        <v>1</v>
      </c>
      <c r="AF1570" s="41">
        <f>IFERROR(LOOKUP(Q1570,打分卡!$F$10:$J$10,打分卡!$K$10:$O$10),1)</f>
        <v>1</v>
      </c>
      <c r="AG1570" s="41">
        <f>IFERROR(LOOKUP(R1570,打分卡!$F$11:$J$11,打分卡!$K$11:$O$11),1)</f>
        <v>1</v>
      </c>
      <c r="AH1570" s="41">
        <f>IFERROR(LOOKUP(U1570,打分卡!$F$12:$J$12,打分卡!$K$12:$O$12),1)</f>
        <v>4</v>
      </c>
      <c r="AI1570" s="41">
        <f>IFERROR(LOOKUP(X1570,打分卡!$F$13:$J$13,打分卡!$K$13:$O$13),1)</f>
        <v>2</v>
      </c>
      <c r="AJ1570" s="41">
        <f>IFERROR(LOOKUP(Y1570,打分卡!$F$14:$J$14,打分卡!$K$14:$O$14),1)</f>
        <v>1</v>
      </c>
      <c r="AK1570" s="41">
        <f>IFERROR(LOOKUP(W1570,打分卡!$F$15:$J$15,打分卡!$K$15:$O$15),1)</f>
        <v>2</v>
      </c>
      <c r="AL1570" s="43">
        <f t="shared" si="193"/>
        <v>1</v>
      </c>
      <c r="AM1570" s="41">
        <f>IFERROR(LOOKUP(Z1570,打分卡!$F$17:$H$17,打分卡!$K$17:$M$17),1)</f>
        <v>1</v>
      </c>
      <c r="AN1570" s="44">
        <f>(打分卡!$D$7*AC1570+打分卡!$D$8*AD1570+打分卡!$D$9*AE1570)/5</f>
        <v>8</v>
      </c>
      <c r="AO1570" s="44">
        <f>(打分卡!$D$10*AF1570+打分卡!$D$11*AG1570)/5</f>
        <v>4</v>
      </c>
      <c r="AP1570" s="44">
        <f>(打分卡!$D$12*AH1570+打分卡!$D$13*AI1570+打分卡!$D$14*AJ1570+打分卡!$D$15*AK1570)/5</f>
        <v>15.6</v>
      </c>
      <c r="AQ1570" s="44">
        <f>(打分卡!$D$16*AL1570+打分卡!$D$17*AM1570)/5</f>
        <v>2</v>
      </c>
      <c r="AR1570" s="47">
        <f t="shared" si="194"/>
        <v>29.6</v>
      </c>
      <c r="AS1570" s="43" t="str">
        <f t="shared" si="195"/>
        <v>未激活</v>
      </c>
      <c r="AT1570" s="43" t="str">
        <f t="shared" si="196"/>
        <v>连续下降-预警</v>
      </c>
      <c r="AU1570" s="43" t="str">
        <f t="shared" si="197"/>
        <v>唤醒：短信模板+首充补贴</v>
      </c>
    </row>
    <row r="1571" ht="15" customHeight="1" spans="1:47">
      <c r="A1571" s="20" t="s">
        <v>4030</v>
      </c>
      <c r="B1571" s="22" t="s">
        <v>4031</v>
      </c>
      <c r="C1571" s="22" t="s">
        <v>234</v>
      </c>
      <c r="D1571" s="22" t="s">
        <v>196</v>
      </c>
      <c r="E1571" s="22" t="s">
        <v>197</v>
      </c>
      <c r="F1571" s="20" t="s">
        <v>4032</v>
      </c>
      <c r="G1571" s="22">
        <v>27</v>
      </c>
      <c r="H1571" s="22" t="s">
        <v>3535</v>
      </c>
      <c r="I1571" s="22" t="s">
        <v>302</v>
      </c>
      <c r="J1571" s="36">
        <v>0</v>
      </c>
      <c r="K1571" s="36">
        <v>0</v>
      </c>
      <c r="L1571" s="36">
        <v>0</v>
      </c>
      <c r="M1571" s="36">
        <f t="shared" si="192"/>
        <v>0</v>
      </c>
      <c r="N1571" s="34">
        <f t="shared" si="198"/>
        <v>0</v>
      </c>
      <c r="O1571" s="35">
        <f>SUM($M$2:M1571)</f>
        <v>190743600</v>
      </c>
      <c r="P1571" s="34">
        <f t="shared" si="199"/>
        <v>1</v>
      </c>
      <c r="Q1571" s="39">
        <v>0</v>
      </c>
      <c r="R1571" s="22">
        <v>0</v>
      </c>
      <c r="S1571" s="22">
        <v>0</v>
      </c>
      <c r="T1571" s="22">
        <v>0</v>
      </c>
      <c r="U1571" s="39">
        <v>24.3</v>
      </c>
      <c r="V1571" s="22">
        <v>1</v>
      </c>
      <c r="W1571" s="22">
        <v>2</v>
      </c>
      <c r="X1571" s="40">
        <v>21</v>
      </c>
      <c r="Y1571" s="22">
        <v>1</v>
      </c>
      <c r="Z1571" s="22">
        <v>0</v>
      </c>
      <c r="AA1571" s="22" t="s">
        <v>212</v>
      </c>
      <c r="AB1571" s="22" t="s">
        <v>220</v>
      </c>
      <c r="AC1571" s="42">
        <f>IFERROR(LOOKUP(M1571,打分卡!$F$7:$J$7,打分卡!$K$7:$O$7),1)</f>
        <v>1</v>
      </c>
      <c r="AD1571" s="42">
        <f>IFERROR(LOOKUP(S1571,打分卡!$F$8:$J$8,打分卡!$K$8:$O$8),1)</f>
        <v>1</v>
      </c>
      <c r="AE1571" s="42">
        <f>IFERROR(LOOKUP(T1571,打分卡!$F$9:$I$9,打分卡!$K$9:$N$9),1)</f>
        <v>1</v>
      </c>
      <c r="AF1571" s="42">
        <f>IFERROR(LOOKUP(Q1571,打分卡!$F$10:$J$10,打分卡!$K$10:$O$10),1)</f>
        <v>1</v>
      </c>
      <c r="AG1571" s="42">
        <f>IFERROR(LOOKUP(R1571,打分卡!$F$11:$J$11,打分卡!$K$11:$O$11),1)</f>
        <v>1</v>
      </c>
      <c r="AH1571" s="42">
        <f>IFERROR(LOOKUP(U1571,打分卡!$F$12:$J$12,打分卡!$K$12:$O$12),1)</f>
        <v>3</v>
      </c>
      <c r="AI1571" s="42">
        <f>IFERROR(LOOKUP(X1571,打分卡!$F$13:$J$13,打分卡!$K$13:$O$13),1)</f>
        <v>2</v>
      </c>
      <c r="AJ1571" s="42">
        <f>IFERROR(LOOKUP(Y1571,打分卡!$F$14:$J$14,打分卡!$K$14:$O$14),1)</f>
        <v>2</v>
      </c>
      <c r="AK1571" s="42">
        <f>IFERROR(LOOKUP(W1571,打分卡!$F$15:$J$15,打分卡!$K$15:$O$15),1)</f>
        <v>2</v>
      </c>
      <c r="AL1571" s="45">
        <f t="shared" si="193"/>
        <v>1</v>
      </c>
      <c r="AM1571" s="42">
        <f>IFERROR(LOOKUP(Z1571,打分卡!$F$17:$H$17,打分卡!$K$17:$M$17),1)</f>
        <v>1</v>
      </c>
      <c r="AN1571" s="46">
        <f>(打分卡!$D$7*AC1571+打分卡!$D$8*AD1571+打分卡!$D$9*AE1571)/5</f>
        <v>8</v>
      </c>
      <c r="AO1571" s="46">
        <f>(打分卡!$D$10*AF1571+打分卡!$D$11*AG1571)/5</f>
        <v>4</v>
      </c>
      <c r="AP1571" s="46">
        <f>(打分卡!$D$12*AH1571+打分卡!$D$13*AI1571+打分卡!$D$14*AJ1571+打分卡!$D$15*AK1571)/5</f>
        <v>14.4</v>
      </c>
      <c r="AQ1571" s="46">
        <f>(打分卡!$D$16*AL1571+打分卡!$D$17*AM1571)/5</f>
        <v>2</v>
      </c>
      <c r="AR1571" s="48">
        <f t="shared" si="194"/>
        <v>28.4</v>
      </c>
      <c r="AS1571" s="45" t="str">
        <f t="shared" si="195"/>
        <v>未激活</v>
      </c>
      <c r="AT1571" s="45" t="str">
        <f t="shared" si="196"/>
        <v>连续下降-预警</v>
      </c>
      <c r="AU1571" s="45" t="str">
        <f t="shared" si="197"/>
        <v>唤醒：短信模板+首充补贴</v>
      </c>
    </row>
    <row r="1572" ht="15" customHeight="1" spans="1:47">
      <c r="A1572" s="30" t="s">
        <v>4033</v>
      </c>
      <c r="B1572" s="31" t="s">
        <v>4034</v>
      </c>
      <c r="C1572" s="31" t="s">
        <v>239</v>
      </c>
      <c r="D1572" s="31" t="s">
        <v>235</v>
      </c>
      <c r="E1572" s="31" t="s">
        <v>181</v>
      </c>
      <c r="F1572" s="30" t="s">
        <v>1804</v>
      </c>
      <c r="G1572" s="31">
        <v>17</v>
      </c>
      <c r="H1572" s="31" t="s">
        <v>3535</v>
      </c>
      <c r="I1572" s="31" t="s">
        <v>302</v>
      </c>
      <c r="J1572" s="33">
        <v>0</v>
      </c>
      <c r="K1572" s="33">
        <v>0</v>
      </c>
      <c r="L1572" s="33">
        <v>0</v>
      </c>
      <c r="M1572" s="33">
        <f t="shared" si="192"/>
        <v>0</v>
      </c>
      <c r="N1572" s="34">
        <f t="shared" si="198"/>
        <v>0</v>
      </c>
      <c r="O1572" s="35">
        <f>SUM($M$2:M1572)</f>
        <v>190743600</v>
      </c>
      <c r="P1572" s="34">
        <f t="shared" si="199"/>
        <v>1</v>
      </c>
      <c r="Q1572" s="37">
        <v>0</v>
      </c>
      <c r="R1572" s="31">
        <v>0</v>
      </c>
      <c r="S1572" s="31">
        <v>0</v>
      </c>
      <c r="T1572" s="31">
        <v>0</v>
      </c>
      <c r="U1572" s="37">
        <v>28.1</v>
      </c>
      <c r="V1572" s="31">
        <v>11</v>
      </c>
      <c r="W1572" s="31">
        <v>0</v>
      </c>
      <c r="X1572" s="38">
        <v>11</v>
      </c>
      <c r="Y1572" s="31">
        <v>1</v>
      </c>
      <c r="Z1572" s="31">
        <v>0</v>
      </c>
      <c r="AA1572" s="31" t="s">
        <v>212</v>
      </c>
      <c r="AB1572" s="31" t="s">
        <v>220</v>
      </c>
      <c r="AC1572" s="41">
        <f>IFERROR(LOOKUP(M1572,打分卡!$F$7:$J$7,打分卡!$K$7:$O$7),1)</f>
        <v>1</v>
      </c>
      <c r="AD1572" s="41">
        <f>IFERROR(LOOKUP(S1572,打分卡!$F$8:$J$8,打分卡!$K$8:$O$8),1)</f>
        <v>1</v>
      </c>
      <c r="AE1572" s="41">
        <f>IFERROR(LOOKUP(T1572,打分卡!$F$9:$I$9,打分卡!$K$9:$N$9),1)</f>
        <v>1</v>
      </c>
      <c r="AF1572" s="41">
        <f>IFERROR(LOOKUP(Q1572,打分卡!$F$10:$J$10,打分卡!$K$10:$O$10),1)</f>
        <v>1</v>
      </c>
      <c r="AG1572" s="41">
        <f>IFERROR(LOOKUP(R1572,打分卡!$F$11:$J$11,打分卡!$K$11:$O$11),1)</f>
        <v>1</v>
      </c>
      <c r="AH1572" s="41">
        <f>IFERROR(LOOKUP(U1572,打分卡!$F$12:$J$12,打分卡!$K$12:$O$12),1)</f>
        <v>3</v>
      </c>
      <c r="AI1572" s="41">
        <f>IFERROR(LOOKUP(X1572,打分卡!$F$13:$J$13,打分卡!$K$13:$O$13),1)</f>
        <v>1</v>
      </c>
      <c r="AJ1572" s="41">
        <f>IFERROR(LOOKUP(Y1572,打分卡!$F$14:$J$14,打分卡!$K$14:$O$14),1)</f>
        <v>2</v>
      </c>
      <c r="AK1572" s="41">
        <f>IFERROR(LOOKUP(W1572,打分卡!$F$15:$J$15,打分卡!$K$15:$O$15),1)</f>
        <v>1</v>
      </c>
      <c r="AL1572" s="43">
        <f t="shared" si="193"/>
        <v>1</v>
      </c>
      <c r="AM1572" s="41">
        <f>IFERROR(LOOKUP(Z1572,打分卡!$F$17:$H$17,打分卡!$K$17:$M$17),1)</f>
        <v>1</v>
      </c>
      <c r="AN1572" s="44">
        <f>(打分卡!$D$7*AC1572+打分卡!$D$8*AD1572+打分卡!$D$9*AE1572)/5</f>
        <v>8</v>
      </c>
      <c r="AO1572" s="44">
        <f>(打分卡!$D$10*AF1572+打分卡!$D$11*AG1572)/5</f>
        <v>4</v>
      </c>
      <c r="AP1572" s="44">
        <f>(打分卡!$D$12*AH1572+打分卡!$D$13*AI1572+打分卡!$D$14*AJ1572+打分卡!$D$15*AK1572)/5</f>
        <v>12</v>
      </c>
      <c r="AQ1572" s="44">
        <f>(打分卡!$D$16*AL1572+打分卡!$D$17*AM1572)/5</f>
        <v>2</v>
      </c>
      <c r="AR1572" s="47">
        <f t="shared" si="194"/>
        <v>26</v>
      </c>
      <c r="AS1572" s="43" t="str">
        <f t="shared" si="195"/>
        <v>未激活</v>
      </c>
      <c r="AT1572" s="43" t="str">
        <f t="shared" si="196"/>
        <v>连续下降-预警</v>
      </c>
      <c r="AU1572" s="43" t="str">
        <f t="shared" si="197"/>
        <v>唤醒：短信模板+首充补贴</v>
      </c>
    </row>
    <row r="1573" ht="15" customHeight="1" spans="1:47">
      <c r="A1573" s="20" t="s">
        <v>4035</v>
      </c>
      <c r="B1573" s="22" t="s">
        <v>4036</v>
      </c>
      <c r="C1573" s="22" t="s">
        <v>195</v>
      </c>
      <c r="D1573" s="22" t="s">
        <v>227</v>
      </c>
      <c r="E1573" s="22" t="s">
        <v>181</v>
      </c>
      <c r="F1573" s="20" t="s">
        <v>4037</v>
      </c>
      <c r="G1573" s="22">
        <v>21</v>
      </c>
      <c r="H1573" s="22" t="s">
        <v>3535</v>
      </c>
      <c r="I1573" s="22" t="s">
        <v>302</v>
      </c>
      <c r="J1573" s="36">
        <v>0</v>
      </c>
      <c r="K1573" s="36">
        <v>0</v>
      </c>
      <c r="L1573" s="36">
        <v>0</v>
      </c>
      <c r="M1573" s="36">
        <f t="shared" si="192"/>
        <v>0</v>
      </c>
      <c r="N1573" s="34">
        <f t="shared" si="198"/>
        <v>0</v>
      </c>
      <c r="O1573" s="35">
        <f>SUM($M$2:M1573)</f>
        <v>190743600</v>
      </c>
      <c r="P1573" s="34">
        <f t="shared" si="199"/>
        <v>1</v>
      </c>
      <c r="Q1573" s="39">
        <v>0</v>
      </c>
      <c r="R1573" s="22">
        <v>0</v>
      </c>
      <c r="S1573" s="22">
        <v>0</v>
      </c>
      <c r="T1573" s="22">
        <v>0</v>
      </c>
      <c r="U1573" s="39">
        <v>1.6</v>
      </c>
      <c r="V1573" s="22">
        <v>1</v>
      </c>
      <c r="W1573" s="22">
        <v>1</v>
      </c>
      <c r="X1573" s="40">
        <v>77</v>
      </c>
      <c r="Y1573" s="22">
        <v>0</v>
      </c>
      <c r="Z1573" s="22">
        <v>0</v>
      </c>
      <c r="AA1573" s="22" t="s">
        <v>212</v>
      </c>
      <c r="AB1573" s="22" t="s">
        <v>220</v>
      </c>
      <c r="AC1573" s="42">
        <f>IFERROR(LOOKUP(M1573,打分卡!$F$7:$J$7,打分卡!$K$7:$O$7),1)</f>
        <v>1</v>
      </c>
      <c r="AD1573" s="42">
        <f>IFERROR(LOOKUP(S1573,打分卡!$F$8:$J$8,打分卡!$K$8:$O$8),1)</f>
        <v>1</v>
      </c>
      <c r="AE1573" s="42">
        <f>IFERROR(LOOKUP(T1573,打分卡!$F$9:$I$9,打分卡!$K$9:$N$9),1)</f>
        <v>1</v>
      </c>
      <c r="AF1573" s="42">
        <f>IFERROR(LOOKUP(Q1573,打分卡!$F$10:$J$10,打分卡!$K$10:$O$10),1)</f>
        <v>1</v>
      </c>
      <c r="AG1573" s="42">
        <f>IFERROR(LOOKUP(R1573,打分卡!$F$11:$J$11,打分卡!$K$11:$O$11),1)</f>
        <v>1</v>
      </c>
      <c r="AH1573" s="42">
        <f>IFERROR(LOOKUP(U1573,打分卡!$F$12:$J$12,打分卡!$K$12:$O$12),1)</f>
        <v>1</v>
      </c>
      <c r="AI1573" s="42">
        <f>IFERROR(LOOKUP(X1573,打分卡!$F$13:$J$13,打分卡!$K$13:$O$13),1)</f>
        <v>3</v>
      </c>
      <c r="AJ1573" s="42">
        <f>IFERROR(LOOKUP(Y1573,打分卡!$F$14:$J$14,打分卡!$K$14:$O$14),1)</f>
        <v>1</v>
      </c>
      <c r="AK1573" s="42">
        <f>IFERROR(LOOKUP(W1573,打分卡!$F$15:$J$15,打分卡!$K$15:$O$15),1)</f>
        <v>2</v>
      </c>
      <c r="AL1573" s="45">
        <f t="shared" si="193"/>
        <v>1</v>
      </c>
      <c r="AM1573" s="42">
        <f>IFERROR(LOOKUP(Z1573,打分卡!$F$17:$H$17,打分卡!$K$17:$M$17),1)</f>
        <v>1</v>
      </c>
      <c r="AN1573" s="46">
        <f>(打分卡!$D$7*AC1573+打分卡!$D$8*AD1573+打分卡!$D$9*AE1573)/5</f>
        <v>8</v>
      </c>
      <c r="AO1573" s="46">
        <f>(打分卡!$D$10*AF1573+打分卡!$D$11*AG1573)/5</f>
        <v>4</v>
      </c>
      <c r="AP1573" s="46">
        <f>(打分卡!$D$12*AH1573+打分卡!$D$13*AI1573+打分卡!$D$14*AJ1573+打分卡!$D$15*AK1573)/5</f>
        <v>10</v>
      </c>
      <c r="AQ1573" s="46">
        <f>(打分卡!$D$16*AL1573+打分卡!$D$17*AM1573)/5</f>
        <v>2</v>
      </c>
      <c r="AR1573" s="48">
        <f t="shared" si="194"/>
        <v>24</v>
      </c>
      <c r="AS1573" s="45" t="str">
        <f t="shared" si="195"/>
        <v>未激活</v>
      </c>
      <c r="AT1573" s="45" t="str">
        <f t="shared" si="196"/>
        <v>连续下降-预警</v>
      </c>
      <c r="AU1573" s="45" t="str">
        <f t="shared" si="197"/>
        <v>唤醒：短信模板+首充补贴</v>
      </c>
    </row>
    <row r="1574" ht="15" customHeight="1" spans="1:47">
      <c r="A1574" s="30" t="s">
        <v>4038</v>
      </c>
      <c r="B1574" s="31" t="s">
        <v>4039</v>
      </c>
      <c r="C1574" s="31" t="s">
        <v>179</v>
      </c>
      <c r="D1574" s="31" t="s">
        <v>202</v>
      </c>
      <c r="E1574" s="31" t="s">
        <v>181</v>
      </c>
      <c r="F1574" s="30" t="s">
        <v>1566</v>
      </c>
      <c r="G1574" s="31">
        <v>16</v>
      </c>
      <c r="H1574" s="31" t="s">
        <v>3535</v>
      </c>
      <c r="I1574" s="31" t="s">
        <v>302</v>
      </c>
      <c r="J1574" s="33">
        <v>0</v>
      </c>
      <c r="K1574" s="33">
        <v>0</v>
      </c>
      <c r="L1574" s="33">
        <v>0</v>
      </c>
      <c r="M1574" s="33">
        <f t="shared" si="192"/>
        <v>0</v>
      </c>
      <c r="N1574" s="34">
        <f t="shared" si="198"/>
        <v>0</v>
      </c>
      <c r="O1574" s="35">
        <f>SUM($M$2:M1574)</f>
        <v>190743600</v>
      </c>
      <c r="P1574" s="34">
        <f t="shared" si="199"/>
        <v>1</v>
      </c>
      <c r="Q1574" s="37">
        <v>0</v>
      </c>
      <c r="R1574" s="31">
        <v>0</v>
      </c>
      <c r="S1574" s="31">
        <v>0</v>
      </c>
      <c r="T1574" s="31">
        <v>0</v>
      </c>
      <c r="U1574" s="37">
        <v>13</v>
      </c>
      <c r="V1574" s="31">
        <v>0</v>
      </c>
      <c r="W1574" s="31">
        <v>1</v>
      </c>
      <c r="X1574" s="38">
        <v>25</v>
      </c>
      <c r="Y1574" s="31">
        <v>1</v>
      </c>
      <c r="Z1574" s="31">
        <v>0</v>
      </c>
      <c r="AA1574" s="31" t="s">
        <v>212</v>
      </c>
      <c r="AB1574" s="31" t="s">
        <v>220</v>
      </c>
      <c r="AC1574" s="41">
        <f>IFERROR(LOOKUP(M1574,打分卡!$F$7:$J$7,打分卡!$K$7:$O$7),1)</f>
        <v>1</v>
      </c>
      <c r="AD1574" s="41">
        <f>IFERROR(LOOKUP(S1574,打分卡!$F$8:$J$8,打分卡!$K$8:$O$8),1)</f>
        <v>1</v>
      </c>
      <c r="AE1574" s="41">
        <f>IFERROR(LOOKUP(T1574,打分卡!$F$9:$I$9,打分卡!$K$9:$N$9),1)</f>
        <v>1</v>
      </c>
      <c r="AF1574" s="41">
        <f>IFERROR(LOOKUP(Q1574,打分卡!$F$10:$J$10,打分卡!$K$10:$O$10),1)</f>
        <v>1</v>
      </c>
      <c r="AG1574" s="41">
        <f>IFERROR(LOOKUP(R1574,打分卡!$F$11:$J$11,打分卡!$K$11:$O$11),1)</f>
        <v>1</v>
      </c>
      <c r="AH1574" s="41">
        <f>IFERROR(LOOKUP(U1574,打分卡!$F$12:$J$12,打分卡!$K$12:$O$12),1)</f>
        <v>3</v>
      </c>
      <c r="AI1574" s="41">
        <f>IFERROR(LOOKUP(X1574,打分卡!$F$13:$J$13,打分卡!$K$13:$O$13),1)</f>
        <v>2</v>
      </c>
      <c r="AJ1574" s="41">
        <f>IFERROR(LOOKUP(Y1574,打分卡!$F$14:$J$14,打分卡!$K$14:$O$14),1)</f>
        <v>2</v>
      </c>
      <c r="AK1574" s="41">
        <f>IFERROR(LOOKUP(W1574,打分卡!$F$15:$J$15,打分卡!$K$15:$O$15),1)</f>
        <v>2</v>
      </c>
      <c r="AL1574" s="43">
        <f t="shared" si="193"/>
        <v>1</v>
      </c>
      <c r="AM1574" s="41">
        <f>IFERROR(LOOKUP(Z1574,打分卡!$F$17:$H$17,打分卡!$K$17:$M$17),1)</f>
        <v>1</v>
      </c>
      <c r="AN1574" s="44">
        <f>(打分卡!$D$7*AC1574+打分卡!$D$8*AD1574+打分卡!$D$9*AE1574)/5</f>
        <v>8</v>
      </c>
      <c r="AO1574" s="44">
        <f>(打分卡!$D$10*AF1574+打分卡!$D$11*AG1574)/5</f>
        <v>4</v>
      </c>
      <c r="AP1574" s="44">
        <f>(打分卡!$D$12*AH1574+打分卡!$D$13*AI1574+打分卡!$D$14*AJ1574+打分卡!$D$15*AK1574)/5</f>
        <v>14.4</v>
      </c>
      <c r="AQ1574" s="44">
        <f>(打分卡!$D$16*AL1574+打分卡!$D$17*AM1574)/5</f>
        <v>2</v>
      </c>
      <c r="AR1574" s="47">
        <f t="shared" si="194"/>
        <v>28.4</v>
      </c>
      <c r="AS1574" s="43" t="str">
        <f t="shared" si="195"/>
        <v>未激活</v>
      </c>
      <c r="AT1574" s="43" t="str">
        <f t="shared" si="196"/>
        <v>连续下降-预警</v>
      </c>
      <c r="AU1574" s="43" t="str">
        <f t="shared" si="197"/>
        <v>唤醒：短信模板+首充补贴</v>
      </c>
    </row>
    <row r="1575" ht="15" customHeight="1" spans="1:47">
      <c r="A1575" s="20" t="s">
        <v>4040</v>
      </c>
      <c r="B1575" s="22" t="s">
        <v>4041</v>
      </c>
      <c r="C1575" s="22" t="s">
        <v>189</v>
      </c>
      <c r="D1575" s="22" t="s">
        <v>202</v>
      </c>
      <c r="E1575" s="22" t="s">
        <v>181</v>
      </c>
      <c r="F1575" s="20" t="s">
        <v>3742</v>
      </c>
      <c r="G1575" s="22">
        <v>13</v>
      </c>
      <c r="H1575" s="22" t="s">
        <v>3535</v>
      </c>
      <c r="I1575" s="22" t="s">
        <v>302</v>
      </c>
      <c r="J1575" s="36">
        <v>0</v>
      </c>
      <c r="K1575" s="36">
        <v>0</v>
      </c>
      <c r="L1575" s="36">
        <v>0</v>
      </c>
      <c r="M1575" s="36">
        <f t="shared" si="192"/>
        <v>0</v>
      </c>
      <c r="N1575" s="34">
        <f t="shared" si="198"/>
        <v>0</v>
      </c>
      <c r="O1575" s="35">
        <f>SUM($M$2:M1575)</f>
        <v>190743600</v>
      </c>
      <c r="P1575" s="34">
        <f t="shared" si="199"/>
        <v>1</v>
      </c>
      <c r="Q1575" s="39">
        <v>0</v>
      </c>
      <c r="R1575" s="22">
        <v>0</v>
      </c>
      <c r="S1575" s="22">
        <v>0</v>
      </c>
      <c r="T1575" s="22">
        <v>0</v>
      </c>
      <c r="U1575" s="39">
        <v>1.2</v>
      </c>
      <c r="V1575" s="22">
        <v>3</v>
      </c>
      <c r="W1575" s="22">
        <v>0</v>
      </c>
      <c r="X1575" s="40">
        <v>7</v>
      </c>
      <c r="Y1575" s="22">
        <v>1</v>
      </c>
      <c r="Z1575" s="22">
        <v>0</v>
      </c>
      <c r="AA1575" s="22" t="s">
        <v>212</v>
      </c>
      <c r="AB1575" s="22" t="s">
        <v>220</v>
      </c>
      <c r="AC1575" s="42">
        <f>IFERROR(LOOKUP(M1575,打分卡!$F$7:$J$7,打分卡!$K$7:$O$7),1)</f>
        <v>1</v>
      </c>
      <c r="AD1575" s="42">
        <f>IFERROR(LOOKUP(S1575,打分卡!$F$8:$J$8,打分卡!$K$8:$O$8),1)</f>
        <v>1</v>
      </c>
      <c r="AE1575" s="42">
        <f>IFERROR(LOOKUP(T1575,打分卡!$F$9:$I$9,打分卡!$K$9:$N$9),1)</f>
        <v>1</v>
      </c>
      <c r="AF1575" s="42">
        <f>IFERROR(LOOKUP(Q1575,打分卡!$F$10:$J$10,打分卡!$K$10:$O$10),1)</f>
        <v>1</v>
      </c>
      <c r="AG1575" s="42">
        <f>IFERROR(LOOKUP(R1575,打分卡!$F$11:$J$11,打分卡!$K$11:$O$11),1)</f>
        <v>1</v>
      </c>
      <c r="AH1575" s="42">
        <f>IFERROR(LOOKUP(U1575,打分卡!$F$12:$J$12,打分卡!$K$12:$O$12),1)</f>
        <v>1</v>
      </c>
      <c r="AI1575" s="42">
        <f>IFERROR(LOOKUP(X1575,打分卡!$F$13:$J$13,打分卡!$K$13:$O$13),1)</f>
        <v>1</v>
      </c>
      <c r="AJ1575" s="42">
        <f>IFERROR(LOOKUP(Y1575,打分卡!$F$14:$J$14,打分卡!$K$14:$O$14),1)</f>
        <v>2</v>
      </c>
      <c r="AK1575" s="42">
        <f>IFERROR(LOOKUP(W1575,打分卡!$F$15:$J$15,打分卡!$K$15:$O$15),1)</f>
        <v>1</v>
      </c>
      <c r="AL1575" s="45">
        <f t="shared" si="193"/>
        <v>1</v>
      </c>
      <c r="AM1575" s="42">
        <f>IFERROR(LOOKUP(Z1575,打分卡!$F$17:$H$17,打分卡!$K$17:$M$17),1)</f>
        <v>1</v>
      </c>
      <c r="AN1575" s="46">
        <f>(打分卡!$D$7*AC1575+打分卡!$D$8*AD1575+打分卡!$D$9*AE1575)/5</f>
        <v>8</v>
      </c>
      <c r="AO1575" s="46">
        <f>(打分卡!$D$10*AF1575+打分卡!$D$11*AG1575)/5</f>
        <v>4</v>
      </c>
      <c r="AP1575" s="46">
        <f>(打分卡!$D$12*AH1575+打分卡!$D$13*AI1575+打分卡!$D$14*AJ1575+打分卡!$D$15*AK1575)/5</f>
        <v>7.2</v>
      </c>
      <c r="AQ1575" s="46">
        <f>(打分卡!$D$16*AL1575+打分卡!$D$17*AM1575)/5</f>
        <v>2</v>
      </c>
      <c r="AR1575" s="48">
        <f t="shared" si="194"/>
        <v>21.2</v>
      </c>
      <c r="AS1575" s="45" t="str">
        <f t="shared" si="195"/>
        <v>未激活</v>
      </c>
      <c r="AT1575" s="45" t="str">
        <f t="shared" si="196"/>
        <v>连续下降-预警</v>
      </c>
      <c r="AU1575" s="45" t="str">
        <f t="shared" si="197"/>
        <v>唤醒：短信模板+首充补贴</v>
      </c>
    </row>
    <row r="1576" ht="15" customHeight="1" spans="1:47">
      <c r="A1576" s="30" t="s">
        <v>4042</v>
      </c>
      <c r="B1576" s="31" t="s">
        <v>4043</v>
      </c>
      <c r="C1576" s="31" t="s">
        <v>223</v>
      </c>
      <c r="D1576" s="31" t="s">
        <v>190</v>
      </c>
      <c r="E1576" s="31" t="s">
        <v>197</v>
      </c>
      <c r="F1576" s="30" t="s">
        <v>681</v>
      </c>
      <c r="G1576" s="31">
        <v>19</v>
      </c>
      <c r="H1576" s="31" t="s">
        <v>3535</v>
      </c>
      <c r="I1576" s="31" t="s">
        <v>302</v>
      </c>
      <c r="J1576" s="33">
        <v>0</v>
      </c>
      <c r="K1576" s="33">
        <v>0</v>
      </c>
      <c r="L1576" s="33">
        <v>0</v>
      </c>
      <c r="M1576" s="33">
        <f t="shared" si="192"/>
        <v>0</v>
      </c>
      <c r="N1576" s="34">
        <f t="shared" si="198"/>
        <v>0</v>
      </c>
      <c r="O1576" s="35">
        <f>SUM($M$2:M1576)</f>
        <v>190743600</v>
      </c>
      <c r="P1576" s="34">
        <f t="shared" si="199"/>
        <v>1</v>
      </c>
      <c r="Q1576" s="37">
        <v>0</v>
      </c>
      <c r="R1576" s="31">
        <v>0</v>
      </c>
      <c r="S1576" s="31">
        <v>0</v>
      </c>
      <c r="T1576" s="31">
        <v>0</v>
      </c>
      <c r="U1576" s="37">
        <v>0.5</v>
      </c>
      <c r="V1576" s="31">
        <v>2</v>
      </c>
      <c r="W1576" s="31">
        <v>0</v>
      </c>
      <c r="X1576" s="38">
        <v>13</v>
      </c>
      <c r="Y1576" s="31">
        <v>1</v>
      </c>
      <c r="Z1576" s="31">
        <v>0</v>
      </c>
      <c r="AA1576" s="31" t="s">
        <v>212</v>
      </c>
      <c r="AB1576" s="31" t="s">
        <v>220</v>
      </c>
      <c r="AC1576" s="41">
        <f>IFERROR(LOOKUP(M1576,打分卡!$F$7:$J$7,打分卡!$K$7:$O$7),1)</f>
        <v>1</v>
      </c>
      <c r="AD1576" s="41">
        <f>IFERROR(LOOKUP(S1576,打分卡!$F$8:$J$8,打分卡!$K$8:$O$8),1)</f>
        <v>1</v>
      </c>
      <c r="AE1576" s="41">
        <f>IFERROR(LOOKUP(T1576,打分卡!$F$9:$I$9,打分卡!$K$9:$N$9),1)</f>
        <v>1</v>
      </c>
      <c r="AF1576" s="41">
        <f>IFERROR(LOOKUP(Q1576,打分卡!$F$10:$J$10,打分卡!$K$10:$O$10),1)</f>
        <v>1</v>
      </c>
      <c r="AG1576" s="41">
        <f>IFERROR(LOOKUP(R1576,打分卡!$F$11:$J$11,打分卡!$K$11:$O$11),1)</f>
        <v>1</v>
      </c>
      <c r="AH1576" s="41">
        <f>IFERROR(LOOKUP(U1576,打分卡!$F$12:$J$12,打分卡!$K$12:$O$12),1)</f>
        <v>1</v>
      </c>
      <c r="AI1576" s="41">
        <f>IFERROR(LOOKUP(X1576,打分卡!$F$13:$J$13,打分卡!$K$13:$O$13),1)</f>
        <v>1</v>
      </c>
      <c r="AJ1576" s="41">
        <f>IFERROR(LOOKUP(Y1576,打分卡!$F$14:$J$14,打分卡!$K$14:$O$14),1)</f>
        <v>2</v>
      </c>
      <c r="AK1576" s="41">
        <f>IFERROR(LOOKUP(W1576,打分卡!$F$15:$J$15,打分卡!$K$15:$O$15),1)</f>
        <v>1</v>
      </c>
      <c r="AL1576" s="43">
        <f t="shared" si="193"/>
        <v>1</v>
      </c>
      <c r="AM1576" s="41">
        <f>IFERROR(LOOKUP(Z1576,打分卡!$F$17:$H$17,打分卡!$K$17:$M$17),1)</f>
        <v>1</v>
      </c>
      <c r="AN1576" s="44">
        <f>(打分卡!$D$7*AC1576+打分卡!$D$8*AD1576+打分卡!$D$9*AE1576)/5</f>
        <v>8</v>
      </c>
      <c r="AO1576" s="44">
        <f>(打分卡!$D$10*AF1576+打分卡!$D$11*AG1576)/5</f>
        <v>4</v>
      </c>
      <c r="AP1576" s="44">
        <f>(打分卡!$D$12*AH1576+打分卡!$D$13*AI1576+打分卡!$D$14*AJ1576+打分卡!$D$15*AK1576)/5</f>
        <v>7.2</v>
      </c>
      <c r="AQ1576" s="44">
        <f>(打分卡!$D$16*AL1576+打分卡!$D$17*AM1576)/5</f>
        <v>2</v>
      </c>
      <c r="AR1576" s="47">
        <f t="shared" si="194"/>
        <v>21.2</v>
      </c>
      <c r="AS1576" s="43" t="str">
        <f t="shared" si="195"/>
        <v>未激活</v>
      </c>
      <c r="AT1576" s="43" t="str">
        <f t="shared" si="196"/>
        <v>连续下降-预警</v>
      </c>
      <c r="AU1576" s="43" t="str">
        <f t="shared" si="197"/>
        <v>唤醒：短信模板+首充补贴</v>
      </c>
    </row>
    <row r="1577" ht="15" customHeight="1" spans="1:47">
      <c r="A1577" s="20" t="s">
        <v>4044</v>
      </c>
      <c r="B1577" s="22" t="s">
        <v>4045</v>
      </c>
      <c r="C1577" s="22" t="s">
        <v>195</v>
      </c>
      <c r="D1577" s="22" t="s">
        <v>202</v>
      </c>
      <c r="E1577" s="22" t="s">
        <v>197</v>
      </c>
      <c r="F1577" s="20" t="s">
        <v>4046</v>
      </c>
      <c r="G1577" s="22">
        <v>15</v>
      </c>
      <c r="H1577" s="22" t="s">
        <v>3535</v>
      </c>
      <c r="I1577" s="22" t="s">
        <v>302</v>
      </c>
      <c r="J1577" s="36">
        <v>0</v>
      </c>
      <c r="K1577" s="36">
        <v>0</v>
      </c>
      <c r="L1577" s="36">
        <v>0</v>
      </c>
      <c r="M1577" s="36">
        <f t="shared" si="192"/>
        <v>0</v>
      </c>
      <c r="N1577" s="34">
        <f t="shared" si="198"/>
        <v>0</v>
      </c>
      <c r="O1577" s="35">
        <f>SUM($M$2:M1577)</f>
        <v>190743600</v>
      </c>
      <c r="P1577" s="34">
        <f t="shared" si="199"/>
        <v>1</v>
      </c>
      <c r="Q1577" s="39">
        <v>0</v>
      </c>
      <c r="R1577" s="22">
        <v>0</v>
      </c>
      <c r="S1577" s="22">
        <v>0</v>
      </c>
      <c r="T1577" s="22">
        <v>0</v>
      </c>
      <c r="U1577" s="39">
        <v>24.5</v>
      </c>
      <c r="V1577" s="22">
        <v>6</v>
      </c>
      <c r="W1577" s="22">
        <v>0</v>
      </c>
      <c r="X1577" s="40">
        <v>27</v>
      </c>
      <c r="Y1577" s="22">
        <v>1</v>
      </c>
      <c r="Z1577" s="22">
        <v>0</v>
      </c>
      <c r="AA1577" s="22" t="s">
        <v>212</v>
      </c>
      <c r="AB1577" s="22" t="s">
        <v>220</v>
      </c>
      <c r="AC1577" s="42">
        <f>IFERROR(LOOKUP(M1577,打分卡!$F$7:$J$7,打分卡!$K$7:$O$7),1)</f>
        <v>1</v>
      </c>
      <c r="AD1577" s="42">
        <f>IFERROR(LOOKUP(S1577,打分卡!$F$8:$J$8,打分卡!$K$8:$O$8),1)</f>
        <v>1</v>
      </c>
      <c r="AE1577" s="42">
        <f>IFERROR(LOOKUP(T1577,打分卡!$F$9:$I$9,打分卡!$K$9:$N$9),1)</f>
        <v>1</v>
      </c>
      <c r="AF1577" s="42">
        <f>IFERROR(LOOKUP(Q1577,打分卡!$F$10:$J$10,打分卡!$K$10:$O$10),1)</f>
        <v>1</v>
      </c>
      <c r="AG1577" s="42">
        <f>IFERROR(LOOKUP(R1577,打分卡!$F$11:$J$11,打分卡!$K$11:$O$11),1)</f>
        <v>1</v>
      </c>
      <c r="AH1577" s="42">
        <f>IFERROR(LOOKUP(U1577,打分卡!$F$12:$J$12,打分卡!$K$12:$O$12),1)</f>
        <v>3</v>
      </c>
      <c r="AI1577" s="42">
        <f>IFERROR(LOOKUP(X1577,打分卡!$F$13:$J$13,打分卡!$K$13:$O$13),1)</f>
        <v>2</v>
      </c>
      <c r="AJ1577" s="42">
        <f>IFERROR(LOOKUP(Y1577,打分卡!$F$14:$J$14,打分卡!$K$14:$O$14),1)</f>
        <v>2</v>
      </c>
      <c r="AK1577" s="42">
        <f>IFERROR(LOOKUP(W1577,打分卡!$F$15:$J$15,打分卡!$K$15:$O$15),1)</f>
        <v>1</v>
      </c>
      <c r="AL1577" s="45">
        <f t="shared" si="193"/>
        <v>1</v>
      </c>
      <c r="AM1577" s="42">
        <f>IFERROR(LOOKUP(Z1577,打分卡!$F$17:$H$17,打分卡!$K$17:$M$17),1)</f>
        <v>1</v>
      </c>
      <c r="AN1577" s="46">
        <f>(打分卡!$D$7*AC1577+打分卡!$D$8*AD1577+打分卡!$D$9*AE1577)/5</f>
        <v>8</v>
      </c>
      <c r="AO1577" s="46">
        <f>(打分卡!$D$10*AF1577+打分卡!$D$11*AG1577)/5</f>
        <v>4</v>
      </c>
      <c r="AP1577" s="46">
        <f>(打分卡!$D$12*AH1577+打分卡!$D$13*AI1577+打分卡!$D$14*AJ1577+打分卡!$D$15*AK1577)/5</f>
        <v>13.6</v>
      </c>
      <c r="AQ1577" s="46">
        <f>(打分卡!$D$16*AL1577+打分卡!$D$17*AM1577)/5</f>
        <v>2</v>
      </c>
      <c r="AR1577" s="48">
        <f t="shared" si="194"/>
        <v>27.6</v>
      </c>
      <c r="AS1577" s="45" t="str">
        <f t="shared" si="195"/>
        <v>未激活</v>
      </c>
      <c r="AT1577" s="45" t="str">
        <f t="shared" si="196"/>
        <v>连续下降-预警</v>
      </c>
      <c r="AU1577" s="45" t="str">
        <f t="shared" si="197"/>
        <v>唤醒：短信模板+首充补贴</v>
      </c>
    </row>
    <row r="1578" ht="15" customHeight="1" spans="1:47">
      <c r="A1578" s="30" t="s">
        <v>4047</v>
      </c>
      <c r="B1578" s="31" t="s">
        <v>4048</v>
      </c>
      <c r="C1578" s="31" t="s">
        <v>179</v>
      </c>
      <c r="D1578" s="31" t="s">
        <v>196</v>
      </c>
      <c r="E1578" s="31" t="s">
        <v>181</v>
      </c>
      <c r="F1578" s="30" t="s">
        <v>1915</v>
      </c>
      <c r="G1578" s="31">
        <v>13</v>
      </c>
      <c r="H1578" s="31" t="s">
        <v>3535</v>
      </c>
      <c r="I1578" s="31" t="s">
        <v>302</v>
      </c>
      <c r="J1578" s="33">
        <v>0</v>
      </c>
      <c r="K1578" s="33">
        <v>0</v>
      </c>
      <c r="L1578" s="33">
        <v>0</v>
      </c>
      <c r="M1578" s="33">
        <f t="shared" si="192"/>
        <v>0</v>
      </c>
      <c r="N1578" s="34">
        <f t="shared" si="198"/>
        <v>0</v>
      </c>
      <c r="O1578" s="35">
        <f>SUM($M$2:M1578)</f>
        <v>190743600</v>
      </c>
      <c r="P1578" s="34">
        <f t="shared" si="199"/>
        <v>1</v>
      </c>
      <c r="Q1578" s="37">
        <v>0</v>
      </c>
      <c r="R1578" s="31">
        <v>0</v>
      </c>
      <c r="S1578" s="31">
        <v>0</v>
      </c>
      <c r="T1578" s="31">
        <v>0</v>
      </c>
      <c r="U1578" s="37">
        <v>2.9</v>
      </c>
      <c r="V1578" s="31">
        <v>4</v>
      </c>
      <c r="W1578" s="31">
        <v>0</v>
      </c>
      <c r="X1578" s="38">
        <v>27</v>
      </c>
      <c r="Y1578" s="31">
        <v>0</v>
      </c>
      <c r="Z1578" s="31">
        <v>0</v>
      </c>
      <c r="AA1578" s="31" t="s">
        <v>212</v>
      </c>
      <c r="AB1578" s="31" t="s">
        <v>220</v>
      </c>
      <c r="AC1578" s="41">
        <f>IFERROR(LOOKUP(M1578,打分卡!$F$7:$J$7,打分卡!$K$7:$O$7),1)</f>
        <v>1</v>
      </c>
      <c r="AD1578" s="41">
        <f>IFERROR(LOOKUP(S1578,打分卡!$F$8:$J$8,打分卡!$K$8:$O$8),1)</f>
        <v>1</v>
      </c>
      <c r="AE1578" s="41">
        <f>IFERROR(LOOKUP(T1578,打分卡!$F$9:$I$9,打分卡!$K$9:$N$9),1)</f>
        <v>1</v>
      </c>
      <c r="AF1578" s="41">
        <f>IFERROR(LOOKUP(Q1578,打分卡!$F$10:$J$10,打分卡!$K$10:$O$10),1)</f>
        <v>1</v>
      </c>
      <c r="AG1578" s="41">
        <f>IFERROR(LOOKUP(R1578,打分卡!$F$11:$J$11,打分卡!$K$11:$O$11),1)</f>
        <v>1</v>
      </c>
      <c r="AH1578" s="41">
        <f>IFERROR(LOOKUP(U1578,打分卡!$F$12:$J$12,打分卡!$K$12:$O$12),1)</f>
        <v>2</v>
      </c>
      <c r="AI1578" s="41">
        <f>IFERROR(LOOKUP(X1578,打分卡!$F$13:$J$13,打分卡!$K$13:$O$13),1)</f>
        <v>2</v>
      </c>
      <c r="AJ1578" s="41">
        <f>IFERROR(LOOKUP(Y1578,打分卡!$F$14:$J$14,打分卡!$K$14:$O$14),1)</f>
        <v>1</v>
      </c>
      <c r="AK1578" s="41">
        <f>IFERROR(LOOKUP(W1578,打分卡!$F$15:$J$15,打分卡!$K$15:$O$15),1)</f>
        <v>1</v>
      </c>
      <c r="AL1578" s="43">
        <f t="shared" si="193"/>
        <v>1</v>
      </c>
      <c r="AM1578" s="41">
        <f>IFERROR(LOOKUP(Z1578,打分卡!$F$17:$H$17,打分卡!$K$17:$M$17),1)</f>
        <v>1</v>
      </c>
      <c r="AN1578" s="44">
        <f>(打分卡!$D$7*AC1578+打分卡!$D$8*AD1578+打分卡!$D$9*AE1578)/5</f>
        <v>8</v>
      </c>
      <c r="AO1578" s="44">
        <f>(打分卡!$D$10*AF1578+打分卡!$D$11*AG1578)/5</f>
        <v>4</v>
      </c>
      <c r="AP1578" s="44">
        <f>(打分卡!$D$12*AH1578+打分卡!$D$13*AI1578+打分卡!$D$14*AJ1578+打分卡!$D$15*AK1578)/5</f>
        <v>10</v>
      </c>
      <c r="AQ1578" s="44">
        <f>(打分卡!$D$16*AL1578+打分卡!$D$17*AM1578)/5</f>
        <v>2</v>
      </c>
      <c r="AR1578" s="47">
        <f t="shared" si="194"/>
        <v>24</v>
      </c>
      <c r="AS1578" s="43" t="str">
        <f t="shared" si="195"/>
        <v>未激活</v>
      </c>
      <c r="AT1578" s="43" t="str">
        <f t="shared" si="196"/>
        <v>连续下降-预警</v>
      </c>
      <c r="AU1578" s="43" t="str">
        <f t="shared" si="197"/>
        <v>唤醒：短信模板+首充补贴</v>
      </c>
    </row>
    <row r="1579" ht="15" customHeight="1" spans="1:47">
      <c r="A1579" s="20" t="s">
        <v>4049</v>
      </c>
      <c r="B1579" s="22" t="s">
        <v>4050</v>
      </c>
      <c r="C1579" s="22" t="s">
        <v>189</v>
      </c>
      <c r="D1579" s="22" t="s">
        <v>190</v>
      </c>
      <c r="E1579" s="22" t="s">
        <v>197</v>
      </c>
      <c r="F1579" s="20" t="s">
        <v>740</v>
      </c>
      <c r="G1579" s="22">
        <v>20</v>
      </c>
      <c r="H1579" s="22" t="s">
        <v>3535</v>
      </c>
      <c r="I1579" s="22" t="s">
        <v>302</v>
      </c>
      <c r="J1579" s="36">
        <v>0</v>
      </c>
      <c r="K1579" s="36">
        <v>0</v>
      </c>
      <c r="L1579" s="36">
        <v>0</v>
      </c>
      <c r="M1579" s="36">
        <f t="shared" si="192"/>
        <v>0</v>
      </c>
      <c r="N1579" s="34">
        <f t="shared" si="198"/>
        <v>0</v>
      </c>
      <c r="O1579" s="35">
        <f>SUM($M$2:M1579)</f>
        <v>190743600</v>
      </c>
      <c r="P1579" s="34">
        <f t="shared" si="199"/>
        <v>1</v>
      </c>
      <c r="Q1579" s="39">
        <v>0</v>
      </c>
      <c r="R1579" s="22">
        <v>0</v>
      </c>
      <c r="S1579" s="22">
        <v>0</v>
      </c>
      <c r="T1579" s="22">
        <v>0</v>
      </c>
      <c r="U1579" s="39">
        <v>0.8</v>
      </c>
      <c r="V1579" s="22">
        <v>8</v>
      </c>
      <c r="W1579" s="22">
        <v>0</v>
      </c>
      <c r="X1579" s="40">
        <v>6</v>
      </c>
      <c r="Y1579" s="22">
        <v>1</v>
      </c>
      <c r="Z1579" s="22">
        <v>0</v>
      </c>
      <c r="AA1579" s="22" t="s">
        <v>212</v>
      </c>
      <c r="AB1579" s="22" t="s">
        <v>220</v>
      </c>
      <c r="AC1579" s="42">
        <f>IFERROR(LOOKUP(M1579,打分卡!$F$7:$J$7,打分卡!$K$7:$O$7),1)</f>
        <v>1</v>
      </c>
      <c r="AD1579" s="42">
        <f>IFERROR(LOOKUP(S1579,打分卡!$F$8:$J$8,打分卡!$K$8:$O$8),1)</f>
        <v>1</v>
      </c>
      <c r="AE1579" s="42">
        <f>IFERROR(LOOKUP(T1579,打分卡!$F$9:$I$9,打分卡!$K$9:$N$9),1)</f>
        <v>1</v>
      </c>
      <c r="AF1579" s="42">
        <f>IFERROR(LOOKUP(Q1579,打分卡!$F$10:$J$10,打分卡!$K$10:$O$10),1)</f>
        <v>1</v>
      </c>
      <c r="AG1579" s="42">
        <f>IFERROR(LOOKUP(R1579,打分卡!$F$11:$J$11,打分卡!$K$11:$O$11),1)</f>
        <v>1</v>
      </c>
      <c r="AH1579" s="42">
        <f>IFERROR(LOOKUP(U1579,打分卡!$F$12:$J$12,打分卡!$K$12:$O$12),1)</f>
        <v>1</v>
      </c>
      <c r="AI1579" s="42">
        <f>IFERROR(LOOKUP(X1579,打分卡!$F$13:$J$13,打分卡!$K$13:$O$13),1)</f>
        <v>1</v>
      </c>
      <c r="AJ1579" s="42">
        <f>IFERROR(LOOKUP(Y1579,打分卡!$F$14:$J$14,打分卡!$K$14:$O$14),1)</f>
        <v>2</v>
      </c>
      <c r="AK1579" s="42">
        <f>IFERROR(LOOKUP(W1579,打分卡!$F$15:$J$15,打分卡!$K$15:$O$15),1)</f>
        <v>1</v>
      </c>
      <c r="AL1579" s="45">
        <f t="shared" si="193"/>
        <v>1</v>
      </c>
      <c r="AM1579" s="42">
        <f>IFERROR(LOOKUP(Z1579,打分卡!$F$17:$H$17,打分卡!$K$17:$M$17),1)</f>
        <v>1</v>
      </c>
      <c r="AN1579" s="46">
        <f>(打分卡!$D$7*AC1579+打分卡!$D$8*AD1579+打分卡!$D$9*AE1579)/5</f>
        <v>8</v>
      </c>
      <c r="AO1579" s="46">
        <f>(打分卡!$D$10*AF1579+打分卡!$D$11*AG1579)/5</f>
        <v>4</v>
      </c>
      <c r="AP1579" s="46">
        <f>(打分卡!$D$12*AH1579+打分卡!$D$13*AI1579+打分卡!$D$14*AJ1579+打分卡!$D$15*AK1579)/5</f>
        <v>7.2</v>
      </c>
      <c r="AQ1579" s="46">
        <f>(打分卡!$D$16*AL1579+打分卡!$D$17*AM1579)/5</f>
        <v>2</v>
      </c>
      <c r="AR1579" s="48">
        <f t="shared" si="194"/>
        <v>21.2</v>
      </c>
      <c r="AS1579" s="45" t="str">
        <f t="shared" si="195"/>
        <v>未激活</v>
      </c>
      <c r="AT1579" s="45" t="str">
        <f t="shared" si="196"/>
        <v>连续下降-预警</v>
      </c>
      <c r="AU1579" s="45" t="str">
        <f t="shared" si="197"/>
        <v>唤醒：短信模板+首充补贴</v>
      </c>
    </row>
    <row r="1580" ht="15" customHeight="1" spans="1:47">
      <c r="A1580" s="30" t="s">
        <v>4051</v>
      </c>
      <c r="B1580" s="31" t="s">
        <v>4052</v>
      </c>
      <c r="C1580" s="31" t="s">
        <v>179</v>
      </c>
      <c r="D1580" s="31" t="s">
        <v>190</v>
      </c>
      <c r="E1580" s="31" t="s">
        <v>181</v>
      </c>
      <c r="F1580" s="30" t="s">
        <v>454</v>
      </c>
      <c r="G1580" s="31">
        <v>23</v>
      </c>
      <c r="H1580" s="31" t="s">
        <v>3535</v>
      </c>
      <c r="I1580" s="31" t="s">
        <v>302</v>
      </c>
      <c r="J1580" s="33">
        <v>0</v>
      </c>
      <c r="K1580" s="33">
        <v>0</v>
      </c>
      <c r="L1580" s="33">
        <v>0</v>
      </c>
      <c r="M1580" s="33">
        <f t="shared" si="192"/>
        <v>0</v>
      </c>
      <c r="N1580" s="34">
        <f t="shared" si="198"/>
        <v>0</v>
      </c>
      <c r="O1580" s="35">
        <f>SUM($M$2:M1580)</f>
        <v>190743600</v>
      </c>
      <c r="P1580" s="34">
        <f t="shared" si="199"/>
        <v>1</v>
      </c>
      <c r="Q1580" s="37">
        <v>0</v>
      </c>
      <c r="R1580" s="31">
        <v>0</v>
      </c>
      <c r="S1580" s="31">
        <v>0</v>
      </c>
      <c r="T1580" s="31">
        <v>0</v>
      </c>
      <c r="U1580" s="37">
        <v>0.6</v>
      </c>
      <c r="V1580" s="31">
        <v>2</v>
      </c>
      <c r="W1580" s="31">
        <v>2</v>
      </c>
      <c r="X1580" s="38">
        <v>35</v>
      </c>
      <c r="Y1580" s="31">
        <v>1</v>
      </c>
      <c r="Z1580" s="31">
        <v>0</v>
      </c>
      <c r="AA1580" s="31" t="s">
        <v>212</v>
      </c>
      <c r="AB1580" s="31" t="s">
        <v>220</v>
      </c>
      <c r="AC1580" s="41">
        <f>IFERROR(LOOKUP(M1580,打分卡!$F$7:$J$7,打分卡!$K$7:$O$7),1)</f>
        <v>1</v>
      </c>
      <c r="AD1580" s="41">
        <f>IFERROR(LOOKUP(S1580,打分卡!$F$8:$J$8,打分卡!$K$8:$O$8),1)</f>
        <v>1</v>
      </c>
      <c r="AE1580" s="41">
        <f>IFERROR(LOOKUP(T1580,打分卡!$F$9:$I$9,打分卡!$K$9:$N$9),1)</f>
        <v>1</v>
      </c>
      <c r="AF1580" s="41">
        <f>IFERROR(LOOKUP(Q1580,打分卡!$F$10:$J$10,打分卡!$K$10:$O$10),1)</f>
        <v>1</v>
      </c>
      <c r="AG1580" s="41">
        <f>IFERROR(LOOKUP(R1580,打分卡!$F$11:$J$11,打分卡!$K$11:$O$11),1)</f>
        <v>1</v>
      </c>
      <c r="AH1580" s="41">
        <f>IFERROR(LOOKUP(U1580,打分卡!$F$12:$J$12,打分卡!$K$12:$O$12),1)</f>
        <v>1</v>
      </c>
      <c r="AI1580" s="41">
        <f>IFERROR(LOOKUP(X1580,打分卡!$F$13:$J$13,打分卡!$K$13:$O$13),1)</f>
        <v>2</v>
      </c>
      <c r="AJ1580" s="41">
        <f>IFERROR(LOOKUP(Y1580,打分卡!$F$14:$J$14,打分卡!$K$14:$O$14),1)</f>
        <v>2</v>
      </c>
      <c r="AK1580" s="41">
        <f>IFERROR(LOOKUP(W1580,打分卡!$F$15:$J$15,打分卡!$K$15:$O$15),1)</f>
        <v>2</v>
      </c>
      <c r="AL1580" s="43">
        <f t="shared" si="193"/>
        <v>1</v>
      </c>
      <c r="AM1580" s="41">
        <f>IFERROR(LOOKUP(Z1580,打分卡!$F$17:$H$17,打分卡!$K$17:$M$17),1)</f>
        <v>1</v>
      </c>
      <c r="AN1580" s="44">
        <f>(打分卡!$D$7*AC1580+打分卡!$D$8*AD1580+打分卡!$D$9*AE1580)/5</f>
        <v>8</v>
      </c>
      <c r="AO1580" s="44">
        <f>(打分卡!$D$10*AF1580+打分卡!$D$11*AG1580)/5</f>
        <v>4</v>
      </c>
      <c r="AP1580" s="44">
        <f>(打分卡!$D$12*AH1580+打分卡!$D$13*AI1580+打分卡!$D$14*AJ1580+打分卡!$D$15*AK1580)/5</f>
        <v>9.6</v>
      </c>
      <c r="AQ1580" s="44">
        <f>(打分卡!$D$16*AL1580+打分卡!$D$17*AM1580)/5</f>
        <v>2</v>
      </c>
      <c r="AR1580" s="47">
        <f t="shared" si="194"/>
        <v>23.6</v>
      </c>
      <c r="AS1580" s="43" t="str">
        <f t="shared" si="195"/>
        <v>未激活</v>
      </c>
      <c r="AT1580" s="43" t="str">
        <f t="shared" si="196"/>
        <v>连续下降-预警</v>
      </c>
      <c r="AU1580" s="43" t="str">
        <f t="shared" si="197"/>
        <v>唤醒：短信模板+首充补贴</v>
      </c>
    </row>
    <row r="1581" ht="15" customHeight="1" spans="1:47">
      <c r="A1581" s="20" t="s">
        <v>4053</v>
      </c>
      <c r="B1581" s="22" t="s">
        <v>4054</v>
      </c>
      <c r="C1581" s="22" t="s">
        <v>223</v>
      </c>
      <c r="D1581" s="22" t="s">
        <v>227</v>
      </c>
      <c r="E1581" s="22" t="s">
        <v>197</v>
      </c>
      <c r="F1581" s="20" t="s">
        <v>1941</v>
      </c>
      <c r="G1581" s="22">
        <v>12</v>
      </c>
      <c r="H1581" s="22" t="s">
        <v>3535</v>
      </c>
      <c r="I1581" s="22" t="s">
        <v>302</v>
      </c>
      <c r="J1581" s="36">
        <v>0</v>
      </c>
      <c r="K1581" s="36">
        <v>0</v>
      </c>
      <c r="L1581" s="36">
        <v>0</v>
      </c>
      <c r="M1581" s="36">
        <f t="shared" si="192"/>
        <v>0</v>
      </c>
      <c r="N1581" s="34">
        <f t="shared" si="198"/>
        <v>0</v>
      </c>
      <c r="O1581" s="35">
        <f>SUM($M$2:M1581)</f>
        <v>190743600</v>
      </c>
      <c r="P1581" s="34">
        <f t="shared" si="199"/>
        <v>1</v>
      </c>
      <c r="Q1581" s="39">
        <v>0</v>
      </c>
      <c r="R1581" s="22">
        <v>0</v>
      </c>
      <c r="S1581" s="22">
        <v>0</v>
      </c>
      <c r="T1581" s="22">
        <v>0</v>
      </c>
      <c r="U1581" s="39">
        <v>1.6</v>
      </c>
      <c r="V1581" s="22">
        <v>10</v>
      </c>
      <c r="W1581" s="22">
        <v>1</v>
      </c>
      <c r="X1581" s="40">
        <v>65</v>
      </c>
      <c r="Y1581" s="22">
        <v>1</v>
      </c>
      <c r="Z1581" s="22">
        <v>0</v>
      </c>
      <c r="AA1581" s="22" t="s">
        <v>212</v>
      </c>
      <c r="AB1581" s="22" t="s">
        <v>220</v>
      </c>
      <c r="AC1581" s="42">
        <f>IFERROR(LOOKUP(M1581,打分卡!$F$7:$J$7,打分卡!$K$7:$O$7),1)</f>
        <v>1</v>
      </c>
      <c r="AD1581" s="42">
        <f>IFERROR(LOOKUP(S1581,打分卡!$F$8:$J$8,打分卡!$K$8:$O$8),1)</f>
        <v>1</v>
      </c>
      <c r="AE1581" s="42">
        <f>IFERROR(LOOKUP(T1581,打分卡!$F$9:$I$9,打分卡!$K$9:$N$9),1)</f>
        <v>1</v>
      </c>
      <c r="AF1581" s="42">
        <f>IFERROR(LOOKUP(Q1581,打分卡!$F$10:$J$10,打分卡!$K$10:$O$10),1)</f>
        <v>1</v>
      </c>
      <c r="AG1581" s="42">
        <f>IFERROR(LOOKUP(R1581,打分卡!$F$11:$J$11,打分卡!$K$11:$O$11),1)</f>
        <v>1</v>
      </c>
      <c r="AH1581" s="42">
        <f>IFERROR(LOOKUP(U1581,打分卡!$F$12:$J$12,打分卡!$K$12:$O$12),1)</f>
        <v>1</v>
      </c>
      <c r="AI1581" s="42">
        <f>IFERROR(LOOKUP(X1581,打分卡!$F$13:$J$13,打分卡!$K$13:$O$13),1)</f>
        <v>3</v>
      </c>
      <c r="AJ1581" s="42">
        <f>IFERROR(LOOKUP(Y1581,打分卡!$F$14:$J$14,打分卡!$K$14:$O$14),1)</f>
        <v>2</v>
      </c>
      <c r="AK1581" s="42">
        <f>IFERROR(LOOKUP(W1581,打分卡!$F$15:$J$15,打分卡!$K$15:$O$15),1)</f>
        <v>2</v>
      </c>
      <c r="AL1581" s="45">
        <f t="shared" si="193"/>
        <v>1</v>
      </c>
      <c r="AM1581" s="42">
        <f>IFERROR(LOOKUP(Z1581,打分卡!$F$17:$H$17,打分卡!$K$17:$M$17),1)</f>
        <v>1</v>
      </c>
      <c r="AN1581" s="46">
        <f>(打分卡!$D$7*AC1581+打分卡!$D$8*AD1581+打分卡!$D$9*AE1581)/5</f>
        <v>8</v>
      </c>
      <c r="AO1581" s="46">
        <f>(打分卡!$D$10*AF1581+打分卡!$D$11*AG1581)/5</f>
        <v>4</v>
      </c>
      <c r="AP1581" s="46">
        <f>(打分卡!$D$12*AH1581+打分卡!$D$13*AI1581+打分卡!$D$14*AJ1581+打分卡!$D$15*AK1581)/5</f>
        <v>11.2</v>
      </c>
      <c r="AQ1581" s="46">
        <f>(打分卡!$D$16*AL1581+打分卡!$D$17*AM1581)/5</f>
        <v>2</v>
      </c>
      <c r="AR1581" s="48">
        <f t="shared" si="194"/>
        <v>25.2</v>
      </c>
      <c r="AS1581" s="45" t="str">
        <f t="shared" si="195"/>
        <v>未激活</v>
      </c>
      <c r="AT1581" s="45" t="str">
        <f t="shared" si="196"/>
        <v>连续下降-预警</v>
      </c>
      <c r="AU1581" s="45" t="str">
        <f t="shared" si="197"/>
        <v>唤醒：短信模板+首充补贴</v>
      </c>
    </row>
    <row r="1582" ht="15" customHeight="1" spans="1:47">
      <c r="A1582" s="30" t="s">
        <v>4055</v>
      </c>
      <c r="B1582" s="31" t="s">
        <v>4056</v>
      </c>
      <c r="C1582" s="31" t="s">
        <v>223</v>
      </c>
      <c r="D1582" s="31" t="s">
        <v>202</v>
      </c>
      <c r="E1582" s="31" t="s">
        <v>181</v>
      </c>
      <c r="F1582" s="30" t="s">
        <v>1849</v>
      </c>
      <c r="G1582" s="31">
        <v>22</v>
      </c>
      <c r="H1582" s="31" t="s">
        <v>3535</v>
      </c>
      <c r="I1582" s="31" t="s">
        <v>302</v>
      </c>
      <c r="J1582" s="33">
        <v>0</v>
      </c>
      <c r="K1582" s="33">
        <v>0</v>
      </c>
      <c r="L1582" s="33">
        <v>0</v>
      </c>
      <c r="M1582" s="33">
        <f t="shared" si="192"/>
        <v>0</v>
      </c>
      <c r="N1582" s="34">
        <f t="shared" si="198"/>
        <v>0</v>
      </c>
      <c r="O1582" s="35">
        <f>SUM($M$2:M1582)</f>
        <v>190743600</v>
      </c>
      <c r="P1582" s="34">
        <f t="shared" si="199"/>
        <v>1</v>
      </c>
      <c r="Q1582" s="37">
        <v>0</v>
      </c>
      <c r="R1582" s="31">
        <v>0</v>
      </c>
      <c r="S1582" s="31">
        <v>0</v>
      </c>
      <c r="T1582" s="31">
        <v>0</v>
      </c>
      <c r="U1582" s="37">
        <v>2.7</v>
      </c>
      <c r="V1582" s="31">
        <v>9</v>
      </c>
      <c r="W1582" s="31">
        <v>1</v>
      </c>
      <c r="X1582" s="38">
        <v>26</v>
      </c>
      <c r="Y1582" s="31">
        <v>1</v>
      </c>
      <c r="Z1582" s="31">
        <v>0</v>
      </c>
      <c r="AA1582" s="31" t="s">
        <v>212</v>
      </c>
      <c r="AB1582" s="31" t="s">
        <v>220</v>
      </c>
      <c r="AC1582" s="41">
        <f>IFERROR(LOOKUP(M1582,打分卡!$F$7:$J$7,打分卡!$K$7:$O$7),1)</f>
        <v>1</v>
      </c>
      <c r="AD1582" s="41">
        <f>IFERROR(LOOKUP(S1582,打分卡!$F$8:$J$8,打分卡!$K$8:$O$8),1)</f>
        <v>1</v>
      </c>
      <c r="AE1582" s="41">
        <f>IFERROR(LOOKUP(T1582,打分卡!$F$9:$I$9,打分卡!$K$9:$N$9),1)</f>
        <v>1</v>
      </c>
      <c r="AF1582" s="41">
        <f>IFERROR(LOOKUP(Q1582,打分卡!$F$10:$J$10,打分卡!$K$10:$O$10),1)</f>
        <v>1</v>
      </c>
      <c r="AG1582" s="41">
        <f>IFERROR(LOOKUP(R1582,打分卡!$F$11:$J$11,打分卡!$K$11:$O$11),1)</f>
        <v>1</v>
      </c>
      <c r="AH1582" s="41">
        <f>IFERROR(LOOKUP(U1582,打分卡!$F$12:$J$12,打分卡!$K$12:$O$12),1)</f>
        <v>1</v>
      </c>
      <c r="AI1582" s="41">
        <f>IFERROR(LOOKUP(X1582,打分卡!$F$13:$J$13,打分卡!$K$13:$O$13),1)</f>
        <v>2</v>
      </c>
      <c r="AJ1582" s="41">
        <f>IFERROR(LOOKUP(Y1582,打分卡!$F$14:$J$14,打分卡!$K$14:$O$14),1)</f>
        <v>2</v>
      </c>
      <c r="AK1582" s="41">
        <f>IFERROR(LOOKUP(W1582,打分卡!$F$15:$J$15,打分卡!$K$15:$O$15),1)</f>
        <v>2</v>
      </c>
      <c r="AL1582" s="43">
        <f t="shared" si="193"/>
        <v>1</v>
      </c>
      <c r="AM1582" s="41">
        <f>IFERROR(LOOKUP(Z1582,打分卡!$F$17:$H$17,打分卡!$K$17:$M$17),1)</f>
        <v>1</v>
      </c>
      <c r="AN1582" s="44">
        <f>(打分卡!$D$7*AC1582+打分卡!$D$8*AD1582+打分卡!$D$9*AE1582)/5</f>
        <v>8</v>
      </c>
      <c r="AO1582" s="44">
        <f>(打分卡!$D$10*AF1582+打分卡!$D$11*AG1582)/5</f>
        <v>4</v>
      </c>
      <c r="AP1582" s="44">
        <f>(打分卡!$D$12*AH1582+打分卡!$D$13*AI1582+打分卡!$D$14*AJ1582+打分卡!$D$15*AK1582)/5</f>
        <v>9.6</v>
      </c>
      <c r="AQ1582" s="44">
        <f>(打分卡!$D$16*AL1582+打分卡!$D$17*AM1582)/5</f>
        <v>2</v>
      </c>
      <c r="AR1582" s="47">
        <f t="shared" si="194"/>
        <v>23.6</v>
      </c>
      <c r="AS1582" s="43" t="str">
        <f t="shared" si="195"/>
        <v>未激活</v>
      </c>
      <c r="AT1582" s="43" t="str">
        <f t="shared" si="196"/>
        <v>连续下降-预警</v>
      </c>
      <c r="AU1582" s="43" t="str">
        <f t="shared" si="197"/>
        <v>唤醒：短信模板+首充补贴</v>
      </c>
    </row>
    <row r="1583" ht="15" customHeight="1" spans="1:47">
      <c r="A1583" s="20" t="s">
        <v>4057</v>
      </c>
      <c r="B1583" s="22" t="s">
        <v>4058</v>
      </c>
      <c r="C1583" s="22" t="s">
        <v>189</v>
      </c>
      <c r="D1583" s="22" t="s">
        <v>190</v>
      </c>
      <c r="E1583" s="22" t="s">
        <v>181</v>
      </c>
      <c r="F1583" s="20" t="s">
        <v>1191</v>
      </c>
      <c r="G1583" s="22">
        <v>15</v>
      </c>
      <c r="H1583" s="22" t="s">
        <v>3535</v>
      </c>
      <c r="I1583" s="22" t="s">
        <v>302</v>
      </c>
      <c r="J1583" s="36">
        <v>0</v>
      </c>
      <c r="K1583" s="36">
        <v>0</v>
      </c>
      <c r="L1583" s="36">
        <v>0</v>
      </c>
      <c r="M1583" s="36">
        <f t="shared" si="192"/>
        <v>0</v>
      </c>
      <c r="N1583" s="34">
        <f t="shared" si="198"/>
        <v>0</v>
      </c>
      <c r="O1583" s="35">
        <f>SUM($M$2:M1583)</f>
        <v>190743600</v>
      </c>
      <c r="P1583" s="34">
        <f t="shared" si="199"/>
        <v>1</v>
      </c>
      <c r="Q1583" s="39">
        <v>0</v>
      </c>
      <c r="R1583" s="22">
        <v>0</v>
      </c>
      <c r="S1583" s="22">
        <v>0</v>
      </c>
      <c r="T1583" s="22">
        <v>0</v>
      </c>
      <c r="U1583" s="39">
        <v>32.2</v>
      </c>
      <c r="V1583" s="22">
        <v>6</v>
      </c>
      <c r="W1583" s="22">
        <v>0</v>
      </c>
      <c r="X1583" s="40">
        <v>36</v>
      </c>
      <c r="Y1583" s="22">
        <v>0</v>
      </c>
      <c r="Z1583" s="22">
        <v>0</v>
      </c>
      <c r="AA1583" s="22" t="s">
        <v>212</v>
      </c>
      <c r="AB1583" s="22" t="s">
        <v>220</v>
      </c>
      <c r="AC1583" s="42">
        <f>IFERROR(LOOKUP(M1583,打分卡!$F$7:$J$7,打分卡!$K$7:$O$7),1)</f>
        <v>1</v>
      </c>
      <c r="AD1583" s="42">
        <f>IFERROR(LOOKUP(S1583,打分卡!$F$8:$J$8,打分卡!$K$8:$O$8),1)</f>
        <v>1</v>
      </c>
      <c r="AE1583" s="42">
        <f>IFERROR(LOOKUP(T1583,打分卡!$F$9:$I$9,打分卡!$K$9:$N$9),1)</f>
        <v>1</v>
      </c>
      <c r="AF1583" s="42">
        <f>IFERROR(LOOKUP(Q1583,打分卡!$F$10:$J$10,打分卡!$K$10:$O$10),1)</f>
        <v>1</v>
      </c>
      <c r="AG1583" s="42">
        <f>IFERROR(LOOKUP(R1583,打分卡!$F$11:$J$11,打分卡!$K$11:$O$11),1)</f>
        <v>1</v>
      </c>
      <c r="AH1583" s="42">
        <f>IFERROR(LOOKUP(U1583,打分卡!$F$12:$J$12,打分卡!$K$12:$O$12),1)</f>
        <v>3</v>
      </c>
      <c r="AI1583" s="42">
        <f>IFERROR(LOOKUP(X1583,打分卡!$F$13:$J$13,打分卡!$K$13:$O$13),1)</f>
        <v>2</v>
      </c>
      <c r="AJ1583" s="42">
        <f>IFERROR(LOOKUP(Y1583,打分卡!$F$14:$J$14,打分卡!$K$14:$O$14),1)</f>
        <v>1</v>
      </c>
      <c r="AK1583" s="42">
        <f>IFERROR(LOOKUP(W1583,打分卡!$F$15:$J$15,打分卡!$K$15:$O$15),1)</f>
        <v>1</v>
      </c>
      <c r="AL1583" s="45">
        <f t="shared" si="193"/>
        <v>1</v>
      </c>
      <c r="AM1583" s="42">
        <f>IFERROR(LOOKUP(Z1583,打分卡!$F$17:$H$17,打分卡!$K$17:$M$17),1)</f>
        <v>1</v>
      </c>
      <c r="AN1583" s="46">
        <f>(打分卡!$D$7*AC1583+打分卡!$D$8*AD1583+打分卡!$D$9*AE1583)/5</f>
        <v>8</v>
      </c>
      <c r="AO1583" s="46">
        <f>(打分卡!$D$10*AF1583+打分卡!$D$11*AG1583)/5</f>
        <v>4</v>
      </c>
      <c r="AP1583" s="46">
        <f>(打分卡!$D$12*AH1583+打分卡!$D$13*AI1583+打分卡!$D$14*AJ1583+打分卡!$D$15*AK1583)/5</f>
        <v>12.4</v>
      </c>
      <c r="AQ1583" s="46">
        <f>(打分卡!$D$16*AL1583+打分卡!$D$17*AM1583)/5</f>
        <v>2</v>
      </c>
      <c r="AR1583" s="48">
        <f t="shared" si="194"/>
        <v>26.4</v>
      </c>
      <c r="AS1583" s="45" t="str">
        <f t="shared" si="195"/>
        <v>未激活</v>
      </c>
      <c r="AT1583" s="45" t="str">
        <f t="shared" si="196"/>
        <v>连续下降-预警</v>
      </c>
      <c r="AU1583" s="45" t="str">
        <f t="shared" si="197"/>
        <v>唤醒：短信模板+首充补贴</v>
      </c>
    </row>
    <row r="1584" ht="15" customHeight="1" spans="1:47">
      <c r="A1584" s="30" t="s">
        <v>4059</v>
      </c>
      <c r="B1584" s="31" t="s">
        <v>4060</v>
      </c>
      <c r="C1584" s="31" t="s">
        <v>189</v>
      </c>
      <c r="D1584" s="31" t="s">
        <v>202</v>
      </c>
      <c r="E1584" s="31" t="s">
        <v>181</v>
      </c>
      <c r="F1584" s="30" t="s">
        <v>1278</v>
      </c>
      <c r="G1584" s="31">
        <v>22</v>
      </c>
      <c r="H1584" s="31" t="s">
        <v>3535</v>
      </c>
      <c r="I1584" s="31" t="s">
        <v>302</v>
      </c>
      <c r="J1584" s="33">
        <v>0</v>
      </c>
      <c r="K1584" s="33">
        <v>0</v>
      </c>
      <c r="L1584" s="33">
        <v>0</v>
      </c>
      <c r="M1584" s="33">
        <f t="shared" si="192"/>
        <v>0</v>
      </c>
      <c r="N1584" s="34">
        <f t="shared" si="198"/>
        <v>0</v>
      </c>
      <c r="O1584" s="35">
        <f>SUM($M$2:M1584)</f>
        <v>190743600</v>
      </c>
      <c r="P1584" s="34">
        <f t="shared" si="199"/>
        <v>1</v>
      </c>
      <c r="Q1584" s="37">
        <v>0</v>
      </c>
      <c r="R1584" s="31">
        <v>0</v>
      </c>
      <c r="S1584" s="31">
        <v>0</v>
      </c>
      <c r="T1584" s="31">
        <v>0</v>
      </c>
      <c r="U1584" s="37">
        <v>5.2</v>
      </c>
      <c r="V1584" s="31">
        <v>4</v>
      </c>
      <c r="W1584" s="31">
        <v>0</v>
      </c>
      <c r="X1584" s="38">
        <v>77</v>
      </c>
      <c r="Y1584" s="31">
        <v>0</v>
      </c>
      <c r="Z1584" s="31">
        <v>0</v>
      </c>
      <c r="AA1584" s="31" t="s">
        <v>212</v>
      </c>
      <c r="AB1584" s="31" t="s">
        <v>220</v>
      </c>
      <c r="AC1584" s="41">
        <f>IFERROR(LOOKUP(M1584,打分卡!$F$7:$J$7,打分卡!$K$7:$O$7),1)</f>
        <v>1</v>
      </c>
      <c r="AD1584" s="41">
        <f>IFERROR(LOOKUP(S1584,打分卡!$F$8:$J$8,打分卡!$K$8:$O$8),1)</f>
        <v>1</v>
      </c>
      <c r="AE1584" s="41">
        <f>IFERROR(LOOKUP(T1584,打分卡!$F$9:$I$9,打分卡!$K$9:$N$9),1)</f>
        <v>1</v>
      </c>
      <c r="AF1584" s="41">
        <f>IFERROR(LOOKUP(Q1584,打分卡!$F$10:$J$10,打分卡!$K$10:$O$10),1)</f>
        <v>1</v>
      </c>
      <c r="AG1584" s="41">
        <f>IFERROR(LOOKUP(R1584,打分卡!$F$11:$J$11,打分卡!$K$11:$O$11),1)</f>
        <v>1</v>
      </c>
      <c r="AH1584" s="41">
        <f>IFERROR(LOOKUP(U1584,打分卡!$F$12:$J$12,打分卡!$K$12:$O$12),1)</f>
        <v>2</v>
      </c>
      <c r="AI1584" s="41">
        <f>IFERROR(LOOKUP(X1584,打分卡!$F$13:$J$13,打分卡!$K$13:$O$13),1)</f>
        <v>3</v>
      </c>
      <c r="AJ1584" s="41">
        <f>IFERROR(LOOKUP(Y1584,打分卡!$F$14:$J$14,打分卡!$K$14:$O$14),1)</f>
        <v>1</v>
      </c>
      <c r="AK1584" s="41">
        <f>IFERROR(LOOKUP(W1584,打分卡!$F$15:$J$15,打分卡!$K$15:$O$15),1)</f>
        <v>1</v>
      </c>
      <c r="AL1584" s="43">
        <f t="shared" si="193"/>
        <v>1</v>
      </c>
      <c r="AM1584" s="41">
        <f>IFERROR(LOOKUP(Z1584,打分卡!$F$17:$H$17,打分卡!$K$17:$M$17),1)</f>
        <v>1</v>
      </c>
      <c r="AN1584" s="44">
        <f>(打分卡!$D$7*AC1584+打分卡!$D$8*AD1584+打分卡!$D$9*AE1584)/5</f>
        <v>8</v>
      </c>
      <c r="AO1584" s="44">
        <f>(打分卡!$D$10*AF1584+打分卡!$D$11*AG1584)/5</f>
        <v>4</v>
      </c>
      <c r="AP1584" s="44">
        <f>(打分卡!$D$12*AH1584+打分卡!$D$13*AI1584+打分卡!$D$14*AJ1584+打分卡!$D$15*AK1584)/5</f>
        <v>11.6</v>
      </c>
      <c r="AQ1584" s="44">
        <f>(打分卡!$D$16*AL1584+打分卡!$D$17*AM1584)/5</f>
        <v>2</v>
      </c>
      <c r="AR1584" s="47">
        <f t="shared" si="194"/>
        <v>25.6</v>
      </c>
      <c r="AS1584" s="43" t="str">
        <f t="shared" si="195"/>
        <v>未激活</v>
      </c>
      <c r="AT1584" s="43" t="str">
        <f t="shared" si="196"/>
        <v>连续下降-预警</v>
      </c>
      <c r="AU1584" s="43" t="str">
        <f t="shared" si="197"/>
        <v>唤醒：短信模板+首充补贴</v>
      </c>
    </row>
    <row r="1585" ht="15" customHeight="1" spans="1:47">
      <c r="A1585" s="20" t="s">
        <v>4061</v>
      </c>
      <c r="B1585" s="22" t="s">
        <v>4062</v>
      </c>
      <c r="C1585" s="22" t="s">
        <v>179</v>
      </c>
      <c r="D1585" s="22" t="s">
        <v>190</v>
      </c>
      <c r="E1585" s="22" t="s">
        <v>181</v>
      </c>
      <c r="F1585" s="20" t="s">
        <v>4063</v>
      </c>
      <c r="G1585" s="22">
        <v>34</v>
      </c>
      <c r="H1585" s="22" t="s">
        <v>3535</v>
      </c>
      <c r="I1585" s="22" t="s">
        <v>302</v>
      </c>
      <c r="J1585" s="36">
        <v>0</v>
      </c>
      <c r="K1585" s="36">
        <v>0</v>
      </c>
      <c r="L1585" s="36">
        <v>0</v>
      </c>
      <c r="M1585" s="36">
        <f t="shared" si="192"/>
        <v>0</v>
      </c>
      <c r="N1585" s="34">
        <f t="shared" si="198"/>
        <v>0</v>
      </c>
      <c r="O1585" s="35">
        <f>SUM($M$2:M1585)</f>
        <v>190743600</v>
      </c>
      <c r="P1585" s="34">
        <f t="shared" si="199"/>
        <v>1</v>
      </c>
      <c r="Q1585" s="39">
        <v>0</v>
      </c>
      <c r="R1585" s="22">
        <v>0</v>
      </c>
      <c r="S1585" s="22">
        <v>0</v>
      </c>
      <c r="T1585" s="22">
        <v>0</v>
      </c>
      <c r="U1585" s="39">
        <v>2.6</v>
      </c>
      <c r="V1585" s="22">
        <v>15</v>
      </c>
      <c r="W1585" s="22">
        <v>0</v>
      </c>
      <c r="X1585" s="40">
        <v>14</v>
      </c>
      <c r="Y1585" s="22">
        <v>1</v>
      </c>
      <c r="Z1585" s="22">
        <v>0</v>
      </c>
      <c r="AA1585" s="22" t="s">
        <v>212</v>
      </c>
      <c r="AB1585" s="22" t="s">
        <v>220</v>
      </c>
      <c r="AC1585" s="42">
        <f>IFERROR(LOOKUP(M1585,打分卡!$F$7:$J$7,打分卡!$K$7:$O$7),1)</f>
        <v>1</v>
      </c>
      <c r="AD1585" s="42">
        <f>IFERROR(LOOKUP(S1585,打分卡!$F$8:$J$8,打分卡!$K$8:$O$8),1)</f>
        <v>1</v>
      </c>
      <c r="AE1585" s="42">
        <f>IFERROR(LOOKUP(T1585,打分卡!$F$9:$I$9,打分卡!$K$9:$N$9),1)</f>
        <v>1</v>
      </c>
      <c r="AF1585" s="42">
        <f>IFERROR(LOOKUP(Q1585,打分卡!$F$10:$J$10,打分卡!$K$10:$O$10),1)</f>
        <v>1</v>
      </c>
      <c r="AG1585" s="42">
        <f>IFERROR(LOOKUP(R1585,打分卡!$F$11:$J$11,打分卡!$K$11:$O$11),1)</f>
        <v>1</v>
      </c>
      <c r="AH1585" s="42">
        <f>IFERROR(LOOKUP(U1585,打分卡!$F$12:$J$12,打分卡!$K$12:$O$12),1)</f>
        <v>1</v>
      </c>
      <c r="AI1585" s="42">
        <f>IFERROR(LOOKUP(X1585,打分卡!$F$13:$J$13,打分卡!$K$13:$O$13),1)</f>
        <v>1</v>
      </c>
      <c r="AJ1585" s="42">
        <f>IFERROR(LOOKUP(Y1585,打分卡!$F$14:$J$14,打分卡!$K$14:$O$14),1)</f>
        <v>2</v>
      </c>
      <c r="AK1585" s="42">
        <f>IFERROR(LOOKUP(W1585,打分卡!$F$15:$J$15,打分卡!$K$15:$O$15),1)</f>
        <v>1</v>
      </c>
      <c r="AL1585" s="45">
        <f t="shared" si="193"/>
        <v>1</v>
      </c>
      <c r="AM1585" s="42">
        <f>IFERROR(LOOKUP(Z1585,打分卡!$F$17:$H$17,打分卡!$K$17:$M$17),1)</f>
        <v>1</v>
      </c>
      <c r="AN1585" s="46">
        <f>(打分卡!$D$7*AC1585+打分卡!$D$8*AD1585+打分卡!$D$9*AE1585)/5</f>
        <v>8</v>
      </c>
      <c r="AO1585" s="46">
        <f>(打分卡!$D$10*AF1585+打分卡!$D$11*AG1585)/5</f>
        <v>4</v>
      </c>
      <c r="AP1585" s="46">
        <f>(打分卡!$D$12*AH1585+打分卡!$D$13*AI1585+打分卡!$D$14*AJ1585+打分卡!$D$15*AK1585)/5</f>
        <v>7.2</v>
      </c>
      <c r="AQ1585" s="46">
        <f>(打分卡!$D$16*AL1585+打分卡!$D$17*AM1585)/5</f>
        <v>2</v>
      </c>
      <c r="AR1585" s="48">
        <f t="shared" si="194"/>
        <v>21.2</v>
      </c>
      <c r="AS1585" s="45" t="str">
        <f t="shared" si="195"/>
        <v>未激活</v>
      </c>
      <c r="AT1585" s="45" t="str">
        <f t="shared" si="196"/>
        <v>连续下降-预警</v>
      </c>
      <c r="AU1585" s="45" t="str">
        <f t="shared" si="197"/>
        <v>唤醒：短信模板+首充补贴</v>
      </c>
    </row>
    <row r="1586" ht="15" customHeight="1" spans="1:47">
      <c r="A1586" s="30" t="s">
        <v>4064</v>
      </c>
      <c r="B1586" s="31" t="s">
        <v>4065</v>
      </c>
      <c r="C1586" s="31" t="s">
        <v>179</v>
      </c>
      <c r="D1586" s="31" t="s">
        <v>235</v>
      </c>
      <c r="E1586" s="31" t="s">
        <v>181</v>
      </c>
      <c r="F1586" s="30" t="s">
        <v>1482</v>
      </c>
      <c r="G1586" s="31">
        <v>19</v>
      </c>
      <c r="H1586" s="31" t="s">
        <v>3535</v>
      </c>
      <c r="I1586" s="31" t="s">
        <v>302</v>
      </c>
      <c r="J1586" s="33">
        <v>0</v>
      </c>
      <c r="K1586" s="33">
        <v>0</v>
      </c>
      <c r="L1586" s="33">
        <v>0</v>
      </c>
      <c r="M1586" s="33">
        <f t="shared" si="192"/>
        <v>0</v>
      </c>
      <c r="N1586" s="34">
        <f t="shared" si="198"/>
        <v>0</v>
      </c>
      <c r="O1586" s="35">
        <f>SUM($M$2:M1586)</f>
        <v>190743600</v>
      </c>
      <c r="P1586" s="34">
        <f t="shared" si="199"/>
        <v>1</v>
      </c>
      <c r="Q1586" s="37">
        <v>0</v>
      </c>
      <c r="R1586" s="31">
        <v>0</v>
      </c>
      <c r="S1586" s="31">
        <v>0</v>
      </c>
      <c r="T1586" s="31">
        <v>0</v>
      </c>
      <c r="U1586" s="37">
        <v>0.7</v>
      </c>
      <c r="V1586" s="31">
        <v>13</v>
      </c>
      <c r="W1586" s="31">
        <v>1</v>
      </c>
      <c r="X1586" s="38">
        <v>6</v>
      </c>
      <c r="Y1586" s="31">
        <v>1</v>
      </c>
      <c r="Z1586" s="31">
        <v>0</v>
      </c>
      <c r="AA1586" s="31" t="s">
        <v>212</v>
      </c>
      <c r="AB1586" s="31" t="s">
        <v>220</v>
      </c>
      <c r="AC1586" s="41">
        <f>IFERROR(LOOKUP(M1586,打分卡!$F$7:$J$7,打分卡!$K$7:$O$7),1)</f>
        <v>1</v>
      </c>
      <c r="AD1586" s="41">
        <f>IFERROR(LOOKUP(S1586,打分卡!$F$8:$J$8,打分卡!$K$8:$O$8),1)</f>
        <v>1</v>
      </c>
      <c r="AE1586" s="41">
        <f>IFERROR(LOOKUP(T1586,打分卡!$F$9:$I$9,打分卡!$K$9:$N$9),1)</f>
        <v>1</v>
      </c>
      <c r="AF1586" s="41">
        <f>IFERROR(LOOKUP(Q1586,打分卡!$F$10:$J$10,打分卡!$K$10:$O$10),1)</f>
        <v>1</v>
      </c>
      <c r="AG1586" s="41">
        <f>IFERROR(LOOKUP(R1586,打分卡!$F$11:$J$11,打分卡!$K$11:$O$11),1)</f>
        <v>1</v>
      </c>
      <c r="AH1586" s="41">
        <f>IFERROR(LOOKUP(U1586,打分卡!$F$12:$J$12,打分卡!$K$12:$O$12),1)</f>
        <v>1</v>
      </c>
      <c r="AI1586" s="41">
        <f>IFERROR(LOOKUP(X1586,打分卡!$F$13:$J$13,打分卡!$K$13:$O$13),1)</f>
        <v>1</v>
      </c>
      <c r="AJ1586" s="41">
        <f>IFERROR(LOOKUP(Y1586,打分卡!$F$14:$J$14,打分卡!$K$14:$O$14),1)</f>
        <v>2</v>
      </c>
      <c r="AK1586" s="41">
        <f>IFERROR(LOOKUP(W1586,打分卡!$F$15:$J$15,打分卡!$K$15:$O$15),1)</f>
        <v>2</v>
      </c>
      <c r="AL1586" s="43">
        <f t="shared" si="193"/>
        <v>1</v>
      </c>
      <c r="AM1586" s="41">
        <f>IFERROR(LOOKUP(Z1586,打分卡!$F$17:$H$17,打分卡!$K$17:$M$17),1)</f>
        <v>1</v>
      </c>
      <c r="AN1586" s="44">
        <f>(打分卡!$D$7*AC1586+打分卡!$D$8*AD1586+打分卡!$D$9*AE1586)/5</f>
        <v>8</v>
      </c>
      <c r="AO1586" s="44">
        <f>(打分卡!$D$10*AF1586+打分卡!$D$11*AG1586)/5</f>
        <v>4</v>
      </c>
      <c r="AP1586" s="44">
        <f>(打分卡!$D$12*AH1586+打分卡!$D$13*AI1586+打分卡!$D$14*AJ1586+打分卡!$D$15*AK1586)/5</f>
        <v>8</v>
      </c>
      <c r="AQ1586" s="44">
        <f>(打分卡!$D$16*AL1586+打分卡!$D$17*AM1586)/5</f>
        <v>2</v>
      </c>
      <c r="AR1586" s="47">
        <f t="shared" si="194"/>
        <v>22</v>
      </c>
      <c r="AS1586" s="43" t="str">
        <f t="shared" si="195"/>
        <v>未激活</v>
      </c>
      <c r="AT1586" s="43" t="str">
        <f t="shared" si="196"/>
        <v>连续下降-预警</v>
      </c>
      <c r="AU1586" s="43" t="str">
        <f t="shared" si="197"/>
        <v>唤醒：短信模板+首充补贴</v>
      </c>
    </row>
    <row r="1587" ht="15" customHeight="1" spans="1:47">
      <c r="A1587" s="20" t="s">
        <v>4066</v>
      </c>
      <c r="B1587" s="22" t="s">
        <v>4067</v>
      </c>
      <c r="C1587" s="22" t="s">
        <v>234</v>
      </c>
      <c r="D1587" s="22" t="s">
        <v>227</v>
      </c>
      <c r="E1587" s="22" t="s">
        <v>197</v>
      </c>
      <c r="F1587" s="20" t="s">
        <v>4068</v>
      </c>
      <c r="G1587" s="22">
        <v>28</v>
      </c>
      <c r="H1587" s="22" t="s">
        <v>3535</v>
      </c>
      <c r="I1587" s="22" t="s">
        <v>302</v>
      </c>
      <c r="J1587" s="36">
        <v>0</v>
      </c>
      <c r="K1587" s="36">
        <v>0</v>
      </c>
      <c r="L1587" s="36">
        <v>0</v>
      </c>
      <c r="M1587" s="36">
        <f t="shared" si="192"/>
        <v>0</v>
      </c>
      <c r="N1587" s="34">
        <f t="shared" si="198"/>
        <v>0</v>
      </c>
      <c r="O1587" s="35">
        <f>SUM($M$2:M1587)</f>
        <v>190743600</v>
      </c>
      <c r="P1587" s="34">
        <f t="shared" si="199"/>
        <v>1</v>
      </c>
      <c r="Q1587" s="39">
        <v>0</v>
      </c>
      <c r="R1587" s="22">
        <v>0</v>
      </c>
      <c r="S1587" s="22">
        <v>0</v>
      </c>
      <c r="T1587" s="22">
        <v>0</v>
      </c>
      <c r="U1587" s="39">
        <v>33.5</v>
      </c>
      <c r="V1587" s="22">
        <v>1</v>
      </c>
      <c r="W1587" s="22">
        <v>1</v>
      </c>
      <c r="X1587" s="40">
        <v>58</v>
      </c>
      <c r="Y1587" s="22">
        <v>1</v>
      </c>
      <c r="Z1587" s="22">
        <v>0</v>
      </c>
      <c r="AA1587" s="22" t="s">
        <v>212</v>
      </c>
      <c r="AB1587" s="22" t="s">
        <v>220</v>
      </c>
      <c r="AC1587" s="42">
        <f>IFERROR(LOOKUP(M1587,打分卡!$F$7:$J$7,打分卡!$K$7:$O$7),1)</f>
        <v>1</v>
      </c>
      <c r="AD1587" s="42">
        <f>IFERROR(LOOKUP(S1587,打分卡!$F$8:$J$8,打分卡!$K$8:$O$8),1)</f>
        <v>1</v>
      </c>
      <c r="AE1587" s="42">
        <f>IFERROR(LOOKUP(T1587,打分卡!$F$9:$I$9,打分卡!$K$9:$N$9),1)</f>
        <v>1</v>
      </c>
      <c r="AF1587" s="42">
        <f>IFERROR(LOOKUP(Q1587,打分卡!$F$10:$J$10,打分卡!$K$10:$O$10),1)</f>
        <v>1</v>
      </c>
      <c r="AG1587" s="42">
        <f>IFERROR(LOOKUP(R1587,打分卡!$F$11:$J$11,打分卡!$K$11:$O$11),1)</f>
        <v>1</v>
      </c>
      <c r="AH1587" s="42">
        <f>IFERROR(LOOKUP(U1587,打分卡!$F$12:$J$12,打分卡!$K$12:$O$12),1)</f>
        <v>4</v>
      </c>
      <c r="AI1587" s="42">
        <f>IFERROR(LOOKUP(X1587,打分卡!$F$13:$J$13,打分卡!$K$13:$O$13),1)</f>
        <v>3</v>
      </c>
      <c r="AJ1587" s="42">
        <f>IFERROR(LOOKUP(Y1587,打分卡!$F$14:$J$14,打分卡!$K$14:$O$14),1)</f>
        <v>2</v>
      </c>
      <c r="AK1587" s="42">
        <f>IFERROR(LOOKUP(W1587,打分卡!$F$15:$J$15,打分卡!$K$15:$O$15),1)</f>
        <v>2</v>
      </c>
      <c r="AL1587" s="45">
        <f t="shared" si="193"/>
        <v>1</v>
      </c>
      <c r="AM1587" s="42">
        <f>IFERROR(LOOKUP(Z1587,打分卡!$F$17:$H$17,打分卡!$K$17:$M$17),1)</f>
        <v>1</v>
      </c>
      <c r="AN1587" s="46">
        <f>(打分卡!$D$7*AC1587+打分卡!$D$8*AD1587+打分卡!$D$9*AE1587)/5</f>
        <v>8</v>
      </c>
      <c r="AO1587" s="46">
        <f>(打分卡!$D$10*AF1587+打分卡!$D$11*AG1587)/5</f>
        <v>4</v>
      </c>
      <c r="AP1587" s="46">
        <f>(打分卡!$D$12*AH1587+打分卡!$D$13*AI1587+打分卡!$D$14*AJ1587+打分卡!$D$15*AK1587)/5</f>
        <v>18.4</v>
      </c>
      <c r="AQ1587" s="46">
        <f>(打分卡!$D$16*AL1587+打分卡!$D$17*AM1587)/5</f>
        <v>2</v>
      </c>
      <c r="AR1587" s="48">
        <f t="shared" si="194"/>
        <v>32.4</v>
      </c>
      <c r="AS1587" s="45" t="str">
        <f t="shared" si="195"/>
        <v>未激活</v>
      </c>
      <c r="AT1587" s="45" t="str">
        <f t="shared" si="196"/>
        <v>连续下降-预警</v>
      </c>
      <c r="AU1587" s="45" t="str">
        <f t="shared" si="197"/>
        <v>唤醒：短信模板+首充补贴</v>
      </c>
    </row>
    <row r="1588" ht="15" customHeight="1" spans="1:47">
      <c r="A1588" s="30" t="s">
        <v>4069</v>
      </c>
      <c r="B1588" s="31" t="s">
        <v>4070</v>
      </c>
      <c r="C1588" s="31" t="s">
        <v>223</v>
      </c>
      <c r="D1588" s="31" t="s">
        <v>202</v>
      </c>
      <c r="E1588" s="31" t="s">
        <v>181</v>
      </c>
      <c r="F1588" s="30" t="s">
        <v>1322</v>
      </c>
      <c r="G1588" s="31">
        <v>18</v>
      </c>
      <c r="H1588" s="31" t="s">
        <v>3535</v>
      </c>
      <c r="I1588" s="31" t="s">
        <v>302</v>
      </c>
      <c r="J1588" s="33">
        <v>0</v>
      </c>
      <c r="K1588" s="33">
        <v>0</v>
      </c>
      <c r="L1588" s="33">
        <v>0</v>
      </c>
      <c r="M1588" s="33">
        <f t="shared" si="192"/>
        <v>0</v>
      </c>
      <c r="N1588" s="34">
        <f t="shared" si="198"/>
        <v>0</v>
      </c>
      <c r="O1588" s="35">
        <f>SUM($M$2:M1588)</f>
        <v>190743600</v>
      </c>
      <c r="P1588" s="34">
        <f t="shared" si="199"/>
        <v>1</v>
      </c>
      <c r="Q1588" s="37">
        <v>0</v>
      </c>
      <c r="R1588" s="31">
        <v>0</v>
      </c>
      <c r="S1588" s="31">
        <v>0</v>
      </c>
      <c r="T1588" s="31">
        <v>0</v>
      </c>
      <c r="U1588" s="37">
        <v>1.1</v>
      </c>
      <c r="V1588" s="31">
        <v>15</v>
      </c>
      <c r="W1588" s="31">
        <v>0</v>
      </c>
      <c r="X1588" s="38">
        <v>9</v>
      </c>
      <c r="Y1588" s="31">
        <v>0</v>
      </c>
      <c r="Z1588" s="31">
        <v>0</v>
      </c>
      <c r="AA1588" s="31" t="s">
        <v>212</v>
      </c>
      <c r="AB1588" s="31" t="s">
        <v>220</v>
      </c>
      <c r="AC1588" s="41">
        <f>IFERROR(LOOKUP(M1588,打分卡!$F$7:$J$7,打分卡!$K$7:$O$7),1)</f>
        <v>1</v>
      </c>
      <c r="AD1588" s="41">
        <f>IFERROR(LOOKUP(S1588,打分卡!$F$8:$J$8,打分卡!$K$8:$O$8),1)</f>
        <v>1</v>
      </c>
      <c r="AE1588" s="41">
        <f>IFERROR(LOOKUP(T1588,打分卡!$F$9:$I$9,打分卡!$K$9:$N$9),1)</f>
        <v>1</v>
      </c>
      <c r="AF1588" s="41">
        <f>IFERROR(LOOKUP(Q1588,打分卡!$F$10:$J$10,打分卡!$K$10:$O$10),1)</f>
        <v>1</v>
      </c>
      <c r="AG1588" s="41">
        <f>IFERROR(LOOKUP(R1588,打分卡!$F$11:$J$11,打分卡!$K$11:$O$11),1)</f>
        <v>1</v>
      </c>
      <c r="AH1588" s="41">
        <f>IFERROR(LOOKUP(U1588,打分卡!$F$12:$J$12,打分卡!$K$12:$O$12),1)</f>
        <v>1</v>
      </c>
      <c r="AI1588" s="41">
        <f>IFERROR(LOOKUP(X1588,打分卡!$F$13:$J$13,打分卡!$K$13:$O$13),1)</f>
        <v>1</v>
      </c>
      <c r="AJ1588" s="41">
        <f>IFERROR(LOOKUP(Y1588,打分卡!$F$14:$J$14,打分卡!$K$14:$O$14),1)</f>
        <v>1</v>
      </c>
      <c r="AK1588" s="41">
        <f>IFERROR(LOOKUP(W1588,打分卡!$F$15:$J$15,打分卡!$K$15:$O$15),1)</f>
        <v>1</v>
      </c>
      <c r="AL1588" s="43">
        <f t="shared" si="193"/>
        <v>1</v>
      </c>
      <c r="AM1588" s="41">
        <f>IFERROR(LOOKUP(Z1588,打分卡!$F$17:$H$17,打分卡!$K$17:$M$17),1)</f>
        <v>1</v>
      </c>
      <c r="AN1588" s="44">
        <f>(打分卡!$D$7*AC1588+打分卡!$D$8*AD1588+打分卡!$D$9*AE1588)/5</f>
        <v>8</v>
      </c>
      <c r="AO1588" s="44">
        <f>(打分卡!$D$10*AF1588+打分卡!$D$11*AG1588)/5</f>
        <v>4</v>
      </c>
      <c r="AP1588" s="44">
        <f>(打分卡!$D$12*AH1588+打分卡!$D$13*AI1588+打分卡!$D$14*AJ1588+打分卡!$D$15*AK1588)/5</f>
        <v>6</v>
      </c>
      <c r="AQ1588" s="44">
        <f>(打分卡!$D$16*AL1588+打分卡!$D$17*AM1588)/5</f>
        <v>2</v>
      </c>
      <c r="AR1588" s="47">
        <f t="shared" si="194"/>
        <v>20</v>
      </c>
      <c r="AS1588" s="43" t="str">
        <f t="shared" si="195"/>
        <v>未激活</v>
      </c>
      <c r="AT1588" s="43" t="str">
        <f t="shared" si="196"/>
        <v>连续下降-预警</v>
      </c>
      <c r="AU1588" s="43" t="str">
        <f t="shared" si="197"/>
        <v>唤醒：短信模板+首充补贴</v>
      </c>
    </row>
    <row r="1589" ht="15" customHeight="1" spans="1:47">
      <c r="A1589" s="20" t="s">
        <v>4071</v>
      </c>
      <c r="B1589" s="22" t="s">
        <v>4072</v>
      </c>
      <c r="C1589" s="22" t="s">
        <v>189</v>
      </c>
      <c r="D1589" s="22" t="s">
        <v>227</v>
      </c>
      <c r="E1589" s="22" t="s">
        <v>197</v>
      </c>
      <c r="F1589" s="20" t="s">
        <v>2132</v>
      </c>
      <c r="G1589" s="22">
        <v>15</v>
      </c>
      <c r="H1589" s="22" t="s">
        <v>3535</v>
      </c>
      <c r="I1589" s="22" t="s">
        <v>302</v>
      </c>
      <c r="J1589" s="36">
        <v>0</v>
      </c>
      <c r="K1589" s="36">
        <v>0</v>
      </c>
      <c r="L1589" s="36">
        <v>0</v>
      </c>
      <c r="M1589" s="36">
        <f t="shared" si="192"/>
        <v>0</v>
      </c>
      <c r="N1589" s="34">
        <f t="shared" si="198"/>
        <v>0</v>
      </c>
      <c r="O1589" s="35">
        <f>SUM($M$2:M1589)</f>
        <v>190743600</v>
      </c>
      <c r="P1589" s="34">
        <f t="shared" si="199"/>
        <v>1</v>
      </c>
      <c r="Q1589" s="39">
        <v>0</v>
      </c>
      <c r="R1589" s="22">
        <v>0</v>
      </c>
      <c r="S1589" s="22">
        <v>0</v>
      </c>
      <c r="T1589" s="22">
        <v>0</v>
      </c>
      <c r="U1589" s="39">
        <v>0.7</v>
      </c>
      <c r="V1589" s="22">
        <v>7</v>
      </c>
      <c r="W1589" s="22">
        <v>1</v>
      </c>
      <c r="X1589" s="40">
        <v>16</v>
      </c>
      <c r="Y1589" s="22">
        <v>1</v>
      </c>
      <c r="Z1589" s="22">
        <v>0</v>
      </c>
      <c r="AA1589" s="22" t="s">
        <v>212</v>
      </c>
      <c r="AB1589" s="22" t="s">
        <v>220</v>
      </c>
      <c r="AC1589" s="42">
        <f>IFERROR(LOOKUP(M1589,打分卡!$F$7:$J$7,打分卡!$K$7:$O$7),1)</f>
        <v>1</v>
      </c>
      <c r="AD1589" s="42">
        <f>IFERROR(LOOKUP(S1589,打分卡!$F$8:$J$8,打分卡!$K$8:$O$8),1)</f>
        <v>1</v>
      </c>
      <c r="AE1589" s="42">
        <f>IFERROR(LOOKUP(T1589,打分卡!$F$9:$I$9,打分卡!$K$9:$N$9),1)</f>
        <v>1</v>
      </c>
      <c r="AF1589" s="42">
        <f>IFERROR(LOOKUP(Q1589,打分卡!$F$10:$J$10,打分卡!$K$10:$O$10),1)</f>
        <v>1</v>
      </c>
      <c r="AG1589" s="42">
        <f>IFERROR(LOOKUP(R1589,打分卡!$F$11:$J$11,打分卡!$K$11:$O$11),1)</f>
        <v>1</v>
      </c>
      <c r="AH1589" s="42">
        <f>IFERROR(LOOKUP(U1589,打分卡!$F$12:$J$12,打分卡!$K$12:$O$12),1)</f>
        <v>1</v>
      </c>
      <c r="AI1589" s="42">
        <f>IFERROR(LOOKUP(X1589,打分卡!$F$13:$J$13,打分卡!$K$13:$O$13),1)</f>
        <v>1</v>
      </c>
      <c r="AJ1589" s="42">
        <f>IFERROR(LOOKUP(Y1589,打分卡!$F$14:$J$14,打分卡!$K$14:$O$14),1)</f>
        <v>2</v>
      </c>
      <c r="AK1589" s="42">
        <f>IFERROR(LOOKUP(W1589,打分卡!$F$15:$J$15,打分卡!$K$15:$O$15),1)</f>
        <v>2</v>
      </c>
      <c r="AL1589" s="45">
        <f t="shared" si="193"/>
        <v>1</v>
      </c>
      <c r="AM1589" s="42">
        <f>IFERROR(LOOKUP(Z1589,打分卡!$F$17:$H$17,打分卡!$K$17:$M$17),1)</f>
        <v>1</v>
      </c>
      <c r="AN1589" s="46">
        <f>(打分卡!$D$7*AC1589+打分卡!$D$8*AD1589+打分卡!$D$9*AE1589)/5</f>
        <v>8</v>
      </c>
      <c r="AO1589" s="46">
        <f>(打分卡!$D$10*AF1589+打分卡!$D$11*AG1589)/5</f>
        <v>4</v>
      </c>
      <c r="AP1589" s="46">
        <f>(打分卡!$D$12*AH1589+打分卡!$D$13*AI1589+打分卡!$D$14*AJ1589+打分卡!$D$15*AK1589)/5</f>
        <v>8</v>
      </c>
      <c r="AQ1589" s="46">
        <f>(打分卡!$D$16*AL1589+打分卡!$D$17*AM1589)/5</f>
        <v>2</v>
      </c>
      <c r="AR1589" s="48">
        <f t="shared" si="194"/>
        <v>22</v>
      </c>
      <c r="AS1589" s="45" t="str">
        <f t="shared" si="195"/>
        <v>未激活</v>
      </c>
      <c r="AT1589" s="45" t="str">
        <f t="shared" si="196"/>
        <v>连续下降-预警</v>
      </c>
      <c r="AU1589" s="45" t="str">
        <f t="shared" si="197"/>
        <v>唤醒：短信模板+首充补贴</v>
      </c>
    </row>
    <row r="1590" ht="15" customHeight="1" spans="1:47">
      <c r="A1590" s="30" t="s">
        <v>4073</v>
      </c>
      <c r="B1590" s="31" t="s">
        <v>4074</v>
      </c>
      <c r="C1590" s="31" t="s">
        <v>239</v>
      </c>
      <c r="D1590" s="31" t="s">
        <v>252</v>
      </c>
      <c r="E1590" s="31" t="s">
        <v>181</v>
      </c>
      <c r="F1590" s="30" t="s">
        <v>1695</v>
      </c>
      <c r="G1590" s="31">
        <v>14</v>
      </c>
      <c r="H1590" s="31" t="s">
        <v>3535</v>
      </c>
      <c r="I1590" s="31" t="s">
        <v>302</v>
      </c>
      <c r="J1590" s="33">
        <v>0</v>
      </c>
      <c r="K1590" s="33">
        <v>0</v>
      </c>
      <c r="L1590" s="33">
        <v>0</v>
      </c>
      <c r="M1590" s="33">
        <f t="shared" si="192"/>
        <v>0</v>
      </c>
      <c r="N1590" s="34">
        <f t="shared" si="198"/>
        <v>0</v>
      </c>
      <c r="O1590" s="35">
        <f>SUM($M$2:M1590)</f>
        <v>190743600</v>
      </c>
      <c r="P1590" s="34">
        <f t="shared" si="199"/>
        <v>1</v>
      </c>
      <c r="Q1590" s="37">
        <v>0</v>
      </c>
      <c r="R1590" s="31">
        <v>0</v>
      </c>
      <c r="S1590" s="31">
        <v>0</v>
      </c>
      <c r="T1590" s="31">
        <v>0</v>
      </c>
      <c r="U1590" s="37">
        <v>47.6</v>
      </c>
      <c r="V1590" s="31">
        <v>6</v>
      </c>
      <c r="W1590" s="31">
        <v>0</v>
      </c>
      <c r="X1590" s="38">
        <v>66</v>
      </c>
      <c r="Y1590" s="31">
        <v>0</v>
      </c>
      <c r="Z1590" s="31">
        <v>0</v>
      </c>
      <c r="AA1590" s="31" t="s">
        <v>212</v>
      </c>
      <c r="AB1590" s="31" t="s">
        <v>220</v>
      </c>
      <c r="AC1590" s="41">
        <f>IFERROR(LOOKUP(M1590,打分卡!$F$7:$J$7,打分卡!$K$7:$O$7),1)</f>
        <v>1</v>
      </c>
      <c r="AD1590" s="41">
        <f>IFERROR(LOOKUP(S1590,打分卡!$F$8:$J$8,打分卡!$K$8:$O$8),1)</f>
        <v>1</v>
      </c>
      <c r="AE1590" s="41">
        <f>IFERROR(LOOKUP(T1590,打分卡!$F$9:$I$9,打分卡!$K$9:$N$9),1)</f>
        <v>1</v>
      </c>
      <c r="AF1590" s="41">
        <f>IFERROR(LOOKUP(Q1590,打分卡!$F$10:$J$10,打分卡!$K$10:$O$10),1)</f>
        <v>1</v>
      </c>
      <c r="AG1590" s="41">
        <f>IFERROR(LOOKUP(R1590,打分卡!$F$11:$J$11,打分卡!$K$11:$O$11),1)</f>
        <v>1</v>
      </c>
      <c r="AH1590" s="41">
        <f>IFERROR(LOOKUP(U1590,打分卡!$F$12:$J$12,打分卡!$K$12:$O$12),1)</f>
        <v>4</v>
      </c>
      <c r="AI1590" s="41">
        <f>IFERROR(LOOKUP(X1590,打分卡!$F$13:$J$13,打分卡!$K$13:$O$13),1)</f>
        <v>3</v>
      </c>
      <c r="AJ1590" s="41">
        <f>IFERROR(LOOKUP(Y1590,打分卡!$F$14:$J$14,打分卡!$K$14:$O$14),1)</f>
        <v>1</v>
      </c>
      <c r="AK1590" s="41">
        <f>IFERROR(LOOKUP(W1590,打分卡!$F$15:$J$15,打分卡!$K$15:$O$15),1)</f>
        <v>1</v>
      </c>
      <c r="AL1590" s="43">
        <f t="shared" si="193"/>
        <v>1</v>
      </c>
      <c r="AM1590" s="41">
        <f>IFERROR(LOOKUP(Z1590,打分卡!$F$17:$H$17,打分卡!$K$17:$M$17),1)</f>
        <v>1</v>
      </c>
      <c r="AN1590" s="44">
        <f>(打分卡!$D$7*AC1590+打分卡!$D$8*AD1590+打分卡!$D$9*AE1590)/5</f>
        <v>8</v>
      </c>
      <c r="AO1590" s="44">
        <f>(打分卡!$D$10*AF1590+打分卡!$D$11*AG1590)/5</f>
        <v>4</v>
      </c>
      <c r="AP1590" s="44">
        <f>(打分卡!$D$12*AH1590+打分卡!$D$13*AI1590+打分卡!$D$14*AJ1590+打分卡!$D$15*AK1590)/5</f>
        <v>16.4</v>
      </c>
      <c r="AQ1590" s="44">
        <f>(打分卡!$D$16*AL1590+打分卡!$D$17*AM1590)/5</f>
        <v>2</v>
      </c>
      <c r="AR1590" s="47">
        <f t="shared" si="194"/>
        <v>30.4</v>
      </c>
      <c r="AS1590" s="43" t="str">
        <f t="shared" si="195"/>
        <v>未激活</v>
      </c>
      <c r="AT1590" s="43" t="str">
        <f t="shared" si="196"/>
        <v>连续下降-预警</v>
      </c>
      <c r="AU1590" s="43" t="str">
        <f t="shared" si="197"/>
        <v>唤醒：短信模板+首充补贴</v>
      </c>
    </row>
    <row r="1591" ht="15" customHeight="1" spans="1:47">
      <c r="A1591" s="20" t="s">
        <v>4075</v>
      </c>
      <c r="B1591" s="22" t="s">
        <v>4076</v>
      </c>
      <c r="C1591" s="22" t="s">
        <v>195</v>
      </c>
      <c r="D1591" s="22" t="s">
        <v>180</v>
      </c>
      <c r="E1591" s="22" t="s">
        <v>181</v>
      </c>
      <c r="F1591" s="20" t="s">
        <v>4077</v>
      </c>
      <c r="G1591" s="22">
        <v>35</v>
      </c>
      <c r="H1591" s="22" t="s">
        <v>3535</v>
      </c>
      <c r="I1591" s="22" t="s">
        <v>302</v>
      </c>
      <c r="J1591" s="36">
        <v>0</v>
      </c>
      <c r="K1591" s="36">
        <v>0</v>
      </c>
      <c r="L1591" s="36">
        <v>0</v>
      </c>
      <c r="M1591" s="36">
        <f t="shared" si="192"/>
        <v>0</v>
      </c>
      <c r="N1591" s="34">
        <f t="shared" si="198"/>
        <v>0</v>
      </c>
      <c r="O1591" s="35">
        <f>SUM($M$2:M1591)</f>
        <v>190743600</v>
      </c>
      <c r="P1591" s="34">
        <f t="shared" si="199"/>
        <v>1</v>
      </c>
      <c r="Q1591" s="39">
        <v>0</v>
      </c>
      <c r="R1591" s="22">
        <v>0</v>
      </c>
      <c r="S1591" s="22">
        <v>0</v>
      </c>
      <c r="T1591" s="22">
        <v>0</v>
      </c>
      <c r="U1591" s="39">
        <v>1</v>
      </c>
      <c r="V1591" s="22">
        <v>12</v>
      </c>
      <c r="W1591" s="22">
        <v>0</v>
      </c>
      <c r="X1591" s="40">
        <v>19</v>
      </c>
      <c r="Y1591" s="22">
        <v>1</v>
      </c>
      <c r="Z1591" s="22">
        <v>0</v>
      </c>
      <c r="AA1591" s="22" t="s">
        <v>212</v>
      </c>
      <c r="AB1591" s="22" t="s">
        <v>220</v>
      </c>
      <c r="AC1591" s="42">
        <f>IFERROR(LOOKUP(M1591,打分卡!$F$7:$J$7,打分卡!$K$7:$O$7),1)</f>
        <v>1</v>
      </c>
      <c r="AD1591" s="42">
        <f>IFERROR(LOOKUP(S1591,打分卡!$F$8:$J$8,打分卡!$K$8:$O$8),1)</f>
        <v>1</v>
      </c>
      <c r="AE1591" s="42">
        <f>IFERROR(LOOKUP(T1591,打分卡!$F$9:$I$9,打分卡!$K$9:$N$9),1)</f>
        <v>1</v>
      </c>
      <c r="AF1591" s="42">
        <f>IFERROR(LOOKUP(Q1591,打分卡!$F$10:$J$10,打分卡!$K$10:$O$10),1)</f>
        <v>1</v>
      </c>
      <c r="AG1591" s="42">
        <f>IFERROR(LOOKUP(R1591,打分卡!$F$11:$J$11,打分卡!$K$11:$O$11),1)</f>
        <v>1</v>
      </c>
      <c r="AH1591" s="42">
        <f>IFERROR(LOOKUP(U1591,打分卡!$F$12:$J$12,打分卡!$K$12:$O$12),1)</f>
        <v>1</v>
      </c>
      <c r="AI1591" s="42">
        <f>IFERROR(LOOKUP(X1591,打分卡!$F$13:$J$13,打分卡!$K$13:$O$13),1)</f>
        <v>2</v>
      </c>
      <c r="AJ1591" s="42">
        <f>IFERROR(LOOKUP(Y1591,打分卡!$F$14:$J$14,打分卡!$K$14:$O$14),1)</f>
        <v>2</v>
      </c>
      <c r="AK1591" s="42">
        <f>IFERROR(LOOKUP(W1591,打分卡!$F$15:$J$15,打分卡!$K$15:$O$15),1)</f>
        <v>1</v>
      </c>
      <c r="AL1591" s="45">
        <f t="shared" si="193"/>
        <v>1</v>
      </c>
      <c r="AM1591" s="42">
        <f>IFERROR(LOOKUP(Z1591,打分卡!$F$17:$H$17,打分卡!$K$17:$M$17),1)</f>
        <v>1</v>
      </c>
      <c r="AN1591" s="46">
        <f>(打分卡!$D$7*AC1591+打分卡!$D$8*AD1591+打分卡!$D$9*AE1591)/5</f>
        <v>8</v>
      </c>
      <c r="AO1591" s="46">
        <f>(打分卡!$D$10*AF1591+打分卡!$D$11*AG1591)/5</f>
        <v>4</v>
      </c>
      <c r="AP1591" s="46">
        <f>(打分卡!$D$12*AH1591+打分卡!$D$13*AI1591+打分卡!$D$14*AJ1591+打分卡!$D$15*AK1591)/5</f>
        <v>8.8</v>
      </c>
      <c r="AQ1591" s="46">
        <f>(打分卡!$D$16*AL1591+打分卡!$D$17*AM1591)/5</f>
        <v>2</v>
      </c>
      <c r="AR1591" s="48">
        <f t="shared" si="194"/>
        <v>22.8</v>
      </c>
      <c r="AS1591" s="45" t="str">
        <f t="shared" si="195"/>
        <v>未激活</v>
      </c>
      <c r="AT1591" s="45" t="str">
        <f t="shared" si="196"/>
        <v>连续下降-预警</v>
      </c>
      <c r="AU1591" s="45" t="str">
        <f t="shared" si="197"/>
        <v>唤醒：短信模板+首充补贴</v>
      </c>
    </row>
    <row r="1592" ht="15" customHeight="1" spans="1:47">
      <c r="A1592" s="30" t="s">
        <v>4078</v>
      </c>
      <c r="B1592" s="31" t="s">
        <v>4079</v>
      </c>
      <c r="C1592" s="31" t="s">
        <v>189</v>
      </c>
      <c r="D1592" s="31" t="s">
        <v>202</v>
      </c>
      <c r="E1592" s="31" t="s">
        <v>197</v>
      </c>
      <c r="F1592" s="30" t="s">
        <v>4080</v>
      </c>
      <c r="G1592" s="31">
        <v>17</v>
      </c>
      <c r="H1592" s="31" t="s">
        <v>3535</v>
      </c>
      <c r="I1592" s="31" t="s">
        <v>302</v>
      </c>
      <c r="J1592" s="33">
        <v>0</v>
      </c>
      <c r="K1592" s="33">
        <v>0</v>
      </c>
      <c r="L1592" s="33">
        <v>0</v>
      </c>
      <c r="M1592" s="33">
        <f t="shared" si="192"/>
        <v>0</v>
      </c>
      <c r="N1592" s="34">
        <f t="shared" si="198"/>
        <v>0</v>
      </c>
      <c r="O1592" s="35">
        <f>SUM($M$2:M1592)</f>
        <v>190743600</v>
      </c>
      <c r="P1592" s="34">
        <f t="shared" si="199"/>
        <v>1</v>
      </c>
      <c r="Q1592" s="37">
        <v>0</v>
      </c>
      <c r="R1592" s="31">
        <v>0</v>
      </c>
      <c r="S1592" s="31">
        <v>0</v>
      </c>
      <c r="T1592" s="31">
        <v>0</v>
      </c>
      <c r="U1592" s="37">
        <v>19.1</v>
      </c>
      <c r="V1592" s="31">
        <v>3</v>
      </c>
      <c r="W1592" s="31">
        <v>0</v>
      </c>
      <c r="X1592" s="38">
        <v>19</v>
      </c>
      <c r="Y1592" s="31">
        <v>1</v>
      </c>
      <c r="Z1592" s="31">
        <v>0</v>
      </c>
      <c r="AA1592" s="31" t="s">
        <v>212</v>
      </c>
      <c r="AB1592" s="31" t="s">
        <v>220</v>
      </c>
      <c r="AC1592" s="41">
        <f>IFERROR(LOOKUP(M1592,打分卡!$F$7:$J$7,打分卡!$K$7:$O$7),1)</f>
        <v>1</v>
      </c>
      <c r="AD1592" s="41">
        <f>IFERROR(LOOKUP(S1592,打分卡!$F$8:$J$8,打分卡!$K$8:$O$8),1)</f>
        <v>1</v>
      </c>
      <c r="AE1592" s="41">
        <f>IFERROR(LOOKUP(T1592,打分卡!$F$9:$I$9,打分卡!$K$9:$N$9),1)</f>
        <v>1</v>
      </c>
      <c r="AF1592" s="41">
        <f>IFERROR(LOOKUP(Q1592,打分卡!$F$10:$J$10,打分卡!$K$10:$O$10),1)</f>
        <v>1</v>
      </c>
      <c r="AG1592" s="41">
        <f>IFERROR(LOOKUP(R1592,打分卡!$F$11:$J$11,打分卡!$K$11:$O$11),1)</f>
        <v>1</v>
      </c>
      <c r="AH1592" s="41">
        <f>IFERROR(LOOKUP(U1592,打分卡!$F$12:$J$12,打分卡!$K$12:$O$12),1)</f>
        <v>3</v>
      </c>
      <c r="AI1592" s="41">
        <f>IFERROR(LOOKUP(X1592,打分卡!$F$13:$J$13,打分卡!$K$13:$O$13),1)</f>
        <v>2</v>
      </c>
      <c r="AJ1592" s="41">
        <f>IFERROR(LOOKUP(Y1592,打分卡!$F$14:$J$14,打分卡!$K$14:$O$14),1)</f>
        <v>2</v>
      </c>
      <c r="AK1592" s="41">
        <f>IFERROR(LOOKUP(W1592,打分卡!$F$15:$J$15,打分卡!$K$15:$O$15),1)</f>
        <v>1</v>
      </c>
      <c r="AL1592" s="43">
        <f t="shared" si="193"/>
        <v>1</v>
      </c>
      <c r="AM1592" s="41">
        <f>IFERROR(LOOKUP(Z1592,打分卡!$F$17:$H$17,打分卡!$K$17:$M$17),1)</f>
        <v>1</v>
      </c>
      <c r="AN1592" s="44">
        <f>(打分卡!$D$7*AC1592+打分卡!$D$8*AD1592+打分卡!$D$9*AE1592)/5</f>
        <v>8</v>
      </c>
      <c r="AO1592" s="44">
        <f>(打分卡!$D$10*AF1592+打分卡!$D$11*AG1592)/5</f>
        <v>4</v>
      </c>
      <c r="AP1592" s="44">
        <f>(打分卡!$D$12*AH1592+打分卡!$D$13*AI1592+打分卡!$D$14*AJ1592+打分卡!$D$15*AK1592)/5</f>
        <v>13.6</v>
      </c>
      <c r="AQ1592" s="44">
        <f>(打分卡!$D$16*AL1592+打分卡!$D$17*AM1592)/5</f>
        <v>2</v>
      </c>
      <c r="AR1592" s="47">
        <f t="shared" si="194"/>
        <v>27.6</v>
      </c>
      <c r="AS1592" s="43" t="str">
        <f t="shared" si="195"/>
        <v>未激活</v>
      </c>
      <c r="AT1592" s="43" t="str">
        <f t="shared" si="196"/>
        <v>连续下降-预警</v>
      </c>
      <c r="AU1592" s="43" t="str">
        <f t="shared" si="197"/>
        <v>唤醒：短信模板+首充补贴</v>
      </c>
    </row>
    <row r="1593" ht="15" customHeight="1" spans="1:47">
      <c r="A1593" s="20" t="s">
        <v>4081</v>
      </c>
      <c r="B1593" s="22" t="s">
        <v>4082</v>
      </c>
      <c r="C1593" s="22" t="s">
        <v>189</v>
      </c>
      <c r="D1593" s="22" t="s">
        <v>227</v>
      </c>
      <c r="E1593" s="22" t="s">
        <v>197</v>
      </c>
      <c r="F1593" s="20" t="s">
        <v>4083</v>
      </c>
      <c r="G1593" s="22">
        <v>28</v>
      </c>
      <c r="H1593" s="22" t="s">
        <v>3535</v>
      </c>
      <c r="I1593" s="22" t="s">
        <v>302</v>
      </c>
      <c r="J1593" s="36">
        <v>0</v>
      </c>
      <c r="K1593" s="36">
        <v>0</v>
      </c>
      <c r="L1593" s="36">
        <v>0</v>
      </c>
      <c r="M1593" s="36">
        <f t="shared" si="192"/>
        <v>0</v>
      </c>
      <c r="N1593" s="34">
        <f t="shared" si="198"/>
        <v>0</v>
      </c>
      <c r="O1593" s="35">
        <f>SUM($M$2:M1593)</f>
        <v>190743600</v>
      </c>
      <c r="P1593" s="34">
        <f t="shared" si="199"/>
        <v>1</v>
      </c>
      <c r="Q1593" s="39">
        <v>0</v>
      </c>
      <c r="R1593" s="22">
        <v>0</v>
      </c>
      <c r="S1593" s="22">
        <v>0</v>
      </c>
      <c r="T1593" s="22">
        <v>0</v>
      </c>
      <c r="U1593" s="39">
        <v>10.5</v>
      </c>
      <c r="V1593" s="22">
        <v>10</v>
      </c>
      <c r="W1593" s="22">
        <v>1</v>
      </c>
      <c r="X1593" s="40">
        <v>20</v>
      </c>
      <c r="Y1593" s="22">
        <v>1</v>
      </c>
      <c r="Z1593" s="22">
        <v>0</v>
      </c>
      <c r="AA1593" s="22" t="s">
        <v>212</v>
      </c>
      <c r="AB1593" s="22" t="s">
        <v>220</v>
      </c>
      <c r="AC1593" s="42">
        <f>IFERROR(LOOKUP(M1593,打分卡!$F$7:$J$7,打分卡!$K$7:$O$7),1)</f>
        <v>1</v>
      </c>
      <c r="AD1593" s="42">
        <f>IFERROR(LOOKUP(S1593,打分卡!$F$8:$J$8,打分卡!$K$8:$O$8),1)</f>
        <v>1</v>
      </c>
      <c r="AE1593" s="42">
        <f>IFERROR(LOOKUP(T1593,打分卡!$F$9:$I$9,打分卡!$K$9:$N$9),1)</f>
        <v>1</v>
      </c>
      <c r="AF1593" s="42">
        <f>IFERROR(LOOKUP(Q1593,打分卡!$F$10:$J$10,打分卡!$K$10:$O$10),1)</f>
        <v>1</v>
      </c>
      <c r="AG1593" s="42">
        <f>IFERROR(LOOKUP(R1593,打分卡!$F$11:$J$11,打分卡!$K$11:$O$11),1)</f>
        <v>1</v>
      </c>
      <c r="AH1593" s="42">
        <f>IFERROR(LOOKUP(U1593,打分卡!$F$12:$J$12,打分卡!$K$12:$O$12),1)</f>
        <v>3</v>
      </c>
      <c r="AI1593" s="42">
        <f>IFERROR(LOOKUP(X1593,打分卡!$F$13:$J$13,打分卡!$K$13:$O$13),1)</f>
        <v>2</v>
      </c>
      <c r="AJ1593" s="42">
        <f>IFERROR(LOOKUP(Y1593,打分卡!$F$14:$J$14,打分卡!$K$14:$O$14),1)</f>
        <v>2</v>
      </c>
      <c r="AK1593" s="42">
        <f>IFERROR(LOOKUP(W1593,打分卡!$F$15:$J$15,打分卡!$K$15:$O$15),1)</f>
        <v>2</v>
      </c>
      <c r="AL1593" s="45">
        <f t="shared" si="193"/>
        <v>1</v>
      </c>
      <c r="AM1593" s="42">
        <f>IFERROR(LOOKUP(Z1593,打分卡!$F$17:$H$17,打分卡!$K$17:$M$17),1)</f>
        <v>1</v>
      </c>
      <c r="AN1593" s="46">
        <f>(打分卡!$D$7*AC1593+打分卡!$D$8*AD1593+打分卡!$D$9*AE1593)/5</f>
        <v>8</v>
      </c>
      <c r="AO1593" s="46">
        <f>(打分卡!$D$10*AF1593+打分卡!$D$11*AG1593)/5</f>
        <v>4</v>
      </c>
      <c r="AP1593" s="46">
        <f>(打分卡!$D$12*AH1593+打分卡!$D$13*AI1593+打分卡!$D$14*AJ1593+打分卡!$D$15*AK1593)/5</f>
        <v>14.4</v>
      </c>
      <c r="AQ1593" s="46">
        <f>(打分卡!$D$16*AL1593+打分卡!$D$17*AM1593)/5</f>
        <v>2</v>
      </c>
      <c r="AR1593" s="48">
        <f t="shared" si="194"/>
        <v>28.4</v>
      </c>
      <c r="AS1593" s="45" t="str">
        <f t="shared" si="195"/>
        <v>未激活</v>
      </c>
      <c r="AT1593" s="45" t="str">
        <f t="shared" si="196"/>
        <v>连续下降-预警</v>
      </c>
      <c r="AU1593" s="45" t="str">
        <f t="shared" si="197"/>
        <v>唤醒：短信模板+首充补贴</v>
      </c>
    </row>
    <row r="1594" ht="15" customHeight="1" spans="1:47">
      <c r="A1594" s="30" t="s">
        <v>4084</v>
      </c>
      <c r="B1594" s="31" t="s">
        <v>4085</v>
      </c>
      <c r="C1594" s="31" t="s">
        <v>189</v>
      </c>
      <c r="D1594" s="31" t="s">
        <v>190</v>
      </c>
      <c r="E1594" s="31" t="s">
        <v>197</v>
      </c>
      <c r="F1594" s="30" t="s">
        <v>4086</v>
      </c>
      <c r="G1594" s="31">
        <v>32</v>
      </c>
      <c r="H1594" s="31" t="s">
        <v>3535</v>
      </c>
      <c r="I1594" s="31" t="s">
        <v>302</v>
      </c>
      <c r="J1594" s="33">
        <v>0</v>
      </c>
      <c r="K1594" s="33">
        <v>0</v>
      </c>
      <c r="L1594" s="33">
        <v>0</v>
      </c>
      <c r="M1594" s="33">
        <f t="shared" si="192"/>
        <v>0</v>
      </c>
      <c r="N1594" s="34">
        <f t="shared" si="198"/>
        <v>0</v>
      </c>
      <c r="O1594" s="35">
        <f>SUM($M$2:M1594)</f>
        <v>190743600</v>
      </c>
      <c r="P1594" s="34">
        <f t="shared" si="199"/>
        <v>1</v>
      </c>
      <c r="Q1594" s="37">
        <v>0</v>
      </c>
      <c r="R1594" s="31">
        <v>0</v>
      </c>
      <c r="S1594" s="31">
        <v>0</v>
      </c>
      <c r="T1594" s="31">
        <v>0</v>
      </c>
      <c r="U1594" s="37">
        <v>3.1</v>
      </c>
      <c r="V1594" s="31">
        <v>13</v>
      </c>
      <c r="W1594" s="31">
        <v>1</v>
      </c>
      <c r="X1594" s="38">
        <v>14</v>
      </c>
      <c r="Y1594" s="31">
        <v>0</v>
      </c>
      <c r="Z1594" s="31">
        <v>0</v>
      </c>
      <c r="AA1594" s="31" t="s">
        <v>212</v>
      </c>
      <c r="AB1594" s="31" t="s">
        <v>220</v>
      </c>
      <c r="AC1594" s="41">
        <f>IFERROR(LOOKUP(M1594,打分卡!$F$7:$J$7,打分卡!$K$7:$O$7),1)</f>
        <v>1</v>
      </c>
      <c r="AD1594" s="41">
        <f>IFERROR(LOOKUP(S1594,打分卡!$F$8:$J$8,打分卡!$K$8:$O$8),1)</f>
        <v>1</v>
      </c>
      <c r="AE1594" s="41">
        <f>IFERROR(LOOKUP(T1594,打分卡!$F$9:$I$9,打分卡!$K$9:$N$9),1)</f>
        <v>1</v>
      </c>
      <c r="AF1594" s="41">
        <f>IFERROR(LOOKUP(Q1594,打分卡!$F$10:$J$10,打分卡!$K$10:$O$10),1)</f>
        <v>1</v>
      </c>
      <c r="AG1594" s="41">
        <f>IFERROR(LOOKUP(R1594,打分卡!$F$11:$J$11,打分卡!$K$11:$O$11),1)</f>
        <v>1</v>
      </c>
      <c r="AH1594" s="41">
        <f>IFERROR(LOOKUP(U1594,打分卡!$F$12:$J$12,打分卡!$K$12:$O$12),1)</f>
        <v>2</v>
      </c>
      <c r="AI1594" s="41">
        <f>IFERROR(LOOKUP(X1594,打分卡!$F$13:$J$13,打分卡!$K$13:$O$13),1)</f>
        <v>1</v>
      </c>
      <c r="AJ1594" s="41">
        <f>IFERROR(LOOKUP(Y1594,打分卡!$F$14:$J$14,打分卡!$K$14:$O$14),1)</f>
        <v>1</v>
      </c>
      <c r="AK1594" s="41">
        <f>IFERROR(LOOKUP(W1594,打分卡!$F$15:$J$15,打分卡!$K$15:$O$15),1)</f>
        <v>2</v>
      </c>
      <c r="AL1594" s="43">
        <f t="shared" si="193"/>
        <v>1</v>
      </c>
      <c r="AM1594" s="41">
        <f>IFERROR(LOOKUP(Z1594,打分卡!$F$17:$H$17,打分卡!$K$17:$M$17),1)</f>
        <v>1</v>
      </c>
      <c r="AN1594" s="44">
        <f>(打分卡!$D$7*AC1594+打分卡!$D$8*AD1594+打分卡!$D$9*AE1594)/5</f>
        <v>8</v>
      </c>
      <c r="AO1594" s="44">
        <f>(打分卡!$D$10*AF1594+打分卡!$D$11*AG1594)/5</f>
        <v>4</v>
      </c>
      <c r="AP1594" s="44">
        <f>(打分卡!$D$12*AH1594+打分卡!$D$13*AI1594+打分卡!$D$14*AJ1594+打分卡!$D$15*AK1594)/5</f>
        <v>9.2</v>
      </c>
      <c r="AQ1594" s="44">
        <f>(打分卡!$D$16*AL1594+打分卡!$D$17*AM1594)/5</f>
        <v>2</v>
      </c>
      <c r="AR1594" s="47">
        <f t="shared" si="194"/>
        <v>23.2</v>
      </c>
      <c r="AS1594" s="43" t="str">
        <f t="shared" si="195"/>
        <v>未激活</v>
      </c>
      <c r="AT1594" s="43" t="str">
        <f t="shared" si="196"/>
        <v>连续下降-预警</v>
      </c>
      <c r="AU1594" s="43" t="str">
        <f t="shared" si="197"/>
        <v>唤醒：短信模板+首充补贴</v>
      </c>
    </row>
    <row r="1595" ht="15" customHeight="1" spans="1:47">
      <c r="A1595" s="20" t="s">
        <v>4087</v>
      </c>
      <c r="B1595" s="22" t="s">
        <v>4088</v>
      </c>
      <c r="C1595" s="22" t="s">
        <v>239</v>
      </c>
      <c r="D1595" s="22" t="s">
        <v>196</v>
      </c>
      <c r="E1595" s="22" t="s">
        <v>181</v>
      </c>
      <c r="F1595" s="20" t="s">
        <v>522</v>
      </c>
      <c r="G1595" s="22">
        <v>21</v>
      </c>
      <c r="H1595" s="22" t="s">
        <v>3535</v>
      </c>
      <c r="I1595" s="22" t="s">
        <v>302</v>
      </c>
      <c r="J1595" s="36">
        <v>0</v>
      </c>
      <c r="K1595" s="36">
        <v>0</v>
      </c>
      <c r="L1595" s="36">
        <v>0</v>
      </c>
      <c r="M1595" s="36">
        <f t="shared" si="192"/>
        <v>0</v>
      </c>
      <c r="N1595" s="34">
        <f t="shared" si="198"/>
        <v>0</v>
      </c>
      <c r="O1595" s="35">
        <f>SUM($M$2:M1595)</f>
        <v>190743600</v>
      </c>
      <c r="P1595" s="34">
        <f t="shared" si="199"/>
        <v>1</v>
      </c>
      <c r="Q1595" s="39">
        <v>0</v>
      </c>
      <c r="R1595" s="22">
        <v>0</v>
      </c>
      <c r="S1595" s="22">
        <v>0</v>
      </c>
      <c r="T1595" s="22">
        <v>0</v>
      </c>
      <c r="U1595" s="39">
        <v>12.4</v>
      </c>
      <c r="V1595" s="22">
        <v>13</v>
      </c>
      <c r="W1595" s="22">
        <v>2</v>
      </c>
      <c r="X1595" s="40">
        <v>10</v>
      </c>
      <c r="Y1595" s="22">
        <v>1</v>
      </c>
      <c r="Z1595" s="22">
        <v>0</v>
      </c>
      <c r="AA1595" s="22" t="s">
        <v>212</v>
      </c>
      <c r="AB1595" s="22" t="s">
        <v>220</v>
      </c>
      <c r="AC1595" s="42">
        <f>IFERROR(LOOKUP(M1595,打分卡!$F$7:$J$7,打分卡!$K$7:$O$7),1)</f>
        <v>1</v>
      </c>
      <c r="AD1595" s="42">
        <f>IFERROR(LOOKUP(S1595,打分卡!$F$8:$J$8,打分卡!$K$8:$O$8),1)</f>
        <v>1</v>
      </c>
      <c r="AE1595" s="42">
        <f>IFERROR(LOOKUP(T1595,打分卡!$F$9:$I$9,打分卡!$K$9:$N$9),1)</f>
        <v>1</v>
      </c>
      <c r="AF1595" s="42">
        <f>IFERROR(LOOKUP(Q1595,打分卡!$F$10:$J$10,打分卡!$K$10:$O$10),1)</f>
        <v>1</v>
      </c>
      <c r="AG1595" s="42">
        <f>IFERROR(LOOKUP(R1595,打分卡!$F$11:$J$11,打分卡!$K$11:$O$11),1)</f>
        <v>1</v>
      </c>
      <c r="AH1595" s="42">
        <f>IFERROR(LOOKUP(U1595,打分卡!$F$12:$J$12,打分卡!$K$12:$O$12),1)</f>
        <v>3</v>
      </c>
      <c r="AI1595" s="42">
        <f>IFERROR(LOOKUP(X1595,打分卡!$F$13:$J$13,打分卡!$K$13:$O$13),1)</f>
        <v>1</v>
      </c>
      <c r="AJ1595" s="42">
        <f>IFERROR(LOOKUP(Y1595,打分卡!$F$14:$J$14,打分卡!$K$14:$O$14),1)</f>
        <v>2</v>
      </c>
      <c r="AK1595" s="42">
        <f>IFERROR(LOOKUP(W1595,打分卡!$F$15:$J$15,打分卡!$K$15:$O$15),1)</f>
        <v>2</v>
      </c>
      <c r="AL1595" s="45">
        <f t="shared" si="193"/>
        <v>1</v>
      </c>
      <c r="AM1595" s="42">
        <f>IFERROR(LOOKUP(Z1595,打分卡!$F$17:$H$17,打分卡!$K$17:$M$17),1)</f>
        <v>1</v>
      </c>
      <c r="AN1595" s="46">
        <f>(打分卡!$D$7*AC1595+打分卡!$D$8*AD1595+打分卡!$D$9*AE1595)/5</f>
        <v>8</v>
      </c>
      <c r="AO1595" s="46">
        <f>(打分卡!$D$10*AF1595+打分卡!$D$11*AG1595)/5</f>
        <v>4</v>
      </c>
      <c r="AP1595" s="46">
        <f>(打分卡!$D$12*AH1595+打分卡!$D$13*AI1595+打分卡!$D$14*AJ1595+打分卡!$D$15*AK1595)/5</f>
        <v>12.8</v>
      </c>
      <c r="AQ1595" s="46">
        <f>(打分卡!$D$16*AL1595+打分卡!$D$17*AM1595)/5</f>
        <v>2</v>
      </c>
      <c r="AR1595" s="48">
        <f t="shared" si="194"/>
        <v>26.8</v>
      </c>
      <c r="AS1595" s="45" t="str">
        <f t="shared" si="195"/>
        <v>未激活</v>
      </c>
      <c r="AT1595" s="45" t="str">
        <f t="shared" si="196"/>
        <v>连续下降-预警</v>
      </c>
      <c r="AU1595" s="45" t="str">
        <f t="shared" si="197"/>
        <v>唤醒：短信模板+首充补贴</v>
      </c>
    </row>
    <row r="1596" ht="15" customHeight="1" spans="1:47">
      <c r="A1596" s="30" t="s">
        <v>4089</v>
      </c>
      <c r="B1596" s="31" t="s">
        <v>4090</v>
      </c>
      <c r="C1596" s="31" t="s">
        <v>218</v>
      </c>
      <c r="D1596" s="31" t="s">
        <v>202</v>
      </c>
      <c r="E1596" s="31" t="s">
        <v>197</v>
      </c>
      <c r="F1596" s="30" t="s">
        <v>1016</v>
      </c>
      <c r="G1596" s="31">
        <v>19</v>
      </c>
      <c r="H1596" s="31" t="s">
        <v>3535</v>
      </c>
      <c r="I1596" s="31" t="s">
        <v>302</v>
      </c>
      <c r="J1596" s="33">
        <v>0</v>
      </c>
      <c r="K1596" s="33">
        <v>0</v>
      </c>
      <c r="L1596" s="33">
        <v>0</v>
      </c>
      <c r="M1596" s="33">
        <f t="shared" si="192"/>
        <v>0</v>
      </c>
      <c r="N1596" s="34">
        <f t="shared" si="198"/>
        <v>0</v>
      </c>
      <c r="O1596" s="35">
        <f>SUM($M$2:M1596)</f>
        <v>190743600</v>
      </c>
      <c r="P1596" s="34">
        <f t="shared" si="199"/>
        <v>1</v>
      </c>
      <c r="Q1596" s="37">
        <v>0</v>
      </c>
      <c r="R1596" s="31">
        <v>0</v>
      </c>
      <c r="S1596" s="31">
        <v>0</v>
      </c>
      <c r="T1596" s="31">
        <v>0</v>
      </c>
      <c r="U1596" s="37">
        <v>3.7</v>
      </c>
      <c r="V1596" s="31">
        <v>12</v>
      </c>
      <c r="W1596" s="31">
        <v>2</v>
      </c>
      <c r="X1596" s="38">
        <v>17</v>
      </c>
      <c r="Y1596" s="31">
        <v>1</v>
      </c>
      <c r="Z1596" s="31">
        <v>0</v>
      </c>
      <c r="AA1596" s="31" t="s">
        <v>212</v>
      </c>
      <c r="AB1596" s="31" t="s">
        <v>220</v>
      </c>
      <c r="AC1596" s="41">
        <f>IFERROR(LOOKUP(M1596,打分卡!$F$7:$J$7,打分卡!$K$7:$O$7),1)</f>
        <v>1</v>
      </c>
      <c r="AD1596" s="41">
        <f>IFERROR(LOOKUP(S1596,打分卡!$F$8:$J$8,打分卡!$K$8:$O$8),1)</f>
        <v>1</v>
      </c>
      <c r="AE1596" s="41">
        <f>IFERROR(LOOKUP(T1596,打分卡!$F$9:$I$9,打分卡!$K$9:$N$9),1)</f>
        <v>1</v>
      </c>
      <c r="AF1596" s="41">
        <f>IFERROR(LOOKUP(Q1596,打分卡!$F$10:$J$10,打分卡!$K$10:$O$10),1)</f>
        <v>1</v>
      </c>
      <c r="AG1596" s="41">
        <f>IFERROR(LOOKUP(R1596,打分卡!$F$11:$J$11,打分卡!$K$11:$O$11),1)</f>
        <v>1</v>
      </c>
      <c r="AH1596" s="41">
        <f>IFERROR(LOOKUP(U1596,打分卡!$F$12:$J$12,打分卡!$K$12:$O$12),1)</f>
        <v>2</v>
      </c>
      <c r="AI1596" s="41">
        <f>IFERROR(LOOKUP(X1596,打分卡!$F$13:$J$13,打分卡!$K$13:$O$13),1)</f>
        <v>1</v>
      </c>
      <c r="AJ1596" s="41">
        <f>IFERROR(LOOKUP(Y1596,打分卡!$F$14:$J$14,打分卡!$K$14:$O$14),1)</f>
        <v>2</v>
      </c>
      <c r="AK1596" s="41">
        <f>IFERROR(LOOKUP(W1596,打分卡!$F$15:$J$15,打分卡!$K$15:$O$15),1)</f>
        <v>2</v>
      </c>
      <c r="AL1596" s="43">
        <f t="shared" si="193"/>
        <v>1</v>
      </c>
      <c r="AM1596" s="41">
        <f>IFERROR(LOOKUP(Z1596,打分卡!$F$17:$H$17,打分卡!$K$17:$M$17),1)</f>
        <v>1</v>
      </c>
      <c r="AN1596" s="44">
        <f>(打分卡!$D$7*AC1596+打分卡!$D$8*AD1596+打分卡!$D$9*AE1596)/5</f>
        <v>8</v>
      </c>
      <c r="AO1596" s="44">
        <f>(打分卡!$D$10*AF1596+打分卡!$D$11*AG1596)/5</f>
        <v>4</v>
      </c>
      <c r="AP1596" s="44">
        <f>(打分卡!$D$12*AH1596+打分卡!$D$13*AI1596+打分卡!$D$14*AJ1596+打分卡!$D$15*AK1596)/5</f>
        <v>10.4</v>
      </c>
      <c r="AQ1596" s="44">
        <f>(打分卡!$D$16*AL1596+打分卡!$D$17*AM1596)/5</f>
        <v>2</v>
      </c>
      <c r="AR1596" s="47">
        <f t="shared" si="194"/>
        <v>24.4</v>
      </c>
      <c r="AS1596" s="43" t="str">
        <f t="shared" si="195"/>
        <v>未激活</v>
      </c>
      <c r="AT1596" s="43" t="str">
        <f t="shared" si="196"/>
        <v>连续下降-预警</v>
      </c>
      <c r="AU1596" s="43" t="str">
        <f t="shared" si="197"/>
        <v>唤醒：短信模板+首充补贴</v>
      </c>
    </row>
    <row r="1597" ht="15" customHeight="1" spans="1:47">
      <c r="A1597" s="20" t="s">
        <v>4091</v>
      </c>
      <c r="B1597" s="22" t="s">
        <v>4092</v>
      </c>
      <c r="C1597" s="22" t="s">
        <v>189</v>
      </c>
      <c r="D1597" s="22" t="s">
        <v>202</v>
      </c>
      <c r="E1597" s="22" t="s">
        <v>197</v>
      </c>
      <c r="F1597" s="20" t="s">
        <v>1505</v>
      </c>
      <c r="G1597" s="22">
        <v>15</v>
      </c>
      <c r="H1597" s="22" t="s">
        <v>3535</v>
      </c>
      <c r="I1597" s="22" t="s">
        <v>302</v>
      </c>
      <c r="J1597" s="36">
        <v>0</v>
      </c>
      <c r="K1597" s="36">
        <v>0</v>
      </c>
      <c r="L1597" s="36">
        <v>0</v>
      </c>
      <c r="M1597" s="36">
        <f t="shared" si="192"/>
        <v>0</v>
      </c>
      <c r="N1597" s="34">
        <f t="shared" si="198"/>
        <v>0</v>
      </c>
      <c r="O1597" s="35">
        <f>SUM($M$2:M1597)</f>
        <v>190743600</v>
      </c>
      <c r="P1597" s="34">
        <f t="shared" si="199"/>
        <v>1</v>
      </c>
      <c r="Q1597" s="39">
        <v>0</v>
      </c>
      <c r="R1597" s="22">
        <v>0</v>
      </c>
      <c r="S1597" s="22">
        <v>0</v>
      </c>
      <c r="T1597" s="22">
        <v>0</v>
      </c>
      <c r="U1597" s="39">
        <v>7.4</v>
      </c>
      <c r="V1597" s="22">
        <v>4</v>
      </c>
      <c r="W1597" s="22">
        <v>2</v>
      </c>
      <c r="X1597" s="40">
        <v>20</v>
      </c>
      <c r="Y1597" s="22">
        <v>0</v>
      </c>
      <c r="Z1597" s="22">
        <v>0</v>
      </c>
      <c r="AA1597" s="22" t="s">
        <v>212</v>
      </c>
      <c r="AB1597" s="22" t="s">
        <v>220</v>
      </c>
      <c r="AC1597" s="42">
        <f>IFERROR(LOOKUP(M1597,打分卡!$F$7:$J$7,打分卡!$K$7:$O$7),1)</f>
        <v>1</v>
      </c>
      <c r="AD1597" s="42">
        <f>IFERROR(LOOKUP(S1597,打分卡!$F$8:$J$8,打分卡!$K$8:$O$8),1)</f>
        <v>1</v>
      </c>
      <c r="AE1597" s="42">
        <f>IFERROR(LOOKUP(T1597,打分卡!$F$9:$I$9,打分卡!$K$9:$N$9),1)</f>
        <v>1</v>
      </c>
      <c r="AF1597" s="42">
        <f>IFERROR(LOOKUP(Q1597,打分卡!$F$10:$J$10,打分卡!$K$10:$O$10),1)</f>
        <v>1</v>
      </c>
      <c r="AG1597" s="42">
        <f>IFERROR(LOOKUP(R1597,打分卡!$F$11:$J$11,打分卡!$K$11:$O$11),1)</f>
        <v>1</v>
      </c>
      <c r="AH1597" s="42">
        <f>IFERROR(LOOKUP(U1597,打分卡!$F$12:$J$12,打分卡!$K$12:$O$12),1)</f>
        <v>2</v>
      </c>
      <c r="AI1597" s="42">
        <f>IFERROR(LOOKUP(X1597,打分卡!$F$13:$J$13,打分卡!$K$13:$O$13),1)</f>
        <v>2</v>
      </c>
      <c r="AJ1597" s="42">
        <f>IFERROR(LOOKUP(Y1597,打分卡!$F$14:$J$14,打分卡!$K$14:$O$14),1)</f>
        <v>1</v>
      </c>
      <c r="AK1597" s="42">
        <f>IFERROR(LOOKUP(W1597,打分卡!$F$15:$J$15,打分卡!$K$15:$O$15),1)</f>
        <v>2</v>
      </c>
      <c r="AL1597" s="45">
        <f t="shared" si="193"/>
        <v>1</v>
      </c>
      <c r="AM1597" s="42">
        <f>IFERROR(LOOKUP(Z1597,打分卡!$F$17:$H$17,打分卡!$K$17:$M$17),1)</f>
        <v>1</v>
      </c>
      <c r="AN1597" s="46">
        <f>(打分卡!$D$7*AC1597+打分卡!$D$8*AD1597+打分卡!$D$9*AE1597)/5</f>
        <v>8</v>
      </c>
      <c r="AO1597" s="46">
        <f>(打分卡!$D$10*AF1597+打分卡!$D$11*AG1597)/5</f>
        <v>4</v>
      </c>
      <c r="AP1597" s="46">
        <f>(打分卡!$D$12*AH1597+打分卡!$D$13*AI1597+打分卡!$D$14*AJ1597+打分卡!$D$15*AK1597)/5</f>
        <v>10.8</v>
      </c>
      <c r="AQ1597" s="46">
        <f>(打分卡!$D$16*AL1597+打分卡!$D$17*AM1597)/5</f>
        <v>2</v>
      </c>
      <c r="AR1597" s="48">
        <f t="shared" si="194"/>
        <v>24.8</v>
      </c>
      <c r="AS1597" s="45" t="str">
        <f t="shared" si="195"/>
        <v>未激活</v>
      </c>
      <c r="AT1597" s="45" t="str">
        <f t="shared" si="196"/>
        <v>连续下降-预警</v>
      </c>
      <c r="AU1597" s="45" t="str">
        <f t="shared" si="197"/>
        <v>唤醒：短信模板+首充补贴</v>
      </c>
    </row>
    <row r="1598" ht="15" customHeight="1" spans="1:47">
      <c r="A1598" s="30" t="s">
        <v>4093</v>
      </c>
      <c r="B1598" s="31" t="s">
        <v>4094</v>
      </c>
      <c r="C1598" s="31" t="s">
        <v>218</v>
      </c>
      <c r="D1598" s="31" t="s">
        <v>202</v>
      </c>
      <c r="E1598" s="31" t="s">
        <v>181</v>
      </c>
      <c r="F1598" s="30" t="s">
        <v>1636</v>
      </c>
      <c r="G1598" s="31">
        <v>17</v>
      </c>
      <c r="H1598" s="31" t="s">
        <v>3535</v>
      </c>
      <c r="I1598" s="31" t="s">
        <v>302</v>
      </c>
      <c r="J1598" s="33">
        <v>0</v>
      </c>
      <c r="K1598" s="33">
        <v>0</v>
      </c>
      <c r="L1598" s="33">
        <v>0</v>
      </c>
      <c r="M1598" s="33">
        <f t="shared" si="192"/>
        <v>0</v>
      </c>
      <c r="N1598" s="34">
        <f t="shared" si="198"/>
        <v>0</v>
      </c>
      <c r="O1598" s="35">
        <f>SUM($M$2:M1598)</f>
        <v>190743600</v>
      </c>
      <c r="P1598" s="34">
        <f t="shared" si="199"/>
        <v>1</v>
      </c>
      <c r="Q1598" s="37">
        <v>0</v>
      </c>
      <c r="R1598" s="31">
        <v>0</v>
      </c>
      <c r="S1598" s="31">
        <v>0</v>
      </c>
      <c r="T1598" s="31">
        <v>0</v>
      </c>
      <c r="U1598" s="37">
        <v>18.8</v>
      </c>
      <c r="V1598" s="31">
        <v>12</v>
      </c>
      <c r="W1598" s="31">
        <v>2</v>
      </c>
      <c r="X1598" s="38">
        <v>75</v>
      </c>
      <c r="Y1598" s="31">
        <v>1</v>
      </c>
      <c r="Z1598" s="31">
        <v>0</v>
      </c>
      <c r="AA1598" s="31" t="s">
        <v>212</v>
      </c>
      <c r="AB1598" s="31" t="s">
        <v>220</v>
      </c>
      <c r="AC1598" s="41">
        <f>IFERROR(LOOKUP(M1598,打分卡!$F$7:$J$7,打分卡!$K$7:$O$7),1)</f>
        <v>1</v>
      </c>
      <c r="AD1598" s="41">
        <f>IFERROR(LOOKUP(S1598,打分卡!$F$8:$J$8,打分卡!$K$8:$O$8),1)</f>
        <v>1</v>
      </c>
      <c r="AE1598" s="41">
        <f>IFERROR(LOOKUP(T1598,打分卡!$F$9:$I$9,打分卡!$K$9:$N$9),1)</f>
        <v>1</v>
      </c>
      <c r="AF1598" s="41">
        <f>IFERROR(LOOKUP(Q1598,打分卡!$F$10:$J$10,打分卡!$K$10:$O$10),1)</f>
        <v>1</v>
      </c>
      <c r="AG1598" s="41">
        <f>IFERROR(LOOKUP(R1598,打分卡!$F$11:$J$11,打分卡!$K$11:$O$11),1)</f>
        <v>1</v>
      </c>
      <c r="AH1598" s="41">
        <f>IFERROR(LOOKUP(U1598,打分卡!$F$12:$J$12,打分卡!$K$12:$O$12),1)</f>
        <v>3</v>
      </c>
      <c r="AI1598" s="41">
        <f>IFERROR(LOOKUP(X1598,打分卡!$F$13:$J$13,打分卡!$K$13:$O$13),1)</f>
        <v>3</v>
      </c>
      <c r="AJ1598" s="41">
        <f>IFERROR(LOOKUP(Y1598,打分卡!$F$14:$J$14,打分卡!$K$14:$O$14),1)</f>
        <v>2</v>
      </c>
      <c r="AK1598" s="41">
        <f>IFERROR(LOOKUP(W1598,打分卡!$F$15:$J$15,打分卡!$K$15:$O$15),1)</f>
        <v>2</v>
      </c>
      <c r="AL1598" s="43">
        <f t="shared" si="193"/>
        <v>1</v>
      </c>
      <c r="AM1598" s="41">
        <f>IFERROR(LOOKUP(Z1598,打分卡!$F$17:$H$17,打分卡!$K$17:$M$17),1)</f>
        <v>1</v>
      </c>
      <c r="AN1598" s="44">
        <f>(打分卡!$D$7*AC1598+打分卡!$D$8*AD1598+打分卡!$D$9*AE1598)/5</f>
        <v>8</v>
      </c>
      <c r="AO1598" s="44">
        <f>(打分卡!$D$10*AF1598+打分卡!$D$11*AG1598)/5</f>
        <v>4</v>
      </c>
      <c r="AP1598" s="44">
        <f>(打分卡!$D$12*AH1598+打分卡!$D$13*AI1598+打分卡!$D$14*AJ1598+打分卡!$D$15*AK1598)/5</f>
        <v>16</v>
      </c>
      <c r="AQ1598" s="44">
        <f>(打分卡!$D$16*AL1598+打分卡!$D$17*AM1598)/5</f>
        <v>2</v>
      </c>
      <c r="AR1598" s="47">
        <f t="shared" si="194"/>
        <v>30</v>
      </c>
      <c r="AS1598" s="43" t="str">
        <f t="shared" si="195"/>
        <v>未激活</v>
      </c>
      <c r="AT1598" s="43" t="str">
        <f t="shared" si="196"/>
        <v>连续下降-预警</v>
      </c>
      <c r="AU1598" s="43" t="str">
        <f t="shared" si="197"/>
        <v>唤醒：短信模板+首充补贴</v>
      </c>
    </row>
    <row r="1599" ht="15" customHeight="1" spans="1:47">
      <c r="A1599" s="20" t="s">
        <v>4095</v>
      </c>
      <c r="B1599" s="22" t="s">
        <v>4096</v>
      </c>
      <c r="C1599" s="22" t="s">
        <v>239</v>
      </c>
      <c r="D1599" s="22" t="s">
        <v>202</v>
      </c>
      <c r="E1599" s="22" t="s">
        <v>181</v>
      </c>
      <c r="F1599" s="20" t="s">
        <v>4077</v>
      </c>
      <c r="G1599" s="22">
        <v>35</v>
      </c>
      <c r="H1599" s="22" t="s">
        <v>3535</v>
      </c>
      <c r="I1599" s="22" t="s">
        <v>302</v>
      </c>
      <c r="J1599" s="36">
        <v>0</v>
      </c>
      <c r="K1599" s="36">
        <v>0</v>
      </c>
      <c r="L1599" s="36">
        <v>0</v>
      </c>
      <c r="M1599" s="36">
        <f t="shared" si="192"/>
        <v>0</v>
      </c>
      <c r="N1599" s="34">
        <f t="shared" si="198"/>
        <v>0</v>
      </c>
      <c r="O1599" s="35">
        <f>SUM($M$2:M1599)</f>
        <v>190743600</v>
      </c>
      <c r="P1599" s="34">
        <f t="shared" si="199"/>
        <v>1</v>
      </c>
      <c r="Q1599" s="39">
        <v>0</v>
      </c>
      <c r="R1599" s="22">
        <v>0</v>
      </c>
      <c r="S1599" s="22">
        <v>0</v>
      </c>
      <c r="T1599" s="22">
        <v>0</v>
      </c>
      <c r="U1599" s="39">
        <v>13.9</v>
      </c>
      <c r="V1599" s="22">
        <v>13</v>
      </c>
      <c r="W1599" s="22">
        <v>1</v>
      </c>
      <c r="X1599" s="40">
        <v>26</v>
      </c>
      <c r="Y1599" s="22">
        <v>0</v>
      </c>
      <c r="Z1599" s="22">
        <v>0</v>
      </c>
      <c r="AA1599" s="22" t="s">
        <v>212</v>
      </c>
      <c r="AB1599" s="22" t="s">
        <v>220</v>
      </c>
      <c r="AC1599" s="42">
        <f>IFERROR(LOOKUP(M1599,打分卡!$F$7:$J$7,打分卡!$K$7:$O$7),1)</f>
        <v>1</v>
      </c>
      <c r="AD1599" s="42">
        <f>IFERROR(LOOKUP(S1599,打分卡!$F$8:$J$8,打分卡!$K$8:$O$8),1)</f>
        <v>1</v>
      </c>
      <c r="AE1599" s="42">
        <f>IFERROR(LOOKUP(T1599,打分卡!$F$9:$I$9,打分卡!$K$9:$N$9),1)</f>
        <v>1</v>
      </c>
      <c r="AF1599" s="42">
        <f>IFERROR(LOOKUP(Q1599,打分卡!$F$10:$J$10,打分卡!$K$10:$O$10),1)</f>
        <v>1</v>
      </c>
      <c r="AG1599" s="42">
        <f>IFERROR(LOOKUP(R1599,打分卡!$F$11:$J$11,打分卡!$K$11:$O$11),1)</f>
        <v>1</v>
      </c>
      <c r="AH1599" s="42">
        <f>IFERROR(LOOKUP(U1599,打分卡!$F$12:$J$12,打分卡!$K$12:$O$12),1)</f>
        <v>3</v>
      </c>
      <c r="AI1599" s="42">
        <f>IFERROR(LOOKUP(X1599,打分卡!$F$13:$J$13,打分卡!$K$13:$O$13),1)</f>
        <v>2</v>
      </c>
      <c r="AJ1599" s="42">
        <f>IFERROR(LOOKUP(Y1599,打分卡!$F$14:$J$14,打分卡!$K$14:$O$14),1)</f>
        <v>1</v>
      </c>
      <c r="AK1599" s="42">
        <f>IFERROR(LOOKUP(W1599,打分卡!$F$15:$J$15,打分卡!$K$15:$O$15),1)</f>
        <v>2</v>
      </c>
      <c r="AL1599" s="45">
        <f t="shared" si="193"/>
        <v>1</v>
      </c>
      <c r="AM1599" s="42">
        <f>IFERROR(LOOKUP(Z1599,打分卡!$F$17:$H$17,打分卡!$K$17:$M$17),1)</f>
        <v>1</v>
      </c>
      <c r="AN1599" s="46">
        <f>(打分卡!$D$7*AC1599+打分卡!$D$8*AD1599+打分卡!$D$9*AE1599)/5</f>
        <v>8</v>
      </c>
      <c r="AO1599" s="46">
        <f>(打分卡!$D$10*AF1599+打分卡!$D$11*AG1599)/5</f>
        <v>4</v>
      </c>
      <c r="AP1599" s="46">
        <f>(打分卡!$D$12*AH1599+打分卡!$D$13*AI1599+打分卡!$D$14*AJ1599+打分卡!$D$15*AK1599)/5</f>
        <v>13.2</v>
      </c>
      <c r="AQ1599" s="46">
        <f>(打分卡!$D$16*AL1599+打分卡!$D$17*AM1599)/5</f>
        <v>2</v>
      </c>
      <c r="AR1599" s="48">
        <f t="shared" si="194"/>
        <v>27.2</v>
      </c>
      <c r="AS1599" s="45" t="str">
        <f t="shared" si="195"/>
        <v>未激活</v>
      </c>
      <c r="AT1599" s="45" t="str">
        <f t="shared" si="196"/>
        <v>连续下降-预警</v>
      </c>
      <c r="AU1599" s="45" t="str">
        <f t="shared" si="197"/>
        <v>唤醒：短信模板+首充补贴</v>
      </c>
    </row>
    <row r="1600" ht="15" customHeight="1" spans="1:47">
      <c r="A1600" s="30" t="s">
        <v>4097</v>
      </c>
      <c r="B1600" s="31" t="s">
        <v>4098</v>
      </c>
      <c r="C1600" s="31" t="s">
        <v>239</v>
      </c>
      <c r="D1600" s="31" t="s">
        <v>196</v>
      </c>
      <c r="E1600" s="31" t="s">
        <v>181</v>
      </c>
      <c r="F1600" s="30" t="s">
        <v>4099</v>
      </c>
      <c r="G1600" s="31">
        <v>31</v>
      </c>
      <c r="H1600" s="31" t="s">
        <v>3535</v>
      </c>
      <c r="I1600" s="31" t="s">
        <v>302</v>
      </c>
      <c r="J1600" s="33">
        <v>0</v>
      </c>
      <c r="K1600" s="33">
        <v>0</v>
      </c>
      <c r="L1600" s="33">
        <v>0</v>
      </c>
      <c r="M1600" s="33">
        <f t="shared" si="192"/>
        <v>0</v>
      </c>
      <c r="N1600" s="34">
        <f t="shared" si="198"/>
        <v>0</v>
      </c>
      <c r="O1600" s="35">
        <f>SUM($M$2:M1600)</f>
        <v>190743600</v>
      </c>
      <c r="P1600" s="34">
        <f t="shared" si="199"/>
        <v>1</v>
      </c>
      <c r="Q1600" s="37">
        <v>0</v>
      </c>
      <c r="R1600" s="31">
        <v>0</v>
      </c>
      <c r="S1600" s="31">
        <v>0</v>
      </c>
      <c r="T1600" s="31">
        <v>0</v>
      </c>
      <c r="U1600" s="37">
        <v>0.9</v>
      </c>
      <c r="V1600" s="31">
        <v>0</v>
      </c>
      <c r="W1600" s="31">
        <v>1</v>
      </c>
      <c r="X1600" s="38">
        <v>12</v>
      </c>
      <c r="Y1600" s="31">
        <v>1</v>
      </c>
      <c r="Z1600" s="31">
        <v>0</v>
      </c>
      <c r="AA1600" s="31" t="s">
        <v>212</v>
      </c>
      <c r="AB1600" s="31" t="s">
        <v>220</v>
      </c>
      <c r="AC1600" s="41">
        <f>IFERROR(LOOKUP(M1600,打分卡!$F$7:$J$7,打分卡!$K$7:$O$7),1)</f>
        <v>1</v>
      </c>
      <c r="AD1600" s="41">
        <f>IFERROR(LOOKUP(S1600,打分卡!$F$8:$J$8,打分卡!$K$8:$O$8),1)</f>
        <v>1</v>
      </c>
      <c r="AE1600" s="41">
        <f>IFERROR(LOOKUP(T1600,打分卡!$F$9:$I$9,打分卡!$K$9:$N$9),1)</f>
        <v>1</v>
      </c>
      <c r="AF1600" s="41">
        <f>IFERROR(LOOKUP(Q1600,打分卡!$F$10:$J$10,打分卡!$K$10:$O$10),1)</f>
        <v>1</v>
      </c>
      <c r="AG1600" s="41">
        <f>IFERROR(LOOKUP(R1600,打分卡!$F$11:$J$11,打分卡!$K$11:$O$11),1)</f>
        <v>1</v>
      </c>
      <c r="AH1600" s="41">
        <f>IFERROR(LOOKUP(U1600,打分卡!$F$12:$J$12,打分卡!$K$12:$O$12),1)</f>
        <v>1</v>
      </c>
      <c r="AI1600" s="41">
        <f>IFERROR(LOOKUP(X1600,打分卡!$F$13:$J$13,打分卡!$K$13:$O$13),1)</f>
        <v>1</v>
      </c>
      <c r="AJ1600" s="41">
        <f>IFERROR(LOOKUP(Y1600,打分卡!$F$14:$J$14,打分卡!$K$14:$O$14),1)</f>
        <v>2</v>
      </c>
      <c r="AK1600" s="41">
        <f>IFERROR(LOOKUP(W1600,打分卡!$F$15:$J$15,打分卡!$K$15:$O$15),1)</f>
        <v>2</v>
      </c>
      <c r="AL1600" s="43">
        <f t="shared" si="193"/>
        <v>1</v>
      </c>
      <c r="AM1600" s="41">
        <f>IFERROR(LOOKUP(Z1600,打分卡!$F$17:$H$17,打分卡!$K$17:$M$17),1)</f>
        <v>1</v>
      </c>
      <c r="AN1600" s="44">
        <f>(打分卡!$D$7*AC1600+打分卡!$D$8*AD1600+打分卡!$D$9*AE1600)/5</f>
        <v>8</v>
      </c>
      <c r="AO1600" s="44">
        <f>(打分卡!$D$10*AF1600+打分卡!$D$11*AG1600)/5</f>
        <v>4</v>
      </c>
      <c r="AP1600" s="44">
        <f>(打分卡!$D$12*AH1600+打分卡!$D$13*AI1600+打分卡!$D$14*AJ1600+打分卡!$D$15*AK1600)/5</f>
        <v>8</v>
      </c>
      <c r="AQ1600" s="44">
        <f>(打分卡!$D$16*AL1600+打分卡!$D$17*AM1600)/5</f>
        <v>2</v>
      </c>
      <c r="AR1600" s="47">
        <f t="shared" si="194"/>
        <v>22</v>
      </c>
      <c r="AS1600" s="43" t="str">
        <f t="shared" si="195"/>
        <v>未激活</v>
      </c>
      <c r="AT1600" s="43" t="str">
        <f t="shared" si="196"/>
        <v>连续下降-预警</v>
      </c>
      <c r="AU1600" s="43" t="str">
        <f t="shared" si="197"/>
        <v>唤醒：短信模板+首充补贴</v>
      </c>
    </row>
    <row r="1601" ht="15" customHeight="1" spans="1:47">
      <c r="A1601" s="20" t="s">
        <v>4100</v>
      </c>
      <c r="B1601" s="22" t="s">
        <v>4101</v>
      </c>
      <c r="C1601" s="22" t="s">
        <v>179</v>
      </c>
      <c r="D1601" s="22" t="s">
        <v>190</v>
      </c>
      <c r="E1601" s="22" t="s">
        <v>181</v>
      </c>
      <c r="F1601" s="20" t="s">
        <v>4102</v>
      </c>
      <c r="G1601" s="22">
        <v>33</v>
      </c>
      <c r="H1601" s="22" t="s">
        <v>3535</v>
      </c>
      <c r="I1601" s="22" t="s">
        <v>302</v>
      </c>
      <c r="J1601" s="36">
        <v>0</v>
      </c>
      <c r="K1601" s="36">
        <v>0</v>
      </c>
      <c r="L1601" s="36">
        <v>0</v>
      </c>
      <c r="M1601" s="36">
        <f t="shared" si="192"/>
        <v>0</v>
      </c>
      <c r="N1601" s="34">
        <f t="shared" si="198"/>
        <v>0</v>
      </c>
      <c r="O1601" s="35">
        <f>SUM($M$2:M1601)</f>
        <v>190743600</v>
      </c>
      <c r="P1601" s="34">
        <f t="shared" si="199"/>
        <v>1</v>
      </c>
      <c r="Q1601" s="39">
        <v>0</v>
      </c>
      <c r="R1601" s="22">
        <v>0</v>
      </c>
      <c r="S1601" s="22">
        <v>0</v>
      </c>
      <c r="T1601" s="22">
        <v>0</v>
      </c>
      <c r="U1601" s="39">
        <v>4.6</v>
      </c>
      <c r="V1601" s="22">
        <v>8</v>
      </c>
      <c r="W1601" s="22">
        <v>0</v>
      </c>
      <c r="X1601" s="40">
        <v>10</v>
      </c>
      <c r="Y1601" s="22">
        <v>0</v>
      </c>
      <c r="Z1601" s="22">
        <v>0</v>
      </c>
      <c r="AA1601" s="22" t="s">
        <v>212</v>
      </c>
      <c r="AB1601" s="22" t="s">
        <v>220</v>
      </c>
      <c r="AC1601" s="42">
        <f>IFERROR(LOOKUP(M1601,打分卡!$F$7:$J$7,打分卡!$K$7:$O$7),1)</f>
        <v>1</v>
      </c>
      <c r="AD1601" s="42">
        <f>IFERROR(LOOKUP(S1601,打分卡!$F$8:$J$8,打分卡!$K$8:$O$8),1)</f>
        <v>1</v>
      </c>
      <c r="AE1601" s="42">
        <f>IFERROR(LOOKUP(T1601,打分卡!$F$9:$I$9,打分卡!$K$9:$N$9),1)</f>
        <v>1</v>
      </c>
      <c r="AF1601" s="42">
        <f>IFERROR(LOOKUP(Q1601,打分卡!$F$10:$J$10,打分卡!$K$10:$O$10),1)</f>
        <v>1</v>
      </c>
      <c r="AG1601" s="42">
        <f>IFERROR(LOOKUP(R1601,打分卡!$F$11:$J$11,打分卡!$K$11:$O$11),1)</f>
        <v>1</v>
      </c>
      <c r="AH1601" s="42">
        <f>IFERROR(LOOKUP(U1601,打分卡!$F$12:$J$12,打分卡!$K$12:$O$12),1)</f>
        <v>2</v>
      </c>
      <c r="AI1601" s="42">
        <f>IFERROR(LOOKUP(X1601,打分卡!$F$13:$J$13,打分卡!$K$13:$O$13),1)</f>
        <v>1</v>
      </c>
      <c r="AJ1601" s="42">
        <f>IFERROR(LOOKUP(Y1601,打分卡!$F$14:$J$14,打分卡!$K$14:$O$14),1)</f>
        <v>1</v>
      </c>
      <c r="AK1601" s="42">
        <f>IFERROR(LOOKUP(W1601,打分卡!$F$15:$J$15,打分卡!$K$15:$O$15),1)</f>
        <v>1</v>
      </c>
      <c r="AL1601" s="45">
        <f t="shared" si="193"/>
        <v>1</v>
      </c>
      <c r="AM1601" s="42">
        <f>IFERROR(LOOKUP(Z1601,打分卡!$F$17:$H$17,打分卡!$K$17:$M$17),1)</f>
        <v>1</v>
      </c>
      <c r="AN1601" s="46">
        <f>(打分卡!$D$7*AC1601+打分卡!$D$8*AD1601+打分卡!$D$9*AE1601)/5</f>
        <v>8</v>
      </c>
      <c r="AO1601" s="46">
        <f>(打分卡!$D$10*AF1601+打分卡!$D$11*AG1601)/5</f>
        <v>4</v>
      </c>
      <c r="AP1601" s="46">
        <f>(打分卡!$D$12*AH1601+打分卡!$D$13*AI1601+打分卡!$D$14*AJ1601+打分卡!$D$15*AK1601)/5</f>
        <v>8.4</v>
      </c>
      <c r="AQ1601" s="46">
        <f>(打分卡!$D$16*AL1601+打分卡!$D$17*AM1601)/5</f>
        <v>2</v>
      </c>
      <c r="AR1601" s="48">
        <f t="shared" si="194"/>
        <v>22.4</v>
      </c>
      <c r="AS1601" s="45" t="str">
        <f t="shared" si="195"/>
        <v>未激活</v>
      </c>
      <c r="AT1601" s="45" t="str">
        <f t="shared" si="196"/>
        <v>连续下降-预警</v>
      </c>
      <c r="AU1601" s="45" t="str">
        <f t="shared" si="197"/>
        <v>唤醒：短信模板+首充补贴</v>
      </c>
    </row>
    <row r="1602" ht="15" customHeight="1" spans="1:47">
      <c r="A1602" s="30" t="s">
        <v>4103</v>
      </c>
      <c r="B1602" s="31" t="s">
        <v>4104</v>
      </c>
      <c r="C1602" s="31" t="s">
        <v>209</v>
      </c>
      <c r="D1602" s="31" t="s">
        <v>227</v>
      </c>
      <c r="E1602" s="31" t="s">
        <v>181</v>
      </c>
      <c r="F1602" s="30" t="s">
        <v>311</v>
      </c>
      <c r="G1602" s="31">
        <v>18</v>
      </c>
      <c r="H1602" s="31" t="s">
        <v>3535</v>
      </c>
      <c r="I1602" s="31" t="s">
        <v>302</v>
      </c>
      <c r="J1602" s="33">
        <v>0</v>
      </c>
      <c r="K1602" s="33">
        <v>0</v>
      </c>
      <c r="L1602" s="33">
        <v>0</v>
      </c>
      <c r="M1602" s="33">
        <f t="shared" ref="M1602:M1665" si="200">SUM(J1602:L1602)</f>
        <v>0</v>
      </c>
      <c r="N1602" s="34">
        <f t="shared" si="198"/>
        <v>0</v>
      </c>
      <c r="O1602" s="35">
        <f>SUM($M$2:M1602)</f>
        <v>190743600</v>
      </c>
      <c r="P1602" s="34">
        <f t="shared" si="199"/>
        <v>1</v>
      </c>
      <c r="Q1602" s="37">
        <v>0</v>
      </c>
      <c r="R1602" s="31">
        <v>0</v>
      </c>
      <c r="S1602" s="31">
        <v>0</v>
      </c>
      <c r="T1602" s="31">
        <v>0</v>
      </c>
      <c r="U1602" s="37">
        <v>22.7</v>
      </c>
      <c r="V1602" s="31">
        <v>5</v>
      </c>
      <c r="W1602" s="31">
        <v>2</v>
      </c>
      <c r="X1602" s="38">
        <v>11</v>
      </c>
      <c r="Y1602" s="31">
        <v>0</v>
      </c>
      <c r="Z1602" s="31">
        <v>0</v>
      </c>
      <c r="AA1602" s="31" t="s">
        <v>212</v>
      </c>
      <c r="AB1602" s="31" t="s">
        <v>220</v>
      </c>
      <c r="AC1602" s="41">
        <f>IFERROR(LOOKUP(M1602,打分卡!$F$7:$J$7,打分卡!$K$7:$O$7),1)</f>
        <v>1</v>
      </c>
      <c r="AD1602" s="41">
        <f>IFERROR(LOOKUP(S1602,打分卡!$F$8:$J$8,打分卡!$K$8:$O$8),1)</f>
        <v>1</v>
      </c>
      <c r="AE1602" s="41">
        <f>IFERROR(LOOKUP(T1602,打分卡!$F$9:$I$9,打分卡!$K$9:$N$9),1)</f>
        <v>1</v>
      </c>
      <c r="AF1602" s="41">
        <f>IFERROR(LOOKUP(Q1602,打分卡!$F$10:$J$10,打分卡!$K$10:$O$10),1)</f>
        <v>1</v>
      </c>
      <c r="AG1602" s="41">
        <f>IFERROR(LOOKUP(R1602,打分卡!$F$11:$J$11,打分卡!$K$11:$O$11),1)</f>
        <v>1</v>
      </c>
      <c r="AH1602" s="41">
        <f>IFERROR(LOOKUP(U1602,打分卡!$F$12:$J$12,打分卡!$K$12:$O$12),1)</f>
        <v>3</v>
      </c>
      <c r="AI1602" s="41">
        <f>IFERROR(LOOKUP(X1602,打分卡!$F$13:$J$13,打分卡!$K$13:$O$13),1)</f>
        <v>1</v>
      </c>
      <c r="AJ1602" s="41">
        <f>IFERROR(LOOKUP(Y1602,打分卡!$F$14:$J$14,打分卡!$K$14:$O$14),1)</f>
        <v>1</v>
      </c>
      <c r="AK1602" s="41">
        <f>IFERROR(LOOKUP(W1602,打分卡!$F$15:$J$15,打分卡!$K$15:$O$15),1)</f>
        <v>2</v>
      </c>
      <c r="AL1602" s="43">
        <f t="shared" ref="AL1602:AL1665" si="201">IF(AA1602="连续下降",1,IF(AA1602="下降",2,IF(AA1602="上升",5,3)))</f>
        <v>1</v>
      </c>
      <c r="AM1602" s="41">
        <f>IFERROR(LOOKUP(Z1602,打分卡!$F$17:$H$17,打分卡!$K$17:$M$17),1)</f>
        <v>1</v>
      </c>
      <c r="AN1602" s="44">
        <f>(打分卡!$D$7*AC1602+打分卡!$D$8*AD1602+打分卡!$D$9*AE1602)/5</f>
        <v>8</v>
      </c>
      <c r="AO1602" s="44">
        <f>(打分卡!$D$10*AF1602+打分卡!$D$11*AG1602)/5</f>
        <v>4</v>
      </c>
      <c r="AP1602" s="44">
        <f>(打分卡!$D$12*AH1602+打分卡!$D$13*AI1602+打分卡!$D$14*AJ1602+打分卡!$D$15*AK1602)/5</f>
        <v>11.6</v>
      </c>
      <c r="AQ1602" s="44">
        <f>(打分卡!$D$16*AL1602+打分卡!$D$17*AM1602)/5</f>
        <v>2</v>
      </c>
      <c r="AR1602" s="47">
        <f t="shared" ref="AR1602:AR1665" si="202">IF(G1602&lt;3,AP1602/30*40+AO1602+AP1602+AQ1602,AN1602+AO1602+AP1602+AQ1602)</f>
        <v>25.6</v>
      </c>
      <c r="AS1602" s="43" t="str">
        <f t="shared" ref="AS1602:AS1665" si="203">IF(M1602=0,IF(G1602&lt;3,"新客观察期","未激活"),IF(AR1602&gt;=90,"SKA",IF(AR1602&gt;=75,"KA",IF(AR1602&gt;=40,"腰部","基础长尾"))))</f>
        <v>未激活</v>
      </c>
      <c r="AT1602" s="43" t="str">
        <f t="shared" ref="AT1602:AT1665" si="204">IF(AA1602="连续下降","连续下降-预警","")</f>
        <v>连续下降-预警</v>
      </c>
      <c r="AU1602" s="43" t="str">
        <f t="shared" ref="AU1602:AU1665" si="205">IF(AS1602="SKA","守·共创：卡片短信/AI外呼新场景POC",IF(AS1602="KA","扩·深化：AI外呼场景深化+Push/企微补全",IF(AS1602="腰部","拉·主攻：主推AI外呼+大促作战包",IF(AS1602="新客观察期","培育：入门包+1v1场景教育",IF(AS1602="基础长尾","激活：企微+Push低成本先跑","唤醒：短信模板+首充补贴")))))</f>
        <v>唤醒：短信模板+首充补贴</v>
      </c>
    </row>
    <row r="1603" ht="15" customHeight="1" spans="1:47">
      <c r="A1603" s="20" t="s">
        <v>4105</v>
      </c>
      <c r="B1603" s="22" t="s">
        <v>4106</v>
      </c>
      <c r="C1603" s="22" t="s">
        <v>239</v>
      </c>
      <c r="D1603" s="22" t="s">
        <v>196</v>
      </c>
      <c r="E1603" s="22" t="s">
        <v>197</v>
      </c>
      <c r="F1603" s="20" t="s">
        <v>1416</v>
      </c>
      <c r="G1603" s="22">
        <v>14</v>
      </c>
      <c r="H1603" s="22" t="s">
        <v>3535</v>
      </c>
      <c r="I1603" s="22" t="s">
        <v>302</v>
      </c>
      <c r="J1603" s="36">
        <v>0</v>
      </c>
      <c r="K1603" s="36">
        <v>0</v>
      </c>
      <c r="L1603" s="36">
        <v>0</v>
      </c>
      <c r="M1603" s="36">
        <f t="shared" si="200"/>
        <v>0</v>
      </c>
      <c r="N1603" s="34">
        <f t="shared" ref="N1603:N1666" si="206">M1603/$M$2002</f>
        <v>0</v>
      </c>
      <c r="O1603" s="35">
        <f>SUM($M$2:M1603)</f>
        <v>190743600</v>
      </c>
      <c r="P1603" s="34">
        <f t="shared" ref="P1603:P1666" si="207">O1603/$M$2002</f>
        <v>1</v>
      </c>
      <c r="Q1603" s="39">
        <v>0</v>
      </c>
      <c r="R1603" s="22">
        <v>0</v>
      </c>
      <c r="S1603" s="22">
        <v>0</v>
      </c>
      <c r="T1603" s="22">
        <v>0</v>
      </c>
      <c r="U1603" s="39">
        <v>5</v>
      </c>
      <c r="V1603" s="22">
        <v>6</v>
      </c>
      <c r="W1603" s="22">
        <v>2</v>
      </c>
      <c r="X1603" s="40">
        <v>27</v>
      </c>
      <c r="Y1603" s="22">
        <v>1</v>
      </c>
      <c r="Z1603" s="22">
        <v>0</v>
      </c>
      <c r="AA1603" s="22" t="s">
        <v>212</v>
      </c>
      <c r="AB1603" s="22" t="s">
        <v>220</v>
      </c>
      <c r="AC1603" s="42">
        <f>IFERROR(LOOKUP(M1603,打分卡!$F$7:$J$7,打分卡!$K$7:$O$7),1)</f>
        <v>1</v>
      </c>
      <c r="AD1603" s="42">
        <f>IFERROR(LOOKUP(S1603,打分卡!$F$8:$J$8,打分卡!$K$8:$O$8),1)</f>
        <v>1</v>
      </c>
      <c r="AE1603" s="42">
        <f>IFERROR(LOOKUP(T1603,打分卡!$F$9:$I$9,打分卡!$K$9:$N$9),1)</f>
        <v>1</v>
      </c>
      <c r="AF1603" s="42">
        <f>IFERROR(LOOKUP(Q1603,打分卡!$F$10:$J$10,打分卡!$K$10:$O$10),1)</f>
        <v>1</v>
      </c>
      <c r="AG1603" s="42">
        <f>IFERROR(LOOKUP(R1603,打分卡!$F$11:$J$11,打分卡!$K$11:$O$11),1)</f>
        <v>1</v>
      </c>
      <c r="AH1603" s="42">
        <f>IFERROR(LOOKUP(U1603,打分卡!$F$12:$J$12,打分卡!$K$12:$O$12),1)</f>
        <v>2</v>
      </c>
      <c r="AI1603" s="42">
        <f>IFERROR(LOOKUP(X1603,打分卡!$F$13:$J$13,打分卡!$K$13:$O$13),1)</f>
        <v>2</v>
      </c>
      <c r="AJ1603" s="42">
        <f>IFERROR(LOOKUP(Y1603,打分卡!$F$14:$J$14,打分卡!$K$14:$O$14),1)</f>
        <v>2</v>
      </c>
      <c r="AK1603" s="42">
        <f>IFERROR(LOOKUP(W1603,打分卡!$F$15:$J$15,打分卡!$K$15:$O$15),1)</f>
        <v>2</v>
      </c>
      <c r="AL1603" s="45">
        <f t="shared" si="201"/>
        <v>1</v>
      </c>
      <c r="AM1603" s="42">
        <f>IFERROR(LOOKUP(Z1603,打分卡!$F$17:$H$17,打分卡!$K$17:$M$17),1)</f>
        <v>1</v>
      </c>
      <c r="AN1603" s="46">
        <f>(打分卡!$D$7*AC1603+打分卡!$D$8*AD1603+打分卡!$D$9*AE1603)/5</f>
        <v>8</v>
      </c>
      <c r="AO1603" s="46">
        <f>(打分卡!$D$10*AF1603+打分卡!$D$11*AG1603)/5</f>
        <v>4</v>
      </c>
      <c r="AP1603" s="46">
        <f>(打分卡!$D$12*AH1603+打分卡!$D$13*AI1603+打分卡!$D$14*AJ1603+打分卡!$D$15*AK1603)/5</f>
        <v>12</v>
      </c>
      <c r="AQ1603" s="46">
        <f>(打分卡!$D$16*AL1603+打分卡!$D$17*AM1603)/5</f>
        <v>2</v>
      </c>
      <c r="AR1603" s="48">
        <f t="shared" si="202"/>
        <v>26</v>
      </c>
      <c r="AS1603" s="45" t="str">
        <f t="shared" si="203"/>
        <v>未激活</v>
      </c>
      <c r="AT1603" s="45" t="str">
        <f t="shared" si="204"/>
        <v>连续下降-预警</v>
      </c>
      <c r="AU1603" s="45" t="str">
        <f t="shared" si="205"/>
        <v>唤醒：短信模板+首充补贴</v>
      </c>
    </row>
    <row r="1604" ht="15" customHeight="1" spans="1:47">
      <c r="A1604" s="30" t="s">
        <v>4107</v>
      </c>
      <c r="B1604" s="31" t="s">
        <v>4108</v>
      </c>
      <c r="C1604" s="31" t="s">
        <v>239</v>
      </c>
      <c r="D1604" s="31" t="s">
        <v>235</v>
      </c>
      <c r="E1604" s="31" t="s">
        <v>181</v>
      </c>
      <c r="F1604" s="30" t="s">
        <v>4109</v>
      </c>
      <c r="G1604" s="31">
        <v>24</v>
      </c>
      <c r="H1604" s="31" t="s">
        <v>3535</v>
      </c>
      <c r="I1604" s="31" t="s">
        <v>302</v>
      </c>
      <c r="J1604" s="33">
        <v>0</v>
      </c>
      <c r="K1604" s="33">
        <v>0</v>
      </c>
      <c r="L1604" s="33">
        <v>0</v>
      </c>
      <c r="M1604" s="33">
        <f t="shared" si="200"/>
        <v>0</v>
      </c>
      <c r="N1604" s="34">
        <f t="shared" si="206"/>
        <v>0</v>
      </c>
      <c r="O1604" s="35">
        <f>SUM($M$2:M1604)</f>
        <v>190743600</v>
      </c>
      <c r="P1604" s="34">
        <f t="shared" si="207"/>
        <v>1</v>
      </c>
      <c r="Q1604" s="37">
        <v>0</v>
      </c>
      <c r="R1604" s="31">
        <v>0</v>
      </c>
      <c r="S1604" s="31">
        <v>0</v>
      </c>
      <c r="T1604" s="31">
        <v>0</v>
      </c>
      <c r="U1604" s="37">
        <v>1.3</v>
      </c>
      <c r="V1604" s="31">
        <v>0</v>
      </c>
      <c r="W1604" s="31">
        <v>0</v>
      </c>
      <c r="X1604" s="38">
        <v>6</v>
      </c>
      <c r="Y1604" s="31">
        <v>1</v>
      </c>
      <c r="Z1604" s="31">
        <v>0</v>
      </c>
      <c r="AA1604" s="31" t="s">
        <v>212</v>
      </c>
      <c r="AB1604" s="31" t="s">
        <v>220</v>
      </c>
      <c r="AC1604" s="41">
        <f>IFERROR(LOOKUP(M1604,打分卡!$F$7:$J$7,打分卡!$K$7:$O$7),1)</f>
        <v>1</v>
      </c>
      <c r="AD1604" s="41">
        <f>IFERROR(LOOKUP(S1604,打分卡!$F$8:$J$8,打分卡!$K$8:$O$8),1)</f>
        <v>1</v>
      </c>
      <c r="AE1604" s="41">
        <f>IFERROR(LOOKUP(T1604,打分卡!$F$9:$I$9,打分卡!$K$9:$N$9),1)</f>
        <v>1</v>
      </c>
      <c r="AF1604" s="41">
        <f>IFERROR(LOOKUP(Q1604,打分卡!$F$10:$J$10,打分卡!$K$10:$O$10),1)</f>
        <v>1</v>
      </c>
      <c r="AG1604" s="41">
        <f>IFERROR(LOOKUP(R1604,打分卡!$F$11:$J$11,打分卡!$K$11:$O$11),1)</f>
        <v>1</v>
      </c>
      <c r="AH1604" s="41">
        <f>IFERROR(LOOKUP(U1604,打分卡!$F$12:$J$12,打分卡!$K$12:$O$12),1)</f>
        <v>1</v>
      </c>
      <c r="AI1604" s="41">
        <f>IFERROR(LOOKUP(X1604,打分卡!$F$13:$J$13,打分卡!$K$13:$O$13),1)</f>
        <v>1</v>
      </c>
      <c r="AJ1604" s="41">
        <f>IFERROR(LOOKUP(Y1604,打分卡!$F$14:$J$14,打分卡!$K$14:$O$14),1)</f>
        <v>2</v>
      </c>
      <c r="AK1604" s="41">
        <f>IFERROR(LOOKUP(W1604,打分卡!$F$15:$J$15,打分卡!$K$15:$O$15),1)</f>
        <v>1</v>
      </c>
      <c r="AL1604" s="43">
        <f t="shared" si="201"/>
        <v>1</v>
      </c>
      <c r="AM1604" s="41">
        <f>IFERROR(LOOKUP(Z1604,打分卡!$F$17:$H$17,打分卡!$K$17:$M$17),1)</f>
        <v>1</v>
      </c>
      <c r="AN1604" s="44">
        <f>(打分卡!$D$7*AC1604+打分卡!$D$8*AD1604+打分卡!$D$9*AE1604)/5</f>
        <v>8</v>
      </c>
      <c r="AO1604" s="44">
        <f>(打分卡!$D$10*AF1604+打分卡!$D$11*AG1604)/5</f>
        <v>4</v>
      </c>
      <c r="AP1604" s="44">
        <f>(打分卡!$D$12*AH1604+打分卡!$D$13*AI1604+打分卡!$D$14*AJ1604+打分卡!$D$15*AK1604)/5</f>
        <v>7.2</v>
      </c>
      <c r="AQ1604" s="44">
        <f>(打分卡!$D$16*AL1604+打分卡!$D$17*AM1604)/5</f>
        <v>2</v>
      </c>
      <c r="AR1604" s="47">
        <f t="shared" si="202"/>
        <v>21.2</v>
      </c>
      <c r="AS1604" s="43" t="str">
        <f t="shared" si="203"/>
        <v>未激活</v>
      </c>
      <c r="AT1604" s="43" t="str">
        <f t="shared" si="204"/>
        <v>连续下降-预警</v>
      </c>
      <c r="AU1604" s="43" t="str">
        <f t="shared" si="205"/>
        <v>唤醒：短信模板+首充补贴</v>
      </c>
    </row>
    <row r="1605" ht="15" customHeight="1" spans="1:47">
      <c r="A1605" s="20" t="s">
        <v>4110</v>
      </c>
      <c r="B1605" s="22" t="s">
        <v>4111</v>
      </c>
      <c r="C1605" s="22" t="s">
        <v>189</v>
      </c>
      <c r="D1605" s="22" t="s">
        <v>227</v>
      </c>
      <c r="E1605" s="22" t="s">
        <v>197</v>
      </c>
      <c r="F1605" s="20" t="s">
        <v>4112</v>
      </c>
      <c r="G1605" s="22">
        <v>30</v>
      </c>
      <c r="H1605" s="22" t="s">
        <v>3535</v>
      </c>
      <c r="I1605" s="22" t="s">
        <v>302</v>
      </c>
      <c r="J1605" s="36">
        <v>0</v>
      </c>
      <c r="K1605" s="36">
        <v>0</v>
      </c>
      <c r="L1605" s="36">
        <v>0</v>
      </c>
      <c r="M1605" s="36">
        <f t="shared" si="200"/>
        <v>0</v>
      </c>
      <c r="N1605" s="34">
        <f t="shared" si="206"/>
        <v>0</v>
      </c>
      <c r="O1605" s="35">
        <f>SUM($M$2:M1605)</f>
        <v>190743600</v>
      </c>
      <c r="P1605" s="34">
        <f t="shared" si="207"/>
        <v>1</v>
      </c>
      <c r="Q1605" s="39">
        <v>0</v>
      </c>
      <c r="R1605" s="22">
        <v>0</v>
      </c>
      <c r="S1605" s="22">
        <v>0</v>
      </c>
      <c r="T1605" s="22">
        <v>0</v>
      </c>
      <c r="U1605" s="39">
        <v>15.1</v>
      </c>
      <c r="V1605" s="22">
        <v>2</v>
      </c>
      <c r="W1605" s="22">
        <v>0</v>
      </c>
      <c r="X1605" s="40">
        <v>30</v>
      </c>
      <c r="Y1605" s="22">
        <v>1</v>
      </c>
      <c r="Z1605" s="22">
        <v>0</v>
      </c>
      <c r="AA1605" s="22" t="s">
        <v>212</v>
      </c>
      <c r="AB1605" s="22" t="s">
        <v>220</v>
      </c>
      <c r="AC1605" s="42">
        <f>IFERROR(LOOKUP(M1605,打分卡!$F$7:$J$7,打分卡!$K$7:$O$7),1)</f>
        <v>1</v>
      </c>
      <c r="AD1605" s="42">
        <f>IFERROR(LOOKUP(S1605,打分卡!$F$8:$J$8,打分卡!$K$8:$O$8),1)</f>
        <v>1</v>
      </c>
      <c r="AE1605" s="42">
        <f>IFERROR(LOOKUP(T1605,打分卡!$F$9:$I$9,打分卡!$K$9:$N$9),1)</f>
        <v>1</v>
      </c>
      <c r="AF1605" s="42">
        <f>IFERROR(LOOKUP(Q1605,打分卡!$F$10:$J$10,打分卡!$K$10:$O$10),1)</f>
        <v>1</v>
      </c>
      <c r="AG1605" s="42">
        <f>IFERROR(LOOKUP(R1605,打分卡!$F$11:$J$11,打分卡!$K$11:$O$11),1)</f>
        <v>1</v>
      </c>
      <c r="AH1605" s="42">
        <f>IFERROR(LOOKUP(U1605,打分卡!$F$12:$J$12,打分卡!$K$12:$O$12),1)</f>
        <v>3</v>
      </c>
      <c r="AI1605" s="42">
        <f>IFERROR(LOOKUP(X1605,打分卡!$F$13:$J$13,打分卡!$K$13:$O$13),1)</f>
        <v>2</v>
      </c>
      <c r="AJ1605" s="42">
        <f>IFERROR(LOOKUP(Y1605,打分卡!$F$14:$J$14,打分卡!$K$14:$O$14),1)</f>
        <v>2</v>
      </c>
      <c r="AK1605" s="42">
        <f>IFERROR(LOOKUP(W1605,打分卡!$F$15:$J$15,打分卡!$K$15:$O$15),1)</f>
        <v>1</v>
      </c>
      <c r="AL1605" s="45">
        <f t="shared" si="201"/>
        <v>1</v>
      </c>
      <c r="AM1605" s="42">
        <f>IFERROR(LOOKUP(Z1605,打分卡!$F$17:$H$17,打分卡!$K$17:$M$17),1)</f>
        <v>1</v>
      </c>
      <c r="AN1605" s="46">
        <f>(打分卡!$D$7*AC1605+打分卡!$D$8*AD1605+打分卡!$D$9*AE1605)/5</f>
        <v>8</v>
      </c>
      <c r="AO1605" s="46">
        <f>(打分卡!$D$10*AF1605+打分卡!$D$11*AG1605)/5</f>
        <v>4</v>
      </c>
      <c r="AP1605" s="46">
        <f>(打分卡!$D$12*AH1605+打分卡!$D$13*AI1605+打分卡!$D$14*AJ1605+打分卡!$D$15*AK1605)/5</f>
        <v>13.6</v>
      </c>
      <c r="AQ1605" s="46">
        <f>(打分卡!$D$16*AL1605+打分卡!$D$17*AM1605)/5</f>
        <v>2</v>
      </c>
      <c r="AR1605" s="48">
        <f t="shared" si="202"/>
        <v>27.6</v>
      </c>
      <c r="AS1605" s="45" t="str">
        <f t="shared" si="203"/>
        <v>未激活</v>
      </c>
      <c r="AT1605" s="45" t="str">
        <f t="shared" si="204"/>
        <v>连续下降-预警</v>
      </c>
      <c r="AU1605" s="45" t="str">
        <f t="shared" si="205"/>
        <v>唤醒：短信模板+首充补贴</v>
      </c>
    </row>
    <row r="1606" ht="15" customHeight="1" spans="1:47">
      <c r="A1606" s="30" t="s">
        <v>4113</v>
      </c>
      <c r="B1606" s="31" t="s">
        <v>4114</v>
      </c>
      <c r="C1606" s="31" t="s">
        <v>179</v>
      </c>
      <c r="D1606" s="31" t="s">
        <v>196</v>
      </c>
      <c r="E1606" s="31" t="s">
        <v>181</v>
      </c>
      <c r="F1606" s="30" t="s">
        <v>4115</v>
      </c>
      <c r="G1606" s="31">
        <v>36</v>
      </c>
      <c r="H1606" s="31" t="s">
        <v>3535</v>
      </c>
      <c r="I1606" s="31" t="s">
        <v>302</v>
      </c>
      <c r="J1606" s="33">
        <v>0</v>
      </c>
      <c r="K1606" s="33">
        <v>0</v>
      </c>
      <c r="L1606" s="33">
        <v>0</v>
      </c>
      <c r="M1606" s="33">
        <f t="shared" si="200"/>
        <v>0</v>
      </c>
      <c r="N1606" s="34">
        <f t="shared" si="206"/>
        <v>0</v>
      </c>
      <c r="O1606" s="35">
        <f>SUM($M$2:M1606)</f>
        <v>190743600</v>
      </c>
      <c r="P1606" s="34">
        <f t="shared" si="207"/>
        <v>1</v>
      </c>
      <c r="Q1606" s="37">
        <v>0</v>
      </c>
      <c r="R1606" s="31">
        <v>0</v>
      </c>
      <c r="S1606" s="31">
        <v>0</v>
      </c>
      <c r="T1606" s="31">
        <v>0</v>
      </c>
      <c r="U1606" s="37">
        <v>0.7</v>
      </c>
      <c r="V1606" s="31">
        <v>7</v>
      </c>
      <c r="W1606" s="31">
        <v>2</v>
      </c>
      <c r="X1606" s="38">
        <v>7</v>
      </c>
      <c r="Y1606" s="31">
        <v>0</v>
      </c>
      <c r="Z1606" s="31">
        <v>0</v>
      </c>
      <c r="AA1606" s="31" t="s">
        <v>212</v>
      </c>
      <c r="AB1606" s="31" t="s">
        <v>220</v>
      </c>
      <c r="AC1606" s="41">
        <f>IFERROR(LOOKUP(M1606,打分卡!$F$7:$J$7,打分卡!$K$7:$O$7),1)</f>
        <v>1</v>
      </c>
      <c r="AD1606" s="41">
        <f>IFERROR(LOOKUP(S1606,打分卡!$F$8:$J$8,打分卡!$K$8:$O$8),1)</f>
        <v>1</v>
      </c>
      <c r="AE1606" s="41">
        <f>IFERROR(LOOKUP(T1606,打分卡!$F$9:$I$9,打分卡!$K$9:$N$9),1)</f>
        <v>1</v>
      </c>
      <c r="AF1606" s="41">
        <f>IFERROR(LOOKUP(Q1606,打分卡!$F$10:$J$10,打分卡!$K$10:$O$10),1)</f>
        <v>1</v>
      </c>
      <c r="AG1606" s="41">
        <f>IFERROR(LOOKUP(R1606,打分卡!$F$11:$J$11,打分卡!$K$11:$O$11),1)</f>
        <v>1</v>
      </c>
      <c r="AH1606" s="41">
        <f>IFERROR(LOOKUP(U1606,打分卡!$F$12:$J$12,打分卡!$K$12:$O$12),1)</f>
        <v>1</v>
      </c>
      <c r="AI1606" s="41">
        <f>IFERROR(LOOKUP(X1606,打分卡!$F$13:$J$13,打分卡!$K$13:$O$13),1)</f>
        <v>1</v>
      </c>
      <c r="AJ1606" s="41">
        <f>IFERROR(LOOKUP(Y1606,打分卡!$F$14:$J$14,打分卡!$K$14:$O$14),1)</f>
        <v>1</v>
      </c>
      <c r="AK1606" s="41">
        <f>IFERROR(LOOKUP(W1606,打分卡!$F$15:$J$15,打分卡!$K$15:$O$15),1)</f>
        <v>2</v>
      </c>
      <c r="AL1606" s="43">
        <f t="shared" si="201"/>
        <v>1</v>
      </c>
      <c r="AM1606" s="41">
        <f>IFERROR(LOOKUP(Z1606,打分卡!$F$17:$H$17,打分卡!$K$17:$M$17),1)</f>
        <v>1</v>
      </c>
      <c r="AN1606" s="44">
        <f>(打分卡!$D$7*AC1606+打分卡!$D$8*AD1606+打分卡!$D$9*AE1606)/5</f>
        <v>8</v>
      </c>
      <c r="AO1606" s="44">
        <f>(打分卡!$D$10*AF1606+打分卡!$D$11*AG1606)/5</f>
        <v>4</v>
      </c>
      <c r="AP1606" s="44">
        <f>(打分卡!$D$12*AH1606+打分卡!$D$13*AI1606+打分卡!$D$14*AJ1606+打分卡!$D$15*AK1606)/5</f>
        <v>6.8</v>
      </c>
      <c r="AQ1606" s="44">
        <f>(打分卡!$D$16*AL1606+打分卡!$D$17*AM1606)/5</f>
        <v>2</v>
      </c>
      <c r="AR1606" s="47">
        <f t="shared" si="202"/>
        <v>20.8</v>
      </c>
      <c r="AS1606" s="43" t="str">
        <f t="shared" si="203"/>
        <v>未激活</v>
      </c>
      <c r="AT1606" s="43" t="str">
        <f t="shared" si="204"/>
        <v>连续下降-预警</v>
      </c>
      <c r="AU1606" s="43" t="str">
        <f t="shared" si="205"/>
        <v>唤醒：短信模板+首充补贴</v>
      </c>
    </row>
    <row r="1607" ht="15" customHeight="1" spans="1:47">
      <c r="A1607" s="20" t="s">
        <v>4116</v>
      </c>
      <c r="B1607" s="22" t="s">
        <v>4117</v>
      </c>
      <c r="C1607" s="22" t="s">
        <v>239</v>
      </c>
      <c r="D1607" s="22" t="s">
        <v>227</v>
      </c>
      <c r="E1607" s="22" t="s">
        <v>197</v>
      </c>
      <c r="F1607" s="20" t="s">
        <v>4118</v>
      </c>
      <c r="G1607" s="22">
        <v>36</v>
      </c>
      <c r="H1607" s="22" t="s">
        <v>3535</v>
      </c>
      <c r="I1607" s="22" t="s">
        <v>302</v>
      </c>
      <c r="J1607" s="36">
        <v>0</v>
      </c>
      <c r="K1607" s="36">
        <v>0</v>
      </c>
      <c r="L1607" s="36">
        <v>0</v>
      </c>
      <c r="M1607" s="36">
        <f t="shared" si="200"/>
        <v>0</v>
      </c>
      <c r="N1607" s="34">
        <f t="shared" si="206"/>
        <v>0</v>
      </c>
      <c r="O1607" s="35">
        <f>SUM($M$2:M1607)</f>
        <v>190743600</v>
      </c>
      <c r="P1607" s="34">
        <f t="shared" si="207"/>
        <v>1</v>
      </c>
      <c r="Q1607" s="39">
        <v>0</v>
      </c>
      <c r="R1607" s="22">
        <v>0</v>
      </c>
      <c r="S1607" s="22">
        <v>0</v>
      </c>
      <c r="T1607" s="22">
        <v>0</v>
      </c>
      <c r="U1607" s="39">
        <v>0.6</v>
      </c>
      <c r="V1607" s="22">
        <v>3</v>
      </c>
      <c r="W1607" s="22">
        <v>2</v>
      </c>
      <c r="X1607" s="40">
        <v>56</v>
      </c>
      <c r="Y1607" s="22">
        <v>1</v>
      </c>
      <c r="Z1607" s="22">
        <v>0</v>
      </c>
      <c r="AA1607" s="22" t="s">
        <v>212</v>
      </c>
      <c r="AB1607" s="22" t="s">
        <v>220</v>
      </c>
      <c r="AC1607" s="42">
        <f>IFERROR(LOOKUP(M1607,打分卡!$F$7:$J$7,打分卡!$K$7:$O$7),1)</f>
        <v>1</v>
      </c>
      <c r="AD1607" s="42">
        <f>IFERROR(LOOKUP(S1607,打分卡!$F$8:$J$8,打分卡!$K$8:$O$8),1)</f>
        <v>1</v>
      </c>
      <c r="AE1607" s="42">
        <f>IFERROR(LOOKUP(T1607,打分卡!$F$9:$I$9,打分卡!$K$9:$N$9),1)</f>
        <v>1</v>
      </c>
      <c r="AF1607" s="42">
        <f>IFERROR(LOOKUP(Q1607,打分卡!$F$10:$J$10,打分卡!$K$10:$O$10),1)</f>
        <v>1</v>
      </c>
      <c r="AG1607" s="42">
        <f>IFERROR(LOOKUP(R1607,打分卡!$F$11:$J$11,打分卡!$K$11:$O$11),1)</f>
        <v>1</v>
      </c>
      <c r="AH1607" s="42">
        <f>IFERROR(LOOKUP(U1607,打分卡!$F$12:$J$12,打分卡!$K$12:$O$12),1)</f>
        <v>1</v>
      </c>
      <c r="AI1607" s="42">
        <f>IFERROR(LOOKUP(X1607,打分卡!$F$13:$J$13,打分卡!$K$13:$O$13),1)</f>
        <v>3</v>
      </c>
      <c r="AJ1607" s="42">
        <f>IFERROR(LOOKUP(Y1607,打分卡!$F$14:$J$14,打分卡!$K$14:$O$14),1)</f>
        <v>2</v>
      </c>
      <c r="AK1607" s="42">
        <f>IFERROR(LOOKUP(W1607,打分卡!$F$15:$J$15,打分卡!$K$15:$O$15),1)</f>
        <v>2</v>
      </c>
      <c r="AL1607" s="45">
        <f t="shared" si="201"/>
        <v>1</v>
      </c>
      <c r="AM1607" s="42">
        <f>IFERROR(LOOKUP(Z1607,打分卡!$F$17:$H$17,打分卡!$K$17:$M$17),1)</f>
        <v>1</v>
      </c>
      <c r="AN1607" s="46">
        <f>(打分卡!$D$7*AC1607+打分卡!$D$8*AD1607+打分卡!$D$9*AE1607)/5</f>
        <v>8</v>
      </c>
      <c r="AO1607" s="46">
        <f>(打分卡!$D$10*AF1607+打分卡!$D$11*AG1607)/5</f>
        <v>4</v>
      </c>
      <c r="AP1607" s="46">
        <f>(打分卡!$D$12*AH1607+打分卡!$D$13*AI1607+打分卡!$D$14*AJ1607+打分卡!$D$15*AK1607)/5</f>
        <v>11.2</v>
      </c>
      <c r="AQ1607" s="46">
        <f>(打分卡!$D$16*AL1607+打分卡!$D$17*AM1607)/5</f>
        <v>2</v>
      </c>
      <c r="AR1607" s="48">
        <f t="shared" si="202"/>
        <v>25.2</v>
      </c>
      <c r="AS1607" s="45" t="str">
        <f t="shared" si="203"/>
        <v>未激活</v>
      </c>
      <c r="AT1607" s="45" t="str">
        <f t="shared" si="204"/>
        <v>连续下降-预警</v>
      </c>
      <c r="AU1607" s="45" t="str">
        <f t="shared" si="205"/>
        <v>唤醒：短信模板+首充补贴</v>
      </c>
    </row>
    <row r="1608" ht="15" customHeight="1" spans="1:47">
      <c r="A1608" s="30" t="s">
        <v>4119</v>
      </c>
      <c r="B1608" s="31" t="s">
        <v>4120</v>
      </c>
      <c r="C1608" s="31" t="s">
        <v>239</v>
      </c>
      <c r="D1608" s="31" t="s">
        <v>196</v>
      </c>
      <c r="E1608" s="31" t="s">
        <v>181</v>
      </c>
      <c r="F1608" s="30" t="s">
        <v>1386</v>
      </c>
      <c r="G1608" s="31">
        <v>24</v>
      </c>
      <c r="H1608" s="31" t="s">
        <v>3535</v>
      </c>
      <c r="I1608" s="31" t="s">
        <v>302</v>
      </c>
      <c r="J1608" s="33">
        <v>0</v>
      </c>
      <c r="K1608" s="33">
        <v>0</v>
      </c>
      <c r="L1608" s="33">
        <v>0</v>
      </c>
      <c r="M1608" s="33">
        <f t="shared" si="200"/>
        <v>0</v>
      </c>
      <c r="N1608" s="34">
        <f t="shared" si="206"/>
        <v>0</v>
      </c>
      <c r="O1608" s="35">
        <f>SUM($M$2:M1608)</f>
        <v>190743600</v>
      </c>
      <c r="P1608" s="34">
        <f t="shared" si="207"/>
        <v>1</v>
      </c>
      <c r="Q1608" s="37">
        <v>0</v>
      </c>
      <c r="R1608" s="31">
        <v>0</v>
      </c>
      <c r="S1608" s="31">
        <v>0</v>
      </c>
      <c r="T1608" s="31">
        <v>0</v>
      </c>
      <c r="U1608" s="37">
        <v>16</v>
      </c>
      <c r="V1608" s="31">
        <v>11</v>
      </c>
      <c r="W1608" s="31">
        <v>0</v>
      </c>
      <c r="X1608" s="38">
        <v>34</v>
      </c>
      <c r="Y1608" s="31">
        <v>0</v>
      </c>
      <c r="Z1608" s="31">
        <v>0</v>
      </c>
      <c r="AA1608" s="31" t="s">
        <v>212</v>
      </c>
      <c r="AB1608" s="31" t="s">
        <v>220</v>
      </c>
      <c r="AC1608" s="41">
        <f>IFERROR(LOOKUP(M1608,打分卡!$F$7:$J$7,打分卡!$K$7:$O$7),1)</f>
        <v>1</v>
      </c>
      <c r="AD1608" s="41">
        <f>IFERROR(LOOKUP(S1608,打分卡!$F$8:$J$8,打分卡!$K$8:$O$8),1)</f>
        <v>1</v>
      </c>
      <c r="AE1608" s="41">
        <f>IFERROR(LOOKUP(T1608,打分卡!$F$9:$I$9,打分卡!$K$9:$N$9),1)</f>
        <v>1</v>
      </c>
      <c r="AF1608" s="41">
        <f>IFERROR(LOOKUP(Q1608,打分卡!$F$10:$J$10,打分卡!$K$10:$O$10),1)</f>
        <v>1</v>
      </c>
      <c r="AG1608" s="41">
        <f>IFERROR(LOOKUP(R1608,打分卡!$F$11:$J$11,打分卡!$K$11:$O$11),1)</f>
        <v>1</v>
      </c>
      <c r="AH1608" s="41">
        <f>IFERROR(LOOKUP(U1608,打分卡!$F$12:$J$12,打分卡!$K$12:$O$12),1)</f>
        <v>3</v>
      </c>
      <c r="AI1608" s="41">
        <f>IFERROR(LOOKUP(X1608,打分卡!$F$13:$J$13,打分卡!$K$13:$O$13),1)</f>
        <v>2</v>
      </c>
      <c r="AJ1608" s="41">
        <f>IFERROR(LOOKUP(Y1608,打分卡!$F$14:$J$14,打分卡!$K$14:$O$14),1)</f>
        <v>1</v>
      </c>
      <c r="AK1608" s="41">
        <f>IFERROR(LOOKUP(W1608,打分卡!$F$15:$J$15,打分卡!$K$15:$O$15),1)</f>
        <v>1</v>
      </c>
      <c r="AL1608" s="43">
        <f t="shared" si="201"/>
        <v>1</v>
      </c>
      <c r="AM1608" s="41">
        <f>IFERROR(LOOKUP(Z1608,打分卡!$F$17:$H$17,打分卡!$K$17:$M$17),1)</f>
        <v>1</v>
      </c>
      <c r="AN1608" s="44">
        <f>(打分卡!$D$7*AC1608+打分卡!$D$8*AD1608+打分卡!$D$9*AE1608)/5</f>
        <v>8</v>
      </c>
      <c r="AO1608" s="44">
        <f>(打分卡!$D$10*AF1608+打分卡!$D$11*AG1608)/5</f>
        <v>4</v>
      </c>
      <c r="AP1608" s="44">
        <f>(打分卡!$D$12*AH1608+打分卡!$D$13*AI1608+打分卡!$D$14*AJ1608+打分卡!$D$15*AK1608)/5</f>
        <v>12.4</v>
      </c>
      <c r="AQ1608" s="44">
        <f>(打分卡!$D$16*AL1608+打分卡!$D$17*AM1608)/5</f>
        <v>2</v>
      </c>
      <c r="AR1608" s="47">
        <f t="shared" si="202"/>
        <v>26.4</v>
      </c>
      <c r="AS1608" s="43" t="str">
        <f t="shared" si="203"/>
        <v>未激活</v>
      </c>
      <c r="AT1608" s="43" t="str">
        <f t="shared" si="204"/>
        <v>连续下降-预警</v>
      </c>
      <c r="AU1608" s="43" t="str">
        <f t="shared" si="205"/>
        <v>唤醒：短信模板+首充补贴</v>
      </c>
    </row>
    <row r="1609" ht="15" customHeight="1" spans="1:47">
      <c r="A1609" s="20" t="s">
        <v>4121</v>
      </c>
      <c r="B1609" s="22" t="s">
        <v>4122</v>
      </c>
      <c r="C1609" s="22" t="s">
        <v>239</v>
      </c>
      <c r="D1609" s="22" t="s">
        <v>227</v>
      </c>
      <c r="E1609" s="22" t="s">
        <v>197</v>
      </c>
      <c r="F1609" s="20" t="s">
        <v>3565</v>
      </c>
      <c r="G1609" s="22">
        <v>25</v>
      </c>
      <c r="H1609" s="22" t="s">
        <v>3535</v>
      </c>
      <c r="I1609" s="22" t="s">
        <v>302</v>
      </c>
      <c r="J1609" s="36">
        <v>0</v>
      </c>
      <c r="K1609" s="36">
        <v>0</v>
      </c>
      <c r="L1609" s="36">
        <v>0</v>
      </c>
      <c r="M1609" s="36">
        <f t="shared" si="200"/>
        <v>0</v>
      </c>
      <c r="N1609" s="34">
        <f t="shared" si="206"/>
        <v>0</v>
      </c>
      <c r="O1609" s="35">
        <f>SUM($M$2:M1609)</f>
        <v>190743600</v>
      </c>
      <c r="P1609" s="34">
        <f t="shared" si="207"/>
        <v>1</v>
      </c>
      <c r="Q1609" s="39">
        <v>0</v>
      </c>
      <c r="R1609" s="22">
        <v>0</v>
      </c>
      <c r="S1609" s="22">
        <v>0</v>
      </c>
      <c r="T1609" s="22">
        <v>0</v>
      </c>
      <c r="U1609" s="39">
        <v>2.9</v>
      </c>
      <c r="V1609" s="22">
        <v>0</v>
      </c>
      <c r="W1609" s="22">
        <v>0</v>
      </c>
      <c r="X1609" s="40">
        <v>10</v>
      </c>
      <c r="Y1609" s="22">
        <v>1</v>
      </c>
      <c r="Z1609" s="22">
        <v>0</v>
      </c>
      <c r="AA1609" s="22" t="s">
        <v>212</v>
      </c>
      <c r="AB1609" s="22" t="s">
        <v>220</v>
      </c>
      <c r="AC1609" s="42">
        <f>IFERROR(LOOKUP(M1609,打分卡!$F$7:$J$7,打分卡!$K$7:$O$7),1)</f>
        <v>1</v>
      </c>
      <c r="AD1609" s="42">
        <f>IFERROR(LOOKUP(S1609,打分卡!$F$8:$J$8,打分卡!$K$8:$O$8),1)</f>
        <v>1</v>
      </c>
      <c r="AE1609" s="42">
        <f>IFERROR(LOOKUP(T1609,打分卡!$F$9:$I$9,打分卡!$K$9:$N$9),1)</f>
        <v>1</v>
      </c>
      <c r="AF1609" s="42">
        <f>IFERROR(LOOKUP(Q1609,打分卡!$F$10:$J$10,打分卡!$K$10:$O$10),1)</f>
        <v>1</v>
      </c>
      <c r="AG1609" s="42">
        <f>IFERROR(LOOKUP(R1609,打分卡!$F$11:$J$11,打分卡!$K$11:$O$11),1)</f>
        <v>1</v>
      </c>
      <c r="AH1609" s="42">
        <f>IFERROR(LOOKUP(U1609,打分卡!$F$12:$J$12,打分卡!$K$12:$O$12),1)</f>
        <v>2</v>
      </c>
      <c r="AI1609" s="42">
        <f>IFERROR(LOOKUP(X1609,打分卡!$F$13:$J$13,打分卡!$K$13:$O$13),1)</f>
        <v>1</v>
      </c>
      <c r="AJ1609" s="42">
        <f>IFERROR(LOOKUP(Y1609,打分卡!$F$14:$J$14,打分卡!$K$14:$O$14),1)</f>
        <v>2</v>
      </c>
      <c r="AK1609" s="42">
        <f>IFERROR(LOOKUP(W1609,打分卡!$F$15:$J$15,打分卡!$K$15:$O$15),1)</f>
        <v>1</v>
      </c>
      <c r="AL1609" s="45">
        <f t="shared" si="201"/>
        <v>1</v>
      </c>
      <c r="AM1609" s="42">
        <f>IFERROR(LOOKUP(Z1609,打分卡!$F$17:$H$17,打分卡!$K$17:$M$17),1)</f>
        <v>1</v>
      </c>
      <c r="AN1609" s="46">
        <f>(打分卡!$D$7*AC1609+打分卡!$D$8*AD1609+打分卡!$D$9*AE1609)/5</f>
        <v>8</v>
      </c>
      <c r="AO1609" s="46">
        <f>(打分卡!$D$10*AF1609+打分卡!$D$11*AG1609)/5</f>
        <v>4</v>
      </c>
      <c r="AP1609" s="46">
        <f>(打分卡!$D$12*AH1609+打分卡!$D$13*AI1609+打分卡!$D$14*AJ1609+打分卡!$D$15*AK1609)/5</f>
        <v>9.6</v>
      </c>
      <c r="AQ1609" s="46">
        <f>(打分卡!$D$16*AL1609+打分卡!$D$17*AM1609)/5</f>
        <v>2</v>
      </c>
      <c r="AR1609" s="48">
        <f t="shared" si="202"/>
        <v>23.6</v>
      </c>
      <c r="AS1609" s="45" t="str">
        <f t="shared" si="203"/>
        <v>未激活</v>
      </c>
      <c r="AT1609" s="45" t="str">
        <f t="shared" si="204"/>
        <v>连续下降-预警</v>
      </c>
      <c r="AU1609" s="45" t="str">
        <f t="shared" si="205"/>
        <v>唤醒：短信模板+首充补贴</v>
      </c>
    </row>
    <row r="1610" ht="15" customHeight="1" spans="1:47">
      <c r="A1610" s="30" t="s">
        <v>4123</v>
      </c>
      <c r="B1610" s="31" t="s">
        <v>4124</v>
      </c>
      <c r="C1610" s="31" t="s">
        <v>189</v>
      </c>
      <c r="D1610" s="31" t="s">
        <v>235</v>
      </c>
      <c r="E1610" s="31" t="s">
        <v>181</v>
      </c>
      <c r="F1610" s="30" t="s">
        <v>2350</v>
      </c>
      <c r="G1610" s="31">
        <v>19</v>
      </c>
      <c r="H1610" s="31" t="s">
        <v>3535</v>
      </c>
      <c r="I1610" s="31" t="s">
        <v>302</v>
      </c>
      <c r="J1610" s="33">
        <v>0</v>
      </c>
      <c r="K1610" s="33">
        <v>0</v>
      </c>
      <c r="L1610" s="33">
        <v>0</v>
      </c>
      <c r="M1610" s="33">
        <f t="shared" si="200"/>
        <v>0</v>
      </c>
      <c r="N1610" s="34">
        <f t="shared" si="206"/>
        <v>0</v>
      </c>
      <c r="O1610" s="35">
        <f>SUM($M$2:M1610)</f>
        <v>190743600</v>
      </c>
      <c r="P1610" s="34">
        <f t="shared" si="207"/>
        <v>1</v>
      </c>
      <c r="Q1610" s="37">
        <v>0</v>
      </c>
      <c r="R1610" s="31">
        <v>0</v>
      </c>
      <c r="S1610" s="31">
        <v>0</v>
      </c>
      <c r="T1610" s="31">
        <v>0</v>
      </c>
      <c r="U1610" s="37">
        <v>4.5</v>
      </c>
      <c r="V1610" s="31">
        <v>4</v>
      </c>
      <c r="W1610" s="31">
        <v>0</v>
      </c>
      <c r="X1610" s="38">
        <v>15</v>
      </c>
      <c r="Y1610" s="31">
        <v>0</v>
      </c>
      <c r="Z1610" s="31">
        <v>0</v>
      </c>
      <c r="AA1610" s="31" t="s">
        <v>212</v>
      </c>
      <c r="AB1610" s="31" t="s">
        <v>220</v>
      </c>
      <c r="AC1610" s="41">
        <f>IFERROR(LOOKUP(M1610,打分卡!$F$7:$J$7,打分卡!$K$7:$O$7),1)</f>
        <v>1</v>
      </c>
      <c r="AD1610" s="41">
        <f>IFERROR(LOOKUP(S1610,打分卡!$F$8:$J$8,打分卡!$K$8:$O$8),1)</f>
        <v>1</v>
      </c>
      <c r="AE1610" s="41">
        <f>IFERROR(LOOKUP(T1610,打分卡!$F$9:$I$9,打分卡!$K$9:$N$9),1)</f>
        <v>1</v>
      </c>
      <c r="AF1610" s="41">
        <f>IFERROR(LOOKUP(Q1610,打分卡!$F$10:$J$10,打分卡!$K$10:$O$10),1)</f>
        <v>1</v>
      </c>
      <c r="AG1610" s="41">
        <f>IFERROR(LOOKUP(R1610,打分卡!$F$11:$J$11,打分卡!$K$11:$O$11),1)</f>
        <v>1</v>
      </c>
      <c r="AH1610" s="41">
        <f>IFERROR(LOOKUP(U1610,打分卡!$F$12:$J$12,打分卡!$K$12:$O$12),1)</f>
        <v>2</v>
      </c>
      <c r="AI1610" s="41">
        <f>IFERROR(LOOKUP(X1610,打分卡!$F$13:$J$13,打分卡!$K$13:$O$13),1)</f>
        <v>1</v>
      </c>
      <c r="AJ1610" s="41">
        <f>IFERROR(LOOKUP(Y1610,打分卡!$F$14:$J$14,打分卡!$K$14:$O$14),1)</f>
        <v>1</v>
      </c>
      <c r="AK1610" s="41">
        <f>IFERROR(LOOKUP(W1610,打分卡!$F$15:$J$15,打分卡!$K$15:$O$15),1)</f>
        <v>1</v>
      </c>
      <c r="AL1610" s="43">
        <f t="shared" si="201"/>
        <v>1</v>
      </c>
      <c r="AM1610" s="41">
        <f>IFERROR(LOOKUP(Z1610,打分卡!$F$17:$H$17,打分卡!$K$17:$M$17),1)</f>
        <v>1</v>
      </c>
      <c r="AN1610" s="44">
        <f>(打分卡!$D$7*AC1610+打分卡!$D$8*AD1610+打分卡!$D$9*AE1610)/5</f>
        <v>8</v>
      </c>
      <c r="AO1610" s="44">
        <f>(打分卡!$D$10*AF1610+打分卡!$D$11*AG1610)/5</f>
        <v>4</v>
      </c>
      <c r="AP1610" s="44">
        <f>(打分卡!$D$12*AH1610+打分卡!$D$13*AI1610+打分卡!$D$14*AJ1610+打分卡!$D$15*AK1610)/5</f>
        <v>8.4</v>
      </c>
      <c r="AQ1610" s="44">
        <f>(打分卡!$D$16*AL1610+打分卡!$D$17*AM1610)/5</f>
        <v>2</v>
      </c>
      <c r="AR1610" s="47">
        <f t="shared" si="202"/>
        <v>22.4</v>
      </c>
      <c r="AS1610" s="43" t="str">
        <f t="shared" si="203"/>
        <v>未激活</v>
      </c>
      <c r="AT1610" s="43" t="str">
        <f t="shared" si="204"/>
        <v>连续下降-预警</v>
      </c>
      <c r="AU1610" s="43" t="str">
        <f t="shared" si="205"/>
        <v>唤醒：短信模板+首充补贴</v>
      </c>
    </row>
    <row r="1611" ht="15" customHeight="1" spans="1:47">
      <c r="A1611" s="20" t="s">
        <v>4125</v>
      </c>
      <c r="B1611" s="22" t="s">
        <v>4126</v>
      </c>
      <c r="C1611" s="22" t="s">
        <v>239</v>
      </c>
      <c r="D1611" s="22" t="s">
        <v>202</v>
      </c>
      <c r="E1611" s="22" t="s">
        <v>181</v>
      </c>
      <c r="F1611" s="20" t="s">
        <v>516</v>
      </c>
      <c r="G1611" s="22">
        <v>22</v>
      </c>
      <c r="H1611" s="22" t="s">
        <v>3535</v>
      </c>
      <c r="I1611" s="22" t="s">
        <v>302</v>
      </c>
      <c r="J1611" s="36">
        <v>0</v>
      </c>
      <c r="K1611" s="36">
        <v>0</v>
      </c>
      <c r="L1611" s="36">
        <v>0</v>
      </c>
      <c r="M1611" s="36">
        <f t="shared" si="200"/>
        <v>0</v>
      </c>
      <c r="N1611" s="34">
        <f t="shared" si="206"/>
        <v>0</v>
      </c>
      <c r="O1611" s="35">
        <f>SUM($M$2:M1611)</f>
        <v>190743600</v>
      </c>
      <c r="P1611" s="34">
        <f t="shared" si="207"/>
        <v>1</v>
      </c>
      <c r="Q1611" s="39">
        <v>0</v>
      </c>
      <c r="R1611" s="22">
        <v>0</v>
      </c>
      <c r="S1611" s="22">
        <v>0</v>
      </c>
      <c r="T1611" s="22">
        <v>0</v>
      </c>
      <c r="U1611" s="39">
        <v>23.7</v>
      </c>
      <c r="V1611" s="22">
        <v>9</v>
      </c>
      <c r="W1611" s="22">
        <v>0</v>
      </c>
      <c r="X1611" s="40">
        <v>63</v>
      </c>
      <c r="Y1611" s="22">
        <v>0</v>
      </c>
      <c r="Z1611" s="22">
        <v>0</v>
      </c>
      <c r="AA1611" s="22" t="s">
        <v>212</v>
      </c>
      <c r="AB1611" s="22" t="s">
        <v>220</v>
      </c>
      <c r="AC1611" s="42">
        <f>IFERROR(LOOKUP(M1611,打分卡!$F$7:$J$7,打分卡!$K$7:$O$7),1)</f>
        <v>1</v>
      </c>
      <c r="AD1611" s="42">
        <f>IFERROR(LOOKUP(S1611,打分卡!$F$8:$J$8,打分卡!$K$8:$O$8),1)</f>
        <v>1</v>
      </c>
      <c r="AE1611" s="42">
        <f>IFERROR(LOOKUP(T1611,打分卡!$F$9:$I$9,打分卡!$K$9:$N$9),1)</f>
        <v>1</v>
      </c>
      <c r="AF1611" s="42">
        <f>IFERROR(LOOKUP(Q1611,打分卡!$F$10:$J$10,打分卡!$K$10:$O$10),1)</f>
        <v>1</v>
      </c>
      <c r="AG1611" s="42">
        <f>IFERROR(LOOKUP(R1611,打分卡!$F$11:$J$11,打分卡!$K$11:$O$11),1)</f>
        <v>1</v>
      </c>
      <c r="AH1611" s="42">
        <f>IFERROR(LOOKUP(U1611,打分卡!$F$12:$J$12,打分卡!$K$12:$O$12),1)</f>
        <v>3</v>
      </c>
      <c r="AI1611" s="42">
        <f>IFERROR(LOOKUP(X1611,打分卡!$F$13:$J$13,打分卡!$K$13:$O$13),1)</f>
        <v>3</v>
      </c>
      <c r="AJ1611" s="42">
        <f>IFERROR(LOOKUP(Y1611,打分卡!$F$14:$J$14,打分卡!$K$14:$O$14),1)</f>
        <v>1</v>
      </c>
      <c r="AK1611" s="42">
        <f>IFERROR(LOOKUP(W1611,打分卡!$F$15:$J$15,打分卡!$K$15:$O$15),1)</f>
        <v>1</v>
      </c>
      <c r="AL1611" s="45">
        <f t="shared" si="201"/>
        <v>1</v>
      </c>
      <c r="AM1611" s="42">
        <f>IFERROR(LOOKUP(Z1611,打分卡!$F$17:$H$17,打分卡!$K$17:$M$17),1)</f>
        <v>1</v>
      </c>
      <c r="AN1611" s="46">
        <f>(打分卡!$D$7*AC1611+打分卡!$D$8*AD1611+打分卡!$D$9*AE1611)/5</f>
        <v>8</v>
      </c>
      <c r="AO1611" s="46">
        <f>(打分卡!$D$10*AF1611+打分卡!$D$11*AG1611)/5</f>
        <v>4</v>
      </c>
      <c r="AP1611" s="46">
        <f>(打分卡!$D$12*AH1611+打分卡!$D$13*AI1611+打分卡!$D$14*AJ1611+打分卡!$D$15*AK1611)/5</f>
        <v>14</v>
      </c>
      <c r="AQ1611" s="46">
        <f>(打分卡!$D$16*AL1611+打分卡!$D$17*AM1611)/5</f>
        <v>2</v>
      </c>
      <c r="AR1611" s="48">
        <f t="shared" si="202"/>
        <v>28</v>
      </c>
      <c r="AS1611" s="45" t="str">
        <f t="shared" si="203"/>
        <v>未激活</v>
      </c>
      <c r="AT1611" s="45" t="str">
        <f t="shared" si="204"/>
        <v>连续下降-预警</v>
      </c>
      <c r="AU1611" s="45" t="str">
        <f t="shared" si="205"/>
        <v>唤醒：短信模板+首充补贴</v>
      </c>
    </row>
    <row r="1612" ht="15" customHeight="1" spans="1:47">
      <c r="A1612" s="30" t="s">
        <v>4127</v>
      </c>
      <c r="B1612" s="31" t="s">
        <v>4128</v>
      </c>
      <c r="C1612" s="31" t="s">
        <v>223</v>
      </c>
      <c r="D1612" s="31" t="s">
        <v>202</v>
      </c>
      <c r="E1612" s="31" t="s">
        <v>181</v>
      </c>
      <c r="F1612" s="30" t="s">
        <v>4129</v>
      </c>
      <c r="G1612" s="31">
        <v>27</v>
      </c>
      <c r="H1612" s="31" t="s">
        <v>3535</v>
      </c>
      <c r="I1612" s="31" t="s">
        <v>302</v>
      </c>
      <c r="J1612" s="33">
        <v>0</v>
      </c>
      <c r="K1612" s="33">
        <v>0</v>
      </c>
      <c r="L1612" s="33">
        <v>0</v>
      </c>
      <c r="M1612" s="33">
        <f t="shared" si="200"/>
        <v>0</v>
      </c>
      <c r="N1612" s="34">
        <f t="shared" si="206"/>
        <v>0</v>
      </c>
      <c r="O1612" s="35">
        <f>SUM($M$2:M1612)</f>
        <v>190743600</v>
      </c>
      <c r="P1612" s="34">
        <f t="shared" si="207"/>
        <v>1</v>
      </c>
      <c r="Q1612" s="37">
        <v>0</v>
      </c>
      <c r="R1612" s="31">
        <v>0</v>
      </c>
      <c r="S1612" s="31">
        <v>0</v>
      </c>
      <c r="T1612" s="31">
        <v>0</v>
      </c>
      <c r="U1612" s="37">
        <v>6.1</v>
      </c>
      <c r="V1612" s="31">
        <v>12</v>
      </c>
      <c r="W1612" s="31">
        <v>2</v>
      </c>
      <c r="X1612" s="38">
        <v>51</v>
      </c>
      <c r="Y1612" s="31">
        <v>1</v>
      </c>
      <c r="Z1612" s="31">
        <v>0</v>
      </c>
      <c r="AA1612" s="31" t="s">
        <v>212</v>
      </c>
      <c r="AB1612" s="31" t="s">
        <v>220</v>
      </c>
      <c r="AC1612" s="41">
        <f>IFERROR(LOOKUP(M1612,打分卡!$F$7:$J$7,打分卡!$K$7:$O$7),1)</f>
        <v>1</v>
      </c>
      <c r="AD1612" s="41">
        <f>IFERROR(LOOKUP(S1612,打分卡!$F$8:$J$8,打分卡!$K$8:$O$8),1)</f>
        <v>1</v>
      </c>
      <c r="AE1612" s="41">
        <f>IFERROR(LOOKUP(T1612,打分卡!$F$9:$I$9,打分卡!$K$9:$N$9),1)</f>
        <v>1</v>
      </c>
      <c r="AF1612" s="41">
        <f>IFERROR(LOOKUP(Q1612,打分卡!$F$10:$J$10,打分卡!$K$10:$O$10),1)</f>
        <v>1</v>
      </c>
      <c r="AG1612" s="41">
        <f>IFERROR(LOOKUP(R1612,打分卡!$F$11:$J$11,打分卡!$K$11:$O$11),1)</f>
        <v>1</v>
      </c>
      <c r="AH1612" s="41">
        <f>IFERROR(LOOKUP(U1612,打分卡!$F$12:$J$12,打分卡!$K$12:$O$12),1)</f>
        <v>2</v>
      </c>
      <c r="AI1612" s="41">
        <f>IFERROR(LOOKUP(X1612,打分卡!$F$13:$J$13,打分卡!$K$13:$O$13),1)</f>
        <v>3</v>
      </c>
      <c r="AJ1612" s="41">
        <f>IFERROR(LOOKUP(Y1612,打分卡!$F$14:$J$14,打分卡!$K$14:$O$14),1)</f>
        <v>2</v>
      </c>
      <c r="AK1612" s="41">
        <f>IFERROR(LOOKUP(W1612,打分卡!$F$15:$J$15,打分卡!$K$15:$O$15),1)</f>
        <v>2</v>
      </c>
      <c r="AL1612" s="43">
        <f t="shared" si="201"/>
        <v>1</v>
      </c>
      <c r="AM1612" s="41">
        <f>IFERROR(LOOKUP(Z1612,打分卡!$F$17:$H$17,打分卡!$K$17:$M$17),1)</f>
        <v>1</v>
      </c>
      <c r="AN1612" s="44">
        <f>(打分卡!$D$7*AC1612+打分卡!$D$8*AD1612+打分卡!$D$9*AE1612)/5</f>
        <v>8</v>
      </c>
      <c r="AO1612" s="44">
        <f>(打分卡!$D$10*AF1612+打分卡!$D$11*AG1612)/5</f>
        <v>4</v>
      </c>
      <c r="AP1612" s="44">
        <f>(打分卡!$D$12*AH1612+打分卡!$D$13*AI1612+打分卡!$D$14*AJ1612+打分卡!$D$15*AK1612)/5</f>
        <v>13.6</v>
      </c>
      <c r="AQ1612" s="44">
        <f>(打分卡!$D$16*AL1612+打分卡!$D$17*AM1612)/5</f>
        <v>2</v>
      </c>
      <c r="AR1612" s="47">
        <f t="shared" si="202"/>
        <v>27.6</v>
      </c>
      <c r="AS1612" s="43" t="str">
        <f t="shared" si="203"/>
        <v>未激活</v>
      </c>
      <c r="AT1612" s="43" t="str">
        <f t="shared" si="204"/>
        <v>连续下降-预警</v>
      </c>
      <c r="AU1612" s="43" t="str">
        <f t="shared" si="205"/>
        <v>唤醒：短信模板+首充补贴</v>
      </c>
    </row>
    <row r="1613" ht="15" customHeight="1" spans="1:47">
      <c r="A1613" s="20" t="s">
        <v>4130</v>
      </c>
      <c r="B1613" s="22" t="s">
        <v>4131</v>
      </c>
      <c r="C1613" s="22" t="s">
        <v>179</v>
      </c>
      <c r="D1613" s="22" t="s">
        <v>196</v>
      </c>
      <c r="E1613" s="22" t="s">
        <v>197</v>
      </c>
      <c r="F1613" s="20" t="s">
        <v>4132</v>
      </c>
      <c r="G1613" s="22">
        <v>34</v>
      </c>
      <c r="H1613" s="22" t="s">
        <v>3535</v>
      </c>
      <c r="I1613" s="22" t="s">
        <v>302</v>
      </c>
      <c r="J1613" s="36">
        <v>0</v>
      </c>
      <c r="K1613" s="36">
        <v>0</v>
      </c>
      <c r="L1613" s="36">
        <v>0</v>
      </c>
      <c r="M1613" s="36">
        <f t="shared" si="200"/>
        <v>0</v>
      </c>
      <c r="N1613" s="34">
        <f t="shared" si="206"/>
        <v>0</v>
      </c>
      <c r="O1613" s="35">
        <f>SUM($M$2:M1613)</f>
        <v>190743600</v>
      </c>
      <c r="P1613" s="34">
        <f t="shared" si="207"/>
        <v>1</v>
      </c>
      <c r="Q1613" s="39">
        <v>0</v>
      </c>
      <c r="R1613" s="22">
        <v>0</v>
      </c>
      <c r="S1613" s="22">
        <v>0</v>
      </c>
      <c r="T1613" s="22">
        <v>0</v>
      </c>
      <c r="U1613" s="39">
        <v>1</v>
      </c>
      <c r="V1613" s="22">
        <v>1</v>
      </c>
      <c r="W1613" s="22">
        <v>2</v>
      </c>
      <c r="X1613" s="40">
        <v>31</v>
      </c>
      <c r="Y1613" s="22">
        <v>0</v>
      </c>
      <c r="Z1613" s="22">
        <v>0</v>
      </c>
      <c r="AA1613" s="22" t="s">
        <v>212</v>
      </c>
      <c r="AB1613" s="22" t="s">
        <v>220</v>
      </c>
      <c r="AC1613" s="42">
        <f>IFERROR(LOOKUP(M1613,打分卡!$F$7:$J$7,打分卡!$K$7:$O$7),1)</f>
        <v>1</v>
      </c>
      <c r="AD1613" s="42">
        <f>IFERROR(LOOKUP(S1613,打分卡!$F$8:$J$8,打分卡!$K$8:$O$8),1)</f>
        <v>1</v>
      </c>
      <c r="AE1613" s="42">
        <f>IFERROR(LOOKUP(T1613,打分卡!$F$9:$I$9,打分卡!$K$9:$N$9),1)</f>
        <v>1</v>
      </c>
      <c r="AF1613" s="42">
        <f>IFERROR(LOOKUP(Q1613,打分卡!$F$10:$J$10,打分卡!$K$10:$O$10),1)</f>
        <v>1</v>
      </c>
      <c r="AG1613" s="42">
        <f>IFERROR(LOOKUP(R1613,打分卡!$F$11:$J$11,打分卡!$K$11:$O$11),1)</f>
        <v>1</v>
      </c>
      <c r="AH1613" s="42">
        <f>IFERROR(LOOKUP(U1613,打分卡!$F$12:$J$12,打分卡!$K$12:$O$12),1)</f>
        <v>1</v>
      </c>
      <c r="AI1613" s="42">
        <f>IFERROR(LOOKUP(X1613,打分卡!$F$13:$J$13,打分卡!$K$13:$O$13),1)</f>
        <v>2</v>
      </c>
      <c r="AJ1613" s="42">
        <f>IFERROR(LOOKUP(Y1613,打分卡!$F$14:$J$14,打分卡!$K$14:$O$14),1)</f>
        <v>1</v>
      </c>
      <c r="AK1613" s="42">
        <f>IFERROR(LOOKUP(W1613,打分卡!$F$15:$J$15,打分卡!$K$15:$O$15),1)</f>
        <v>2</v>
      </c>
      <c r="AL1613" s="45">
        <f t="shared" si="201"/>
        <v>1</v>
      </c>
      <c r="AM1613" s="42">
        <f>IFERROR(LOOKUP(Z1613,打分卡!$F$17:$H$17,打分卡!$K$17:$M$17),1)</f>
        <v>1</v>
      </c>
      <c r="AN1613" s="46">
        <f>(打分卡!$D$7*AC1613+打分卡!$D$8*AD1613+打分卡!$D$9*AE1613)/5</f>
        <v>8</v>
      </c>
      <c r="AO1613" s="46">
        <f>(打分卡!$D$10*AF1613+打分卡!$D$11*AG1613)/5</f>
        <v>4</v>
      </c>
      <c r="AP1613" s="46">
        <f>(打分卡!$D$12*AH1613+打分卡!$D$13*AI1613+打分卡!$D$14*AJ1613+打分卡!$D$15*AK1613)/5</f>
        <v>8.4</v>
      </c>
      <c r="AQ1613" s="46">
        <f>(打分卡!$D$16*AL1613+打分卡!$D$17*AM1613)/5</f>
        <v>2</v>
      </c>
      <c r="AR1613" s="48">
        <f t="shared" si="202"/>
        <v>22.4</v>
      </c>
      <c r="AS1613" s="45" t="str">
        <f t="shared" si="203"/>
        <v>未激活</v>
      </c>
      <c r="AT1613" s="45" t="str">
        <f t="shared" si="204"/>
        <v>连续下降-预警</v>
      </c>
      <c r="AU1613" s="45" t="str">
        <f t="shared" si="205"/>
        <v>唤醒：短信模板+首充补贴</v>
      </c>
    </row>
    <row r="1614" ht="15" customHeight="1" spans="1:47">
      <c r="A1614" s="30" t="s">
        <v>4133</v>
      </c>
      <c r="B1614" s="31" t="s">
        <v>4134</v>
      </c>
      <c r="C1614" s="31" t="s">
        <v>179</v>
      </c>
      <c r="D1614" s="31" t="s">
        <v>196</v>
      </c>
      <c r="E1614" s="31" t="s">
        <v>197</v>
      </c>
      <c r="F1614" s="30" t="s">
        <v>879</v>
      </c>
      <c r="G1614" s="31">
        <v>21</v>
      </c>
      <c r="H1614" s="31" t="s">
        <v>3535</v>
      </c>
      <c r="I1614" s="31" t="s">
        <v>302</v>
      </c>
      <c r="J1614" s="33">
        <v>0</v>
      </c>
      <c r="K1614" s="33">
        <v>0</v>
      </c>
      <c r="L1614" s="33">
        <v>0</v>
      </c>
      <c r="M1614" s="33">
        <f t="shared" si="200"/>
        <v>0</v>
      </c>
      <c r="N1614" s="34">
        <f t="shared" si="206"/>
        <v>0</v>
      </c>
      <c r="O1614" s="35">
        <f>SUM($M$2:M1614)</f>
        <v>190743600</v>
      </c>
      <c r="P1614" s="34">
        <f t="shared" si="207"/>
        <v>1</v>
      </c>
      <c r="Q1614" s="37">
        <v>0</v>
      </c>
      <c r="R1614" s="31">
        <v>0</v>
      </c>
      <c r="S1614" s="31">
        <v>0</v>
      </c>
      <c r="T1614" s="31">
        <v>0</v>
      </c>
      <c r="U1614" s="37">
        <v>28.1</v>
      </c>
      <c r="V1614" s="31">
        <v>9</v>
      </c>
      <c r="W1614" s="31">
        <v>1</v>
      </c>
      <c r="X1614" s="38">
        <v>58</v>
      </c>
      <c r="Y1614" s="31">
        <v>0</v>
      </c>
      <c r="Z1614" s="31">
        <v>0</v>
      </c>
      <c r="AA1614" s="31" t="s">
        <v>212</v>
      </c>
      <c r="AB1614" s="31" t="s">
        <v>220</v>
      </c>
      <c r="AC1614" s="41">
        <f>IFERROR(LOOKUP(M1614,打分卡!$F$7:$J$7,打分卡!$K$7:$O$7),1)</f>
        <v>1</v>
      </c>
      <c r="AD1614" s="41">
        <f>IFERROR(LOOKUP(S1614,打分卡!$F$8:$J$8,打分卡!$K$8:$O$8),1)</f>
        <v>1</v>
      </c>
      <c r="AE1614" s="41">
        <f>IFERROR(LOOKUP(T1614,打分卡!$F$9:$I$9,打分卡!$K$9:$N$9),1)</f>
        <v>1</v>
      </c>
      <c r="AF1614" s="41">
        <f>IFERROR(LOOKUP(Q1614,打分卡!$F$10:$J$10,打分卡!$K$10:$O$10),1)</f>
        <v>1</v>
      </c>
      <c r="AG1614" s="41">
        <f>IFERROR(LOOKUP(R1614,打分卡!$F$11:$J$11,打分卡!$K$11:$O$11),1)</f>
        <v>1</v>
      </c>
      <c r="AH1614" s="41">
        <f>IFERROR(LOOKUP(U1614,打分卡!$F$12:$J$12,打分卡!$K$12:$O$12),1)</f>
        <v>3</v>
      </c>
      <c r="AI1614" s="41">
        <f>IFERROR(LOOKUP(X1614,打分卡!$F$13:$J$13,打分卡!$K$13:$O$13),1)</f>
        <v>3</v>
      </c>
      <c r="AJ1614" s="41">
        <f>IFERROR(LOOKUP(Y1614,打分卡!$F$14:$J$14,打分卡!$K$14:$O$14),1)</f>
        <v>1</v>
      </c>
      <c r="AK1614" s="41">
        <f>IFERROR(LOOKUP(W1614,打分卡!$F$15:$J$15,打分卡!$K$15:$O$15),1)</f>
        <v>2</v>
      </c>
      <c r="AL1614" s="43">
        <f t="shared" si="201"/>
        <v>1</v>
      </c>
      <c r="AM1614" s="41">
        <f>IFERROR(LOOKUP(Z1614,打分卡!$F$17:$H$17,打分卡!$K$17:$M$17),1)</f>
        <v>1</v>
      </c>
      <c r="AN1614" s="44">
        <f>(打分卡!$D$7*AC1614+打分卡!$D$8*AD1614+打分卡!$D$9*AE1614)/5</f>
        <v>8</v>
      </c>
      <c r="AO1614" s="44">
        <f>(打分卡!$D$10*AF1614+打分卡!$D$11*AG1614)/5</f>
        <v>4</v>
      </c>
      <c r="AP1614" s="44">
        <f>(打分卡!$D$12*AH1614+打分卡!$D$13*AI1614+打分卡!$D$14*AJ1614+打分卡!$D$15*AK1614)/5</f>
        <v>14.8</v>
      </c>
      <c r="AQ1614" s="44">
        <f>(打分卡!$D$16*AL1614+打分卡!$D$17*AM1614)/5</f>
        <v>2</v>
      </c>
      <c r="AR1614" s="47">
        <f t="shared" si="202"/>
        <v>28.8</v>
      </c>
      <c r="AS1614" s="43" t="str">
        <f t="shared" si="203"/>
        <v>未激活</v>
      </c>
      <c r="AT1614" s="43" t="str">
        <f t="shared" si="204"/>
        <v>连续下降-预警</v>
      </c>
      <c r="AU1614" s="43" t="str">
        <f t="shared" si="205"/>
        <v>唤醒：短信模板+首充补贴</v>
      </c>
    </row>
    <row r="1615" ht="15" customHeight="1" spans="1:47">
      <c r="A1615" s="20" t="s">
        <v>4135</v>
      </c>
      <c r="B1615" s="22" t="s">
        <v>4136</v>
      </c>
      <c r="C1615" s="22" t="s">
        <v>189</v>
      </c>
      <c r="D1615" s="22" t="s">
        <v>227</v>
      </c>
      <c r="E1615" s="22" t="s">
        <v>197</v>
      </c>
      <c r="F1615" s="20" t="s">
        <v>1600</v>
      </c>
      <c r="G1615" s="22">
        <v>20</v>
      </c>
      <c r="H1615" s="22" t="s">
        <v>3535</v>
      </c>
      <c r="I1615" s="22" t="s">
        <v>302</v>
      </c>
      <c r="J1615" s="36">
        <v>0</v>
      </c>
      <c r="K1615" s="36">
        <v>0</v>
      </c>
      <c r="L1615" s="36">
        <v>0</v>
      </c>
      <c r="M1615" s="36">
        <f t="shared" si="200"/>
        <v>0</v>
      </c>
      <c r="N1615" s="34">
        <f t="shared" si="206"/>
        <v>0</v>
      </c>
      <c r="O1615" s="35">
        <f>SUM($M$2:M1615)</f>
        <v>190743600</v>
      </c>
      <c r="P1615" s="34">
        <f t="shared" si="207"/>
        <v>1</v>
      </c>
      <c r="Q1615" s="39">
        <v>0</v>
      </c>
      <c r="R1615" s="22">
        <v>0</v>
      </c>
      <c r="S1615" s="22">
        <v>0</v>
      </c>
      <c r="T1615" s="22">
        <v>0</v>
      </c>
      <c r="U1615" s="39">
        <v>1.8</v>
      </c>
      <c r="V1615" s="22">
        <v>10</v>
      </c>
      <c r="W1615" s="22">
        <v>1</v>
      </c>
      <c r="X1615" s="40">
        <v>18</v>
      </c>
      <c r="Y1615" s="22">
        <v>1</v>
      </c>
      <c r="Z1615" s="22">
        <v>0</v>
      </c>
      <c r="AA1615" s="22" t="s">
        <v>212</v>
      </c>
      <c r="AB1615" s="22" t="s">
        <v>220</v>
      </c>
      <c r="AC1615" s="42">
        <f>IFERROR(LOOKUP(M1615,打分卡!$F$7:$J$7,打分卡!$K$7:$O$7),1)</f>
        <v>1</v>
      </c>
      <c r="AD1615" s="42">
        <f>IFERROR(LOOKUP(S1615,打分卡!$F$8:$J$8,打分卡!$K$8:$O$8),1)</f>
        <v>1</v>
      </c>
      <c r="AE1615" s="42">
        <f>IFERROR(LOOKUP(T1615,打分卡!$F$9:$I$9,打分卡!$K$9:$N$9),1)</f>
        <v>1</v>
      </c>
      <c r="AF1615" s="42">
        <f>IFERROR(LOOKUP(Q1615,打分卡!$F$10:$J$10,打分卡!$K$10:$O$10),1)</f>
        <v>1</v>
      </c>
      <c r="AG1615" s="42">
        <f>IFERROR(LOOKUP(R1615,打分卡!$F$11:$J$11,打分卡!$K$11:$O$11),1)</f>
        <v>1</v>
      </c>
      <c r="AH1615" s="42">
        <f>IFERROR(LOOKUP(U1615,打分卡!$F$12:$J$12,打分卡!$K$12:$O$12),1)</f>
        <v>1</v>
      </c>
      <c r="AI1615" s="42">
        <f>IFERROR(LOOKUP(X1615,打分卡!$F$13:$J$13,打分卡!$K$13:$O$13),1)</f>
        <v>2</v>
      </c>
      <c r="AJ1615" s="42">
        <f>IFERROR(LOOKUP(Y1615,打分卡!$F$14:$J$14,打分卡!$K$14:$O$14),1)</f>
        <v>2</v>
      </c>
      <c r="AK1615" s="42">
        <f>IFERROR(LOOKUP(W1615,打分卡!$F$15:$J$15,打分卡!$K$15:$O$15),1)</f>
        <v>2</v>
      </c>
      <c r="AL1615" s="45">
        <f t="shared" si="201"/>
        <v>1</v>
      </c>
      <c r="AM1615" s="42">
        <f>IFERROR(LOOKUP(Z1615,打分卡!$F$17:$H$17,打分卡!$K$17:$M$17),1)</f>
        <v>1</v>
      </c>
      <c r="AN1615" s="46">
        <f>(打分卡!$D$7*AC1615+打分卡!$D$8*AD1615+打分卡!$D$9*AE1615)/5</f>
        <v>8</v>
      </c>
      <c r="AO1615" s="46">
        <f>(打分卡!$D$10*AF1615+打分卡!$D$11*AG1615)/5</f>
        <v>4</v>
      </c>
      <c r="AP1615" s="46">
        <f>(打分卡!$D$12*AH1615+打分卡!$D$13*AI1615+打分卡!$D$14*AJ1615+打分卡!$D$15*AK1615)/5</f>
        <v>9.6</v>
      </c>
      <c r="AQ1615" s="46">
        <f>(打分卡!$D$16*AL1615+打分卡!$D$17*AM1615)/5</f>
        <v>2</v>
      </c>
      <c r="AR1615" s="48">
        <f t="shared" si="202"/>
        <v>23.6</v>
      </c>
      <c r="AS1615" s="45" t="str">
        <f t="shared" si="203"/>
        <v>未激活</v>
      </c>
      <c r="AT1615" s="45" t="str">
        <f t="shared" si="204"/>
        <v>连续下降-预警</v>
      </c>
      <c r="AU1615" s="45" t="str">
        <f t="shared" si="205"/>
        <v>唤醒：短信模板+首充补贴</v>
      </c>
    </row>
    <row r="1616" ht="15" customHeight="1" spans="1:47">
      <c r="A1616" s="30" t="s">
        <v>4137</v>
      </c>
      <c r="B1616" s="31" t="s">
        <v>4138</v>
      </c>
      <c r="C1616" s="31" t="s">
        <v>179</v>
      </c>
      <c r="D1616" s="31" t="s">
        <v>235</v>
      </c>
      <c r="E1616" s="31" t="s">
        <v>181</v>
      </c>
      <c r="F1616" s="30" t="s">
        <v>615</v>
      </c>
      <c r="G1616" s="31">
        <v>14</v>
      </c>
      <c r="H1616" s="31" t="s">
        <v>3535</v>
      </c>
      <c r="I1616" s="31" t="s">
        <v>302</v>
      </c>
      <c r="J1616" s="33">
        <v>0</v>
      </c>
      <c r="K1616" s="33">
        <v>0</v>
      </c>
      <c r="L1616" s="33">
        <v>0</v>
      </c>
      <c r="M1616" s="33">
        <f t="shared" si="200"/>
        <v>0</v>
      </c>
      <c r="N1616" s="34">
        <f t="shared" si="206"/>
        <v>0</v>
      </c>
      <c r="O1616" s="35">
        <f>SUM($M$2:M1616)</f>
        <v>190743600</v>
      </c>
      <c r="P1616" s="34">
        <f t="shared" si="207"/>
        <v>1</v>
      </c>
      <c r="Q1616" s="37">
        <v>0</v>
      </c>
      <c r="R1616" s="31">
        <v>0</v>
      </c>
      <c r="S1616" s="31">
        <v>0</v>
      </c>
      <c r="T1616" s="31">
        <v>0</v>
      </c>
      <c r="U1616" s="37">
        <v>2</v>
      </c>
      <c r="V1616" s="31">
        <v>9</v>
      </c>
      <c r="W1616" s="31">
        <v>1</v>
      </c>
      <c r="X1616" s="38">
        <v>15</v>
      </c>
      <c r="Y1616" s="31">
        <v>0</v>
      </c>
      <c r="Z1616" s="31">
        <v>0</v>
      </c>
      <c r="AA1616" s="31" t="s">
        <v>212</v>
      </c>
      <c r="AB1616" s="31" t="s">
        <v>220</v>
      </c>
      <c r="AC1616" s="41">
        <f>IFERROR(LOOKUP(M1616,打分卡!$F$7:$J$7,打分卡!$K$7:$O$7),1)</f>
        <v>1</v>
      </c>
      <c r="AD1616" s="41">
        <f>IFERROR(LOOKUP(S1616,打分卡!$F$8:$J$8,打分卡!$K$8:$O$8),1)</f>
        <v>1</v>
      </c>
      <c r="AE1616" s="41">
        <f>IFERROR(LOOKUP(T1616,打分卡!$F$9:$I$9,打分卡!$K$9:$N$9),1)</f>
        <v>1</v>
      </c>
      <c r="AF1616" s="41">
        <f>IFERROR(LOOKUP(Q1616,打分卡!$F$10:$J$10,打分卡!$K$10:$O$10),1)</f>
        <v>1</v>
      </c>
      <c r="AG1616" s="41">
        <f>IFERROR(LOOKUP(R1616,打分卡!$F$11:$J$11,打分卡!$K$11:$O$11),1)</f>
        <v>1</v>
      </c>
      <c r="AH1616" s="41">
        <f>IFERROR(LOOKUP(U1616,打分卡!$F$12:$J$12,打分卡!$K$12:$O$12),1)</f>
        <v>1</v>
      </c>
      <c r="AI1616" s="41">
        <f>IFERROR(LOOKUP(X1616,打分卡!$F$13:$J$13,打分卡!$K$13:$O$13),1)</f>
        <v>1</v>
      </c>
      <c r="AJ1616" s="41">
        <f>IFERROR(LOOKUP(Y1616,打分卡!$F$14:$J$14,打分卡!$K$14:$O$14),1)</f>
        <v>1</v>
      </c>
      <c r="AK1616" s="41">
        <f>IFERROR(LOOKUP(W1616,打分卡!$F$15:$J$15,打分卡!$K$15:$O$15),1)</f>
        <v>2</v>
      </c>
      <c r="AL1616" s="43">
        <f t="shared" si="201"/>
        <v>1</v>
      </c>
      <c r="AM1616" s="41">
        <f>IFERROR(LOOKUP(Z1616,打分卡!$F$17:$H$17,打分卡!$K$17:$M$17),1)</f>
        <v>1</v>
      </c>
      <c r="AN1616" s="44">
        <f>(打分卡!$D$7*AC1616+打分卡!$D$8*AD1616+打分卡!$D$9*AE1616)/5</f>
        <v>8</v>
      </c>
      <c r="AO1616" s="44">
        <f>(打分卡!$D$10*AF1616+打分卡!$D$11*AG1616)/5</f>
        <v>4</v>
      </c>
      <c r="AP1616" s="44">
        <f>(打分卡!$D$12*AH1616+打分卡!$D$13*AI1616+打分卡!$D$14*AJ1616+打分卡!$D$15*AK1616)/5</f>
        <v>6.8</v>
      </c>
      <c r="AQ1616" s="44">
        <f>(打分卡!$D$16*AL1616+打分卡!$D$17*AM1616)/5</f>
        <v>2</v>
      </c>
      <c r="AR1616" s="47">
        <f t="shared" si="202"/>
        <v>20.8</v>
      </c>
      <c r="AS1616" s="43" t="str">
        <f t="shared" si="203"/>
        <v>未激活</v>
      </c>
      <c r="AT1616" s="43" t="str">
        <f t="shared" si="204"/>
        <v>连续下降-预警</v>
      </c>
      <c r="AU1616" s="43" t="str">
        <f t="shared" si="205"/>
        <v>唤醒：短信模板+首充补贴</v>
      </c>
    </row>
    <row r="1617" ht="15" customHeight="1" spans="1:47">
      <c r="A1617" s="20" t="s">
        <v>4139</v>
      </c>
      <c r="B1617" s="22" t="s">
        <v>4140</v>
      </c>
      <c r="C1617" s="22" t="s">
        <v>189</v>
      </c>
      <c r="D1617" s="22" t="s">
        <v>196</v>
      </c>
      <c r="E1617" s="22" t="s">
        <v>181</v>
      </c>
      <c r="F1617" s="20" t="s">
        <v>1329</v>
      </c>
      <c r="G1617" s="22">
        <v>15</v>
      </c>
      <c r="H1617" s="22" t="s">
        <v>3535</v>
      </c>
      <c r="I1617" s="22" t="s">
        <v>302</v>
      </c>
      <c r="J1617" s="36">
        <v>0</v>
      </c>
      <c r="K1617" s="36">
        <v>0</v>
      </c>
      <c r="L1617" s="36">
        <v>0</v>
      </c>
      <c r="M1617" s="36">
        <f t="shared" si="200"/>
        <v>0</v>
      </c>
      <c r="N1617" s="34">
        <f t="shared" si="206"/>
        <v>0</v>
      </c>
      <c r="O1617" s="35">
        <f>SUM($M$2:M1617)</f>
        <v>190743600</v>
      </c>
      <c r="P1617" s="34">
        <f t="shared" si="207"/>
        <v>1</v>
      </c>
      <c r="Q1617" s="39">
        <v>0</v>
      </c>
      <c r="R1617" s="22">
        <v>0</v>
      </c>
      <c r="S1617" s="22">
        <v>0</v>
      </c>
      <c r="T1617" s="22">
        <v>0</v>
      </c>
      <c r="U1617" s="39">
        <v>4.8</v>
      </c>
      <c r="V1617" s="22">
        <v>14</v>
      </c>
      <c r="W1617" s="22">
        <v>2</v>
      </c>
      <c r="X1617" s="40">
        <v>16</v>
      </c>
      <c r="Y1617" s="22">
        <v>1</v>
      </c>
      <c r="Z1617" s="22">
        <v>0</v>
      </c>
      <c r="AA1617" s="22" t="s">
        <v>212</v>
      </c>
      <c r="AB1617" s="22" t="s">
        <v>220</v>
      </c>
      <c r="AC1617" s="42">
        <f>IFERROR(LOOKUP(M1617,打分卡!$F$7:$J$7,打分卡!$K$7:$O$7),1)</f>
        <v>1</v>
      </c>
      <c r="AD1617" s="42">
        <f>IFERROR(LOOKUP(S1617,打分卡!$F$8:$J$8,打分卡!$K$8:$O$8),1)</f>
        <v>1</v>
      </c>
      <c r="AE1617" s="42">
        <f>IFERROR(LOOKUP(T1617,打分卡!$F$9:$I$9,打分卡!$K$9:$N$9),1)</f>
        <v>1</v>
      </c>
      <c r="AF1617" s="42">
        <f>IFERROR(LOOKUP(Q1617,打分卡!$F$10:$J$10,打分卡!$K$10:$O$10),1)</f>
        <v>1</v>
      </c>
      <c r="AG1617" s="42">
        <f>IFERROR(LOOKUP(R1617,打分卡!$F$11:$J$11,打分卡!$K$11:$O$11),1)</f>
        <v>1</v>
      </c>
      <c r="AH1617" s="42">
        <f>IFERROR(LOOKUP(U1617,打分卡!$F$12:$J$12,打分卡!$K$12:$O$12),1)</f>
        <v>2</v>
      </c>
      <c r="AI1617" s="42">
        <f>IFERROR(LOOKUP(X1617,打分卡!$F$13:$J$13,打分卡!$K$13:$O$13),1)</f>
        <v>1</v>
      </c>
      <c r="AJ1617" s="42">
        <f>IFERROR(LOOKUP(Y1617,打分卡!$F$14:$J$14,打分卡!$K$14:$O$14),1)</f>
        <v>2</v>
      </c>
      <c r="AK1617" s="42">
        <f>IFERROR(LOOKUP(W1617,打分卡!$F$15:$J$15,打分卡!$K$15:$O$15),1)</f>
        <v>2</v>
      </c>
      <c r="AL1617" s="45">
        <f t="shared" si="201"/>
        <v>1</v>
      </c>
      <c r="AM1617" s="42">
        <f>IFERROR(LOOKUP(Z1617,打分卡!$F$17:$H$17,打分卡!$K$17:$M$17),1)</f>
        <v>1</v>
      </c>
      <c r="AN1617" s="46">
        <f>(打分卡!$D$7*AC1617+打分卡!$D$8*AD1617+打分卡!$D$9*AE1617)/5</f>
        <v>8</v>
      </c>
      <c r="AO1617" s="46">
        <f>(打分卡!$D$10*AF1617+打分卡!$D$11*AG1617)/5</f>
        <v>4</v>
      </c>
      <c r="AP1617" s="46">
        <f>(打分卡!$D$12*AH1617+打分卡!$D$13*AI1617+打分卡!$D$14*AJ1617+打分卡!$D$15*AK1617)/5</f>
        <v>10.4</v>
      </c>
      <c r="AQ1617" s="46">
        <f>(打分卡!$D$16*AL1617+打分卡!$D$17*AM1617)/5</f>
        <v>2</v>
      </c>
      <c r="AR1617" s="48">
        <f t="shared" si="202"/>
        <v>24.4</v>
      </c>
      <c r="AS1617" s="45" t="str">
        <f t="shared" si="203"/>
        <v>未激活</v>
      </c>
      <c r="AT1617" s="45" t="str">
        <f t="shared" si="204"/>
        <v>连续下降-预警</v>
      </c>
      <c r="AU1617" s="45" t="str">
        <f t="shared" si="205"/>
        <v>唤醒：短信模板+首充补贴</v>
      </c>
    </row>
    <row r="1618" ht="15" customHeight="1" spans="1:47">
      <c r="A1618" s="30" t="s">
        <v>4141</v>
      </c>
      <c r="B1618" s="31" t="s">
        <v>4142</v>
      </c>
      <c r="C1618" s="31" t="s">
        <v>189</v>
      </c>
      <c r="D1618" s="31" t="s">
        <v>227</v>
      </c>
      <c r="E1618" s="31" t="s">
        <v>181</v>
      </c>
      <c r="F1618" s="30" t="s">
        <v>277</v>
      </c>
      <c r="G1618" s="31">
        <v>36</v>
      </c>
      <c r="H1618" s="31" t="s">
        <v>3535</v>
      </c>
      <c r="I1618" s="31" t="s">
        <v>302</v>
      </c>
      <c r="J1618" s="33">
        <v>0</v>
      </c>
      <c r="K1618" s="33">
        <v>0</v>
      </c>
      <c r="L1618" s="33">
        <v>0</v>
      </c>
      <c r="M1618" s="33">
        <f t="shared" si="200"/>
        <v>0</v>
      </c>
      <c r="N1618" s="34">
        <f t="shared" si="206"/>
        <v>0</v>
      </c>
      <c r="O1618" s="35">
        <f>SUM($M$2:M1618)</f>
        <v>190743600</v>
      </c>
      <c r="P1618" s="34">
        <f t="shared" si="207"/>
        <v>1</v>
      </c>
      <c r="Q1618" s="37">
        <v>0</v>
      </c>
      <c r="R1618" s="31">
        <v>0</v>
      </c>
      <c r="S1618" s="31">
        <v>0</v>
      </c>
      <c r="T1618" s="31">
        <v>0</v>
      </c>
      <c r="U1618" s="37">
        <v>0.6</v>
      </c>
      <c r="V1618" s="31">
        <v>5</v>
      </c>
      <c r="W1618" s="31">
        <v>1</v>
      </c>
      <c r="X1618" s="38">
        <v>16</v>
      </c>
      <c r="Y1618" s="31">
        <v>1</v>
      </c>
      <c r="Z1618" s="31">
        <v>0</v>
      </c>
      <c r="AA1618" s="31" t="s">
        <v>212</v>
      </c>
      <c r="AB1618" s="31" t="s">
        <v>220</v>
      </c>
      <c r="AC1618" s="41">
        <f>IFERROR(LOOKUP(M1618,打分卡!$F$7:$J$7,打分卡!$K$7:$O$7),1)</f>
        <v>1</v>
      </c>
      <c r="AD1618" s="41">
        <f>IFERROR(LOOKUP(S1618,打分卡!$F$8:$J$8,打分卡!$K$8:$O$8),1)</f>
        <v>1</v>
      </c>
      <c r="AE1618" s="41">
        <f>IFERROR(LOOKUP(T1618,打分卡!$F$9:$I$9,打分卡!$K$9:$N$9),1)</f>
        <v>1</v>
      </c>
      <c r="AF1618" s="41">
        <f>IFERROR(LOOKUP(Q1618,打分卡!$F$10:$J$10,打分卡!$K$10:$O$10),1)</f>
        <v>1</v>
      </c>
      <c r="AG1618" s="41">
        <f>IFERROR(LOOKUP(R1618,打分卡!$F$11:$J$11,打分卡!$K$11:$O$11),1)</f>
        <v>1</v>
      </c>
      <c r="AH1618" s="41">
        <f>IFERROR(LOOKUP(U1618,打分卡!$F$12:$J$12,打分卡!$K$12:$O$12),1)</f>
        <v>1</v>
      </c>
      <c r="AI1618" s="41">
        <f>IFERROR(LOOKUP(X1618,打分卡!$F$13:$J$13,打分卡!$K$13:$O$13),1)</f>
        <v>1</v>
      </c>
      <c r="AJ1618" s="41">
        <f>IFERROR(LOOKUP(Y1618,打分卡!$F$14:$J$14,打分卡!$K$14:$O$14),1)</f>
        <v>2</v>
      </c>
      <c r="AK1618" s="41">
        <f>IFERROR(LOOKUP(W1618,打分卡!$F$15:$J$15,打分卡!$K$15:$O$15),1)</f>
        <v>2</v>
      </c>
      <c r="AL1618" s="43">
        <f t="shared" si="201"/>
        <v>1</v>
      </c>
      <c r="AM1618" s="41">
        <f>IFERROR(LOOKUP(Z1618,打分卡!$F$17:$H$17,打分卡!$K$17:$M$17),1)</f>
        <v>1</v>
      </c>
      <c r="AN1618" s="44">
        <f>(打分卡!$D$7*AC1618+打分卡!$D$8*AD1618+打分卡!$D$9*AE1618)/5</f>
        <v>8</v>
      </c>
      <c r="AO1618" s="44">
        <f>(打分卡!$D$10*AF1618+打分卡!$D$11*AG1618)/5</f>
        <v>4</v>
      </c>
      <c r="AP1618" s="44">
        <f>(打分卡!$D$12*AH1618+打分卡!$D$13*AI1618+打分卡!$D$14*AJ1618+打分卡!$D$15*AK1618)/5</f>
        <v>8</v>
      </c>
      <c r="AQ1618" s="44">
        <f>(打分卡!$D$16*AL1618+打分卡!$D$17*AM1618)/5</f>
        <v>2</v>
      </c>
      <c r="AR1618" s="47">
        <f t="shared" si="202"/>
        <v>22</v>
      </c>
      <c r="AS1618" s="43" t="str">
        <f t="shared" si="203"/>
        <v>未激活</v>
      </c>
      <c r="AT1618" s="43" t="str">
        <f t="shared" si="204"/>
        <v>连续下降-预警</v>
      </c>
      <c r="AU1618" s="43" t="str">
        <f t="shared" si="205"/>
        <v>唤醒：短信模板+首充补贴</v>
      </c>
    </row>
    <row r="1619" ht="15" customHeight="1" spans="1:47">
      <c r="A1619" s="20" t="s">
        <v>4143</v>
      </c>
      <c r="B1619" s="22" t="s">
        <v>4144</v>
      </c>
      <c r="C1619" s="22" t="s">
        <v>179</v>
      </c>
      <c r="D1619" s="22" t="s">
        <v>202</v>
      </c>
      <c r="E1619" s="22" t="s">
        <v>181</v>
      </c>
      <c r="F1619" s="20" t="s">
        <v>4145</v>
      </c>
      <c r="G1619" s="22">
        <v>34</v>
      </c>
      <c r="H1619" s="22" t="s">
        <v>3535</v>
      </c>
      <c r="I1619" s="22" t="s">
        <v>302</v>
      </c>
      <c r="J1619" s="36">
        <v>0</v>
      </c>
      <c r="K1619" s="36">
        <v>0</v>
      </c>
      <c r="L1619" s="36">
        <v>0</v>
      </c>
      <c r="M1619" s="36">
        <f t="shared" si="200"/>
        <v>0</v>
      </c>
      <c r="N1619" s="34">
        <f t="shared" si="206"/>
        <v>0</v>
      </c>
      <c r="O1619" s="35">
        <f>SUM($M$2:M1619)</f>
        <v>190743600</v>
      </c>
      <c r="P1619" s="34">
        <f t="shared" si="207"/>
        <v>1</v>
      </c>
      <c r="Q1619" s="39">
        <v>0</v>
      </c>
      <c r="R1619" s="22">
        <v>0</v>
      </c>
      <c r="S1619" s="22">
        <v>0</v>
      </c>
      <c r="T1619" s="22">
        <v>0</v>
      </c>
      <c r="U1619" s="39">
        <v>4.4</v>
      </c>
      <c r="V1619" s="22">
        <v>11</v>
      </c>
      <c r="W1619" s="22">
        <v>0</v>
      </c>
      <c r="X1619" s="40">
        <v>14</v>
      </c>
      <c r="Y1619" s="22">
        <v>0</v>
      </c>
      <c r="Z1619" s="22">
        <v>0</v>
      </c>
      <c r="AA1619" s="22" t="s">
        <v>212</v>
      </c>
      <c r="AB1619" s="22" t="s">
        <v>220</v>
      </c>
      <c r="AC1619" s="42">
        <f>IFERROR(LOOKUP(M1619,打分卡!$F$7:$J$7,打分卡!$K$7:$O$7),1)</f>
        <v>1</v>
      </c>
      <c r="AD1619" s="42">
        <f>IFERROR(LOOKUP(S1619,打分卡!$F$8:$J$8,打分卡!$K$8:$O$8),1)</f>
        <v>1</v>
      </c>
      <c r="AE1619" s="42">
        <f>IFERROR(LOOKUP(T1619,打分卡!$F$9:$I$9,打分卡!$K$9:$N$9),1)</f>
        <v>1</v>
      </c>
      <c r="AF1619" s="42">
        <f>IFERROR(LOOKUP(Q1619,打分卡!$F$10:$J$10,打分卡!$K$10:$O$10),1)</f>
        <v>1</v>
      </c>
      <c r="AG1619" s="42">
        <f>IFERROR(LOOKUP(R1619,打分卡!$F$11:$J$11,打分卡!$K$11:$O$11),1)</f>
        <v>1</v>
      </c>
      <c r="AH1619" s="42">
        <f>IFERROR(LOOKUP(U1619,打分卡!$F$12:$J$12,打分卡!$K$12:$O$12),1)</f>
        <v>2</v>
      </c>
      <c r="AI1619" s="42">
        <f>IFERROR(LOOKUP(X1619,打分卡!$F$13:$J$13,打分卡!$K$13:$O$13),1)</f>
        <v>1</v>
      </c>
      <c r="AJ1619" s="42">
        <f>IFERROR(LOOKUP(Y1619,打分卡!$F$14:$J$14,打分卡!$K$14:$O$14),1)</f>
        <v>1</v>
      </c>
      <c r="AK1619" s="42">
        <f>IFERROR(LOOKUP(W1619,打分卡!$F$15:$J$15,打分卡!$K$15:$O$15),1)</f>
        <v>1</v>
      </c>
      <c r="AL1619" s="45">
        <f t="shared" si="201"/>
        <v>1</v>
      </c>
      <c r="AM1619" s="42">
        <f>IFERROR(LOOKUP(Z1619,打分卡!$F$17:$H$17,打分卡!$K$17:$M$17),1)</f>
        <v>1</v>
      </c>
      <c r="AN1619" s="46">
        <f>(打分卡!$D$7*AC1619+打分卡!$D$8*AD1619+打分卡!$D$9*AE1619)/5</f>
        <v>8</v>
      </c>
      <c r="AO1619" s="46">
        <f>(打分卡!$D$10*AF1619+打分卡!$D$11*AG1619)/5</f>
        <v>4</v>
      </c>
      <c r="AP1619" s="46">
        <f>(打分卡!$D$12*AH1619+打分卡!$D$13*AI1619+打分卡!$D$14*AJ1619+打分卡!$D$15*AK1619)/5</f>
        <v>8.4</v>
      </c>
      <c r="AQ1619" s="46">
        <f>(打分卡!$D$16*AL1619+打分卡!$D$17*AM1619)/5</f>
        <v>2</v>
      </c>
      <c r="AR1619" s="48">
        <f t="shared" si="202"/>
        <v>22.4</v>
      </c>
      <c r="AS1619" s="45" t="str">
        <f t="shared" si="203"/>
        <v>未激活</v>
      </c>
      <c r="AT1619" s="45" t="str">
        <f t="shared" si="204"/>
        <v>连续下降-预警</v>
      </c>
      <c r="AU1619" s="45" t="str">
        <f t="shared" si="205"/>
        <v>唤醒：短信模板+首充补贴</v>
      </c>
    </row>
    <row r="1620" ht="15" customHeight="1" spans="1:47">
      <c r="A1620" s="30" t="s">
        <v>4146</v>
      </c>
      <c r="B1620" s="31" t="s">
        <v>4147</v>
      </c>
      <c r="C1620" s="31" t="s">
        <v>234</v>
      </c>
      <c r="D1620" s="31" t="s">
        <v>202</v>
      </c>
      <c r="E1620" s="31" t="s">
        <v>181</v>
      </c>
      <c r="F1620" s="30" t="s">
        <v>4148</v>
      </c>
      <c r="G1620" s="31">
        <v>31</v>
      </c>
      <c r="H1620" s="31" t="s">
        <v>3535</v>
      </c>
      <c r="I1620" s="31" t="s">
        <v>302</v>
      </c>
      <c r="J1620" s="33">
        <v>0</v>
      </c>
      <c r="K1620" s="33">
        <v>0</v>
      </c>
      <c r="L1620" s="33">
        <v>0</v>
      </c>
      <c r="M1620" s="33">
        <f t="shared" si="200"/>
        <v>0</v>
      </c>
      <c r="N1620" s="34">
        <f t="shared" si="206"/>
        <v>0</v>
      </c>
      <c r="O1620" s="35">
        <f>SUM($M$2:M1620)</f>
        <v>190743600</v>
      </c>
      <c r="P1620" s="34">
        <f t="shared" si="207"/>
        <v>1</v>
      </c>
      <c r="Q1620" s="37">
        <v>0</v>
      </c>
      <c r="R1620" s="31">
        <v>0</v>
      </c>
      <c r="S1620" s="31">
        <v>0</v>
      </c>
      <c r="T1620" s="31">
        <v>0</v>
      </c>
      <c r="U1620" s="37">
        <v>29.3</v>
      </c>
      <c r="V1620" s="31">
        <v>12</v>
      </c>
      <c r="W1620" s="31">
        <v>0</v>
      </c>
      <c r="X1620" s="38">
        <v>15</v>
      </c>
      <c r="Y1620" s="31">
        <v>0</v>
      </c>
      <c r="Z1620" s="31">
        <v>0</v>
      </c>
      <c r="AA1620" s="31" t="s">
        <v>212</v>
      </c>
      <c r="AB1620" s="31" t="s">
        <v>220</v>
      </c>
      <c r="AC1620" s="41">
        <f>IFERROR(LOOKUP(M1620,打分卡!$F$7:$J$7,打分卡!$K$7:$O$7),1)</f>
        <v>1</v>
      </c>
      <c r="AD1620" s="41">
        <f>IFERROR(LOOKUP(S1620,打分卡!$F$8:$J$8,打分卡!$K$8:$O$8),1)</f>
        <v>1</v>
      </c>
      <c r="AE1620" s="41">
        <f>IFERROR(LOOKUP(T1620,打分卡!$F$9:$I$9,打分卡!$K$9:$N$9),1)</f>
        <v>1</v>
      </c>
      <c r="AF1620" s="41">
        <f>IFERROR(LOOKUP(Q1620,打分卡!$F$10:$J$10,打分卡!$K$10:$O$10),1)</f>
        <v>1</v>
      </c>
      <c r="AG1620" s="41">
        <f>IFERROR(LOOKUP(R1620,打分卡!$F$11:$J$11,打分卡!$K$11:$O$11),1)</f>
        <v>1</v>
      </c>
      <c r="AH1620" s="41">
        <f>IFERROR(LOOKUP(U1620,打分卡!$F$12:$J$12,打分卡!$K$12:$O$12),1)</f>
        <v>3</v>
      </c>
      <c r="AI1620" s="41">
        <f>IFERROR(LOOKUP(X1620,打分卡!$F$13:$J$13,打分卡!$K$13:$O$13),1)</f>
        <v>1</v>
      </c>
      <c r="AJ1620" s="41">
        <f>IFERROR(LOOKUP(Y1620,打分卡!$F$14:$J$14,打分卡!$K$14:$O$14),1)</f>
        <v>1</v>
      </c>
      <c r="AK1620" s="41">
        <f>IFERROR(LOOKUP(W1620,打分卡!$F$15:$J$15,打分卡!$K$15:$O$15),1)</f>
        <v>1</v>
      </c>
      <c r="AL1620" s="43">
        <f t="shared" si="201"/>
        <v>1</v>
      </c>
      <c r="AM1620" s="41">
        <f>IFERROR(LOOKUP(Z1620,打分卡!$F$17:$H$17,打分卡!$K$17:$M$17),1)</f>
        <v>1</v>
      </c>
      <c r="AN1620" s="44">
        <f>(打分卡!$D$7*AC1620+打分卡!$D$8*AD1620+打分卡!$D$9*AE1620)/5</f>
        <v>8</v>
      </c>
      <c r="AO1620" s="44">
        <f>(打分卡!$D$10*AF1620+打分卡!$D$11*AG1620)/5</f>
        <v>4</v>
      </c>
      <c r="AP1620" s="44">
        <f>(打分卡!$D$12*AH1620+打分卡!$D$13*AI1620+打分卡!$D$14*AJ1620+打分卡!$D$15*AK1620)/5</f>
        <v>10.8</v>
      </c>
      <c r="AQ1620" s="44">
        <f>(打分卡!$D$16*AL1620+打分卡!$D$17*AM1620)/5</f>
        <v>2</v>
      </c>
      <c r="AR1620" s="47">
        <f t="shared" si="202"/>
        <v>24.8</v>
      </c>
      <c r="AS1620" s="43" t="str">
        <f t="shared" si="203"/>
        <v>未激活</v>
      </c>
      <c r="AT1620" s="43" t="str">
        <f t="shared" si="204"/>
        <v>连续下降-预警</v>
      </c>
      <c r="AU1620" s="43" t="str">
        <f t="shared" si="205"/>
        <v>唤醒：短信模板+首充补贴</v>
      </c>
    </row>
    <row r="1621" ht="15" customHeight="1" spans="1:47">
      <c r="A1621" s="20" t="s">
        <v>4149</v>
      </c>
      <c r="B1621" s="22" t="s">
        <v>4150</v>
      </c>
      <c r="C1621" s="22" t="s">
        <v>239</v>
      </c>
      <c r="D1621" s="22" t="s">
        <v>202</v>
      </c>
      <c r="E1621" s="22" t="s">
        <v>181</v>
      </c>
      <c r="F1621" s="20" t="s">
        <v>4151</v>
      </c>
      <c r="G1621" s="22">
        <v>12</v>
      </c>
      <c r="H1621" s="22" t="s">
        <v>3535</v>
      </c>
      <c r="I1621" s="22" t="s">
        <v>302</v>
      </c>
      <c r="J1621" s="36">
        <v>0</v>
      </c>
      <c r="K1621" s="36">
        <v>0</v>
      </c>
      <c r="L1621" s="36">
        <v>0</v>
      </c>
      <c r="M1621" s="36">
        <f t="shared" si="200"/>
        <v>0</v>
      </c>
      <c r="N1621" s="34">
        <f t="shared" si="206"/>
        <v>0</v>
      </c>
      <c r="O1621" s="35">
        <f>SUM($M$2:M1621)</f>
        <v>190743600</v>
      </c>
      <c r="P1621" s="34">
        <f t="shared" si="207"/>
        <v>1</v>
      </c>
      <c r="Q1621" s="39">
        <v>0</v>
      </c>
      <c r="R1621" s="22">
        <v>0</v>
      </c>
      <c r="S1621" s="22">
        <v>0</v>
      </c>
      <c r="T1621" s="22">
        <v>0</v>
      </c>
      <c r="U1621" s="39">
        <v>22.2</v>
      </c>
      <c r="V1621" s="22">
        <v>8</v>
      </c>
      <c r="W1621" s="22">
        <v>1</v>
      </c>
      <c r="X1621" s="40">
        <v>17</v>
      </c>
      <c r="Y1621" s="22">
        <v>0</v>
      </c>
      <c r="Z1621" s="22">
        <v>0</v>
      </c>
      <c r="AA1621" s="22" t="s">
        <v>212</v>
      </c>
      <c r="AB1621" s="22" t="s">
        <v>220</v>
      </c>
      <c r="AC1621" s="42">
        <f>IFERROR(LOOKUP(M1621,打分卡!$F$7:$J$7,打分卡!$K$7:$O$7),1)</f>
        <v>1</v>
      </c>
      <c r="AD1621" s="42">
        <f>IFERROR(LOOKUP(S1621,打分卡!$F$8:$J$8,打分卡!$K$8:$O$8),1)</f>
        <v>1</v>
      </c>
      <c r="AE1621" s="42">
        <f>IFERROR(LOOKUP(T1621,打分卡!$F$9:$I$9,打分卡!$K$9:$N$9),1)</f>
        <v>1</v>
      </c>
      <c r="AF1621" s="42">
        <f>IFERROR(LOOKUP(Q1621,打分卡!$F$10:$J$10,打分卡!$K$10:$O$10),1)</f>
        <v>1</v>
      </c>
      <c r="AG1621" s="42">
        <f>IFERROR(LOOKUP(R1621,打分卡!$F$11:$J$11,打分卡!$K$11:$O$11),1)</f>
        <v>1</v>
      </c>
      <c r="AH1621" s="42">
        <f>IFERROR(LOOKUP(U1621,打分卡!$F$12:$J$12,打分卡!$K$12:$O$12),1)</f>
        <v>3</v>
      </c>
      <c r="AI1621" s="42">
        <f>IFERROR(LOOKUP(X1621,打分卡!$F$13:$J$13,打分卡!$K$13:$O$13),1)</f>
        <v>1</v>
      </c>
      <c r="AJ1621" s="42">
        <f>IFERROR(LOOKUP(Y1621,打分卡!$F$14:$J$14,打分卡!$K$14:$O$14),1)</f>
        <v>1</v>
      </c>
      <c r="AK1621" s="42">
        <f>IFERROR(LOOKUP(W1621,打分卡!$F$15:$J$15,打分卡!$K$15:$O$15),1)</f>
        <v>2</v>
      </c>
      <c r="AL1621" s="45">
        <f t="shared" si="201"/>
        <v>1</v>
      </c>
      <c r="AM1621" s="42">
        <f>IFERROR(LOOKUP(Z1621,打分卡!$F$17:$H$17,打分卡!$K$17:$M$17),1)</f>
        <v>1</v>
      </c>
      <c r="AN1621" s="46">
        <f>(打分卡!$D$7*AC1621+打分卡!$D$8*AD1621+打分卡!$D$9*AE1621)/5</f>
        <v>8</v>
      </c>
      <c r="AO1621" s="46">
        <f>(打分卡!$D$10*AF1621+打分卡!$D$11*AG1621)/5</f>
        <v>4</v>
      </c>
      <c r="AP1621" s="46">
        <f>(打分卡!$D$12*AH1621+打分卡!$D$13*AI1621+打分卡!$D$14*AJ1621+打分卡!$D$15*AK1621)/5</f>
        <v>11.6</v>
      </c>
      <c r="AQ1621" s="46">
        <f>(打分卡!$D$16*AL1621+打分卡!$D$17*AM1621)/5</f>
        <v>2</v>
      </c>
      <c r="AR1621" s="48">
        <f t="shared" si="202"/>
        <v>25.6</v>
      </c>
      <c r="AS1621" s="45" t="str">
        <f t="shared" si="203"/>
        <v>未激活</v>
      </c>
      <c r="AT1621" s="45" t="str">
        <f t="shared" si="204"/>
        <v>连续下降-预警</v>
      </c>
      <c r="AU1621" s="45" t="str">
        <f t="shared" si="205"/>
        <v>唤醒：短信模板+首充补贴</v>
      </c>
    </row>
    <row r="1622" ht="15" customHeight="1" spans="1:47">
      <c r="A1622" s="30" t="s">
        <v>4152</v>
      </c>
      <c r="B1622" s="31" t="s">
        <v>4153</v>
      </c>
      <c r="C1622" s="31" t="s">
        <v>234</v>
      </c>
      <c r="D1622" s="31" t="s">
        <v>180</v>
      </c>
      <c r="E1622" s="31" t="s">
        <v>181</v>
      </c>
      <c r="F1622" s="30" t="s">
        <v>4154</v>
      </c>
      <c r="G1622" s="31">
        <v>28</v>
      </c>
      <c r="H1622" s="31" t="s">
        <v>3535</v>
      </c>
      <c r="I1622" s="31" t="s">
        <v>302</v>
      </c>
      <c r="J1622" s="33">
        <v>0</v>
      </c>
      <c r="K1622" s="33">
        <v>0</v>
      </c>
      <c r="L1622" s="33">
        <v>0</v>
      </c>
      <c r="M1622" s="33">
        <f t="shared" si="200"/>
        <v>0</v>
      </c>
      <c r="N1622" s="34">
        <f t="shared" si="206"/>
        <v>0</v>
      </c>
      <c r="O1622" s="35">
        <f>SUM($M$2:M1622)</f>
        <v>190743600</v>
      </c>
      <c r="P1622" s="34">
        <f t="shared" si="207"/>
        <v>1</v>
      </c>
      <c r="Q1622" s="37">
        <v>0</v>
      </c>
      <c r="R1622" s="31">
        <v>0</v>
      </c>
      <c r="S1622" s="31">
        <v>0</v>
      </c>
      <c r="T1622" s="31">
        <v>0</v>
      </c>
      <c r="U1622" s="37">
        <v>1.8</v>
      </c>
      <c r="V1622" s="31">
        <v>6</v>
      </c>
      <c r="W1622" s="31">
        <v>0</v>
      </c>
      <c r="X1622" s="38">
        <v>8</v>
      </c>
      <c r="Y1622" s="31">
        <v>1</v>
      </c>
      <c r="Z1622" s="31">
        <v>0</v>
      </c>
      <c r="AA1622" s="31" t="s">
        <v>212</v>
      </c>
      <c r="AB1622" s="31" t="s">
        <v>220</v>
      </c>
      <c r="AC1622" s="41">
        <f>IFERROR(LOOKUP(M1622,打分卡!$F$7:$J$7,打分卡!$K$7:$O$7),1)</f>
        <v>1</v>
      </c>
      <c r="AD1622" s="41">
        <f>IFERROR(LOOKUP(S1622,打分卡!$F$8:$J$8,打分卡!$K$8:$O$8),1)</f>
        <v>1</v>
      </c>
      <c r="AE1622" s="41">
        <f>IFERROR(LOOKUP(T1622,打分卡!$F$9:$I$9,打分卡!$K$9:$N$9),1)</f>
        <v>1</v>
      </c>
      <c r="AF1622" s="41">
        <f>IFERROR(LOOKUP(Q1622,打分卡!$F$10:$J$10,打分卡!$K$10:$O$10),1)</f>
        <v>1</v>
      </c>
      <c r="AG1622" s="41">
        <f>IFERROR(LOOKUP(R1622,打分卡!$F$11:$J$11,打分卡!$K$11:$O$11),1)</f>
        <v>1</v>
      </c>
      <c r="AH1622" s="41">
        <f>IFERROR(LOOKUP(U1622,打分卡!$F$12:$J$12,打分卡!$K$12:$O$12),1)</f>
        <v>1</v>
      </c>
      <c r="AI1622" s="41">
        <f>IFERROR(LOOKUP(X1622,打分卡!$F$13:$J$13,打分卡!$K$13:$O$13),1)</f>
        <v>1</v>
      </c>
      <c r="AJ1622" s="41">
        <f>IFERROR(LOOKUP(Y1622,打分卡!$F$14:$J$14,打分卡!$K$14:$O$14),1)</f>
        <v>2</v>
      </c>
      <c r="AK1622" s="41">
        <f>IFERROR(LOOKUP(W1622,打分卡!$F$15:$J$15,打分卡!$K$15:$O$15),1)</f>
        <v>1</v>
      </c>
      <c r="AL1622" s="43">
        <f t="shared" si="201"/>
        <v>1</v>
      </c>
      <c r="AM1622" s="41">
        <f>IFERROR(LOOKUP(Z1622,打分卡!$F$17:$H$17,打分卡!$K$17:$M$17),1)</f>
        <v>1</v>
      </c>
      <c r="AN1622" s="44">
        <f>(打分卡!$D$7*AC1622+打分卡!$D$8*AD1622+打分卡!$D$9*AE1622)/5</f>
        <v>8</v>
      </c>
      <c r="AO1622" s="44">
        <f>(打分卡!$D$10*AF1622+打分卡!$D$11*AG1622)/5</f>
        <v>4</v>
      </c>
      <c r="AP1622" s="44">
        <f>(打分卡!$D$12*AH1622+打分卡!$D$13*AI1622+打分卡!$D$14*AJ1622+打分卡!$D$15*AK1622)/5</f>
        <v>7.2</v>
      </c>
      <c r="AQ1622" s="44">
        <f>(打分卡!$D$16*AL1622+打分卡!$D$17*AM1622)/5</f>
        <v>2</v>
      </c>
      <c r="AR1622" s="47">
        <f t="shared" si="202"/>
        <v>21.2</v>
      </c>
      <c r="AS1622" s="43" t="str">
        <f t="shared" si="203"/>
        <v>未激活</v>
      </c>
      <c r="AT1622" s="43" t="str">
        <f t="shared" si="204"/>
        <v>连续下降-预警</v>
      </c>
      <c r="AU1622" s="43" t="str">
        <f t="shared" si="205"/>
        <v>唤醒：短信模板+首充补贴</v>
      </c>
    </row>
    <row r="1623" ht="15" customHeight="1" spans="1:47">
      <c r="A1623" s="20" t="s">
        <v>4155</v>
      </c>
      <c r="B1623" s="22" t="s">
        <v>4156</v>
      </c>
      <c r="C1623" s="22" t="s">
        <v>223</v>
      </c>
      <c r="D1623" s="22" t="s">
        <v>202</v>
      </c>
      <c r="E1623" s="22" t="s">
        <v>181</v>
      </c>
      <c r="F1623" s="20" t="s">
        <v>4157</v>
      </c>
      <c r="G1623" s="22">
        <v>26</v>
      </c>
      <c r="H1623" s="22" t="s">
        <v>3535</v>
      </c>
      <c r="I1623" s="22" t="s">
        <v>302</v>
      </c>
      <c r="J1623" s="36">
        <v>0</v>
      </c>
      <c r="K1623" s="36">
        <v>0</v>
      </c>
      <c r="L1623" s="36">
        <v>0</v>
      </c>
      <c r="M1623" s="36">
        <f t="shared" si="200"/>
        <v>0</v>
      </c>
      <c r="N1623" s="34">
        <f t="shared" si="206"/>
        <v>0</v>
      </c>
      <c r="O1623" s="35">
        <f>SUM($M$2:M1623)</f>
        <v>190743600</v>
      </c>
      <c r="P1623" s="34">
        <f t="shared" si="207"/>
        <v>1</v>
      </c>
      <c r="Q1623" s="39">
        <v>0</v>
      </c>
      <c r="R1623" s="22">
        <v>0</v>
      </c>
      <c r="S1623" s="22">
        <v>0</v>
      </c>
      <c r="T1623" s="22">
        <v>0</v>
      </c>
      <c r="U1623" s="39">
        <v>9.3</v>
      </c>
      <c r="V1623" s="22">
        <v>3</v>
      </c>
      <c r="W1623" s="22">
        <v>0</v>
      </c>
      <c r="X1623" s="40">
        <v>7</v>
      </c>
      <c r="Y1623" s="22">
        <v>0</v>
      </c>
      <c r="Z1623" s="22">
        <v>0</v>
      </c>
      <c r="AA1623" s="22" t="s">
        <v>212</v>
      </c>
      <c r="AB1623" s="22" t="s">
        <v>220</v>
      </c>
      <c r="AC1623" s="42">
        <f>IFERROR(LOOKUP(M1623,打分卡!$F$7:$J$7,打分卡!$K$7:$O$7),1)</f>
        <v>1</v>
      </c>
      <c r="AD1623" s="42">
        <f>IFERROR(LOOKUP(S1623,打分卡!$F$8:$J$8,打分卡!$K$8:$O$8),1)</f>
        <v>1</v>
      </c>
      <c r="AE1623" s="42">
        <f>IFERROR(LOOKUP(T1623,打分卡!$F$9:$I$9,打分卡!$K$9:$N$9),1)</f>
        <v>1</v>
      </c>
      <c r="AF1623" s="42">
        <f>IFERROR(LOOKUP(Q1623,打分卡!$F$10:$J$10,打分卡!$K$10:$O$10),1)</f>
        <v>1</v>
      </c>
      <c r="AG1623" s="42">
        <f>IFERROR(LOOKUP(R1623,打分卡!$F$11:$J$11,打分卡!$K$11:$O$11),1)</f>
        <v>1</v>
      </c>
      <c r="AH1623" s="42">
        <f>IFERROR(LOOKUP(U1623,打分卡!$F$12:$J$12,打分卡!$K$12:$O$12),1)</f>
        <v>2</v>
      </c>
      <c r="AI1623" s="42">
        <f>IFERROR(LOOKUP(X1623,打分卡!$F$13:$J$13,打分卡!$K$13:$O$13),1)</f>
        <v>1</v>
      </c>
      <c r="AJ1623" s="42">
        <f>IFERROR(LOOKUP(Y1623,打分卡!$F$14:$J$14,打分卡!$K$14:$O$14),1)</f>
        <v>1</v>
      </c>
      <c r="AK1623" s="42">
        <f>IFERROR(LOOKUP(W1623,打分卡!$F$15:$J$15,打分卡!$K$15:$O$15),1)</f>
        <v>1</v>
      </c>
      <c r="AL1623" s="45">
        <f t="shared" si="201"/>
        <v>1</v>
      </c>
      <c r="AM1623" s="42">
        <f>IFERROR(LOOKUP(Z1623,打分卡!$F$17:$H$17,打分卡!$K$17:$M$17),1)</f>
        <v>1</v>
      </c>
      <c r="AN1623" s="46">
        <f>(打分卡!$D$7*AC1623+打分卡!$D$8*AD1623+打分卡!$D$9*AE1623)/5</f>
        <v>8</v>
      </c>
      <c r="AO1623" s="46">
        <f>(打分卡!$D$10*AF1623+打分卡!$D$11*AG1623)/5</f>
        <v>4</v>
      </c>
      <c r="AP1623" s="46">
        <f>(打分卡!$D$12*AH1623+打分卡!$D$13*AI1623+打分卡!$D$14*AJ1623+打分卡!$D$15*AK1623)/5</f>
        <v>8.4</v>
      </c>
      <c r="AQ1623" s="46">
        <f>(打分卡!$D$16*AL1623+打分卡!$D$17*AM1623)/5</f>
        <v>2</v>
      </c>
      <c r="AR1623" s="48">
        <f t="shared" si="202"/>
        <v>22.4</v>
      </c>
      <c r="AS1623" s="45" t="str">
        <f t="shared" si="203"/>
        <v>未激活</v>
      </c>
      <c r="AT1623" s="45" t="str">
        <f t="shared" si="204"/>
        <v>连续下降-预警</v>
      </c>
      <c r="AU1623" s="45" t="str">
        <f t="shared" si="205"/>
        <v>唤醒：短信模板+首充补贴</v>
      </c>
    </row>
    <row r="1624" ht="15" customHeight="1" spans="1:47">
      <c r="A1624" s="30" t="s">
        <v>4158</v>
      </c>
      <c r="B1624" s="31" t="s">
        <v>4159</v>
      </c>
      <c r="C1624" s="31" t="s">
        <v>218</v>
      </c>
      <c r="D1624" s="31" t="s">
        <v>235</v>
      </c>
      <c r="E1624" s="31" t="s">
        <v>181</v>
      </c>
      <c r="F1624" s="30" t="s">
        <v>285</v>
      </c>
      <c r="G1624" s="31">
        <v>15</v>
      </c>
      <c r="H1624" s="31" t="s">
        <v>3535</v>
      </c>
      <c r="I1624" s="31" t="s">
        <v>302</v>
      </c>
      <c r="J1624" s="33">
        <v>0</v>
      </c>
      <c r="K1624" s="33">
        <v>0</v>
      </c>
      <c r="L1624" s="33">
        <v>0</v>
      </c>
      <c r="M1624" s="33">
        <f t="shared" si="200"/>
        <v>0</v>
      </c>
      <c r="N1624" s="34">
        <f t="shared" si="206"/>
        <v>0</v>
      </c>
      <c r="O1624" s="35">
        <f>SUM($M$2:M1624)</f>
        <v>190743600</v>
      </c>
      <c r="P1624" s="34">
        <f t="shared" si="207"/>
        <v>1</v>
      </c>
      <c r="Q1624" s="37">
        <v>0</v>
      </c>
      <c r="R1624" s="31">
        <v>0</v>
      </c>
      <c r="S1624" s="31">
        <v>0</v>
      </c>
      <c r="T1624" s="31">
        <v>0</v>
      </c>
      <c r="U1624" s="37">
        <v>0.6</v>
      </c>
      <c r="V1624" s="31">
        <v>15</v>
      </c>
      <c r="W1624" s="31">
        <v>2</v>
      </c>
      <c r="X1624" s="38">
        <v>45</v>
      </c>
      <c r="Y1624" s="31">
        <v>0</v>
      </c>
      <c r="Z1624" s="31">
        <v>0</v>
      </c>
      <c r="AA1624" s="31" t="s">
        <v>212</v>
      </c>
      <c r="AB1624" s="31" t="s">
        <v>220</v>
      </c>
      <c r="AC1624" s="41">
        <f>IFERROR(LOOKUP(M1624,打分卡!$F$7:$J$7,打分卡!$K$7:$O$7),1)</f>
        <v>1</v>
      </c>
      <c r="AD1624" s="41">
        <f>IFERROR(LOOKUP(S1624,打分卡!$F$8:$J$8,打分卡!$K$8:$O$8),1)</f>
        <v>1</v>
      </c>
      <c r="AE1624" s="41">
        <f>IFERROR(LOOKUP(T1624,打分卡!$F$9:$I$9,打分卡!$K$9:$N$9),1)</f>
        <v>1</v>
      </c>
      <c r="AF1624" s="41">
        <f>IFERROR(LOOKUP(Q1624,打分卡!$F$10:$J$10,打分卡!$K$10:$O$10),1)</f>
        <v>1</v>
      </c>
      <c r="AG1624" s="41">
        <f>IFERROR(LOOKUP(R1624,打分卡!$F$11:$J$11,打分卡!$K$11:$O$11),1)</f>
        <v>1</v>
      </c>
      <c r="AH1624" s="41">
        <f>IFERROR(LOOKUP(U1624,打分卡!$F$12:$J$12,打分卡!$K$12:$O$12),1)</f>
        <v>1</v>
      </c>
      <c r="AI1624" s="41">
        <f>IFERROR(LOOKUP(X1624,打分卡!$F$13:$J$13,打分卡!$K$13:$O$13),1)</f>
        <v>3</v>
      </c>
      <c r="AJ1624" s="41">
        <f>IFERROR(LOOKUP(Y1624,打分卡!$F$14:$J$14,打分卡!$K$14:$O$14),1)</f>
        <v>1</v>
      </c>
      <c r="AK1624" s="41">
        <f>IFERROR(LOOKUP(W1624,打分卡!$F$15:$J$15,打分卡!$K$15:$O$15),1)</f>
        <v>2</v>
      </c>
      <c r="AL1624" s="43">
        <f t="shared" si="201"/>
        <v>1</v>
      </c>
      <c r="AM1624" s="41">
        <f>IFERROR(LOOKUP(Z1624,打分卡!$F$17:$H$17,打分卡!$K$17:$M$17),1)</f>
        <v>1</v>
      </c>
      <c r="AN1624" s="44">
        <f>(打分卡!$D$7*AC1624+打分卡!$D$8*AD1624+打分卡!$D$9*AE1624)/5</f>
        <v>8</v>
      </c>
      <c r="AO1624" s="44">
        <f>(打分卡!$D$10*AF1624+打分卡!$D$11*AG1624)/5</f>
        <v>4</v>
      </c>
      <c r="AP1624" s="44">
        <f>(打分卡!$D$12*AH1624+打分卡!$D$13*AI1624+打分卡!$D$14*AJ1624+打分卡!$D$15*AK1624)/5</f>
        <v>10</v>
      </c>
      <c r="AQ1624" s="44">
        <f>(打分卡!$D$16*AL1624+打分卡!$D$17*AM1624)/5</f>
        <v>2</v>
      </c>
      <c r="AR1624" s="47">
        <f t="shared" si="202"/>
        <v>24</v>
      </c>
      <c r="AS1624" s="43" t="str">
        <f t="shared" si="203"/>
        <v>未激活</v>
      </c>
      <c r="AT1624" s="43" t="str">
        <f t="shared" si="204"/>
        <v>连续下降-预警</v>
      </c>
      <c r="AU1624" s="43" t="str">
        <f t="shared" si="205"/>
        <v>唤醒：短信模板+首充补贴</v>
      </c>
    </row>
    <row r="1625" ht="15" customHeight="1" spans="1:47">
      <c r="A1625" s="20" t="s">
        <v>4160</v>
      </c>
      <c r="B1625" s="22" t="s">
        <v>4161</v>
      </c>
      <c r="C1625" s="22" t="s">
        <v>189</v>
      </c>
      <c r="D1625" s="22" t="s">
        <v>202</v>
      </c>
      <c r="E1625" s="22" t="s">
        <v>181</v>
      </c>
      <c r="F1625" s="20" t="s">
        <v>4162</v>
      </c>
      <c r="G1625" s="22">
        <v>23</v>
      </c>
      <c r="H1625" s="22" t="s">
        <v>3535</v>
      </c>
      <c r="I1625" s="22" t="s">
        <v>302</v>
      </c>
      <c r="J1625" s="36">
        <v>0</v>
      </c>
      <c r="K1625" s="36">
        <v>0</v>
      </c>
      <c r="L1625" s="36">
        <v>0</v>
      </c>
      <c r="M1625" s="36">
        <f t="shared" si="200"/>
        <v>0</v>
      </c>
      <c r="N1625" s="34">
        <f t="shared" si="206"/>
        <v>0</v>
      </c>
      <c r="O1625" s="35">
        <f>SUM($M$2:M1625)</f>
        <v>190743600</v>
      </c>
      <c r="P1625" s="34">
        <f t="shared" si="207"/>
        <v>1</v>
      </c>
      <c r="Q1625" s="39">
        <v>0</v>
      </c>
      <c r="R1625" s="22">
        <v>0</v>
      </c>
      <c r="S1625" s="22">
        <v>0</v>
      </c>
      <c r="T1625" s="22">
        <v>0</v>
      </c>
      <c r="U1625" s="39">
        <v>48.4</v>
      </c>
      <c r="V1625" s="22">
        <v>13</v>
      </c>
      <c r="W1625" s="22">
        <v>2</v>
      </c>
      <c r="X1625" s="40">
        <v>18</v>
      </c>
      <c r="Y1625" s="22">
        <v>0</v>
      </c>
      <c r="Z1625" s="22">
        <v>0</v>
      </c>
      <c r="AA1625" s="22" t="s">
        <v>212</v>
      </c>
      <c r="AB1625" s="22" t="s">
        <v>220</v>
      </c>
      <c r="AC1625" s="42">
        <f>IFERROR(LOOKUP(M1625,打分卡!$F$7:$J$7,打分卡!$K$7:$O$7),1)</f>
        <v>1</v>
      </c>
      <c r="AD1625" s="42">
        <f>IFERROR(LOOKUP(S1625,打分卡!$F$8:$J$8,打分卡!$K$8:$O$8),1)</f>
        <v>1</v>
      </c>
      <c r="AE1625" s="42">
        <f>IFERROR(LOOKUP(T1625,打分卡!$F$9:$I$9,打分卡!$K$9:$N$9),1)</f>
        <v>1</v>
      </c>
      <c r="AF1625" s="42">
        <f>IFERROR(LOOKUP(Q1625,打分卡!$F$10:$J$10,打分卡!$K$10:$O$10),1)</f>
        <v>1</v>
      </c>
      <c r="AG1625" s="42">
        <f>IFERROR(LOOKUP(R1625,打分卡!$F$11:$J$11,打分卡!$K$11:$O$11),1)</f>
        <v>1</v>
      </c>
      <c r="AH1625" s="42">
        <f>IFERROR(LOOKUP(U1625,打分卡!$F$12:$J$12,打分卡!$K$12:$O$12),1)</f>
        <v>4</v>
      </c>
      <c r="AI1625" s="42">
        <f>IFERROR(LOOKUP(X1625,打分卡!$F$13:$J$13,打分卡!$K$13:$O$13),1)</f>
        <v>2</v>
      </c>
      <c r="AJ1625" s="42">
        <f>IFERROR(LOOKUP(Y1625,打分卡!$F$14:$J$14,打分卡!$K$14:$O$14),1)</f>
        <v>1</v>
      </c>
      <c r="AK1625" s="42">
        <f>IFERROR(LOOKUP(W1625,打分卡!$F$15:$J$15,打分卡!$K$15:$O$15),1)</f>
        <v>2</v>
      </c>
      <c r="AL1625" s="45">
        <f t="shared" si="201"/>
        <v>1</v>
      </c>
      <c r="AM1625" s="42">
        <f>IFERROR(LOOKUP(Z1625,打分卡!$F$17:$H$17,打分卡!$K$17:$M$17),1)</f>
        <v>1</v>
      </c>
      <c r="AN1625" s="46">
        <f>(打分卡!$D$7*AC1625+打分卡!$D$8*AD1625+打分卡!$D$9*AE1625)/5</f>
        <v>8</v>
      </c>
      <c r="AO1625" s="46">
        <f>(打分卡!$D$10*AF1625+打分卡!$D$11*AG1625)/5</f>
        <v>4</v>
      </c>
      <c r="AP1625" s="46">
        <f>(打分卡!$D$12*AH1625+打分卡!$D$13*AI1625+打分卡!$D$14*AJ1625+打分卡!$D$15*AK1625)/5</f>
        <v>15.6</v>
      </c>
      <c r="AQ1625" s="46">
        <f>(打分卡!$D$16*AL1625+打分卡!$D$17*AM1625)/5</f>
        <v>2</v>
      </c>
      <c r="AR1625" s="48">
        <f t="shared" si="202"/>
        <v>29.6</v>
      </c>
      <c r="AS1625" s="45" t="str">
        <f t="shared" si="203"/>
        <v>未激活</v>
      </c>
      <c r="AT1625" s="45" t="str">
        <f t="shared" si="204"/>
        <v>连续下降-预警</v>
      </c>
      <c r="AU1625" s="45" t="str">
        <f t="shared" si="205"/>
        <v>唤醒：短信模板+首充补贴</v>
      </c>
    </row>
    <row r="1626" ht="15" customHeight="1" spans="1:47">
      <c r="A1626" s="30" t="s">
        <v>4163</v>
      </c>
      <c r="B1626" s="31" t="s">
        <v>4164</v>
      </c>
      <c r="C1626" s="31" t="s">
        <v>189</v>
      </c>
      <c r="D1626" s="31" t="s">
        <v>202</v>
      </c>
      <c r="E1626" s="31" t="s">
        <v>197</v>
      </c>
      <c r="F1626" s="30" t="s">
        <v>4165</v>
      </c>
      <c r="G1626" s="31">
        <v>29</v>
      </c>
      <c r="H1626" s="31" t="s">
        <v>3535</v>
      </c>
      <c r="I1626" s="31" t="s">
        <v>302</v>
      </c>
      <c r="J1626" s="33">
        <v>0</v>
      </c>
      <c r="K1626" s="33">
        <v>0</v>
      </c>
      <c r="L1626" s="33">
        <v>0</v>
      </c>
      <c r="M1626" s="33">
        <f t="shared" si="200"/>
        <v>0</v>
      </c>
      <c r="N1626" s="34">
        <f t="shared" si="206"/>
        <v>0</v>
      </c>
      <c r="O1626" s="35">
        <f>SUM($M$2:M1626)</f>
        <v>190743600</v>
      </c>
      <c r="P1626" s="34">
        <f t="shared" si="207"/>
        <v>1</v>
      </c>
      <c r="Q1626" s="37">
        <v>0</v>
      </c>
      <c r="R1626" s="31">
        <v>0</v>
      </c>
      <c r="S1626" s="31">
        <v>0</v>
      </c>
      <c r="T1626" s="31">
        <v>0</v>
      </c>
      <c r="U1626" s="37">
        <v>26.9</v>
      </c>
      <c r="V1626" s="31">
        <v>12</v>
      </c>
      <c r="W1626" s="31">
        <v>1</v>
      </c>
      <c r="X1626" s="38">
        <v>60</v>
      </c>
      <c r="Y1626" s="31">
        <v>0</v>
      </c>
      <c r="Z1626" s="31">
        <v>0</v>
      </c>
      <c r="AA1626" s="31" t="s">
        <v>212</v>
      </c>
      <c r="AB1626" s="31" t="s">
        <v>220</v>
      </c>
      <c r="AC1626" s="41">
        <f>IFERROR(LOOKUP(M1626,打分卡!$F$7:$J$7,打分卡!$K$7:$O$7),1)</f>
        <v>1</v>
      </c>
      <c r="AD1626" s="41">
        <f>IFERROR(LOOKUP(S1626,打分卡!$F$8:$J$8,打分卡!$K$8:$O$8),1)</f>
        <v>1</v>
      </c>
      <c r="AE1626" s="41">
        <f>IFERROR(LOOKUP(T1626,打分卡!$F$9:$I$9,打分卡!$K$9:$N$9),1)</f>
        <v>1</v>
      </c>
      <c r="AF1626" s="41">
        <f>IFERROR(LOOKUP(Q1626,打分卡!$F$10:$J$10,打分卡!$K$10:$O$10),1)</f>
        <v>1</v>
      </c>
      <c r="AG1626" s="41">
        <f>IFERROR(LOOKUP(R1626,打分卡!$F$11:$J$11,打分卡!$K$11:$O$11),1)</f>
        <v>1</v>
      </c>
      <c r="AH1626" s="41">
        <f>IFERROR(LOOKUP(U1626,打分卡!$F$12:$J$12,打分卡!$K$12:$O$12),1)</f>
        <v>3</v>
      </c>
      <c r="AI1626" s="41">
        <f>IFERROR(LOOKUP(X1626,打分卡!$F$13:$J$13,打分卡!$K$13:$O$13),1)</f>
        <v>3</v>
      </c>
      <c r="AJ1626" s="41">
        <f>IFERROR(LOOKUP(Y1626,打分卡!$F$14:$J$14,打分卡!$K$14:$O$14),1)</f>
        <v>1</v>
      </c>
      <c r="AK1626" s="41">
        <f>IFERROR(LOOKUP(W1626,打分卡!$F$15:$J$15,打分卡!$K$15:$O$15),1)</f>
        <v>2</v>
      </c>
      <c r="AL1626" s="43">
        <f t="shared" si="201"/>
        <v>1</v>
      </c>
      <c r="AM1626" s="41">
        <f>IFERROR(LOOKUP(Z1626,打分卡!$F$17:$H$17,打分卡!$K$17:$M$17),1)</f>
        <v>1</v>
      </c>
      <c r="AN1626" s="44">
        <f>(打分卡!$D$7*AC1626+打分卡!$D$8*AD1626+打分卡!$D$9*AE1626)/5</f>
        <v>8</v>
      </c>
      <c r="AO1626" s="44">
        <f>(打分卡!$D$10*AF1626+打分卡!$D$11*AG1626)/5</f>
        <v>4</v>
      </c>
      <c r="AP1626" s="44">
        <f>(打分卡!$D$12*AH1626+打分卡!$D$13*AI1626+打分卡!$D$14*AJ1626+打分卡!$D$15*AK1626)/5</f>
        <v>14.8</v>
      </c>
      <c r="AQ1626" s="44">
        <f>(打分卡!$D$16*AL1626+打分卡!$D$17*AM1626)/5</f>
        <v>2</v>
      </c>
      <c r="AR1626" s="47">
        <f t="shared" si="202"/>
        <v>28.8</v>
      </c>
      <c r="AS1626" s="43" t="str">
        <f t="shared" si="203"/>
        <v>未激活</v>
      </c>
      <c r="AT1626" s="43" t="str">
        <f t="shared" si="204"/>
        <v>连续下降-预警</v>
      </c>
      <c r="AU1626" s="43" t="str">
        <f t="shared" si="205"/>
        <v>唤醒：短信模板+首充补贴</v>
      </c>
    </row>
    <row r="1627" ht="15" customHeight="1" spans="1:47">
      <c r="A1627" s="20" t="s">
        <v>4166</v>
      </c>
      <c r="B1627" s="22" t="s">
        <v>4167</v>
      </c>
      <c r="C1627" s="22" t="s">
        <v>179</v>
      </c>
      <c r="D1627" s="22" t="s">
        <v>235</v>
      </c>
      <c r="E1627" s="22" t="s">
        <v>197</v>
      </c>
      <c r="F1627" s="20" t="s">
        <v>1537</v>
      </c>
      <c r="G1627" s="22">
        <v>12</v>
      </c>
      <c r="H1627" s="22" t="s">
        <v>3535</v>
      </c>
      <c r="I1627" s="22" t="s">
        <v>302</v>
      </c>
      <c r="J1627" s="36">
        <v>0</v>
      </c>
      <c r="K1627" s="36">
        <v>0</v>
      </c>
      <c r="L1627" s="36">
        <v>0</v>
      </c>
      <c r="M1627" s="36">
        <f t="shared" si="200"/>
        <v>0</v>
      </c>
      <c r="N1627" s="34">
        <f t="shared" si="206"/>
        <v>0</v>
      </c>
      <c r="O1627" s="35">
        <f>SUM($M$2:M1627)</f>
        <v>190743600</v>
      </c>
      <c r="P1627" s="34">
        <f t="shared" si="207"/>
        <v>1</v>
      </c>
      <c r="Q1627" s="39">
        <v>0</v>
      </c>
      <c r="R1627" s="22">
        <v>0</v>
      </c>
      <c r="S1627" s="22">
        <v>0</v>
      </c>
      <c r="T1627" s="22">
        <v>0</v>
      </c>
      <c r="U1627" s="39">
        <v>45.3</v>
      </c>
      <c r="V1627" s="22">
        <v>1</v>
      </c>
      <c r="W1627" s="22">
        <v>0</v>
      </c>
      <c r="X1627" s="40">
        <v>12</v>
      </c>
      <c r="Y1627" s="22">
        <v>0</v>
      </c>
      <c r="Z1627" s="22">
        <v>0</v>
      </c>
      <c r="AA1627" s="22" t="s">
        <v>212</v>
      </c>
      <c r="AB1627" s="22" t="s">
        <v>220</v>
      </c>
      <c r="AC1627" s="42">
        <f>IFERROR(LOOKUP(M1627,打分卡!$F$7:$J$7,打分卡!$K$7:$O$7),1)</f>
        <v>1</v>
      </c>
      <c r="AD1627" s="42">
        <f>IFERROR(LOOKUP(S1627,打分卡!$F$8:$J$8,打分卡!$K$8:$O$8),1)</f>
        <v>1</v>
      </c>
      <c r="AE1627" s="42">
        <f>IFERROR(LOOKUP(T1627,打分卡!$F$9:$I$9,打分卡!$K$9:$N$9),1)</f>
        <v>1</v>
      </c>
      <c r="AF1627" s="42">
        <f>IFERROR(LOOKUP(Q1627,打分卡!$F$10:$J$10,打分卡!$K$10:$O$10),1)</f>
        <v>1</v>
      </c>
      <c r="AG1627" s="42">
        <f>IFERROR(LOOKUP(R1627,打分卡!$F$11:$J$11,打分卡!$K$11:$O$11),1)</f>
        <v>1</v>
      </c>
      <c r="AH1627" s="42">
        <f>IFERROR(LOOKUP(U1627,打分卡!$F$12:$J$12,打分卡!$K$12:$O$12),1)</f>
        <v>4</v>
      </c>
      <c r="AI1627" s="42">
        <f>IFERROR(LOOKUP(X1627,打分卡!$F$13:$J$13,打分卡!$K$13:$O$13),1)</f>
        <v>1</v>
      </c>
      <c r="AJ1627" s="42">
        <f>IFERROR(LOOKUP(Y1627,打分卡!$F$14:$J$14,打分卡!$K$14:$O$14),1)</f>
        <v>1</v>
      </c>
      <c r="AK1627" s="42">
        <f>IFERROR(LOOKUP(W1627,打分卡!$F$15:$J$15,打分卡!$K$15:$O$15),1)</f>
        <v>1</v>
      </c>
      <c r="AL1627" s="45">
        <f t="shared" si="201"/>
        <v>1</v>
      </c>
      <c r="AM1627" s="42">
        <f>IFERROR(LOOKUP(Z1627,打分卡!$F$17:$H$17,打分卡!$K$17:$M$17),1)</f>
        <v>1</v>
      </c>
      <c r="AN1627" s="46">
        <f>(打分卡!$D$7*AC1627+打分卡!$D$8*AD1627+打分卡!$D$9*AE1627)/5</f>
        <v>8</v>
      </c>
      <c r="AO1627" s="46">
        <f>(打分卡!$D$10*AF1627+打分卡!$D$11*AG1627)/5</f>
        <v>4</v>
      </c>
      <c r="AP1627" s="46">
        <f>(打分卡!$D$12*AH1627+打分卡!$D$13*AI1627+打分卡!$D$14*AJ1627+打分卡!$D$15*AK1627)/5</f>
        <v>13.2</v>
      </c>
      <c r="AQ1627" s="46">
        <f>(打分卡!$D$16*AL1627+打分卡!$D$17*AM1627)/5</f>
        <v>2</v>
      </c>
      <c r="AR1627" s="48">
        <f t="shared" si="202"/>
        <v>27.2</v>
      </c>
      <c r="AS1627" s="45" t="str">
        <f t="shared" si="203"/>
        <v>未激活</v>
      </c>
      <c r="AT1627" s="45" t="str">
        <f t="shared" si="204"/>
        <v>连续下降-预警</v>
      </c>
      <c r="AU1627" s="45" t="str">
        <f t="shared" si="205"/>
        <v>唤醒：短信模板+首充补贴</v>
      </c>
    </row>
    <row r="1628" ht="15" customHeight="1" spans="1:47">
      <c r="A1628" s="30" t="s">
        <v>4168</v>
      </c>
      <c r="B1628" s="31" t="s">
        <v>4169</v>
      </c>
      <c r="C1628" s="31" t="s">
        <v>218</v>
      </c>
      <c r="D1628" s="31" t="s">
        <v>252</v>
      </c>
      <c r="E1628" s="31" t="s">
        <v>181</v>
      </c>
      <c r="F1628" s="30" t="s">
        <v>525</v>
      </c>
      <c r="G1628" s="31">
        <v>26</v>
      </c>
      <c r="H1628" s="31" t="s">
        <v>3535</v>
      </c>
      <c r="I1628" s="31" t="s">
        <v>302</v>
      </c>
      <c r="J1628" s="33">
        <v>0</v>
      </c>
      <c r="K1628" s="33">
        <v>0</v>
      </c>
      <c r="L1628" s="33">
        <v>0</v>
      </c>
      <c r="M1628" s="33">
        <f t="shared" si="200"/>
        <v>0</v>
      </c>
      <c r="N1628" s="34">
        <f t="shared" si="206"/>
        <v>0</v>
      </c>
      <c r="O1628" s="35">
        <f>SUM($M$2:M1628)</f>
        <v>190743600</v>
      </c>
      <c r="P1628" s="34">
        <f t="shared" si="207"/>
        <v>1</v>
      </c>
      <c r="Q1628" s="37">
        <v>0</v>
      </c>
      <c r="R1628" s="31">
        <v>0</v>
      </c>
      <c r="S1628" s="31">
        <v>0</v>
      </c>
      <c r="T1628" s="31">
        <v>0</v>
      </c>
      <c r="U1628" s="37">
        <v>11.2</v>
      </c>
      <c r="V1628" s="31">
        <v>15</v>
      </c>
      <c r="W1628" s="31">
        <v>1</v>
      </c>
      <c r="X1628" s="38">
        <v>17</v>
      </c>
      <c r="Y1628" s="31">
        <v>1</v>
      </c>
      <c r="Z1628" s="31">
        <v>0</v>
      </c>
      <c r="AA1628" s="31" t="s">
        <v>212</v>
      </c>
      <c r="AB1628" s="31" t="s">
        <v>220</v>
      </c>
      <c r="AC1628" s="41">
        <f>IFERROR(LOOKUP(M1628,打分卡!$F$7:$J$7,打分卡!$K$7:$O$7),1)</f>
        <v>1</v>
      </c>
      <c r="AD1628" s="41">
        <f>IFERROR(LOOKUP(S1628,打分卡!$F$8:$J$8,打分卡!$K$8:$O$8),1)</f>
        <v>1</v>
      </c>
      <c r="AE1628" s="41">
        <f>IFERROR(LOOKUP(T1628,打分卡!$F$9:$I$9,打分卡!$K$9:$N$9),1)</f>
        <v>1</v>
      </c>
      <c r="AF1628" s="41">
        <f>IFERROR(LOOKUP(Q1628,打分卡!$F$10:$J$10,打分卡!$K$10:$O$10),1)</f>
        <v>1</v>
      </c>
      <c r="AG1628" s="41">
        <f>IFERROR(LOOKUP(R1628,打分卡!$F$11:$J$11,打分卡!$K$11:$O$11),1)</f>
        <v>1</v>
      </c>
      <c r="AH1628" s="41">
        <f>IFERROR(LOOKUP(U1628,打分卡!$F$12:$J$12,打分卡!$K$12:$O$12),1)</f>
        <v>3</v>
      </c>
      <c r="AI1628" s="41">
        <f>IFERROR(LOOKUP(X1628,打分卡!$F$13:$J$13,打分卡!$K$13:$O$13),1)</f>
        <v>1</v>
      </c>
      <c r="AJ1628" s="41">
        <f>IFERROR(LOOKUP(Y1628,打分卡!$F$14:$J$14,打分卡!$K$14:$O$14),1)</f>
        <v>2</v>
      </c>
      <c r="AK1628" s="41">
        <f>IFERROR(LOOKUP(W1628,打分卡!$F$15:$J$15,打分卡!$K$15:$O$15),1)</f>
        <v>2</v>
      </c>
      <c r="AL1628" s="43">
        <f t="shared" si="201"/>
        <v>1</v>
      </c>
      <c r="AM1628" s="41">
        <f>IFERROR(LOOKUP(Z1628,打分卡!$F$17:$H$17,打分卡!$K$17:$M$17),1)</f>
        <v>1</v>
      </c>
      <c r="AN1628" s="44">
        <f>(打分卡!$D$7*AC1628+打分卡!$D$8*AD1628+打分卡!$D$9*AE1628)/5</f>
        <v>8</v>
      </c>
      <c r="AO1628" s="44">
        <f>(打分卡!$D$10*AF1628+打分卡!$D$11*AG1628)/5</f>
        <v>4</v>
      </c>
      <c r="AP1628" s="44">
        <f>(打分卡!$D$12*AH1628+打分卡!$D$13*AI1628+打分卡!$D$14*AJ1628+打分卡!$D$15*AK1628)/5</f>
        <v>12.8</v>
      </c>
      <c r="AQ1628" s="44">
        <f>(打分卡!$D$16*AL1628+打分卡!$D$17*AM1628)/5</f>
        <v>2</v>
      </c>
      <c r="AR1628" s="47">
        <f t="shared" si="202"/>
        <v>26.8</v>
      </c>
      <c r="AS1628" s="43" t="str">
        <f t="shared" si="203"/>
        <v>未激活</v>
      </c>
      <c r="AT1628" s="43" t="str">
        <f t="shared" si="204"/>
        <v>连续下降-预警</v>
      </c>
      <c r="AU1628" s="43" t="str">
        <f t="shared" si="205"/>
        <v>唤醒：短信模板+首充补贴</v>
      </c>
    </row>
    <row r="1629" ht="15" customHeight="1" spans="1:47">
      <c r="A1629" s="20" t="s">
        <v>4170</v>
      </c>
      <c r="B1629" s="22" t="s">
        <v>4171</v>
      </c>
      <c r="C1629" s="22" t="s">
        <v>179</v>
      </c>
      <c r="D1629" s="22" t="s">
        <v>202</v>
      </c>
      <c r="E1629" s="22" t="s">
        <v>181</v>
      </c>
      <c r="F1629" s="20" t="s">
        <v>1046</v>
      </c>
      <c r="G1629" s="22">
        <v>23</v>
      </c>
      <c r="H1629" s="22" t="s">
        <v>3535</v>
      </c>
      <c r="I1629" s="22" t="s">
        <v>302</v>
      </c>
      <c r="J1629" s="36">
        <v>0</v>
      </c>
      <c r="K1629" s="36">
        <v>0</v>
      </c>
      <c r="L1629" s="36">
        <v>0</v>
      </c>
      <c r="M1629" s="36">
        <f t="shared" si="200"/>
        <v>0</v>
      </c>
      <c r="N1629" s="34">
        <f t="shared" si="206"/>
        <v>0</v>
      </c>
      <c r="O1629" s="35">
        <f>SUM($M$2:M1629)</f>
        <v>190743600</v>
      </c>
      <c r="P1629" s="34">
        <f t="shared" si="207"/>
        <v>1</v>
      </c>
      <c r="Q1629" s="39">
        <v>0</v>
      </c>
      <c r="R1629" s="22">
        <v>0</v>
      </c>
      <c r="S1629" s="22">
        <v>0</v>
      </c>
      <c r="T1629" s="22">
        <v>0</v>
      </c>
      <c r="U1629" s="39">
        <v>46.1</v>
      </c>
      <c r="V1629" s="22">
        <v>4</v>
      </c>
      <c r="W1629" s="22">
        <v>0</v>
      </c>
      <c r="X1629" s="40">
        <v>7</v>
      </c>
      <c r="Y1629" s="22">
        <v>1</v>
      </c>
      <c r="Z1629" s="22">
        <v>0</v>
      </c>
      <c r="AA1629" s="22" t="s">
        <v>212</v>
      </c>
      <c r="AB1629" s="22" t="s">
        <v>220</v>
      </c>
      <c r="AC1629" s="42">
        <f>IFERROR(LOOKUP(M1629,打分卡!$F$7:$J$7,打分卡!$K$7:$O$7),1)</f>
        <v>1</v>
      </c>
      <c r="AD1629" s="42">
        <f>IFERROR(LOOKUP(S1629,打分卡!$F$8:$J$8,打分卡!$K$8:$O$8),1)</f>
        <v>1</v>
      </c>
      <c r="AE1629" s="42">
        <f>IFERROR(LOOKUP(T1629,打分卡!$F$9:$I$9,打分卡!$K$9:$N$9),1)</f>
        <v>1</v>
      </c>
      <c r="AF1629" s="42">
        <f>IFERROR(LOOKUP(Q1629,打分卡!$F$10:$J$10,打分卡!$K$10:$O$10),1)</f>
        <v>1</v>
      </c>
      <c r="AG1629" s="42">
        <f>IFERROR(LOOKUP(R1629,打分卡!$F$11:$J$11,打分卡!$K$11:$O$11),1)</f>
        <v>1</v>
      </c>
      <c r="AH1629" s="42">
        <f>IFERROR(LOOKUP(U1629,打分卡!$F$12:$J$12,打分卡!$K$12:$O$12),1)</f>
        <v>4</v>
      </c>
      <c r="AI1629" s="42">
        <f>IFERROR(LOOKUP(X1629,打分卡!$F$13:$J$13,打分卡!$K$13:$O$13),1)</f>
        <v>1</v>
      </c>
      <c r="AJ1629" s="42">
        <f>IFERROR(LOOKUP(Y1629,打分卡!$F$14:$J$14,打分卡!$K$14:$O$14),1)</f>
        <v>2</v>
      </c>
      <c r="AK1629" s="42">
        <f>IFERROR(LOOKUP(W1629,打分卡!$F$15:$J$15,打分卡!$K$15:$O$15),1)</f>
        <v>1</v>
      </c>
      <c r="AL1629" s="45">
        <f t="shared" si="201"/>
        <v>1</v>
      </c>
      <c r="AM1629" s="42">
        <f>IFERROR(LOOKUP(Z1629,打分卡!$F$17:$H$17,打分卡!$K$17:$M$17),1)</f>
        <v>1</v>
      </c>
      <c r="AN1629" s="46">
        <f>(打分卡!$D$7*AC1629+打分卡!$D$8*AD1629+打分卡!$D$9*AE1629)/5</f>
        <v>8</v>
      </c>
      <c r="AO1629" s="46">
        <f>(打分卡!$D$10*AF1629+打分卡!$D$11*AG1629)/5</f>
        <v>4</v>
      </c>
      <c r="AP1629" s="46">
        <f>(打分卡!$D$12*AH1629+打分卡!$D$13*AI1629+打分卡!$D$14*AJ1629+打分卡!$D$15*AK1629)/5</f>
        <v>14.4</v>
      </c>
      <c r="AQ1629" s="46">
        <f>(打分卡!$D$16*AL1629+打分卡!$D$17*AM1629)/5</f>
        <v>2</v>
      </c>
      <c r="AR1629" s="48">
        <f t="shared" si="202"/>
        <v>28.4</v>
      </c>
      <c r="AS1629" s="45" t="str">
        <f t="shared" si="203"/>
        <v>未激活</v>
      </c>
      <c r="AT1629" s="45" t="str">
        <f t="shared" si="204"/>
        <v>连续下降-预警</v>
      </c>
      <c r="AU1629" s="45" t="str">
        <f t="shared" si="205"/>
        <v>唤醒：短信模板+首充补贴</v>
      </c>
    </row>
    <row r="1630" ht="15" customHeight="1" spans="1:47">
      <c r="A1630" s="30" t="s">
        <v>4172</v>
      </c>
      <c r="B1630" s="31" t="s">
        <v>4173</v>
      </c>
      <c r="C1630" s="31" t="s">
        <v>179</v>
      </c>
      <c r="D1630" s="31" t="s">
        <v>190</v>
      </c>
      <c r="E1630" s="31" t="s">
        <v>197</v>
      </c>
      <c r="F1630" s="30" t="s">
        <v>4174</v>
      </c>
      <c r="G1630" s="31">
        <v>28</v>
      </c>
      <c r="H1630" s="31" t="s">
        <v>3535</v>
      </c>
      <c r="I1630" s="31" t="s">
        <v>302</v>
      </c>
      <c r="J1630" s="33">
        <v>0</v>
      </c>
      <c r="K1630" s="33">
        <v>0</v>
      </c>
      <c r="L1630" s="33">
        <v>0</v>
      </c>
      <c r="M1630" s="33">
        <f t="shared" si="200"/>
        <v>0</v>
      </c>
      <c r="N1630" s="34">
        <f t="shared" si="206"/>
        <v>0</v>
      </c>
      <c r="O1630" s="35">
        <f>SUM($M$2:M1630)</f>
        <v>190743600</v>
      </c>
      <c r="P1630" s="34">
        <f t="shared" si="207"/>
        <v>1</v>
      </c>
      <c r="Q1630" s="37">
        <v>0</v>
      </c>
      <c r="R1630" s="31">
        <v>0</v>
      </c>
      <c r="S1630" s="31">
        <v>0</v>
      </c>
      <c r="T1630" s="31">
        <v>0</v>
      </c>
      <c r="U1630" s="37">
        <v>15.7</v>
      </c>
      <c r="V1630" s="31">
        <v>2</v>
      </c>
      <c r="W1630" s="31">
        <v>0</v>
      </c>
      <c r="X1630" s="38">
        <v>5</v>
      </c>
      <c r="Y1630" s="31">
        <v>0</v>
      </c>
      <c r="Z1630" s="31">
        <v>0</v>
      </c>
      <c r="AA1630" s="31" t="s">
        <v>212</v>
      </c>
      <c r="AB1630" s="31" t="s">
        <v>220</v>
      </c>
      <c r="AC1630" s="41">
        <f>IFERROR(LOOKUP(M1630,打分卡!$F$7:$J$7,打分卡!$K$7:$O$7),1)</f>
        <v>1</v>
      </c>
      <c r="AD1630" s="41">
        <f>IFERROR(LOOKUP(S1630,打分卡!$F$8:$J$8,打分卡!$K$8:$O$8),1)</f>
        <v>1</v>
      </c>
      <c r="AE1630" s="41">
        <f>IFERROR(LOOKUP(T1630,打分卡!$F$9:$I$9,打分卡!$K$9:$N$9),1)</f>
        <v>1</v>
      </c>
      <c r="AF1630" s="41">
        <f>IFERROR(LOOKUP(Q1630,打分卡!$F$10:$J$10,打分卡!$K$10:$O$10),1)</f>
        <v>1</v>
      </c>
      <c r="AG1630" s="41">
        <f>IFERROR(LOOKUP(R1630,打分卡!$F$11:$J$11,打分卡!$K$11:$O$11),1)</f>
        <v>1</v>
      </c>
      <c r="AH1630" s="41">
        <f>IFERROR(LOOKUP(U1630,打分卡!$F$12:$J$12,打分卡!$K$12:$O$12),1)</f>
        <v>3</v>
      </c>
      <c r="AI1630" s="41">
        <f>IFERROR(LOOKUP(X1630,打分卡!$F$13:$J$13,打分卡!$K$13:$O$13),1)</f>
        <v>1</v>
      </c>
      <c r="AJ1630" s="41">
        <f>IFERROR(LOOKUP(Y1630,打分卡!$F$14:$J$14,打分卡!$K$14:$O$14),1)</f>
        <v>1</v>
      </c>
      <c r="AK1630" s="41">
        <f>IFERROR(LOOKUP(W1630,打分卡!$F$15:$J$15,打分卡!$K$15:$O$15),1)</f>
        <v>1</v>
      </c>
      <c r="AL1630" s="43">
        <f t="shared" si="201"/>
        <v>1</v>
      </c>
      <c r="AM1630" s="41">
        <f>IFERROR(LOOKUP(Z1630,打分卡!$F$17:$H$17,打分卡!$K$17:$M$17),1)</f>
        <v>1</v>
      </c>
      <c r="AN1630" s="44">
        <f>(打分卡!$D$7*AC1630+打分卡!$D$8*AD1630+打分卡!$D$9*AE1630)/5</f>
        <v>8</v>
      </c>
      <c r="AO1630" s="44">
        <f>(打分卡!$D$10*AF1630+打分卡!$D$11*AG1630)/5</f>
        <v>4</v>
      </c>
      <c r="AP1630" s="44">
        <f>(打分卡!$D$12*AH1630+打分卡!$D$13*AI1630+打分卡!$D$14*AJ1630+打分卡!$D$15*AK1630)/5</f>
        <v>10.8</v>
      </c>
      <c r="AQ1630" s="44">
        <f>(打分卡!$D$16*AL1630+打分卡!$D$17*AM1630)/5</f>
        <v>2</v>
      </c>
      <c r="AR1630" s="47">
        <f t="shared" si="202"/>
        <v>24.8</v>
      </c>
      <c r="AS1630" s="43" t="str">
        <f t="shared" si="203"/>
        <v>未激活</v>
      </c>
      <c r="AT1630" s="43" t="str">
        <f t="shared" si="204"/>
        <v>连续下降-预警</v>
      </c>
      <c r="AU1630" s="43" t="str">
        <f t="shared" si="205"/>
        <v>唤醒：短信模板+首充补贴</v>
      </c>
    </row>
    <row r="1631" ht="15" customHeight="1" spans="1:47">
      <c r="A1631" s="20" t="s">
        <v>4175</v>
      </c>
      <c r="B1631" s="22" t="s">
        <v>4176</v>
      </c>
      <c r="C1631" s="22" t="s">
        <v>239</v>
      </c>
      <c r="D1631" s="22" t="s">
        <v>196</v>
      </c>
      <c r="E1631" s="22" t="s">
        <v>197</v>
      </c>
      <c r="F1631" s="20" t="s">
        <v>2967</v>
      </c>
      <c r="G1631" s="22">
        <v>1</v>
      </c>
      <c r="H1631" s="22" t="s">
        <v>642</v>
      </c>
      <c r="I1631" s="22" t="s">
        <v>302</v>
      </c>
      <c r="J1631" s="36">
        <v>0</v>
      </c>
      <c r="K1631" s="36">
        <v>0</v>
      </c>
      <c r="L1631" s="36">
        <v>0</v>
      </c>
      <c r="M1631" s="36">
        <f t="shared" si="200"/>
        <v>0</v>
      </c>
      <c r="N1631" s="34">
        <f t="shared" si="206"/>
        <v>0</v>
      </c>
      <c r="O1631" s="35">
        <f>SUM($M$2:M1631)</f>
        <v>190743600</v>
      </c>
      <c r="P1631" s="34">
        <f t="shared" si="207"/>
        <v>1</v>
      </c>
      <c r="Q1631" s="39">
        <v>0</v>
      </c>
      <c r="R1631" s="22">
        <v>0</v>
      </c>
      <c r="S1631" s="22">
        <v>0</v>
      </c>
      <c r="T1631" s="22">
        <v>0</v>
      </c>
      <c r="U1631" s="39">
        <v>245</v>
      </c>
      <c r="V1631" s="22">
        <v>7</v>
      </c>
      <c r="W1631" s="22">
        <v>11</v>
      </c>
      <c r="X1631" s="40">
        <v>489</v>
      </c>
      <c r="Y1631" s="22">
        <v>5</v>
      </c>
      <c r="Z1631" s="22">
        <v>0</v>
      </c>
      <c r="AA1631" s="22" t="s">
        <v>199</v>
      </c>
      <c r="AB1631" s="22" t="s">
        <v>220</v>
      </c>
      <c r="AC1631" s="42">
        <f>IFERROR(LOOKUP(M1631,打分卡!$F$7:$J$7,打分卡!$K$7:$O$7),1)</f>
        <v>1</v>
      </c>
      <c r="AD1631" s="42">
        <f>IFERROR(LOOKUP(S1631,打分卡!$F$8:$J$8,打分卡!$K$8:$O$8),1)</f>
        <v>1</v>
      </c>
      <c r="AE1631" s="42">
        <f>IFERROR(LOOKUP(T1631,打分卡!$F$9:$I$9,打分卡!$K$9:$N$9),1)</f>
        <v>1</v>
      </c>
      <c r="AF1631" s="42">
        <f>IFERROR(LOOKUP(Q1631,打分卡!$F$10:$J$10,打分卡!$K$10:$O$10),1)</f>
        <v>1</v>
      </c>
      <c r="AG1631" s="42">
        <f>IFERROR(LOOKUP(R1631,打分卡!$F$11:$J$11,打分卡!$K$11:$O$11),1)</f>
        <v>1</v>
      </c>
      <c r="AH1631" s="42">
        <f>IFERROR(LOOKUP(U1631,打分卡!$F$12:$J$12,打分卡!$K$12:$O$12),1)</f>
        <v>5</v>
      </c>
      <c r="AI1631" s="42">
        <f>IFERROR(LOOKUP(X1631,打分卡!$F$13:$J$13,打分卡!$K$13:$O$13),1)</f>
        <v>5</v>
      </c>
      <c r="AJ1631" s="42">
        <f>IFERROR(LOOKUP(Y1631,打分卡!$F$14:$J$14,打分卡!$K$14:$O$14),1)</f>
        <v>5</v>
      </c>
      <c r="AK1631" s="42">
        <f>IFERROR(LOOKUP(W1631,打分卡!$F$15:$J$15,打分卡!$K$15:$O$15),1)</f>
        <v>5</v>
      </c>
      <c r="AL1631" s="45">
        <f t="shared" si="201"/>
        <v>5</v>
      </c>
      <c r="AM1631" s="42">
        <f>IFERROR(LOOKUP(Z1631,打分卡!$F$17:$H$17,打分卡!$K$17:$M$17),1)</f>
        <v>1</v>
      </c>
      <c r="AN1631" s="46">
        <f>(打分卡!$D$7*AC1631+打分卡!$D$8*AD1631+打分卡!$D$9*AE1631)/5</f>
        <v>8</v>
      </c>
      <c r="AO1631" s="46">
        <f>(打分卡!$D$10*AF1631+打分卡!$D$11*AG1631)/5</f>
        <v>4</v>
      </c>
      <c r="AP1631" s="46">
        <f>(打分卡!$D$12*AH1631+打分卡!$D$13*AI1631+打分卡!$D$14*AJ1631+打分卡!$D$15*AK1631)/5</f>
        <v>30</v>
      </c>
      <c r="AQ1631" s="46">
        <f>(打分卡!$D$16*AL1631+打分卡!$D$17*AM1631)/5</f>
        <v>6.8</v>
      </c>
      <c r="AR1631" s="48">
        <f t="shared" si="202"/>
        <v>80.8</v>
      </c>
      <c r="AS1631" s="45" t="str">
        <f t="shared" si="203"/>
        <v>新客观察期</v>
      </c>
      <c r="AT1631" s="45" t="str">
        <f t="shared" si="204"/>
        <v/>
      </c>
      <c r="AU1631" s="45" t="str">
        <f t="shared" si="205"/>
        <v>培育：入门包+1v1场景教育</v>
      </c>
    </row>
    <row r="1632" ht="15" customHeight="1" spans="1:47">
      <c r="A1632" s="30" t="s">
        <v>4177</v>
      </c>
      <c r="B1632" s="31" t="s">
        <v>4178</v>
      </c>
      <c r="C1632" s="31" t="s">
        <v>189</v>
      </c>
      <c r="D1632" s="31" t="s">
        <v>202</v>
      </c>
      <c r="E1632" s="31" t="s">
        <v>181</v>
      </c>
      <c r="F1632" s="30" t="s">
        <v>3942</v>
      </c>
      <c r="G1632" s="31">
        <v>13</v>
      </c>
      <c r="H1632" s="31" t="s">
        <v>3535</v>
      </c>
      <c r="I1632" s="31" t="s">
        <v>302</v>
      </c>
      <c r="J1632" s="33">
        <v>0</v>
      </c>
      <c r="K1632" s="33">
        <v>0</v>
      </c>
      <c r="L1632" s="33">
        <v>0</v>
      </c>
      <c r="M1632" s="33">
        <f t="shared" si="200"/>
        <v>0</v>
      </c>
      <c r="N1632" s="34">
        <f t="shared" si="206"/>
        <v>0</v>
      </c>
      <c r="O1632" s="35">
        <f>SUM($M$2:M1632)</f>
        <v>190743600</v>
      </c>
      <c r="P1632" s="34">
        <f t="shared" si="207"/>
        <v>1</v>
      </c>
      <c r="Q1632" s="37">
        <v>0</v>
      </c>
      <c r="R1632" s="31">
        <v>0</v>
      </c>
      <c r="S1632" s="31">
        <v>0</v>
      </c>
      <c r="T1632" s="31">
        <v>0</v>
      </c>
      <c r="U1632" s="37">
        <v>0.7</v>
      </c>
      <c r="V1632" s="31">
        <v>12</v>
      </c>
      <c r="W1632" s="31">
        <v>0</v>
      </c>
      <c r="X1632" s="38">
        <v>54</v>
      </c>
      <c r="Y1632" s="31">
        <v>1</v>
      </c>
      <c r="Z1632" s="31">
        <v>0</v>
      </c>
      <c r="AA1632" s="31" t="s">
        <v>212</v>
      </c>
      <c r="AB1632" s="31" t="s">
        <v>220</v>
      </c>
      <c r="AC1632" s="41">
        <f>IFERROR(LOOKUP(M1632,打分卡!$F$7:$J$7,打分卡!$K$7:$O$7),1)</f>
        <v>1</v>
      </c>
      <c r="AD1632" s="41">
        <f>IFERROR(LOOKUP(S1632,打分卡!$F$8:$J$8,打分卡!$K$8:$O$8),1)</f>
        <v>1</v>
      </c>
      <c r="AE1632" s="41">
        <f>IFERROR(LOOKUP(T1632,打分卡!$F$9:$I$9,打分卡!$K$9:$N$9),1)</f>
        <v>1</v>
      </c>
      <c r="AF1632" s="41">
        <f>IFERROR(LOOKUP(Q1632,打分卡!$F$10:$J$10,打分卡!$K$10:$O$10),1)</f>
        <v>1</v>
      </c>
      <c r="AG1632" s="41">
        <f>IFERROR(LOOKUP(R1632,打分卡!$F$11:$J$11,打分卡!$K$11:$O$11),1)</f>
        <v>1</v>
      </c>
      <c r="AH1632" s="41">
        <f>IFERROR(LOOKUP(U1632,打分卡!$F$12:$J$12,打分卡!$K$12:$O$12),1)</f>
        <v>1</v>
      </c>
      <c r="AI1632" s="41">
        <f>IFERROR(LOOKUP(X1632,打分卡!$F$13:$J$13,打分卡!$K$13:$O$13),1)</f>
        <v>3</v>
      </c>
      <c r="AJ1632" s="41">
        <f>IFERROR(LOOKUP(Y1632,打分卡!$F$14:$J$14,打分卡!$K$14:$O$14),1)</f>
        <v>2</v>
      </c>
      <c r="AK1632" s="41">
        <f>IFERROR(LOOKUP(W1632,打分卡!$F$15:$J$15,打分卡!$K$15:$O$15),1)</f>
        <v>1</v>
      </c>
      <c r="AL1632" s="43">
        <f t="shared" si="201"/>
        <v>1</v>
      </c>
      <c r="AM1632" s="41">
        <f>IFERROR(LOOKUP(Z1632,打分卡!$F$17:$H$17,打分卡!$K$17:$M$17),1)</f>
        <v>1</v>
      </c>
      <c r="AN1632" s="44">
        <f>(打分卡!$D$7*AC1632+打分卡!$D$8*AD1632+打分卡!$D$9*AE1632)/5</f>
        <v>8</v>
      </c>
      <c r="AO1632" s="44">
        <f>(打分卡!$D$10*AF1632+打分卡!$D$11*AG1632)/5</f>
        <v>4</v>
      </c>
      <c r="AP1632" s="44">
        <f>(打分卡!$D$12*AH1632+打分卡!$D$13*AI1632+打分卡!$D$14*AJ1632+打分卡!$D$15*AK1632)/5</f>
        <v>10.4</v>
      </c>
      <c r="AQ1632" s="44">
        <f>(打分卡!$D$16*AL1632+打分卡!$D$17*AM1632)/5</f>
        <v>2</v>
      </c>
      <c r="AR1632" s="47">
        <f t="shared" si="202"/>
        <v>24.4</v>
      </c>
      <c r="AS1632" s="43" t="str">
        <f t="shared" si="203"/>
        <v>未激活</v>
      </c>
      <c r="AT1632" s="43" t="str">
        <f t="shared" si="204"/>
        <v>连续下降-预警</v>
      </c>
      <c r="AU1632" s="43" t="str">
        <f t="shared" si="205"/>
        <v>唤醒：短信模板+首充补贴</v>
      </c>
    </row>
    <row r="1633" ht="15" customHeight="1" spans="1:47">
      <c r="A1633" s="20" t="s">
        <v>4179</v>
      </c>
      <c r="B1633" s="22" t="s">
        <v>4180</v>
      </c>
      <c r="C1633" s="22" t="s">
        <v>179</v>
      </c>
      <c r="D1633" s="22" t="s">
        <v>202</v>
      </c>
      <c r="E1633" s="22" t="s">
        <v>181</v>
      </c>
      <c r="F1633" s="20" t="s">
        <v>3857</v>
      </c>
      <c r="G1633" s="22">
        <v>19</v>
      </c>
      <c r="H1633" s="22" t="s">
        <v>3535</v>
      </c>
      <c r="I1633" s="22" t="s">
        <v>302</v>
      </c>
      <c r="J1633" s="36">
        <v>0</v>
      </c>
      <c r="K1633" s="36">
        <v>0</v>
      </c>
      <c r="L1633" s="36">
        <v>0</v>
      </c>
      <c r="M1633" s="36">
        <f t="shared" si="200"/>
        <v>0</v>
      </c>
      <c r="N1633" s="34">
        <f t="shared" si="206"/>
        <v>0</v>
      </c>
      <c r="O1633" s="35">
        <f>SUM($M$2:M1633)</f>
        <v>190743600</v>
      </c>
      <c r="P1633" s="34">
        <f t="shared" si="207"/>
        <v>1</v>
      </c>
      <c r="Q1633" s="39">
        <v>0</v>
      </c>
      <c r="R1633" s="22">
        <v>0</v>
      </c>
      <c r="S1633" s="22">
        <v>0</v>
      </c>
      <c r="T1633" s="22">
        <v>0</v>
      </c>
      <c r="U1633" s="39">
        <v>1.2</v>
      </c>
      <c r="V1633" s="22">
        <v>4</v>
      </c>
      <c r="W1633" s="22">
        <v>0</v>
      </c>
      <c r="X1633" s="40">
        <v>14</v>
      </c>
      <c r="Y1633" s="22">
        <v>0</v>
      </c>
      <c r="Z1633" s="22">
        <v>0</v>
      </c>
      <c r="AA1633" s="22" t="s">
        <v>212</v>
      </c>
      <c r="AB1633" s="22" t="s">
        <v>220</v>
      </c>
      <c r="AC1633" s="42">
        <f>IFERROR(LOOKUP(M1633,打分卡!$F$7:$J$7,打分卡!$K$7:$O$7),1)</f>
        <v>1</v>
      </c>
      <c r="AD1633" s="42">
        <f>IFERROR(LOOKUP(S1633,打分卡!$F$8:$J$8,打分卡!$K$8:$O$8),1)</f>
        <v>1</v>
      </c>
      <c r="AE1633" s="42">
        <f>IFERROR(LOOKUP(T1633,打分卡!$F$9:$I$9,打分卡!$K$9:$N$9),1)</f>
        <v>1</v>
      </c>
      <c r="AF1633" s="42">
        <f>IFERROR(LOOKUP(Q1633,打分卡!$F$10:$J$10,打分卡!$K$10:$O$10),1)</f>
        <v>1</v>
      </c>
      <c r="AG1633" s="42">
        <f>IFERROR(LOOKUP(R1633,打分卡!$F$11:$J$11,打分卡!$K$11:$O$11),1)</f>
        <v>1</v>
      </c>
      <c r="AH1633" s="42">
        <f>IFERROR(LOOKUP(U1633,打分卡!$F$12:$J$12,打分卡!$K$12:$O$12),1)</f>
        <v>1</v>
      </c>
      <c r="AI1633" s="42">
        <f>IFERROR(LOOKUP(X1633,打分卡!$F$13:$J$13,打分卡!$K$13:$O$13),1)</f>
        <v>1</v>
      </c>
      <c r="AJ1633" s="42">
        <f>IFERROR(LOOKUP(Y1633,打分卡!$F$14:$J$14,打分卡!$K$14:$O$14),1)</f>
        <v>1</v>
      </c>
      <c r="AK1633" s="42">
        <f>IFERROR(LOOKUP(W1633,打分卡!$F$15:$J$15,打分卡!$K$15:$O$15),1)</f>
        <v>1</v>
      </c>
      <c r="AL1633" s="45">
        <f t="shared" si="201"/>
        <v>1</v>
      </c>
      <c r="AM1633" s="42">
        <f>IFERROR(LOOKUP(Z1633,打分卡!$F$17:$H$17,打分卡!$K$17:$M$17),1)</f>
        <v>1</v>
      </c>
      <c r="AN1633" s="46">
        <f>(打分卡!$D$7*AC1633+打分卡!$D$8*AD1633+打分卡!$D$9*AE1633)/5</f>
        <v>8</v>
      </c>
      <c r="AO1633" s="46">
        <f>(打分卡!$D$10*AF1633+打分卡!$D$11*AG1633)/5</f>
        <v>4</v>
      </c>
      <c r="AP1633" s="46">
        <f>(打分卡!$D$12*AH1633+打分卡!$D$13*AI1633+打分卡!$D$14*AJ1633+打分卡!$D$15*AK1633)/5</f>
        <v>6</v>
      </c>
      <c r="AQ1633" s="46">
        <f>(打分卡!$D$16*AL1633+打分卡!$D$17*AM1633)/5</f>
        <v>2</v>
      </c>
      <c r="AR1633" s="48">
        <f t="shared" si="202"/>
        <v>20</v>
      </c>
      <c r="AS1633" s="45" t="str">
        <f t="shared" si="203"/>
        <v>未激活</v>
      </c>
      <c r="AT1633" s="45" t="str">
        <f t="shared" si="204"/>
        <v>连续下降-预警</v>
      </c>
      <c r="AU1633" s="45" t="str">
        <f t="shared" si="205"/>
        <v>唤醒：短信模板+首充补贴</v>
      </c>
    </row>
    <row r="1634" ht="15" customHeight="1" spans="1:47">
      <c r="A1634" s="30" t="s">
        <v>4181</v>
      </c>
      <c r="B1634" s="31" t="s">
        <v>4182</v>
      </c>
      <c r="C1634" s="31" t="s">
        <v>189</v>
      </c>
      <c r="D1634" s="31" t="s">
        <v>190</v>
      </c>
      <c r="E1634" s="31" t="s">
        <v>197</v>
      </c>
      <c r="F1634" s="30" t="s">
        <v>3166</v>
      </c>
      <c r="G1634" s="31">
        <v>2</v>
      </c>
      <c r="H1634" s="31" t="s">
        <v>642</v>
      </c>
      <c r="I1634" s="31" t="s">
        <v>302</v>
      </c>
      <c r="J1634" s="33">
        <v>0</v>
      </c>
      <c r="K1634" s="33">
        <v>0</v>
      </c>
      <c r="L1634" s="33">
        <v>0</v>
      </c>
      <c r="M1634" s="33">
        <f t="shared" si="200"/>
        <v>0</v>
      </c>
      <c r="N1634" s="34">
        <f t="shared" si="206"/>
        <v>0</v>
      </c>
      <c r="O1634" s="35">
        <f>SUM($M$2:M1634)</f>
        <v>190743600</v>
      </c>
      <c r="P1634" s="34">
        <f t="shared" si="207"/>
        <v>1</v>
      </c>
      <c r="Q1634" s="37">
        <v>0</v>
      </c>
      <c r="R1634" s="31">
        <v>0</v>
      </c>
      <c r="S1634" s="31">
        <v>0</v>
      </c>
      <c r="T1634" s="31">
        <v>0</v>
      </c>
      <c r="U1634" s="37">
        <v>995</v>
      </c>
      <c r="V1634" s="31">
        <v>5</v>
      </c>
      <c r="W1634" s="31">
        <v>22</v>
      </c>
      <c r="X1634" s="38">
        <v>1307</v>
      </c>
      <c r="Y1634" s="31">
        <v>2</v>
      </c>
      <c r="Z1634" s="31">
        <v>0</v>
      </c>
      <c r="AA1634" s="31" t="s">
        <v>199</v>
      </c>
      <c r="AB1634" s="31" t="s">
        <v>220</v>
      </c>
      <c r="AC1634" s="41">
        <f>IFERROR(LOOKUP(M1634,打分卡!$F$7:$J$7,打分卡!$K$7:$O$7),1)</f>
        <v>1</v>
      </c>
      <c r="AD1634" s="41">
        <f>IFERROR(LOOKUP(S1634,打分卡!$F$8:$J$8,打分卡!$K$8:$O$8),1)</f>
        <v>1</v>
      </c>
      <c r="AE1634" s="41">
        <f>IFERROR(LOOKUP(T1634,打分卡!$F$9:$I$9,打分卡!$K$9:$N$9),1)</f>
        <v>1</v>
      </c>
      <c r="AF1634" s="41">
        <f>IFERROR(LOOKUP(Q1634,打分卡!$F$10:$J$10,打分卡!$K$10:$O$10),1)</f>
        <v>1</v>
      </c>
      <c r="AG1634" s="41">
        <f>IFERROR(LOOKUP(R1634,打分卡!$F$11:$J$11,打分卡!$K$11:$O$11),1)</f>
        <v>1</v>
      </c>
      <c r="AH1634" s="41">
        <f>IFERROR(LOOKUP(U1634,打分卡!$F$12:$J$12,打分卡!$K$12:$O$12),1)</f>
        <v>5</v>
      </c>
      <c r="AI1634" s="41">
        <f>IFERROR(LOOKUP(X1634,打分卡!$F$13:$J$13,打分卡!$K$13:$O$13),1)</f>
        <v>5</v>
      </c>
      <c r="AJ1634" s="41">
        <f>IFERROR(LOOKUP(Y1634,打分卡!$F$14:$J$14,打分卡!$K$14:$O$14),1)</f>
        <v>3</v>
      </c>
      <c r="AK1634" s="41">
        <f>IFERROR(LOOKUP(W1634,打分卡!$F$15:$J$15,打分卡!$K$15:$O$15),1)</f>
        <v>5</v>
      </c>
      <c r="AL1634" s="43">
        <f t="shared" si="201"/>
        <v>5</v>
      </c>
      <c r="AM1634" s="41">
        <f>IFERROR(LOOKUP(Z1634,打分卡!$F$17:$H$17,打分卡!$K$17:$M$17),1)</f>
        <v>1</v>
      </c>
      <c r="AN1634" s="44">
        <f>(打分卡!$D$7*AC1634+打分卡!$D$8*AD1634+打分卡!$D$9*AE1634)/5</f>
        <v>8</v>
      </c>
      <c r="AO1634" s="44">
        <f>(打分卡!$D$10*AF1634+打分卡!$D$11*AG1634)/5</f>
        <v>4</v>
      </c>
      <c r="AP1634" s="44">
        <f>(打分卡!$D$12*AH1634+打分卡!$D$13*AI1634+打分卡!$D$14*AJ1634+打分卡!$D$15*AK1634)/5</f>
        <v>27.6</v>
      </c>
      <c r="AQ1634" s="44">
        <f>(打分卡!$D$16*AL1634+打分卡!$D$17*AM1634)/5</f>
        <v>6.8</v>
      </c>
      <c r="AR1634" s="47">
        <f t="shared" si="202"/>
        <v>75.2</v>
      </c>
      <c r="AS1634" s="43" t="str">
        <f t="shared" si="203"/>
        <v>新客观察期</v>
      </c>
      <c r="AT1634" s="43" t="str">
        <f t="shared" si="204"/>
        <v/>
      </c>
      <c r="AU1634" s="43" t="str">
        <f t="shared" si="205"/>
        <v>培育：入门包+1v1场景教育</v>
      </c>
    </row>
    <row r="1635" ht="15" customHeight="1" spans="1:47">
      <c r="A1635" s="20" t="s">
        <v>4183</v>
      </c>
      <c r="B1635" s="22" t="s">
        <v>4184</v>
      </c>
      <c r="C1635" s="22" t="s">
        <v>223</v>
      </c>
      <c r="D1635" s="22" t="s">
        <v>190</v>
      </c>
      <c r="E1635" s="22" t="s">
        <v>181</v>
      </c>
      <c r="F1635" s="20" t="s">
        <v>2200</v>
      </c>
      <c r="G1635" s="22">
        <v>19</v>
      </c>
      <c r="H1635" s="22" t="s">
        <v>3535</v>
      </c>
      <c r="I1635" s="22" t="s">
        <v>302</v>
      </c>
      <c r="J1635" s="36">
        <v>0</v>
      </c>
      <c r="K1635" s="36">
        <v>0</v>
      </c>
      <c r="L1635" s="36">
        <v>0</v>
      </c>
      <c r="M1635" s="36">
        <f t="shared" si="200"/>
        <v>0</v>
      </c>
      <c r="N1635" s="34">
        <f t="shared" si="206"/>
        <v>0</v>
      </c>
      <c r="O1635" s="35">
        <f>SUM($M$2:M1635)</f>
        <v>190743600</v>
      </c>
      <c r="P1635" s="34">
        <f t="shared" si="207"/>
        <v>1</v>
      </c>
      <c r="Q1635" s="39">
        <v>0</v>
      </c>
      <c r="R1635" s="22">
        <v>0</v>
      </c>
      <c r="S1635" s="22">
        <v>0</v>
      </c>
      <c r="T1635" s="22">
        <v>0</v>
      </c>
      <c r="U1635" s="39">
        <v>0.5</v>
      </c>
      <c r="V1635" s="22">
        <v>9</v>
      </c>
      <c r="W1635" s="22">
        <v>2</v>
      </c>
      <c r="X1635" s="40">
        <v>27</v>
      </c>
      <c r="Y1635" s="22">
        <v>1</v>
      </c>
      <c r="Z1635" s="22">
        <v>0</v>
      </c>
      <c r="AA1635" s="22" t="s">
        <v>212</v>
      </c>
      <c r="AB1635" s="22" t="s">
        <v>220</v>
      </c>
      <c r="AC1635" s="42">
        <f>IFERROR(LOOKUP(M1635,打分卡!$F$7:$J$7,打分卡!$K$7:$O$7),1)</f>
        <v>1</v>
      </c>
      <c r="AD1635" s="42">
        <f>IFERROR(LOOKUP(S1635,打分卡!$F$8:$J$8,打分卡!$K$8:$O$8),1)</f>
        <v>1</v>
      </c>
      <c r="AE1635" s="42">
        <f>IFERROR(LOOKUP(T1635,打分卡!$F$9:$I$9,打分卡!$K$9:$N$9),1)</f>
        <v>1</v>
      </c>
      <c r="AF1635" s="42">
        <f>IFERROR(LOOKUP(Q1635,打分卡!$F$10:$J$10,打分卡!$K$10:$O$10),1)</f>
        <v>1</v>
      </c>
      <c r="AG1635" s="42">
        <f>IFERROR(LOOKUP(R1635,打分卡!$F$11:$J$11,打分卡!$K$11:$O$11),1)</f>
        <v>1</v>
      </c>
      <c r="AH1635" s="42">
        <f>IFERROR(LOOKUP(U1635,打分卡!$F$12:$J$12,打分卡!$K$12:$O$12),1)</f>
        <v>1</v>
      </c>
      <c r="AI1635" s="42">
        <f>IFERROR(LOOKUP(X1635,打分卡!$F$13:$J$13,打分卡!$K$13:$O$13),1)</f>
        <v>2</v>
      </c>
      <c r="AJ1635" s="42">
        <f>IFERROR(LOOKUP(Y1635,打分卡!$F$14:$J$14,打分卡!$K$14:$O$14),1)</f>
        <v>2</v>
      </c>
      <c r="AK1635" s="42">
        <f>IFERROR(LOOKUP(W1635,打分卡!$F$15:$J$15,打分卡!$K$15:$O$15),1)</f>
        <v>2</v>
      </c>
      <c r="AL1635" s="45">
        <f t="shared" si="201"/>
        <v>1</v>
      </c>
      <c r="AM1635" s="42">
        <f>IFERROR(LOOKUP(Z1635,打分卡!$F$17:$H$17,打分卡!$K$17:$M$17),1)</f>
        <v>1</v>
      </c>
      <c r="AN1635" s="46">
        <f>(打分卡!$D$7*AC1635+打分卡!$D$8*AD1635+打分卡!$D$9*AE1635)/5</f>
        <v>8</v>
      </c>
      <c r="AO1635" s="46">
        <f>(打分卡!$D$10*AF1635+打分卡!$D$11*AG1635)/5</f>
        <v>4</v>
      </c>
      <c r="AP1635" s="46">
        <f>(打分卡!$D$12*AH1635+打分卡!$D$13*AI1635+打分卡!$D$14*AJ1635+打分卡!$D$15*AK1635)/5</f>
        <v>9.6</v>
      </c>
      <c r="AQ1635" s="46">
        <f>(打分卡!$D$16*AL1635+打分卡!$D$17*AM1635)/5</f>
        <v>2</v>
      </c>
      <c r="AR1635" s="48">
        <f t="shared" si="202"/>
        <v>23.6</v>
      </c>
      <c r="AS1635" s="45" t="str">
        <f t="shared" si="203"/>
        <v>未激活</v>
      </c>
      <c r="AT1635" s="45" t="str">
        <f t="shared" si="204"/>
        <v>连续下降-预警</v>
      </c>
      <c r="AU1635" s="45" t="str">
        <f t="shared" si="205"/>
        <v>唤醒：短信模板+首充补贴</v>
      </c>
    </row>
    <row r="1636" ht="15" customHeight="1" spans="1:47">
      <c r="A1636" s="30" t="s">
        <v>4185</v>
      </c>
      <c r="B1636" s="31" t="s">
        <v>4186</v>
      </c>
      <c r="C1636" s="31" t="s">
        <v>223</v>
      </c>
      <c r="D1636" s="31" t="s">
        <v>190</v>
      </c>
      <c r="E1636" s="31" t="s">
        <v>181</v>
      </c>
      <c r="F1636" s="30" t="s">
        <v>4187</v>
      </c>
      <c r="G1636" s="31">
        <v>34</v>
      </c>
      <c r="H1636" s="31" t="s">
        <v>3535</v>
      </c>
      <c r="I1636" s="31" t="s">
        <v>302</v>
      </c>
      <c r="J1636" s="33">
        <v>0</v>
      </c>
      <c r="K1636" s="33">
        <v>0</v>
      </c>
      <c r="L1636" s="33">
        <v>0</v>
      </c>
      <c r="M1636" s="33">
        <f t="shared" si="200"/>
        <v>0</v>
      </c>
      <c r="N1636" s="34">
        <f t="shared" si="206"/>
        <v>0</v>
      </c>
      <c r="O1636" s="35">
        <f>SUM($M$2:M1636)</f>
        <v>190743600</v>
      </c>
      <c r="P1636" s="34">
        <f t="shared" si="207"/>
        <v>1</v>
      </c>
      <c r="Q1636" s="37">
        <v>0</v>
      </c>
      <c r="R1636" s="31">
        <v>0</v>
      </c>
      <c r="S1636" s="31">
        <v>0</v>
      </c>
      <c r="T1636" s="31">
        <v>0</v>
      </c>
      <c r="U1636" s="37">
        <v>6.9</v>
      </c>
      <c r="V1636" s="31">
        <v>6</v>
      </c>
      <c r="W1636" s="31">
        <v>1</v>
      </c>
      <c r="X1636" s="38">
        <v>30</v>
      </c>
      <c r="Y1636" s="31">
        <v>0</v>
      </c>
      <c r="Z1636" s="31">
        <v>0</v>
      </c>
      <c r="AA1636" s="31" t="s">
        <v>212</v>
      </c>
      <c r="AB1636" s="31" t="s">
        <v>220</v>
      </c>
      <c r="AC1636" s="41">
        <f>IFERROR(LOOKUP(M1636,打分卡!$F$7:$J$7,打分卡!$K$7:$O$7),1)</f>
        <v>1</v>
      </c>
      <c r="AD1636" s="41">
        <f>IFERROR(LOOKUP(S1636,打分卡!$F$8:$J$8,打分卡!$K$8:$O$8),1)</f>
        <v>1</v>
      </c>
      <c r="AE1636" s="41">
        <f>IFERROR(LOOKUP(T1636,打分卡!$F$9:$I$9,打分卡!$K$9:$N$9),1)</f>
        <v>1</v>
      </c>
      <c r="AF1636" s="41">
        <f>IFERROR(LOOKUP(Q1636,打分卡!$F$10:$J$10,打分卡!$K$10:$O$10),1)</f>
        <v>1</v>
      </c>
      <c r="AG1636" s="41">
        <f>IFERROR(LOOKUP(R1636,打分卡!$F$11:$J$11,打分卡!$K$11:$O$11),1)</f>
        <v>1</v>
      </c>
      <c r="AH1636" s="41">
        <f>IFERROR(LOOKUP(U1636,打分卡!$F$12:$J$12,打分卡!$K$12:$O$12),1)</f>
        <v>2</v>
      </c>
      <c r="AI1636" s="41">
        <f>IFERROR(LOOKUP(X1636,打分卡!$F$13:$J$13,打分卡!$K$13:$O$13),1)</f>
        <v>2</v>
      </c>
      <c r="AJ1636" s="41">
        <f>IFERROR(LOOKUP(Y1636,打分卡!$F$14:$J$14,打分卡!$K$14:$O$14),1)</f>
        <v>1</v>
      </c>
      <c r="AK1636" s="41">
        <f>IFERROR(LOOKUP(W1636,打分卡!$F$15:$J$15,打分卡!$K$15:$O$15),1)</f>
        <v>2</v>
      </c>
      <c r="AL1636" s="43">
        <f t="shared" si="201"/>
        <v>1</v>
      </c>
      <c r="AM1636" s="41">
        <f>IFERROR(LOOKUP(Z1636,打分卡!$F$17:$H$17,打分卡!$K$17:$M$17),1)</f>
        <v>1</v>
      </c>
      <c r="AN1636" s="44">
        <f>(打分卡!$D$7*AC1636+打分卡!$D$8*AD1636+打分卡!$D$9*AE1636)/5</f>
        <v>8</v>
      </c>
      <c r="AO1636" s="44">
        <f>(打分卡!$D$10*AF1636+打分卡!$D$11*AG1636)/5</f>
        <v>4</v>
      </c>
      <c r="AP1636" s="44">
        <f>(打分卡!$D$12*AH1636+打分卡!$D$13*AI1636+打分卡!$D$14*AJ1636+打分卡!$D$15*AK1636)/5</f>
        <v>10.8</v>
      </c>
      <c r="AQ1636" s="44">
        <f>(打分卡!$D$16*AL1636+打分卡!$D$17*AM1636)/5</f>
        <v>2</v>
      </c>
      <c r="AR1636" s="47">
        <f t="shared" si="202"/>
        <v>24.8</v>
      </c>
      <c r="AS1636" s="43" t="str">
        <f t="shared" si="203"/>
        <v>未激活</v>
      </c>
      <c r="AT1636" s="43" t="str">
        <f t="shared" si="204"/>
        <v>连续下降-预警</v>
      </c>
      <c r="AU1636" s="43" t="str">
        <f t="shared" si="205"/>
        <v>唤醒：短信模板+首充补贴</v>
      </c>
    </row>
    <row r="1637" ht="15" customHeight="1" spans="1:47">
      <c r="A1637" s="20" t="s">
        <v>4188</v>
      </c>
      <c r="B1637" s="22" t="s">
        <v>4189</v>
      </c>
      <c r="C1637" s="22" t="s">
        <v>234</v>
      </c>
      <c r="D1637" s="22" t="s">
        <v>202</v>
      </c>
      <c r="E1637" s="22" t="s">
        <v>197</v>
      </c>
      <c r="F1637" s="20" t="s">
        <v>4190</v>
      </c>
      <c r="G1637" s="22">
        <v>28</v>
      </c>
      <c r="H1637" s="22" t="s">
        <v>3535</v>
      </c>
      <c r="I1637" s="22" t="s">
        <v>302</v>
      </c>
      <c r="J1637" s="36">
        <v>0</v>
      </c>
      <c r="K1637" s="36">
        <v>0</v>
      </c>
      <c r="L1637" s="36">
        <v>0</v>
      </c>
      <c r="M1637" s="36">
        <f t="shared" si="200"/>
        <v>0</v>
      </c>
      <c r="N1637" s="34">
        <f t="shared" si="206"/>
        <v>0</v>
      </c>
      <c r="O1637" s="35">
        <f>SUM($M$2:M1637)</f>
        <v>190743600</v>
      </c>
      <c r="P1637" s="34">
        <f t="shared" si="207"/>
        <v>1</v>
      </c>
      <c r="Q1637" s="39">
        <v>0</v>
      </c>
      <c r="R1637" s="22">
        <v>0</v>
      </c>
      <c r="S1637" s="22">
        <v>0</v>
      </c>
      <c r="T1637" s="22">
        <v>0</v>
      </c>
      <c r="U1637" s="39">
        <v>2.4</v>
      </c>
      <c r="V1637" s="22">
        <v>8</v>
      </c>
      <c r="W1637" s="22">
        <v>0</v>
      </c>
      <c r="X1637" s="40">
        <v>11</v>
      </c>
      <c r="Y1637" s="22">
        <v>1</v>
      </c>
      <c r="Z1637" s="22">
        <v>0</v>
      </c>
      <c r="AA1637" s="22" t="s">
        <v>212</v>
      </c>
      <c r="AB1637" s="22" t="s">
        <v>220</v>
      </c>
      <c r="AC1637" s="42">
        <f>IFERROR(LOOKUP(M1637,打分卡!$F$7:$J$7,打分卡!$K$7:$O$7),1)</f>
        <v>1</v>
      </c>
      <c r="AD1637" s="42">
        <f>IFERROR(LOOKUP(S1637,打分卡!$F$8:$J$8,打分卡!$K$8:$O$8),1)</f>
        <v>1</v>
      </c>
      <c r="AE1637" s="42">
        <f>IFERROR(LOOKUP(T1637,打分卡!$F$9:$I$9,打分卡!$K$9:$N$9),1)</f>
        <v>1</v>
      </c>
      <c r="AF1637" s="42">
        <f>IFERROR(LOOKUP(Q1637,打分卡!$F$10:$J$10,打分卡!$K$10:$O$10),1)</f>
        <v>1</v>
      </c>
      <c r="AG1637" s="42">
        <f>IFERROR(LOOKUP(R1637,打分卡!$F$11:$J$11,打分卡!$K$11:$O$11),1)</f>
        <v>1</v>
      </c>
      <c r="AH1637" s="42">
        <f>IFERROR(LOOKUP(U1637,打分卡!$F$12:$J$12,打分卡!$K$12:$O$12),1)</f>
        <v>1</v>
      </c>
      <c r="AI1637" s="42">
        <f>IFERROR(LOOKUP(X1637,打分卡!$F$13:$J$13,打分卡!$K$13:$O$13),1)</f>
        <v>1</v>
      </c>
      <c r="AJ1637" s="42">
        <f>IFERROR(LOOKUP(Y1637,打分卡!$F$14:$J$14,打分卡!$K$14:$O$14),1)</f>
        <v>2</v>
      </c>
      <c r="AK1637" s="42">
        <f>IFERROR(LOOKUP(W1637,打分卡!$F$15:$J$15,打分卡!$K$15:$O$15),1)</f>
        <v>1</v>
      </c>
      <c r="AL1637" s="45">
        <f t="shared" si="201"/>
        <v>1</v>
      </c>
      <c r="AM1637" s="42">
        <f>IFERROR(LOOKUP(Z1637,打分卡!$F$17:$H$17,打分卡!$K$17:$M$17),1)</f>
        <v>1</v>
      </c>
      <c r="AN1637" s="46">
        <f>(打分卡!$D$7*AC1637+打分卡!$D$8*AD1637+打分卡!$D$9*AE1637)/5</f>
        <v>8</v>
      </c>
      <c r="AO1637" s="46">
        <f>(打分卡!$D$10*AF1637+打分卡!$D$11*AG1637)/5</f>
        <v>4</v>
      </c>
      <c r="AP1637" s="46">
        <f>(打分卡!$D$12*AH1637+打分卡!$D$13*AI1637+打分卡!$D$14*AJ1637+打分卡!$D$15*AK1637)/5</f>
        <v>7.2</v>
      </c>
      <c r="AQ1637" s="46">
        <f>(打分卡!$D$16*AL1637+打分卡!$D$17*AM1637)/5</f>
        <v>2</v>
      </c>
      <c r="AR1637" s="48">
        <f t="shared" si="202"/>
        <v>21.2</v>
      </c>
      <c r="AS1637" s="45" t="str">
        <f t="shared" si="203"/>
        <v>未激活</v>
      </c>
      <c r="AT1637" s="45" t="str">
        <f t="shared" si="204"/>
        <v>连续下降-预警</v>
      </c>
      <c r="AU1637" s="45" t="str">
        <f t="shared" si="205"/>
        <v>唤醒：短信模板+首充补贴</v>
      </c>
    </row>
    <row r="1638" ht="15" customHeight="1" spans="1:47">
      <c r="A1638" s="30" t="s">
        <v>4191</v>
      </c>
      <c r="B1638" s="31" t="s">
        <v>4192</v>
      </c>
      <c r="C1638" s="31" t="s">
        <v>209</v>
      </c>
      <c r="D1638" s="31" t="s">
        <v>227</v>
      </c>
      <c r="E1638" s="31" t="s">
        <v>181</v>
      </c>
      <c r="F1638" s="30" t="s">
        <v>4193</v>
      </c>
      <c r="G1638" s="31">
        <v>27</v>
      </c>
      <c r="H1638" s="31" t="s">
        <v>3535</v>
      </c>
      <c r="I1638" s="31" t="s">
        <v>302</v>
      </c>
      <c r="J1638" s="33">
        <v>0</v>
      </c>
      <c r="K1638" s="33">
        <v>0</v>
      </c>
      <c r="L1638" s="33">
        <v>0</v>
      </c>
      <c r="M1638" s="33">
        <f t="shared" si="200"/>
        <v>0</v>
      </c>
      <c r="N1638" s="34">
        <f t="shared" si="206"/>
        <v>0</v>
      </c>
      <c r="O1638" s="35">
        <f>SUM($M$2:M1638)</f>
        <v>190743600</v>
      </c>
      <c r="P1638" s="34">
        <f t="shared" si="207"/>
        <v>1</v>
      </c>
      <c r="Q1638" s="37">
        <v>0</v>
      </c>
      <c r="R1638" s="31">
        <v>0</v>
      </c>
      <c r="S1638" s="31">
        <v>0</v>
      </c>
      <c r="T1638" s="31">
        <v>0</v>
      </c>
      <c r="U1638" s="37">
        <v>32.2</v>
      </c>
      <c r="V1638" s="31">
        <v>8</v>
      </c>
      <c r="W1638" s="31">
        <v>2</v>
      </c>
      <c r="X1638" s="38">
        <v>74</v>
      </c>
      <c r="Y1638" s="31">
        <v>0</v>
      </c>
      <c r="Z1638" s="31">
        <v>0</v>
      </c>
      <c r="AA1638" s="31" t="s">
        <v>212</v>
      </c>
      <c r="AB1638" s="31" t="s">
        <v>220</v>
      </c>
      <c r="AC1638" s="41">
        <f>IFERROR(LOOKUP(M1638,打分卡!$F$7:$J$7,打分卡!$K$7:$O$7),1)</f>
        <v>1</v>
      </c>
      <c r="AD1638" s="41">
        <f>IFERROR(LOOKUP(S1638,打分卡!$F$8:$J$8,打分卡!$K$8:$O$8),1)</f>
        <v>1</v>
      </c>
      <c r="AE1638" s="41">
        <f>IFERROR(LOOKUP(T1638,打分卡!$F$9:$I$9,打分卡!$K$9:$N$9),1)</f>
        <v>1</v>
      </c>
      <c r="AF1638" s="41">
        <f>IFERROR(LOOKUP(Q1638,打分卡!$F$10:$J$10,打分卡!$K$10:$O$10),1)</f>
        <v>1</v>
      </c>
      <c r="AG1638" s="41">
        <f>IFERROR(LOOKUP(R1638,打分卡!$F$11:$J$11,打分卡!$K$11:$O$11),1)</f>
        <v>1</v>
      </c>
      <c r="AH1638" s="41">
        <f>IFERROR(LOOKUP(U1638,打分卡!$F$12:$J$12,打分卡!$K$12:$O$12),1)</f>
        <v>3</v>
      </c>
      <c r="AI1638" s="41">
        <f>IFERROR(LOOKUP(X1638,打分卡!$F$13:$J$13,打分卡!$K$13:$O$13),1)</f>
        <v>3</v>
      </c>
      <c r="AJ1638" s="41">
        <f>IFERROR(LOOKUP(Y1638,打分卡!$F$14:$J$14,打分卡!$K$14:$O$14),1)</f>
        <v>1</v>
      </c>
      <c r="AK1638" s="41">
        <f>IFERROR(LOOKUP(W1638,打分卡!$F$15:$J$15,打分卡!$K$15:$O$15),1)</f>
        <v>2</v>
      </c>
      <c r="AL1638" s="43">
        <f t="shared" si="201"/>
        <v>1</v>
      </c>
      <c r="AM1638" s="41">
        <f>IFERROR(LOOKUP(Z1638,打分卡!$F$17:$H$17,打分卡!$K$17:$M$17),1)</f>
        <v>1</v>
      </c>
      <c r="AN1638" s="44">
        <f>(打分卡!$D$7*AC1638+打分卡!$D$8*AD1638+打分卡!$D$9*AE1638)/5</f>
        <v>8</v>
      </c>
      <c r="AO1638" s="44">
        <f>(打分卡!$D$10*AF1638+打分卡!$D$11*AG1638)/5</f>
        <v>4</v>
      </c>
      <c r="AP1638" s="44">
        <f>(打分卡!$D$12*AH1638+打分卡!$D$13*AI1638+打分卡!$D$14*AJ1638+打分卡!$D$15*AK1638)/5</f>
        <v>14.8</v>
      </c>
      <c r="AQ1638" s="44">
        <f>(打分卡!$D$16*AL1638+打分卡!$D$17*AM1638)/5</f>
        <v>2</v>
      </c>
      <c r="AR1638" s="47">
        <f t="shared" si="202"/>
        <v>28.8</v>
      </c>
      <c r="AS1638" s="43" t="str">
        <f t="shared" si="203"/>
        <v>未激活</v>
      </c>
      <c r="AT1638" s="43" t="str">
        <f t="shared" si="204"/>
        <v>连续下降-预警</v>
      </c>
      <c r="AU1638" s="43" t="str">
        <f t="shared" si="205"/>
        <v>唤醒：短信模板+首充补贴</v>
      </c>
    </row>
    <row r="1639" ht="15" customHeight="1" spans="1:47">
      <c r="A1639" s="20" t="s">
        <v>4194</v>
      </c>
      <c r="B1639" s="22" t="s">
        <v>4195</v>
      </c>
      <c r="C1639" s="22" t="s">
        <v>179</v>
      </c>
      <c r="D1639" s="22" t="s">
        <v>227</v>
      </c>
      <c r="E1639" s="22" t="s">
        <v>181</v>
      </c>
      <c r="F1639" s="20" t="s">
        <v>1537</v>
      </c>
      <c r="G1639" s="22">
        <v>12</v>
      </c>
      <c r="H1639" s="22" t="s">
        <v>3535</v>
      </c>
      <c r="I1639" s="22" t="s">
        <v>302</v>
      </c>
      <c r="J1639" s="36">
        <v>0</v>
      </c>
      <c r="K1639" s="36">
        <v>0</v>
      </c>
      <c r="L1639" s="36">
        <v>0</v>
      </c>
      <c r="M1639" s="36">
        <f t="shared" si="200"/>
        <v>0</v>
      </c>
      <c r="N1639" s="34">
        <f t="shared" si="206"/>
        <v>0</v>
      </c>
      <c r="O1639" s="35">
        <f>SUM($M$2:M1639)</f>
        <v>190743600</v>
      </c>
      <c r="P1639" s="34">
        <f t="shared" si="207"/>
        <v>1</v>
      </c>
      <c r="Q1639" s="39">
        <v>0</v>
      </c>
      <c r="R1639" s="22">
        <v>0</v>
      </c>
      <c r="S1639" s="22">
        <v>0</v>
      </c>
      <c r="T1639" s="22">
        <v>0</v>
      </c>
      <c r="U1639" s="39">
        <v>20.1</v>
      </c>
      <c r="V1639" s="22">
        <v>0</v>
      </c>
      <c r="W1639" s="22">
        <v>2</v>
      </c>
      <c r="X1639" s="40">
        <v>70</v>
      </c>
      <c r="Y1639" s="22">
        <v>1</v>
      </c>
      <c r="Z1639" s="22">
        <v>0</v>
      </c>
      <c r="AA1639" s="22" t="s">
        <v>212</v>
      </c>
      <c r="AB1639" s="22" t="s">
        <v>220</v>
      </c>
      <c r="AC1639" s="42">
        <f>IFERROR(LOOKUP(M1639,打分卡!$F$7:$J$7,打分卡!$K$7:$O$7),1)</f>
        <v>1</v>
      </c>
      <c r="AD1639" s="42">
        <f>IFERROR(LOOKUP(S1639,打分卡!$F$8:$J$8,打分卡!$K$8:$O$8),1)</f>
        <v>1</v>
      </c>
      <c r="AE1639" s="42">
        <f>IFERROR(LOOKUP(T1639,打分卡!$F$9:$I$9,打分卡!$K$9:$N$9),1)</f>
        <v>1</v>
      </c>
      <c r="AF1639" s="42">
        <f>IFERROR(LOOKUP(Q1639,打分卡!$F$10:$J$10,打分卡!$K$10:$O$10),1)</f>
        <v>1</v>
      </c>
      <c r="AG1639" s="42">
        <f>IFERROR(LOOKUP(R1639,打分卡!$F$11:$J$11,打分卡!$K$11:$O$11),1)</f>
        <v>1</v>
      </c>
      <c r="AH1639" s="42">
        <f>IFERROR(LOOKUP(U1639,打分卡!$F$12:$J$12,打分卡!$K$12:$O$12),1)</f>
        <v>3</v>
      </c>
      <c r="AI1639" s="42">
        <f>IFERROR(LOOKUP(X1639,打分卡!$F$13:$J$13,打分卡!$K$13:$O$13),1)</f>
        <v>3</v>
      </c>
      <c r="AJ1639" s="42">
        <f>IFERROR(LOOKUP(Y1639,打分卡!$F$14:$J$14,打分卡!$K$14:$O$14),1)</f>
        <v>2</v>
      </c>
      <c r="AK1639" s="42">
        <f>IFERROR(LOOKUP(W1639,打分卡!$F$15:$J$15,打分卡!$K$15:$O$15),1)</f>
        <v>2</v>
      </c>
      <c r="AL1639" s="45">
        <f t="shared" si="201"/>
        <v>1</v>
      </c>
      <c r="AM1639" s="42">
        <f>IFERROR(LOOKUP(Z1639,打分卡!$F$17:$H$17,打分卡!$K$17:$M$17),1)</f>
        <v>1</v>
      </c>
      <c r="AN1639" s="46">
        <f>(打分卡!$D$7*AC1639+打分卡!$D$8*AD1639+打分卡!$D$9*AE1639)/5</f>
        <v>8</v>
      </c>
      <c r="AO1639" s="46">
        <f>(打分卡!$D$10*AF1639+打分卡!$D$11*AG1639)/5</f>
        <v>4</v>
      </c>
      <c r="AP1639" s="46">
        <f>(打分卡!$D$12*AH1639+打分卡!$D$13*AI1639+打分卡!$D$14*AJ1639+打分卡!$D$15*AK1639)/5</f>
        <v>16</v>
      </c>
      <c r="AQ1639" s="46">
        <f>(打分卡!$D$16*AL1639+打分卡!$D$17*AM1639)/5</f>
        <v>2</v>
      </c>
      <c r="AR1639" s="48">
        <f t="shared" si="202"/>
        <v>30</v>
      </c>
      <c r="AS1639" s="45" t="str">
        <f t="shared" si="203"/>
        <v>未激活</v>
      </c>
      <c r="AT1639" s="45" t="str">
        <f t="shared" si="204"/>
        <v>连续下降-预警</v>
      </c>
      <c r="AU1639" s="45" t="str">
        <f t="shared" si="205"/>
        <v>唤醒：短信模板+首充补贴</v>
      </c>
    </row>
    <row r="1640" ht="15" customHeight="1" spans="1:47">
      <c r="A1640" s="30" t="s">
        <v>4196</v>
      </c>
      <c r="B1640" s="31" t="s">
        <v>4197</v>
      </c>
      <c r="C1640" s="31" t="s">
        <v>195</v>
      </c>
      <c r="D1640" s="31" t="s">
        <v>227</v>
      </c>
      <c r="E1640" s="31" t="s">
        <v>181</v>
      </c>
      <c r="F1640" s="30" t="s">
        <v>4198</v>
      </c>
      <c r="G1640" s="31">
        <v>35</v>
      </c>
      <c r="H1640" s="31" t="s">
        <v>3535</v>
      </c>
      <c r="I1640" s="31" t="s">
        <v>302</v>
      </c>
      <c r="J1640" s="33">
        <v>0</v>
      </c>
      <c r="K1640" s="33">
        <v>0</v>
      </c>
      <c r="L1640" s="33">
        <v>0</v>
      </c>
      <c r="M1640" s="33">
        <f t="shared" si="200"/>
        <v>0</v>
      </c>
      <c r="N1640" s="34">
        <f t="shared" si="206"/>
        <v>0</v>
      </c>
      <c r="O1640" s="35">
        <f>SUM($M$2:M1640)</f>
        <v>190743600</v>
      </c>
      <c r="P1640" s="34">
        <f t="shared" si="207"/>
        <v>1</v>
      </c>
      <c r="Q1640" s="37">
        <v>0</v>
      </c>
      <c r="R1640" s="31">
        <v>0</v>
      </c>
      <c r="S1640" s="31">
        <v>0</v>
      </c>
      <c r="T1640" s="31">
        <v>0</v>
      </c>
      <c r="U1640" s="37">
        <v>13</v>
      </c>
      <c r="V1640" s="31">
        <v>2</v>
      </c>
      <c r="W1640" s="31">
        <v>1</v>
      </c>
      <c r="X1640" s="38">
        <v>21</v>
      </c>
      <c r="Y1640" s="31">
        <v>1</v>
      </c>
      <c r="Z1640" s="31">
        <v>0</v>
      </c>
      <c r="AA1640" s="31" t="s">
        <v>212</v>
      </c>
      <c r="AB1640" s="31" t="s">
        <v>220</v>
      </c>
      <c r="AC1640" s="41">
        <f>IFERROR(LOOKUP(M1640,打分卡!$F$7:$J$7,打分卡!$K$7:$O$7),1)</f>
        <v>1</v>
      </c>
      <c r="AD1640" s="41">
        <f>IFERROR(LOOKUP(S1640,打分卡!$F$8:$J$8,打分卡!$K$8:$O$8),1)</f>
        <v>1</v>
      </c>
      <c r="AE1640" s="41">
        <f>IFERROR(LOOKUP(T1640,打分卡!$F$9:$I$9,打分卡!$K$9:$N$9),1)</f>
        <v>1</v>
      </c>
      <c r="AF1640" s="41">
        <f>IFERROR(LOOKUP(Q1640,打分卡!$F$10:$J$10,打分卡!$K$10:$O$10),1)</f>
        <v>1</v>
      </c>
      <c r="AG1640" s="41">
        <f>IFERROR(LOOKUP(R1640,打分卡!$F$11:$J$11,打分卡!$K$11:$O$11),1)</f>
        <v>1</v>
      </c>
      <c r="AH1640" s="41">
        <f>IFERROR(LOOKUP(U1640,打分卡!$F$12:$J$12,打分卡!$K$12:$O$12),1)</f>
        <v>3</v>
      </c>
      <c r="AI1640" s="41">
        <f>IFERROR(LOOKUP(X1640,打分卡!$F$13:$J$13,打分卡!$K$13:$O$13),1)</f>
        <v>2</v>
      </c>
      <c r="AJ1640" s="41">
        <f>IFERROR(LOOKUP(Y1640,打分卡!$F$14:$J$14,打分卡!$K$14:$O$14),1)</f>
        <v>2</v>
      </c>
      <c r="AK1640" s="41">
        <f>IFERROR(LOOKUP(W1640,打分卡!$F$15:$J$15,打分卡!$K$15:$O$15),1)</f>
        <v>2</v>
      </c>
      <c r="AL1640" s="43">
        <f t="shared" si="201"/>
        <v>1</v>
      </c>
      <c r="AM1640" s="41">
        <f>IFERROR(LOOKUP(Z1640,打分卡!$F$17:$H$17,打分卡!$K$17:$M$17),1)</f>
        <v>1</v>
      </c>
      <c r="AN1640" s="44">
        <f>(打分卡!$D$7*AC1640+打分卡!$D$8*AD1640+打分卡!$D$9*AE1640)/5</f>
        <v>8</v>
      </c>
      <c r="AO1640" s="44">
        <f>(打分卡!$D$10*AF1640+打分卡!$D$11*AG1640)/5</f>
        <v>4</v>
      </c>
      <c r="AP1640" s="44">
        <f>(打分卡!$D$12*AH1640+打分卡!$D$13*AI1640+打分卡!$D$14*AJ1640+打分卡!$D$15*AK1640)/5</f>
        <v>14.4</v>
      </c>
      <c r="AQ1640" s="44">
        <f>(打分卡!$D$16*AL1640+打分卡!$D$17*AM1640)/5</f>
        <v>2</v>
      </c>
      <c r="AR1640" s="47">
        <f t="shared" si="202"/>
        <v>28.4</v>
      </c>
      <c r="AS1640" s="43" t="str">
        <f t="shared" si="203"/>
        <v>未激活</v>
      </c>
      <c r="AT1640" s="43" t="str">
        <f t="shared" si="204"/>
        <v>连续下降-预警</v>
      </c>
      <c r="AU1640" s="43" t="str">
        <f t="shared" si="205"/>
        <v>唤醒：短信模板+首充补贴</v>
      </c>
    </row>
    <row r="1641" ht="15" customHeight="1" spans="1:47">
      <c r="A1641" s="20" t="s">
        <v>4199</v>
      </c>
      <c r="B1641" s="22" t="s">
        <v>4200</v>
      </c>
      <c r="C1641" s="22" t="s">
        <v>239</v>
      </c>
      <c r="D1641" s="22" t="s">
        <v>227</v>
      </c>
      <c r="E1641" s="22" t="s">
        <v>197</v>
      </c>
      <c r="F1641" s="20" t="s">
        <v>3952</v>
      </c>
      <c r="G1641" s="22">
        <v>34</v>
      </c>
      <c r="H1641" s="22" t="s">
        <v>3535</v>
      </c>
      <c r="I1641" s="22" t="s">
        <v>302</v>
      </c>
      <c r="J1641" s="36">
        <v>0</v>
      </c>
      <c r="K1641" s="36">
        <v>0</v>
      </c>
      <c r="L1641" s="36">
        <v>0</v>
      </c>
      <c r="M1641" s="36">
        <f t="shared" si="200"/>
        <v>0</v>
      </c>
      <c r="N1641" s="34">
        <f t="shared" si="206"/>
        <v>0</v>
      </c>
      <c r="O1641" s="35">
        <f>SUM($M$2:M1641)</f>
        <v>190743600</v>
      </c>
      <c r="P1641" s="34">
        <f t="shared" si="207"/>
        <v>1</v>
      </c>
      <c r="Q1641" s="39">
        <v>0</v>
      </c>
      <c r="R1641" s="22">
        <v>0</v>
      </c>
      <c r="S1641" s="22">
        <v>0</v>
      </c>
      <c r="T1641" s="22">
        <v>0</v>
      </c>
      <c r="U1641" s="39">
        <v>43.5</v>
      </c>
      <c r="V1641" s="22">
        <v>6</v>
      </c>
      <c r="W1641" s="22">
        <v>2</v>
      </c>
      <c r="X1641" s="40">
        <v>5</v>
      </c>
      <c r="Y1641" s="22">
        <v>1</v>
      </c>
      <c r="Z1641" s="22">
        <v>0</v>
      </c>
      <c r="AA1641" s="22" t="s">
        <v>212</v>
      </c>
      <c r="AB1641" s="22" t="s">
        <v>220</v>
      </c>
      <c r="AC1641" s="42">
        <f>IFERROR(LOOKUP(M1641,打分卡!$F$7:$J$7,打分卡!$K$7:$O$7),1)</f>
        <v>1</v>
      </c>
      <c r="AD1641" s="42">
        <f>IFERROR(LOOKUP(S1641,打分卡!$F$8:$J$8,打分卡!$K$8:$O$8),1)</f>
        <v>1</v>
      </c>
      <c r="AE1641" s="42">
        <f>IFERROR(LOOKUP(T1641,打分卡!$F$9:$I$9,打分卡!$K$9:$N$9),1)</f>
        <v>1</v>
      </c>
      <c r="AF1641" s="42">
        <f>IFERROR(LOOKUP(Q1641,打分卡!$F$10:$J$10,打分卡!$K$10:$O$10),1)</f>
        <v>1</v>
      </c>
      <c r="AG1641" s="42">
        <f>IFERROR(LOOKUP(R1641,打分卡!$F$11:$J$11,打分卡!$K$11:$O$11),1)</f>
        <v>1</v>
      </c>
      <c r="AH1641" s="42">
        <f>IFERROR(LOOKUP(U1641,打分卡!$F$12:$J$12,打分卡!$K$12:$O$12),1)</f>
        <v>4</v>
      </c>
      <c r="AI1641" s="42">
        <f>IFERROR(LOOKUP(X1641,打分卡!$F$13:$J$13,打分卡!$K$13:$O$13),1)</f>
        <v>1</v>
      </c>
      <c r="AJ1641" s="42">
        <f>IFERROR(LOOKUP(Y1641,打分卡!$F$14:$J$14,打分卡!$K$14:$O$14),1)</f>
        <v>2</v>
      </c>
      <c r="AK1641" s="42">
        <f>IFERROR(LOOKUP(W1641,打分卡!$F$15:$J$15,打分卡!$K$15:$O$15),1)</f>
        <v>2</v>
      </c>
      <c r="AL1641" s="45">
        <f t="shared" si="201"/>
        <v>1</v>
      </c>
      <c r="AM1641" s="42">
        <f>IFERROR(LOOKUP(Z1641,打分卡!$F$17:$H$17,打分卡!$K$17:$M$17),1)</f>
        <v>1</v>
      </c>
      <c r="AN1641" s="46">
        <f>(打分卡!$D$7*AC1641+打分卡!$D$8*AD1641+打分卡!$D$9*AE1641)/5</f>
        <v>8</v>
      </c>
      <c r="AO1641" s="46">
        <f>(打分卡!$D$10*AF1641+打分卡!$D$11*AG1641)/5</f>
        <v>4</v>
      </c>
      <c r="AP1641" s="46">
        <f>(打分卡!$D$12*AH1641+打分卡!$D$13*AI1641+打分卡!$D$14*AJ1641+打分卡!$D$15*AK1641)/5</f>
        <v>15.2</v>
      </c>
      <c r="AQ1641" s="46">
        <f>(打分卡!$D$16*AL1641+打分卡!$D$17*AM1641)/5</f>
        <v>2</v>
      </c>
      <c r="AR1641" s="48">
        <f t="shared" si="202"/>
        <v>29.2</v>
      </c>
      <c r="AS1641" s="45" t="str">
        <f t="shared" si="203"/>
        <v>未激活</v>
      </c>
      <c r="AT1641" s="45" t="str">
        <f t="shared" si="204"/>
        <v>连续下降-预警</v>
      </c>
      <c r="AU1641" s="45" t="str">
        <f t="shared" si="205"/>
        <v>唤醒：短信模板+首充补贴</v>
      </c>
    </row>
    <row r="1642" ht="15" customHeight="1" spans="1:47">
      <c r="A1642" s="30" t="s">
        <v>4201</v>
      </c>
      <c r="B1642" s="31" t="s">
        <v>4202</v>
      </c>
      <c r="C1642" s="31" t="s">
        <v>189</v>
      </c>
      <c r="D1642" s="31" t="s">
        <v>196</v>
      </c>
      <c r="E1642" s="31" t="s">
        <v>181</v>
      </c>
      <c r="F1642" s="30" t="s">
        <v>291</v>
      </c>
      <c r="G1642" s="31">
        <v>20</v>
      </c>
      <c r="H1642" s="31" t="s">
        <v>3535</v>
      </c>
      <c r="I1642" s="31" t="s">
        <v>302</v>
      </c>
      <c r="J1642" s="33">
        <v>0</v>
      </c>
      <c r="K1642" s="33">
        <v>0</v>
      </c>
      <c r="L1642" s="33">
        <v>0</v>
      </c>
      <c r="M1642" s="33">
        <f t="shared" si="200"/>
        <v>0</v>
      </c>
      <c r="N1642" s="34">
        <f t="shared" si="206"/>
        <v>0</v>
      </c>
      <c r="O1642" s="35">
        <f>SUM($M$2:M1642)</f>
        <v>190743600</v>
      </c>
      <c r="P1642" s="34">
        <f t="shared" si="207"/>
        <v>1</v>
      </c>
      <c r="Q1642" s="37">
        <v>0</v>
      </c>
      <c r="R1642" s="31">
        <v>0</v>
      </c>
      <c r="S1642" s="31">
        <v>0</v>
      </c>
      <c r="T1642" s="31">
        <v>0</v>
      </c>
      <c r="U1642" s="37">
        <v>1.3</v>
      </c>
      <c r="V1642" s="31">
        <v>7</v>
      </c>
      <c r="W1642" s="31">
        <v>0</v>
      </c>
      <c r="X1642" s="38">
        <v>21</v>
      </c>
      <c r="Y1642" s="31">
        <v>1</v>
      </c>
      <c r="Z1642" s="31">
        <v>0</v>
      </c>
      <c r="AA1642" s="31" t="s">
        <v>212</v>
      </c>
      <c r="AB1642" s="31" t="s">
        <v>220</v>
      </c>
      <c r="AC1642" s="41">
        <f>IFERROR(LOOKUP(M1642,打分卡!$F$7:$J$7,打分卡!$K$7:$O$7),1)</f>
        <v>1</v>
      </c>
      <c r="AD1642" s="41">
        <f>IFERROR(LOOKUP(S1642,打分卡!$F$8:$J$8,打分卡!$K$8:$O$8),1)</f>
        <v>1</v>
      </c>
      <c r="AE1642" s="41">
        <f>IFERROR(LOOKUP(T1642,打分卡!$F$9:$I$9,打分卡!$K$9:$N$9),1)</f>
        <v>1</v>
      </c>
      <c r="AF1642" s="41">
        <f>IFERROR(LOOKUP(Q1642,打分卡!$F$10:$J$10,打分卡!$K$10:$O$10),1)</f>
        <v>1</v>
      </c>
      <c r="AG1642" s="41">
        <f>IFERROR(LOOKUP(R1642,打分卡!$F$11:$J$11,打分卡!$K$11:$O$11),1)</f>
        <v>1</v>
      </c>
      <c r="AH1642" s="41">
        <f>IFERROR(LOOKUP(U1642,打分卡!$F$12:$J$12,打分卡!$K$12:$O$12),1)</f>
        <v>1</v>
      </c>
      <c r="AI1642" s="41">
        <f>IFERROR(LOOKUP(X1642,打分卡!$F$13:$J$13,打分卡!$K$13:$O$13),1)</f>
        <v>2</v>
      </c>
      <c r="AJ1642" s="41">
        <f>IFERROR(LOOKUP(Y1642,打分卡!$F$14:$J$14,打分卡!$K$14:$O$14),1)</f>
        <v>2</v>
      </c>
      <c r="AK1642" s="41">
        <f>IFERROR(LOOKUP(W1642,打分卡!$F$15:$J$15,打分卡!$K$15:$O$15),1)</f>
        <v>1</v>
      </c>
      <c r="AL1642" s="43">
        <f t="shared" si="201"/>
        <v>1</v>
      </c>
      <c r="AM1642" s="41">
        <f>IFERROR(LOOKUP(Z1642,打分卡!$F$17:$H$17,打分卡!$K$17:$M$17),1)</f>
        <v>1</v>
      </c>
      <c r="AN1642" s="44">
        <f>(打分卡!$D$7*AC1642+打分卡!$D$8*AD1642+打分卡!$D$9*AE1642)/5</f>
        <v>8</v>
      </c>
      <c r="AO1642" s="44">
        <f>(打分卡!$D$10*AF1642+打分卡!$D$11*AG1642)/5</f>
        <v>4</v>
      </c>
      <c r="AP1642" s="44">
        <f>(打分卡!$D$12*AH1642+打分卡!$D$13*AI1642+打分卡!$D$14*AJ1642+打分卡!$D$15*AK1642)/5</f>
        <v>8.8</v>
      </c>
      <c r="AQ1642" s="44">
        <f>(打分卡!$D$16*AL1642+打分卡!$D$17*AM1642)/5</f>
        <v>2</v>
      </c>
      <c r="AR1642" s="47">
        <f t="shared" si="202"/>
        <v>22.8</v>
      </c>
      <c r="AS1642" s="43" t="str">
        <f t="shared" si="203"/>
        <v>未激活</v>
      </c>
      <c r="AT1642" s="43" t="str">
        <f t="shared" si="204"/>
        <v>连续下降-预警</v>
      </c>
      <c r="AU1642" s="43" t="str">
        <f t="shared" si="205"/>
        <v>唤醒：短信模板+首充补贴</v>
      </c>
    </row>
    <row r="1643" ht="15" customHeight="1" spans="1:47">
      <c r="A1643" s="20" t="s">
        <v>4203</v>
      </c>
      <c r="B1643" s="22" t="s">
        <v>4204</v>
      </c>
      <c r="C1643" s="22" t="s">
        <v>223</v>
      </c>
      <c r="D1643" s="22" t="s">
        <v>196</v>
      </c>
      <c r="E1643" s="22" t="s">
        <v>181</v>
      </c>
      <c r="F1643" s="20" t="s">
        <v>661</v>
      </c>
      <c r="G1643" s="22">
        <v>16</v>
      </c>
      <c r="H1643" s="22" t="s">
        <v>3535</v>
      </c>
      <c r="I1643" s="22" t="s">
        <v>302</v>
      </c>
      <c r="J1643" s="36">
        <v>0</v>
      </c>
      <c r="K1643" s="36">
        <v>0</v>
      </c>
      <c r="L1643" s="36">
        <v>0</v>
      </c>
      <c r="M1643" s="36">
        <f t="shared" si="200"/>
        <v>0</v>
      </c>
      <c r="N1643" s="34">
        <f t="shared" si="206"/>
        <v>0</v>
      </c>
      <c r="O1643" s="35">
        <f>SUM($M$2:M1643)</f>
        <v>190743600</v>
      </c>
      <c r="P1643" s="34">
        <f t="shared" si="207"/>
        <v>1</v>
      </c>
      <c r="Q1643" s="39">
        <v>0</v>
      </c>
      <c r="R1643" s="22">
        <v>0</v>
      </c>
      <c r="S1643" s="22">
        <v>0</v>
      </c>
      <c r="T1643" s="22">
        <v>0</v>
      </c>
      <c r="U1643" s="39">
        <v>26.5</v>
      </c>
      <c r="V1643" s="22">
        <v>10</v>
      </c>
      <c r="W1643" s="22">
        <v>1</v>
      </c>
      <c r="X1643" s="40">
        <v>32</v>
      </c>
      <c r="Y1643" s="22">
        <v>1</v>
      </c>
      <c r="Z1643" s="22">
        <v>0</v>
      </c>
      <c r="AA1643" s="22" t="s">
        <v>212</v>
      </c>
      <c r="AB1643" s="22" t="s">
        <v>220</v>
      </c>
      <c r="AC1643" s="42">
        <f>IFERROR(LOOKUP(M1643,打分卡!$F$7:$J$7,打分卡!$K$7:$O$7),1)</f>
        <v>1</v>
      </c>
      <c r="AD1643" s="42">
        <f>IFERROR(LOOKUP(S1643,打分卡!$F$8:$J$8,打分卡!$K$8:$O$8),1)</f>
        <v>1</v>
      </c>
      <c r="AE1643" s="42">
        <f>IFERROR(LOOKUP(T1643,打分卡!$F$9:$I$9,打分卡!$K$9:$N$9),1)</f>
        <v>1</v>
      </c>
      <c r="AF1643" s="42">
        <f>IFERROR(LOOKUP(Q1643,打分卡!$F$10:$J$10,打分卡!$K$10:$O$10),1)</f>
        <v>1</v>
      </c>
      <c r="AG1643" s="42">
        <f>IFERROR(LOOKUP(R1643,打分卡!$F$11:$J$11,打分卡!$K$11:$O$11),1)</f>
        <v>1</v>
      </c>
      <c r="AH1643" s="42">
        <f>IFERROR(LOOKUP(U1643,打分卡!$F$12:$J$12,打分卡!$K$12:$O$12),1)</f>
        <v>3</v>
      </c>
      <c r="AI1643" s="42">
        <f>IFERROR(LOOKUP(X1643,打分卡!$F$13:$J$13,打分卡!$K$13:$O$13),1)</f>
        <v>2</v>
      </c>
      <c r="AJ1643" s="42">
        <f>IFERROR(LOOKUP(Y1643,打分卡!$F$14:$J$14,打分卡!$K$14:$O$14),1)</f>
        <v>2</v>
      </c>
      <c r="AK1643" s="42">
        <f>IFERROR(LOOKUP(W1643,打分卡!$F$15:$J$15,打分卡!$K$15:$O$15),1)</f>
        <v>2</v>
      </c>
      <c r="AL1643" s="45">
        <f t="shared" si="201"/>
        <v>1</v>
      </c>
      <c r="AM1643" s="42">
        <f>IFERROR(LOOKUP(Z1643,打分卡!$F$17:$H$17,打分卡!$K$17:$M$17),1)</f>
        <v>1</v>
      </c>
      <c r="AN1643" s="46">
        <f>(打分卡!$D$7*AC1643+打分卡!$D$8*AD1643+打分卡!$D$9*AE1643)/5</f>
        <v>8</v>
      </c>
      <c r="AO1643" s="46">
        <f>(打分卡!$D$10*AF1643+打分卡!$D$11*AG1643)/5</f>
        <v>4</v>
      </c>
      <c r="AP1643" s="46">
        <f>(打分卡!$D$12*AH1643+打分卡!$D$13*AI1643+打分卡!$D$14*AJ1643+打分卡!$D$15*AK1643)/5</f>
        <v>14.4</v>
      </c>
      <c r="AQ1643" s="46">
        <f>(打分卡!$D$16*AL1643+打分卡!$D$17*AM1643)/5</f>
        <v>2</v>
      </c>
      <c r="AR1643" s="48">
        <f t="shared" si="202"/>
        <v>28.4</v>
      </c>
      <c r="AS1643" s="45" t="str">
        <f t="shared" si="203"/>
        <v>未激活</v>
      </c>
      <c r="AT1643" s="45" t="str">
        <f t="shared" si="204"/>
        <v>连续下降-预警</v>
      </c>
      <c r="AU1643" s="45" t="str">
        <f t="shared" si="205"/>
        <v>唤醒：短信模板+首充补贴</v>
      </c>
    </row>
    <row r="1644" ht="15" customHeight="1" spans="1:47">
      <c r="A1644" s="30" t="s">
        <v>4205</v>
      </c>
      <c r="B1644" s="31" t="s">
        <v>4206</v>
      </c>
      <c r="C1644" s="31" t="s">
        <v>209</v>
      </c>
      <c r="D1644" s="31" t="s">
        <v>196</v>
      </c>
      <c r="E1644" s="31" t="s">
        <v>197</v>
      </c>
      <c r="F1644" s="30" t="s">
        <v>4080</v>
      </c>
      <c r="G1644" s="31">
        <v>17</v>
      </c>
      <c r="H1644" s="31" t="s">
        <v>3535</v>
      </c>
      <c r="I1644" s="31" t="s">
        <v>302</v>
      </c>
      <c r="J1644" s="33">
        <v>0</v>
      </c>
      <c r="K1644" s="33">
        <v>0</v>
      </c>
      <c r="L1644" s="33">
        <v>0</v>
      </c>
      <c r="M1644" s="33">
        <f t="shared" si="200"/>
        <v>0</v>
      </c>
      <c r="N1644" s="34">
        <f t="shared" si="206"/>
        <v>0</v>
      </c>
      <c r="O1644" s="35">
        <f>SUM($M$2:M1644)</f>
        <v>190743600</v>
      </c>
      <c r="P1644" s="34">
        <f t="shared" si="207"/>
        <v>1</v>
      </c>
      <c r="Q1644" s="37">
        <v>0</v>
      </c>
      <c r="R1644" s="31">
        <v>0</v>
      </c>
      <c r="S1644" s="31">
        <v>0</v>
      </c>
      <c r="T1644" s="31">
        <v>0</v>
      </c>
      <c r="U1644" s="37">
        <v>23.4</v>
      </c>
      <c r="V1644" s="31">
        <v>12</v>
      </c>
      <c r="W1644" s="31">
        <v>2</v>
      </c>
      <c r="X1644" s="38">
        <v>21</v>
      </c>
      <c r="Y1644" s="31">
        <v>1</v>
      </c>
      <c r="Z1644" s="31">
        <v>0</v>
      </c>
      <c r="AA1644" s="31" t="s">
        <v>212</v>
      </c>
      <c r="AB1644" s="31" t="s">
        <v>220</v>
      </c>
      <c r="AC1644" s="41">
        <f>IFERROR(LOOKUP(M1644,打分卡!$F$7:$J$7,打分卡!$K$7:$O$7),1)</f>
        <v>1</v>
      </c>
      <c r="AD1644" s="41">
        <f>IFERROR(LOOKUP(S1644,打分卡!$F$8:$J$8,打分卡!$K$8:$O$8),1)</f>
        <v>1</v>
      </c>
      <c r="AE1644" s="41">
        <f>IFERROR(LOOKUP(T1644,打分卡!$F$9:$I$9,打分卡!$K$9:$N$9),1)</f>
        <v>1</v>
      </c>
      <c r="AF1644" s="41">
        <f>IFERROR(LOOKUP(Q1644,打分卡!$F$10:$J$10,打分卡!$K$10:$O$10),1)</f>
        <v>1</v>
      </c>
      <c r="AG1644" s="41">
        <f>IFERROR(LOOKUP(R1644,打分卡!$F$11:$J$11,打分卡!$K$11:$O$11),1)</f>
        <v>1</v>
      </c>
      <c r="AH1644" s="41">
        <f>IFERROR(LOOKUP(U1644,打分卡!$F$12:$J$12,打分卡!$K$12:$O$12),1)</f>
        <v>3</v>
      </c>
      <c r="AI1644" s="41">
        <f>IFERROR(LOOKUP(X1644,打分卡!$F$13:$J$13,打分卡!$K$13:$O$13),1)</f>
        <v>2</v>
      </c>
      <c r="AJ1644" s="41">
        <f>IFERROR(LOOKUP(Y1644,打分卡!$F$14:$J$14,打分卡!$K$14:$O$14),1)</f>
        <v>2</v>
      </c>
      <c r="AK1644" s="41">
        <f>IFERROR(LOOKUP(W1644,打分卡!$F$15:$J$15,打分卡!$K$15:$O$15),1)</f>
        <v>2</v>
      </c>
      <c r="AL1644" s="43">
        <f t="shared" si="201"/>
        <v>1</v>
      </c>
      <c r="AM1644" s="41">
        <f>IFERROR(LOOKUP(Z1644,打分卡!$F$17:$H$17,打分卡!$K$17:$M$17),1)</f>
        <v>1</v>
      </c>
      <c r="AN1644" s="44">
        <f>(打分卡!$D$7*AC1644+打分卡!$D$8*AD1644+打分卡!$D$9*AE1644)/5</f>
        <v>8</v>
      </c>
      <c r="AO1644" s="44">
        <f>(打分卡!$D$10*AF1644+打分卡!$D$11*AG1644)/5</f>
        <v>4</v>
      </c>
      <c r="AP1644" s="44">
        <f>(打分卡!$D$12*AH1644+打分卡!$D$13*AI1644+打分卡!$D$14*AJ1644+打分卡!$D$15*AK1644)/5</f>
        <v>14.4</v>
      </c>
      <c r="AQ1644" s="44">
        <f>(打分卡!$D$16*AL1644+打分卡!$D$17*AM1644)/5</f>
        <v>2</v>
      </c>
      <c r="AR1644" s="47">
        <f t="shared" si="202"/>
        <v>28.4</v>
      </c>
      <c r="AS1644" s="43" t="str">
        <f t="shared" si="203"/>
        <v>未激活</v>
      </c>
      <c r="AT1644" s="43" t="str">
        <f t="shared" si="204"/>
        <v>连续下降-预警</v>
      </c>
      <c r="AU1644" s="43" t="str">
        <f t="shared" si="205"/>
        <v>唤醒：短信模板+首充补贴</v>
      </c>
    </row>
    <row r="1645" ht="15" customHeight="1" spans="1:47">
      <c r="A1645" s="20" t="s">
        <v>4207</v>
      </c>
      <c r="B1645" s="22" t="s">
        <v>4208</v>
      </c>
      <c r="C1645" s="22" t="s">
        <v>195</v>
      </c>
      <c r="D1645" s="22" t="s">
        <v>252</v>
      </c>
      <c r="E1645" s="22" t="s">
        <v>197</v>
      </c>
      <c r="F1645" s="20" t="s">
        <v>681</v>
      </c>
      <c r="G1645" s="22">
        <v>19</v>
      </c>
      <c r="H1645" s="22" t="s">
        <v>3535</v>
      </c>
      <c r="I1645" s="22" t="s">
        <v>302</v>
      </c>
      <c r="J1645" s="36">
        <v>0</v>
      </c>
      <c r="K1645" s="36">
        <v>0</v>
      </c>
      <c r="L1645" s="36">
        <v>0</v>
      </c>
      <c r="M1645" s="36">
        <f t="shared" si="200"/>
        <v>0</v>
      </c>
      <c r="N1645" s="34">
        <f t="shared" si="206"/>
        <v>0</v>
      </c>
      <c r="O1645" s="35">
        <f>SUM($M$2:M1645)</f>
        <v>190743600</v>
      </c>
      <c r="P1645" s="34">
        <f t="shared" si="207"/>
        <v>1</v>
      </c>
      <c r="Q1645" s="39">
        <v>0</v>
      </c>
      <c r="R1645" s="22">
        <v>0</v>
      </c>
      <c r="S1645" s="22">
        <v>0</v>
      </c>
      <c r="T1645" s="22">
        <v>0</v>
      </c>
      <c r="U1645" s="39">
        <v>12.9</v>
      </c>
      <c r="V1645" s="22">
        <v>7</v>
      </c>
      <c r="W1645" s="22">
        <v>0</v>
      </c>
      <c r="X1645" s="40">
        <v>24</v>
      </c>
      <c r="Y1645" s="22">
        <v>1</v>
      </c>
      <c r="Z1645" s="22">
        <v>0</v>
      </c>
      <c r="AA1645" s="22" t="s">
        <v>212</v>
      </c>
      <c r="AB1645" s="22" t="s">
        <v>220</v>
      </c>
      <c r="AC1645" s="42">
        <f>IFERROR(LOOKUP(M1645,打分卡!$F$7:$J$7,打分卡!$K$7:$O$7),1)</f>
        <v>1</v>
      </c>
      <c r="AD1645" s="42">
        <f>IFERROR(LOOKUP(S1645,打分卡!$F$8:$J$8,打分卡!$K$8:$O$8),1)</f>
        <v>1</v>
      </c>
      <c r="AE1645" s="42">
        <f>IFERROR(LOOKUP(T1645,打分卡!$F$9:$I$9,打分卡!$K$9:$N$9),1)</f>
        <v>1</v>
      </c>
      <c r="AF1645" s="42">
        <f>IFERROR(LOOKUP(Q1645,打分卡!$F$10:$J$10,打分卡!$K$10:$O$10),1)</f>
        <v>1</v>
      </c>
      <c r="AG1645" s="42">
        <f>IFERROR(LOOKUP(R1645,打分卡!$F$11:$J$11,打分卡!$K$11:$O$11),1)</f>
        <v>1</v>
      </c>
      <c r="AH1645" s="42">
        <f>IFERROR(LOOKUP(U1645,打分卡!$F$12:$J$12,打分卡!$K$12:$O$12),1)</f>
        <v>3</v>
      </c>
      <c r="AI1645" s="42">
        <f>IFERROR(LOOKUP(X1645,打分卡!$F$13:$J$13,打分卡!$K$13:$O$13),1)</f>
        <v>2</v>
      </c>
      <c r="AJ1645" s="42">
        <f>IFERROR(LOOKUP(Y1645,打分卡!$F$14:$J$14,打分卡!$K$14:$O$14),1)</f>
        <v>2</v>
      </c>
      <c r="AK1645" s="42">
        <f>IFERROR(LOOKUP(W1645,打分卡!$F$15:$J$15,打分卡!$K$15:$O$15),1)</f>
        <v>1</v>
      </c>
      <c r="AL1645" s="45">
        <f t="shared" si="201"/>
        <v>1</v>
      </c>
      <c r="AM1645" s="42">
        <f>IFERROR(LOOKUP(Z1645,打分卡!$F$17:$H$17,打分卡!$K$17:$M$17),1)</f>
        <v>1</v>
      </c>
      <c r="AN1645" s="46">
        <f>(打分卡!$D$7*AC1645+打分卡!$D$8*AD1645+打分卡!$D$9*AE1645)/5</f>
        <v>8</v>
      </c>
      <c r="AO1645" s="46">
        <f>(打分卡!$D$10*AF1645+打分卡!$D$11*AG1645)/5</f>
        <v>4</v>
      </c>
      <c r="AP1645" s="46">
        <f>(打分卡!$D$12*AH1645+打分卡!$D$13*AI1645+打分卡!$D$14*AJ1645+打分卡!$D$15*AK1645)/5</f>
        <v>13.6</v>
      </c>
      <c r="AQ1645" s="46">
        <f>(打分卡!$D$16*AL1645+打分卡!$D$17*AM1645)/5</f>
        <v>2</v>
      </c>
      <c r="AR1645" s="48">
        <f t="shared" si="202"/>
        <v>27.6</v>
      </c>
      <c r="AS1645" s="45" t="str">
        <f t="shared" si="203"/>
        <v>未激活</v>
      </c>
      <c r="AT1645" s="45" t="str">
        <f t="shared" si="204"/>
        <v>连续下降-预警</v>
      </c>
      <c r="AU1645" s="45" t="str">
        <f t="shared" si="205"/>
        <v>唤醒：短信模板+首充补贴</v>
      </c>
    </row>
    <row r="1646" ht="15" customHeight="1" spans="1:47">
      <c r="A1646" s="30" t="s">
        <v>4209</v>
      </c>
      <c r="B1646" s="31" t="s">
        <v>4210</v>
      </c>
      <c r="C1646" s="31" t="s">
        <v>218</v>
      </c>
      <c r="D1646" s="31" t="s">
        <v>252</v>
      </c>
      <c r="E1646" s="31" t="s">
        <v>197</v>
      </c>
      <c r="F1646" s="30" t="s">
        <v>4211</v>
      </c>
      <c r="G1646" s="31">
        <v>36</v>
      </c>
      <c r="H1646" s="31" t="s">
        <v>3535</v>
      </c>
      <c r="I1646" s="31" t="s">
        <v>302</v>
      </c>
      <c r="J1646" s="33">
        <v>0</v>
      </c>
      <c r="K1646" s="33">
        <v>0</v>
      </c>
      <c r="L1646" s="33">
        <v>0</v>
      </c>
      <c r="M1646" s="33">
        <f t="shared" si="200"/>
        <v>0</v>
      </c>
      <c r="N1646" s="34">
        <f t="shared" si="206"/>
        <v>0</v>
      </c>
      <c r="O1646" s="35">
        <f>SUM($M$2:M1646)</f>
        <v>190743600</v>
      </c>
      <c r="P1646" s="34">
        <f t="shared" si="207"/>
        <v>1</v>
      </c>
      <c r="Q1646" s="37">
        <v>0</v>
      </c>
      <c r="R1646" s="31">
        <v>0</v>
      </c>
      <c r="S1646" s="31">
        <v>0</v>
      </c>
      <c r="T1646" s="31">
        <v>0</v>
      </c>
      <c r="U1646" s="37">
        <v>3.6</v>
      </c>
      <c r="V1646" s="31">
        <v>2</v>
      </c>
      <c r="W1646" s="31">
        <v>1</v>
      </c>
      <c r="X1646" s="38">
        <v>21</v>
      </c>
      <c r="Y1646" s="31">
        <v>0</v>
      </c>
      <c r="Z1646" s="31">
        <v>0</v>
      </c>
      <c r="AA1646" s="31" t="s">
        <v>212</v>
      </c>
      <c r="AB1646" s="31" t="s">
        <v>220</v>
      </c>
      <c r="AC1646" s="41">
        <f>IFERROR(LOOKUP(M1646,打分卡!$F$7:$J$7,打分卡!$K$7:$O$7),1)</f>
        <v>1</v>
      </c>
      <c r="AD1646" s="41">
        <f>IFERROR(LOOKUP(S1646,打分卡!$F$8:$J$8,打分卡!$K$8:$O$8),1)</f>
        <v>1</v>
      </c>
      <c r="AE1646" s="41">
        <f>IFERROR(LOOKUP(T1646,打分卡!$F$9:$I$9,打分卡!$K$9:$N$9),1)</f>
        <v>1</v>
      </c>
      <c r="AF1646" s="41">
        <f>IFERROR(LOOKUP(Q1646,打分卡!$F$10:$J$10,打分卡!$K$10:$O$10),1)</f>
        <v>1</v>
      </c>
      <c r="AG1646" s="41">
        <f>IFERROR(LOOKUP(R1646,打分卡!$F$11:$J$11,打分卡!$K$11:$O$11),1)</f>
        <v>1</v>
      </c>
      <c r="AH1646" s="41">
        <f>IFERROR(LOOKUP(U1646,打分卡!$F$12:$J$12,打分卡!$K$12:$O$12),1)</f>
        <v>2</v>
      </c>
      <c r="AI1646" s="41">
        <f>IFERROR(LOOKUP(X1646,打分卡!$F$13:$J$13,打分卡!$K$13:$O$13),1)</f>
        <v>2</v>
      </c>
      <c r="AJ1646" s="41">
        <f>IFERROR(LOOKUP(Y1646,打分卡!$F$14:$J$14,打分卡!$K$14:$O$14),1)</f>
        <v>1</v>
      </c>
      <c r="AK1646" s="41">
        <f>IFERROR(LOOKUP(W1646,打分卡!$F$15:$J$15,打分卡!$K$15:$O$15),1)</f>
        <v>2</v>
      </c>
      <c r="AL1646" s="43">
        <f t="shared" si="201"/>
        <v>1</v>
      </c>
      <c r="AM1646" s="41">
        <f>IFERROR(LOOKUP(Z1646,打分卡!$F$17:$H$17,打分卡!$K$17:$M$17),1)</f>
        <v>1</v>
      </c>
      <c r="AN1646" s="44">
        <f>(打分卡!$D$7*AC1646+打分卡!$D$8*AD1646+打分卡!$D$9*AE1646)/5</f>
        <v>8</v>
      </c>
      <c r="AO1646" s="44">
        <f>(打分卡!$D$10*AF1646+打分卡!$D$11*AG1646)/5</f>
        <v>4</v>
      </c>
      <c r="AP1646" s="44">
        <f>(打分卡!$D$12*AH1646+打分卡!$D$13*AI1646+打分卡!$D$14*AJ1646+打分卡!$D$15*AK1646)/5</f>
        <v>10.8</v>
      </c>
      <c r="AQ1646" s="44">
        <f>(打分卡!$D$16*AL1646+打分卡!$D$17*AM1646)/5</f>
        <v>2</v>
      </c>
      <c r="AR1646" s="47">
        <f t="shared" si="202"/>
        <v>24.8</v>
      </c>
      <c r="AS1646" s="43" t="str">
        <f t="shared" si="203"/>
        <v>未激活</v>
      </c>
      <c r="AT1646" s="43" t="str">
        <f t="shared" si="204"/>
        <v>连续下降-预警</v>
      </c>
      <c r="AU1646" s="43" t="str">
        <f t="shared" si="205"/>
        <v>唤醒：短信模板+首充补贴</v>
      </c>
    </row>
    <row r="1647" ht="15" customHeight="1" spans="1:47">
      <c r="A1647" s="20" t="s">
        <v>4212</v>
      </c>
      <c r="B1647" s="22" t="s">
        <v>4213</v>
      </c>
      <c r="C1647" s="22" t="s">
        <v>239</v>
      </c>
      <c r="D1647" s="22" t="s">
        <v>227</v>
      </c>
      <c r="E1647" s="22" t="s">
        <v>181</v>
      </c>
      <c r="F1647" s="20" t="s">
        <v>4214</v>
      </c>
      <c r="G1647" s="22">
        <v>29</v>
      </c>
      <c r="H1647" s="22" t="s">
        <v>3535</v>
      </c>
      <c r="I1647" s="22" t="s">
        <v>302</v>
      </c>
      <c r="J1647" s="36">
        <v>0</v>
      </c>
      <c r="K1647" s="36">
        <v>0</v>
      </c>
      <c r="L1647" s="36">
        <v>0</v>
      </c>
      <c r="M1647" s="36">
        <f t="shared" si="200"/>
        <v>0</v>
      </c>
      <c r="N1647" s="34">
        <f t="shared" si="206"/>
        <v>0</v>
      </c>
      <c r="O1647" s="35">
        <f>SUM($M$2:M1647)</f>
        <v>190743600</v>
      </c>
      <c r="P1647" s="34">
        <f t="shared" si="207"/>
        <v>1</v>
      </c>
      <c r="Q1647" s="39">
        <v>0</v>
      </c>
      <c r="R1647" s="22">
        <v>0</v>
      </c>
      <c r="S1647" s="22">
        <v>0</v>
      </c>
      <c r="T1647" s="22">
        <v>0</v>
      </c>
      <c r="U1647" s="39">
        <v>0.7</v>
      </c>
      <c r="V1647" s="22">
        <v>10</v>
      </c>
      <c r="W1647" s="22">
        <v>1</v>
      </c>
      <c r="X1647" s="40">
        <v>9</v>
      </c>
      <c r="Y1647" s="22">
        <v>1</v>
      </c>
      <c r="Z1647" s="22">
        <v>0</v>
      </c>
      <c r="AA1647" s="22" t="s">
        <v>212</v>
      </c>
      <c r="AB1647" s="22" t="s">
        <v>220</v>
      </c>
      <c r="AC1647" s="42">
        <f>IFERROR(LOOKUP(M1647,打分卡!$F$7:$J$7,打分卡!$K$7:$O$7),1)</f>
        <v>1</v>
      </c>
      <c r="AD1647" s="42">
        <f>IFERROR(LOOKUP(S1647,打分卡!$F$8:$J$8,打分卡!$K$8:$O$8),1)</f>
        <v>1</v>
      </c>
      <c r="AE1647" s="42">
        <f>IFERROR(LOOKUP(T1647,打分卡!$F$9:$I$9,打分卡!$K$9:$N$9),1)</f>
        <v>1</v>
      </c>
      <c r="AF1647" s="42">
        <f>IFERROR(LOOKUP(Q1647,打分卡!$F$10:$J$10,打分卡!$K$10:$O$10),1)</f>
        <v>1</v>
      </c>
      <c r="AG1647" s="42">
        <f>IFERROR(LOOKUP(R1647,打分卡!$F$11:$J$11,打分卡!$K$11:$O$11),1)</f>
        <v>1</v>
      </c>
      <c r="AH1647" s="42">
        <f>IFERROR(LOOKUP(U1647,打分卡!$F$12:$J$12,打分卡!$K$12:$O$12),1)</f>
        <v>1</v>
      </c>
      <c r="AI1647" s="42">
        <f>IFERROR(LOOKUP(X1647,打分卡!$F$13:$J$13,打分卡!$K$13:$O$13),1)</f>
        <v>1</v>
      </c>
      <c r="AJ1647" s="42">
        <f>IFERROR(LOOKUP(Y1647,打分卡!$F$14:$J$14,打分卡!$K$14:$O$14),1)</f>
        <v>2</v>
      </c>
      <c r="AK1647" s="42">
        <f>IFERROR(LOOKUP(W1647,打分卡!$F$15:$J$15,打分卡!$K$15:$O$15),1)</f>
        <v>2</v>
      </c>
      <c r="AL1647" s="45">
        <f t="shared" si="201"/>
        <v>1</v>
      </c>
      <c r="AM1647" s="42">
        <f>IFERROR(LOOKUP(Z1647,打分卡!$F$17:$H$17,打分卡!$K$17:$M$17),1)</f>
        <v>1</v>
      </c>
      <c r="AN1647" s="46">
        <f>(打分卡!$D$7*AC1647+打分卡!$D$8*AD1647+打分卡!$D$9*AE1647)/5</f>
        <v>8</v>
      </c>
      <c r="AO1647" s="46">
        <f>(打分卡!$D$10*AF1647+打分卡!$D$11*AG1647)/5</f>
        <v>4</v>
      </c>
      <c r="AP1647" s="46">
        <f>(打分卡!$D$12*AH1647+打分卡!$D$13*AI1647+打分卡!$D$14*AJ1647+打分卡!$D$15*AK1647)/5</f>
        <v>8</v>
      </c>
      <c r="AQ1647" s="46">
        <f>(打分卡!$D$16*AL1647+打分卡!$D$17*AM1647)/5</f>
        <v>2</v>
      </c>
      <c r="AR1647" s="48">
        <f t="shared" si="202"/>
        <v>22</v>
      </c>
      <c r="AS1647" s="45" t="str">
        <f t="shared" si="203"/>
        <v>未激活</v>
      </c>
      <c r="AT1647" s="45" t="str">
        <f t="shared" si="204"/>
        <v>连续下降-预警</v>
      </c>
      <c r="AU1647" s="45" t="str">
        <f t="shared" si="205"/>
        <v>唤醒：短信模板+首充补贴</v>
      </c>
    </row>
    <row r="1648" ht="15" customHeight="1" spans="1:47">
      <c r="A1648" s="30" t="s">
        <v>4215</v>
      </c>
      <c r="B1648" s="31" t="s">
        <v>4216</v>
      </c>
      <c r="C1648" s="31" t="s">
        <v>223</v>
      </c>
      <c r="D1648" s="31" t="s">
        <v>196</v>
      </c>
      <c r="E1648" s="31" t="s">
        <v>181</v>
      </c>
      <c r="F1648" s="30" t="s">
        <v>191</v>
      </c>
      <c r="G1648" s="31">
        <v>35</v>
      </c>
      <c r="H1648" s="31" t="s">
        <v>3535</v>
      </c>
      <c r="I1648" s="31" t="s">
        <v>302</v>
      </c>
      <c r="J1648" s="33">
        <v>0</v>
      </c>
      <c r="K1648" s="33">
        <v>0</v>
      </c>
      <c r="L1648" s="33">
        <v>0</v>
      </c>
      <c r="M1648" s="33">
        <f t="shared" si="200"/>
        <v>0</v>
      </c>
      <c r="N1648" s="34">
        <f t="shared" si="206"/>
        <v>0</v>
      </c>
      <c r="O1648" s="35">
        <f>SUM($M$2:M1648)</f>
        <v>190743600</v>
      </c>
      <c r="P1648" s="34">
        <f t="shared" si="207"/>
        <v>1</v>
      </c>
      <c r="Q1648" s="37">
        <v>0</v>
      </c>
      <c r="R1648" s="31">
        <v>0</v>
      </c>
      <c r="S1648" s="31">
        <v>0</v>
      </c>
      <c r="T1648" s="31">
        <v>0</v>
      </c>
      <c r="U1648" s="37">
        <v>19.3</v>
      </c>
      <c r="V1648" s="31">
        <v>0</v>
      </c>
      <c r="W1648" s="31">
        <v>2</v>
      </c>
      <c r="X1648" s="38">
        <v>80</v>
      </c>
      <c r="Y1648" s="31">
        <v>0</v>
      </c>
      <c r="Z1648" s="31">
        <v>0</v>
      </c>
      <c r="AA1648" s="31" t="s">
        <v>212</v>
      </c>
      <c r="AB1648" s="31" t="s">
        <v>220</v>
      </c>
      <c r="AC1648" s="41">
        <f>IFERROR(LOOKUP(M1648,打分卡!$F$7:$J$7,打分卡!$K$7:$O$7),1)</f>
        <v>1</v>
      </c>
      <c r="AD1648" s="41">
        <f>IFERROR(LOOKUP(S1648,打分卡!$F$8:$J$8,打分卡!$K$8:$O$8),1)</f>
        <v>1</v>
      </c>
      <c r="AE1648" s="41">
        <f>IFERROR(LOOKUP(T1648,打分卡!$F$9:$I$9,打分卡!$K$9:$N$9),1)</f>
        <v>1</v>
      </c>
      <c r="AF1648" s="41">
        <f>IFERROR(LOOKUP(Q1648,打分卡!$F$10:$J$10,打分卡!$K$10:$O$10),1)</f>
        <v>1</v>
      </c>
      <c r="AG1648" s="41">
        <f>IFERROR(LOOKUP(R1648,打分卡!$F$11:$J$11,打分卡!$K$11:$O$11),1)</f>
        <v>1</v>
      </c>
      <c r="AH1648" s="41">
        <f>IFERROR(LOOKUP(U1648,打分卡!$F$12:$J$12,打分卡!$K$12:$O$12),1)</f>
        <v>3</v>
      </c>
      <c r="AI1648" s="41">
        <f>IFERROR(LOOKUP(X1648,打分卡!$F$13:$J$13,打分卡!$K$13:$O$13),1)</f>
        <v>3</v>
      </c>
      <c r="AJ1648" s="41">
        <f>IFERROR(LOOKUP(Y1648,打分卡!$F$14:$J$14,打分卡!$K$14:$O$14),1)</f>
        <v>1</v>
      </c>
      <c r="AK1648" s="41">
        <f>IFERROR(LOOKUP(W1648,打分卡!$F$15:$J$15,打分卡!$K$15:$O$15),1)</f>
        <v>2</v>
      </c>
      <c r="AL1648" s="43">
        <f t="shared" si="201"/>
        <v>1</v>
      </c>
      <c r="AM1648" s="41">
        <f>IFERROR(LOOKUP(Z1648,打分卡!$F$17:$H$17,打分卡!$K$17:$M$17),1)</f>
        <v>1</v>
      </c>
      <c r="AN1648" s="44">
        <f>(打分卡!$D$7*AC1648+打分卡!$D$8*AD1648+打分卡!$D$9*AE1648)/5</f>
        <v>8</v>
      </c>
      <c r="AO1648" s="44">
        <f>(打分卡!$D$10*AF1648+打分卡!$D$11*AG1648)/5</f>
        <v>4</v>
      </c>
      <c r="AP1648" s="44">
        <f>(打分卡!$D$12*AH1648+打分卡!$D$13*AI1648+打分卡!$D$14*AJ1648+打分卡!$D$15*AK1648)/5</f>
        <v>14.8</v>
      </c>
      <c r="AQ1648" s="44">
        <f>(打分卡!$D$16*AL1648+打分卡!$D$17*AM1648)/5</f>
        <v>2</v>
      </c>
      <c r="AR1648" s="47">
        <f t="shared" si="202"/>
        <v>28.8</v>
      </c>
      <c r="AS1648" s="43" t="str">
        <f t="shared" si="203"/>
        <v>未激活</v>
      </c>
      <c r="AT1648" s="43" t="str">
        <f t="shared" si="204"/>
        <v>连续下降-预警</v>
      </c>
      <c r="AU1648" s="43" t="str">
        <f t="shared" si="205"/>
        <v>唤醒：短信模板+首充补贴</v>
      </c>
    </row>
    <row r="1649" ht="15" customHeight="1" spans="1:47">
      <c r="A1649" s="20" t="s">
        <v>4217</v>
      </c>
      <c r="B1649" s="22" t="s">
        <v>4218</v>
      </c>
      <c r="C1649" s="22" t="s">
        <v>189</v>
      </c>
      <c r="D1649" s="22" t="s">
        <v>202</v>
      </c>
      <c r="E1649" s="22" t="s">
        <v>181</v>
      </c>
      <c r="F1649" s="20" t="s">
        <v>231</v>
      </c>
      <c r="G1649" s="22">
        <v>23</v>
      </c>
      <c r="H1649" s="22" t="s">
        <v>3535</v>
      </c>
      <c r="I1649" s="22" t="s">
        <v>302</v>
      </c>
      <c r="J1649" s="36">
        <v>0</v>
      </c>
      <c r="K1649" s="36">
        <v>0</v>
      </c>
      <c r="L1649" s="36">
        <v>0</v>
      </c>
      <c r="M1649" s="36">
        <f t="shared" si="200"/>
        <v>0</v>
      </c>
      <c r="N1649" s="34">
        <f t="shared" si="206"/>
        <v>0</v>
      </c>
      <c r="O1649" s="35">
        <f>SUM($M$2:M1649)</f>
        <v>190743600</v>
      </c>
      <c r="P1649" s="34">
        <f t="shared" si="207"/>
        <v>1</v>
      </c>
      <c r="Q1649" s="39">
        <v>0</v>
      </c>
      <c r="R1649" s="22">
        <v>0</v>
      </c>
      <c r="S1649" s="22">
        <v>0</v>
      </c>
      <c r="T1649" s="22">
        <v>0</v>
      </c>
      <c r="U1649" s="39">
        <v>1.9</v>
      </c>
      <c r="V1649" s="22">
        <v>9</v>
      </c>
      <c r="W1649" s="22">
        <v>2</v>
      </c>
      <c r="X1649" s="40">
        <v>5</v>
      </c>
      <c r="Y1649" s="22">
        <v>1</v>
      </c>
      <c r="Z1649" s="22">
        <v>0</v>
      </c>
      <c r="AA1649" s="22" t="s">
        <v>212</v>
      </c>
      <c r="AB1649" s="22" t="s">
        <v>220</v>
      </c>
      <c r="AC1649" s="42">
        <f>IFERROR(LOOKUP(M1649,打分卡!$F$7:$J$7,打分卡!$K$7:$O$7),1)</f>
        <v>1</v>
      </c>
      <c r="AD1649" s="42">
        <f>IFERROR(LOOKUP(S1649,打分卡!$F$8:$J$8,打分卡!$K$8:$O$8),1)</f>
        <v>1</v>
      </c>
      <c r="AE1649" s="42">
        <f>IFERROR(LOOKUP(T1649,打分卡!$F$9:$I$9,打分卡!$K$9:$N$9),1)</f>
        <v>1</v>
      </c>
      <c r="AF1649" s="42">
        <f>IFERROR(LOOKUP(Q1649,打分卡!$F$10:$J$10,打分卡!$K$10:$O$10),1)</f>
        <v>1</v>
      </c>
      <c r="AG1649" s="42">
        <f>IFERROR(LOOKUP(R1649,打分卡!$F$11:$J$11,打分卡!$K$11:$O$11),1)</f>
        <v>1</v>
      </c>
      <c r="AH1649" s="42">
        <f>IFERROR(LOOKUP(U1649,打分卡!$F$12:$J$12,打分卡!$K$12:$O$12),1)</f>
        <v>1</v>
      </c>
      <c r="AI1649" s="42">
        <f>IFERROR(LOOKUP(X1649,打分卡!$F$13:$J$13,打分卡!$K$13:$O$13),1)</f>
        <v>1</v>
      </c>
      <c r="AJ1649" s="42">
        <f>IFERROR(LOOKUP(Y1649,打分卡!$F$14:$J$14,打分卡!$K$14:$O$14),1)</f>
        <v>2</v>
      </c>
      <c r="AK1649" s="42">
        <f>IFERROR(LOOKUP(W1649,打分卡!$F$15:$J$15,打分卡!$K$15:$O$15),1)</f>
        <v>2</v>
      </c>
      <c r="AL1649" s="45">
        <f t="shared" si="201"/>
        <v>1</v>
      </c>
      <c r="AM1649" s="42">
        <f>IFERROR(LOOKUP(Z1649,打分卡!$F$17:$H$17,打分卡!$K$17:$M$17),1)</f>
        <v>1</v>
      </c>
      <c r="AN1649" s="46">
        <f>(打分卡!$D$7*AC1649+打分卡!$D$8*AD1649+打分卡!$D$9*AE1649)/5</f>
        <v>8</v>
      </c>
      <c r="AO1649" s="46">
        <f>(打分卡!$D$10*AF1649+打分卡!$D$11*AG1649)/5</f>
        <v>4</v>
      </c>
      <c r="AP1649" s="46">
        <f>(打分卡!$D$12*AH1649+打分卡!$D$13*AI1649+打分卡!$D$14*AJ1649+打分卡!$D$15*AK1649)/5</f>
        <v>8</v>
      </c>
      <c r="AQ1649" s="46">
        <f>(打分卡!$D$16*AL1649+打分卡!$D$17*AM1649)/5</f>
        <v>2</v>
      </c>
      <c r="AR1649" s="48">
        <f t="shared" si="202"/>
        <v>22</v>
      </c>
      <c r="AS1649" s="45" t="str">
        <f t="shared" si="203"/>
        <v>未激活</v>
      </c>
      <c r="AT1649" s="45" t="str">
        <f t="shared" si="204"/>
        <v>连续下降-预警</v>
      </c>
      <c r="AU1649" s="45" t="str">
        <f t="shared" si="205"/>
        <v>唤醒：短信模板+首充补贴</v>
      </c>
    </row>
    <row r="1650" ht="15" customHeight="1" spans="1:47">
      <c r="A1650" s="30" t="s">
        <v>4219</v>
      </c>
      <c r="B1650" s="31" t="s">
        <v>4220</v>
      </c>
      <c r="C1650" s="31" t="s">
        <v>239</v>
      </c>
      <c r="D1650" s="31" t="s">
        <v>196</v>
      </c>
      <c r="E1650" s="31" t="s">
        <v>181</v>
      </c>
      <c r="F1650" s="30" t="s">
        <v>4221</v>
      </c>
      <c r="G1650" s="31">
        <v>26</v>
      </c>
      <c r="H1650" s="31" t="s">
        <v>3535</v>
      </c>
      <c r="I1650" s="31" t="s">
        <v>302</v>
      </c>
      <c r="J1650" s="33">
        <v>0</v>
      </c>
      <c r="K1650" s="33">
        <v>0</v>
      </c>
      <c r="L1650" s="33">
        <v>0</v>
      </c>
      <c r="M1650" s="33">
        <f t="shared" si="200"/>
        <v>0</v>
      </c>
      <c r="N1650" s="34">
        <f t="shared" si="206"/>
        <v>0</v>
      </c>
      <c r="O1650" s="35">
        <f>SUM($M$2:M1650)</f>
        <v>190743600</v>
      </c>
      <c r="P1650" s="34">
        <f t="shared" si="207"/>
        <v>1</v>
      </c>
      <c r="Q1650" s="37">
        <v>0</v>
      </c>
      <c r="R1650" s="31">
        <v>0</v>
      </c>
      <c r="S1650" s="31">
        <v>0</v>
      </c>
      <c r="T1650" s="31">
        <v>0</v>
      </c>
      <c r="U1650" s="37">
        <v>13.4</v>
      </c>
      <c r="V1650" s="31">
        <v>2</v>
      </c>
      <c r="W1650" s="31">
        <v>2</v>
      </c>
      <c r="X1650" s="38">
        <v>13</v>
      </c>
      <c r="Y1650" s="31">
        <v>1</v>
      </c>
      <c r="Z1650" s="31">
        <v>0</v>
      </c>
      <c r="AA1650" s="31" t="s">
        <v>212</v>
      </c>
      <c r="AB1650" s="31" t="s">
        <v>220</v>
      </c>
      <c r="AC1650" s="41">
        <f>IFERROR(LOOKUP(M1650,打分卡!$F$7:$J$7,打分卡!$K$7:$O$7),1)</f>
        <v>1</v>
      </c>
      <c r="AD1650" s="41">
        <f>IFERROR(LOOKUP(S1650,打分卡!$F$8:$J$8,打分卡!$K$8:$O$8),1)</f>
        <v>1</v>
      </c>
      <c r="AE1650" s="41">
        <f>IFERROR(LOOKUP(T1650,打分卡!$F$9:$I$9,打分卡!$K$9:$N$9),1)</f>
        <v>1</v>
      </c>
      <c r="AF1650" s="41">
        <f>IFERROR(LOOKUP(Q1650,打分卡!$F$10:$J$10,打分卡!$K$10:$O$10),1)</f>
        <v>1</v>
      </c>
      <c r="AG1650" s="41">
        <f>IFERROR(LOOKUP(R1650,打分卡!$F$11:$J$11,打分卡!$K$11:$O$11),1)</f>
        <v>1</v>
      </c>
      <c r="AH1650" s="41">
        <f>IFERROR(LOOKUP(U1650,打分卡!$F$12:$J$12,打分卡!$K$12:$O$12),1)</f>
        <v>3</v>
      </c>
      <c r="AI1650" s="41">
        <f>IFERROR(LOOKUP(X1650,打分卡!$F$13:$J$13,打分卡!$K$13:$O$13),1)</f>
        <v>1</v>
      </c>
      <c r="AJ1650" s="41">
        <f>IFERROR(LOOKUP(Y1650,打分卡!$F$14:$J$14,打分卡!$K$14:$O$14),1)</f>
        <v>2</v>
      </c>
      <c r="AK1650" s="41">
        <f>IFERROR(LOOKUP(W1650,打分卡!$F$15:$J$15,打分卡!$K$15:$O$15),1)</f>
        <v>2</v>
      </c>
      <c r="AL1650" s="43">
        <f t="shared" si="201"/>
        <v>1</v>
      </c>
      <c r="AM1650" s="41">
        <f>IFERROR(LOOKUP(Z1650,打分卡!$F$17:$H$17,打分卡!$K$17:$M$17),1)</f>
        <v>1</v>
      </c>
      <c r="AN1650" s="44">
        <f>(打分卡!$D$7*AC1650+打分卡!$D$8*AD1650+打分卡!$D$9*AE1650)/5</f>
        <v>8</v>
      </c>
      <c r="AO1650" s="44">
        <f>(打分卡!$D$10*AF1650+打分卡!$D$11*AG1650)/5</f>
        <v>4</v>
      </c>
      <c r="AP1650" s="44">
        <f>(打分卡!$D$12*AH1650+打分卡!$D$13*AI1650+打分卡!$D$14*AJ1650+打分卡!$D$15*AK1650)/5</f>
        <v>12.8</v>
      </c>
      <c r="AQ1650" s="44">
        <f>(打分卡!$D$16*AL1650+打分卡!$D$17*AM1650)/5</f>
        <v>2</v>
      </c>
      <c r="AR1650" s="47">
        <f t="shared" si="202"/>
        <v>26.8</v>
      </c>
      <c r="AS1650" s="43" t="str">
        <f t="shared" si="203"/>
        <v>未激活</v>
      </c>
      <c r="AT1650" s="43" t="str">
        <f t="shared" si="204"/>
        <v>连续下降-预警</v>
      </c>
      <c r="AU1650" s="43" t="str">
        <f t="shared" si="205"/>
        <v>唤醒：短信模板+首充补贴</v>
      </c>
    </row>
    <row r="1651" ht="15" customHeight="1" spans="1:47">
      <c r="A1651" s="20" t="s">
        <v>4222</v>
      </c>
      <c r="B1651" s="22" t="s">
        <v>4223</v>
      </c>
      <c r="C1651" s="22" t="s">
        <v>179</v>
      </c>
      <c r="D1651" s="22" t="s">
        <v>252</v>
      </c>
      <c r="E1651" s="22" t="s">
        <v>181</v>
      </c>
      <c r="F1651" s="20" t="s">
        <v>1537</v>
      </c>
      <c r="G1651" s="22">
        <v>12</v>
      </c>
      <c r="H1651" s="22" t="s">
        <v>3535</v>
      </c>
      <c r="I1651" s="22" t="s">
        <v>302</v>
      </c>
      <c r="J1651" s="36">
        <v>0</v>
      </c>
      <c r="K1651" s="36">
        <v>0</v>
      </c>
      <c r="L1651" s="36">
        <v>0</v>
      </c>
      <c r="M1651" s="36">
        <f t="shared" si="200"/>
        <v>0</v>
      </c>
      <c r="N1651" s="34">
        <f t="shared" si="206"/>
        <v>0</v>
      </c>
      <c r="O1651" s="35">
        <f>SUM($M$2:M1651)</f>
        <v>190743600</v>
      </c>
      <c r="P1651" s="34">
        <f t="shared" si="207"/>
        <v>1</v>
      </c>
      <c r="Q1651" s="39">
        <v>0</v>
      </c>
      <c r="R1651" s="22">
        <v>0</v>
      </c>
      <c r="S1651" s="22">
        <v>0</v>
      </c>
      <c r="T1651" s="22">
        <v>0</v>
      </c>
      <c r="U1651" s="39">
        <v>19.7</v>
      </c>
      <c r="V1651" s="22">
        <v>3</v>
      </c>
      <c r="W1651" s="22">
        <v>0</v>
      </c>
      <c r="X1651" s="40">
        <v>49</v>
      </c>
      <c r="Y1651" s="22">
        <v>0</v>
      </c>
      <c r="Z1651" s="22">
        <v>0</v>
      </c>
      <c r="AA1651" s="22" t="s">
        <v>212</v>
      </c>
      <c r="AB1651" s="22" t="s">
        <v>220</v>
      </c>
      <c r="AC1651" s="42">
        <f>IFERROR(LOOKUP(M1651,打分卡!$F$7:$J$7,打分卡!$K$7:$O$7),1)</f>
        <v>1</v>
      </c>
      <c r="AD1651" s="42">
        <f>IFERROR(LOOKUP(S1651,打分卡!$F$8:$J$8,打分卡!$K$8:$O$8),1)</f>
        <v>1</v>
      </c>
      <c r="AE1651" s="42">
        <f>IFERROR(LOOKUP(T1651,打分卡!$F$9:$I$9,打分卡!$K$9:$N$9),1)</f>
        <v>1</v>
      </c>
      <c r="AF1651" s="42">
        <f>IFERROR(LOOKUP(Q1651,打分卡!$F$10:$J$10,打分卡!$K$10:$O$10),1)</f>
        <v>1</v>
      </c>
      <c r="AG1651" s="42">
        <f>IFERROR(LOOKUP(R1651,打分卡!$F$11:$J$11,打分卡!$K$11:$O$11),1)</f>
        <v>1</v>
      </c>
      <c r="AH1651" s="42">
        <f>IFERROR(LOOKUP(U1651,打分卡!$F$12:$J$12,打分卡!$K$12:$O$12),1)</f>
        <v>3</v>
      </c>
      <c r="AI1651" s="42">
        <f>IFERROR(LOOKUP(X1651,打分卡!$F$13:$J$13,打分卡!$K$13:$O$13),1)</f>
        <v>3</v>
      </c>
      <c r="AJ1651" s="42">
        <f>IFERROR(LOOKUP(Y1651,打分卡!$F$14:$J$14,打分卡!$K$14:$O$14),1)</f>
        <v>1</v>
      </c>
      <c r="AK1651" s="42">
        <f>IFERROR(LOOKUP(W1651,打分卡!$F$15:$J$15,打分卡!$K$15:$O$15),1)</f>
        <v>1</v>
      </c>
      <c r="AL1651" s="45">
        <f t="shared" si="201"/>
        <v>1</v>
      </c>
      <c r="AM1651" s="42">
        <f>IFERROR(LOOKUP(Z1651,打分卡!$F$17:$H$17,打分卡!$K$17:$M$17),1)</f>
        <v>1</v>
      </c>
      <c r="AN1651" s="46">
        <f>(打分卡!$D$7*AC1651+打分卡!$D$8*AD1651+打分卡!$D$9*AE1651)/5</f>
        <v>8</v>
      </c>
      <c r="AO1651" s="46">
        <f>(打分卡!$D$10*AF1651+打分卡!$D$11*AG1651)/5</f>
        <v>4</v>
      </c>
      <c r="AP1651" s="46">
        <f>(打分卡!$D$12*AH1651+打分卡!$D$13*AI1651+打分卡!$D$14*AJ1651+打分卡!$D$15*AK1651)/5</f>
        <v>14</v>
      </c>
      <c r="AQ1651" s="46">
        <f>(打分卡!$D$16*AL1651+打分卡!$D$17*AM1651)/5</f>
        <v>2</v>
      </c>
      <c r="AR1651" s="48">
        <f t="shared" si="202"/>
        <v>28</v>
      </c>
      <c r="AS1651" s="45" t="str">
        <f t="shared" si="203"/>
        <v>未激活</v>
      </c>
      <c r="AT1651" s="45" t="str">
        <f t="shared" si="204"/>
        <v>连续下降-预警</v>
      </c>
      <c r="AU1651" s="45" t="str">
        <f t="shared" si="205"/>
        <v>唤醒：短信模板+首充补贴</v>
      </c>
    </row>
    <row r="1652" ht="15" customHeight="1" spans="1:47">
      <c r="A1652" s="30" t="s">
        <v>4224</v>
      </c>
      <c r="B1652" s="31" t="s">
        <v>4225</v>
      </c>
      <c r="C1652" s="31" t="s">
        <v>218</v>
      </c>
      <c r="D1652" s="31" t="s">
        <v>235</v>
      </c>
      <c r="E1652" s="31" t="s">
        <v>181</v>
      </c>
      <c r="F1652" s="30" t="s">
        <v>2274</v>
      </c>
      <c r="G1652" s="31">
        <v>12</v>
      </c>
      <c r="H1652" s="31" t="s">
        <v>3535</v>
      </c>
      <c r="I1652" s="31" t="s">
        <v>302</v>
      </c>
      <c r="J1652" s="33">
        <v>0</v>
      </c>
      <c r="K1652" s="33">
        <v>0</v>
      </c>
      <c r="L1652" s="33">
        <v>0</v>
      </c>
      <c r="M1652" s="33">
        <f t="shared" si="200"/>
        <v>0</v>
      </c>
      <c r="N1652" s="34">
        <f t="shared" si="206"/>
        <v>0</v>
      </c>
      <c r="O1652" s="35">
        <f>SUM($M$2:M1652)</f>
        <v>190743600</v>
      </c>
      <c r="P1652" s="34">
        <f t="shared" si="207"/>
        <v>1</v>
      </c>
      <c r="Q1652" s="37">
        <v>0</v>
      </c>
      <c r="R1652" s="31">
        <v>0</v>
      </c>
      <c r="S1652" s="31">
        <v>0</v>
      </c>
      <c r="T1652" s="31">
        <v>0</v>
      </c>
      <c r="U1652" s="37">
        <v>6.3</v>
      </c>
      <c r="V1652" s="31">
        <v>0</v>
      </c>
      <c r="W1652" s="31">
        <v>1</v>
      </c>
      <c r="X1652" s="38">
        <v>6</v>
      </c>
      <c r="Y1652" s="31">
        <v>1</v>
      </c>
      <c r="Z1652" s="31">
        <v>0</v>
      </c>
      <c r="AA1652" s="31" t="s">
        <v>212</v>
      </c>
      <c r="AB1652" s="31" t="s">
        <v>220</v>
      </c>
      <c r="AC1652" s="41">
        <f>IFERROR(LOOKUP(M1652,打分卡!$F$7:$J$7,打分卡!$K$7:$O$7),1)</f>
        <v>1</v>
      </c>
      <c r="AD1652" s="41">
        <f>IFERROR(LOOKUP(S1652,打分卡!$F$8:$J$8,打分卡!$K$8:$O$8),1)</f>
        <v>1</v>
      </c>
      <c r="AE1652" s="41">
        <f>IFERROR(LOOKUP(T1652,打分卡!$F$9:$I$9,打分卡!$K$9:$N$9),1)</f>
        <v>1</v>
      </c>
      <c r="AF1652" s="41">
        <f>IFERROR(LOOKUP(Q1652,打分卡!$F$10:$J$10,打分卡!$K$10:$O$10),1)</f>
        <v>1</v>
      </c>
      <c r="AG1652" s="41">
        <f>IFERROR(LOOKUP(R1652,打分卡!$F$11:$J$11,打分卡!$K$11:$O$11),1)</f>
        <v>1</v>
      </c>
      <c r="AH1652" s="41">
        <f>IFERROR(LOOKUP(U1652,打分卡!$F$12:$J$12,打分卡!$K$12:$O$12),1)</f>
        <v>2</v>
      </c>
      <c r="AI1652" s="41">
        <f>IFERROR(LOOKUP(X1652,打分卡!$F$13:$J$13,打分卡!$K$13:$O$13),1)</f>
        <v>1</v>
      </c>
      <c r="AJ1652" s="41">
        <f>IFERROR(LOOKUP(Y1652,打分卡!$F$14:$J$14,打分卡!$K$14:$O$14),1)</f>
        <v>2</v>
      </c>
      <c r="AK1652" s="41">
        <f>IFERROR(LOOKUP(W1652,打分卡!$F$15:$J$15,打分卡!$K$15:$O$15),1)</f>
        <v>2</v>
      </c>
      <c r="AL1652" s="43">
        <f t="shared" si="201"/>
        <v>1</v>
      </c>
      <c r="AM1652" s="41">
        <f>IFERROR(LOOKUP(Z1652,打分卡!$F$17:$H$17,打分卡!$K$17:$M$17),1)</f>
        <v>1</v>
      </c>
      <c r="AN1652" s="44">
        <f>(打分卡!$D$7*AC1652+打分卡!$D$8*AD1652+打分卡!$D$9*AE1652)/5</f>
        <v>8</v>
      </c>
      <c r="AO1652" s="44">
        <f>(打分卡!$D$10*AF1652+打分卡!$D$11*AG1652)/5</f>
        <v>4</v>
      </c>
      <c r="AP1652" s="44">
        <f>(打分卡!$D$12*AH1652+打分卡!$D$13*AI1652+打分卡!$D$14*AJ1652+打分卡!$D$15*AK1652)/5</f>
        <v>10.4</v>
      </c>
      <c r="AQ1652" s="44">
        <f>(打分卡!$D$16*AL1652+打分卡!$D$17*AM1652)/5</f>
        <v>2</v>
      </c>
      <c r="AR1652" s="47">
        <f t="shared" si="202"/>
        <v>24.4</v>
      </c>
      <c r="AS1652" s="43" t="str">
        <f t="shared" si="203"/>
        <v>未激活</v>
      </c>
      <c r="AT1652" s="43" t="str">
        <f t="shared" si="204"/>
        <v>连续下降-预警</v>
      </c>
      <c r="AU1652" s="43" t="str">
        <f t="shared" si="205"/>
        <v>唤醒：短信模板+首充补贴</v>
      </c>
    </row>
    <row r="1653" ht="15" customHeight="1" spans="1:47">
      <c r="A1653" s="20" t="s">
        <v>4226</v>
      </c>
      <c r="B1653" s="22" t="s">
        <v>4227</v>
      </c>
      <c r="C1653" s="22" t="s">
        <v>209</v>
      </c>
      <c r="D1653" s="22" t="s">
        <v>202</v>
      </c>
      <c r="E1653" s="22" t="s">
        <v>181</v>
      </c>
      <c r="F1653" s="20" t="s">
        <v>947</v>
      </c>
      <c r="G1653" s="22">
        <v>12</v>
      </c>
      <c r="H1653" s="22" t="s">
        <v>3535</v>
      </c>
      <c r="I1653" s="22" t="s">
        <v>302</v>
      </c>
      <c r="J1653" s="36">
        <v>0</v>
      </c>
      <c r="K1653" s="36">
        <v>0</v>
      </c>
      <c r="L1653" s="36">
        <v>0</v>
      </c>
      <c r="M1653" s="36">
        <f t="shared" si="200"/>
        <v>0</v>
      </c>
      <c r="N1653" s="34">
        <f t="shared" si="206"/>
        <v>0</v>
      </c>
      <c r="O1653" s="35">
        <f>SUM($M$2:M1653)</f>
        <v>190743600</v>
      </c>
      <c r="P1653" s="34">
        <f t="shared" si="207"/>
        <v>1</v>
      </c>
      <c r="Q1653" s="39">
        <v>0</v>
      </c>
      <c r="R1653" s="22">
        <v>0</v>
      </c>
      <c r="S1653" s="22">
        <v>0</v>
      </c>
      <c r="T1653" s="22">
        <v>0</v>
      </c>
      <c r="U1653" s="39">
        <v>7.3</v>
      </c>
      <c r="V1653" s="22">
        <v>8</v>
      </c>
      <c r="W1653" s="22">
        <v>0</v>
      </c>
      <c r="X1653" s="40">
        <v>41</v>
      </c>
      <c r="Y1653" s="22">
        <v>0</v>
      </c>
      <c r="Z1653" s="22">
        <v>0</v>
      </c>
      <c r="AA1653" s="22" t="s">
        <v>212</v>
      </c>
      <c r="AB1653" s="22" t="s">
        <v>220</v>
      </c>
      <c r="AC1653" s="42">
        <f>IFERROR(LOOKUP(M1653,打分卡!$F$7:$J$7,打分卡!$K$7:$O$7),1)</f>
        <v>1</v>
      </c>
      <c r="AD1653" s="42">
        <f>IFERROR(LOOKUP(S1653,打分卡!$F$8:$J$8,打分卡!$K$8:$O$8),1)</f>
        <v>1</v>
      </c>
      <c r="AE1653" s="42">
        <f>IFERROR(LOOKUP(T1653,打分卡!$F$9:$I$9,打分卡!$K$9:$N$9),1)</f>
        <v>1</v>
      </c>
      <c r="AF1653" s="42">
        <f>IFERROR(LOOKUP(Q1653,打分卡!$F$10:$J$10,打分卡!$K$10:$O$10),1)</f>
        <v>1</v>
      </c>
      <c r="AG1653" s="42">
        <f>IFERROR(LOOKUP(R1653,打分卡!$F$11:$J$11,打分卡!$K$11:$O$11),1)</f>
        <v>1</v>
      </c>
      <c r="AH1653" s="42">
        <f>IFERROR(LOOKUP(U1653,打分卡!$F$12:$J$12,打分卡!$K$12:$O$12),1)</f>
        <v>2</v>
      </c>
      <c r="AI1653" s="42">
        <f>IFERROR(LOOKUP(X1653,打分卡!$F$13:$J$13,打分卡!$K$13:$O$13),1)</f>
        <v>3</v>
      </c>
      <c r="AJ1653" s="42">
        <f>IFERROR(LOOKUP(Y1653,打分卡!$F$14:$J$14,打分卡!$K$14:$O$14),1)</f>
        <v>1</v>
      </c>
      <c r="AK1653" s="42">
        <f>IFERROR(LOOKUP(W1653,打分卡!$F$15:$J$15,打分卡!$K$15:$O$15),1)</f>
        <v>1</v>
      </c>
      <c r="AL1653" s="45">
        <f t="shared" si="201"/>
        <v>1</v>
      </c>
      <c r="AM1653" s="42">
        <f>IFERROR(LOOKUP(Z1653,打分卡!$F$17:$H$17,打分卡!$K$17:$M$17),1)</f>
        <v>1</v>
      </c>
      <c r="AN1653" s="46">
        <f>(打分卡!$D$7*AC1653+打分卡!$D$8*AD1653+打分卡!$D$9*AE1653)/5</f>
        <v>8</v>
      </c>
      <c r="AO1653" s="46">
        <f>(打分卡!$D$10*AF1653+打分卡!$D$11*AG1653)/5</f>
        <v>4</v>
      </c>
      <c r="AP1653" s="46">
        <f>(打分卡!$D$12*AH1653+打分卡!$D$13*AI1653+打分卡!$D$14*AJ1653+打分卡!$D$15*AK1653)/5</f>
        <v>11.6</v>
      </c>
      <c r="AQ1653" s="46">
        <f>(打分卡!$D$16*AL1653+打分卡!$D$17*AM1653)/5</f>
        <v>2</v>
      </c>
      <c r="AR1653" s="48">
        <f t="shared" si="202"/>
        <v>25.6</v>
      </c>
      <c r="AS1653" s="45" t="str">
        <f t="shared" si="203"/>
        <v>未激活</v>
      </c>
      <c r="AT1653" s="45" t="str">
        <f t="shared" si="204"/>
        <v>连续下降-预警</v>
      </c>
      <c r="AU1653" s="45" t="str">
        <f t="shared" si="205"/>
        <v>唤醒：短信模板+首充补贴</v>
      </c>
    </row>
    <row r="1654" ht="15" customHeight="1" spans="1:47">
      <c r="A1654" s="30" t="s">
        <v>4228</v>
      </c>
      <c r="B1654" s="31" t="s">
        <v>4229</v>
      </c>
      <c r="C1654" s="31" t="s">
        <v>179</v>
      </c>
      <c r="D1654" s="31" t="s">
        <v>227</v>
      </c>
      <c r="E1654" s="31" t="s">
        <v>181</v>
      </c>
      <c r="F1654" s="30" t="s">
        <v>366</v>
      </c>
      <c r="G1654" s="31">
        <v>30</v>
      </c>
      <c r="H1654" s="31" t="s">
        <v>3535</v>
      </c>
      <c r="I1654" s="31" t="s">
        <v>302</v>
      </c>
      <c r="J1654" s="33">
        <v>0</v>
      </c>
      <c r="K1654" s="33">
        <v>0</v>
      </c>
      <c r="L1654" s="33">
        <v>0</v>
      </c>
      <c r="M1654" s="33">
        <f t="shared" si="200"/>
        <v>0</v>
      </c>
      <c r="N1654" s="34">
        <f t="shared" si="206"/>
        <v>0</v>
      </c>
      <c r="O1654" s="35">
        <f>SUM($M$2:M1654)</f>
        <v>190743600</v>
      </c>
      <c r="P1654" s="34">
        <f t="shared" si="207"/>
        <v>1</v>
      </c>
      <c r="Q1654" s="37">
        <v>0</v>
      </c>
      <c r="R1654" s="31">
        <v>0</v>
      </c>
      <c r="S1654" s="31">
        <v>0</v>
      </c>
      <c r="T1654" s="31">
        <v>0</v>
      </c>
      <c r="U1654" s="37">
        <v>2.5</v>
      </c>
      <c r="V1654" s="31">
        <v>4</v>
      </c>
      <c r="W1654" s="31">
        <v>2</v>
      </c>
      <c r="X1654" s="38">
        <v>57</v>
      </c>
      <c r="Y1654" s="31">
        <v>1</v>
      </c>
      <c r="Z1654" s="31">
        <v>0</v>
      </c>
      <c r="AA1654" s="31" t="s">
        <v>212</v>
      </c>
      <c r="AB1654" s="31" t="s">
        <v>220</v>
      </c>
      <c r="AC1654" s="41">
        <f>IFERROR(LOOKUP(M1654,打分卡!$F$7:$J$7,打分卡!$K$7:$O$7),1)</f>
        <v>1</v>
      </c>
      <c r="AD1654" s="41">
        <f>IFERROR(LOOKUP(S1654,打分卡!$F$8:$J$8,打分卡!$K$8:$O$8),1)</f>
        <v>1</v>
      </c>
      <c r="AE1654" s="41">
        <f>IFERROR(LOOKUP(T1654,打分卡!$F$9:$I$9,打分卡!$K$9:$N$9),1)</f>
        <v>1</v>
      </c>
      <c r="AF1654" s="41">
        <f>IFERROR(LOOKUP(Q1654,打分卡!$F$10:$J$10,打分卡!$K$10:$O$10),1)</f>
        <v>1</v>
      </c>
      <c r="AG1654" s="41">
        <f>IFERROR(LOOKUP(R1654,打分卡!$F$11:$J$11,打分卡!$K$11:$O$11),1)</f>
        <v>1</v>
      </c>
      <c r="AH1654" s="41">
        <f>IFERROR(LOOKUP(U1654,打分卡!$F$12:$J$12,打分卡!$K$12:$O$12),1)</f>
        <v>1</v>
      </c>
      <c r="AI1654" s="41">
        <f>IFERROR(LOOKUP(X1654,打分卡!$F$13:$J$13,打分卡!$K$13:$O$13),1)</f>
        <v>3</v>
      </c>
      <c r="AJ1654" s="41">
        <f>IFERROR(LOOKUP(Y1654,打分卡!$F$14:$J$14,打分卡!$K$14:$O$14),1)</f>
        <v>2</v>
      </c>
      <c r="AK1654" s="41">
        <f>IFERROR(LOOKUP(W1654,打分卡!$F$15:$J$15,打分卡!$K$15:$O$15),1)</f>
        <v>2</v>
      </c>
      <c r="AL1654" s="43">
        <f t="shared" si="201"/>
        <v>1</v>
      </c>
      <c r="AM1654" s="41">
        <f>IFERROR(LOOKUP(Z1654,打分卡!$F$17:$H$17,打分卡!$K$17:$M$17),1)</f>
        <v>1</v>
      </c>
      <c r="AN1654" s="44">
        <f>(打分卡!$D$7*AC1654+打分卡!$D$8*AD1654+打分卡!$D$9*AE1654)/5</f>
        <v>8</v>
      </c>
      <c r="AO1654" s="44">
        <f>(打分卡!$D$10*AF1654+打分卡!$D$11*AG1654)/5</f>
        <v>4</v>
      </c>
      <c r="AP1654" s="44">
        <f>(打分卡!$D$12*AH1654+打分卡!$D$13*AI1654+打分卡!$D$14*AJ1654+打分卡!$D$15*AK1654)/5</f>
        <v>11.2</v>
      </c>
      <c r="AQ1654" s="44">
        <f>(打分卡!$D$16*AL1654+打分卡!$D$17*AM1654)/5</f>
        <v>2</v>
      </c>
      <c r="AR1654" s="47">
        <f t="shared" si="202"/>
        <v>25.2</v>
      </c>
      <c r="AS1654" s="43" t="str">
        <f t="shared" si="203"/>
        <v>未激活</v>
      </c>
      <c r="AT1654" s="43" t="str">
        <f t="shared" si="204"/>
        <v>连续下降-预警</v>
      </c>
      <c r="AU1654" s="43" t="str">
        <f t="shared" si="205"/>
        <v>唤醒：短信模板+首充补贴</v>
      </c>
    </row>
    <row r="1655" ht="15" customHeight="1" spans="1:47">
      <c r="A1655" s="20" t="s">
        <v>4230</v>
      </c>
      <c r="B1655" s="22" t="s">
        <v>4231</v>
      </c>
      <c r="C1655" s="22" t="s">
        <v>179</v>
      </c>
      <c r="D1655" s="22" t="s">
        <v>202</v>
      </c>
      <c r="E1655" s="22" t="s">
        <v>197</v>
      </c>
      <c r="F1655" s="20" t="s">
        <v>4232</v>
      </c>
      <c r="G1655" s="22">
        <v>30</v>
      </c>
      <c r="H1655" s="22" t="s">
        <v>3535</v>
      </c>
      <c r="I1655" s="22" t="s">
        <v>302</v>
      </c>
      <c r="J1655" s="36">
        <v>0</v>
      </c>
      <c r="K1655" s="36">
        <v>0</v>
      </c>
      <c r="L1655" s="36">
        <v>0</v>
      </c>
      <c r="M1655" s="36">
        <f t="shared" si="200"/>
        <v>0</v>
      </c>
      <c r="N1655" s="34">
        <f t="shared" si="206"/>
        <v>0</v>
      </c>
      <c r="O1655" s="35">
        <f>SUM($M$2:M1655)</f>
        <v>190743600</v>
      </c>
      <c r="P1655" s="34">
        <f t="shared" si="207"/>
        <v>1</v>
      </c>
      <c r="Q1655" s="39">
        <v>0</v>
      </c>
      <c r="R1655" s="22">
        <v>0</v>
      </c>
      <c r="S1655" s="22">
        <v>0</v>
      </c>
      <c r="T1655" s="22">
        <v>0</v>
      </c>
      <c r="U1655" s="39">
        <v>3.5</v>
      </c>
      <c r="V1655" s="22">
        <v>9</v>
      </c>
      <c r="W1655" s="22">
        <v>2</v>
      </c>
      <c r="X1655" s="40">
        <v>50</v>
      </c>
      <c r="Y1655" s="22">
        <v>0</v>
      </c>
      <c r="Z1655" s="22">
        <v>0</v>
      </c>
      <c r="AA1655" s="22" t="s">
        <v>212</v>
      </c>
      <c r="AB1655" s="22" t="s">
        <v>220</v>
      </c>
      <c r="AC1655" s="42">
        <f>IFERROR(LOOKUP(M1655,打分卡!$F$7:$J$7,打分卡!$K$7:$O$7),1)</f>
        <v>1</v>
      </c>
      <c r="AD1655" s="42">
        <f>IFERROR(LOOKUP(S1655,打分卡!$F$8:$J$8,打分卡!$K$8:$O$8),1)</f>
        <v>1</v>
      </c>
      <c r="AE1655" s="42">
        <f>IFERROR(LOOKUP(T1655,打分卡!$F$9:$I$9,打分卡!$K$9:$N$9),1)</f>
        <v>1</v>
      </c>
      <c r="AF1655" s="42">
        <f>IFERROR(LOOKUP(Q1655,打分卡!$F$10:$J$10,打分卡!$K$10:$O$10),1)</f>
        <v>1</v>
      </c>
      <c r="AG1655" s="42">
        <f>IFERROR(LOOKUP(R1655,打分卡!$F$11:$J$11,打分卡!$K$11:$O$11),1)</f>
        <v>1</v>
      </c>
      <c r="AH1655" s="42">
        <f>IFERROR(LOOKUP(U1655,打分卡!$F$12:$J$12,打分卡!$K$12:$O$12),1)</f>
        <v>2</v>
      </c>
      <c r="AI1655" s="42">
        <f>IFERROR(LOOKUP(X1655,打分卡!$F$13:$J$13,打分卡!$K$13:$O$13),1)</f>
        <v>3</v>
      </c>
      <c r="AJ1655" s="42">
        <f>IFERROR(LOOKUP(Y1655,打分卡!$F$14:$J$14,打分卡!$K$14:$O$14),1)</f>
        <v>1</v>
      </c>
      <c r="AK1655" s="42">
        <f>IFERROR(LOOKUP(W1655,打分卡!$F$15:$J$15,打分卡!$K$15:$O$15),1)</f>
        <v>2</v>
      </c>
      <c r="AL1655" s="45">
        <f t="shared" si="201"/>
        <v>1</v>
      </c>
      <c r="AM1655" s="42">
        <f>IFERROR(LOOKUP(Z1655,打分卡!$F$17:$H$17,打分卡!$K$17:$M$17),1)</f>
        <v>1</v>
      </c>
      <c r="AN1655" s="46">
        <f>(打分卡!$D$7*AC1655+打分卡!$D$8*AD1655+打分卡!$D$9*AE1655)/5</f>
        <v>8</v>
      </c>
      <c r="AO1655" s="46">
        <f>(打分卡!$D$10*AF1655+打分卡!$D$11*AG1655)/5</f>
        <v>4</v>
      </c>
      <c r="AP1655" s="46">
        <f>(打分卡!$D$12*AH1655+打分卡!$D$13*AI1655+打分卡!$D$14*AJ1655+打分卡!$D$15*AK1655)/5</f>
        <v>12.4</v>
      </c>
      <c r="AQ1655" s="46">
        <f>(打分卡!$D$16*AL1655+打分卡!$D$17*AM1655)/5</f>
        <v>2</v>
      </c>
      <c r="AR1655" s="48">
        <f t="shared" si="202"/>
        <v>26.4</v>
      </c>
      <c r="AS1655" s="45" t="str">
        <f t="shared" si="203"/>
        <v>未激活</v>
      </c>
      <c r="AT1655" s="45" t="str">
        <f t="shared" si="204"/>
        <v>连续下降-预警</v>
      </c>
      <c r="AU1655" s="45" t="str">
        <f t="shared" si="205"/>
        <v>唤醒：短信模板+首充补贴</v>
      </c>
    </row>
    <row r="1656" ht="15" customHeight="1" spans="1:47">
      <c r="A1656" s="30" t="s">
        <v>4233</v>
      </c>
      <c r="B1656" s="31" t="s">
        <v>4234</v>
      </c>
      <c r="C1656" s="31" t="s">
        <v>209</v>
      </c>
      <c r="D1656" s="31" t="s">
        <v>196</v>
      </c>
      <c r="E1656" s="31" t="s">
        <v>181</v>
      </c>
      <c r="F1656" s="30" t="s">
        <v>4068</v>
      </c>
      <c r="G1656" s="31">
        <v>28</v>
      </c>
      <c r="H1656" s="31" t="s">
        <v>3535</v>
      </c>
      <c r="I1656" s="31" t="s">
        <v>302</v>
      </c>
      <c r="J1656" s="33">
        <v>0</v>
      </c>
      <c r="K1656" s="33">
        <v>0</v>
      </c>
      <c r="L1656" s="33">
        <v>0</v>
      </c>
      <c r="M1656" s="33">
        <f t="shared" si="200"/>
        <v>0</v>
      </c>
      <c r="N1656" s="34">
        <f t="shared" si="206"/>
        <v>0</v>
      </c>
      <c r="O1656" s="35">
        <f>SUM($M$2:M1656)</f>
        <v>190743600</v>
      </c>
      <c r="P1656" s="34">
        <f t="shared" si="207"/>
        <v>1</v>
      </c>
      <c r="Q1656" s="37">
        <v>0</v>
      </c>
      <c r="R1656" s="31">
        <v>0</v>
      </c>
      <c r="S1656" s="31">
        <v>0</v>
      </c>
      <c r="T1656" s="31">
        <v>0</v>
      </c>
      <c r="U1656" s="37">
        <v>3.6</v>
      </c>
      <c r="V1656" s="31">
        <v>13</v>
      </c>
      <c r="W1656" s="31">
        <v>2</v>
      </c>
      <c r="X1656" s="38">
        <v>46</v>
      </c>
      <c r="Y1656" s="31">
        <v>1</v>
      </c>
      <c r="Z1656" s="31">
        <v>0</v>
      </c>
      <c r="AA1656" s="31" t="s">
        <v>212</v>
      </c>
      <c r="AB1656" s="31" t="s">
        <v>220</v>
      </c>
      <c r="AC1656" s="41">
        <f>IFERROR(LOOKUP(M1656,打分卡!$F$7:$J$7,打分卡!$K$7:$O$7),1)</f>
        <v>1</v>
      </c>
      <c r="AD1656" s="41">
        <f>IFERROR(LOOKUP(S1656,打分卡!$F$8:$J$8,打分卡!$K$8:$O$8),1)</f>
        <v>1</v>
      </c>
      <c r="AE1656" s="41">
        <f>IFERROR(LOOKUP(T1656,打分卡!$F$9:$I$9,打分卡!$K$9:$N$9),1)</f>
        <v>1</v>
      </c>
      <c r="AF1656" s="41">
        <f>IFERROR(LOOKUP(Q1656,打分卡!$F$10:$J$10,打分卡!$K$10:$O$10),1)</f>
        <v>1</v>
      </c>
      <c r="AG1656" s="41">
        <f>IFERROR(LOOKUP(R1656,打分卡!$F$11:$J$11,打分卡!$K$11:$O$11),1)</f>
        <v>1</v>
      </c>
      <c r="AH1656" s="41">
        <f>IFERROR(LOOKUP(U1656,打分卡!$F$12:$J$12,打分卡!$K$12:$O$12),1)</f>
        <v>2</v>
      </c>
      <c r="AI1656" s="41">
        <f>IFERROR(LOOKUP(X1656,打分卡!$F$13:$J$13,打分卡!$K$13:$O$13),1)</f>
        <v>3</v>
      </c>
      <c r="AJ1656" s="41">
        <f>IFERROR(LOOKUP(Y1656,打分卡!$F$14:$J$14,打分卡!$K$14:$O$14),1)</f>
        <v>2</v>
      </c>
      <c r="AK1656" s="41">
        <f>IFERROR(LOOKUP(W1656,打分卡!$F$15:$J$15,打分卡!$K$15:$O$15),1)</f>
        <v>2</v>
      </c>
      <c r="AL1656" s="43">
        <f t="shared" si="201"/>
        <v>1</v>
      </c>
      <c r="AM1656" s="41">
        <f>IFERROR(LOOKUP(Z1656,打分卡!$F$17:$H$17,打分卡!$K$17:$M$17),1)</f>
        <v>1</v>
      </c>
      <c r="AN1656" s="44">
        <f>(打分卡!$D$7*AC1656+打分卡!$D$8*AD1656+打分卡!$D$9*AE1656)/5</f>
        <v>8</v>
      </c>
      <c r="AO1656" s="44">
        <f>(打分卡!$D$10*AF1656+打分卡!$D$11*AG1656)/5</f>
        <v>4</v>
      </c>
      <c r="AP1656" s="44">
        <f>(打分卡!$D$12*AH1656+打分卡!$D$13*AI1656+打分卡!$D$14*AJ1656+打分卡!$D$15*AK1656)/5</f>
        <v>13.6</v>
      </c>
      <c r="AQ1656" s="44">
        <f>(打分卡!$D$16*AL1656+打分卡!$D$17*AM1656)/5</f>
        <v>2</v>
      </c>
      <c r="AR1656" s="47">
        <f t="shared" si="202"/>
        <v>27.6</v>
      </c>
      <c r="AS1656" s="43" t="str">
        <f t="shared" si="203"/>
        <v>未激活</v>
      </c>
      <c r="AT1656" s="43" t="str">
        <f t="shared" si="204"/>
        <v>连续下降-预警</v>
      </c>
      <c r="AU1656" s="43" t="str">
        <f t="shared" si="205"/>
        <v>唤醒：短信模板+首充补贴</v>
      </c>
    </row>
    <row r="1657" ht="15" customHeight="1" spans="1:47">
      <c r="A1657" s="20" t="s">
        <v>4235</v>
      </c>
      <c r="B1657" s="22" t="s">
        <v>4236</v>
      </c>
      <c r="C1657" s="22" t="s">
        <v>239</v>
      </c>
      <c r="D1657" s="22" t="s">
        <v>202</v>
      </c>
      <c r="E1657" s="22" t="s">
        <v>181</v>
      </c>
      <c r="F1657" s="20" t="s">
        <v>4237</v>
      </c>
      <c r="G1657" s="22">
        <v>36</v>
      </c>
      <c r="H1657" s="22" t="s">
        <v>3535</v>
      </c>
      <c r="I1657" s="22" t="s">
        <v>302</v>
      </c>
      <c r="J1657" s="36">
        <v>0</v>
      </c>
      <c r="K1657" s="36">
        <v>0</v>
      </c>
      <c r="L1657" s="36">
        <v>0</v>
      </c>
      <c r="M1657" s="36">
        <f t="shared" si="200"/>
        <v>0</v>
      </c>
      <c r="N1657" s="34">
        <f t="shared" si="206"/>
        <v>0</v>
      </c>
      <c r="O1657" s="35">
        <f>SUM($M$2:M1657)</f>
        <v>190743600</v>
      </c>
      <c r="P1657" s="34">
        <f t="shared" si="207"/>
        <v>1</v>
      </c>
      <c r="Q1657" s="39">
        <v>0</v>
      </c>
      <c r="R1657" s="22">
        <v>0</v>
      </c>
      <c r="S1657" s="22">
        <v>0</v>
      </c>
      <c r="T1657" s="22">
        <v>0</v>
      </c>
      <c r="U1657" s="39">
        <v>1.8</v>
      </c>
      <c r="V1657" s="22">
        <v>6</v>
      </c>
      <c r="W1657" s="22">
        <v>0</v>
      </c>
      <c r="X1657" s="40">
        <v>51</v>
      </c>
      <c r="Y1657" s="22">
        <v>1</v>
      </c>
      <c r="Z1657" s="22">
        <v>0</v>
      </c>
      <c r="AA1657" s="22" t="s">
        <v>212</v>
      </c>
      <c r="AB1657" s="22" t="s">
        <v>220</v>
      </c>
      <c r="AC1657" s="42">
        <f>IFERROR(LOOKUP(M1657,打分卡!$F$7:$J$7,打分卡!$K$7:$O$7),1)</f>
        <v>1</v>
      </c>
      <c r="AD1657" s="42">
        <f>IFERROR(LOOKUP(S1657,打分卡!$F$8:$J$8,打分卡!$K$8:$O$8),1)</f>
        <v>1</v>
      </c>
      <c r="AE1657" s="42">
        <f>IFERROR(LOOKUP(T1657,打分卡!$F$9:$I$9,打分卡!$K$9:$N$9),1)</f>
        <v>1</v>
      </c>
      <c r="AF1657" s="42">
        <f>IFERROR(LOOKUP(Q1657,打分卡!$F$10:$J$10,打分卡!$K$10:$O$10),1)</f>
        <v>1</v>
      </c>
      <c r="AG1657" s="42">
        <f>IFERROR(LOOKUP(R1657,打分卡!$F$11:$J$11,打分卡!$K$11:$O$11),1)</f>
        <v>1</v>
      </c>
      <c r="AH1657" s="42">
        <f>IFERROR(LOOKUP(U1657,打分卡!$F$12:$J$12,打分卡!$K$12:$O$12),1)</f>
        <v>1</v>
      </c>
      <c r="AI1657" s="42">
        <f>IFERROR(LOOKUP(X1657,打分卡!$F$13:$J$13,打分卡!$K$13:$O$13),1)</f>
        <v>3</v>
      </c>
      <c r="AJ1657" s="42">
        <f>IFERROR(LOOKUP(Y1657,打分卡!$F$14:$J$14,打分卡!$K$14:$O$14),1)</f>
        <v>2</v>
      </c>
      <c r="AK1657" s="42">
        <f>IFERROR(LOOKUP(W1657,打分卡!$F$15:$J$15,打分卡!$K$15:$O$15),1)</f>
        <v>1</v>
      </c>
      <c r="AL1657" s="45">
        <f t="shared" si="201"/>
        <v>1</v>
      </c>
      <c r="AM1657" s="42">
        <f>IFERROR(LOOKUP(Z1657,打分卡!$F$17:$H$17,打分卡!$K$17:$M$17),1)</f>
        <v>1</v>
      </c>
      <c r="AN1657" s="46">
        <f>(打分卡!$D$7*AC1657+打分卡!$D$8*AD1657+打分卡!$D$9*AE1657)/5</f>
        <v>8</v>
      </c>
      <c r="AO1657" s="46">
        <f>(打分卡!$D$10*AF1657+打分卡!$D$11*AG1657)/5</f>
        <v>4</v>
      </c>
      <c r="AP1657" s="46">
        <f>(打分卡!$D$12*AH1657+打分卡!$D$13*AI1657+打分卡!$D$14*AJ1657+打分卡!$D$15*AK1657)/5</f>
        <v>10.4</v>
      </c>
      <c r="AQ1657" s="46">
        <f>(打分卡!$D$16*AL1657+打分卡!$D$17*AM1657)/5</f>
        <v>2</v>
      </c>
      <c r="AR1657" s="48">
        <f t="shared" si="202"/>
        <v>24.4</v>
      </c>
      <c r="AS1657" s="45" t="str">
        <f t="shared" si="203"/>
        <v>未激活</v>
      </c>
      <c r="AT1657" s="45" t="str">
        <f t="shared" si="204"/>
        <v>连续下降-预警</v>
      </c>
      <c r="AU1657" s="45" t="str">
        <f t="shared" si="205"/>
        <v>唤醒：短信模板+首充补贴</v>
      </c>
    </row>
    <row r="1658" ht="15" customHeight="1" spans="1:47">
      <c r="A1658" s="30" t="s">
        <v>4238</v>
      </c>
      <c r="B1658" s="31" t="s">
        <v>4239</v>
      </c>
      <c r="C1658" s="31" t="s">
        <v>239</v>
      </c>
      <c r="D1658" s="31" t="s">
        <v>202</v>
      </c>
      <c r="E1658" s="31" t="s">
        <v>197</v>
      </c>
      <c r="F1658" s="30" t="s">
        <v>2477</v>
      </c>
      <c r="G1658" s="31">
        <v>19</v>
      </c>
      <c r="H1658" s="31" t="s">
        <v>3535</v>
      </c>
      <c r="I1658" s="31" t="s">
        <v>302</v>
      </c>
      <c r="J1658" s="33">
        <v>0</v>
      </c>
      <c r="K1658" s="33">
        <v>0</v>
      </c>
      <c r="L1658" s="33">
        <v>0</v>
      </c>
      <c r="M1658" s="33">
        <f t="shared" si="200"/>
        <v>0</v>
      </c>
      <c r="N1658" s="34">
        <f t="shared" si="206"/>
        <v>0</v>
      </c>
      <c r="O1658" s="35">
        <f>SUM($M$2:M1658)</f>
        <v>190743600</v>
      </c>
      <c r="P1658" s="34">
        <f t="shared" si="207"/>
        <v>1</v>
      </c>
      <c r="Q1658" s="37">
        <v>0</v>
      </c>
      <c r="R1658" s="31">
        <v>0</v>
      </c>
      <c r="S1658" s="31">
        <v>0</v>
      </c>
      <c r="T1658" s="31">
        <v>0</v>
      </c>
      <c r="U1658" s="37">
        <v>2.3</v>
      </c>
      <c r="V1658" s="31">
        <v>4</v>
      </c>
      <c r="W1658" s="31">
        <v>2</v>
      </c>
      <c r="X1658" s="38">
        <v>28</v>
      </c>
      <c r="Y1658" s="31">
        <v>1</v>
      </c>
      <c r="Z1658" s="31">
        <v>0</v>
      </c>
      <c r="AA1658" s="31" t="s">
        <v>212</v>
      </c>
      <c r="AB1658" s="31" t="s">
        <v>220</v>
      </c>
      <c r="AC1658" s="41">
        <f>IFERROR(LOOKUP(M1658,打分卡!$F$7:$J$7,打分卡!$K$7:$O$7),1)</f>
        <v>1</v>
      </c>
      <c r="AD1658" s="41">
        <f>IFERROR(LOOKUP(S1658,打分卡!$F$8:$J$8,打分卡!$K$8:$O$8),1)</f>
        <v>1</v>
      </c>
      <c r="AE1658" s="41">
        <f>IFERROR(LOOKUP(T1658,打分卡!$F$9:$I$9,打分卡!$K$9:$N$9),1)</f>
        <v>1</v>
      </c>
      <c r="AF1658" s="41">
        <f>IFERROR(LOOKUP(Q1658,打分卡!$F$10:$J$10,打分卡!$K$10:$O$10),1)</f>
        <v>1</v>
      </c>
      <c r="AG1658" s="41">
        <f>IFERROR(LOOKUP(R1658,打分卡!$F$11:$J$11,打分卡!$K$11:$O$11),1)</f>
        <v>1</v>
      </c>
      <c r="AH1658" s="41">
        <f>IFERROR(LOOKUP(U1658,打分卡!$F$12:$J$12,打分卡!$K$12:$O$12),1)</f>
        <v>1</v>
      </c>
      <c r="AI1658" s="41">
        <f>IFERROR(LOOKUP(X1658,打分卡!$F$13:$J$13,打分卡!$K$13:$O$13),1)</f>
        <v>2</v>
      </c>
      <c r="AJ1658" s="41">
        <f>IFERROR(LOOKUP(Y1658,打分卡!$F$14:$J$14,打分卡!$K$14:$O$14),1)</f>
        <v>2</v>
      </c>
      <c r="AK1658" s="41">
        <f>IFERROR(LOOKUP(W1658,打分卡!$F$15:$J$15,打分卡!$K$15:$O$15),1)</f>
        <v>2</v>
      </c>
      <c r="AL1658" s="43">
        <f t="shared" si="201"/>
        <v>1</v>
      </c>
      <c r="AM1658" s="41">
        <f>IFERROR(LOOKUP(Z1658,打分卡!$F$17:$H$17,打分卡!$K$17:$M$17),1)</f>
        <v>1</v>
      </c>
      <c r="AN1658" s="44">
        <f>(打分卡!$D$7*AC1658+打分卡!$D$8*AD1658+打分卡!$D$9*AE1658)/5</f>
        <v>8</v>
      </c>
      <c r="AO1658" s="44">
        <f>(打分卡!$D$10*AF1658+打分卡!$D$11*AG1658)/5</f>
        <v>4</v>
      </c>
      <c r="AP1658" s="44">
        <f>(打分卡!$D$12*AH1658+打分卡!$D$13*AI1658+打分卡!$D$14*AJ1658+打分卡!$D$15*AK1658)/5</f>
        <v>9.6</v>
      </c>
      <c r="AQ1658" s="44">
        <f>(打分卡!$D$16*AL1658+打分卡!$D$17*AM1658)/5</f>
        <v>2</v>
      </c>
      <c r="AR1658" s="47">
        <f t="shared" si="202"/>
        <v>23.6</v>
      </c>
      <c r="AS1658" s="43" t="str">
        <f t="shared" si="203"/>
        <v>未激活</v>
      </c>
      <c r="AT1658" s="43" t="str">
        <f t="shared" si="204"/>
        <v>连续下降-预警</v>
      </c>
      <c r="AU1658" s="43" t="str">
        <f t="shared" si="205"/>
        <v>唤醒：短信模板+首充补贴</v>
      </c>
    </row>
    <row r="1659" ht="15" customHeight="1" spans="1:47">
      <c r="A1659" s="20" t="s">
        <v>4240</v>
      </c>
      <c r="B1659" s="22" t="s">
        <v>4241</v>
      </c>
      <c r="C1659" s="22" t="s">
        <v>223</v>
      </c>
      <c r="D1659" s="22" t="s">
        <v>202</v>
      </c>
      <c r="E1659" s="22" t="s">
        <v>181</v>
      </c>
      <c r="F1659" s="20" t="s">
        <v>920</v>
      </c>
      <c r="G1659" s="22">
        <v>24</v>
      </c>
      <c r="H1659" s="22" t="s">
        <v>3535</v>
      </c>
      <c r="I1659" s="22" t="s">
        <v>302</v>
      </c>
      <c r="J1659" s="36">
        <v>0</v>
      </c>
      <c r="K1659" s="36">
        <v>0</v>
      </c>
      <c r="L1659" s="36">
        <v>0</v>
      </c>
      <c r="M1659" s="36">
        <f t="shared" si="200"/>
        <v>0</v>
      </c>
      <c r="N1659" s="34">
        <f t="shared" si="206"/>
        <v>0</v>
      </c>
      <c r="O1659" s="35">
        <f>SUM($M$2:M1659)</f>
        <v>190743600</v>
      </c>
      <c r="P1659" s="34">
        <f t="shared" si="207"/>
        <v>1</v>
      </c>
      <c r="Q1659" s="39">
        <v>0</v>
      </c>
      <c r="R1659" s="22">
        <v>0</v>
      </c>
      <c r="S1659" s="22">
        <v>0</v>
      </c>
      <c r="T1659" s="22">
        <v>0</v>
      </c>
      <c r="U1659" s="39">
        <v>2.7</v>
      </c>
      <c r="V1659" s="22">
        <v>4</v>
      </c>
      <c r="W1659" s="22">
        <v>2</v>
      </c>
      <c r="X1659" s="40">
        <v>27</v>
      </c>
      <c r="Y1659" s="22">
        <v>0</v>
      </c>
      <c r="Z1659" s="22">
        <v>0</v>
      </c>
      <c r="AA1659" s="22" t="s">
        <v>212</v>
      </c>
      <c r="AB1659" s="22" t="s">
        <v>220</v>
      </c>
      <c r="AC1659" s="42">
        <f>IFERROR(LOOKUP(M1659,打分卡!$F$7:$J$7,打分卡!$K$7:$O$7),1)</f>
        <v>1</v>
      </c>
      <c r="AD1659" s="42">
        <f>IFERROR(LOOKUP(S1659,打分卡!$F$8:$J$8,打分卡!$K$8:$O$8),1)</f>
        <v>1</v>
      </c>
      <c r="AE1659" s="42">
        <f>IFERROR(LOOKUP(T1659,打分卡!$F$9:$I$9,打分卡!$K$9:$N$9),1)</f>
        <v>1</v>
      </c>
      <c r="AF1659" s="42">
        <f>IFERROR(LOOKUP(Q1659,打分卡!$F$10:$J$10,打分卡!$K$10:$O$10),1)</f>
        <v>1</v>
      </c>
      <c r="AG1659" s="42">
        <f>IFERROR(LOOKUP(R1659,打分卡!$F$11:$J$11,打分卡!$K$11:$O$11),1)</f>
        <v>1</v>
      </c>
      <c r="AH1659" s="42">
        <f>IFERROR(LOOKUP(U1659,打分卡!$F$12:$J$12,打分卡!$K$12:$O$12),1)</f>
        <v>1</v>
      </c>
      <c r="AI1659" s="42">
        <f>IFERROR(LOOKUP(X1659,打分卡!$F$13:$J$13,打分卡!$K$13:$O$13),1)</f>
        <v>2</v>
      </c>
      <c r="AJ1659" s="42">
        <f>IFERROR(LOOKUP(Y1659,打分卡!$F$14:$J$14,打分卡!$K$14:$O$14),1)</f>
        <v>1</v>
      </c>
      <c r="AK1659" s="42">
        <f>IFERROR(LOOKUP(W1659,打分卡!$F$15:$J$15,打分卡!$K$15:$O$15),1)</f>
        <v>2</v>
      </c>
      <c r="AL1659" s="45">
        <f t="shared" si="201"/>
        <v>1</v>
      </c>
      <c r="AM1659" s="42">
        <f>IFERROR(LOOKUP(Z1659,打分卡!$F$17:$H$17,打分卡!$K$17:$M$17),1)</f>
        <v>1</v>
      </c>
      <c r="AN1659" s="46">
        <f>(打分卡!$D$7*AC1659+打分卡!$D$8*AD1659+打分卡!$D$9*AE1659)/5</f>
        <v>8</v>
      </c>
      <c r="AO1659" s="46">
        <f>(打分卡!$D$10*AF1659+打分卡!$D$11*AG1659)/5</f>
        <v>4</v>
      </c>
      <c r="AP1659" s="46">
        <f>(打分卡!$D$12*AH1659+打分卡!$D$13*AI1659+打分卡!$D$14*AJ1659+打分卡!$D$15*AK1659)/5</f>
        <v>8.4</v>
      </c>
      <c r="AQ1659" s="46">
        <f>(打分卡!$D$16*AL1659+打分卡!$D$17*AM1659)/5</f>
        <v>2</v>
      </c>
      <c r="AR1659" s="48">
        <f t="shared" si="202"/>
        <v>22.4</v>
      </c>
      <c r="AS1659" s="45" t="str">
        <f t="shared" si="203"/>
        <v>未激活</v>
      </c>
      <c r="AT1659" s="45" t="str">
        <f t="shared" si="204"/>
        <v>连续下降-预警</v>
      </c>
      <c r="AU1659" s="45" t="str">
        <f t="shared" si="205"/>
        <v>唤醒：短信模板+首充补贴</v>
      </c>
    </row>
    <row r="1660" ht="15" customHeight="1" spans="1:47">
      <c r="A1660" s="30" t="s">
        <v>4242</v>
      </c>
      <c r="B1660" s="31" t="s">
        <v>4243</v>
      </c>
      <c r="C1660" s="31" t="s">
        <v>223</v>
      </c>
      <c r="D1660" s="31" t="s">
        <v>196</v>
      </c>
      <c r="E1660" s="31" t="s">
        <v>181</v>
      </c>
      <c r="F1660" s="30" t="s">
        <v>4244</v>
      </c>
      <c r="G1660" s="31">
        <v>15</v>
      </c>
      <c r="H1660" s="31" t="s">
        <v>3535</v>
      </c>
      <c r="I1660" s="31" t="s">
        <v>302</v>
      </c>
      <c r="J1660" s="33">
        <v>0</v>
      </c>
      <c r="K1660" s="33">
        <v>0</v>
      </c>
      <c r="L1660" s="33">
        <v>0</v>
      </c>
      <c r="M1660" s="33">
        <f t="shared" si="200"/>
        <v>0</v>
      </c>
      <c r="N1660" s="34">
        <f t="shared" si="206"/>
        <v>0</v>
      </c>
      <c r="O1660" s="35">
        <f>SUM($M$2:M1660)</f>
        <v>190743600</v>
      </c>
      <c r="P1660" s="34">
        <f t="shared" si="207"/>
        <v>1</v>
      </c>
      <c r="Q1660" s="37">
        <v>0</v>
      </c>
      <c r="R1660" s="31">
        <v>0</v>
      </c>
      <c r="S1660" s="31">
        <v>0</v>
      </c>
      <c r="T1660" s="31">
        <v>0</v>
      </c>
      <c r="U1660" s="37">
        <v>21.1</v>
      </c>
      <c r="V1660" s="31">
        <v>7</v>
      </c>
      <c r="W1660" s="31">
        <v>2</v>
      </c>
      <c r="X1660" s="38">
        <v>23</v>
      </c>
      <c r="Y1660" s="31">
        <v>1</v>
      </c>
      <c r="Z1660" s="31">
        <v>0</v>
      </c>
      <c r="AA1660" s="31" t="s">
        <v>212</v>
      </c>
      <c r="AB1660" s="31" t="s">
        <v>220</v>
      </c>
      <c r="AC1660" s="41">
        <f>IFERROR(LOOKUP(M1660,打分卡!$F$7:$J$7,打分卡!$K$7:$O$7),1)</f>
        <v>1</v>
      </c>
      <c r="AD1660" s="41">
        <f>IFERROR(LOOKUP(S1660,打分卡!$F$8:$J$8,打分卡!$K$8:$O$8),1)</f>
        <v>1</v>
      </c>
      <c r="AE1660" s="41">
        <f>IFERROR(LOOKUP(T1660,打分卡!$F$9:$I$9,打分卡!$K$9:$N$9),1)</f>
        <v>1</v>
      </c>
      <c r="AF1660" s="41">
        <f>IFERROR(LOOKUP(Q1660,打分卡!$F$10:$J$10,打分卡!$K$10:$O$10),1)</f>
        <v>1</v>
      </c>
      <c r="AG1660" s="41">
        <f>IFERROR(LOOKUP(R1660,打分卡!$F$11:$J$11,打分卡!$K$11:$O$11),1)</f>
        <v>1</v>
      </c>
      <c r="AH1660" s="41">
        <f>IFERROR(LOOKUP(U1660,打分卡!$F$12:$J$12,打分卡!$K$12:$O$12),1)</f>
        <v>3</v>
      </c>
      <c r="AI1660" s="41">
        <f>IFERROR(LOOKUP(X1660,打分卡!$F$13:$J$13,打分卡!$K$13:$O$13),1)</f>
        <v>2</v>
      </c>
      <c r="AJ1660" s="41">
        <f>IFERROR(LOOKUP(Y1660,打分卡!$F$14:$J$14,打分卡!$K$14:$O$14),1)</f>
        <v>2</v>
      </c>
      <c r="AK1660" s="41">
        <f>IFERROR(LOOKUP(W1660,打分卡!$F$15:$J$15,打分卡!$K$15:$O$15),1)</f>
        <v>2</v>
      </c>
      <c r="AL1660" s="43">
        <f t="shared" si="201"/>
        <v>1</v>
      </c>
      <c r="AM1660" s="41">
        <f>IFERROR(LOOKUP(Z1660,打分卡!$F$17:$H$17,打分卡!$K$17:$M$17),1)</f>
        <v>1</v>
      </c>
      <c r="AN1660" s="44">
        <f>(打分卡!$D$7*AC1660+打分卡!$D$8*AD1660+打分卡!$D$9*AE1660)/5</f>
        <v>8</v>
      </c>
      <c r="AO1660" s="44">
        <f>(打分卡!$D$10*AF1660+打分卡!$D$11*AG1660)/5</f>
        <v>4</v>
      </c>
      <c r="AP1660" s="44">
        <f>(打分卡!$D$12*AH1660+打分卡!$D$13*AI1660+打分卡!$D$14*AJ1660+打分卡!$D$15*AK1660)/5</f>
        <v>14.4</v>
      </c>
      <c r="AQ1660" s="44">
        <f>(打分卡!$D$16*AL1660+打分卡!$D$17*AM1660)/5</f>
        <v>2</v>
      </c>
      <c r="AR1660" s="47">
        <f t="shared" si="202"/>
        <v>28.4</v>
      </c>
      <c r="AS1660" s="43" t="str">
        <f t="shared" si="203"/>
        <v>未激活</v>
      </c>
      <c r="AT1660" s="43" t="str">
        <f t="shared" si="204"/>
        <v>连续下降-预警</v>
      </c>
      <c r="AU1660" s="43" t="str">
        <f t="shared" si="205"/>
        <v>唤醒：短信模板+首充补贴</v>
      </c>
    </row>
    <row r="1661" ht="15" customHeight="1" spans="1:47">
      <c r="A1661" s="20" t="s">
        <v>4245</v>
      </c>
      <c r="B1661" s="22" t="s">
        <v>4246</v>
      </c>
      <c r="C1661" s="22" t="s">
        <v>223</v>
      </c>
      <c r="D1661" s="22" t="s">
        <v>202</v>
      </c>
      <c r="E1661" s="22" t="s">
        <v>181</v>
      </c>
      <c r="F1661" s="20" t="s">
        <v>1370</v>
      </c>
      <c r="G1661" s="22">
        <v>17</v>
      </c>
      <c r="H1661" s="22" t="s">
        <v>3535</v>
      </c>
      <c r="I1661" s="22" t="s">
        <v>302</v>
      </c>
      <c r="J1661" s="36">
        <v>0</v>
      </c>
      <c r="K1661" s="36">
        <v>0</v>
      </c>
      <c r="L1661" s="36">
        <v>0</v>
      </c>
      <c r="M1661" s="36">
        <f t="shared" si="200"/>
        <v>0</v>
      </c>
      <c r="N1661" s="34">
        <f t="shared" si="206"/>
        <v>0</v>
      </c>
      <c r="O1661" s="35">
        <f>SUM($M$2:M1661)</f>
        <v>190743600</v>
      </c>
      <c r="P1661" s="34">
        <f t="shared" si="207"/>
        <v>1</v>
      </c>
      <c r="Q1661" s="39">
        <v>0</v>
      </c>
      <c r="R1661" s="22">
        <v>0</v>
      </c>
      <c r="S1661" s="22">
        <v>0</v>
      </c>
      <c r="T1661" s="22">
        <v>0</v>
      </c>
      <c r="U1661" s="39">
        <v>1.5</v>
      </c>
      <c r="V1661" s="22">
        <v>0</v>
      </c>
      <c r="W1661" s="22">
        <v>1</v>
      </c>
      <c r="X1661" s="40">
        <v>6</v>
      </c>
      <c r="Y1661" s="22">
        <v>0</v>
      </c>
      <c r="Z1661" s="22">
        <v>0</v>
      </c>
      <c r="AA1661" s="22" t="s">
        <v>212</v>
      </c>
      <c r="AB1661" s="22" t="s">
        <v>220</v>
      </c>
      <c r="AC1661" s="42">
        <f>IFERROR(LOOKUP(M1661,打分卡!$F$7:$J$7,打分卡!$K$7:$O$7),1)</f>
        <v>1</v>
      </c>
      <c r="AD1661" s="42">
        <f>IFERROR(LOOKUP(S1661,打分卡!$F$8:$J$8,打分卡!$K$8:$O$8),1)</f>
        <v>1</v>
      </c>
      <c r="AE1661" s="42">
        <f>IFERROR(LOOKUP(T1661,打分卡!$F$9:$I$9,打分卡!$K$9:$N$9),1)</f>
        <v>1</v>
      </c>
      <c r="AF1661" s="42">
        <f>IFERROR(LOOKUP(Q1661,打分卡!$F$10:$J$10,打分卡!$K$10:$O$10),1)</f>
        <v>1</v>
      </c>
      <c r="AG1661" s="42">
        <f>IFERROR(LOOKUP(R1661,打分卡!$F$11:$J$11,打分卡!$K$11:$O$11),1)</f>
        <v>1</v>
      </c>
      <c r="AH1661" s="42">
        <f>IFERROR(LOOKUP(U1661,打分卡!$F$12:$J$12,打分卡!$K$12:$O$12),1)</f>
        <v>1</v>
      </c>
      <c r="AI1661" s="42">
        <f>IFERROR(LOOKUP(X1661,打分卡!$F$13:$J$13,打分卡!$K$13:$O$13),1)</f>
        <v>1</v>
      </c>
      <c r="AJ1661" s="42">
        <f>IFERROR(LOOKUP(Y1661,打分卡!$F$14:$J$14,打分卡!$K$14:$O$14),1)</f>
        <v>1</v>
      </c>
      <c r="AK1661" s="42">
        <f>IFERROR(LOOKUP(W1661,打分卡!$F$15:$J$15,打分卡!$K$15:$O$15),1)</f>
        <v>2</v>
      </c>
      <c r="AL1661" s="45">
        <f t="shared" si="201"/>
        <v>1</v>
      </c>
      <c r="AM1661" s="42">
        <f>IFERROR(LOOKUP(Z1661,打分卡!$F$17:$H$17,打分卡!$K$17:$M$17),1)</f>
        <v>1</v>
      </c>
      <c r="AN1661" s="46">
        <f>(打分卡!$D$7*AC1661+打分卡!$D$8*AD1661+打分卡!$D$9*AE1661)/5</f>
        <v>8</v>
      </c>
      <c r="AO1661" s="46">
        <f>(打分卡!$D$10*AF1661+打分卡!$D$11*AG1661)/5</f>
        <v>4</v>
      </c>
      <c r="AP1661" s="46">
        <f>(打分卡!$D$12*AH1661+打分卡!$D$13*AI1661+打分卡!$D$14*AJ1661+打分卡!$D$15*AK1661)/5</f>
        <v>6.8</v>
      </c>
      <c r="AQ1661" s="46">
        <f>(打分卡!$D$16*AL1661+打分卡!$D$17*AM1661)/5</f>
        <v>2</v>
      </c>
      <c r="AR1661" s="48">
        <f t="shared" si="202"/>
        <v>20.8</v>
      </c>
      <c r="AS1661" s="45" t="str">
        <f t="shared" si="203"/>
        <v>未激活</v>
      </c>
      <c r="AT1661" s="45" t="str">
        <f t="shared" si="204"/>
        <v>连续下降-预警</v>
      </c>
      <c r="AU1661" s="45" t="str">
        <f t="shared" si="205"/>
        <v>唤醒：短信模板+首充补贴</v>
      </c>
    </row>
    <row r="1662" ht="15" customHeight="1" spans="1:47">
      <c r="A1662" s="30" t="s">
        <v>4247</v>
      </c>
      <c r="B1662" s="31" t="s">
        <v>4248</v>
      </c>
      <c r="C1662" s="31" t="s">
        <v>209</v>
      </c>
      <c r="D1662" s="31" t="s">
        <v>196</v>
      </c>
      <c r="E1662" s="31" t="s">
        <v>197</v>
      </c>
      <c r="F1662" s="30" t="s">
        <v>3245</v>
      </c>
      <c r="G1662" s="31">
        <v>1</v>
      </c>
      <c r="H1662" s="31" t="s">
        <v>642</v>
      </c>
      <c r="I1662" s="31" t="s">
        <v>302</v>
      </c>
      <c r="J1662" s="33">
        <v>0</v>
      </c>
      <c r="K1662" s="33">
        <v>0</v>
      </c>
      <c r="L1662" s="33">
        <v>0</v>
      </c>
      <c r="M1662" s="33">
        <f t="shared" si="200"/>
        <v>0</v>
      </c>
      <c r="N1662" s="34">
        <f t="shared" si="206"/>
        <v>0</v>
      </c>
      <c r="O1662" s="35">
        <f>SUM($M$2:M1662)</f>
        <v>190743600</v>
      </c>
      <c r="P1662" s="34">
        <f t="shared" si="207"/>
        <v>1</v>
      </c>
      <c r="Q1662" s="37">
        <v>0</v>
      </c>
      <c r="R1662" s="31">
        <v>0</v>
      </c>
      <c r="S1662" s="31">
        <v>0</v>
      </c>
      <c r="T1662" s="31">
        <v>0</v>
      </c>
      <c r="U1662" s="37">
        <v>650</v>
      </c>
      <c r="V1662" s="31">
        <v>11</v>
      </c>
      <c r="W1662" s="31">
        <v>8</v>
      </c>
      <c r="X1662" s="38">
        <v>503</v>
      </c>
      <c r="Y1662" s="31">
        <v>3</v>
      </c>
      <c r="Z1662" s="31">
        <v>0</v>
      </c>
      <c r="AA1662" s="31" t="s">
        <v>199</v>
      </c>
      <c r="AB1662" s="31" t="s">
        <v>220</v>
      </c>
      <c r="AC1662" s="41">
        <f>IFERROR(LOOKUP(M1662,打分卡!$F$7:$J$7,打分卡!$K$7:$O$7),1)</f>
        <v>1</v>
      </c>
      <c r="AD1662" s="41">
        <f>IFERROR(LOOKUP(S1662,打分卡!$F$8:$J$8,打分卡!$K$8:$O$8),1)</f>
        <v>1</v>
      </c>
      <c r="AE1662" s="41">
        <f>IFERROR(LOOKUP(T1662,打分卡!$F$9:$I$9,打分卡!$K$9:$N$9),1)</f>
        <v>1</v>
      </c>
      <c r="AF1662" s="41">
        <f>IFERROR(LOOKUP(Q1662,打分卡!$F$10:$J$10,打分卡!$K$10:$O$10),1)</f>
        <v>1</v>
      </c>
      <c r="AG1662" s="41">
        <f>IFERROR(LOOKUP(R1662,打分卡!$F$11:$J$11,打分卡!$K$11:$O$11),1)</f>
        <v>1</v>
      </c>
      <c r="AH1662" s="41">
        <f>IFERROR(LOOKUP(U1662,打分卡!$F$12:$J$12,打分卡!$K$12:$O$12),1)</f>
        <v>5</v>
      </c>
      <c r="AI1662" s="41">
        <f>IFERROR(LOOKUP(X1662,打分卡!$F$13:$J$13,打分卡!$K$13:$O$13),1)</f>
        <v>5</v>
      </c>
      <c r="AJ1662" s="41">
        <f>IFERROR(LOOKUP(Y1662,打分卡!$F$14:$J$14,打分卡!$K$14:$O$14),1)</f>
        <v>4</v>
      </c>
      <c r="AK1662" s="41">
        <f>IFERROR(LOOKUP(W1662,打分卡!$F$15:$J$15,打分卡!$K$15:$O$15),1)</f>
        <v>4</v>
      </c>
      <c r="AL1662" s="43">
        <f t="shared" si="201"/>
        <v>5</v>
      </c>
      <c r="AM1662" s="41">
        <f>IFERROR(LOOKUP(Z1662,打分卡!$F$17:$H$17,打分卡!$K$17:$M$17),1)</f>
        <v>1</v>
      </c>
      <c r="AN1662" s="44">
        <f>(打分卡!$D$7*AC1662+打分卡!$D$8*AD1662+打分卡!$D$9*AE1662)/5</f>
        <v>8</v>
      </c>
      <c r="AO1662" s="44">
        <f>(打分卡!$D$10*AF1662+打分卡!$D$11*AG1662)/5</f>
        <v>4</v>
      </c>
      <c r="AP1662" s="44">
        <f>(打分卡!$D$12*AH1662+打分卡!$D$13*AI1662+打分卡!$D$14*AJ1662+打分卡!$D$15*AK1662)/5</f>
        <v>28</v>
      </c>
      <c r="AQ1662" s="44">
        <f>(打分卡!$D$16*AL1662+打分卡!$D$17*AM1662)/5</f>
        <v>6.8</v>
      </c>
      <c r="AR1662" s="47">
        <f t="shared" si="202"/>
        <v>76.1333333333333</v>
      </c>
      <c r="AS1662" s="43" t="str">
        <f t="shared" si="203"/>
        <v>新客观察期</v>
      </c>
      <c r="AT1662" s="43" t="str">
        <f t="shared" si="204"/>
        <v/>
      </c>
      <c r="AU1662" s="43" t="str">
        <f t="shared" si="205"/>
        <v>培育：入门包+1v1场景教育</v>
      </c>
    </row>
    <row r="1663" ht="15" customHeight="1" spans="1:47">
      <c r="A1663" s="20" t="s">
        <v>4249</v>
      </c>
      <c r="B1663" s="22" t="s">
        <v>4250</v>
      </c>
      <c r="C1663" s="22" t="s">
        <v>189</v>
      </c>
      <c r="D1663" s="22" t="s">
        <v>202</v>
      </c>
      <c r="E1663" s="22" t="s">
        <v>181</v>
      </c>
      <c r="F1663" s="20" t="s">
        <v>1178</v>
      </c>
      <c r="G1663" s="22">
        <v>23</v>
      </c>
      <c r="H1663" s="22" t="s">
        <v>3535</v>
      </c>
      <c r="I1663" s="22" t="s">
        <v>302</v>
      </c>
      <c r="J1663" s="36">
        <v>0</v>
      </c>
      <c r="K1663" s="36">
        <v>0</v>
      </c>
      <c r="L1663" s="36">
        <v>0</v>
      </c>
      <c r="M1663" s="36">
        <f t="shared" si="200"/>
        <v>0</v>
      </c>
      <c r="N1663" s="34">
        <f t="shared" si="206"/>
        <v>0</v>
      </c>
      <c r="O1663" s="35">
        <f>SUM($M$2:M1663)</f>
        <v>190743600</v>
      </c>
      <c r="P1663" s="34">
        <f t="shared" si="207"/>
        <v>1</v>
      </c>
      <c r="Q1663" s="39">
        <v>0</v>
      </c>
      <c r="R1663" s="22">
        <v>0</v>
      </c>
      <c r="S1663" s="22">
        <v>0</v>
      </c>
      <c r="T1663" s="22">
        <v>0</v>
      </c>
      <c r="U1663" s="39">
        <v>13.7</v>
      </c>
      <c r="V1663" s="22">
        <v>8</v>
      </c>
      <c r="W1663" s="22">
        <v>1</v>
      </c>
      <c r="X1663" s="40">
        <v>5</v>
      </c>
      <c r="Y1663" s="22">
        <v>1</v>
      </c>
      <c r="Z1663" s="22">
        <v>0</v>
      </c>
      <c r="AA1663" s="22" t="s">
        <v>212</v>
      </c>
      <c r="AB1663" s="22" t="s">
        <v>220</v>
      </c>
      <c r="AC1663" s="42">
        <f>IFERROR(LOOKUP(M1663,打分卡!$F$7:$J$7,打分卡!$K$7:$O$7),1)</f>
        <v>1</v>
      </c>
      <c r="AD1663" s="42">
        <f>IFERROR(LOOKUP(S1663,打分卡!$F$8:$J$8,打分卡!$K$8:$O$8),1)</f>
        <v>1</v>
      </c>
      <c r="AE1663" s="42">
        <f>IFERROR(LOOKUP(T1663,打分卡!$F$9:$I$9,打分卡!$K$9:$N$9),1)</f>
        <v>1</v>
      </c>
      <c r="AF1663" s="42">
        <f>IFERROR(LOOKUP(Q1663,打分卡!$F$10:$J$10,打分卡!$K$10:$O$10),1)</f>
        <v>1</v>
      </c>
      <c r="AG1663" s="42">
        <f>IFERROR(LOOKUP(R1663,打分卡!$F$11:$J$11,打分卡!$K$11:$O$11),1)</f>
        <v>1</v>
      </c>
      <c r="AH1663" s="42">
        <f>IFERROR(LOOKUP(U1663,打分卡!$F$12:$J$12,打分卡!$K$12:$O$12),1)</f>
        <v>3</v>
      </c>
      <c r="AI1663" s="42">
        <f>IFERROR(LOOKUP(X1663,打分卡!$F$13:$J$13,打分卡!$K$13:$O$13),1)</f>
        <v>1</v>
      </c>
      <c r="AJ1663" s="42">
        <f>IFERROR(LOOKUP(Y1663,打分卡!$F$14:$J$14,打分卡!$K$14:$O$14),1)</f>
        <v>2</v>
      </c>
      <c r="AK1663" s="42">
        <f>IFERROR(LOOKUP(W1663,打分卡!$F$15:$J$15,打分卡!$K$15:$O$15),1)</f>
        <v>2</v>
      </c>
      <c r="AL1663" s="45">
        <f t="shared" si="201"/>
        <v>1</v>
      </c>
      <c r="AM1663" s="42">
        <f>IFERROR(LOOKUP(Z1663,打分卡!$F$17:$H$17,打分卡!$K$17:$M$17),1)</f>
        <v>1</v>
      </c>
      <c r="AN1663" s="46">
        <f>(打分卡!$D$7*AC1663+打分卡!$D$8*AD1663+打分卡!$D$9*AE1663)/5</f>
        <v>8</v>
      </c>
      <c r="AO1663" s="46">
        <f>(打分卡!$D$10*AF1663+打分卡!$D$11*AG1663)/5</f>
        <v>4</v>
      </c>
      <c r="AP1663" s="46">
        <f>(打分卡!$D$12*AH1663+打分卡!$D$13*AI1663+打分卡!$D$14*AJ1663+打分卡!$D$15*AK1663)/5</f>
        <v>12.8</v>
      </c>
      <c r="AQ1663" s="46">
        <f>(打分卡!$D$16*AL1663+打分卡!$D$17*AM1663)/5</f>
        <v>2</v>
      </c>
      <c r="AR1663" s="48">
        <f t="shared" si="202"/>
        <v>26.8</v>
      </c>
      <c r="AS1663" s="45" t="str">
        <f t="shared" si="203"/>
        <v>未激活</v>
      </c>
      <c r="AT1663" s="45" t="str">
        <f t="shared" si="204"/>
        <v>连续下降-预警</v>
      </c>
      <c r="AU1663" s="45" t="str">
        <f t="shared" si="205"/>
        <v>唤醒：短信模板+首充补贴</v>
      </c>
    </row>
    <row r="1664" ht="15" customHeight="1" spans="1:47">
      <c r="A1664" s="30" t="s">
        <v>4251</v>
      </c>
      <c r="B1664" s="31" t="s">
        <v>4252</v>
      </c>
      <c r="C1664" s="31" t="s">
        <v>234</v>
      </c>
      <c r="D1664" s="31" t="s">
        <v>196</v>
      </c>
      <c r="E1664" s="31" t="s">
        <v>181</v>
      </c>
      <c r="F1664" s="30" t="s">
        <v>1652</v>
      </c>
      <c r="G1664" s="31">
        <v>23</v>
      </c>
      <c r="H1664" s="31" t="s">
        <v>3535</v>
      </c>
      <c r="I1664" s="31" t="s">
        <v>302</v>
      </c>
      <c r="J1664" s="33">
        <v>0</v>
      </c>
      <c r="K1664" s="33">
        <v>0</v>
      </c>
      <c r="L1664" s="33">
        <v>0</v>
      </c>
      <c r="M1664" s="33">
        <f t="shared" si="200"/>
        <v>0</v>
      </c>
      <c r="N1664" s="34">
        <f t="shared" si="206"/>
        <v>0</v>
      </c>
      <c r="O1664" s="35">
        <f>SUM($M$2:M1664)</f>
        <v>190743600</v>
      </c>
      <c r="P1664" s="34">
        <f t="shared" si="207"/>
        <v>1</v>
      </c>
      <c r="Q1664" s="37">
        <v>0</v>
      </c>
      <c r="R1664" s="31">
        <v>0</v>
      </c>
      <c r="S1664" s="31">
        <v>0</v>
      </c>
      <c r="T1664" s="31">
        <v>0</v>
      </c>
      <c r="U1664" s="37">
        <v>0.6</v>
      </c>
      <c r="V1664" s="31">
        <v>2</v>
      </c>
      <c r="W1664" s="31">
        <v>2</v>
      </c>
      <c r="X1664" s="38">
        <v>38</v>
      </c>
      <c r="Y1664" s="31">
        <v>1</v>
      </c>
      <c r="Z1664" s="31">
        <v>0</v>
      </c>
      <c r="AA1664" s="31" t="s">
        <v>212</v>
      </c>
      <c r="AB1664" s="31" t="s">
        <v>220</v>
      </c>
      <c r="AC1664" s="41">
        <f>IFERROR(LOOKUP(M1664,打分卡!$F$7:$J$7,打分卡!$K$7:$O$7),1)</f>
        <v>1</v>
      </c>
      <c r="AD1664" s="41">
        <f>IFERROR(LOOKUP(S1664,打分卡!$F$8:$J$8,打分卡!$K$8:$O$8),1)</f>
        <v>1</v>
      </c>
      <c r="AE1664" s="41">
        <f>IFERROR(LOOKUP(T1664,打分卡!$F$9:$I$9,打分卡!$K$9:$N$9),1)</f>
        <v>1</v>
      </c>
      <c r="AF1664" s="41">
        <f>IFERROR(LOOKUP(Q1664,打分卡!$F$10:$J$10,打分卡!$K$10:$O$10),1)</f>
        <v>1</v>
      </c>
      <c r="AG1664" s="41">
        <f>IFERROR(LOOKUP(R1664,打分卡!$F$11:$J$11,打分卡!$K$11:$O$11),1)</f>
        <v>1</v>
      </c>
      <c r="AH1664" s="41">
        <f>IFERROR(LOOKUP(U1664,打分卡!$F$12:$J$12,打分卡!$K$12:$O$12),1)</f>
        <v>1</v>
      </c>
      <c r="AI1664" s="41">
        <f>IFERROR(LOOKUP(X1664,打分卡!$F$13:$J$13,打分卡!$K$13:$O$13),1)</f>
        <v>2</v>
      </c>
      <c r="AJ1664" s="41">
        <f>IFERROR(LOOKUP(Y1664,打分卡!$F$14:$J$14,打分卡!$K$14:$O$14),1)</f>
        <v>2</v>
      </c>
      <c r="AK1664" s="41">
        <f>IFERROR(LOOKUP(W1664,打分卡!$F$15:$J$15,打分卡!$K$15:$O$15),1)</f>
        <v>2</v>
      </c>
      <c r="AL1664" s="43">
        <f t="shared" si="201"/>
        <v>1</v>
      </c>
      <c r="AM1664" s="41">
        <f>IFERROR(LOOKUP(Z1664,打分卡!$F$17:$H$17,打分卡!$K$17:$M$17),1)</f>
        <v>1</v>
      </c>
      <c r="AN1664" s="44">
        <f>(打分卡!$D$7*AC1664+打分卡!$D$8*AD1664+打分卡!$D$9*AE1664)/5</f>
        <v>8</v>
      </c>
      <c r="AO1664" s="44">
        <f>(打分卡!$D$10*AF1664+打分卡!$D$11*AG1664)/5</f>
        <v>4</v>
      </c>
      <c r="AP1664" s="44">
        <f>(打分卡!$D$12*AH1664+打分卡!$D$13*AI1664+打分卡!$D$14*AJ1664+打分卡!$D$15*AK1664)/5</f>
        <v>9.6</v>
      </c>
      <c r="AQ1664" s="44">
        <f>(打分卡!$D$16*AL1664+打分卡!$D$17*AM1664)/5</f>
        <v>2</v>
      </c>
      <c r="AR1664" s="47">
        <f t="shared" si="202"/>
        <v>23.6</v>
      </c>
      <c r="AS1664" s="43" t="str">
        <f t="shared" si="203"/>
        <v>未激活</v>
      </c>
      <c r="AT1664" s="43" t="str">
        <f t="shared" si="204"/>
        <v>连续下降-预警</v>
      </c>
      <c r="AU1664" s="43" t="str">
        <f t="shared" si="205"/>
        <v>唤醒：短信模板+首充补贴</v>
      </c>
    </row>
    <row r="1665" ht="15" customHeight="1" spans="1:47">
      <c r="A1665" s="20" t="s">
        <v>4253</v>
      </c>
      <c r="B1665" s="22" t="s">
        <v>4254</v>
      </c>
      <c r="C1665" s="22" t="s">
        <v>189</v>
      </c>
      <c r="D1665" s="22" t="s">
        <v>202</v>
      </c>
      <c r="E1665" s="22" t="s">
        <v>181</v>
      </c>
      <c r="F1665" s="20" t="s">
        <v>3689</v>
      </c>
      <c r="G1665" s="22">
        <v>36</v>
      </c>
      <c r="H1665" s="22" t="s">
        <v>3535</v>
      </c>
      <c r="I1665" s="22" t="s">
        <v>302</v>
      </c>
      <c r="J1665" s="36">
        <v>0</v>
      </c>
      <c r="K1665" s="36">
        <v>0</v>
      </c>
      <c r="L1665" s="36">
        <v>0</v>
      </c>
      <c r="M1665" s="36">
        <f t="shared" si="200"/>
        <v>0</v>
      </c>
      <c r="N1665" s="34">
        <f t="shared" si="206"/>
        <v>0</v>
      </c>
      <c r="O1665" s="35">
        <f>SUM($M$2:M1665)</f>
        <v>190743600</v>
      </c>
      <c r="P1665" s="34">
        <f t="shared" si="207"/>
        <v>1</v>
      </c>
      <c r="Q1665" s="39">
        <v>0</v>
      </c>
      <c r="R1665" s="22">
        <v>0</v>
      </c>
      <c r="S1665" s="22">
        <v>0</v>
      </c>
      <c r="T1665" s="22">
        <v>0</v>
      </c>
      <c r="U1665" s="39">
        <v>9.5</v>
      </c>
      <c r="V1665" s="22">
        <v>2</v>
      </c>
      <c r="W1665" s="22">
        <v>0</v>
      </c>
      <c r="X1665" s="40">
        <v>78</v>
      </c>
      <c r="Y1665" s="22">
        <v>1</v>
      </c>
      <c r="Z1665" s="22">
        <v>0</v>
      </c>
      <c r="AA1665" s="22" t="s">
        <v>212</v>
      </c>
      <c r="AB1665" s="22" t="s">
        <v>220</v>
      </c>
      <c r="AC1665" s="42">
        <f>IFERROR(LOOKUP(M1665,打分卡!$F$7:$J$7,打分卡!$K$7:$O$7),1)</f>
        <v>1</v>
      </c>
      <c r="AD1665" s="42">
        <f>IFERROR(LOOKUP(S1665,打分卡!$F$8:$J$8,打分卡!$K$8:$O$8),1)</f>
        <v>1</v>
      </c>
      <c r="AE1665" s="42">
        <f>IFERROR(LOOKUP(T1665,打分卡!$F$9:$I$9,打分卡!$K$9:$N$9),1)</f>
        <v>1</v>
      </c>
      <c r="AF1665" s="42">
        <f>IFERROR(LOOKUP(Q1665,打分卡!$F$10:$J$10,打分卡!$K$10:$O$10),1)</f>
        <v>1</v>
      </c>
      <c r="AG1665" s="42">
        <f>IFERROR(LOOKUP(R1665,打分卡!$F$11:$J$11,打分卡!$K$11:$O$11),1)</f>
        <v>1</v>
      </c>
      <c r="AH1665" s="42">
        <f>IFERROR(LOOKUP(U1665,打分卡!$F$12:$J$12,打分卡!$K$12:$O$12),1)</f>
        <v>2</v>
      </c>
      <c r="AI1665" s="42">
        <f>IFERROR(LOOKUP(X1665,打分卡!$F$13:$J$13,打分卡!$K$13:$O$13),1)</f>
        <v>3</v>
      </c>
      <c r="AJ1665" s="42">
        <f>IFERROR(LOOKUP(Y1665,打分卡!$F$14:$J$14,打分卡!$K$14:$O$14),1)</f>
        <v>2</v>
      </c>
      <c r="AK1665" s="42">
        <f>IFERROR(LOOKUP(W1665,打分卡!$F$15:$J$15,打分卡!$K$15:$O$15),1)</f>
        <v>1</v>
      </c>
      <c r="AL1665" s="45">
        <f t="shared" si="201"/>
        <v>1</v>
      </c>
      <c r="AM1665" s="42">
        <f>IFERROR(LOOKUP(Z1665,打分卡!$F$17:$H$17,打分卡!$K$17:$M$17),1)</f>
        <v>1</v>
      </c>
      <c r="AN1665" s="46">
        <f>(打分卡!$D$7*AC1665+打分卡!$D$8*AD1665+打分卡!$D$9*AE1665)/5</f>
        <v>8</v>
      </c>
      <c r="AO1665" s="46">
        <f>(打分卡!$D$10*AF1665+打分卡!$D$11*AG1665)/5</f>
        <v>4</v>
      </c>
      <c r="AP1665" s="46">
        <f>(打分卡!$D$12*AH1665+打分卡!$D$13*AI1665+打分卡!$D$14*AJ1665+打分卡!$D$15*AK1665)/5</f>
        <v>12.8</v>
      </c>
      <c r="AQ1665" s="46">
        <f>(打分卡!$D$16*AL1665+打分卡!$D$17*AM1665)/5</f>
        <v>2</v>
      </c>
      <c r="AR1665" s="48">
        <f t="shared" si="202"/>
        <v>26.8</v>
      </c>
      <c r="AS1665" s="45" t="str">
        <f t="shared" si="203"/>
        <v>未激活</v>
      </c>
      <c r="AT1665" s="45" t="str">
        <f t="shared" si="204"/>
        <v>连续下降-预警</v>
      </c>
      <c r="AU1665" s="45" t="str">
        <f t="shared" si="205"/>
        <v>唤醒：短信模板+首充补贴</v>
      </c>
    </row>
    <row r="1666" ht="15" customHeight="1" spans="1:47">
      <c r="A1666" s="30" t="s">
        <v>4255</v>
      </c>
      <c r="B1666" s="31" t="s">
        <v>4256</v>
      </c>
      <c r="C1666" s="31" t="s">
        <v>179</v>
      </c>
      <c r="D1666" s="31" t="s">
        <v>190</v>
      </c>
      <c r="E1666" s="31" t="s">
        <v>197</v>
      </c>
      <c r="F1666" s="30" t="s">
        <v>256</v>
      </c>
      <c r="G1666" s="31">
        <v>35</v>
      </c>
      <c r="H1666" s="31" t="s">
        <v>3535</v>
      </c>
      <c r="I1666" s="31" t="s">
        <v>302</v>
      </c>
      <c r="J1666" s="33">
        <v>0</v>
      </c>
      <c r="K1666" s="33">
        <v>0</v>
      </c>
      <c r="L1666" s="33">
        <v>0</v>
      </c>
      <c r="M1666" s="33">
        <f t="shared" ref="M1666:M1729" si="208">SUM(J1666:L1666)</f>
        <v>0</v>
      </c>
      <c r="N1666" s="34">
        <f t="shared" si="206"/>
        <v>0</v>
      </c>
      <c r="O1666" s="35">
        <f>SUM($M$2:M1666)</f>
        <v>190743600</v>
      </c>
      <c r="P1666" s="34">
        <f t="shared" si="207"/>
        <v>1</v>
      </c>
      <c r="Q1666" s="37">
        <v>0</v>
      </c>
      <c r="R1666" s="31">
        <v>0</v>
      </c>
      <c r="S1666" s="31">
        <v>0</v>
      </c>
      <c r="T1666" s="31">
        <v>0</v>
      </c>
      <c r="U1666" s="37">
        <v>16.1</v>
      </c>
      <c r="V1666" s="31">
        <v>15</v>
      </c>
      <c r="W1666" s="31">
        <v>2</v>
      </c>
      <c r="X1666" s="38">
        <v>50</v>
      </c>
      <c r="Y1666" s="31">
        <v>1</v>
      </c>
      <c r="Z1666" s="31">
        <v>0</v>
      </c>
      <c r="AA1666" s="31" t="s">
        <v>212</v>
      </c>
      <c r="AB1666" s="31" t="s">
        <v>220</v>
      </c>
      <c r="AC1666" s="41">
        <f>IFERROR(LOOKUP(M1666,打分卡!$F$7:$J$7,打分卡!$K$7:$O$7),1)</f>
        <v>1</v>
      </c>
      <c r="AD1666" s="41">
        <f>IFERROR(LOOKUP(S1666,打分卡!$F$8:$J$8,打分卡!$K$8:$O$8),1)</f>
        <v>1</v>
      </c>
      <c r="AE1666" s="41">
        <f>IFERROR(LOOKUP(T1666,打分卡!$F$9:$I$9,打分卡!$K$9:$N$9),1)</f>
        <v>1</v>
      </c>
      <c r="AF1666" s="41">
        <f>IFERROR(LOOKUP(Q1666,打分卡!$F$10:$J$10,打分卡!$K$10:$O$10),1)</f>
        <v>1</v>
      </c>
      <c r="AG1666" s="41">
        <f>IFERROR(LOOKUP(R1666,打分卡!$F$11:$J$11,打分卡!$K$11:$O$11),1)</f>
        <v>1</v>
      </c>
      <c r="AH1666" s="41">
        <f>IFERROR(LOOKUP(U1666,打分卡!$F$12:$J$12,打分卡!$K$12:$O$12),1)</f>
        <v>3</v>
      </c>
      <c r="AI1666" s="41">
        <f>IFERROR(LOOKUP(X1666,打分卡!$F$13:$J$13,打分卡!$K$13:$O$13),1)</f>
        <v>3</v>
      </c>
      <c r="AJ1666" s="41">
        <f>IFERROR(LOOKUP(Y1666,打分卡!$F$14:$J$14,打分卡!$K$14:$O$14),1)</f>
        <v>2</v>
      </c>
      <c r="AK1666" s="41">
        <f>IFERROR(LOOKUP(W1666,打分卡!$F$15:$J$15,打分卡!$K$15:$O$15),1)</f>
        <v>2</v>
      </c>
      <c r="AL1666" s="43">
        <f t="shared" ref="AL1666:AL1729" si="209">IF(AA1666="连续下降",1,IF(AA1666="下降",2,IF(AA1666="上升",5,3)))</f>
        <v>1</v>
      </c>
      <c r="AM1666" s="41">
        <f>IFERROR(LOOKUP(Z1666,打分卡!$F$17:$H$17,打分卡!$K$17:$M$17),1)</f>
        <v>1</v>
      </c>
      <c r="AN1666" s="44">
        <f>(打分卡!$D$7*AC1666+打分卡!$D$8*AD1666+打分卡!$D$9*AE1666)/5</f>
        <v>8</v>
      </c>
      <c r="AO1666" s="44">
        <f>(打分卡!$D$10*AF1666+打分卡!$D$11*AG1666)/5</f>
        <v>4</v>
      </c>
      <c r="AP1666" s="44">
        <f>(打分卡!$D$12*AH1666+打分卡!$D$13*AI1666+打分卡!$D$14*AJ1666+打分卡!$D$15*AK1666)/5</f>
        <v>16</v>
      </c>
      <c r="AQ1666" s="44">
        <f>(打分卡!$D$16*AL1666+打分卡!$D$17*AM1666)/5</f>
        <v>2</v>
      </c>
      <c r="AR1666" s="47">
        <f t="shared" ref="AR1666:AR1729" si="210">IF(G1666&lt;3,AP1666/30*40+AO1666+AP1666+AQ1666,AN1666+AO1666+AP1666+AQ1666)</f>
        <v>30</v>
      </c>
      <c r="AS1666" s="43" t="str">
        <f t="shared" ref="AS1666:AS1729" si="211">IF(M1666=0,IF(G1666&lt;3,"新客观察期","未激活"),IF(AR1666&gt;=90,"SKA",IF(AR1666&gt;=75,"KA",IF(AR1666&gt;=40,"腰部","基础长尾"))))</f>
        <v>未激活</v>
      </c>
      <c r="AT1666" s="43" t="str">
        <f t="shared" ref="AT1666:AT1729" si="212">IF(AA1666="连续下降","连续下降-预警","")</f>
        <v>连续下降-预警</v>
      </c>
      <c r="AU1666" s="43" t="str">
        <f t="shared" ref="AU1666:AU1729" si="213">IF(AS1666="SKA","守·共创：卡片短信/AI外呼新场景POC",IF(AS1666="KA","扩·深化：AI外呼场景深化+Push/企微补全",IF(AS1666="腰部","拉·主攻：主推AI外呼+大促作战包",IF(AS1666="新客观察期","培育：入门包+1v1场景教育",IF(AS1666="基础长尾","激活：企微+Push低成本先跑","唤醒：短信模板+首充补贴")))))</f>
        <v>唤醒：短信模板+首充补贴</v>
      </c>
    </row>
    <row r="1667" ht="15" customHeight="1" spans="1:47">
      <c r="A1667" s="20" t="s">
        <v>4257</v>
      </c>
      <c r="B1667" s="22" t="s">
        <v>4258</v>
      </c>
      <c r="C1667" s="22" t="s">
        <v>234</v>
      </c>
      <c r="D1667" s="22" t="s">
        <v>202</v>
      </c>
      <c r="E1667" s="22" t="s">
        <v>181</v>
      </c>
      <c r="F1667" s="20" t="s">
        <v>4259</v>
      </c>
      <c r="G1667" s="22">
        <v>22</v>
      </c>
      <c r="H1667" s="22" t="s">
        <v>3535</v>
      </c>
      <c r="I1667" s="22" t="s">
        <v>302</v>
      </c>
      <c r="J1667" s="36">
        <v>0</v>
      </c>
      <c r="K1667" s="36">
        <v>0</v>
      </c>
      <c r="L1667" s="36">
        <v>0</v>
      </c>
      <c r="M1667" s="36">
        <f t="shared" si="208"/>
        <v>0</v>
      </c>
      <c r="N1667" s="34">
        <f t="shared" ref="N1667:N1730" si="214">M1667/$M$2002</f>
        <v>0</v>
      </c>
      <c r="O1667" s="35">
        <f>SUM($M$2:M1667)</f>
        <v>190743600</v>
      </c>
      <c r="P1667" s="34">
        <f t="shared" ref="P1667:P1730" si="215">O1667/$M$2002</f>
        <v>1</v>
      </c>
      <c r="Q1667" s="39">
        <v>0</v>
      </c>
      <c r="R1667" s="22">
        <v>0</v>
      </c>
      <c r="S1667" s="22">
        <v>0</v>
      </c>
      <c r="T1667" s="22">
        <v>0</v>
      </c>
      <c r="U1667" s="39">
        <v>9.6</v>
      </c>
      <c r="V1667" s="22">
        <v>8</v>
      </c>
      <c r="W1667" s="22">
        <v>2</v>
      </c>
      <c r="X1667" s="40">
        <v>44</v>
      </c>
      <c r="Y1667" s="22">
        <v>0</v>
      </c>
      <c r="Z1667" s="22">
        <v>0</v>
      </c>
      <c r="AA1667" s="22" t="s">
        <v>212</v>
      </c>
      <c r="AB1667" s="22" t="s">
        <v>220</v>
      </c>
      <c r="AC1667" s="42">
        <f>IFERROR(LOOKUP(M1667,打分卡!$F$7:$J$7,打分卡!$K$7:$O$7),1)</f>
        <v>1</v>
      </c>
      <c r="AD1667" s="42">
        <f>IFERROR(LOOKUP(S1667,打分卡!$F$8:$J$8,打分卡!$K$8:$O$8),1)</f>
        <v>1</v>
      </c>
      <c r="AE1667" s="42">
        <f>IFERROR(LOOKUP(T1667,打分卡!$F$9:$I$9,打分卡!$K$9:$N$9),1)</f>
        <v>1</v>
      </c>
      <c r="AF1667" s="42">
        <f>IFERROR(LOOKUP(Q1667,打分卡!$F$10:$J$10,打分卡!$K$10:$O$10),1)</f>
        <v>1</v>
      </c>
      <c r="AG1667" s="42">
        <f>IFERROR(LOOKUP(R1667,打分卡!$F$11:$J$11,打分卡!$K$11:$O$11),1)</f>
        <v>1</v>
      </c>
      <c r="AH1667" s="42">
        <f>IFERROR(LOOKUP(U1667,打分卡!$F$12:$J$12,打分卡!$K$12:$O$12),1)</f>
        <v>2</v>
      </c>
      <c r="AI1667" s="42">
        <f>IFERROR(LOOKUP(X1667,打分卡!$F$13:$J$13,打分卡!$K$13:$O$13),1)</f>
        <v>3</v>
      </c>
      <c r="AJ1667" s="42">
        <f>IFERROR(LOOKUP(Y1667,打分卡!$F$14:$J$14,打分卡!$K$14:$O$14),1)</f>
        <v>1</v>
      </c>
      <c r="AK1667" s="42">
        <f>IFERROR(LOOKUP(W1667,打分卡!$F$15:$J$15,打分卡!$K$15:$O$15),1)</f>
        <v>2</v>
      </c>
      <c r="AL1667" s="45">
        <f t="shared" si="209"/>
        <v>1</v>
      </c>
      <c r="AM1667" s="42">
        <f>IFERROR(LOOKUP(Z1667,打分卡!$F$17:$H$17,打分卡!$K$17:$M$17),1)</f>
        <v>1</v>
      </c>
      <c r="AN1667" s="46">
        <f>(打分卡!$D$7*AC1667+打分卡!$D$8*AD1667+打分卡!$D$9*AE1667)/5</f>
        <v>8</v>
      </c>
      <c r="AO1667" s="46">
        <f>(打分卡!$D$10*AF1667+打分卡!$D$11*AG1667)/5</f>
        <v>4</v>
      </c>
      <c r="AP1667" s="46">
        <f>(打分卡!$D$12*AH1667+打分卡!$D$13*AI1667+打分卡!$D$14*AJ1667+打分卡!$D$15*AK1667)/5</f>
        <v>12.4</v>
      </c>
      <c r="AQ1667" s="46">
        <f>(打分卡!$D$16*AL1667+打分卡!$D$17*AM1667)/5</f>
        <v>2</v>
      </c>
      <c r="AR1667" s="48">
        <f t="shared" si="210"/>
        <v>26.4</v>
      </c>
      <c r="AS1667" s="45" t="str">
        <f t="shared" si="211"/>
        <v>未激活</v>
      </c>
      <c r="AT1667" s="45" t="str">
        <f t="shared" si="212"/>
        <v>连续下降-预警</v>
      </c>
      <c r="AU1667" s="45" t="str">
        <f t="shared" si="213"/>
        <v>唤醒：短信模板+首充补贴</v>
      </c>
    </row>
    <row r="1668" ht="15" customHeight="1" spans="1:47">
      <c r="A1668" s="30" t="s">
        <v>4260</v>
      </c>
      <c r="B1668" s="31" t="s">
        <v>4261</v>
      </c>
      <c r="C1668" s="31" t="s">
        <v>239</v>
      </c>
      <c r="D1668" s="31" t="s">
        <v>190</v>
      </c>
      <c r="E1668" s="31" t="s">
        <v>197</v>
      </c>
      <c r="F1668" s="30" t="s">
        <v>4068</v>
      </c>
      <c r="G1668" s="31">
        <v>28</v>
      </c>
      <c r="H1668" s="31" t="s">
        <v>3535</v>
      </c>
      <c r="I1668" s="31" t="s">
        <v>302</v>
      </c>
      <c r="J1668" s="33">
        <v>0</v>
      </c>
      <c r="K1668" s="33">
        <v>0</v>
      </c>
      <c r="L1668" s="33">
        <v>0</v>
      </c>
      <c r="M1668" s="33">
        <f t="shared" si="208"/>
        <v>0</v>
      </c>
      <c r="N1668" s="34">
        <f t="shared" si="214"/>
        <v>0</v>
      </c>
      <c r="O1668" s="35">
        <f>SUM($M$2:M1668)</f>
        <v>190743600</v>
      </c>
      <c r="P1668" s="34">
        <f t="shared" si="215"/>
        <v>1</v>
      </c>
      <c r="Q1668" s="37">
        <v>0</v>
      </c>
      <c r="R1668" s="31">
        <v>0</v>
      </c>
      <c r="S1668" s="31">
        <v>0</v>
      </c>
      <c r="T1668" s="31">
        <v>0</v>
      </c>
      <c r="U1668" s="37">
        <v>0.5</v>
      </c>
      <c r="V1668" s="31">
        <v>12</v>
      </c>
      <c r="W1668" s="31">
        <v>2</v>
      </c>
      <c r="X1668" s="38">
        <v>6</v>
      </c>
      <c r="Y1668" s="31">
        <v>0</v>
      </c>
      <c r="Z1668" s="31">
        <v>0</v>
      </c>
      <c r="AA1668" s="31" t="s">
        <v>212</v>
      </c>
      <c r="AB1668" s="31" t="s">
        <v>220</v>
      </c>
      <c r="AC1668" s="41">
        <f>IFERROR(LOOKUP(M1668,打分卡!$F$7:$J$7,打分卡!$K$7:$O$7),1)</f>
        <v>1</v>
      </c>
      <c r="AD1668" s="41">
        <f>IFERROR(LOOKUP(S1668,打分卡!$F$8:$J$8,打分卡!$K$8:$O$8),1)</f>
        <v>1</v>
      </c>
      <c r="AE1668" s="41">
        <f>IFERROR(LOOKUP(T1668,打分卡!$F$9:$I$9,打分卡!$K$9:$N$9),1)</f>
        <v>1</v>
      </c>
      <c r="AF1668" s="41">
        <f>IFERROR(LOOKUP(Q1668,打分卡!$F$10:$J$10,打分卡!$K$10:$O$10),1)</f>
        <v>1</v>
      </c>
      <c r="AG1668" s="41">
        <f>IFERROR(LOOKUP(R1668,打分卡!$F$11:$J$11,打分卡!$K$11:$O$11),1)</f>
        <v>1</v>
      </c>
      <c r="AH1668" s="41">
        <f>IFERROR(LOOKUP(U1668,打分卡!$F$12:$J$12,打分卡!$K$12:$O$12),1)</f>
        <v>1</v>
      </c>
      <c r="AI1668" s="41">
        <f>IFERROR(LOOKUP(X1668,打分卡!$F$13:$J$13,打分卡!$K$13:$O$13),1)</f>
        <v>1</v>
      </c>
      <c r="AJ1668" s="41">
        <f>IFERROR(LOOKUP(Y1668,打分卡!$F$14:$J$14,打分卡!$K$14:$O$14),1)</f>
        <v>1</v>
      </c>
      <c r="AK1668" s="41">
        <f>IFERROR(LOOKUP(W1668,打分卡!$F$15:$J$15,打分卡!$K$15:$O$15),1)</f>
        <v>2</v>
      </c>
      <c r="AL1668" s="43">
        <f t="shared" si="209"/>
        <v>1</v>
      </c>
      <c r="AM1668" s="41">
        <f>IFERROR(LOOKUP(Z1668,打分卡!$F$17:$H$17,打分卡!$K$17:$M$17),1)</f>
        <v>1</v>
      </c>
      <c r="AN1668" s="44">
        <f>(打分卡!$D$7*AC1668+打分卡!$D$8*AD1668+打分卡!$D$9*AE1668)/5</f>
        <v>8</v>
      </c>
      <c r="AO1668" s="44">
        <f>(打分卡!$D$10*AF1668+打分卡!$D$11*AG1668)/5</f>
        <v>4</v>
      </c>
      <c r="AP1668" s="44">
        <f>(打分卡!$D$12*AH1668+打分卡!$D$13*AI1668+打分卡!$D$14*AJ1668+打分卡!$D$15*AK1668)/5</f>
        <v>6.8</v>
      </c>
      <c r="AQ1668" s="44">
        <f>(打分卡!$D$16*AL1668+打分卡!$D$17*AM1668)/5</f>
        <v>2</v>
      </c>
      <c r="AR1668" s="47">
        <f t="shared" si="210"/>
        <v>20.8</v>
      </c>
      <c r="AS1668" s="43" t="str">
        <f t="shared" si="211"/>
        <v>未激活</v>
      </c>
      <c r="AT1668" s="43" t="str">
        <f t="shared" si="212"/>
        <v>连续下降-预警</v>
      </c>
      <c r="AU1668" s="43" t="str">
        <f t="shared" si="213"/>
        <v>唤醒：短信模板+首充补贴</v>
      </c>
    </row>
    <row r="1669" ht="15" customHeight="1" spans="1:47">
      <c r="A1669" s="20" t="s">
        <v>4262</v>
      </c>
      <c r="B1669" s="22" t="s">
        <v>4263</v>
      </c>
      <c r="C1669" s="22" t="s">
        <v>195</v>
      </c>
      <c r="D1669" s="22" t="s">
        <v>227</v>
      </c>
      <c r="E1669" s="22" t="s">
        <v>197</v>
      </c>
      <c r="F1669" s="20" t="s">
        <v>324</v>
      </c>
      <c r="G1669" s="22">
        <v>24</v>
      </c>
      <c r="H1669" s="22" t="s">
        <v>3535</v>
      </c>
      <c r="I1669" s="22" t="s">
        <v>302</v>
      </c>
      <c r="J1669" s="36">
        <v>0</v>
      </c>
      <c r="K1669" s="36">
        <v>0</v>
      </c>
      <c r="L1669" s="36">
        <v>0</v>
      </c>
      <c r="M1669" s="36">
        <f t="shared" si="208"/>
        <v>0</v>
      </c>
      <c r="N1669" s="34">
        <f t="shared" si="214"/>
        <v>0</v>
      </c>
      <c r="O1669" s="35">
        <f>SUM($M$2:M1669)</f>
        <v>190743600</v>
      </c>
      <c r="P1669" s="34">
        <f t="shared" si="215"/>
        <v>1</v>
      </c>
      <c r="Q1669" s="39">
        <v>0</v>
      </c>
      <c r="R1669" s="22">
        <v>0</v>
      </c>
      <c r="S1669" s="22">
        <v>0</v>
      </c>
      <c r="T1669" s="22">
        <v>0</v>
      </c>
      <c r="U1669" s="39">
        <v>22.3</v>
      </c>
      <c r="V1669" s="22">
        <v>0</v>
      </c>
      <c r="W1669" s="22">
        <v>2</v>
      </c>
      <c r="X1669" s="40">
        <v>31</v>
      </c>
      <c r="Y1669" s="22">
        <v>1</v>
      </c>
      <c r="Z1669" s="22">
        <v>0</v>
      </c>
      <c r="AA1669" s="22" t="s">
        <v>212</v>
      </c>
      <c r="AB1669" s="22" t="s">
        <v>220</v>
      </c>
      <c r="AC1669" s="42">
        <f>IFERROR(LOOKUP(M1669,打分卡!$F$7:$J$7,打分卡!$K$7:$O$7),1)</f>
        <v>1</v>
      </c>
      <c r="AD1669" s="42">
        <f>IFERROR(LOOKUP(S1669,打分卡!$F$8:$J$8,打分卡!$K$8:$O$8),1)</f>
        <v>1</v>
      </c>
      <c r="AE1669" s="42">
        <f>IFERROR(LOOKUP(T1669,打分卡!$F$9:$I$9,打分卡!$K$9:$N$9),1)</f>
        <v>1</v>
      </c>
      <c r="AF1669" s="42">
        <f>IFERROR(LOOKUP(Q1669,打分卡!$F$10:$J$10,打分卡!$K$10:$O$10),1)</f>
        <v>1</v>
      </c>
      <c r="AG1669" s="42">
        <f>IFERROR(LOOKUP(R1669,打分卡!$F$11:$J$11,打分卡!$K$11:$O$11),1)</f>
        <v>1</v>
      </c>
      <c r="AH1669" s="42">
        <f>IFERROR(LOOKUP(U1669,打分卡!$F$12:$J$12,打分卡!$K$12:$O$12),1)</f>
        <v>3</v>
      </c>
      <c r="AI1669" s="42">
        <f>IFERROR(LOOKUP(X1669,打分卡!$F$13:$J$13,打分卡!$K$13:$O$13),1)</f>
        <v>2</v>
      </c>
      <c r="AJ1669" s="42">
        <f>IFERROR(LOOKUP(Y1669,打分卡!$F$14:$J$14,打分卡!$K$14:$O$14),1)</f>
        <v>2</v>
      </c>
      <c r="AK1669" s="42">
        <f>IFERROR(LOOKUP(W1669,打分卡!$F$15:$J$15,打分卡!$K$15:$O$15),1)</f>
        <v>2</v>
      </c>
      <c r="AL1669" s="45">
        <f t="shared" si="209"/>
        <v>1</v>
      </c>
      <c r="AM1669" s="42">
        <f>IFERROR(LOOKUP(Z1669,打分卡!$F$17:$H$17,打分卡!$K$17:$M$17),1)</f>
        <v>1</v>
      </c>
      <c r="AN1669" s="46">
        <f>(打分卡!$D$7*AC1669+打分卡!$D$8*AD1669+打分卡!$D$9*AE1669)/5</f>
        <v>8</v>
      </c>
      <c r="AO1669" s="46">
        <f>(打分卡!$D$10*AF1669+打分卡!$D$11*AG1669)/5</f>
        <v>4</v>
      </c>
      <c r="AP1669" s="46">
        <f>(打分卡!$D$12*AH1669+打分卡!$D$13*AI1669+打分卡!$D$14*AJ1669+打分卡!$D$15*AK1669)/5</f>
        <v>14.4</v>
      </c>
      <c r="AQ1669" s="46">
        <f>(打分卡!$D$16*AL1669+打分卡!$D$17*AM1669)/5</f>
        <v>2</v>
      </c>
      <c r="AR1669" s="48">
        <f t="shared" si="210"/>
        <v>28.4</v>
      </c>
      <c r="AS1669" s="45" t="str">
        <f t="shared" si="211"/>
        <v>未激活</v>
      </c>
      <c r="AT1669" s="45" t="str">
        <f t="shared" si="212"/>
        <v>连续下降-预警</v>
      </c>
      <c r="AU1669" s="45" t="str">
        <f t="shared" si="213"/>
        <v>唤醒：短信模板+首充补贴</v>
      </c>
    </row>
    <row r="1670" ht="15" customHeight="1" spans="1:47">
      <c r="A1670" s="30" t="s">
        <v>4264</v>
      </c>
      <c r="B1670" s="31" t="s">
        <v>4265</v>
      </c>
      <c r="C1670" s="31" t="s">
        <v>189</v>
      </c>
      <c r="D1670" s="31" t="s">
        <v>227</v>
      </c>
      <c r="E1670" s="31" t="s">
        <v>181</v>
      </c>
      <c r="F1670" s="30" t="s">
        <v>3922</v>
      </c>
      <c r="G1670" s="31">
        <v>33</v>
      </c>
      <c r="H1670" s="31" t="s">
        <v>3535</v>
      </c>
      <c r="I1670" s="31" t="s">
        <v>302</v>
      </c>
      <c r="J1670" s="33">
        <v>0</v>
      </c>
      <c r="K1670" s="33">
        <v>0</v>
      </c>
      <c r="L1670" s="33">
        <v>0</v>
      </c>
      <c r="M1670" s="33">
        <f t="shared" si="208"/>
        <v>0</v>
      </c>
      <c r="N1670" s="34">
        <f t="shared" si="214"/>
        <v>0</v>
      </c>
      <c r="O1670" s="35">
        <f>SUM($M$2:M1670)</f>
        <v>190743600</v>
      </c>
      <c r="P1670" s="34">
        <f t="shared" si="215"/>
        <v>1</v>
      </c>
      <c r="Q1670" s="37">
        <v>0</v>
      </c>
      <c r="R1670" s="31">
        <v>0</v>
      </c>
      <c r="S1670" s="31">
        <v>0</v>
      </c>
      <c r="T1670" s="31">
        <v>0</v>
      </c>
      <c r="U1670" s="37">
        <v>45.7</v>
      </c>
      <c r="V1670" s="31">
        <v>12</v>
      </c>
      <c r="W1670" s="31">
        <v>1</v>
      </c>
      <c r="X1670" s="38">
        <v>30</v>
      </c>
      <c r="Y1670" s="31">
        <v>0</v>
      </c>
      <c r="Z1670" s="31">
        <v>0</v>
      </c>
      <c r="AA1670" s="31" t="s">
        <v>212</v>
      </c>
      <c r="AB1670" s="31" t="s">
        <v>220</v>
      </c>
      <c r="AC1670" s="41">
        <f>IFERROR(LOOKUP(M1670,打分卡!$F$7:$J$7,打分卡!$K$7:$O$7),1)</f>
        <v>1</v>
      </c>
      <c r="AD1670" s="41">
        <f>IFERROR(LOOKUP(S1670,打分卡!$F$8:$J$8,打分卡!$K$8:$O$8),1)</f>
        <v>1</v>
      </c>
      <c r="AE1670" s="41">
        <f>IFERROR(LOOKUP(T1670,打分卡!$F$9:$I$9,打分卡!$K$9:$N$9),1)</f>
        <v>1</v>
      </c>
      <c r="AF1670" s="41">
        <f>IFERROR(LOOKUP(Q1670,打分卡!$F$10:$J$10,打分卡!$K$10:$O$10),1)</f>
        <v>1</v>
      </c>
      <c r="AG1670" s="41">
        <f>IFERROR(LOOKUP(R1670,打分卡!$F$11:$J$11,打分卡!$K$11:$O$11),1)</f>
        <v>1</v>
      </c>
      <c r="AH1670" s="41">
        <f>IFERROR(LOOKUP(U1670,打分卡!$F$12:$J$12,打分卡!$K$12:$O$12),1)</f>
        <v>4</v>
      </c>
      <c r="AI1670" s="41">
        <f>IFERROR(LOOKUP(X1670,打分卡!$F$13:$J$13,打分卡!$K$13:$O$13),1)</f>
        <v>2</v>
      </c>
      <c r="AJ1670" s="41">
        <f>IFERROR(LOOKUP(Y1670,打分卡!$F$14:$J$14,打分卡!$K$14:$O$14),1)</f>
        <v>1</v>
      </c>
      <c r="AK1670" s="41">
        <f>IFERROR(LOOKUP(W1670,打分卡!$F$15:$J$15,打分卡!$K$15:$O$15),1)</f>
        <v>2</v>
      </c>
      <c r="AL1670" s="43">
        <f t="shared" si="209"/>
        <v>1</v>
      </c>
      <c r="AM1670" s="41">
        <f>IFERROR(LOOKUP(Z1670,打分卡!$F$17:$H$17,打分卡!$K$17:$M$17),1)</f>
        <v>1</v>
      </c>
      <c r="AN1670" s="44">
        <f>(打分卡!$D$7*AC1670+打分卡!$D$8*AD1670+打分卡!$D$9*AE1670)/5</f>
        <v>8</v>
      </c>
      <c r="AO1670" s="44">
        <f>(打分卡!$D$10*AF1670+打分卡!$D$11*AG1670)/5</f>
        <v>4</v>
      </c>
      <c r="AP1670" s="44">
        <f>(打分卡!$D$12*AH1670+打分卡!$D$13*AI1670+打分卡!$D$14*AJ1670+打分卡!$D$15*AK1670)/5</f>
        <v>15.6</v>
      </c>
      <c r="AQ1670" s="44">
        <f>(打分卡!$D$16*AL1670+打分卡!$D$17*AM1670)/5</f>
        <v>2</v>
      </c>
      <c r="AR1670" s="47">
        <f t="shared" si="210"/>
        <v>29.6</v>
      </c>
      <c r="AS1670" s="43" t="str">
        <f t="shared" si="211"/>
        <v>未激活</v>
      </c>
      <c r="AT1670" s="43" t="str">
        <f t="shared" si="212"/>
        <v>连续下降-预警</v>
      </c>
      <c r="AU1670" s="43" t="str">
        <f t="shared" si="213"/>
        <v>唤醒：短信模板+首充补贴</v>
      </c>
    </row>
    <row r="1671" ht="15" customHeight="1" spans="1:47">
      <c r="A1671" s="20" t="s">
        <v>4266</v>
      </c>
      <c r="B1671" s="22" t="s">
        <v>4267</v>
      </c>
      <c r="C1671" s="22" t="s">
        <v>223</v>
      </c>
      <c r="D1671" s="22" t="s">
        <v>190</v>
      </c>
      <c r="E1671" s="22" t="s">
        <v>197</v>
      </c>
      <c r="F1671" s="20" t="s">
        <v>478</v>
      </c>
      <c r="G1671" s="22">
        <v>18</v>
      </c>
      <c r="H1671" s="22" t="s">
        <v>3535</v>
      </c>
      <c r="I1671" s="22" t="s">
        <v>302</v>
      </c>
      <c r="J1671" s="36">
        <v>0</v>
      </c>
      <c r="K1671" s="36">
        <v>0</v>
      </c>
      <c r="L1671" s="36">
        <v>0</v>
      </c>
      <c r="M1671" s="36">
        <f t="shared" si="208"/>
        <v>0</v>
      </c>
      <c r="N1671" s="34">
        <f t="shared" si="214"/>
        <v>0</v>
      </c>
      <c r="O1671" s="35">
        <f>SUM($M$2:M1671)</f>
        <v>190743600</v>
      </c>
      <c r="P1671" s="34">
        <f t="shared" si="215"/>
        <v>1</v>
      </c>
      <c r="Q1671" s="39">
        <v>0</v>
      </c>
      <c r="R1671" s="22">
        <v>0</v>
      </c>
      <c r="S1671" s="22">
        <v>0</v>
      </c>
      <c r="T1671" s="22">
        <v>0</v>
      </c>
      <c r="U1671" s="39">
        <v>0.6</v>
      </c>
      <c r="V1671" s="22">
        <v>4</v>
      </c>
      <c r="W1671" s="22">
        <v>2</v>
      </c>
      <c r="X1671" s="40">
        <v>77</v>
      </c>
      <c r="Y1671" s="22">
        <v>1</v>
      </c>
      <c r="Z1671" s="22">
        <v>0</v>
      </c>
      <c r="AA1671" s="22" t="s">
        <v>212</v>
      </c>
      <c r="AB1671" s="22" t="s">
        <v>220</v>
      </c>
      <c r="AC1671" s="42">
        <f>IFERROR(LOOKUP(M1671,打分卡!$F$7:$J$7,打分卡!$K$7:$O$7),1)</f>
        <v>1</v>
      </c>
      <c r="AD1671" s="42">
        <f>IFERROR(LOOKUP(S1671,打分卡!$F$8:$J$8,打分卡!$K$8:$O$8),1)</f>
        <v>1</v>
      </c>
      <c r="AE1671" s="42">
        <f>IFERROR(LOOKUP(T1671,打分卡!$F$9:$I$9,打分卡!$K$9:$N$9),1)</f>
        <v>1</v>
      </c>
      <c r="AF1671" s="42">
        <f>IFERROR(LOOKUP(Q1671,打分卡!$F$10:$J$10,打分卡!$K$10:$O$10),1)</f>
        <v>1</v>
      </c>
      <c r="AG1671" s="42">
        <f>IFERROR(LOOKUP(R1671,打分卡!$F$11:$J$11,打分卡!$K$11:$O$11),1)</f>
        <v>1</v>
      </c>
      <c r="AH1671" s="42">
        <f>IFERROR(LOOKUP(U1671,打分卡!$F$12:$J$12,打分卡!$K$12:$O$12),1)</f>
        <v>1</v>
      </c>
      <c r="AI1671" s="42">
        <f>IFERROR(LOOKUP(X1671,打分卡!$F$13:$J$13,打分卡!$K$13:$O$13),1)</f>
        <v>3</v>
      </c>
      <c r="AJ1671" s="42">
        <f>IFERROR(LOOKUP(Y1671,打分卡!$F$14:$J$14,打分卡!$K$14:$O$14),1)</f>
        <v>2</v>
      </c>
      <c r="AK1671" s="42">
        <f>IFERROR(LOOKUP(W1671,打分卡!$F$15:$J$15,打分卡!$K$15:$O$15),1)</f>
        <v>2</v>
      </c>
      <c r="AL1671" s="45">
        <f t="shared" si="209"/>
        <v>1</v>
      </c>
      <c r="AM1671" s="42">
        <f>IFERROR(LOOKUP(Z1671,打分卡!$F$17:$H$17,打分卡!$K$17:$M$17),1)</f>
        <v>1</v>
      </c>
      <c r="AN1671" s="46">
        <f>(打分卡!$D$7*AC1671+打分卡!$D$8*AD1671+打分卡!$D$9*AE1671)/5</f>
        <v>8</v>
      </c>
      <c r="AO1671" s="46">
        <f>(打分卡!$D$10*AF1671+打分卡!$D$11*AG1671)/5</f>
        <v>4</v>
      </c>
      <c r="AP1671" s="46">
        <f>(打分卡!$D$12*AH1671+打分卡!$D$13*AI1671+打分卡!$D$14*AJ1671+打分卡!$D$15*AK1671)/5</f>
        <v>11.2</v>
      </c>
      <c r="AQ1671" s="46">
        <f>(打分卡!$D$16*AL1671+打分卡!$D$17*AM1671)/5</f>
        <v>2</v>
      </c>
      <c r="AR1671" s="48">
        <f t="shared" si="210"/>
        <v>25.2</v>
      </c>
      <c r="AS1671" s="45" t="str">
        <f t="shared" si="211"/>
        <v>未激活</v>
      </c>
      <c r="AT1671" s="45" t="str">
        <f t="shared" si="212"/>
        <v>连续下降-预警</v>
      </c>
      <c r="AU1671" s="45" t="str">
        <f t="shared" si="213"/>
        <v>唤醒：短信模板+首充补贴</v>
      </c>
    </row>
    <row r="1672" ht="15" customHeight="1" spans="1:47">
      <c r="A1672" s="30" t="s">
        <v>4268</v>
      </c>
      <c r="B1672" s="31" t="s">
        <v>4269</v>
      </c>
      <c r="C1672" s="31" t="s">
        <v>179</v>
      </c>
      <c r="D1672" s="31" t="s">
        <v>190</v>
      </c>
      <c r="E1672" s="31" t="s">
        <v>181</v>
      </c>
      <c r="F1672" s="30" t="s">
        <v>4270</v>
      </c>
      <c r="G1672" s="31">
        <v>18</v>
      </c>
      <c r="H1672" s="31" t="s">
        <v>3535</v>
      </c>
      <c r="I1672" s="31" t="s">
        <v>302</v>
      </c>
      <c r="J1672" s="33">
        <v>0</v>
      </c>
      <c r="K1672" s="33">
        <v>0</v>
      </c>
      <c r="L1672" s="33">
        <v>0</v>
      </c>
      <c r="M1672" s="33">
        <f t="shared" si="208"/>
        <v>0</v>
      </c>
      <c r="N1672" s="34">
        <f t="shared" si="214"/>
        <v>0</v>
      </c>
      <c r="O1672" s="35">
        <f>SUM($M$2:M1672)</f>
        <v>190743600</v>
      </c>
      <c r="P1672" s="34">
        <f t="shared" si="215"/>
        <v>1</v>
      </c>
      <c r="Q1672" s="37">
        <v>0</v>
      </c>
      <c r="R1672" s="31">
        <v>0</v>
      </c>
      <c r="S1672" s="31">
        <v>0</v>
      </c>
      <c r="T1672" s="31">
        <v>0</v>
      </c>
      <c r="U1672" s="37">
        <v>19</v>
      </c>
      <c r="V1672" s="31">
        <v>9</v>
      </c>
      <c r="W1672" s="31">
        <v>0</v>
      </c>
      <c r="X1672" s="38">
        <v>48</v>
      </c>
      <c r="Y1672" s="31">
        <v>1</v>
      </c>
      <c r="Z1672" s="31">
        <v>0</v>
      </c>
      <c r="AA1672" s="31" t="s">
        <v>212</v>
      </c>
      <c r="AB1672" s="31" t="s">
        <v>220</v>
      </c>
      <c r="AC1672" s="41">
        <f>IFERROR(LOOKUP(M1672,打分卡!$F$7:$J$7,打分卡!$K$7:$O$7),1)</f>
        <v>1</v>
      </c>
      <c r="AD1672" s="41">
        <f>IFERROR(LOOKUP(S1672,打分卡!$F$8:$J$8,打分卡!$K$8:$O$8),1)</f>
        <v>1</v>
      </c>
      <c r="AE1672" s="41">
        <f>IFERROR(LOOKUP(T1672,打分卡!$F$9:$I$9,打分卡!$K$9:$N$9),1)</f>
        <v>1</v>
      </c>
      <c r="AF1672" s="41">
        <f>IFERROR(LOOKUP(Q1672,打分卡!$F$10:$J$10,打分卡!$K$10:$O$10),1)</f>
        <v>1</v>
      </c>
      <c r="AG1672" s="41">
        <f>IFERROR(LOOKUP(R1672,打分卡!$F$11:$J$11,打分卡!$K$11:$O$11),1)</f>
        <v>1</v>
      </c>
      <c r="AH1672" s="41">
        <f>IFERROR(LOOKUP(U1672,打分卡!$F$12:$J$12,打分卡!$K$12:$O$12),1)</f>
        <v>3</v>
      </c>
      <c r="AI1672" s="41">
        <f>IFERROR(LOOKUP(X1672,打分卡!$F$13:$J$13,打分卡!$K$13:$O$13),1)</f>
        <v>3</v>
      </c>
      <c r="AJ1672" s="41">
        <f>IFERROR(LOOKUP(Y1672,打分卡!$F$14:$J$14,打分卡!$K$14:$O$14),1)</f>
        <v>2</v>
      </c>
      <c r="AK1672" s="41">
        <f>IFERROR(LOOKUP(W1672,打分卡!$F$15:$J$15,打分卡!$K$15:$O$15),1)</f>
        <v>1</v>
      </c>
      <c r="AL1672" s="43">
        <f t="shared" si="209"/>
        <v>1</v>
      </c>
      <c r="AM1672" s="41">
        <f>IFERROR(LOOKUP(Z1672,打分卡!$F$17:$H$17,打分卡!$K$17:$M$17),1)</f>
        <v>1</v>
      </c>
      <c r="AN1672" s="44">
        <f>(打分卡!$D$7*AC1672+打分卡!$D$8*AD1672+打分卡!$D$9*AE1672)/5</f>
        <v>8</v>
      </c>
      <c r="AO1672" s="44">
        <f>(打分卡!$D$10*AF1672+打分卡!$D$11*AG1672)/5</f>
        <v>4</v>
      </c>
      <c r="AP1672" s="44">
        <f>(打分卡!$D$12*AH1672+打分卡!$D$13*AI1672+打分卡!$D$14*AJ1672+打分卡!$D$15*AK1672)/5</f>
        <v>15.2</v>
      </c>
      <c r="AQ1672" s="44">
        <f>(打分卡!$D$16*AL1672+打分卡!$D$17*AM1672)/5</f>
        <v>2</v>
      </c>
      <c r="AR1672" s="47">
        <f t="shared" si="210"/>
        <v>29.2</v>
      </c>
      <c r="AS1672" s="43" t="str">
        <f t="shared" si="211"/>
        <v>未激活</v>
      </c>
      <c r="AT1672" s="43" t="str">
        <f t="shared" si="212"/>
        <v>连续下降-预警</v>
      </c>
      <c r="AU1672" s="43" t="str">
        <f t="shared" si="213"/>
        <v>唤醒：短信模板+首充补贴</v>
      </c>
    </row>
    <row r="1673" ht="15" customHeight="1" spans="1:47">
      <c r="A1673" s="20" t="s">
        <v>4271</v>
      </c>
      <c r="B1673" s="22" t="s">
        <v>4272</v>
      </c>
      <c r="C1673" s="22" t="s">
        <v>179</v>
      </c>
      <c r="D1673" s="22" t="s">
        <v>235</v>
      </c>
      <c r="E1673" s="22" t="s">
        <v>181</v>
      </c>
      <c r="F1673" s="20" t="s">
        <v>253</v>
      </c>
      <c r="G1673" s="22">
        <v>31</v>
      </c>
      <c r="H1673" s="22" t="s">
        <v>3535</v>
      </c>
      <c r="I1673" s="22" t="s">
        <v>302</v>
      </c>
      <c r="J1673" s="36">
        <v>0</v>
      </c>
      <c r="K1673" s="36">
        <v>0</v>
      </c>
      <c r="L1673" s="36">
        <v>0</v>
      </c>
      <c r="M1673" s="36">
        <f t="shared" si="208"/>
        <v>0</v>
      </c>
      <c r="N1673" s="34">
        <f t="shared" si="214"/>
        <v>0</v>
      </c>
      <c r="O1673" s="35">
        <f>SUM($M$2:M1673)</f>
        <v>190743600</v>
      </c>
      <c r="P1673" s="34">
        <f t="shared" si="215"/>
        <v>1</v>
      </c>
      <c r="Q1673" s="39">
        <v>0</v>
      </c>
      <c r="R1673" s="22">
        <v>0</v>
      </c>
      <c r="S1673" s="22">
        <v>0</v>
      </c>
      <c r="T1673" s="22">
        <v>0</v>
      </c>
      <c r="U1673" s="39">
        <v>4.7</v>
      </c>
      <c r="V1673" s="22">
        <v>13</v>
      </c>
      <c r="W1673" s="22">
        <v>1</v>
      </c>
      <c r="X1673" s="40">
        <v>28</v>
      </c>
      <c r="Y1673" s="22">
        <v>1</v>
      </c>
      <c r="Z1673" s="22">
        <v>0</v>
      </c>
      <c r="AA1673" s="22" t="s">
        <v>212</v>
      </c>
      <c r="AB1673" s="22" t="s">
        <v>220</v>
      </c>
      <c r="AC1673" s="42">
        <f>IFERROR(LOOKUP(M1673,打分卡!$F$7:$J$7,打分卡!$K$7:$O$7),1)</f>
        <v>1</v>
      </c>
      <c r="AD1673" s="42">
        <f>IFERROR(LOOKUP(S1673,打分卡!$F$8:$J$8,打分卡!$K$8:$O$8),1)</f>
        <v>1</v>
      </c>
      <c r="AE1673" s="42">
        <f>IFERROR(LOOKUP(T1673,打分卡!$F$9:$I$9,打分卡!$K$9:$N$9),1)</f>
        <v>1</v>
      </c>
      <c r="AF1673" s="42">
        <f>IFERROR(LOOKUP(Q1673,打分卡!$F$10:$J$10,打分卡!$K$10:$O$10),1)</f>
        <v>1</v>
      </c>
      <c r="AG1673" s="42">
        <f>IFERROR(LOOKUP(R1673,打分卡!$F$11:$J$11,打分卡!$K$11:$O$11),1)</f>
        <v>1</v>
      </c>
      <c r="AH1673" s="42">
        <f>IFERROR(LOOKUP(U1673,打分卡!$F$12:$J$12,打分卡!$K$12:$O$12),1)</f>
        <v>2</v>
      </c>
      <c r="AI1673" s="42">
        <f>IFERROR(LOOKUP(X1673,打分卡!$F$13:$J$13,打分卡!$K$13:$O$13),1)</f>
        <v>2</v>
      </c>
      <c r="AJ1673" s="42">
        <f>IFERROR(LOOKUP(Y1673,打分卡!$F$14:$J$14,打分卡!$K$14:$O$14),1)</f>
        <v>2</v>
      </c>
      <c r="AK1673" s="42">
        <f>IFERROR(LOOKUP(W1673,打分卡!$F$15:$J$15,打分卡!$K$15:$O$15),1)</f>
        <v>2</v>
      </c>
      <c r="AL1673" s="45">
        <f t="shared" si="209"/>
        <v>1</v>
      </c>
      <c r="AM1673" s="42">
        <f>IFERROR(LOOKUP(Z1673,打分卡!$F$17:$H$17,打分卡!$K$17:$M$17),1)</f>
        <v>1</v>
      </c>
      <c r="AN1673" s="46">
        <f>(打分卡!$D$7*AC1673+打分卡!$D$8*AD1673+打分卡!$D$9*AE1673)/5</f>
        <v>8</v>
      </c>
      <c r="AO1673" s="46">
        <f>(打分卡!$D$10*AF1673+打分卡!$D$11*AG1673)/5</f>
        <v>4</v>
      </c>
      <c r="AP1673" s="46">
        <f>(打分卡!$D$12*AH1673+打分卡!$D$13*AI1673+打分卡!$D$14*AJ1673+打分卡!$D$15*AK1673)/5</f>
        <v>12</v>
      </c>
      <c r="AQ1673" s="46">
        <f>(打分卡!$D$16*AL1673+打分卡!$D$17*AM1673)/5</f>
        <v>2</v>
      </c>
      <c r="AR1673" s="48">
        <f t="shared" si="210"/>
        <v>26</v>
      </c>
      <c r="AS1673" s="45" t="str">
        <f t="shared" si="211"/>
        <v>未激活</v>
      </c>
      <c r="AT1673" s="45" t="str">
        <f t="shared" si="212"/>
        <v>连续下降-预警</v>
      </c>
      <c r="AU1673" s="45" t="str">
        <f t="shared" si="213"/>
        <v>唤醒：短信模板+首充补贴</v>
      </c>
    </row>
    <row r="1674" ht="15" customHeight="1" spans="1:47">
      <c r="A1674" s="30" t="s">
        <v>4273</v>
      </c>
      <c r="B1674" s="31" t="s">
        <v>4274</v>
      </c>
      <c r="C1674" s="31" t="s">
        <v>189</v>
      </c>
      <c r="D1674" s="31" t="s">
        <v>235</v>
      </c>
      <c r="E1674" s="31" t="s">
        <v>181</v>
      </c>
      <c r="F1674" s="30" t="s">
        <v>336</v>
      </c>
      <c r="G1674" s="31">
        <v>18</v>
      </c>
      <c r="H1674" s="31" t="s">
        <v>3535</v>
      </c>
      <c r="I1674" s="31" t="s">
        <v>302</v>
      </c>
      <c r="J1674" s="33">
        <v>0</v>
      </c>
      <c r="K1674" s="33">
        <v>0</v>
      </c>
      <c r="L1674" s="33">
        <v>0</v>
      </c>
      <c r="M1674" s="33">
        <f t="shared" si="208"/>
        <v>0</v>
      </c>
      <c r="N1674" s="34">
        <f t="shared" si="214"/>
        <v>0</v>
      </c>
      <c r="O1674" s="35">
        <f>SUM($M$2:M1674)</f>
        <v>190743600</v>
      </c>
      <c r="P1674" s="34">
        <f t="shared" si="215"/>
        <v>1</v>
      </c>
      <c r="Q1674" s="37">
        <v>0</v>
      </c>
      <c r="R1674" s="31">
        <v>0</v>
      </c>
      <c r="S1674" s="31">
        <v>0</v>
      </c>
      <c r="T1674" s="31">
        <v>0</v>
      </c>
      <c r="U1674" s="37">
        <v>6.7</v>
      </c>
      <c r="V1674" s="31">
        <v>0</v>
      </c>
      <c r="W1674" s="31">
        <v>0</v>
      </c>
      <c r="X1674" s="38">
        <v>20</v>
      </c>
      <c r="Y1674" s="31">
        <v>0</v>
      </c>
      <c r="Z1674" s="31">
        <v>0</v>
      </c>
      <c r="AA1674" s="31" t="s">
        <v>212</v>
      </c>
      <c r="AB1674" s="31" t="s">
        <v>220</v>
      </c>
      <c r="AC1674" s="41">
        <f>IFERROR(LOOKUP(M1674,打分卡!$F$7:$J$7,打分卡!$K$7:$O$7),1)</f>
        <v>1</v>
      </c>
      <c r="AD1674" s="41">
        <f>IFERROR(LOOKUP(S1674,打分卡!$F$8:$J$8,打分卡!$K$8:$O$8),1)</f>
        <v>1</v>
      </c>
      <c r="AE1674" s="41">
        <f>IFERROR(LOOKUP(T1674,打分卡!$F$9:$I$9,打分卡!$K$9:$N$9),1)</f>
        <v>1</v>
      </c>
      <c r="AF1674" s="41">
        <f>IFERROR(LOOKUP(Q1674,打分卡!$F$10:$J$10,打分卡!$K$10:$O$10),1)</f>
        <v>1</v>
      </c>
      <c r="AG1674" s="41">
        <f>IFERROR(LOOKUP(R1674,打分卡!$F$11:$J$11,打分卡!$K$11:$O$11),1)</f>
        <v>1</v>
      </c>
      <c r="AH1674" s="41">
        <f>IFERROR(LOOKUP(U1674,打分卡!$F$12:$J$12,打分卡!$K$12:$O$12),1)</f>
        <v>2</v>
      </c>
      <c r="AI1674" s="41">
        <f>IFERROR(LOOKUP(X1674,打分卡!$F$13:$J$13,打分卡!$K$13:$O$13),1)</f>
        <v>2</v>
      </c>
      <c r="AJ1674" s="41">
        <f>IFERROR(LOOKUP(Y1674,打分卡!$F$14:$J$14,打分卡!$K$14:$O$14),1)</f>
        <v>1</v>
      </c>
      <c r="AK1674" s="41">
        <f>IFERROR(LOOKUP(W1674,打分卡!$F$15:$J$15,打分卡!$K$15:$O$15),1)</f>
        <v>1</v>
      </c>
      <c r="AL1674" s="43">
        <f t="shared" si="209"/>
        <v>1</v>
      </c>
      <c r="AM1674" s="41">
        <f>IFERROR(LOOKUP(Z1674,打分卡!$F$17:$H$17,打分卡!$K$17:$M$17),1)</f>
        <v>1</v>
      </c>
      <c r="AN1674" s="44">
        <f>(打分卡!$D$7*AC1674+打分卡!$D$8*AD1674+打分卡!$D$9*AE1674)/5</f>
        <v>8</v>
      </c>
      <c r="AO1674" s="44">
        <f>(打分卡!$D$10*AF1674+打分卡!$D$11*AG1674)/5</f>
        <v>4</v>
      </c>
      <c r="AP1674" s="44">
        <f>(打分卡!$D$12*AH1674+打分卡!$D$13*AI1674+打分卡!$D$14*AJ1674+打分卡!$D$15*AK1674)/5</f>
        <v>10</v>
      </c>
      <c r="AQ1674" s="44">
        <f>(打分卡!$D$16*AL1674+打分卡!$D$17*AM1674)/5</f>
        <v>2</v>
      </c>
      <c r="AR1674" s="47">
        <f t="shared" si="210"/>
        <v>24</v>
      </c>
      <c r="AS1674" s="43" t="str">
        <f t="shared" si="211"/>
        <v>未激活</v>
      </c>
      <c r="AT1674" s="43" t="str">
        <f t="shared" si="212"/>
        <v>连续下降-预警</v>
      </c>
      <c r="AU1674" s="43" t="str">
        <f t="shared" si="213"/>
        <v>唤醒：短信模板+首充补贴</v>
      </c>
    </row>
    <row r="1675" ht="15" customHeight="1" spans="1:47">
      <c r="A1675" s="20" t="s">
        <v>4275</v>
      </c>
      <c r="B1675" s="22" t="s">
        <v>4276</v>
      </c>
      <c r="C1675" s="22" t="s">
        <v>195</v>
      </c>
      <c r="D1675" s="22" t="s">
        <v>190</v>
      </c>
      <c r="E1675" s="22" t="s">
        <v>197</v>
      </c>
      <c r="F1675" s="20" t="s">
        <v>1510</v>
      </c>
      <c r="G1675" s="22">
        <v>20</v>
      </c>
      <c r="H1675" s="22" t="s">
        <v>3535</v>
      </c>
      <c r="I1675" s="22" t="s">
        <v>302</v>
      </c>
      <c r="J1675" s="36">
        <v>0</v>
      </c>
      <c r="K1675" s="36">
        <v>0</v>
      </c>
      <c r="L1675" s="36">
        <v>0</v>
      </c>
      <c r="M1675" s="36">
        <f t="shared" si="208"/>
        <v>0</v>
      </c>
      <c r="N1675" s="34">
        <f t="shared" si="214"/>
        <v>0</v>
      </c>
      <c r="O1675" s="35">
        <f>SUM($M$2:M1675)</f>
        <v>190743600</v>
      </c>
      <c r="P1675" s="34">
        <f t="shared" si="215"/>
        <v>1</v>
      </c>
      <c r="Q1675" s="39">
        <v>0</v>
      </c>
      <c r="R1675" s="22">
        <v>0</v>
      </c>
      <c r="S1675" s="22">
        <v>0</v>
      </c>
      <c r="T1675" s="22">
        <v>0</v>
      </c>
      <c r="U1675" s="39">
        <v>1.4</v>
      </c>
      <c r="V1675" s="22">
        <v>1</v>
      </c>
      <c r="W1675" s="22">
        <v>1</v>
      </c>
      <c r="X1675" s="40">
        <v>53</v>
      </c>
      <c r="Y1675" s="22">
        <v>0</v>
      </c>
      <c r="Z1675" s="22">
        <v>0</v>
      </c>
      <c r="AA1675" s="22" t="s">
        <v>212</v>
      </c>
      <c r="AB1675" s="22" t="s">
        <v>220</v>
      </c>
      <c r="AC1675" s="42">
        <f>IFERROR(LOOKUP(M1675,打分卡!$F$7:$J$7,打分卡!$K$7:$O$7),1)</f>
        <v>1</v>
      </c>
      <c r="AD1675" s="42">
        <f>IFERROR(LOOKUP(S1675,打分卡!$F$8:$J$8,打分卡!$K$8:$O$8),1)</f>
        <v>1</v>
      </c>
      <c r="AE1675" s="42">
        <f>IFERROR(LOOKUP(T1675,打分卡!$F$9:$I$9,打分卡!$K$9:$N$9),1)</f>
        <v>1</v>
      </c>
      <c r="AF1675" s="42">
        <f>IFERROR(LOOKUP(Q1675,打分卡!$F$10:$J$10,打分卡!$K$10:$O$10),1)</f>
        <v>1</v>
      </c>
      <c r="AG1675" s="42">
        <f>IFERROR(LOOKUP(R1675,打分卡!$F$11:$J$11,打分卡!$K$11:$O$11),1)</f>
        <v>1</v>
      </c>
      <c r="AH1675" s="42">
        <f>IFERROR(LOOKUP(U1675,打分卡!$F$12:$J$12,打分卡!$K$12:$O$12),1)</f>
        <v>1</v>
      </c>
      <c r="AI1675" s="42">
        <f>IFERROR(LOOKUP(X1675,打分卡!$F$13:$J$13,打分卡!$K$13:$O$13),1)</f>
        <v>3</v>
      </c>
      <c r="AJ1675" s="42">
        <f>IFERROR(LOOKUP(Y1675,打分卡!$F$14:$J$14,打分卡!$K$14:$O$14),1)</f>
        <v>1</v>
      </c>
      <c r="AK1675" s="42">
        <f>IFERROR(LOOKUP(W1675,打分卡!$F$15:$J$15,打分卡!$K$15:$O$15),1)</f>
        <v>2</v>
      </c>
      <c r="AL1675" s="45">
        <f t="shared" si="209"/>
        <v>1</v>
      </c>
      <c r="AM1675" s="42">
        <f>IFERROR(LOOKUP(Z1675,打分卡!$F$17:$H$17,打分卡!$K$17:$M$17),1)</f>
        <v>1</v>
      </c>
      <c r="AN1675" s="46">
        <f>(打分卡!$D$7*AC1675+打分卡!$D$8*AD1675+打分卡!$D$9*AE1675)/5</f>
        <v>8</v>
      </c>
      <c r="AO1675" s="46">
        <f>(打分卡!$D$10*AF1675+打分卡!$D$11*AG1675)/5</f>
        <v>4</v>
      </c>
      <c r="AP1675" s="46">
        <f>(打分卡!$D$12*AH1675+打分卡!$D$13*AI1675+打分卡!$D$14*AJ1675+打分卡!$D$15*AK1675)/5</f>
        <v>10</v>
      </c>
      <c r="AQ1675" s="46">
        <f>(打分卡!$D$16*AL1675+打分卡!$D$17*AM1675)/5</f>
        <v>2</v>
      </c>
      <c r="AR1675" s="48">
        <f t="shared" si="210"/>
        <v>24</v>
      </c>
      <c r="AS1675" s="45" t="str">
        <f t="shared" si="211"/>
        <v>未激活</v>
      </c>
      <c r="AT1675" s="45" t="str">
        <f t="shared" si="212"/>
        <v>连续下降-预警</v>
      </c>
      <c r="AU1675" s="45" t="str">
        <f t="shared" si="213"/>
        <v>唤醒：短信模板+首充补贴</v>
      </c>
    </row>
    <row r="1676" ht="15" customHeight="1" spans="1:47">
      <c r="A1676" s="30" t="s">
        <v>4277</v>
      </c>
      <c r="B1676" s="31" t="s">
        <v>4278</v>
      </c>
      <c r="C1676" s="31" t="s">
        <v>234</v>
      </c>
      <c r="D1676" s="31" t="s">
        <v>180</v>
      </c>
      <c r="E1676" s="31" t="s">
        <v>181</v>
      </c>
      <c r="F1676" s="30" t="s">
        <v>228</v>
      </c>
      <c r="G1676" s="31">
        <v>25</v>
      </c>
      <c r="H1676" s="31" t="s">
        <v>3535</v>
      </c>
      <c r="I1676" s="31" t="s">
        <v>302</v>
      </c>
      <c r="J1676" s="33">
        <v>0</v>
      </c>
      <c r="K1676" s="33">
        <v>0</v>
      </c>
      <c r="L1676" s="33">
        <v>0</v>
      </c>
      <c r="M1676" s="33">
        <f t="shared" si="208"/>
        <v>0</v>
      </c>
      <c r="N1676" s="34">
        <f t="shared" si="214"/>
        <v>0</v>
      </c>
      <c r="O1676" s="35">
        <f>SUM($M$2:M1676)</f>
        <v>190743600</v>
      </c>
      <c r="P1676" s="34">
        <f t="shared" si="215"/>
        <v>1</v>
      </c>
      <c r="Q1676" s="37">
        <v>0</v>
      </c>
      <c r="R1676" s="31">
        <v>0</v>
      </c>
      <c r="S1676" s="31">
        <v>0</v>
      </c>
      <c r="T1676" s="31">
        <v>0</v>
      </c>
      <c r="U1676" s="37">
        <v>2</v>
      </c>
      <c r="V1676" s="31">
        <v>8</v>
      </c>
      <c r="W1676" s="31">
        <v>2</v>
      </c>
      <c r="X1676" s="38">
        <v>6</v>
      </c>
      <c r="Y1676" s="31">
        <v>0</v>
      </c>
      <c r="Z1676" s="31">
        <v>0</v>
      </c>
      <c r="AA1676" s="31" t="s">
        <v>212</v>
      </c>
      <c r="AB1676" s="31" t="s">
        <v>220</v>
      </c>
      <c r="AC1676" s="41">
        <f>IFERROR(LOOKUP(M1676,打分卡!$F$7:$J$7,打分卡!$K$7:$O$7),1)</f>
        <v>1</v>
      </c>
      <c r="AD1676" s="41">
        <f>IFERROR(LOOKUP(S1676,打分卡!$F$8:$J$8,打分卡!$K$8:$O$8),1)</f>
        <v>1</v>
      </c>
      <c r="AE1676" s="41">
        <f>IFERROR(LOOKUP(T1676,打分卡!$F$9:$I$9,打分卡!$K$9:$N$9),1)</f>
        <v>1</v>
      </c>
      <c r="AF1676" s="41">
        <f>IFERROR(LOOKUP(Q1676,打分卡!$F$10:$J$10,打分卡!$K$10:$O$10),1)</f>
        <v>1</v>
      </c>
      <c r="AG1676" s="41">
        <f>IFERROR(LOOKUP(R1676,打分卡!$F$11:$J$11,打分卡!$K$11:$O$11),1)</f>
        <v>1</v>
      </c>
      <c r="AH1676" s="41">
        <f>IFERROR(LOOKUP(U1676,打分卡!$F$12:$J$12,打分卡!$K$12:$O$12),1)</f>
        <v>1</v>
      </c>
      <c r="AI1676" s="41">
        <f>IFERROR(LOOKUP(X1676,打分卡!$F$13:$J$13,打分卡!$K$13:$O$13),1)</f>
        <v>1</v>
      </c>
      <c r="AJ1676" s="41">
        <f>IFERROR(LOOKUP(Y1676,打分卡!$F$14:$J$14,打分卡!$K$14:$O$14),1)</f>
        <v>1</v>
      </c>
      <c r="AK1676" s="41">
        <f>IFERROR(LOOKUP(W1676,打分卡!$F$15:$J$15,打分卡!$K$15:$O$15),1)</f>
        <v>2</v>
      </c>
      <c r="AL1676" s="43">
        <f t="shared" si="209"/>
        <v>1</v>
      </c>
      <c r="AM1676" s="41">
        <f>IFERROR(LOOKUP(Z1676,打分卡!$F$17:$H$17,打分卡!$K$17:$M$17),1)</f>
        <v>1</v>
      </c>
      <c r="AN1676" s="44">
        <f>(打分卡!$D$7*AC1676+打分卡!$D$8*AD1676+打分卡!$D$9*AE1676)/5</f>
        <v>8</v>
      </c>
      <c r="AO1676" s="44">
        <f>(打分卡!$D$10*AF1676+打分卡!$D$11*AG1676)/5</f>
        <v>4</v>
      </c>
      <c r="AP1676" s="44">
        <f>(打分卡!$D$12*AH1676+打分卡!$D$13*AI1676+打分卡!$D$14*AJ1676+打分卡!$D$15*AK1676)/5</f>
        <v>6.8</v>
      </c>
      <c r="AQ1676" s="44">
        <f>(打分卡!$D$16*AL1676+打分卡!$D$17*AM1676)/5</f>
        <v>2</v>
      </c>
      <c r="AR1676" s="47">
        <f t="shared" si="210"/>
        <v>20.8</v>
      </c>
      <c r="AS1676" s="43" t="str">
        <f t="shared" si="211"/>
        <v>未激活</v>
      </c>
      <c r="AT1676" s="43" t="str">
        <f t="shared" si="212"/>
        <v>连续下降-预警</v>
      </c>
      <c r="AU1676" s="43" t="str">
        <f t="shared" si="213"/>
        <v>唤醒：短信模板+首充补贴</v>
      </c>
    </row>
    <row r="1677" ht="15" customHeight="1" spans="1:47">
      <c r="A1677" s="20" t="s">
        <v>4279</v>
      </c>
      <c r="B1677" s="22" t="s">
        <v>4280</v>
      </c>
      <c r="C1677" s="22" t="s">
        <v>209</v>
      </c>
      <c r="D1677" s="22" t="s">
        <v>180</v>
      </c>
      <c r="E1677" s="22" t="s">
        <v>181</v>
      </c>
      <c r="F1677" s="20" t="s">
        <v>3544</v>
      </c>
      <c r="G1677" s="22">
        <v>29</v>
      </c>
      <c r="H1677" s="22" t="s">
        <v>3535</v>
      </c>
      <c r="I1677" s="22" t="s">
        <v>302</v>
      </c>
      <c r="J1677" s="36">
        <v>0</v>
      </c>
      <c r="K1677" s="36">
        <v>0</v>
      </c>
      <c r="L1677" s="36">
        <v>0</v>
      </c>
      <c r="M1677" s="36">
        <f t="shared" si="208"/>
        <v>0</v>
      </c>
      <c r="N1677" s="34">
        <f t="shared" si="214"/>
        <v>0</v>
      </c>
      <c r="O1677" s="35">
        <f>SUM($M$2:M1677)</f>
        <v>190743600</v>
      </c>
      <c r="P1677" s="34">
        <f t="shared" si="215"/>
        <v>1</v>
      </c>
      <c r="Q1677" s="39">
        <v>0</v>
      </c>
      <c r="R1677" s="22">
        <v>0</v>
      </c>
      <c r="S1677" s="22">
        <v>0</v>
      </c>
      <c r="T1677" s="22">
        <v>0</v>
      </c>
      <c r="U1677" s="39">
        <v>20.2</v>
      </c>
      <c r="V1677" s="22">
        <v>1</v>
      </c>
      <c r="W1677" s="22">
        <v>0</v>
      </c>
      <c r="X1677" s="40">
        <v>22</v>
      </c>
      <c r="Y1677" s="22">
        <v>1</v>
      </c>
      <c r="Z1677" s="22">
        <v>0</v>
      </c>
      <c r="AA1677" s="22" t="s">
        <v>212</v>
      </c>
      <c r="AB1677" s="22" t="s">
        <v>220</v>
      </c>
      <c r="AC1677" s="42">
        <f>IFERROR(LOOKUP(M1677,打分卡!$F$7:$J$7,打分卡!$K$7:$O$7),1)</f>
        <v>1</v>
      </c>
      <c r="AD1677" s="42">
        <f>IFERROR(LOOKUP(S1677,打分卡!$F$8:$J$8,打分卡!$K$8:$O$8),1)</f>
        <v>1</v>
      </c>
      <c r="AE1677" s="42">
        <f>IFERROR(LOOKUP(T1677,打分卡!$F$9:$I$9,打分卡!$K$9:$N$9),1)</f>
        <v>1</v>
      </c>
      <c r="AF1677" s="42">
        <f>IFERROR(LOOKUP(Q1677,打分卡!$F$10:$J$10,打分卡!$K$10:$O$10),1)</f>
        <v>1</v>
      </c>
      <c r="AG1677" s="42">
        <f>IFERROR(LOOKUP(R1677,打分卡!$F$11:$J$11,打分卡!$K$11:$O$11),1)</f>
        <v>1</v>
      </c>
      <c r="AH1677" s="42">
        <f>IFERROR(LOOKUP(U1677,打分卡!$F$12:$J$12,打分卡!$K$12:$O$12),1)</f>
        <v>3</v>
      </c>
      <c r="AI1677" s="42">
        <f>IFERROR(LOOKUP(X1677,打分卡!$F$13:$J$13,打分卡!$K$13:$O$13),1)</f>
        <v>2</v>
      </c>
      <c r="AJ1677" s="42">
        <f>IFERROR(LOOKUP(Y1677,打分卡!$F$14:$J$14,打分卡!$K$14:$O$14),1)</f>
        <v>2</v>
      </c>
      <c r="AK1677" s="42">
        <f>IFERROR(LOOKUP(W1677,打分卡!$F$15:$J$15,打分卡!$K$15:$O$15),1)</f>
        <v>1</v>
      </c>
      <c r="AL1677" s="45">
        <f t="shared" si="209"/>
        <v>1</v>
      </c>
      <c r="AM1677" s="42">
        <f>IFERROR(LOOKUP(Z1677,打分卡!$F$17:$H$17,打分卡!$K$17:$M$17),1)</f>
        <v>1</v>
      </c>
      <c r="AN1677" s="46">
        <f>(打分卡!$D$7*AC1677+打分卡!$D$8*AD1677+打分卡!$D$9*AE1677)/5</f>
        <v>8</v>
      </c>
      <c r="AO1677" s="46">
        <f>(打分卡!$D$10*AF1677+打分卡!$D$11*AG1677)/5</f>
        <v>4</v>
      </c>
      <c r="AP1677" s="46">
        <f>(打分卡!$D$12*AH1677+打分卡!$D$13*AI1677+打分卡!$D$14*AJ1677+打分卡!$D$15*AK1677)/5</f>
        <v>13.6</v>
      </c>
      <c r="AQ1677" s="46">
        <f>(打分卡!$D$16*AL1677+打分卡!$D$17*AM1677)/5</f>
        <v>2</v>
      </c>
      <c r="AR1677" s="48">
        <f t="shared" si="210"/>
        <v>27.6</v>
      </c>
      <c r="AS1677" s="45" t="str">
        <f t="shared" si="211"/>
        <v>未激活</v>
      </c>
      <c r="AT1677" s="45" t="str">
        <f t="shared" si="212"/>
        <v>连续下降-预警</v>
      </c>
      <c r="AU1677" s="45" t="str">
        <f t="shared" si="213"/>
        <v>唤醒：短信模板+首充补贴</v>
      </c>
    </row>
    <row r="1678" ht="15" customHeight="1" spans="1:47">
      <c r="A1678" s="30" t="s">
        <v>4281</v>
      </c>
      <c r="B1678" s="31" t="s">
        <v>4282</v>
      </c>
      <c r="C1678" s="31" t="s">
        <v>179</v>
      </c>
      <c r="D1678" s="31" t="s">
        <v>202</v>
      </c>
      <c r="E1678" s="31" t="s">
        <v>181</v>
      </c>
      <c r="F1678" s="30" t="s">
        <v>4283</v>
      </c>
      <c r="G1678" s="31">
        <v>28</v>
      </c>
      <c r="H1678" s="31" t="s">
        <v>3535</v>
      </c>
      <c r="I1678" s="31" t="s">
        <v>302</v>
      </c>
      <c r="J1678" s="33">
        <v>0</v>
      </c>
      <c r="K1678" s="33">
        <v>0</v>
      </c>
      <c r="L1678" s="33">
        <v>0</v>
      </c>
      <c r="M1678" s="33">
        <f t="shared" si="208"/>
        <v>0</v>
      </c>
      <c r="N1678" s="34">
        <f t="shared" si="214"/>
        <v>0</v>
      </c>
      <c r="O1678" s="35">
        <f>SUM($M$2:M1678)</f>
        <v>190743600</v>
      </c>
      <c r="P1678" s="34">
        <f t="shared" si="215"/>
        <v>1</v>
      </c>
      <c r="Q1678" s="37">
        <v>0</v>
      </c>
      <c r="R1678" s="31">
        <v>0</v>
      </c>
      <c r="S1678" s="31">
        <v>0</v>
      </c>
      <c r="T1678" s="31">
        <v>0</v>
      </c>
      <c r="U1678" s="37">
        <v>31</v>
      </c>
      <c r="V1678" s="31">
        <v>13</v>
      </c>
      <c r="W1678" s="31">
        <v>1</v>
      </c>
      <c r="X1678" s="38">
        <v>10</v>
      </c>
      <c r="Y1678" s="31">
        <v>1</v>
      </c>
      <c r="Z1678" s="31">
        <v>0</v>
      </c>
      <c r="AA1678" s="31" t="s">
        <v>212</v>
      </c>
      <c r="AB1678" s="31" t="s">
        <v>220</v>
      </c>
      <c r="AC1678" s="41">
        <f>IFERROR(LOOKUP(M1678,打分卡!$F$7:$J$7,打分卡!$K$7:$O$7),1)</f>
        <v>1</v>
      </c>
      <c r="AD1678" s="41">
        <f>IFERROR(LOOKUP(S1678,打分卡!$F$8:$J$8,打分卡!$K$8:$O$8),1)</f>
        <v>1</v>
      </c>
      <c r="AE1678" s="41">
        <f>IFERROR(LOOKUP(T1678,打分卡!$F$9:$I$9,打分卡!$K$9:$N$9),1)</f>
        <v>1</v>
      </c>
      <c r="AF1678" s="41">
        <f>IFERROR(LOOKUP(Q1678,打分卡!$F$10:$J$10,打分卡!$K$10:$O$10),1)</f>
        <v>1</v>
      </c>
      <c r="AG1678" s="41">
        <f>IFERROR(LOOKUP(R1678,打分卡!$F$11:$J$11,打分卡!$K$11:$O$11),1)</f>
        <v>1</v>
      </c>
      <c r="AH1678" s="41">
        <f>IFERROR(LOOKUP(U1678,打分卡!$F$12:$J$12,打分卡!$K$12:$O$12),1)</f>
        <v>3</v>
      </c>
      <c r="AI1678" s="41">
        <f>IFERROR(LOOKUP(X1678,打分卡!$F$13:$J$13,打分卡!$K$13:$O$13),1)</f>
        <v>1</v>
      </c>
      <c r="AJ1678" s="41">
        <f>IFERROR(LOOKUP(Y1678,打分卡!$F$14:$J$14,打分卡!$K$14:$O$14),1)</f>
        <v>2</v>
      </c>
      <c r="AK1678" s="41">
        <f>IFERROR(LOOKUP(W1678,打分卡!$F$15:$J$15,打分卡!$K$15:$O$15),1)</f>
        <v>2</v>
      </c>
      <c r="AL1678" s="43">
        <f t="shared" si="209"/>
        <v>1</v>
      </c>
      <c r="AM1678" s="41">
        <f>IFERROR(LOOKUP(Z1678,打分卡!$F$17:$H$17,打分卡!$K$17:$M$17),1)</f>
        <v>1</v>
      </c>
      <c r="AN1678" s="44">
        <f>(打分卡!$D$7*AC1678+打分卡!$D$8*AD1678+打分卡!$D$9*AE1678)/5</f>
        <v>8</v>
      </c>
      <c r="AO1678" s="44">
        <f>(打分卡!$D$10*AF1678+打分卡!$D$11*AG1678)/5</f>
        <v>4</v>
      </c>
      <c r="AP1678" s="44">
        <f>(打分卡!$D$12*AH1678+打分卡!$D$13*AI1678+打分卡!$D$14*AJ1678+打分卡!$D$15*AK1678)/5</f>
        <v>12.8</v>
      </c>
      <c r="AQ1678" s="44">
        <f>(打分卡!$D$16*AL1678+打分卡!$D$17*AM1678)/5</f>
        <v>2</v>
      </c>
      <c r="AR1678" s="47">
        <f t="shared" si="210"/>
        <v>26.8</v>
      </c>
      <c r="AS1678" s="43" t="str">
        <f t="shared" si="211"/>
        <v>未激活</v>
      </c>
      <c r="AT1678" s="43" t="str">
        <f t="shared" si="212"/>
        <v>连续下降-预警</v>
      </c>
      <c r="AU1678" s="43" t="str">
        <f t="shared" si="213"/>
        <v>唤醒：短信模板+首充补贴</v>
      </c>
    </row>
    <row r="1679" ht="15" customHeight="1" spans="1:47">
      <c r="A1679" s="20" t="s">
        <v>4284</v>
      </c>
      <c r="B1679" s="22" t="s">
        <v>4285</v>
      </c>
      <c r="C1679" s="22" t="s">
        <v>239</v>
      </c>
      <c r="D1679" s="22" t="s">
        <v>202</v>
      </c>
      <c r="E1679" s="22" t="s">
        <v>181</v>
      </c>
      <c r="F1679" s="20" t="s">
        <v>1149</v>
      </c>
      <c r="G1679" s="22">
        <v>24</v>
      </c>
      <c r="H1679" s="22" t="s">
        <v>3535</v>
      </c>
      <c r="I1679" s="22" t="s">
        <v>302</v>
      </c>
      <c r="J1679" s="36">
        <v>0</v>
      </c>
      <c r="K1679" s="36">
        <v>0</v>
      </c>
      <c r="L1679" s="36">
        <v>0</v>
      </c>
      <c r="M1679" s="36">
        <f t="shared" si="208"/>
        <v>0</v>
      </c>
      <c r="N1679" s="34">
        <f t="shared" si="214"/>
        <v>0</v>
      </c>
      <c r="O1679" s="35">
        <f>SUM($M$2:M1679)</f>
        <v>190743600</v>
      </c>
      <c r="P1679" s="34">
        <f t="shared" si="215"/>
        <v>1</v>
      </c>
      <c r="Q1679" s="39">
        <v>0</v>
      </c>
      <c r="R1679" s="22">
        <v>0</v>
      </c>
      <c r="S1679" s="22">
        <v>0</v>
      </c>
      <c r="T1679" s="22">
        <v>0</v>
      </c>
      <c r="U1679" s="39">
        <v>8</v>
      </c>
      <c r="V1679" s="22">
        <v>6</v>
      </c>
      <c r="W1679" s="22">
        <v>1</v>
      </c>
      <c r="X1679" s="40">
        <v>23</v>
      </c>
      <c r="Y1679" s="22">
        <v>0</v>
      </c>
      <c r="Z1679" s="22">
        <v>0</v>
      </c>
      <c r="AA1679" s="22" t="s">
        <v>212</v>
      </c>
      <c r="AB1679" s="22" t="s">
        <v>220</v>
      </c>
      <c r="AC1679" s="42">
        <f>IFERROR(LOOKUP(M1679,打分卡!$F$7:$J$7,打分卡!$K$7:$O$7),1)</f>
        <v>1</v>
      </c>
      <c r="AD1679" s="42">
        <f>IFERROR(LOOKUP(S1679,打分卡!$F$8:$J$8,打分卡!$K$8:$O$8),1)</f>
        <v>1</v>
      </c>
      <c r="AE1679" s="42">
        <f>IFERROR(LOOKUP(T1679,打分卡!$F$9:$I$9,打分卡!$K$9:$N$9),1)</f>
        <v>1</v>
      </c>
      <c r="AF1679" s="42">
        <f>IFERROR(LOOKUP(Q1679,打分卡!$F$10:$J$10,打分卡!$K$10:$O$10),1)</f>
        <v>1</v>
      </c>
      <c r="AG1679" s="42">
        <f>IFERROR(LOOKUP(R1679,打分卡!$F$11:$J$11,打分卡!$K$11:$O$11),1)</f>
        <v>1</v>
      </c>
      <c r="AH1679" s="42">
        <f>IFERROR(LOOKUP(U1679,打分卡!$F$12:$J$12,打分卡!$K$12:$O$12),1)</f>
        <v>2</v>
      </c>
      <c r="AI1679" s="42">
        <f>IFERROR(LOOKUP(X1679,打分卡!$F$13:$J$13,打分卡!$K$13:$O$13),1)</f>
        <v>2</v>
      </c>
      <c r="AJ1679" s="42">
        <f>IFERROR(LOOKUP(Y1679,打分卡!$F$14:$J$14,打分卡!$K$14:$O$14),1)</f>
        <v>1</v>
      </c>
      <c r="AK1679" s="42">
        <f>IFERROR(LOOKUP(W1679,打分卡!$F$15:$J$15,打分卡!$K$15:$O$15),1)</f>
        <v>2</v>
      </c>
      <c r="AL1679" s="45">
        <f t="shared" si="209"/>
        <v>1</v>
      </c>
      <c r="AM1679" s="42">
        <f>IFERROR(LOOKUP(Z1679,打分卡!$F$17:$H$17,打分卡!$K$17:$M$17),1)</f>
        <v>1</v>
      </c>
      <c r="AN1679" s="46">
        <f>(打分卡!$D$7*AC1679+打分卡!$D$8*AD1679+打分卡!$D$9*AE1679)/5</f>
        <v>8</v>
      </c>
      <c r="AO1679" s="46">
        <f>(打分卡!$D$10*AF1679+打分卡!$D$11*AG1679)/5</f>
        <v>4</v>
      </c>
      <c r="AP1679" s="46">
        <f>(打分卡!$D$12*AH1679+打分卡!$D$13*AI1679+打分卡!$D$14*AJ1679+打分卡!$D$15*AK1679)/5</f>
        <v>10.8</v>
      </c>
      <c r="AQ1679" s="46">
        <f>(打分卡!$D$16*AL1679+打分卡!$D$17*AM1679)/5</f>
        <v>2</v>
      </c>
      <c r="AR1679" s="48">
        <f t="shared" si="210"/>
        <v>24.8</v>
      </c>
      <c r="AS1679" s="45" t="str">
        <f t="shared" si="211"/>
        <v>未激活</v>
      </c>
      <c r="AT1679" s="45" t="str">
        <f t="shared" si="212"/>
        <v>连续下降-预警</v>
      </c>
      <c r="AU1679" s="45" t="str">
        <f t="shared" si="213"/>
        <v>唤醒：短信模板+首充补贴</v>
      </c>
    </row>
    <row r="1680" ht="15" customHeight="1" spans="1:47">
      <c r="A1680" s="30" t="s">
        <v>4286</v>
      </c>
      <c r="B1680" s="31" t="s">
        <v>4287</v>
      </c>
      <c r="C1680" s="31" t="s">
        <v>195</v>
      </c>
      <c r="D1680" s="31" t="s">
        <v>227</v>
      </c>
      <c r="E1680" s="31" t="s">
        <v>197</v>
      </c>
      <c r="F1680" s="30" t="s">
        <v>539</v>
      </c>
      <c r="G1680" s="31">
        <v>15</v>
      </c>
      <c r="H1680" s="31" t="s">
        <v>3535</v>
      </c>
      <c r="I1680" s="31" t="s">
        <v>302</v>
      </c>
      <c r="J1680" s="33">
        <v>0</v>
      </c>
      <c r="K1680" s="33">
        <v>0</v>
      </c>
      <c r="L1680" s="33">
        <v>0</v>
      </c>
      <c r="M1680" s="33">
        <f t="shared" si="208"/>
        <v>0</v>
      </c>
      <c r="N1680" s="34">
        <f t="shared" si="214"/>
        <v>0</v>
      </c>
      <c r="O1680" s="35">
        <f>SUM($M$2:M1680)</f>
        <v>190743600</v>
      </c>
      <c r="P1680" s="34">
        <f t="shared" si="215"/>
        <v>1</v>
      </c>
      <c r="Q1680" s="37">
        <v>0</v>
      </c>
      <c r="R1680" s="31">
        <v>0</v>
      </c>
      <c r="S1680" s="31">
        <v>0</v>
      </c>
      <c r="T1680" s="31">
        <v>0</v>
      </c>
      <c r="U1680" s="37">
        <v>1.1</v>
      </c>
      <c r="V1680" s="31">
        <v>6</v>
      </c>
      <c r="W1680" s="31">
        <v>2</v>
      </c>
      <c r="X1680" s="38">
        <v>50</v>
      </c>
      <c r="Y1680" s="31">
        <v>1</v>
      </c>
      <c r="Z1680" s="31">
        <v>0</v>
      </c>
      <c r="AA1680" s="31" t="s">
        <v>212</v>
      </c>
      <c r="AB1680" s="31" t="s">
        <v>220</v>
      </c>
      <c r="AC1680" s="41">
        <f>IFERROR(LOOKUP(M1680,打分卡!$F$7:$J$7,打分卡!$K$7:$O$7),1)</f>
        <v>1</v>
      </c>
      <c r="AD1680" s="41">
        <f>IFERROR(LOOKUP(S1680,打分卡!$F$8:$J$8,打分卡!$K$8:$O$8),1)</f>
        <v>1</v>
      </c>
      <c r="AE1680" s="41">
        <f>IFERROR(LOOKUP(T1680,打分卡!$F$9:$I$9,打分卡!$K$9:$N$9),1)</f>
        <v>1</v>
      </c>
      <c r="AF1680" s="41">
        <f>IFERROR(LOOKUP(Q1680,打分卡!$F$10:$J$10,打分卡!$K$10:$O$10),1)</f>
        <v>1</v>
      </c>
      <c r="AG1680" s="41">
        <f>IFERROR(LOOKUP(R1680,打分卡!$F$11:$J$11,打分卡!$K$11:$O$11),1)</f>
        <v>1</v>
      </c>
      <c r="AH1680" s="41">
        <f>IFERROR(LOOKUP(U1680,打分卡!$F$12:$J$12,打分卡!$K$12:$O$12),1)</f>
        <v>1</v>
      </c>
      <c r="AI1680" s="41">
        <f>IFERROR(LOOKUP(X1680,打分卡!$F$13:$J$13,打分卡!$K$13:$O$13),1)</f>
        <v>3</v>
      </c>
      <c r="AJ1680" s="41">
        <f>IFERROR(LOOKUP(Y1680,打分卡!$F$14:$J$14,打分卡!$K$14:$O$14),1)</f>
        <v>2</v>
      </c>
      <c r="AK1680" s="41">
        <f>IFERROR(LOOKUP(W1680,打分卡!$F$15:$J$15,打分卡!$K$15:$O$15),1)</f>
        <v>2</v>
      </c>
      <c r="AL1680" s="43">
        <f t="shared" si="209"/>
        <v>1</v>
      </c>
      <c r="AM1680" s="41">
        <f>IFERROR(LOOKUP(Z1680,打分卡!$F$17:$H$17,打分卡!$K$17:$M$17),1)</f>
        <v>1</v>
      </c>
      <c r="AN1680" s="44">
        <f>(打分卡!$D$7*AC1680+打分卡!$D$8*AD1680+打分卡!$D$9*AE1680)/5</f>
        <v>8</v>
      </c>
      <c r="AO1680" s="44">
        <f>(打分卡!$D$10*AF1680+打分卡!$D$11*AG1680)/5</f>
        <v>4</v>
      </c>
      <c r="AP1680" s="44">
        <f>(打分卡!$D$12*AH1680+打分卡!$D$13*AI1680+打分卡!$D$14*AJ1680+打分卡!$D$15*AK1680)/5</f>
        <v>11.2</v>
      </c>
      <c r="AQ1680" s="44">
        <f>(打分卡!$D$16*AL1680+打分卡!$D$17*AM1680)/5</f>
        <v>2</v>
      </c>
      <c r="AR1680" s="47">
        <f t="shared" si="210"/>
        <v>25.2</v>
      </c>
      <c r="AS1680" s="43" t="str">
        <f t="shared" si="211"/>
        <v>未激活</v>
      </c>
      <c r="AT1680" s="43" t="str">
        <f t="shared" si="212"/>
        <v>连续下降-预警</v>
      </c>
      <c r="AU1680" s="43" t="str">
        <f t="shared" si="213"/>
        <v>唤醒：短信模板+首充补贴</v>
      </c>
    </row>
    <row r="1681" ht="15" customHeight="1" spans="1:47">
      <c r="A1681" s="20" t="s">
        <v>4288</v>
      </c>
      <c r="B1681" s="22" t="s">
        <v>4289</v>
      </c>
      <c r="C1681" s="22" t="s">
        <v>209</v>
      </c>
      <c r="D1681" s="22" t="s">
        <v>196</v>
      </c>
      <c r="E1681" s="22" t="s">
        <v>181</v>
      </c>
      <c r="F1681" s="20" t="s">
        <v>2852</v>
      </c>
      <c r="G1681" s="22">
        <v>3</v>
      </c>
      <c r="H1681" s="22" t="s">
        <v>642</v>
      </c>
      <c r="I1681" s="22" t="s">
        <v>302</v>
      </c>
      <c r="J1681" s="36">
        <v>0</v>
      </c>
      <c r="K1681" s="36">
        <v>0</v>
      </c>
      <c r="L1681" s="36">
        <v>0</v>
      </c>
      <c r="M1681" s="36">
        <f t="shared" si="208"/>
        <v>0</v>
      </c>
      <c r="N1681" s="34">
        <f t="shared" si="214"/>
        <v>0</v>
      </c>
      <c r="O1681" s="35">
        <f>SUM($M$2:M1681)</f>
        <v>190743600</v>
      </c>
      <c r="P1681" s="34">
        <f t="shared" si="215"/>
        <v>1</v>
      </c>
      <c r="Q1681" s="39">
        <v>0</v>
      </c>
      <c r="R1681" s="22">
        <v>0</v>
      </c>
      <c r="S1681" s="22">
        <v>0</v>
      </c>
      <c r="T1681" s="22">
        <v>0</v>
      </c>
      <c r="U1681" s="39">
        <v>296</v>
      </c>
      <c r="V1681" s="22">
        <v>2</v>
      </c>
      <c r="W1681" s="22">
        <v>9</v>
      </c>
      <c r="X1681" s="40">
        <v>472</v>
      </c>
      <c r="Y1681" s="22">
        <v>2</v>
      </c>
      <c r="Z1681" s="22">
        <v>0</v>
      </c>
      <c r="AA1681" s="22" t="s">
        <v>199</v>
      </c>
      <c r="AB1681" s="22" t="s">
        <v>220</v>
      </c>
      <c r="AC1681" s="42">
        <f>IFERROR(LOOKUP(M1681,打分卡!$F$7:$J$7,打分卡!$K$7:$O$7),1)</f>
        <v>1</v>
      </c>
      <c r="AD1681" s="42">
        <f>IFERROR(LOOKUP(S1681,打分卡!$F$8:$J$8,打分卡!$K$8:$O$8),1)</f>
        <v>1</v>
      </c>
      <c r="AE1681" s="42">
        <f>IFERROR(LOOKUP(T1681,打分卡!$F$9:$I$9,打分卡!$K$9:$N$9),1)</f>
        <v>1</v>
      </c>
      <c r="AF1681" s="42">
        <f>IFERROR(LOOKUP(Q1681,打分卡!$F$10:$J$10,打分卡!$K$10:$O$10),1)</f>
        <v>1</v>
      </c>
      <c r="AG1681" s="42">
        <f>IFERROR(LOOKUP(R1681,打分卡!$F$11:$J$11,打分卡!$K$11:$O$11),1)</f>
        <v>1</v>
      </c>
      <c r="AH1681" s="42">
        <f>IFERROR(LOOKUP(U1681,打分卡!$F$12:$J$12,打分卡!$K$12:$O$12),1)</f>
        <v>5</v>
      </c>
      <c r="AI1681" s="42">
        <f>IFERROR(LOOKUP(X1681,打分卡!$F$13:$J$13,打分卡!$K$13:$O$13),1)</f>
        <v>5</v>
      </c>
      <c r="AJ1681" s="42">
        <f>IFERROR(LOOKUP(Y1681,打分卡!$F$14:$J$14,打分卡!$K$14:$O$14),1)</f>
        <v>3</v>
      </c>
      <c r="AK1681" s="42">
        <f>IFERROR(LOOKUP(W1681,打分卡!$F$15:$J$15,打分卡!$K$15:$O$15),1)</f>
        <v>4</v>
      </c>
      <c r="AL1681" s="45">
        <f t="shared" si="209"/>
        <v>5</v>
      </c>
      <c r="AM1681" s="42">
        <f>IFERROR(LOOKUP(Z1681,打分卡!$F$17:$H$17,打分卡!$K$17:$M$17),1)</f>
        <v>1</v>
      </c>
      <c r="AN1681" s="46">
        <f>(打分卡!$D$7*AC1681+打分卡!$D$8*AD1681+打分卡!$D$9*AE1681)/5</f>
        <v>8</v>
      </c>
      <c r="AO1681" s="46">
        <f>(打分卡!$D$10*AF1681+打分卡!$D$11*AG1681)/5</f>
        <v>4</v>
      </c>
      <c r="AP1681" s="46">
        <f>(打分卡!$D$12*AH1681+打分卡!$D$13*AI1681+打分卡!$D$14*AJ1681+打分卡!$D$15*AK1681)/5</f>
        <v>26.8</v>
      </c>
      <c r="AQ1681" s="46">
        <f>(打分卡!$D$16*AL1681+打分卡!$D$17*AM1681)/5</f>
        <v>6.8</v>
      </c>
      <c r="AR1681" s="48">
        <f t="shared" si="210"/>
        <v>45.6</v>
      </c>
      <c r="AS1681" s="45" t="str">
        <f t="shared" si="211"/>
        <v>未激活</v>
      </c>
      <c r="AT1681" s="45" t="str">
        <f t="shared" si="212"/>
        <v/>
      </c>
      <c r="AU1681" s="45" t="str">
        <f t="shared" si="213"/>
        <v>唤醒：短信模板+首充补贴</v>
      </c>
    </row>
    <row r="1682" ht="15" customHeight="1" spans="1:47">
      <c r="A1682" s="30" t="s">
        <v>4290</v>
      </c>
      <c r="B1682" s="31" t="s">
        <v>4291</v>
      </c>
      <c r="C1682" s="31" t="s">
        <v>179</v>
      </c>
      <c r="D1682" s="31" t="s">
        <v>196</v>
      </c>
      <c r="E1682" s="31" t="s">
        <v>181</v>
      </c>
      <c r="F1682" s="30" t="s">
        <v>1123</v>
      </c>
      <c r="G1682" s="31">
        <v>19</v>
      </c>
      <c r="H1682" s="31" t="s">
        <v>3535</v>
      </c>
      <c r="I1682" s="31" t="s">
        <v>302</v>
      </c>
      <c r="J1682" s="33">
        <v>0</v>
      </c>
      <c r="K1682" s="33">
        <v>0</v>
      </c>
      <c r="L1682" s="33">
        <v>0</v>
      </c>
      <c r="M1682" s="33">
        <f t="shared" si="208"/>
        <v>0</v>
      </c>
      <c r="N1682" s="34">
        <f t="shared" si="214"/>
        <v>0</v>
      </c>
      <c r="O1682" s="35">
        <f>SUM($M$2:M1682)</f>
        <v>190743600</v>
      </c>
      <c r="P1682" s="34">
        <f t="shared" si="215"/>
        <v>1</v>
      </c>
      <c r="Q1682" s="37">
        <v>0</v>
      </c>
      <c r="R1682" s="31">
        <v>0</v>
      </c>
      <c r="S1682" s="31">
        <v>0</v>
      </c>
      <c r="T1682" s="31">
        <v>0</v>
      </c>
      <c r="U1682" s="37">
        <v>0.9</v>
      </c>
      <c r="V1682" s="31">
        <v>1</v>
      </c>
      <c r="W1682" s="31">
        <v>2</v>
      </c>
      <c r="X1682" s="38">
        <v>12</v>
      </c>
      <c r="Y1682" s="31">
        <v>1</v>
      </c>
      <c r="Z1682" s="31">
        <v>0</v>
      </c>
      <c r="AA1682" s="31" t="s">
        <v>212</v>
      </c>
      <c r="AB1682" s="31" t="s">
        <v>220</v>
      </c>
      <c r="AC1682" s="41">
        <f>IFERROR(LOOKUP(M1682,打分卡!$F$7:$J$7,打分卡!$K$7:$O$7),1)</f>
        <v>1</v>
      </c>
      <c r="AD1682" s="41">
        <f>IFERROR(LOOKUP(S1682,打分卡!$F$8:$J$8,打分卡!$K$8:$O$8),1)</f>
        <v>1</v>
      </c>
      <c r="AE1682" s="41">
        <f>IFERROR(LOOKUP(T1682,打分卡!$F$9:$I$9,打分卡!$K$9:$N$9),1)</f>
        <v>1</v>
      </c>
      <c r="AF1682" s="41">
        <f>IFERROR(LOOKUP(Q1682,打分卡!$F$10:$J$10,打分卡!$K$10:$O$10),1)</f>
        <v>1</v>
      </c>
      <c r="AG1682" s="41">
        <f>IFERROR(LOOKUP(R1682,打分卡!$F$11:$J$11,打分卡!$K$11:$O$11),1)</f>
        <v>1</v>
      </c>
      <c r="AH1682" s="41">
        <f>IFERROR(LOOKUP(U1682,打分卡!$F$12:$J$12,打分卡!$K$12:$O$12),1)</f>
        <v>1</v>
      </c>
      <c r="AI1682" s="41">
        <f>IFERROR(LOOKUP(X1682,打分卡!$F$13:$J$13,打分卡!$K$13:$O$13),1)</f>
        <v>1</v>
      </c>
      <c r="AJ1682" s="41">
        <f>IFERROR(LOOKUP(Y1682,打分卡!$F$14:$J$14,打分卡!$K$14:$O$14),1)</f>
        <v>2</v>
      </c>
      <c r="AK1682" s="41">
        <f>IFERROR(LOOKUP(W1682,打分卡!$F$15:$J$15,打分卡!$K$15:$O$15),1)</f>
        <v>2</v>
      </c>
      <c r="AL1682" s="43">
        <f t="shared" si="209"/>
        <v>1</v>
      </c>
      <c r="AM1682" s="41">
        <f>IFERROR(LOOKUP(Z1682,打分卡!$F$17:$H$17,打分卡!$K$17:$M$17),1)</f>
        <v>1</v>
      </c>
      <c r="AN1682" s="44">
        <f>(打分卡!$D$7*AC1682+打分卡!$D$8*AD1682+打分卡!$D$9*AE1682)/5</f>
        <v>8</v>
      </c>
      <c r="AO1682" s="44">
        <f>(打分卡!$D$10*AF1682+打分卡!$D$11*AG1682)/5</f>
        <v>4</v>
      </c>
      <c r="AP1682" s="44">
        <f>(打分卡!$D$12*AH1682+打分卡!$D$13*AI1682+打分卡!$D$14*AJ1682+打分卡!$D$15*AK1682)/5</f>
        <v>8</v>
      </c>
      <c r="AQ1682" s="44">
        <f>(打分卡!$D$16*AL1682+打分卡!$D$17*AM1682)/5</f>
        <v>2</v>
      </c>
      <c r="AR1682" s="47">
        <f t="shared" si="210"/>
        <v>22</v>
      </c>
      <c r="AS1682" s="43" t="str">
        <f t="shared" si="211"/>
        <v>未激活</v>
      </c>
      <c r="AT1682" s="43" t="str">
        <f t="shared" si="212"/>
        <v>连续下降-预警</v>
      </c>
      <c r="AU1682" s="43" t="str">
        <f t="shared" si="213"/>
        <v>唤醒：短信模板+首充补贴</v>
      </c>
    </row>
    <row r="1683" ht="15" customHeight="1" spans="1:47">
      <c r="A1683" s="20" t="s">
        <v>4292</v>
      </c>
      <c r="B1683" s="22" t="s">
        <v>4293</v>
      </c>
      <c r="C1683" s="22" t="s">
        <v>223</v>
      </c>
      <c r="D1683" s="22" t="s">
        <v>196</v>
      </c>
      <c r="E1683" s="22" t="s">
        <v>181</v>
      </c>
      <c r="F1683" s="20" t="s">
        <v>4294</v>
      </c>
      <c r="G1683" s="22">
        <v>30</v>
      </c>
      <c r="H1683" s="22" t="s">
        <v>3535</v>
      </c>
      <c r="I1683" s="22" t="s">
        <v>302</v>
      </c>
      <c r="J1683" s="36">
        <v>0</v>
      </c>
      <c r="K1683" s="36">
        <v>0</v>
      </c>
      <c r="L1683" s="36">
        <v>0</v>
      </c>
      <c r="M1683" s="36">
        <f t="shared" si="208"/>
        <v>0</v>
      </c>
      <c r="N1683" s="34">
        <f t="shared" si="214"/>
        <v>0</v>
      </c>
      <c r="O1683" s="35">
        <f>SUM($M$2:M1683)</f>
        <v>190743600</v>
      </c>
      <c r="P1683" s="34">
        <f t="shared" si="215"/>
        <v>1</v>
      </c>
      <c r="Q1683" s="39">
        <v>0</v>
      </c>
      <c r="R1683" s="22">
        <v>0</v>
      </c>
      <c r="S1683" s="22">
        <v>0</v>
      </c>
      <c r="T1683" s="22">
        <v>0</v>
      </c>
      <c r="U1683" s="39">
        <v>0.6</v>
      </c>
      <c r="V1683" s="22">
        <v>11</v>
      </c>
      <c r="W1683" s="22">
        <v>2</v>
      </c>
      <c r="X1683" s="40">
        <v>8</v>
      </c>
      <c r="Y1683" s="22">
        <v>1</v>
      </c>
      <c r="Z1683" s="22">
        <v>0</v>
      </c>
      <c r="AA1683" s="22" t="s">
        <v>212</v>
      </c>
      <c r="AB1683" s="22" t="s">
        <v>220</v>
      </c>
      <c r="AC1683" s="42">
        <f>IFERROR(LOOKUP(M1683,打分卡!$F$7:$J$7,打分卡!$K$7:$O$7),1)</f>
        <v>1</v>
      </c>
      <c r="AD1683" s="42">
        <f>IFERROR(LOOKUP(S1683,打分卡!$F$8:$J$8,打分卡!$K$8:$O$8),1)</f>
        <v>1</v>
      </c>
      <c r="AE1683" s="42">
        <f>IFERROR(LOOKUP(T1683,打分卡!$F$9:$I$9,打分卡!$K$9:$N$9),1)</f>
        <v>1</v>
      </c>
      <c r="AF1683" s="42">
        <f>IFERROR(LOOKUP(Q1683,打分卡!$F$10:$J$10,打分卡!$K$10:$O$10),1)</f>
        <v>1</v>
      </c>
      <c r="AG1683" s="42">
        <f>IFERROR(LOOKUP(R1683,打分卡!$F$11:$J$11,打分卡!$K$11:$O$11),1)</f>
        <v>1</v>
      </c>
      <c r="AH1683" s="42">
        <f>IFERROR(LOOKUP(U1683,打分卡!$F$12:$J$12,打分卡!$K$12:$O$12),1)</f>
        <v>1</v>
      </c>
      <c r="AI1683" s="42">
        <f>IFERROR(LOOKUP(X1683,打分卡!$F$13:$J$13,打分卡!$K$13:$O$13),1)</f>
        <v>1</v>
      </c>
      <c r="AJ1683" s="42">
        <f>IFERROR(LOOKUP(Y1683,打分卡!$F$14:$J$14,打分卡!$K$14:$O$14),1)</f>
        <v>2</v>
      </c>
      <c r="AK1683" s="42">
        <f>IFERROR(LOOKUP(W1683,打分卡!$F$15:$J$15,打分卡!$K$15:$O$15),1)</f>
        <v>2</v>
      </c>
      <c r="AL1683" s="45">
        <f t="shared" si="209"/>
        <v>1</v>
      </c>
      <c r="AM1683" s="42">
        <f>IFERROR(LOOKUP(Z1683,打分卡!$F$17:$H$17,打分卡!$K$17:$M$17),1)</f>
        <v>1</v>
      </c>
      <c r="AN1683" s="46">
        <f>(打分卡!$D$7*AC1683+打分卡!$D$8*AD1683+打分卡!$D$9*AE1683)/5</f>
        <v>8</v>
      </c>
      <c r="AO1683" s="46">
        <f>(打分卡!$D$10*AF1683+打分卡!$D$11*AG1683)/5</f>
        <v>4</v>
      </c>
      <c r="AP1683" s="46">
        <f>(打分卡!$D$12*AH1683+打分卡!$D$13*AI1683+打分卡!$D$14*AJ1683+打分卡!$D$15*AK1683)/5</f>
        <v>8</v>
      </c>
      <c r="AQ1683" s="46">
        <f>(打分卡!$D$16*AL1683+打分卡!$D$17*AM1683)/5</f>
        <v>2</v>
      </c>
      <c r="AR1683" s="48">
        <f t="shared" si="210"/>
        <v>22</v>
      </c>
      <c r="AS1683" s="45" t="str">
        <f t="shared" si="211"/>
        <v>未激活</v>
      </c>
      <c r="AT1683" s="45" t="str">
        <f t="shared" si="212"/>
        <v>连续下降-预警</v>
      </c>
      <c r="AU1683" s="45" t="str">
        <f t="shared" si="213"/>
        <v>唤醒：短信模板+首充补贴</v>
      </c>
    </row>
    <row r="1684" ht="15" customHeight="1" spans="1:47">
      <c r="A1684" s="30" t="s">
        <v>4295</v>
      </c>
      <c r="B1684" s="31" t="s">
        <v>4296</v>
      </c>
      <c r="C1684" s="31" t="s">
        <v>218</v>
      </c>
      <c r="D1684" s="31" t="s">
        <v>235</v>
      </c>
      <c r="E1684" s="31" t="s">
        <v>181</v>
      </c>
      <c r="F1684" s="30" t="s">
        <v>4118</v>
      </c>
      <c r="G1684" s="31">
        <v>36</v>
      </c>
      <c r="H1684" s="31" t="s">
        <v>3535</v>
      </c>
      <c r="I1684" s="31" t="s">
        <v>302</v>
      </c>
      <c r="J1684" s="33">
        <v>0</v>
      </c>
      <c r="K1684" s="33">
        <v>0</v>
      </c>
      <c r="L1684" s="33">
        <v>0</v>
      </c>
      <c r="M1684" s="33">
        <f t="shared" si="208"/>
        <v>0</v>
      </c>
      <c r="N1684" s="34">
        <f t="shared" si="214"/>
        <v>0</v>
      </c>
      <c r="O1684" s="35">
        <f>SUM($M$2:M1684)</f>
        <v>190743600</v>
      </c>
      <c r="P1684" s="34">
        <f t="shared" si="215"/>
        <v>1</v>
      </c>
      <c r="Q1684" s="37">
        <v>0</v>
      </c>
      <c r="R1684" s="31">
        <v>0</v>
      </c>
      <c r="S1684" s="31">
        <v>0</v>
      </c>
      <c r="T1684" s="31">
        <v>0</v>
      </c>
      <c r="U1684" s="37">
        <v>38.4</v>
      </c>
      <c r="V1684" s="31">
        <v>0</v>
      </c>
      <c r="W1684" s="31">
        <v>2</v>
      </c>
      <c r="X1684" s="38">
        <v>79</v>
      </c>
      <c r="Y1684" s="31">
        <v>1</v>
      </c>
      <c r="Z1684" s="31">
        <v>0</v>
      </c>
      <c r="AA1684" s="31" t="s">
        <v>212</v>
      </c>
      <c r="AB1684" s="31" t="s">
        <v>220</v>
      </c>
      <c r="AC1684" s="41">
        <f>IFERROR(LOOKUP(M1684,打分卡!$F$7:$J$7,打分卡!$K$7:$O$7),1)</f>
        <v>1</v>
      </c>
      <c r="AD1684" s="41">
        <f>IFERROR(LOOKUP(S1684,打分卡!$F$8:$J$8,打分卡!$K$8:$O$8),1)</f>
        <v>1</v>
      </c>
      <c r="AE1684" s="41">
        <f>IFERROR(LOOKUP(T1684,打分卡!$F$9:$I$9,打分卡!$K$9:$N$9),1)</f>
        <v>1</v>
      </c>
      <c r="AF1684" s="41">
        <f>IFERROR(LOOKUP(Q1684,打分卡!$F$10:$J$10,打分卡!$K$10:$O$10),1)</f>
        <v>1</v>
      </c>
      <c r="AG1684" s="41">
        <f>IFERROR(LOOKUP(R1684,打分卡!$F$11:$J$11,打分卡!$K$11:$O$11),1)</f>
        <v>1</v>
      </c>
      <c r="AH1684" s="41">
        <f>IFERROR(LOOKUP(U1684,打分卡!$F$12:$J$12,打分卡!$K$12:$O$12),1)</f>
        <v>4</v>
      </c>
      <c r="AI1684" s="41">
        <f>IFERROR(LOOKUP(X1684,打分卡!$F$13:$J$13,打分卡!$K$13:$O$13),1)</f>
        <v>3</v>
      </c>
      <c r="AJ1684" s="41">
        <f>IFERROR(LOOKUP(Y1684,打分卡!$F$14:$J$14,打分卡!$K$14:$O$14),1)</f>
        <v>2</v>
      </c>
      <c r="AK1684" s="41">
        <f>IFERROR(LOOKUP(W1684,打分卡!$F$15:$J$15,打分卡!$K$15:$O$15),1)</f>
        <v>2</v>
      </c>
      <c r="AL1684" s="43">
        <f t="shared" si="209"/>
        <v>1</v>
      </c>
      <c r="AM1684" s="41">
        <f>IFERROR(LOOKUP(Z1684,打分卡!$F$17:$H$17,打分卡!$K$17:$M$17),1)</f>
        <v>1</v>
      </c>
      <c r="AN1684" s="44">
        <f>(打分卡!$D$7*AC1684+打分卡!$D$8*AD1684+打分卡!$D$9*AE1684)/5</f>
        <v>8</v>
      </c>
      <c r="AO1684" s="44">
        <f>(打分卡!$D$10*AF1684+打分卡!$D$11*AG1684)/5</f>
        <v>4</v>
      </c>
      <c r="AP1684" s="44">
        <f>(打分卡!$D$12*AH1684+打分卡!$D$13*AI1684+打分卡!$D$14*AJ1684+打分卡!$D$15*AK1684)/5</f>
        <v>18.4</v>
      </c>
      <c r="AQ1684" s="44">
        <f>(打分卡!$D$16*AL1684+打分卡!$D$17*AM1684)/5</f>
        <v>2</v>
      </c>
      <c r="AR1684" s="47">
        <f t="shared" si="210"/>
        <v>32.4</v>
      </c>
      <c r="AS1684" s="43" t="str">
        <f t="shared" si="211"/>
        <v>未激活</v>
      </c>
      <c r="AT1684" s="43" t="str">
        <f t="shared" si="212"/>
        <v>连续下降-预警</v>
      </c>
      <c r="AU1684" s="43" t="str">
        <f t="shared" si="213"/>
        <v>唤醒：短信模板+首充补贴</v>
      </c>
    </row>
    <row r="1685" ht="15" customHeight="1" spans="1:47">
      <c r="A1685" s="20" t="s">
        <v>4297</v>
      </c>
      <c r="B1685" s="22" t="s">
        <v>4298</v>
      </c>
      <c r="C1685" s="22" t="s">
        <v>189</v>
      </c>
      <c r="D1685" s="22" t="s">
        <v>190</v>
      </c>
      <c r="E1685" s="22" t="s">
        <v>181</v>
      </c>
      <c r="F1685" s="20" t="s">
        <v>4157</v>
      </c>
      <c r="G1685" s="22">
        <v>26</v>
      </c>
      <c r="H1685" s="22" t="s">
        <v>3535</v>
      </c>
      <c r="I1685" s="22" t="s">
        <v>302</v>
      </c>
      <c r="J1685" s="36">
        <v>0</v>
      </c>
      <c r="K1685" s="36">
        <v>0</v>
      </c>
      <c r="L1685" s="36">
        <v>0</v>
      </c>
      <c r="M1685" s="36">
        <f t="shared" si="208"/>
        <v>0</v>
      </c>
      <c r="N1685" s="34">
        <f t="shared" si="214"/>
        <v>0</v>
      </c>
      <c r="O1685" s="35">
        <f>SUM($M$2:M1685)</f>
        <v>190743600</v>
      </c>
      <c r="P1685" s="34">
        <f t="shared" si="215"/>
        <v>1</v>
      </c>
      <c r="Q1685" s="39">
        <v>0</v>
      </c>
      <c r="R1685" s="22">
        <v>0</v>
      </c>
      <c r="S1685" s="22">
        <v>0</v>
      </c>
      <c r="T1685" s="22">
        <v>0</v>
      </c>
      <c r="U1685" s="39">
        <v>4.3</v>
      </c>
      <c r="V1685" s="22">
        <v>0</v>
      </c>
      <c r="W1685" s="22">
        <v>1</v>
      </c>
      <c r="X1685" s="40">
        <v>5</v>
      </c>
      <c r="Y1685" s="22">
        <v>1</v>
      </c>
      <c r="Z1685" s="22">
        <v>0</v>
      </c>
      <c r="AA1685" s="22" t="s">
        <v>212</v>
      </c>
      <c r="AB1685" s="22" t="s">
        <v>220</v>
      </c>
      <c r="AC1685" s="42">
        <f>IFERROR(LOOKUP(M1685,打分卡!$F$7:$J$7,打分卡!$K$7:$O$7),1)</f>
        <v>1</v>
      </c>
      <c r="AD1685" s="42">
        <f>IFERROR(LOOKUP(S1685,打分卡!$F$8:$J$8,打分卡!$K$8:$O$8),1)</f>
        <v>1</v>
      </c>
      <c r="AE1685" s="42">
        <f>IFERROR(LOOKUP(T1685,打分卡!$F$9:$I$9,打分卡!$K$9:$N$9),1)</f>
        <v>1</v>
      </c>
      <c r="AF1685" s="42">
        <f>IFERROR(LOOKUP(Q1685,打分卡!$F$10:$J$10,打分卡!$K$10:$O$10),1)</f>
        <v>1</v>
      </c>
      <c r="AG1685" s="42">
        <f>IFERROR(LOOKUP(R1685,打分卡!$F$11:$J$11,打分卡!$K$11:$O$11),1)</f>
        <v>1</v>
      </c>
      <c r="AH1685" s="42">
        <f>IFERROR(LOOKUP(U1685,打分卡!$F$12:$J$12,打分卡!$K$12:$O$12),1)</f>
        <v>2</v>
      </c>
      <c r="AI1685" s="42">
        <f>IFERROR(LOOKUP(X1685,打分卡!$F$13:$J$13,打分卡!$K$13:$O$13),1)</f>
        <v>1</v>
      </c>
      <c r="AJ1685" s="42">
        <f>IFERROR(LOOKUP(Y1685,打分卡!$F$14:$J$14,打分卡!$K$14:$O$14),1)</f>
        <v>2</v>
      </c>
      <c r="AK1685" s="42">
        <f>IFERROR(LOOKUP(W1685,打分卡!$F$15:$J$15,打分卡!$K$15:$O$15),1)</f>
        <v>2</v>
      </c>
      <c r="AL1685" s="45">
        <f t="shared" si="209"/>
        <v>1</v>
      </c>
      <c r="AM1685" s="42">
        <f>IFERROR(LOOKUP(Z1685,打分卡!$F$17:$H$17,打分卡!$K$17:$M$17),1)</f>
        <v>1</v>
      </c>
      <c r="AN1685" s="46">
        <f>(打分卡!$D$7*AC1685+打分卡!$D$8*AD1685+打分卡!$D$9*AE1685)/5</f>
        <v>8</v>
      </c>
      <c r="AO1685" s="46">
        <f>(打分卡!$D$10*AF1685+打分卡!$D$11*AG1685)/5</f>
        <v>4</v>
      </c>
      <c r="AP1685" s="46">
        <f>(打分卡!$D$12*AH1685+打分卡!$D$13*AI1685+打分卡!$D$14*AJ1685+打分卡!$D$15*AK1685)/5</f>
        <v>10.4</v>
      </c>
      <c r="AQ1685" s="46">
        <f>(打分卡!$D$16*AL1685+打分卡!$D$17*AM1685)/5</f>
        <v>2</v>
      </c>
      <c r="AR1685" s="48">
        <f t="shared" si="210"/>
        <v>24.4</v>
      </c>
      <c r="AS1685" s="45" t="str">
        <f t="shared" si="211"/>
        <v>未激活</v>
      </c>
      <c r="AT1685" s="45" t="str">
        <f t="shared" si="212"/>
        <v>连续下降-预警</v>
      </c>
      <c r="AU1685" s="45" t="str">
        <f t="shared" si="213"/>
        <v>唤醒：短信模板+首充补贴</v>
      </c>
    </row>
    <row r="1686" ht="15" customHeight="1" spans="1:47">
      <c r="A1686" s="30" t="s">
        <v>4299</v>
      </c>
      <c r="B1686" s="31" t="s">
        <v>4300</v>
      </c>
      <c r="C1686" s="31" t="s">
        <v>189</v>
      </c>
      <c r="D1686" s="31" t="s">
        <v>235</v>
      </c>
      <c r="E1686" s="31" t="s">
        <v>181</v>
      </c>
      <c r="F1686" s="30" t="s">
        <v>781</v>
      </c>
      <c r="G1686" s="31">
        <v>21</v>
      </c>
      <c r="H1686" s="31" t="s">
        <v>3535</v>
      </c>
      <c r="I1686" s="31" t="s">
        <v>302</v>
      </c>
      <c r="J1686" s="33">
        <v>0</v>
      </c>
      <c r="K1686" s="33">
        <v>0</v>
      </c>
      <c r="L1686" s="33">
        <v>0</v>
      </c>
      <c r="M1686" s="33">
        <f t="shared" si="208"/>
        <v>0</v>
      </c>
      <c r="N1686" s="34">
        <f t="shared" si="214"/>
        <v>0</v>
      </c>
      <c r="O1686" s="35">
        <f>SUM($M$2:M1686)</f>
        <v>190743600</v>
      </c>
      <c r="P1686" s="34">
        <f t="shared" si="215"/>
        <v>1</v>
      </c>
      <c r="Q1686" s="37">
        <v>0</v>
      </c>
      <c r="R1686" s="31">
        <v>0</v>
      </c>
      <c r="S1686" s="31">
        <v>0</v>
      </c>
      <c r="T1686" s="31">
        <v>0</v>
      </c>
      <c r="U1686" s="37">
        <v>42</v>
      </c>
      <c r="V1686" s="31">
        <v>5</v>
      </c>
      <c r="W1686" s="31">
        <v>0</v>
      </c>
      <c r="X1686" s="38">
        <v>41</v>
      </c>
      <c r="Y1686" s="31">
        <v>0</v>
      </c>
      <c r="Z1686" s="31">
        <v>0</v>
      </c>
      <c r="AA1686" s="31" t="s">
        <v>212</v>
      </c>
      <c r="AB1686" s="31" t="s">
        <v>220</v>
      </c>
      <c r="AC1686" s="41">
        <f>IFERROR(LOOKUP(M1686,打分卡!$F$7:$J$7,打分卡!$K$7:$O$7),1)</f>
        <v>1</v>
      </c>
      <c r="AD1686" s="41">
        <f>IFERROR(LOOKUP(S1686,打分卡!$F$8:$J$8,打分卡!$K$8:$O$8),1)</f>
        <v>1</v>
      </c>
      <c r="AE1686" s="41">
        <f>IFERROR(LOOKUP(T1686,打分卡!$F$9:$I$9,打分卡!$K$9:$N$9),1)</f>
        <v>1</v>
      </c>
      <c r="AF1686" s="41">
        <f>IFERROR(LOOKUP(Q1686,打分卡!$F$10:$J$10,打分卡!$K$10:$O$10),1)</f>
        <v>1</v>
      </c>
      <c r="AG1686" s="41">
        <f>IFERROR(LOOKUP(R1686,打分卡!$F$11:$J$11,打分卡!$K$11:$O$11),1)</f>
        <v>1</v>
      </c>
      <c r="AH1686" s="41">
        <f>IFERROR(LOOKUP(U1686,打分卡!$F$12:$J$12,打分卡!$K$12:$O$12),1)</f>
        <v>4</v>
      </c>
      <c r="AI1686" s="41">
        <f>IFERROR(LOOKUP(X1686,打分卡!$F$13:$J$13,打分卡!$K$13:$O$13),1)</f>
        <v>3</v>
      </c>
      <c r="AJ1686" s="41">
        <f>IFERROR(LOOKUP(Y1686,打分卡!$F$14:$J$14,打分卡!$K$14:$O$14),1)</f>
        <v>1</v>
      </c>
      <c r="AK1686" s="41">
        <f>IFERROR(LOOKUP(W1686,打分卡!$F$15:$J$15,打分卡!$K$15:$O$15),1)</f>
        <v>1</v>
      </c>
      <c r="AL1686" s="43">
        <f t="shared" si="209"/>
        <v>1</v>
      </c>
      <c r="AM1686" s="41">
        <f>IFERROR(LOOKUP(Z1686,打分卡!$F$17:$H$17,打分卡!$K$17:$M$17),1)</f>
        <v>1</v>
      </c>
      <c r="AN1686" s="44">
        <f>(打分卡!$D$7*AC1686+打分卡!$D$8*AD1686+打分卡!$D$9*AE1686)/5</f>
        <v>8</v>
      </c>
      <c r="AO1686" s="44">
        <f>(打分卡!$D$10*AF1686+打分卡!$D$11*AG1686)/5</f>
        <v>4</v>
      </c>
      <c r="AP1686" s="44">
        <f>(打分卡!$D$12*AH1686+打分卡!$D$13*AI1686+打分卡!$D$14*AJ1686+打分卡!$D$15*AK1686)/5</f>
        <v>16.4</v>
      </c>
      <c r="AQ1686" s="44">
        <f>(打分卡!$D$16*AL1686+打分卡!$D$17*AM1686)/5</f>
        <v>2</v>
      </c>
      <c r="AR1686" s="47">
        <f t="shared" si="210"/>
        <v>30.4</v>
      </c>
      <c r="AS1686" s="43" t="str">
        <f t="shared" si="211"/>
        <v>未激活</v>
      </c>
      <c r="AT1686" s="43" t="str">
        <f t="shared" si="212"/>
        <v>连续下降-预警</v>
      </c>
      <c r="AU1686" s="43" t="str">
        <f t="shared" si="213"/>
        <v>唤醒：短信模板+首充补贴</v>
      </c>
    </row>
    <row r="1687" ht="15" customHeight="1" spans="1:47">
      <c r="A1687" s="20" t="s">
        <v>4301</v>
      </c>
      <c r="B1687" s="22" t="s">
        <v>4302</v>
      </c>
      <c r="C1687" s="22" t="s">
        <v>218</v>
      </c>
      <c r="D1687" s="22" t="s">
        <v>227</v>
      </c>
      <c r="E1687" s="22" t="s">
        <v>181</v>
      </c>
      <c r="F1687" s="20" t="s">
        <v>4303</v>
      </c>
      <c r="G1687" s="22">
        <v>34</v>
      </c>
      <c r="H1687" s="22" t="s">
        <v>3535</v>
      </c>
      <c r="I1687" s="22" t="s">
        <v>302</v>
      </c>
      <c r="J1687" s="36">
        <v>0</v>
      </c>
      <c r="K1687" s="36">
        <v>0</v>
      </c>
      <c r="L1687" s="36">
        <v>0</v>
      </c>
      <c r="M1687" s="36">
        <f t="shared" si="208"/>
        <v>0</v>
      </c>
      <c r="N1687" s="34">
        <f t="shared" si="214"/>
        <v>0</v>
      </c>
      <c r="O1687" s="35">
        <f>SUM($M$2:M1687)</f>
        <v>190743600</v>
      </c>
      <c r="P1687" s="34">
        <f t="shared" si="215"/>
        <v>1</v>
      </c>
      <c r="Q1687" s="39">
        <v>0</v>
      </c>
      <c r="R1687" s="22">
        <v>0</v>
      </c>
      <c r="S1687" s="22">
        <v>0</v>
      </c>
      <c r="T1687" s="22">
        <v>0</v>
      </c>
      <c r="U1687" s="39">
        <v>3.3</v>
      </c>
      <c r="V1687" s="22">
        <v>8</v>
      </c>
      <c r="W1687" s="22">
        <v>0</v>
      </c>
      <c r="X1687" s="40">
        <v>9</v>
      </c>
      <c r="Y1687" s="22">
        <v>0</v>
      </c>
      <c r="Z1687" s="22">
        <v>0</v>
      </c>
      <c r="AA1687" s="22" t="s">
        <v>212</v>
      </c>
      <c r="AB1687" s="22" t="s">
        <v>220</v>
      </c>
      <c r="AC1687" s="42">
        <f>IFERROR(LOOKUP(M1687,打分卡!$F$7:$J$7,打分卡!$K$7:$O$7),1)</f>
        <v>1</v>
      </c>
      <c r="AD1687" s="42">
        <f>IFERROR(LOOKUP(S1687,打分卡!$F$8:$J$8,打分卡!$K$8:$O$8),1)</f>
        <v>1</v>
      </c>
      <c r="AE1687" s="42">
        <f>IFERROR(LOOKUP(T1687,打分卡!$F$9:$I$9,打分卡!$K$9:$N$9),1)</f>
        <v>1</v>
      </c>
      <c r="AF1687" s="42">
        <f>IFERROR(LOOKUP(Q1687,打分卡!$F$10:$J$10,打分卡!$K$10:$O$10),1)</f>
        <v>1</v>
      </c>
      <c r="AG1687" s="42">
        <f>IFERROR(LOOKUP(R1687,打分卡!$F$11:$J$11,打分卡!$K$11:$O$11),1)</f>
        <v>1</v>
      </c>
      <c r="AH1687" s="42">
        <f>IFERROR(LOOKUP(U1687,打分卡!$F$12:$J$12,打分卡!$K$12:$O$12),1)</f>
        <v>2</v>
      </c>
      <c r="AI1687" s="42">
        <f>IFERROR(LOOKUP(X1687,打分卡!$F$13:$J$13,打分卡!$K$13:$O$13),1)</f>
        <v>1</v>
      </c>
      <c r="AJ1687" s="42">
        <f>IFERROR(LOOKUP(Y1687,打分卡!$F$14:$J$14,打分卡!$K$14:$O$14),1)</f>
        <v>1</v>
      </c>
      <c r="AK1687" s="42">
        <f>IFERROR(LOOKUP(W1687,打分卡!$F$15:$J$15,打分卡!$K$15:$O$15),1)</f>
        <v>1</v>
      </c>
      <c r="AL1687" s="45">
        <f t="shared" si="209"/>
        <v>1</v>
      </c>
      <c r="AM1687" s="42">
        <f>IFERROR(LOOKUP(Z1687,打分卡!$F$17:$H$17,打分卡!$K$17:$M$17),1)</f>
        <v>1</v>
      </c>
      <c r="AN1687" s="46">
        <f>(打分卡!$D$7*AC1687+打分卡!$D$8*AD1687+打分卡!$D$9*AE1687)/5</f>
        <v>8</v>
      </c>
      <c r="AO1687" s="46">
        <f>(打分卡!$D$10*AF1687+打分卡!$D$11*AG1687)/5</f>
        <v>4</v>
      </c>
      <c r="AP1687" s="46">
        <f>(打分卡!$D$12*AH1687+打分卡!$D$13*AI1687+打分卡!$D$14*AJ1687+打分卡!$D$15*AK1687)/5</f>
        <v>8.4</v>
      </c>
      <c r="AQ1687" s="46">
        <f>(打分卡!$D$16*AL1687+打分卡!$D$17*AM1687)/5</f>
        <v>2</v>
      </c>
      <c r="AR1687" s="48">
        <f t="shared" si="210"/>
        <v>22.4</v>
      </c>
      <c r="AS1687" s="45" t="str">
        <f t="shared" si="211"/>
        <v>未激活</v>
      </c>
      <c r="AT1687" s="45" t="str">
        <f t="shared" si="212"/>
        <v>连续下降-预警</v>
      </c>
      <c r="AU1687" s="45" t="str">
        <f t="shared" si="213"/>
        <v>唤醒：短信模板+首充补贴</v>
      </c>
    </row>
    <row r="1688" ht="15" customHeight="1" spans="1:47">
      <c r="A1688" s="30" t="s">
        <v>4304</v>
      </c>
      <c r="B1688" s="31" t="s">
        <v>4305</v>
      </c>
      <c r="C1688" s="31" t="s">
        <v>195</v>
      </c>
      <c r="D1688" s="31" t="s">
        <v>227</v>
      </c>
      <c r="E1688" s="31" t="s">
        <v>181</v>
      </c>
      <c r="F1688" s="30" t="s">
        <v>606</v>
      </c>
      <c r="G1688" s="31">
        <v>26</v>
      </c>
      <c r="H1688" s="31" t="s">
        <v>3535</v>
      </c>
      <c r="I1688" s="31" t="s">
        <v>302</v>
      </c>
      <c r="J1688" s="33">
        <v>0</v>
      </c>
      <c r="K1688" s="33">
        <v>0</v>
      </c>
      <c r="L1688" s="33">
        <v>0</v>
      </c>
      <c r="M1688" s="33">
        <f t="shared" si="208"/>
        <v>0</v>
      </c>
      <c r="N1688" s="34">
        <f t="shared" si="214"/>
        <v>0</v>
      </c>
      <c r="O1688" s="35">
        <f>SUM($M$2:M1688)</f>
        <v>190743600</v>
      </c>
      <c r="P1688" s="34">
        <f t="shared" si="215"/>
        <v>1</v>
      </c>
      <c r="Q1688" s="37">
        <v>0</v>
      </c>
      <c r="R1688" s="31">
        <v>0</v>
      </c>
      <c r="S1688" s="31">
        <v>0</v>
      </c>
      <c r="T1688" s="31">
        <v>0</v>
      </c>
      <c r="U1688" s="37">
        <v>1.4</v>
      </c>
      <c r="V1688" s="31">
        <v>10</v>
      </c>
      <c r="W1688" s="31">
        <v>0</v>
      </c>
      <c r="X1688" s="38">
        <v>79</v>
      </c>
      <c r="Y1688" s="31">
        <v>0</v>
      </c>
      <c r="Z1688" s="31">
        <v>0</v>
      </c>
      <c r="AA1688" s="31" t="s">
        <v>212</v>
      </c>
      <c r="AB1688" s="31" t="s">
        <v>220</v>
      </c>
      <c r="AC1688" s="41">
        <f>IFERROR(LOOKUP(M1688,打分卡!$F$7:$J$7,打分卡!$K$7:$O$7),1)</f>
        <v>1</v>
      </c>
      <c r="AD1688" s="41">
        <f>IFERROR(LOOKUP(S1688,打分卡!$F$8:$J$8,打分卡!$K$8:$O$8),1)</f>
        <v>1</v>
      </c>
      <c r="AE1688" s="41">
        <f>IFERROR(LOOKUP(T1688,打分卡!$F$9:$I$9,打分卡!$K$9:$N$9),1)</f>
        <v>1</v>
      </c>
      <c r="AF1688" s="41">
        <f>IFERROR(LOOKUP(Q1688,打分卡!$F$10:$J$10,打分卡!$K$10:$O$10),1)</f>
        <v>1</v>
      </c>
      <c r="AG1688" s="41">
        <f>IFERROR(LOOKUP(R1688,打分卡!$F$11:$J$11,打分卡!$K$11:$O$11),1)</f>
        <v>1</v>
      </c>
      <c r="AH1688" s="41">
        <f>IFERROR(LOOKUP(U1688,打分卡!$F$12:$J$12,打分卡!$K$12:$O$12),1)</f>
        <v>1</v>
      </c>
      <c r="AI1688" s="41">
        <f>IFERROR(LOOKUP(X1688,打分卡!$F$13:$J$13,打分卡!$K$13:$O$13),1)</f>
        <v>3</v>
      </c>
      <c r="AJ1688" s="41">
        <f>IFERROR(LOOKUP(Y1688,打分卡!$F$14:$J$14,打分卡!$K$14:$O$14),1)</f>
        <v>1</v>
      </c>
      <c r="AK1688" s="41">
        <f>IFERROR(LOOKUP(W1688,打分卡!$F$15:$J$15,打分卡!$K$15:$O$15),1)</f>
        <v>1</v>
      </c>
      <c r="AL1688" s="43">
        <f t="shared" si="209"/>
        <v>1</v>
      </c>
      <c r="AM1688" s="41">
        <f>IFERROR(LOOKUP(Z1688,打分卡!$F$17:$H$17,打分卡!$K$17:$M$17),1)</f>
        <v>1</v>
      </c>
      <c r="AN1688" s="44">
        <f>(打分卡!$D$7*AC1688+打分卡!$D$8*AD1688+打分卡!$D$9*AE1688)/5</f>
        <v>8</v>
      </c>
      <c r="AO1688" s="44">
        <f>(打分卡!$D$10*AF1688+打分卡!$D$11*AG1688)/5</f>
        <v>4</v>
      </c>
      <c r="AP1688" s="44">
        <f>(打分卡!$D$12*AH1688+打分卡!$D$13*AI1688+打分卡!$D$14*AJ1688+打分卡!$D$15*AK1688)/5</f>
        <v>9.2</v>
      </c>
      <c r="AQ1688" s="44">
        <f>(打分卡!$D$16*AL1688+打分卡!$D$17*AM1688)/5</f>
        <v>2</v>
      </c>
      <c r="AR1688" s="47">
        <f t="shared" si="210"/>
        <v>23.2</v>
      </c>
      <c r="AS1688" s="43" t="str">
        <f t="shared" si="211"/>
        <v>未激活</v>
      </c>
      <c r="AT1688" s="43" t="str">
        <f t="shared" si="212"/>
        <v>连续下降-预警</v>
      </c>
      <c r="AU1688" s="43" t="str">
        <f t="shared" si="213"/>
        <v>唤醒：短信模板+首充补贴</v>
      </c>
    </row>
    <row r="1689" ht="15" customHeight="1" spans="1:47">
      <c r="A1689" s="20" t="s">
        <v>4306</v>
      </c>
      <c r="B1689" s="22" t="s">
        <v>4307</v>
      </c>
      <c r="C1689" s="22" t="s">
        <v>223</v>
      </c>
      <c r="D1689" s="22" t="s">
        <v>202</v>
      </c>
      <c r="E1689" s="22" t="s">
        <v>197</v>
      </c>
      <c r="F1689" s="20" t="s">
        <v>4308</v>
      </c>
      <c r="G1689" s="22">
        <v>35</v>
      </c>
      <c r="H1689" s="22" t="s">
        <v>3535</v>
      </c>
      <c r="I1689" s="22" t="s">
        <v>302</v>
      </c>
      <c r="J1689" s="36">
        <v>0</v>
      </c>
      <c r="K1689" s="36">
        <v>0</v>
      </c>
      <c r="L1689" s="36">
        <v>0</v>
      </c>
      <c r="M1689" s="36">
        <f t="shared" si="208"/>
        <v>0</v>
      </c>
      <c r="N1689" s="34">
        <f t="shared" si="214"/>
        <v>0</v>
      </c>
      <c r="O1689" s="35">
        <f>SUM($M$2:M1689)</f>
        <v>190743600</v>
      </c>
      <c r="P1689" s="34">
        <f t="shared" si="215"/>
        <v>1</v>
      </c>
      <c r="Q1689" s="39">
        <v>0</v>
      </c>
      <c r="R1689" s="22">
        <v>0</v>
      </c>
      <c r="S1689" s="22">
        <v>0</v>
      </c>
      <c r="T1689" s="22">
        <v>0</v>
      </c>
      <c r="U1689" s="39">
        <v>0.7</v>
      </c>
      <c r="V1689" s="22">
        <v>8</v>
      </c>
      <c r="W1689" s="22">
        <v>2</v>
      </c>
      <c r="X1689" s="40">
        <v>12</v>
      </c>
      <c r="Y1689" s="22">
        <v>1</v>
      </c>
      <c r="Z1689" s="22">
        <v>0</v>
      </c>
      <c r="AA1689" s="22" t="s">
        <v>212</v>
      </c>
      <c r="AB1689" s="22" t="s">
        <v>220</v>
      </c>
      <c r="AC1689" s="42">
        <f>IFERROR(LOOKUP(M1689,打分卡!$F$7:$J$7,打分卡!$K$7:$O$7),1)</f>
        <v>1</v>
      </c>
      <c r="AD1689" s="42">
        <f>IFERROR(LOOKUP(S1689,打分卡!$F$8:$J$8,打分卡!$K$8:$O$8),1)</f>
        <v>1</v>
      </c>
      <c r="AE1689" s="42">
        <f>IFERROR(LOOKUP(T1689,打分卡!$F$9:$I$9,打分卡!$K$9:$N$9),1)</f>
        <v>1</v>
      </c>
      <c r="AF1689" s="42">
        <f>IFERROR(LOOKUP(Q1689,打分卡!$F$10:$J$10,打分卡!$K$10:$O$10),1)</f>
        <v>1</v>
      </c>
      <c r="AG1689" s="42">
        <f>IFERROR(LOOKUP(R1689,打分卡!$F$11:$J$11,打分卡!$K$11:$O$11),1)</f>
        <v>1</v>
      </c>
      <c r="AH1689" s="42">
        <f>IFERROR(LOOKUP(U1689,打分卡!$F$12:$J$12,打分卡!$K$12:$O$12),1)</f>
        <v>1</v>
      </c>
      <c r="AI1689" s="42">
        <f>IFERROR(LOOKUP(X1689,打分卡!$F$13:$J$13,打分卡!$K$13:$O$13),1)</f>
        <v>1</v>
      </c>
      <c r="AJ1689" s="42">
        <f>IFERROR(LOOKUP(Y1689,打分卡!$F$14:$J$14,打分卡!$K$14:$O$14),1)</f>
        <v>2</v>
      </c>
      <c r="AK1689" s="42">
        <f>IFERROR(LOOKUP(W1689,打分卡!$F$15:$J$15,打分卡!$K$15:$O$15),1)</f>
        <v>2</v>
      </c>
      <c r="AL1689" s="45">
        <f t="shared" si="209"/>
        <v>1</v>
      </c>
      <c r="AM1689" s="42">
        <f>IFERROR(LOOKUP(Z1689,打分卡!$F$17:$H$17,打分卡!$K$17:$M$17),1)</f>
        <v>1</v>
      </c>
      <c r="AN1689" s="46">
        <f>(打分卡!$D$7*AC1689+打分卡!$D$8*AD1689+打分卡!$D$9*AE1689)/5</f>
        <v>8</v>
      </c>
      <c r="AO1689" s="46">
        <f>(打分卡!$D$10*AF1689+打分卡!$D$11*AG1689)/5</f>
        <v>4</v>
      </c>
      <c r="AP1689" s="46">
        <f>(打分卡!$D$12*AH1689+打分卡!$D$13*AI1689+打分卡!$D$14*AJ1689+打分卡!$D$15*AK1689)/5</f>
        <v>8</v>
      </c>
      <c r="AQ1689" s="46">
        <f>(打分卡!$D$16*AL1689+打分卡!$D$17*AM1689)/5</f>
        <v>2</v>
      </c>
      <c r="AR1689" s="48">
        <f t="shared" si="210"/>
        <v>22</v>
      </c>
      <c r="AS1689" s="45" t="str">
        <f t="shared" si="211"/>
        <v>未激活</v>
      </c>
      <c r="AT1689" s="45" t="str">
        <f t="shared" si="212"/>
        <v>连续下降-预警</v>
      </c>
      <c r="AU1689" s="45" t="str">
        <f t="shared" si="213"/>
        <v>唤醒：短信模板+首充补贴</v>
      </c>
    </row>
    <row r="1690" ht="15" customHeight="1" spans="1:47">
      <c r="A1690" s="30" t="s">
        <v>4309</v>
      </c>
      <c r="B1690" s="31" t="s">
        <v>4310</v>
      </c>
      <c r="C1690" s="31" t="s">
        <v>223</v>
      </c>
      <c r="D1690" s="31" t="s">
        <v>202</v>
      </c>
      <c r="E1690" s="31" t="s">
        <v>197</v>
      </c>
      <c r="F1690" s="30" t="s">
        <v>519</v>
      </c>
      <c r="G1690" s="31">
        <v>13</v>
      </c>
      <c r="H1690" s="31" t="s">
        <v>3535</v>
      </c>
      <c r="I1690" s="31" t="s">
        <v>302</v>
      </c>
      <c r="J1690" s="33">
        <v>0</v>
      </c>
      <c r="K1690" s="33">
        <v>0</v>
      </c>
      <c r="L1690" s="33">
        <v>0</v>
      </c>
      <c r="M1690" s="33">
        <f t="shared" si="208"/>
        <v>0</v>
      </c>
      <c r="N1690" s="34">
        <f t="shared" si="214"/>
        <v>0</v>
      </c>
      <c r="O1690" s="35">
        <f>SUM($M$2:M1690)</f>
        <v>190743600</v>
      </c>
      <c r="P1690" s="34">
        <f t="shared" si="215"/>
        <v>1</v>
      </c>
      <c r="Q1690" s="37">
        <v>0</v>
      </c>
      <c r="R1690" s="31">
        <v>0</v>
      </c>
      <c r="S1690" s="31">
        <v>0</v>
      </c>
      <c r="T1690" s="31">
        <v>0</v>
      </c>
      <c r="U1690" s="37">
        <v>15.3</v>
      </c>
      <c r="V1690" s="31">
        <v>15</v>
      </c>
      <c r="W1690" s="31">
        <v>1</v>
      </c>
      <c r="X1690" s="38">
        <v>48</v>
      </c>
      <c r="Y1690" s="31">
        <v>0</v>
      </c>
      <c r="Z1690" s="31">
        <v>0</v>
      </c>
      <c r="AA1690" s="31" t="s">
        <v>212</v>
      </c>
      <c r="AB1690" s="31" t="s">
        <v>220</v>
      </c>
      <c r="AC1690" s="41">
        <f>IFERROR(LOOKUP(M1690,打分卡!$F$7:$J$7,打分卡!$K$7:$O$7),1)</f>
        <v>1</v>
      </c>
      <c r="AD1690" s="41">
        <f>IFERROR(LOOKUP(S1690,打分卡!$F$8:$J$8,打分卡!$K$8:$O$8),1)</f>
        <v>1</v>
      </c>
      <c r="AE1690" s="41">
        <f>IFERROR(LOOKUP(T1690,打分卡!$F$9:$I$9,打分卡!$K$9:$N$9),1)</f>
        <v>1</v>
      </c>
      <c r="AF1690" s="41">
        <f>IFERROR(LOOKUP(Q1690,打分卡!$F$10:$J$10,打分卡!$K$10:$O$10),1)</f>
        <v>1</v>
      </c>
      <c r="AG1690" s="41">
        <f>IFERROR(LOOKUP(R1690,打分卡!$F$11:$J$11,打分卡!$K$11:$O$11),1)</f>
        <v>1</v>
      </c>
      <c r="AH1690" s="41">
        <f>IFERROR(LOOKUP(U1690,打分卡!$F$12:$J$12,打分卡!$K$12:$O$12),1)</f>
        <v>3</v>
      </c>
      <c r="AI1690" s="41">
        <f>IFERROR(LOOKUP(X1690,打分卡!$F$13:$J$13,打分卡!$K$13:$O$13),1)</f>
        <v>3</v>
      </c>
      <c r="AJ1690" s="41">
        <f>IFERROR(LOOKUP(Y1690,打分卡!$F$14:$J$14,打分卡!$K$14:$O$14),1)</f>
        <v>1</v>
      </c>
      <c r="AK1690" s="41">
        <f>IFERROR(LOOKUP(W1690,打分卡!$F$15:$J$15,打分卡!$K$15:$O$15),1)</f>
        <v>2</v>
      </c>
      <c r="AL1690" s="43">
        <f t="shared" si="209"/>
        <v>1</v>
      </c>
      <c r="AM1690" s="41">
        <f>IFERROR(LOOKUP(Z1690,打分卡!$F$17:$H$17,打分卡!$K$17:$M$17),1)</f>
        <v>1</v>
      </c>
      <c r="AN1690" s="44">
        <f>(打分卡!$D$7*AC1690+打分卡!$D$8*AD1690+打分卡!$D$9*AE1690)/5</f>
        <v>8</v>
      </c>
      <c r="AO1690" s="44">
        <f>(打分卡!$D$10*AF1690+打分卡!$D$11*AG1690)/5</f>
        <v>4</v>
      </c>
      <c r="AP1690" s="44">
        <f>(打分卡!$D$12*AH1690+打分卡!$D$13*AI1690+打分卡!$D$14*AJ1690+打分卡!$D$15*AK1690)/5</f>
        <v>14.8</v>
      </c>
      <c r="AQ1690" s="44">
        <f>(打分卡!$D$16*AL1690+打分卡!$D$17*AM1690)/5</f>
        <v>2</v>
      </c>
      <c r="AR1690" s="47">
        <f t="shared" si="210"/>
        <v>28.8</v>
      </c>
      <c r="AS1690" s="43" t="str">
        <f t="shared" si="211"/>
        <v>未激活</v>
      </c>
      <c r="AT1690" s="43" t="str">
        <f t="shared" si="212"/>
        <v>连续下降-预警</v>
      </c>
      <c r="AU1690" s="43" t="str">
        <f t="shared" si="213"/>
        <v>唤醒：短信模板+首充补贴</v>
      </c>
    </row>
    <row r="1691" ht="15" customHeight="1" spans="1:47">
      <c r="A1691" s="20" t="s">
        <v>4311</v>
      </c>
      <c r="B1691" s="22" t="s">
        <v>4312</v>
      </c>
      <c r="C1691" s="22" t="s">
        <v>239</v>
      </c>
      <c r="D1691" s="22" t="s">
        <v>202</v>
      </c>
      <c r="E1691" s="22" t="s">
        <v>197</v>
      </c>
      <c r="F1691" s="20" t="s">
        <v>191</v>
      </c>
      <c r="G1691" s="22">
        <v>35</v>
      </c>
      <c r="H1691" s="22" t="s">
        <v>3535</v>
      </c>
      <c r="I1691" s="22" t="s">
        <v>302</v>
      </c>
      <c r="J1691" s="36">
        <v>0</v>
      </c>
      <c r="K1691" s="36">
        <v>0</v>
      </c>
      <c r="L1691" s="36">
        <v>0</v>
      </c>
      <c r="M1691" s="36">
        <f t="shared" si="208"/>
        <v>0</v>
      </c>
      <c r="N1691" s="34">
        <f t="shared" si="214"/>
        <v>0</v>
      </c>
      <c r="O1691" s="35">
        <f>SUM($M$2:M1691)</f>
        <v>190743600</v>
      </c>
      <c r="P1691" s="34">
        <f t="shared" si="215"/>
        <v>1</v>
      </c>
      <c r="Q1691" s="39">
        <v>0</v>
      </c>
      <c r="R1691" s="22">
        <v>0</v>
      </c>
      <c r="S1691" s="22">
        <v>0</v>
      </c>
      <c r="T1691" s="22">
        <v>0</v>
      </c>
      <c r="U1691" s="39">
        <v>45</v>
      </c>
      <c r="V1691" s="22">
        <v>10</v>
      </c>
      <c r="W1691" s="22">
        <v>2</v>
      </c>
      <c r="X1691" s="40">
        <v>25</v>
      </c>
      <c r="Y1691" s="22">
        <v>0</v>
      </c>
      <c r="Z1691" s="22">
        <v>0</v>
      </c>
      <c r="AA1691" s="22" t="s">
        <v>212</v>
      </c>
      <c r="AB1691" s="22" t="s">
        <v>220</v>
      </c>
      <c r="AC1691" s="42">
        <f>IFERROR(LOOKUP(M1691,打分卡!$F$7:$J$7,打分卡!$K$7:$O$7),1)</f>
        <v>1</v>
      </c>
      <c r="AD1691" s="42">
        <f>IFERROR(LOOKUP(S1691,打分卡!$F$8:$J$8,打分卡!$K$8:$O$8),1)</f>
        <v>1</v>
      </c>
      <c r="AE1691" s="42">
        <f>IFERROR(LOOKUP(T1691,打分卡!$F$9:$I$9,打分卡!$K$9:$N$9),1)</f>
        <v>1</v>
      </c>
      <c r="AF1691" s="42">
        <f>IFERROR(LOOKUP(Q1691,打分卡!$F$10:$J$10,打分卡!$K$10:$O$10),1)</f>
        <v>1</v>
      </c>
      <c r="AG1691" s="42">
        <f>IFERROR(LOOKUP(R1691,打分卡!$F$11:$J$11,打分卡!$K$11:$O$11),1)</f>
        <v>1</v>
      </c>
      <c r="AH1691" s="42">
        <f>IFERROR(LOOKUP(U1691,打分卡!$F$12:$J$12,打分卡!$K$12:$O$12),1)</f>
        <v>4</v>
      </c>
      <c r="AI1691" s="42">
        <f>IFERROR(LOOKUP(X1691,打分卡!$F$13:$J$13,打分卡!$K$13:$O$13),1)</f>
        <v>2</v>
      </c>
      <c r="AJ1691" s="42">
        <f>IFERROR(LOOKUP(Y1691,打分卡!$F$14:$J$14,打分卡!$K$14:$O$14),1)</f>
        <v>1</v>
      </c>
      <c r="AK1691" s="42">
        <f>IFERROR(LOOKUP(W1691,打分卡!$F$15:$J$15,打分卡!$K$15:$O$15),1)</f>
        <v>2</v>
      </c>
      <c r="AL1691" s="45">
        <f t="shared" si="209"/>
        <v>1</v>
      </c>
      <c r="AM1691" s="42">
        <f>IFERROR(LOOKUP(Z1691,打分卡!$F$17:$H$17,打分卡!$K$17:$M$17),1)</f>
        <v>1</v>
      </c>
      <c r="AN1691" s="46">
        <f>(打分卡!$D$7*AC1691+打分卡!$D$8*AD1691+打分卡!$D$9*AE1691)/5</f>
        <v>8</v>
      </c>
      <c r="AO1691" s="46">
        <f>(打分卡!$D$10*AF1691+打分卡!$D$11*AG1691)/5</f>
        <v>4</v>
      </c>
      <c r="AP1691" s="46">
        <f>(打分卡!$D$12*AH1691+打分卡!$D$13*AI1691+打分卡!$D$14*AJ1691+打分卡!$D$15*AK1691)/5</f>
        <v>15.6</v>
      </c>
      <c r="AQ1691" s="46">
        <f>(打分卡!$D$16*AL1691+打分卡!$D$17*AM1691)/5</f>
        <v>2</v>
      </c>
      <c r="AR1691" s="48">
        <f t="shared" si="210"/>
        <v>29.6</v>
      </c>
      <c r="AS1691" s="45" t="str">
        <f t="shared" si="211"/>
        <v>未激活</v>
      </c>
      <c r="AT1691" s="45" t="str">
        <f t="shared" si="212"/>
        <v>连续下降-预警</v>
      </c>
      <c r="AU1691" s="45" t="str">
        <f t="shared" si="213"/>
        <v>唤醒：短信模板+首充补贴</v>
      </c>
    </row>
    <row r="1692" ht="15" customHeight="1" spans="1:47">
      <c r="A1692" s="30" t="s">
        <v>4313</v>
      </c>
      <c r="B1692" s="31" t="s">
        <v>4314</v>
      </c>
      <c r="C1692" s="31" t="s">
        <v>179</v>
      </c>
      <c r="D1692" s="31" t="s">
        <v>196</v>
      </c>
      <c r="E1692" s="31" t="s">
        <v>181</v>
      </c>
      <c r="F1692" s="30" t="s">
        <v>2363</v>
      </c>
      <c r="G1692" s="31">
        <v>24</v>
      </c>
      <c r="H1692" s="31" t="s">
        <v>3535</v>
      </c>
      <c r="I1692" s="31" t="s">
        <v>302</v>
      </c>
      <c r="J1692" s="33">
        <v>0</v>
      </c>
      <c r="K1692" s="33">
        <v>0</v>
      </c>
      <c r="L1692" s="33">
        <v>0</v>
      </c>
      <c r="M1692" s="33">
        <f t="shared" si="208"/>
        <v>0</v>
      </c>
      <c r="N1692" s="34">
        <f t="shared" si="214"/>
        <v>0</v>
      </c>
      <c r="O1692" s="35">
        <f>SUM($M$2:M1692)</f>
        <v>190743600</v>
      </c>
      <c r="P1692" s="34">
        <f t="shared" si="215"/>
        <v>1</v>
      </c>
      <c r="Q1692" s="37">
        <v>0</v>
      </c>
      <c r="R1692" s="31">
        <v>0</v>
      </c>
      <c r="S1692" s="31">
        <v>0</v>
      </c>
      <c r="T1692" s="31">
        <v>0</v>
      </c>
      <c r="U1692" s="37">
        <v>6.3</v>
      </c>
      <c r="V1692" s="31">
        <v>5</v>
      </c>
      <c r="W1692" s="31">
        <v>2</v>
      </c>
      <c r="X1692" s="38">
        <v>6</v>
      </c>
      <c r="Y1692" s="31">
        <v>0</v>
      </c>
      <c r="Z1692" s="31">
        <v>0</v>
      </c>
      <c r="AA1692" s="31" t="s">
        <v>212</v>
      </c>
      <c r="AB1692" s="31" t="s">
        <v>220</v>
      </c>
      <c r="AC1692" s="41">
        <f>IFERROR(LOOKUP(M1692,打分卡!$F$7:$J$7,打分卡!$K$7:$O$7),1)</f>
        <v>1</v>
      </c>
      <c r="AD1692" s="41">
        <f>IFERROR(LOOKUP(S1692,打分卡!$F$8:$J$8,打分卡!$K$8:$O$8),1)</f>
        <v>1</v>
      </c>
      <c r="AE1692" s="41">
        <f>IFERROR(LOOKUP(T1692,打分卡!$F$9:$I$9,打分卡!$K$9:$N$9),1)</f>
        <v>1</v>
      </c>
      <c r="AF1692" s="41">
        <f>IFERROR(LOOKUP(Q1692,打分卡!$F$10:$J$10,打分卡!$K$10:$O$10),1)</f>
        <v>1</v>
      </c>
      <c r="AG1692" s="41">
        <f>IFERROR(LOOKUP(R1692,打分卡!$F$11:$J$11,打分卡!$K$11:$O$11),1)</f>
        <v>1</v>
      </c>
      <c r="AH1692" s="41">
        <f>IFERROR(LOOKUP(U1692,打分卡!$F$12:$J$12,打分卡!$K$12:$O$12),1)</f>
        <v>2</v>
      </c>
      <c r="AI1692" s="41">
        <f>IFERROR(LOOKUP(X1692,打分卡!$F$13:$J$13,打分卡!$K$13:$O$13),1)</f>
        <v>1</v>
      </c>
      <c r="AJ1692" s="41">
        <f>IFERROR(LOOKUP(Y1692,打分卡!$F$14:$J$14,打分卡!$K$14:$O$14),1)</f>
        <v>1</v>
      </c>
      <c r="AK1692" s="41">
        <f>IFERROR(LOOKUP(W1692,打分卡!$F$15:$J$15,打分卡!$K$15:$O$15),1)</f>
        <v>2</v>
      </c>
      <c r="AL1692" s="43">
        <f t="shared" si="209"/>
        <v>1</v>
      </c>
      <c r="AM1692" s="41">
        <f>IFERROR(LOOKUP(Z1692,打分卡!$F$17:$H$17,打分卡!$K$17:$M$17),1)</f>
        <v>1</v>
      </c>
      <c r="AN1692" s="44">
        <f>(打分卡!$D$7*AC1692+打分卡!$D$8*AD1692+打分卡!$D$9*AE1692)/5</f>
        <v>8</v>
      </c>
      <c r="AO1692" s="44">
        <f>(打分卡!$D$10*AF1692+打分卡!$D$11*AG1692)/5</f>
        <v>4</v>
      </c>
      <c r="AP1692" s="44">
        <f>(打分卡!$D$12*AH1692+打分卡!$D$13*AI1692+打分卡!$D$14*AJ1692+打分卡!$D$15*AK1692)/5</f>
        <v>9.2</v>
      </c>
      <c r="AQ1692" s="44">
        <f>(打分卡!$D$16*AL1692+打分卡!$D$17*AM1692)/5</f>
        <v>2</v>
      </c>
      <c r="AR1692" s="47">
        <f t="shared" si="210"/>
        <v>23.2</v>
      </c>
      <c r="AS1692" s="43" t="str">
        <f t="shared" si="211"/>
        <v>未激活</v>
      </c>
      <c r="AT1692" s="43" t="str">
        <f t="shared" si="212"/>
        <v>连续下降-预警</v>
      </c>
      <c r="AU1692" s="43" t="str">
        <f t="shared" si="213"/>
        <v>唤醒：短信模板+首充补贴</v>
      </c>
    </row>
    <row r="1693" ht="15" customHeight="1" spans="1:47">
      <c r="A1693" s="20" t="s">
        <v>4315</v>
      </c>
      <c r="B1693" s="22" t="s">
        <v>4316</v>
      </c>
      <c r="C1693" s="22" t="s">
        <v>218</v>
      </c>
      <c r="D1693" s="22" t="s">
        <v>190</v>
      </c>
      <c r="E1693" s="22" t="s">
        <v>181</v>
      </c>
      <c r="F1693" s="20" t="s">
        <v>4317</v>
      </c>
      <c r="G1693" s="22">
        <v>32</v>
      </c>
      <c r="H1693" s="22" t="s">
        <v>3535</v>
      </c>
      <c r="I1693" s="22" t="s">
        <v>302</v>
      </c>
      <c r="J1693" s="36">
        <v>0</v>
      </c>
      <c r="K1693" s="36">
        <v>0</v>
      </c>
      <c r="L1693" s="36">
        <v>0</v>
      </c>
      <c r="M1693" s="36">
        <f t="shared" si="208"/>
        <v>0</v>
      </c>
      <c r="N1693" s="34">
        <f t="shared" si="214"/>
        <v>0</v>
      </c>
      <c r="O1693" s="35">
        <f>SUM($M$2:M1693)</f>
        <v>190743600</v>
      </c>
      <c r="P1693" s="34">
        <f t="shared" si="215"/>
        <v>1</v>
      </c>
      <c r="Q1693" s="39">
        <v>0</v>
      </c>
      <c r="R1693" s="22">
        <v>0</v>
      </c>
      <c r="S1693" s="22">
        <v>0</v>
      </c>
      <c r="T1693" s="22">
        <v>0</v>
      </c>
      <c r="U1693" s="39">
        <v>20.3</v>
      </c>
      <c r="V1693" s="22">
        <v>14</v>
      </c>
      <c r="W1693" s="22">
        <v>2</v>
      </c>
      <c r="X1693" s="40">
        <v>25</v>
      </c>
      <c r="Y1693" s="22">
        <v>0</v>
      </c>
      <c r="Z1693" s="22">
        <v>0</v>
      </c>
      <c r="AA1693" s="22" t="s">
        <v>212</v>
      </c>
      <c r="AB1693" s="22" t="s">
        <v>220</v>
      </c>
      <c r="AC1693" s="42">
        <f>IFERROR(LOOKUP(M1693,打分卡!$F$7:$J$7,打分卡!$K$7:$O$7),1)</f>
        <v>1</v>
      </c>
      <c r="AD1693" s="42">
        <f>IFERROR(LOOKUP(S1693,打分卡!$F$8:$J$8,打分卡!$K$8:$O$8),1)</f>
        <v>1</v>
      </c>
      <c r="AE1693" s="42">
        <f>IFERROR(LOOKUP(T1693,打分卡!$F$9:$I$9,打分卡!$K$9:$N$9),1)</f>
        <v>1</v>
      </c>
      <c r="AF1693" s="42">
        <f>IFERROR(LOOKUP(Q1693,打分卡!$F$10:$J$10,打分卡!$K$10:$O$10),1)</f>
        <v>1</v>
      </c>
      <c r="AG1693" s="42">
        <f>IFERROR(LOOKUP(R1693,打分卡!$F$11:$J$11,打分卡!$K$11:$O$11),1)</f>
        <v>1</v>
      </c>
      <c r="AH1693" s="42">
        <f>IFERROR(LOOKUP(U1693,打分卡!$F$12:$J$12,打分卡!$K$12:$O$12),1)</f>
        <v>3</v>
      </c>
      <c r="AI1693" s="42">
        <f>IFERROR(LOOKUP(X1693,打分卡!$F$13:$J$13,打分卡!$K$13:$O$13),1)</f>
        <v>2</v>
      </c>
      <c r="AJ1693" s="42">
        <f>IFERROR(LOOKUP(Y1693,打分卡!$F$14:$J$14,打分卡!$K$14:$O$14),1)</f>
        <v>1</v>
      </c>
      <c r="AK1693" s="42">
        <f>IFERROR(LOOKUP(W1693,打分卡!$F$15:$J$15,打分卡!$K$15:$O$15),1)</f>
        <v>2</v>
      </c>
      <c r="AL1693" s="45">
        <f t="shared" si="209"/>
        <v>1</v>
      </c>
      <c r="AM1693" s="42">
        <f>IFERROR(LOOKUP(Z1693,打分卡!$F$17:$H$17,打分卡!$K$17:$M$17),1)</f>
        <v>1</v>
      </c>
      <c r="AN1693" s="46">
        <f>(打分卡!$D$7*AC1693+打分卡!$D$8*AD1693+打分卡!$D$9*AE1693)/5</f>
        <v>8</v>
      </c>
      <c r="AO1693" s="46">
        <f>(打分卡!$D$10*AF1693+打分卡!$D$11*AG1693)/5</f>
        <v>4</v>
      </c>
      <c r="AP1693" s="46">
        <f>(打分卡!$D$12*AH1693+打分卡!$D$13*AI1693+打分卡!$D$14*AJ1693+打分卡!$D$15*AK1693)/5</f>
        <v>13.2</v>
      </c>
      <c r="AQ1693" s="46">
        <f>(打分卡!$D$16*AL1693+打分卡!$D$17*AM1693)/5</f>
        <v>2</v>
      </c>
      <c r="AR1693" s="48">
        <f t="shared" si="210"/>
        <v>27.2</v>
      </c>
      <c r="AS1693" s="45" t="str">
        <f t="shared" si="211"/>
        <v>未激活</v>
      </c>
      <c r="AT1693" s="45" t="str">
        <f t="shared" si="212"/>
        <v>连续下降-预警</v>
      </c>
      <c r="AU1693" s="45" t="str">
        <f t="shared" si="213"/>
        <v>唤醒：短信模板+首充补贴</v>
      </c>
    </row>
    <row r="1694" ht="15" customHeight="1" spans="1:47">
      <c r="A1694" s="30" t="s">
        <v>4318</v>
      </c>
      <c r="B1694" s="31" t="s">
        <v>4319</v>
      </c>
      <c r="C1694" s="31" t="s">
        <v>218</v>
      </c>
      <c r="D1694" s="31" t="s">
        <v>202</v>
      </c>
      <c r="E1694" s="31" t="s">
        <v>181</v>
      </c>
      <c r="F1694" s="30" t="s">
        <v>4154</v>
      </c>
      <c r="G1694" s="31">
        <v>28</v>
      </c>
      <c r="H1694" s="31" t="s">
        <v>3535</v>
      </c>
      <c r="I1694" s="31" t="s">
        <v>302</v>
      </c>
      <c r="J1694" s="33">
        <v>0</v>
      </c>
      <c r="K1694" s="33">
        <v>0</v>
      </c>
      <c r="L1694" s="33">
        <v>0</v>
      </c>
      <c r="M1694" s="33">
        <f t="shared" si="208"/>
        <v>0</v>
      </c>
      <c r="N1694" s="34">
        <f t="shared" si="214"/>
        <v>0</v>
      </c>
      <c r="O1694" s="35">
        <f>SUM($M$2:M1694)</f>
        <v>190743600</v>
      </c>
      <c r="P1694" s="34">
        <f t="shared" si="215"/>
        <v>1</v>
      </c>
      <c r="Q1694" s="37">
        <v>0</v>
      </c>
      <c r="R1694" s="31">
        <v>0</v>
      </c>
      <c r="S1694" s="31">
        <v>0</v>
      </c>
      <c r="T1694" s="31">
        <v>0</v>
      </c>
      <c r="U1694" s="37">
        <v>2.1</v>
      </c>
      <c r="V1694" s="31">
        <v>5</v>
      </c>
      <c r="W1694" s="31">
        <v>0</v>
      </c>
      <c r="X1694" s="38">
        <v>8</v>
      </c>
      <c r="Y1694" s="31">
        <v>1</v>
      </c>
      <c r="Z1694" s="31">
        <v>0</v>
      </c>
      <c r="AA1694" s="31" t="s">
        <v>212</v>
      </c>
      <c r="AB1694" s="31" t="s">
        <v>220</v>
      </c>
      <c r="AC1694" s="41">
        <f>IFERROR(LOOKUP(M1694,打分卡!$F$7:$J$7,打分卡!$K$7:$O$7),1)</f>
        <v>1</v>
      </c>
      <c r="AD1694" s="41">
        <f>IFERROR(LOOKUP(S1694,打分卡!$F$8:$J$8,打分卡!$K$8:$O$8),1)</f>
        <v>1</v>
      </c>
      <c r="AE1694" s="41">
        <f>IFERROR(LOOKUP(T1694,打分卡!$F$9:$I$9,打分卡!$K$9:$N$9),1)</f>
        <v>1</v>
      </c>
      <c r="AF1694" s="41">
        <f>IFERROR(LOOKUP(Q1694,打分卡!$F$10:$J$10,打分卡!$K$10:$O$10),1)</f>
        <v>1</v>
      </c>
      <c r="AG1694" s="41">
        <f>IFERROR(LOOKUP(R1694,打分卡!$F$11:$J$11,打分卡!$K$11:$O$11),1)</f>
        <v>1</v>
      </c>
      <c r="AH1694" s="41">
        <f>IFERROR(LOOKUP(U1694,打分卡!$F$12:$J$12,打分卡!$K$12:$O$12),1)</f>
        <v>1</v>
      </c>
      <c r="AI1694" s="41">
        <f>IFERROR(LOOKUP(X1694,打分卡!$F$13:$J$13,打分卡!$K$13:$O$13),1)</f>
        <v>1</v>
      </c>
      <c r="AJ1694" s="41">
        <f>IFERROR(LOOKUP(Y1694,打分卡!$F$14:$J$14,打分卡!$K$14:$O$14),1)</f>
        <v>2</v>
      </c>
      <c r="AK1694" s="41">
        <f>IFERROR(LOOKUP(W1694,打分卡!$F$15:$J$15,打分卡!$K$15:$O$15),1)</f>
        <v>1</v>
      </c>
      <c r="AL1694" s="43">
        <f t="shared" si="209"/>
        <v>1</v>
      </c>
      <c r="AM1694" s="41">
        <f>IFERROR(LOOKUP(Z1694,打分卡!$F$17:$H$17,打分卡!$K$17:$M$17),1)</f>
        <v>1</v>
      </c>
      <c r="AN1694" s="44">
        <f>(打分卡!$D$7*AC1694+打分卡!$D$8*AD1694+打分卡!$D$9*AE1694)/5</f>
        <v>8</v>
      </c>
      <c r="AO1694" s="44">
        <f>(打分卡!$D$10*AF1694+打分卡!$D$11*AG1694)/5</f>
        <v>4</v>
      </c>
      <c r="AP1694" s="44">
        <f>(打分卡!$D$12*AH1694+打分卡!$D$13*AI1694+打分卡!$D$14*AJ1694+打分卡!$D$15*AK1694)/5</f>
        <v>7.2</v>
      </c>
      <c r="AQ1694" s="44">
        <f>(打分卡!$D$16*AL1694+打分卡!$D$17*AM1694)/5</f>
        <v>2</v>
      </c>
      <c r="AR1694" s="47">
        <f t="shared" si="210"/>
        <v>21.2</v>
      </c>
      <c r="AS1694" s="43" t="str">
        <f t="shared" si="211"/>
        <v>未激活</v>
      </c>
      <c r="AT1694" s="43" t="str">
        <f t="shared" si="212"/>
        <v>连续下降-预警</v>
      </c>
      <c r="AU1694" s="43" t="str">
        <f t="shared" si="213"/>
        <v>唤醒：短信模板+首充补贴</v>
      </c>
    </row>
    <row r="1695" ht="15" customHeight="1" spans="1:47">
      <c r="A1695" s="20" t="s">
        <v>4320</v>
      </c>
      <c r="B1695" s="22" t="s">
        <v>4321</v>
      </c>
      <c r="C1695" s="22" t="s">
        <v>195</v>
      </c>
      <c r="D1695" s="22" t="s">
        <v>190</v>
      </c>
      <c r="E1695" s="22" t="s">
        <v>181</v>
      </c>
      <c r="F1695" s="20" t="s">
        <v>4322</v>
      </c>
      <c r="G1695" s="22">
        <v>29</v>
      </c>
      <c r="H1695" s="22" t="s">
        <v>3535</v>
      </c>
      <c r="I1695" s="22" t="s">
        <v>302</v>
      </c>
      <c r="J1695" s="36">
        <v>0</v>
      </c>
      <c r="K1695" s="36">
        <v>0</v>
      </c>
      <c r="L1695" s="36">
        <v>0</v>
      </c>
      <c r="M1695" s="36">
        <f t="shared" si="208"/>
        <v>0</v>
      </c>
      <c r="N1695" s="34">
        <f t="shared" si="214"/>
        <v>0</v>
      </c>
      <c r="O1695" s="35">
        <f>SUM($M$2:M1695)</f>
        <v>190743600</v>
      </c>
      <c r="P1695" s="34">
        <f t="shared" si="215"/>
        <v>1</v>
      </c>
      <c r="Q1695" s="39">
        <v>0</v>
      </c>
      <c r="R1695" s="22">
        <v>0</v>
      </c>
      <c r="S1695" s="22">
        <v>0</v>
      </c>
      <c r="T1695" s="22">
        <v>0</v>
      </c>
      <c r="U1695" s="39">
        <v>16.3</v>
      </c>
      <c r="V1695" s="22">
        <v>11</v>
      </c>
      <c r="W1695" s="22">
        <v>2</v>
      </c>
      <c r="X1695" s="40">
        <v>7</v>
      </c>
      <c r="Y1695" s="22">
        <v>0</v>
      </c>
      <c r="Z1695" s="22">
        <v>0</v>
      </c>
      <c r="AA1695" s="22" t="s">
        <v>212</v>
      </c>
      <c r="AB1695" s="22" t="s">
        <v>220</v>
      </c>
      <c r="AC1695" s="42">
        <f>IFERROR(LOOKUP(M1695,打分卡!$F$7:$J$7,打分卡!$K$7:$O$7),1)</f>
        <v>1</v>
      </c>
      <c r="AD1695" s="42">
        <f>IFERROR(LOOKUP(S1695,打分卡!$F$8:$J$8,打分卡!$K$8:$O$8),1)</f>
        <v>1</v>
      </c>
      <c r="AE1695" s="42">
        <f>IFERROR(LOOKUP(T1695,打分卡!$F$9:$I$9,打分卡!$K$9:$N$9),1)</f>
        <v>1</v>
      </c>
      <c r="AF1695" s="42">
        <f>IFERROR(LOOKUP(Q1695,打分卡!$F$10:$J$10,打分卡!$K$10:$O$10),1)</f>
        <v>1</v>
      </c>
      <c r="AG1695" s="42">
        <f>IFERROR(LOOKUP(R1695,打分卡!$F$11:$J$11,打分卡!$K$11:$O$11),1)</f>
        <v>1</v>
      </c>
      <c r="AH1695" s="42">
        <f>IFERROR(LOOKUP(U1695,打分卡!$F$12:$J$12,打分卡!$K$12:$O$12),1)</f>
        <v>3</v>
      </c>
      <c r="AI1695" s="42">
        <f>IFERROR(LOOKUP(X1695,打分卡!$F$13:$J$13,打分卡!$K$13:$O$13),1)</f>
        <v>1</v>
      </c>
      <c r="AJ1695" s="42">
        <f>IFERROR(LOOKUP(Y1695,打分卡!$F$14:$J$14,打分卡!$K$14:$O$14),1)</f>
        <v>1</v>
      </c>
      <c r="AK1695" s="42">
        <f>IFERROR(LOOKUP(W1695,打分卡!$F$15:$J$15,打分卡!$K$15:$O$15),1)</f>
        <v>2</v>
      </c>
      <c r="AL1695" s="45">
        <f t="shared" si="209"/>
        <v>1</v>
      </c>
      <c r="AM1695" s="42">
        <f>IFERROR(LOOKUP(Z1695,打分卡!$F$17:$H$17,打分卡!$K$17:$M$17),1)</f>
        <v>1</v>
      </c>
      <c r="AN1695" s="46">
        <f>(打分卡!$D$7*AC1695+打分卡!$D$8*AD1695+打分卡!$D$9*AE1695)/5</f>
        <v>8</v>
      </c>
      <c r="AO1695" s="46">
        <f>(打分卡!$D$10*AF1695+打分卡!$D$11*AG1695)/5</f>
        <v>4</v>
      </c>
      <c r="AP1695" s="46">
        <f>(打分卡!$D$12*AH1695+打分卡!$D$13*AI1695+打分卡!$D$14*AJ1695+打分卡!$D$15*AK1695)/5</f>
        <v>11.6</v>
      </c>
      <c r="AQ1695" s="46">
        <f>(打分卡!$D$16*AL1695+打分卡!$D$17*AM1695)/5</f>
        <v>2</v>
      </c>
      <c r="AR1695" s="48">
        <f t="shared" si="210"/>
        <v>25.6</v>
      </c>
      <c r="AS1695" s="45" t="str">
        <f t="shared" si="211"/>
        <v>未激活</v>
      </c>
      <c r="AT1695" s="45" t="str">
        <f t="shared" si="212"/>
        <v>连续下降-预警</v>
      </c>
      <c r="AU1695" s="45" t="str">
        <f t="shared" si="213"/>
        <v>唤醒：短信模板+首充补贴</v>
      </c>
    </row>
    <row r="1696" ht="15" customHeight="1" spans="1:47">
      <c r="A1696" s="30" t="s">
        <v>4323</v>
      </c>
      <c r="B1696" s="31" t="s">
        <v>4324</v>
      </c>
      <c r="C1696" s="31" t="s">
        <v>239</v>
      </c>
      <c r="D1696" s="31" t="s">
        <v>202</v>
      </c>
      <c r="E1696" s="31" t="s">
        <v>181</v>
      </c>
      <c r="F1696" s="30" t="s">
        <v>336</v>
      </c>
      <c r="G1696" s="31">
        <v>18</v>
      </c>
      <c r="H1696" s="31" t="s">
        <v>3535</v>
      </c>
      <c r="I1696" s="31" t="s">
        <v>302</v>
      </c>
      <c r="J1696" s="33">
        <v>0</v>
      </c>
      <c r="K1696" s="33">
        <v>0</v>
      </c>
      <c r="L1696" s="33">
        <v>0</v>
      </c>
      <c r="M1696" s="33">
        <f t="shared" si="208"/>
        <v>0</v>
      </c>
      <c r="N1696" s="34">
        <f t="shared" si="214"/>
        <v>0</v>
      </c>
      <c r="O1696" s="35">
        <f>SUM($M$2:M1696)</f>
        <v>190743600</v>
      </c>
      <c r="P1696" s="34">
        <f t="shared" si="215"/>
        <v>1</v>
      </c>
      <c r="Q1696" s="37">
        <v>0</v>
      </c>
      <c r="R1696" s="31">
        <v>0</v>
      </c>
      <c r="S1696" s="31">
        <v>0</v>
      </c>
      <c r="T1696" s="31">
        <v>0</v>
      </c>
      <c r="U1696" s="37">
        <v>3.2</v>
      </c>
      <c r="V1696" s="31">
        <v>2</v>
      </c>
      <c r="W1696" s="31">
        <v>2</v>
      </c>
      <c r="X1696" s="38">
        <v>17</v>
      </c>
      <c r="Y1696" s="31">
        <v>1</v>
      </c>
      <c r="Z1696" s="31">
        <v>0</v>
      </c>
      <c r="AA1696" s="31" t="s">
        <v>212</v>
      </c>
      <c r="AB1696" s="31" t="s">
        <v>220</v>
      </c>
      <c r="AC1696" s="41">
        <f>IFERROR(LOOKUP(M1696,打分卡!$F$7:$J$7,打分卡!$K$7:$O$7),1)</f>
        <v>1</v>
      </c>
      <c r="AD1696" s="41">
        <f>IFERROR(LOOKUP(S1696,打分卡!$F$8:$J$8,打分卡!$K$8:$O$8),1)</f>
        <v>1</v>
      </c>
      <c r="AE1696" s="41">
        <f>IFERROR(LOOKUP(T1696,打分卡!$F$9:$I$9,打分卡!$K$9:$N$9),1)</f>
        <v>1</v>
      </c>
      <c r="AF1696" s="41">
        <f>IFERROR(LOOKUP(Q1696,打分卡!$F$10:$J$10,打分卡!$K$10:$O$10),1)</f>
        <v>1</v>
      </c>
      <c r="AG1696" s="41">
        <f>IFERROR(LOOKUP(R1696,打分卡!$F$11:$J$11,打分卡!$K$11:$O$11),1)</f>
        <v>1</v>
      </c>
      <c r="AH1696" s="41">
        <f>IFERROR(LOOKUP(U1696,打分卡!$F$12:$J$12,打分卡!$K$12:$O$12),1)</f>
        <v>2</v>
      </c>
      <c r="AI1696" s="41">
        <f>IFERROR(LOOKUP(X1696,打分卡!$F$13:$J$13,打分卡!$K$13:$O$13),1)</f>
        <v>1</v>
      </c>
      <c r="AJ1696" s="41">
        <f>IFERROR(LOOKUP(Y1696,打分卡!$F$14:$J$14,打分卡!$K$14:$O$14),1)</f>
        <v>2</v>
      </c>
      <c r="AK1696" s="41">
        <f>IFERROR(LOOKUP(W1696,打分卡!$F$15:$J$15,打分卡!$K$15:$O$15),1)</f>
        <v>2</v>
      </c>
      <c r="AL1696" s="43">
        <f t="shared" si="209"/>
        <v>1</v>
      </c>
      <c r="AM1696" s="41">
        <f>IFERROR(LOOKUP(Z1696,打分卡!$F$17:$H$17,打分卡!$K$17:$M$17),1)</f>
        <v>1</v>
      </c>
      <c r="AN1696" s="44">
        <f>(打分卡!$D$7*AC1696+打分卡!$D$8*AD1696+打分卡!$D$9*AE1696)/5</f>
        <v>8</v>
      </c>
      <c r="AO1696" s="44">
        <f>(打分卡!$D$10*AF1696+打分卡!$D$11*AG1696)/5</f>
        <v>4</v>
      </c>
      <c r="AP1696" s="44">
        <f>(打分卡!$D$12*AH1696+打分卡!$D$13*AI1696+打分卡!$D$14*AJ1696+打分卡!$D$15*AK1696)/5</f>
        <v>10.4</v>
      </c>
      <c r="AQ1696" s="44">
        <f>(打分卡!$D$16*AL1696+打分卡!$D$17*AM1696)/5</f>
        <v>2</v>
      </c>
      <c r="AR1696" s="47">
        <f t="shared" si="210"/>
        <v>24.4</v>
      </c>
      <c r="AS1696" s="43" t="str">
        <f t="shared" si="211"/>
        <v>未激活</v>
      </c>
      <c r="AT1696" s="43" t="str">
        <f t="shared" si="212"/>
        <v>连续下降-预警</v>
      </c>
      <c r="AU1696" s="43" t="str">
        <f t="shared" si="213"/>
        <v>唤醒：短信模板+首充补贴</v>
      </c>
    </row>
    <row r="1697" ht="15" customHeight="1" spans="1:47">
      <c r="A1697" s="20" t="s">
        <v>4325</v>
      </c>
      <c r="B1697" s="22" t="s">
        <v>4326</v>
      </c>
      <c r="C1697" s="22" t="s">
        <v>223</v>
      </c>
      <c r="D1697" s="22" t="s">
        <v>202</v>
      </c>
      <c r="E1697" s="22" t="s">
        <v>197</v>
      </c>
      <c r="F1697" s="20" t="s">
        <v>4327</v>
      </c>
      <c r="G1697" s="22">
        <v>20</v>
      </c>
      <c r="H1697" s="22" t="s">
        <v>3535</v>
      </c>
      <c r="I1697" s="22" t="s">
        <v>302</v>
      </c>
      <c r="J1697" s="36">
        <v>0</v>
      </c>
      <c r="K1697" s="36">
        <v>0</v>
      </c>
      <c r="L1697" s="36">
        <v>0</v>
      </c>
      <c r="M1697" s="36">
        <f t="shared" si="208"/>
        <v>0</v>
      </c>
      <c r="N1697" s="34">
        <f t="shared" si="214"/>
        <v>0</v>
      </c>
      <c r="O1697" s="35">
        <f>SUM($M$2:M1697)</f>
        <v>190743600</v>
      </c>
      <c r="P1697" s="34">
        <f t="shared" si="215"/>
        <v>1</v>
      </c>
      <c r="Q1697" s="39">
        <v>0</v>
      </c>
      <c r="R1697" s="22">
        <v>0</v>
      </c>
      <c r="S1697" s="22">
        <v>0</v>
      </c>
      <c r="T1697" s="22">
        <v>0</v>
      </c>
      <c r="U1697" s="39">
        <v>8.2</v>
      </c>
      <c r="V1697" s="22">
        <v>14</v>
      </c>
      <c r="W1697" s="22">
        <v>2</v>
      </c>
      <c r="X1697" s="40">
        <v>16</v>
      </c>
      <c r="Y1697" s="22">
        <v>1</v>
      </c>
      <c r="Z1697" s="22">
        <v>0</v>
      </c>
      <c r="AA1697" s="22" t="s">
        <v>212</v>
      </c>
      <c r="AB1697" s="22" t="s">
        <v>220</v>
      </c>
      <c r="AC1697" s="42">
        <f>IFERROR(LOOKUP(M1697,打分卡!$F$7:$J$7,打分卡!$K$7:$O$7),1)</f>
        <v>1</v>
      </c>
      <c r="AD1697" s="42">
        <f>IFERROR(LOOKUP(S1697,打分卡!$F$8:$J$8,打分卡!$K$8:$O$8),1)</f>
        <v>1</v>
      </c>
      <c r="AE1697" s="42">
        <f>IFERROR(LOOKUP(T1697,打分卡!$F$9:$I$9,打分卡!$K$9:$N$9),1)</f>
        <v>1</v>
      </c>
      <c r="AF1697" s="42">
        <f>IFERROR(LOOKUP(Q1697,打分卡!$F$10:$J$10,打分卡!$K$10:$O$10),1)</f>
        <v>1</v>
      </c>
      <c r="AG1697" s="42">
        <f>IFERROR(LOOKUP(R1697,打分卡!$F$11:$J$11,打分卡!$K$11:$O$11),1)</f>
        <v>1</v>
      </c>
      <c r="AH1697" s="42">
        <f>IFERROR(LOOKUP(U1697,打分卡!$F$12:$J$12,打分卡!$K$12:$O$12),1)</f>
        <v>2</v>
      </c>
      <c r="AI1697" s="42">
        <f>IFERROR(LOOKUP(X1697,打分卡!$F$13:$J$13,打分卡!$K$13:$O$13),1)</f>
        <v>1</v>
      </c>
      <c r="AJ1697" s="42">
        <f>IFERROR(LOOKUP(Y1697,打分卡!$F$14:$J$14,打分卡!$K$14:$O$14),1)</f>
        <v>2</v>
      </c>
      <c r="AK1697" s="42">
        <f>IFERROR(LOOKUP(W1697,打分卡!$F$15:$J$15,打分卡!$K$15:$O$15),1)</f>
        <v>2</v>
      </c>
      <c r="AL1697" s="45">
        <f t="shared" si="209"/>
        <v>1</v>
      </c>
      <c r="AM1697" s="42">
        <f>IFERROR(LOOKUP(Z1697,打分卡!$F$17:$H$17,打分卡!$K$17:$M$17),1)</f>
        <v>1</v>
      </c>
      <c r="AN1697" s="46">
        <f>(打分卡!$D$7*AC1697+打分卡!$D$8*AD1697+打分卡!$D$9*AE1697)/5</f>
        <v>8</v>
      </c>
      <c r="AO1697" s="46">
        <f>(打分卡!$D$10*AF1697+打分卡!$D$11*AG1697)/5</f>
        <v>4</v>
      </c>
      <c r="AP1697" s="46">
        <f>(打分卡!$D$12*AH1697+打分卡!$D$13*AI1697+打分卡!$D$14*AJ1697+打分卡!$D$15*AK1697)/5</f>
        <v>10.4</v>
      </c>
      <c r="AQ1697" s="46">
        <f>(打分卡!$D$16*AL1697+打分卡!$D$17*AM1697)/5</f>
        <v>2</v>
      </c>
      <c r="AR1697" s="48">
        <f t="shared" si="210"/>
        <v>24.4</v>
      </c>
      <c r="AS1697" s="45" t="str">
        <f t="shared" si="211"/>
        <v>未激活</v>
      </c>
      <c r="AT1697" s="45" t="str">
        <f t="shared" si="212"/>
        <v>连续下降-预警</v>
      </c>
      <c r="AU1697" s="45" t="str">
        <f t="shared" si="213"/>
        <v>唤醒：短信模板+首充补贴</v>
      </c>
    </row>
    <row r="1698" ht="15" customHeight="1" spans="1:47">
      <c r="A1698" s="30" t="s">
        <v>4328</v>
      </c>
      <c r="B1698" s="31" t="s">
        <v>4329</v>
      </c>
      <c r="C1698" s="31" t="s">
        <v>179</v>
      </c>
      <c r="D1698" s="31" t="s">
        <v>202</v>
      </c>
      <c r="E1698" s="31" t="s">
        <v>181</v>
      </c>
      <c r="F1698" s="30" t="s">
        <v>1386</v>
      </c>
      <c r="G1698" s="31">
        <v>24</v>
      </c>
      <c r="H1698" s="31" t="s">
        <v>3535</v>
      </c>
      <c r="I1698" s="31" t="s">
        <v>302</v>
      </c>
      <c r="J1698" s="33">
        <v>0</v>
      </c>
      <c r="K1698" s="33">
        <v>0</v>
      </c>
      <c r="L1698" s="33">
        <v>0</v>
      </c>
      <c r="M1698" s="33">
        <f t="shared" si="208"/>
        <v>0</v>
      </c>
      <c r="N1698" s="34">
        <f t="shared" si="214"/>
        <v>0</v>
      </c>
      <c r="O1698" s="35">
        <f>SUM($M$2:M1698)</f>
        <v>190743600</v>
      </c>
      <c r="P1698" s="34">
        <f t="shared" si="215"/>
        <v>1</v>
      </c>
      <c r="Q1698" s="37">
        <v>0</v>
      </c>
      <c r="R1698" s="31">
        <v>0</v>
      </c>
      <c r="S1698" s="31">
        <v>0</v>
      </c>
      <c r="T1698" s="31">
        <v>0</v>
      </c>
      <c r="U1698" s="37">
        <v>1</v>
      </c>
      <c r="V1698" s="31">
        <v>13</v>
      </c>
      <c r="W1698" s="31">
        <v>1</v>
      </c>
      <c r="X1698" s="38">
        <v>65</v>
      </c>
      <c r="Y1698" s="31">
        <v>0</v>
      </c>
      <c r="Z1698" s="31">
        <v>0</v>
      </c>
      <c r="AA1698" s="31" t="s">
        <v>212</v>
      </c>
      <c r="AB1698" s="31" t="s">
        <v>220</v>
      </c>
      <c r="AC1698" s="41">
        <f>IFERROR(LOOKUP(M1698,打分卡!$F$7:$J$7,打分卡!$K$7:$O$7),1)</f>
        <v>1</v>
      </c>
      <c r="AD1698" s="41">
        <f>IFERROR(LOOKUP(S1698,打分卡!$F$8:$J$8,打分卡!$K$8:$O$8),1)</f>
        <v>1</v>
      </c>
      <c r="AE1698" s="41">
        <f>IFERROR(LOOKUP(T1698,打分卡!$F$9:$I$9,打分卡!$K$9:$N$9),1)</f>
        <v>1</v>
      </c>
      <c r="AF1698" s="41">
        <f>IFERROR(LOOKUP(Q1698,打分卡!$F$10:$J$10,打分卡!$K$10:$O$10),1)</f>
        <v>1</v>
      </c>
      <c r="AG1698" s="41">
        <f>IFERROR(LOOKUP(R1698,打分卡!$F$11:$J$11,打分卡!$K$11:$O$11),1)</f>
        <v>1</v>
      </c>
      <c r="AH1698" s="41">
        <f>IFERROR(LOOKUP(U1698,打分卡!$F$12:$J$12,打分卡!$K$12:$O$12),1)</f>
        <v>1</v>
      </c>
      <c r="AI1698" s="41">
        <f>IFERROR(LOOKUP(X1698,打分卡!$F$13:$J$13,打分卡!$K$13:$O$13),1)</f>
        <v>3</v>
      </c>
      <c r="AJ1698" s="41">
        <f>IFERROR(LOOKUP(Y1698,打分卡!$F$14:$J$14,打分卡!$K$14:$O$14),1)</f>
        <v>1</v>
      </c>
      <c r="AK1698" s="41">
        <f>IFERROR(LOOKUP(W1698,打分卡!$F$15:$J$15,打分卡!$K$15:$O$15),1)</f>
        <v>2</v>
      </c>
      <c r="AL1698" s="43">
        <f t="shared" si="209"/>
        <v>1</v>
      </c>
      <c r="AM1698" s="41">
        <f>IFERROR(LOOKUP(Z1698,打分卡!$F$17:$H$17,打分卡!$K$17:$M$17),1)</f>
        <v>1</v>
      </c>
      <c r="AN1698" s="44">
        <f>(打分卡!$D$7*AC1698+打分卡!$D$8*AD1698+打分卡!$D$9*AE1698)/5</f>
        <v>8</v>
      </c>
      <c r="AO1698" s="44">
        <f>(打分卡!$D$10*AF1698+打分卡!$D$11*AG1698)/5</f>
        <v>4</v>
      </c>
      <c r="AP1698" s="44">
        <f>(打分卡!$D$12*AH1698+打分卡!$D$13*AI1698+打分卡!$D$14*AJ1698+打分卡!$D$15*AK1698)/5</f>
        <v>10</v>
      </c>
      <c r="AQ1698" s="44">
        <f>(打分卡!$D$16*AL1698+打分卡!$D$17*AM1698)/5</f>
        <v>2</v>
      </c>
      <c r="AR1698" s="47">
        <f t="shared" si="210"/>
        <v>24</v>
      </c>
      <c r="AS1698" s="43" t="str">
        <f t="shared" si="211"/>
        <v>未激活</v>
      </c>
      <c r="AT1698" s="43" t="str">
        <f t="shared" si="212"/>
        <v>连续下降-预警</v>
      </c>
      <c r="AU1698" s="43" t="str">
        <f t="shared" si="213"/>
        <v>唤醒：短信模板+首充补贴</v>
      </c>
    </row>
    <row r="1699" ht="15" customHeight="1" spans="1:47">
      <c r="A1699" s="20" t="s">
        <v>4330</v>
      </c>
      <c r="B1699" s="22" t="s">
        <v>4331</v>
      </c>
      <c r="C1699" s="22" t="s">
        <v>239</v>
      </c>
      <c r="D1699" s="22" t="s">
        <v>235</v>
      </c>
      <c r="E1699" s="22" t="s">
        <v>181</v>
      </c>
      <c r="F1699" s="20" t="s">
        <v>2514</v>
      </c>
      <c r="G1699" s="22">
        <v>17</v>
      </c>
      <c r="H1699" s="22" t="s">
        <v>3535</v>
      </c>
      <c r="I1699" s="22" t="s">
        <v>302</v>
      </c>
      <c r="J1699" s="36">
        <v>0</v>
      </c>
      <c r="K1699" s="36">
        <v>0</v>
      </c>
      <c r="L1699" s="36">
        <v>0</v>
      </c>
      <c r="M1699" s="36">
        <f t="shared" si="208"/>
        <v>0</v>
      </c>
      <c r="N1699" s="34">
        <f t="shared" si="214"/>
        <v>0</v>
      </c>
      <c r="O1699" s="35">
        <f>SUM($M$2:M1699)</f>
        <v>190743600</v>
      </c>
      <c r="P1699" s="34">
        <f t="shared" si="215"/>
        <v>1</v>
      </c>
      <c r="Q1699" s="39">
        <v>0</v>
      </c>
      <c r="R1699" s="22">
        <v>0</v>
      </c>
      <c r="S1699" s="22">
        <v>0</v>
      </c>
      <c r="T1699" s="22">
        <v>0</v>
      </c>
      <c r="U1699" s="39">
        <v>35.1</v>
      </c>
      <c r="V1699" s="22">
        <v>7</v>
      </c>
      <c r="W1699" s="22">
        <v>0</v>
      </c>
      <c r="X1699" s="40">
        <v>46</v>
      </c>
      <c r="Y1699" s="22">
        <v>0</v>
      </c>
      <c r="Z1699" s="22">
        <v>0</v>
      </c>
      <c r="AA1699" s="22" t="s">
        <v>212</v>
      </c>
      <c r="AB1699" s="22" t="s">
        <v>220</v>
      </c>
      <c r="AC1699" s="42">
        <f>IFERROR(LOOKUP(M1699,打分卡!$F$7:$J$7,打分卡!$K$7:$O$7),1)</f>
        <v>1</v>
      </c>
      <c r="AD1699" s="42">
        <f>IFERROR(LOOKUP(S1699,打分卡!$F$8:$J$8,打分卡!$K$8:$O$8),1)</f>
        <v>1</v>
      </c>
      <c r="AE1699" s="42">
        <f>IFERROR(LOOKUP(T1699,打分卡!$F$9:$I$9,打分卡!$K$9:$N$9),1)</f>
        <v>1</v>
      </c>
      <c r="AF1699" s="42">
        <f>IFERROR(LOOKUP(Q1699,打分卡!$F$10:$J$10,打分卡!$K$10:$O$10),1)</f>
        <v>1</v>
      </c>
      <c r="AG1699" s="42">
        <f>IFERROR(LOOKUP(R1699,打分卡!$F$11:$J$11,打分卡!$K$11:$O$11),1)</f>
        <v>1</v>
      </c>
      <c r="AH1699" s="42">
        <f>IFERROR(LOOKUP(U1699,打分卡!$F$12:$J$12,打分卡!$K$12:$O$12),1)</f>
        <v>4</v>
      </c>
      <c r="AI1699" s="42">
        <f>IFERROR(LOOKUP(X1699,打分卡!$F$13:$J$13,打分卡!$K$13:$O$13),1)</f>
        <v>3</v>
      </c>
      <c r="AJ1699" s="42">
        <f>IFERROR(LOOKUP(Y1699,打分卡!$F$14:$J$14,打分卡!$K$14:$O$14),1)</f>
        <v>1</v>
      </c>
      <c r="AK1699" s="42">
        <f>IFERROR(LOOKUP(W1699,打分卡!$F$15:$J$15,打分卡!$K$15:$O$15),1)</f>
        <v>1</v>
      </c>
      <c r="AL1699" s="45">
        <f t="shared" si="209"/>
        <v>1</v>
      </c>
      <c r="AM1699" s="42">
        <f>IFERROR(LOOKUP(Z1699,打分卡!$F$17:$H$17,打分卡!$K$17:$M$17),1)</f>
        <v>1</v>
      </c>
      <c r="AN1699" s="46">
        <f>(打分卡!$D$7*AC1699+打分卡!$D$8*AD1699+打分卡!$D$9*AE1699)/5</f>
        <v>8</v>
      </c>
      <c r="AO1699" s="46">
        <f>(打分卡!$D$10*AF1699+打分卡!$D$11*AG1699)/5</f>
        <v>4</v>
      </c>
      <c r="AP1699" s="46">
        <f>(打分卡!$D$12*AH1699+打分卡!$D$13*AI1699+打分卡!$D$14*AJ1699+打分卡!$D$15*AK1699)/5</f>
        <v>16.4</v>
      </c>
      <c r="AQ1699" s="46">
        <f>(打分卡!$D$16*AL1699+打分卡!$D$17*AM1699)/5</f>
        <v>2</v>
      </c>
      <c r="AR1699" s="48">
        <f t="shared" si="210"/>
        <v>30.4</v>
      </c>
      <c r="AS1699" s="45" t="str">
        <f t="shared" si="211"/>
        <v>未激活</v>
      </c>
      <c r="AT1699" s="45" t="str">
        <f t="shared" si="212"/>
        <v>连续下降-预警</v>
      </c>
      <c r="AU1699" s="45" t="str">
        <f t="shared" si="213"/>
        <v>唤醒：短信模板+首充补贴</v>
      </c>
    </row>
    <row r="1700" ht="15" customHeight="1" spans="1:47">
      <c r="A1700" s="30" t="s">
        <v>4332</v>
      </c>
      <c r="B1700" s="31" t="s">
        <v>4333</v>
      </c>
      <c r="C1700" s="31" t="s">
        <v>179</v>
      </c>
      <c r="D1700" s="31" t="s">
        <v>202</v>
      </c>
      <c r="E1700" s="31" t="s">
        <v>181</v>
      </c>
      <c r="F1700" s="30" t="s">
        <v>4334</v>
      </c>
      <c r="G1700" s="31">
        <v>28</v>
      </c>
      <c r="H1700" s="31" t="s">
        <v>3535</v>
      </c>
      <c r="I1700" s="31" t="s">
        <v>302</v>
      </c>
      <c r="J1700" s="33">
        <v>0</v>
      </c>
      <c r="K1700" s="33">
        <v>0</v>
      </c>
      <c r="L1700" s="33">
        <v>0</v>
      </c>
      <c r="M1700" s="33">
        <f t="shared" si="208"/>
        <v>0</v>
      </c>
      <c r="N1700" s="34">
        <f t="shared" si="214"/>
        <v>0</v>
      </c>
      <c r="O1700" s="35">
        <f>SUM($M$2:M1700)</f>
        <v>190743600</v>
      </c>
      <c r="P1700" s="34">
        <f t="shared" si="215"/>
        <v>1</v>
      </c>
      <c r="Q1700" s="37">
        <v>0</v>
      </c>
      <c r="R1700" s="31">
        <v>0</v>
      </c>
      <c r="S1700" s="31">
        <v>0</v>
      </c>
      <c r="T1700" s="31">
        <v>0</v>
      </c>
      <c r="U1700" s="37">
        <v>1.1</v>
      </c>
      <c r="V1700" s="31">
        <v>7</v>
      </c>
      <c r="W1700" s="31">
        <v>0</v>
      </c>
      <c r="X1700" s="38">
        <v>13</v>
      </c>
      <c r="Y1700" s="31">
        <v>0</v>
      </c>
      <c r="Z1700" s="31">
        <v>0</v>
      </c>
      <c r="AA1700" s="31" t="s">
        <v>212</v>
      </c>
      <c r="AB1700" s="31" t="s">
        <v>220</v>
      </c>
      <c r="AC1700" s="41">
        <f>IFERROR(LOOKUP(M1700,打分卡!$F$7:$J$7,打分卡!$K$7:$O$7),1)</f>
        <v>1</v>
      </c>
      <c r="AD1700" s="41">
        <f>IFERROR(LOOKUP(S1700,打分卡!$F$8:$J$8,打分卡!$K$8:$O$8),1)</f>
        <v>1</v>
      </c>
      <c r="AE1700" s="41">
        <f>IFERROR(LOOKUP(T1700,打分卡!$F$9:$I$9,打分卡!$K$9:$N$9),1)</f>
        <v>1</v>
      </c>
      <c r="AF1700" s="41">
        <f>IFERROR(LOOKUP(Q1700,打分卡!$F$10:$J$10,打分卡!$K$10:$O$10),1)</f>
        <v>1</v>
      </c>
      <c r="AG1700" s="41">
        <f>IFERROR(LOOKUP(R1700,打分卡!$F$11:$J$11,打分卡!$K$11:$O$11),1)</f>
        <v>1</v>
      </c>
      <c r="AH1700" s="41">
        <f>IFERROR(LOOKUP(U1700,打分卡!$F$12:$J$12,打分卡!$K$12:$O$12),1)</f>
        <v>1</v>
      </c>
      <c r="AI1700" s="41">
        <f>IFERROR(LOOKUP(X1700,打分卡!$F$13:$J$13,打分卡!$K$13:$O$13),1)</f>
        <v>1</v>
      </c>
      <c r="AJ1700" s="41">
        <f>IFERROR(LOOKUP(Y1700,打分卡!$F$14:$J$14,打分卡!$K$14:$O$14),1)</f>
        <v>1</v>
      </c>
      <c r="AK1700" s="41">
        <f>IFERROR(LOOKUP(W1700,打分卡!$F$15:$J$15,打分卡!$K$15:$O$15),1)</f>
        <v>1</v>
      </c>
      <c r="AL1700" s="43">
        <f t="shared" si="209"/>
        <v>1</v>
      </c>
      <c r="AM1700" s="41">
        <f>IFERROR(LOOKUP(Z1700,打分卡!$F$17:$H$17,打分卡!$K$17:$M$17),1)</f>
        <v>1</v>
      </c>
      <c r="AN1700" s="44">
        <f>(打分卡!$D$7*AC1700+打分卡!$D$8*AD1700+打分卡!$D$9*AE1700)/5</f>
        <v>8</v>
      </c>
      <c r="AO1700" s="44">
        <f>(打分卡!$D$10*AF1700+打分卡!$D$11*AG1700)/5</f>
        <v>4</v>
      </c>
      <c r="AP1700" s="44">
        <f>(打分卡!$D$12*AH1700+打分卡!$D$13*AI1700+打分卡!$D$14*AJ1700+打分卡!$D$15*AK1700)/5</f>
        <v>6</v>
      </c>
      <c r="AQ1700" s="44">
        <f>(打分卡!$D$16*AL1700+打分卡!$D$17*AM1700)/5</f>
        <v>2</v>
      </c>
      <c r="AR1700" s="47">
        <f t="shared" si="210"/>
        <v>20</v>
      </c>
      <c r="AS1700" s="43" t="str">
        <f t="shared" si="211"/>
        <v>未激活</v>
      </c>
      <c r="AT1700" s="43" t="str">
        <f t="shared" si="212"/>
        <v>连续下降-预警</v>
      </c>
      <c r="AU1700" s="43" t="str">
        <f t="shared" si="213"/>
        <v>唤醒：短信模板+首充补贴</v>
      </c>
    </row>
    <row r="1701" ht="15" customHeight="1" spans="1:47">
      <c r="A1701" s="20" t="s">
        <v>4335</v>
      </c>
      <c r="B1701" s="22" t="s">
        <v>4336</v>
      </c>
      <c r="C1701" s="22" t="s">
        <v>195</v>
      </c>
      <c r="D1701" s="22" t="s">
        <v>227</v>
      </c>
      <c r="E1701" s="22" t="s">
        <v>197</v>
      </c>
      <c r="F1701" s="20" t="s">
        <v>1644</v>
      </c>
      <c r="G1701" s="22">
        <v>23</v>
      </c>
      <c r="H1701" s="22" t="s">
        <v>3535</v>
      </c>
      <c r="I1701" s="22" t="s">
        <v>302</v>
      </c>
      <c r="J1701" s="36">
        <v>0</v>
      </c>
      <c r="K1701" s="36">
        <v>0</v>
      </c>
      <c r="L1701" s="36">
        <v>0</v>
      </c>
      <c r="M1701" s="36">
        <f t="shared" si="208"/>
        <v>0</v>
      </c>
      <c r="N1701" s="34">
        <f t="shared" si="214"/>
        <v>0</v>
      </c>
      <c r="O1701" s="35">
        <f>SUM($M$2:M1701)</f>
        <v>190743600</v>
      </c>
      <c r="P1701" s="34">
        <f t="shared" si="215"/>
        <v>1</v>
      </c>
      <c r="Q1701" s="39">
        <v>0</v>
      </c>
      <c r="R1701" s="22">
        <v>0</v>
      </c>
      <c r="S1701" s="22">
        <v>0</v>
      </c>
      <c r="T1701" s="22">
        <v>0</v>
      </c>
      <c r="U1701" s="39">
        <v>1</v>
      </c>
      <c r="V1701" s="22">
        <v>5</v>
      </c>
      <c r="W1701" s="22">
        <v>2</v>
      </c>
      <c r="X1701" s="40">
        <v>44</v>
      </c>
      <c r="Y1701" s="22">
        <v>1</v>
      </c>
      <c r="Z1701" s="22">
        <v>0</v>
      </c>
      <c r="AA1701" s="22" t="s">
        <v>212</v>
      </c>
      <c r="AB1701" s="22" t="s">
        <v>220</v>
      </c>
      <c r="AC1701" s="42">
        <f>IFERROR(LOOKUP(M1701,打分卡!$F$7:$J$7,打分卡!$K$7:$O$7),1)</f>
        <v>1</v>
      </c>
      <c r="AD1701" s="42">
        <f>IFERROR(LOOKUP(S1701,打分卡!$F$8:$J$8,打分卡!$K$8:$O$8),1)</f>
        <v>1</v>
      </c>
      <c r="AE1701" s="42">
        <f>IFERROR(LOOKUP(T1701,打分卡!$F$9:$I$9,打分卡!$K$9:$N$9),1)</f>
        <v>1</v>
      </c>
      <c r="AF1701" s="42">
        <f>IFERROR(LOOKUP(Q1701,打分卡!$F$10:$J$10,打分卡!$K$10:$O$10),1)</f>
        <v>1</v>
      </c>
      <c r="AG1701" s="42">
        <f>IFERROR(LOOKUP(R1701,打分卡!$F$11:$J$11,打分卡!$K$11:$O$11),1)</f>
        <v>1</v>
      </c>
      <c r="AH1701" s="42">
        <f>IFERROR(LOOKUP(U1701,打分卡!$F$12:$J$12,打分卡!$K$12:$O$12),1)</f>
        <v>1</v>
      </c>
      <c r="AI1701" s="42">
        <f>IFERROR(LOOKUP(X1701,打分卡!$F$13:$J$13,打分卡!$K$13:$O$13),1)</f>
        <v>3</v>
      </c>
      <c r="AJ1701" s="42">
        <f>IFERROR(LOOKUP(Y1701,打分卡!$F$14:$J$14,打分卡!$K$14:$O$14),1)</f>
        <v>2</v>
      </c>
      <c r="AK1701" s="42">
        <f>IFERROR(LOOKUP(W1701,打分卡!$F$15:$J$15,打分卡!$K$15:$O$15),1)</f>
        <v>2</v>
      </c>
      <c r="AL1701" s="45">
        <f t="shared" si="209"/>
        <v>1</v>
      </c>
      <c r="AM1701" s="42">
        <f>IFERROR(LOOKUP(Z1701,打分卡!$F$17:$H$17,打分卡!$K$17:$M$17),1)</f>
        <v>1</v>
      </c>
      <c r="AN1701" s="46">
        <f>(打分卡!$D$7*AC1701+打分卡!$D$8*AD1701+打分卡!$D$9*AE1701)/5</f>
        <v>8</v>
      </c>
      <c r="AO1701" s="46">
        <f>(打分卡!$D$10*AF1701+打分卡!$D$11*AG1701)/5</f>
        <v>4</v>
      </c>
      <c r="AP1701" s="46">
        <f>(打分卡!$D$12*AH1701+打分卡!$D$13*AI1701+打分卡!$D$14*AJ1701+打分卡!$D$15*AK1701)/5</f>
        <v>11.2</v>
      </c>
      <c r="AQ1701" s="46">
        <f>(打分卡!$D$16*AL1701+打分卡!$D$17*AM1701)/5</f>
        <v>2</v>
      </c>
      <c r="AR1701" s="48">
        <f t="shared" si="210"/>
        <v>25.2</v>
      </c>
      <c r="AS1701" s="45" t="str">
        <f t="shared" si="211"/>
        <v>未激活</v>
      </c>
      <c r="AT1701" s="45" t="str">
        <f t="shared" si="212"/>
        <v>连续下降-预警</v>
      </c>
      <c r="AU1701" s="45" t="str">
        <f t="shared" si="213"/>
        <v>唤醒：短信模板+首充补贴</v>
      </c>
    </row>
    <row r="1702" ht="15" customHeight="1" spans="1:47">
      <c r="A1702" s="30" t="s">
        <v>4337</v>
      </c>
      <c r="B1702" s="31" t="s">
        <v>4338</v>
      </c>
      <c r="C1702" s="31" t="s">
        <v>218</v>
      </c>
      <c r="D1702" s="31" t="s">
        <v>202</v>
      </c>
      <c r="E1702" s="31" t="s">
        <v>197</v>
      </c>
      <c r="F1702" s="30" t="s">
        <v>3623</v>
      </c>
      <c r="G1702" s="31">
        <v>26</v>
      </c>
      <c r="H1702" s="31" t="s">
        <v>3535</v>
      </c>
      <c r="I1702" s="31" t="s">
        <v>302</v>
      </c>
      <c r="J1702" s="33">
        <v>0</v>
      </c>
      <c r="K1702" s="33">
        <v>0</v>
      </c>
      <c r="L1702" s="33">
        <v>0</v>
      </c>
      <c r="M1702" s="33">
        <f t="shared" si="208"/>
        <v>0</v>
      </c>
      <c r="N1702" s="34">
        <f t="shared" si="214"/>
        <v>0</v>
      </c>
      <c r="O1702" s="35">
        <f>SUM($M$2:M1702)</f>
        <v>190743600</v>
      </c>
      <c r="P1702" s="34">
        <f t="shared" si="215"/>
        <v>1</v>
      </c>
      <c r="Q1702" s="37">
        <v>0</v>
      </c>
      <c r="R1702" s="31">
        <v>0</v>
      </c>
      <c r="S1702" s="31">
        <v>0</v>
      </c>
      <c r="T1702" s="31">
        <v>0</v>
      </c>
      <c r="U1702" s="37">
        <v>0.6</v>
      </c>
      <c r="V1702" s="31">
        <v>1</v>
      </c>
      <c r="W1702" s="31">
        <v>2</v>
      </c>
      <c r="X1702" s="38">
        <v>45</v>
      </c>
      <c r="Y1702" s="31">
        <v>1</v>
      </c>
      <c r="Z1702" s="31">
        <v>0</v>
      </c>
      <c r="AA1702" s="31" t="s">
        <v>212</v>
      </c>
      <c r="AB1702" s="31" t="s">
        <v>220</v>
      </c>
      <c r="AC1702" s="41">
        <f>IFERROR(LOOKUP(M1702,打分卡!$F$7:$J$7,打分卡!$K$7:$O$7),1)</f>
        <v>1</v>
      </c>
      <c r="AD1702" s="41">
        <f>IFERROR(LOOKUP(S1702,打分卡!$F$8:$J$8,打分卡!$K$8:$O$8),1)</f>
        <v>1</v>
      </c>
      <c r="AE1702" s="41">
        <f>IFERROR(LOOKUP(T1702,打分卡!$F$9:$I$9,打分卡!$K$9:$N$9),1)</f>
        <v>1</v>
      </c>
      <c r="AF1702" s="41">
        <f>IFERROR(LOOKUP(Q1702,打分卡!$F$10:$J$10,打分卡!$K$10:$O$10),1)</f>
        <v>1</v>
      </c>
      <c r="AG1702" s="41">
        <f>IFERROR(LOOKUP(R1702,打分卡!$F$11:$J$11,打分卡!$K$11:$O$11),1)</f>
        <v>1</v>
      </c>
      <c r="AH1702" s="41">
        <f>IFERROR(LOOKUP(U1702,打分卡!$F$12:$J$12,打分卡!$K$12:$O$12),1)</f>
        <v>1</v>
      </c>
      <c r="AI1702" s="41">
        <f>IFERROR(LOOKUP(X1702,打分卡!$F$13:$J$13,打分卡!$K$13:$O$13),1)</f>
        <v>3</v>
      </c>
      <c r="AJ1702" s="41">
        <f>IFERROR(LOOKUP(Y1702,打分卡!$F$14:$J$14,打分卡!$K$14:$O$14),1)</f>
        <v>2</v>
      </c>
      <c r="AK1702" s="41">
        <f>IFERROR(LOOKUP(W1702,打分卡!$F$15:$J$15,打分卡!$K$15:$O$15),1)</f>
        <v>2</v>
      </c>
      <c r="AL1702" s="43">
        <f t="shared" si="209"/>
        <v>1</v>
      </c>
      <c r="AM1702" s="41">
        <f>IFERROR(LOOKUP(Z1702,打分卡!$F$17:$H$17,打分卡!$K$17:$M$17),1)</f>
        <v>1</v>
      </c>
      <c r="AN1702" s="44">
        <f>(打分卡!$D$7*AC1702+打分卡!$D$8*AD1702+打分卡!$D$9*AE1702)/5</f>
        <v>8</v>
      </c>
      <c r="AO1702" s="44">
        <f>(打分卡!$D$10*AF1702+打分卡!$D$11*AG1702)/5</f>
        <v>4</v>
      </c>
      <c r="AP1702" s="44">
        <f>(打分卡!$D$12*AH1702+打分卡!$D$13*AI1702+打分卡!$D$14*AJ1702+打分卡!$D$15*AK1702)/5</f>
        <v>11.2</v>
      </c>
      <c r="AQ1702" s="44">
        <f>(打分卡!$D$16*AL1702+打分卡!$D$17*AM1702)/5</f>
        <v>2</v>
      </c>
      <c r="AR1702" s="47">
        <f t="shared" si="210"/>
        <v>25.2</v>
      </c>
      <c r="AS1702" s="43" t="str">
        <f t="shared" si="211"/>
        <v>未激活</v>
      </c>
      <c r="AT1702" s="43" t="str">
        <f t="shared" si="212"/>
        <v>连续下降-预警</v>
      </c>
      <c r="AU1702" s="43" t="str">
        <f t="shared" si="213"/>
        <v>唤醒：短信模板+首充补贴</v>
      </c>
    </row>
    <row r="1703" ht="15" customHeight="1" spans="1:47">
      <c r="A1703" s="20" t="s">
        <v>4339</v>
      </c>
      <c r="B1703" s="22" t="s">
        <v>4340</v>
      </c>
      <c r="C1703" s="22" t="s">
        <v>234</v>
      </c>
      <c r="D1703" s="22" t="s">
        <v>202</v>
      </c>
      <c r="E1703" s="22" t="s">
        <v>181</v>
      </c>
      <c r="F1703" s="20" t="s">
        <v>4023</v>
      </c>
      <c r="G1703" s="22">
        <v>31</v>
      </c>
      <c r="H1703" s="22" t="s">
        <v>3535</v>
      </c>
      <c r="I1703" s="22" t="s">
        <v>302</v>
      </c>
      <c r="J1703" s="36">
        <v>0</v>
      </c>
      <c r="K1703" s="36">
        <v>0</v>
      </c>
      <c r="L1703" s="36">
        <v>0</v>
      </c>
      <c r="M1703" s="36">
        <f t="shared" si="208"/>
        <v>0</v>
      </c>
      <c r="N1703" s="34">
        <f t="shared" si="214"/>
        <v>0</v>
      </c>
      <c r="O1703" s="35">
        <f>SUM($M$2:M1703)</f>
        <v>190743600</v>
      </c>
      <c r="P1703" s="34">
        <f t="shared" si="215"/>
        <v>1</v>
      </c>
      <c r="Q1703" s="39">
        <v>0</v>
      </c>
      <c r="R1703" s="22">
        <v>0</v>
      </c>
      <c r="S1703" s="22">
        <v>0</v>
      </c>
      <c r="T1703" s="22">
        <v>0</v>
      </c>
      <c r="U1703" s="39">
        <v>1.9</v>
      </c>
      <c r="V1703" s="22">
        <v>1</v>
      </c>
      <c r="W1703" s="22">
        <v>1</v>
      </c>
      <c r="X1703" s="40">
        <v>15</v>
      </c>
      <c r="Y1703" s="22">
        <v>0</v>
      </c>
      <c r="Z1703" s="22">
        <v>0</v>
      </c>
      <c r="AA1703" s="22" t="s">
        <v>212</v>
      </c>
      <c r="AB1703" s="22" t="s">
        <v>220</v>
      </c>
      <c r="AC1703" s="42">
        <f>IFERROR(LOOKUP(M1703,打分卡!$F$7:$J$7,打分卡!$K$7:$O$7),1)</f>
        <v>1</v>
      </c>
      <c r="AD1703" s="42">
        <f>IFERROR(LOOKUP(S1703,打分卡!$F$8:$J$8,打分卡!$K$8:$O$8),1)</f>
        <v>1</v>
      </c>
      <c r="AE1703" s="42">
        <f>IFERROR(LOOKUP(T1703,打分卡!$F$9:$I$9,打分卡!$K$9:$N$9),1)</f>
        <v>1</v>
      </c>
      <c r="AF1703" s="42">
        <f>IFERROR(LOOKUP(Q1703,打分卡!$F$10:$J$10,打分卡!$K$10:$O$10),1)</f>
        <v>1</v>
      </c>
      <c r="AG1703" s="42">
        <f>IFERROR(LOOKUP(R1703,打分卡!$F$11:$J$11,打分卡!$K$11:$O$11),1)</f>
        <v>1</v>
      </c>
      <c r="AH1703" s="42">
        <f>IFERROR(LOOKUP(U1703,打分卡!$F$12:$J$12,打分卡!$K$12:$O$12),1)</f>
        <v>1</v>
      </c>
      <c r="AI1703" s="42">
        <f>IFERROR(LOOKUP(X1703,打分卡!$F$13:$J$13,打分卡!$K$13:$O$13),1)</f>
        <v>1</v>
      </c>
      <c r="AJ1703" s="42">
        <f>IFERROR(LOOKUP(Y1703,打分卡!$F$14:$J$14,打分卡!$K$14:$O$14),1)</f>
        <v>1</v>
      </c>
      <c r="AK1703" s="42">
        <f>IFERROR(LOOKUP(W1703,打分卡!$F$15:$J$15,打分卡!$K$15:$O$15),1)</f>
        <v>2</v>
      </c>
      <c r="AL1703" s="45">
        <f t="shared" si="209"/>
        <v>1</v>
      </c>
      <c r="AM1703" s="42">
        <f>IFERROR(LOOKUP(Z1703,打分卡!$F$17:$H$17,打分卡!$K$17:$M$17),1)</f>
        <v>1</v>
      </c>
      <c r="AN1703" s="46">
        <f>(打分卡!$D$7*AC1703+打分卡!$D$8*AD1703+打分卡!$D$9*AE1703)/5</f>
        <v>8</v>
      </c>
      <c r="AO1703" s="46">
        <f>(打分卡!$D$10*AF1703+打分卡!$D$11*AG1703)/5</f>
        <v>4</v>
      </c>
      <c r="AP1703" s="46">
        <f>(打分卡!$D$12*AH1703+打分卡!$D$13*AI1703+打分卡!$D$14*AJ1703+打分卡!$D$15*AK1703)/5</f>
        <v>6.8</v>
      </c>
      <c r="AQ1703" s="46">
        <f>(打分卡!$D$16*AL1703+打分卡!$D$17*AM1703)/5</f>
        <v>2</v>
      </c>
      <c r="AR1703" s="48">
        <f t="shared" si="210"/>
        <v>20.8</v>
      </c>
      <c r="AS1703" s="45" t="str">
        <f t="shared" si="211"/>
        <v>未激活</v>
      </c>
      <c r="AT1703" s="45" t="str">
        <f t="shared" si="212"/>
        <v>连续下降-预警</v>
      </c>
      <c r="AU1703" s="45" t="str">
        <f t="shared" si="213"/>
        <v>唤醒：短信模板+首充补贴</v>
      </c>
    </row>
    <row r="1704" ht="15" customHeight="1" spans="1:47">
      <c r="A1704" s="30" t="s">
        <v>4341</v>
      </c>
      <c r="B1704" s="31" t="s">
        <v>4342</v>
      </c>
      <c r="C1704" s="31" t="s">
        <v>239</v>
      </c>
      <c r="D1704" s="31" t="s">
        <v>235</v>
      </c>
      <c r="E1704" s="31" t="s">
        <v>181</v>
      </c>
      <c r="F1704" s="30" t="s">
        <v>1647</v>
      </c>
      <c r="G1704" s="31">
        <v>3</v>
      </c>
      <c r="H1704" s="31" t="s">
        <v>642</v>
      </c>
      <c r="I1704" s="31" t="s">
        <v>302</v>
      </c>
      <c r="J1704" s="33">
        <v>0</v>
      </c>
      <c r="K1704" s="33">
        <v>0</v>
      </c>
      <c r="L1704" s="33">
        <v>0</v>
      </c>
      <c r="M1704" s="33">
        <f t="shared" si="208"/>
        <v>0</v>
      </c>
      <c r="N1704" s="34">
        <f t="shared" si="214"/>
        <v>0</v>
      </c>
      <c r="O1704" s="35">
        <f>SUM($M$2:M1704)</f>
        <v>190743600</v>
      </c>
      <c r="P1704" s="34">
        <f t="shared" si="215"/>
        <v>1</v>
      </c>
      <c r="Q1704" s="37">
        <v>0</v>
      </c>
      <c r="R1704" s="31">
        <v>0</v>
      </c>
      <c r="S1704" s="31">
        <v>0</v>
      </c>
      <c r="T1704" s="31">
        <v>0</v>
      </c>
      <c r="U1704" s="37">
        <v>404</v>
      </c>
      <c r="V1704" s="31">
        <v>13</v>
      </c>
      <c r="W1704" s="31">
        <v>23</v>
      </c>
      <c r="X1704" s="38">
        <v>528</v>
      </c>
      <c r="Y1704" s="31">
        <v>2</v>
      </c>
      <c r="Z1704" s="31">
        <v>0</v>
      </c>
      <c r="AA1704" s="31" t="s">
        <v>199</v>
      </c>
      <c r="AB1704" s="31" t="s">
        <v>220</v>
      </c>
      <c r="AC1704" s="41">
        <f>IFERROR(LOOKUP(M1704,打分卡!$F$7:$J$7,打分卡!$K$7:$O$7),1)</f>
        <v>1</v>
      </c>
      <c r="AD1704" s="41">
        <f>IFERROR(LOOKUP(S1704,打分卡!$F$8:$J$8,打分卡!$K$8:$O$8),1)</f>
        <v>1</v>
      </c>
      <c r="AE1704" s="41">
        <f>IFERROR(LOOKUP(T1704,打分卡!$F$9:$I$9,打分卡!$K$9:$N$9),1)</f>
        <v>1</v>
      </c>
      <c r="AF1704" s="41">
        <f>IFERROR(LOOKUP(Q1704,打分卡!$F$10:$J$10,打分卡!$K$10:$O$10),1)</f>
        <v>1</v>
      </c>
      <c r="AG1704" s="41">
        <f>IFERROR(LOOKUP(R1704,打分卡!$F$11:$J$11,打分卡!$K$11:$O$11),1)</f>
        <v>1</v>
      </c>
      <c r="AH1704" s="41">
        <f>IFERROR(LOOKUP(U1704,打分卡!$F$12:$J$12,打分卡!$K$12:$O$12),1)</f>
        <v>5</v>
      </c>
      <c r="AI1704" s="41">
        <f>IFERROR(LOOKUP(X1704,打分卡!$F$13:$J$13,打分卡!$K$13:$O$13),1)</f>
        <v>5</v>
      </c>
      <c r="AJ1704" s="41">
        <f>IFERROR(LOOKUP(Y1704,打分卡!$F$14:$J$14,打分卡!$K$14:$O$14),1)</f>
        <v>3</v>
      </c>
      <c r="AK1704" s="41">
        <f>IFERROR(LOOKUP(W1704,打分卡!$F$15:$J$15,打分卡!$K$15:$O$15),1)</f>
        <v>5</v>
      </c>
      <c r="AL1704" s="43">
        <f t="shared" si="209"/>
        <v>5</v>
      </c>
      <c r="AM1704" s="41">
        <f>IFERROR(LOOKUP(Z1704,打分卡!$F$17:$H$17,打分卡!$K$17:$M$17),1)</f>
        <v>1</v>
      </c>
      <c r="AN1704" s="44">
        <f>(打分卡!$D$7*AC1704+打分卡!$D$8*AD1704+打分卡!$D$9*AE1704)/5</f>
        <v>8</v>
      </c>
      <c r="AO1704" s="44">
        <f>(打分卡!$D$10*AF1704+打分卡!$D$11*AG1704)/5</f>
        <v>4</v>
      </c>
      <c r="AP1704" s="44">
        <f>(打分卡!$D$12*AH1704+打分卡!$D$13*AI1704+打分卡!$D$14*AJ1704+打分卡!$D$15*AK1704)/5</f>
        <v>27.6</v>
      </c>
      <c r="AQ1704" s="44">
        <f>(打分卡!$D$16*AL1704+打分卡!$D$17*AM1704)/5</f>
        <v>6.8</v>
      </c>
      <c r="AR1704" s="47">
        <f t="shared" si="210"/>
        <v>46.4</v>
      </c>
      <c r="AS1704" s="43" t="str">
        <f t="shared" si="211"/>
        <v>未激活</v>
      </c>
      <c r="AT1704" s="43" t="str">
        <f t="shared" si="212"/>
        <v/>
      </c>
      <c r="AU1704" s="43" t="str">
        <f t="shared" si="213"/>
        <v>唤醒：短信模板+首充补贴</v>
      </c>
    </row>
    <row r="1705" ht="15" customHeight="1" spans="1:47">
      <c r="A1705" s="20" t="s">
        <v>4343</v>
      </c>
      <c r="B1705" s="22" t="s">
        <v>4344</v>
      </c>
      <c r="C1705" s="22" t="s">
        <v>234</v>
      </c>
      <c r="D1705" s="22" t="s">
        <v>235</v>
      </c>
      <c r="E1705" s="22" t="s">
        <v>181</v>
      </c>
      <c r="F1705" s="20" t="s">
        <v>1630</v>
      </c>
      <c r="G1705" s="22">
        <v>16</v>
      </c>
      <c r="H1705" s="22" t="s">
        <v>3535</v>
      </c>
      <c r="I1705" s="22" t="s">
        <v>302</v>
      </c>
      <c r="J1705" s="36">
        <v>0</v>
      </c>
      <c r="K1705" s="36">
        <v>0</v>
      </c>
      <c r="L1705" s="36">
        <v>0</v>
      </c>
      <c r="M1705" s="36">
        <f t="shared" si="208"/>
        <v>0</v>
      </c>
      <c r="N1705" s="34">
        <f t="shared" si="214"/>
        <v>0</v>
      </c>
      <c r="O1705" s="35">
        <f>SUM($M$2:M1705)</f>
        <v>190743600</v>
      </c>
      <c r="P1705" s="34">
        <f t="shared" si="215"/>
        <v>1</v>
      </c>
      <c r="Q1705" s="39">
        <v>0</v>
      </c>
      <c r="R1705" s="22">
        <v>0</v>
      </c>
      <c r="S1705" s="22">
        <v>0</v>
      </c>
      <c r="T1705" s="22">
        <v>0</v>
      </c>
      <c r="U1705" s="39">
        <v>9</v>
      </c>
      <c r="V1705" s="22">
        <v>4</v>
      </c>
      <c r="W1705" s="22">
        <v>2</v>
      </c>
      <c r="X1705" s="40">
        <v>11</v>
      </c>
      <c r="Y1705" s="22">
        <v>1</v>
      </c>
      <c r="Z1705" s="22">
        <v>0</v>
      </c>
      <c r="AA1705" s="22" t="s">
        <v>212</v>
      </c>
      <c r="AB1705" s="22" t="s">
        <v>220</v>
      </c>
      <c r="AC1705" s="42">
        <f>IFERROR(LOOKUP(M1705,打分卡!$F$7:$J$7,打分卡!$K$7:$O$7),1)</f>
        <v>1</v>
      </c>
      <c r="AD1705" s="42">
        <f>IFERROR(LOOKUP(S1705,打分卡!$F$8:$J$8,打分卡!$K$8:$O$8),1)</f>
        <v>1</v>
      </c>
      <c r="AE1705" s="42">
        <f>IFERROR(LOOKUP(T1705,打分卡!$F$9:$I$9,打分卡!$K$9:$N$9),1)</f>
        <v>1</v>
      </c>
      <c r="AF1705" s="42">
        <f>IFERROR(LOOKUP(Q1705,打分卡!$F$10:$J$10,打分卡!$K$10:$O$10),1)</f>
        <v>1</v>
      </c>
      <c r="AG1705" s="42">
        <f>IFERROR(LOOKUP(R1705,打分卡!$F$11:$J$11,打分卡!$K$11:$O$11),1)</f>
        <v>1</v>
      </c>
      <c r="AH1705" s="42">
        <f>IFERROR(LOOKUP(U1705,打分卡!$F$12:$J$12,打分卡!$K$12:$O$12),1)</f>
        <v>2</v>
      </c>
      <c r="AI1705" s="42">
        <f>IFERROR(LOOKUP(X1705,打分卡!$F$13:$J$13,打分卡!$K$13:$O$13),1)</f>
        <v>1</v>
      </c>
      <c r="AJ1705" s="42">
        <f>IFERROR(LOOKUP(Y1705,打分卡!$F$14:$J$14,打分卡!$K$14:$O$14),1)</f>
        <v>2</v>
      </c>
      <c r="AK1705" s="42">
        <f>IFERROR(LOOKUP(W1705,打分卡!$F$15:$J$15,打分卡!$K$15:$O$15),1)</f>
        <v>2</v>
      </c>
      <c r="AL1705" s="45">
        <f t="shared" si="209"/>
        <v>1</v>
      </c>
      <c r="AM1705" s="42">
        <f>IFERROR(LOOKUP(Z1705,打分卡!$F$17:$H$17,打分卡!$K$17:$M$17),1)</f>
        <v>1</v>
      </c>
      <c r="AN1705" s="46">
        <f>(打分卡!$D$7*AC1705+打分卡!$D$8*AD1705+打分卡!$D$9*AE1705)/5</f>
        <v>8</v>
      </c>
      <c r="AO1705" s="46">
        <f>(打分卡!$D$10*AF1705+打分卡!$D$11*AG1705)/5</f>
        <v>4</v>
      </c>
      <c r="AP1705" s="46">
        <f>(打分卡!$D$12*AH1705+打分卡!$D$13*AI1705+打分卡!$D$14*AJ1705+打分卡!$D$15*AK1705)/5</f>
        <v>10.4</v>
      </c>
      <c r="AQ1705" s="46">
        <f>(打分卡!$D$16*AL1705+打分卡!$D$17*AM1705)/5</f>
        <v>2</v>
      </c>
      <c r="AR1705" s="48">
        <f t="shared" si="210"/>
        <v>24.4</v>
      </c>
      <c r="AS1705" s="45" t="str">
        <f t="shared" si="211"/>
        <v>未激活</v>
      </c>
      <c r="AT1705" s="45" t="str">
        <f t="shared" si="212"/>
        <v>连续下降-预警</v>
      </c>
      <c r="AU1705" s="45" t="str">
        <f t="shared" si="213"/>
        <v>唤醒：短信模板+首充补贴</v>
      </c>
    </row>
    <row r="1706" ht="15" customHeight="1" spans="1:47">
      <c r="A1706" s="30" t="s">
        <v>4345</v>
      </c>
      <c r="B1706" s="31" t="s">
        <v>4346</v>
      </c>
      <c r="C1706" s="31" t="s">
        <v>189</v>
      </c>
      <c r="D1706" s="31" t="s">
        <v>227</v>
      </c>
      <c r="E1706" s="31" t="s">
        <v>197</v>
      </c>
      <c r="F1706" s="30" t="s">
        <v>947</v>
      </c>
      <c r="G1706" s="31">
        <v>12</v>
      </c>
      <c r="H1706" s="31" t="s">
        <v>3535</v>
      </c>
      <c r="I1706" s="31" t="s">
        <v>302</v>
      </c>
      <c r="J1706" s="33">
        <v>0</v>
      </c>
      <c r="K1706" s="33">
        <v>0</v>
      </c>
      <c r="L1706" s="33">
        <v>0</v>
      </c>
      <c r="M1706" s="33">
        <f t="shared" si="208"/>
        <v>0</v>
      </c>
      <c r="N1706" s="34">
        <f t="shared" si="214"/>
        <v>0</v>
      </c>
      <c r="O1706" s="35">
        <f>SUM($M$2:M1706)</f>
        <v>190743600</v>
      </c>
      <c r="P1706" s="34">
        <f t="shared" si="215"/>
        <v>1</v>
      </c>
      <c r="Q1706" s="37">
        <v>0</v>
      </c>
      <c r="R1706" s="31">
        <v>0</v>
      </c>
      <c r="S1706" s="31">
        <v>0</v>
      </c>
      <c r="T1706" s="31">
        <v>0</v>
      </c>
      <c r="U1706" s="37">
        <v>0.8</v>
      </c>
      <c r="V1706" s="31">
        <v>2</v>
      </c>
      <c r="W1706" s="31">
        <v>1</v>
      </c>
      <c r="X1706" s="38">
        <v>46</v>
      </c>
      <c r="Y1706" s="31">
        <v>0</v>
      </c>
      <c r="Z1706" s="31">
        <v>0</v>
      </c>
      <c r="AA1706" s="31" t="s">
        <v>212</v>
      </c>
      <c r="AB1706" s="31" t="s">
        <v>220</v>
      </c>
      <c r="AC1706" s="41">
        <f>IFERROR(LOOKUP(M1706,打分卡!$F$7:$J$7,打分卡!$K$7:$O$7),1)</f>
        <v>1</v>
      </c>
      <c r="AD1706" s="41">
        <f>IFERROR(LOOKUP(S1706,打分卡!$F$8:$J$8,打分卡!$K$8:$O$8),1)</f>
        <v>1</v>
      </c>
      <c r="AE1706" s="41">
        <f>IFERROR(LOOKUP(T1706,打分卡!$F$9:$I$9,打分卡!$K$9:$N$9),1)</f>
        <v>1</v>
      </c>
      <c r="AF1706" s="41">
        <f>IFERROR(LOOKUP(Q1706,打分卡!$F$10:$J$10,打分卡!$K$10:$O$10),1)</f>
        <v>1</v>
      </c>
      <c r="AG1706" s="41">
        <f>IFERROR(LOOKUP(R1706,打分卡!$F$11:$J$11,打分卡!$K$11:$O$11),1)</f>
        <v>1</v>
      </c>
      <c r="AH1706" s="41">
        <f>IFERROR(LOOKUP(U1706,打分卡!$F$12:$J$12,打分卡!$K$12:$O$12),1)</f>
        <v>1</v>
      </c>
      <c r="AI1706" s="41">
        <f>IFERROR(LOOKUP(X1706,打分卡!$F$13:$J$13,打分卡!$K$13:$O$13),1)</f>
        <v>3</v>
      </c>
      <c r="AJ1706" s="41">
        <f>IFERROR(LOOKUP(Y1706,打分卡!$F$14:$J$14,打分卡!$K$14:$O$14),1)</f>
        <v>1</v>
      </c>
      <c r="AK1706" s="41">
        <f>IFERROR(LOOKUP(W1706,打分卡!$F$15:$J$15,打分卡!$K$15:$O$15),1)</f>
        <v>2</v>
      </c>
      <c r="AL1706" s="43">
        <f t="shared" si="209"/>
        <v>1</v>
      </c>
      <c r="AM1706" s="41">
        <f>IFERROR(LOOKUP(Z1706,打分卡!$F$17:$H$17,打分卡!$K$17:$M$17),1)</f>
        <v>1</v>
      </c>
      <c r="AN1706" s="44">
        <f>(打分卡!$D$7*AC1706+打分卡!$D$8*AD1706+打分卡!$D$9*AE1706)/5</f>
        <v>8</v>
      </c>
      <c r="AO1706" s="44">
        <f>(打分卡!$D$10*AF1706+打分卡!$D$11*AG1706)/5</f>
        <v>4</v>
      </c>
      <c r="AP1706" s="44">
        <f>(打分卡!$D$12*AH1706+打分卡!$D$13*AI1706+打分卡!$D$14*AJ1706+打分卡!$D$15*AK1706)/5</f>
        <v>10</v>
      </c>
      <c r="AQ1706" s="44">
        <f>(打分卡!$D$16*AL1706+打分卡!$D$17*AM1706)/5</f>
        <v>2</v>
      </c>
      <c r="AR1706" s="47">
        <f t="shared" si="210"/>
        <v>24</v>
      </c>
      <c r="AS1706" s="43" t="str">
        <f t="shared" si="211"/>
        <v>未激活</v>
      </c>
      <c r="AT1706" s="43" t="str">
        <f t="shared" si="212"/>
        <v>连续下降-预警</v>
      </c>
      <c r="AU1706" s="43" t="str">
        <f t="shared" si="213"/>
        <v>唤醒：短信模板+首充补贴</v>
      </c>
    </row>
    <row r="1707" ht="15" customHeight="1" spans="1:47">
      <c r="A1707" s="20" t="s">
        <v>4347</v>
      </c>
      <c r="B1707" s="22" t="s">
        <v>4348</v>
      </c>
      <c r="C1707" s="22" t="s">
        <v>234</v>
      </c>
      <c r="D1707" s="22" t="s">
        <v>180</v>
      </c>
      <c r="E1707" s="22" t="s">
        <v>197</v>
      </c>
      <c r="F1707" s="20" t="s">
        <v>3922</v>
      </c>
      <c r="G1707" s="22">
        <v>33</v>
      </c>
      <c r="H1707" s="22" t="s">
        <v>3535</v>
      </c>
      <c r="I1707" s="22" t="s">
        <v>302</v>
      </c>
      <c r="J1707" s="36">
        <v>0</v>
      </c>
      <c r="K1707" s="36">
        <v>0</v>
      </c>
      <c r="L1707" s="36">
        <v>0</v>
      </c>
      <c r="M1707" s="36">
        <f t="shared" si="208"/>
        <v>0</v>
      </c>
      <c r="N1707" s="34">
        <f t="shared" si="214"/>
        <v>0</v>
      </c>
      <c r="O1707" s="35">
        <f>SUM($M$2:M1707)</f>
        <v>190743600</v>
      </c>
      <c r="P1707" s="34">
        <f t="shared" si="215"/>
        <v>1</v>
      </c>
      <c r="Q1707" s="39">
        <v>0</v>
      </c>
      <c r="R1707" s="22">
        <v>0</v>
      </c>
      <c r="S1707" s="22">
        <v>0</v>
      </c>
      <c r="T1707" s="22">
        <v>0</v>
      </c>
      <c r="U1707" s="39">
        <v>7.1</v>
      </c>
      <c r="V1707" s="22">
        <v>7</v>
      </c>
      <c r="W1707" s="22">
        <v>0</v>
      </c>
      <c r="X1707" s="40">
        <v>57</v>
      </c>
      <c r="Y1707" s="22">
        <v>1</v>
      </c>
      <c r="Z1707" s="22">
        <v>0</v>
      </c>
      <c r="AA1707" s="22" t="s">
        <v>212</v>
      </c>
      <c r="AB1707" s="22" t="s">
        <v>220</v>
      </c>
      <c r="AC1707" s="42">
        <f>IFERROR(LOOKUP(M1707,打分卡!$F$7:$J$7,打分卡!$K$7:$O$7),1)</f>
        <v>1</v>
      </c>
      <c r="AD1707" s="42">
        <f>IFERROR(LOOKUP(S1707,打分卡!$F$8:$J$8,打分卡!$K$8:$O$8),1)</f>
        <v>1</v>
      </c>
      <c r="AE1707" s="42">
        <f>IFERROR(LOOKUP(T1707,打分卡!$F$9:$I$9,打分卡!$K$9:$N$9),1)</f>
        <v>1</v>
      </c>
      <c r="AF1707" s="42">
        <f>IFERROR(LOOKUP(Q1707,打分卡!$F$10:$J$10,打分卡!$K$10:$O$10),1)</f>
        <v>1</v>
      </c>
      <c r="AG1707" s="42">
        <f>IFERROR(LOOKUP(R1707,打分卡!$F$11:$J$11,打分卡!$K$11:$O$11),1)</f>
        <v>1</v>
      </c>
      <c r="AH1707" s="42">
        <f>IFERROR(LOOKUP(U1707,打分卡!$F$12:$J$12,打分卡!$K$12:$O$12),1)</f>
        <v>2</v>
      </c>
      <c r="AI1707" s="42">
        <f>IFERROR(LOOKUP(X1707,打分卡!$F$13:$J$13,打分卡!$K$13:$O$13),1)</f>
        <v>3</v>
      </c>
      <c r="AJ1707" s="42">
        <f>IFERROR(LOOKUP(Y1707,打分卡!$F$14:$J$14,打分卡!$K$14:$O$14),1)</f>
        <v>2</v>
      </c>
      <c r="AK1707" s="42">
        <f>IFERROR(LOOKUP(W1707,打分卡!$F$15:$J$15,打分卡!$K$15:$O$15),1)</f>
        <v>1</v>
      </c>
      <c r="AL1707" s="45">
        <f t="shared" si="209"/>
        <v>1</v>
      </c>
      <c r="AM1707" s="42">
        <f>IFERROR(LOOKUP(Z1707,打分卡!$F$17:$H$17,打分卡!$K$17:$M$17),1)</f>
        <v>1</v>
      </c>
      <c r="AN1707" s="46">
        <f>(打分卡!$D$7*AC1707+打分卡!$D$8*AD1707+打分卡!$D$9*AE1707)/5</f>
        <v>8</v>
      </c>
      <c r="AO1707" s="46">
        <f>(打分卡!$D$10*AF1707+打分卡!$D$11*AG1707)/5</f>
        <v>4</v>
      </c>
      <c r="AP1707" s="46">
        <f>(打分卡!$D$12*AH1707+打分卡!$D$13*AI1707+打分卡!$D$14*AJ1707+打分卡!$D$15*AK1707)/5</f>
        <v>12.8</v>
      </c>
      <c r="AQ1707" s="46">
        <f>(打分卡!$D$16*AL1707+打分卡!$D$17*AM1707)/5</f>
        <v>2</v>
      </c>
      <c r="AR1707" s="48">
        <f t="shared" si="210"/>
        <v>26.8</v>
      </c>
      <c r="AS1707" s="45" t="str">
        <f t="shared" si="211"/>
        <v>未激活</v>
      </c>
      <c r="AT1707" s="45" t="str">
        <f t="shared" si="212"/>
        <v>连续下降-预警</v>
      </c>
      <c r="AU1707" s="45" t="str">
        <f t="shared" si="213"/>
        <v>唤醒：短信模板+首充补贴</v>
      </c>
    </row>
    <row r="1708" ht="15" customHeight="1" spans="1:47">
      <c r="A1708" s="30" t="s">
        <v>4349</v>
      </c>
      <c r="B1708" s="31" t="s">
        <v>4350</v>
      </c>
      <c r="C1708" s="31" t="s">
        <v>179</v>
      </c>
      <c r="D1708" s="31" t="s">
        <v>235</v>
      </c>
      <c r="E1708" s="31" t="s">
        <v>197</v>
      </c>
      <c r="F1708" s="30" t="s">
        <v>4351</v>
      </c>
      <c r="G1708" s="31">
        <v>32</v>
      </c>
      <c r="H1708" s="31" t="s">
        <v>3535</v>
      </c>
      <c r="I1708" s="31" t="s">
        <v>302</v>
      </c>
      <c r="J1708" s="33">
        <v>0</v>
      </c>
      <c r="K1708" s="33">
        <v>0</v>
      </c>
      <c r="L1708" s="33">
        <v>0</v>
      </c>
      <c r="M1708" s="33">
        <f t="shared" si="208"/>
        <v>0</v>
      </c>
      <c r="N1708" s="34">
        <f t="shared" si="214"/>
        <v>0</v>
      </c>
      <c r="O1708" s="35">
        <f>SUM($M$2:M1708)</f>
        <v>190743600</v>
      </c>
      <c r="P1708" s="34">
        <f t="shared" si="215"/>
        <v>1</v>
      </c>
      <c r="Q1708" s="37">
        <v>0</v>
      </c>
      <c r="R1708" s="31">
        <v>0</v>
      </c>
      <c r="S1708" s="31">
        <v>0</v>
      </c>
      <c r="T1708" s="31">
        <v>0</v>
      </c>
      <c r="U1708" s="37">
        <v>2</v>
      </c>
      <c r="V1708" s="31">
        <v>15</v>
      </c>
      <c r="W1708" s="31">
        <v>1</v>
      </c>
      <c r="X1708" s="38">
        <v>46</v>
      </c>
      <c r="Y1708" s="31">
        <v>0</v>
      </c>
      <c r="Z1708" s="31">
        <v>0</v>
      </c>
      <c r="AA1708" s="31" t="s">
        <v>212</v>
      </c>
      <c r="AB1708" s="31" t="s">
        <v>220</v>
      </c>
      <c r="AC1708" s="41">
        <f>IFERROR(LOOKUP(M1708,打分卡!$F$7:$J$7,打分卡!$K$7:$O$7),1)</f>
        <v>1</v>
      </c>
      <c r="AD1708" s="41">
        <f>IFERROR(LOOKUP(S1708,打分卡!$F$8:$J$8,打分卡!$K$8:$O$8),1)</f>
        <v>1</v>
      </c>
      <c r="AE1708" s="41">
        <f>IFERROR(LOOKUP(T1708,打分卡!$F$9:$I$9,打分卡!$K$9:$N$9),1)</f>
        <v>1</v>
      </c>
      <c r="AF1708" s="41">
        <f>IFERROR(LOOKUP(Q1708,打分卡!$F$10:$J$10,打分卡!$K$10:$O$10),1)</f>
        <v>1</v>
      </c>
      <c r="AG1708" s="41">
        <f>IFERROR(LOOKUP(R1708,打分卡!$F$11:$J$11,打分卡!$K$11:$O$11),1)</f>
        <v>1</v>
      </c>
      <c r="AH1708" s="41">
        <f>IFERROR(LOOKUP(U1708,打分卡!$F$12:$J$12,打分卡!$K$12:$O$12),1)</f>
        <v>1</v>
      </c>
      <c r="AI1708" s="41">
        <f>IFERROR(LOOKUP(X1708,打分卡!$F$13:$J$13,打分卡!$K$13:$O$13),1)</f>
        <v>3</v>
      </c>
      <c r="AJ1708" s="41">
        <f>IFERROR(LOOKUP(Y1708,打分卡!$F$14:$J$14,打分卡!$K$14:$O$14),1)</f>
        <v>1</v>
      </c>
      <c r="AK1708" s="41">
        <f>IFERROR(LOOKUP(W1708,打分卡!$F$15:$J$15,打分卡!$K$15:$O$15),1)</f>
        <v>2</v>
      </c>
      <c r="AL1708" s="43">
        <f t="shared" si="209"/>
        <v>1</v>
      </c>
      <c r="AM1708" s="41">
        <f>IFERROR(LOOKUP(Z1708,打分卡!$F$17:$H$17,打分卡!$K$17:$M$17),1)</f>
        <v>1</v>
      </c>
      <c r="AN1708" s="44">
        <f>(打分卡!$D$7*AC1708+打分卡!$D$8*AD1708+打分卡!$D$9*AE1708)/5</f>
        <v>8</v>
      </c>
      <c r="AO1708" s="44">
        <f>(打分卡!$D$10*AF1708+打分卡!$D$11*AG1708)/5</f>
        <v>4</v>
      </c>
      <c r="AP1708" s="44">
        <f>(打分卡!$D$12*AH1708+打分卡!$D$13*AI1708+打分卡!$D$14*AJ1708+打分卡!$D$15*AK1708)/5</f>
        <v>10</v>
      </c>
      <c r="AQ1708" s="44">
        <f>(打分卡!$D$16*AL1708+打分卡!$D$17*AM1708)/5</f>
        <v>2</v>
      </c>
      <c r="AR1708" s="47">
        <f t="shared" si="210"/>
        <v>24</v>
      </c>
      <c r="AS1708" s="43" t="str">
        <f t="shared" si="211"/>
        <v>未激活</v>
      </c>
      <c r="AT1708" s="43" t="str">
        <f t="shared" si="212"/>
        <v>连续下降-预警</v>
      </c>
      <c r="AU1708" s="43" t="str">
        <f t="shared" si="213"/>
        <v>唤醒：短信模板+首充补贴</v>
      </c>
    </row>
    <row r="1709" ht="15" customHeight="1" spans="1:47">
      <c r="A1709" s="20" t="s">
        <v>4352</v>
      </c>
      <c r="B1709" s="22" t="s">
        <v>4353</v>
      </c>
      <c r="C1709" s="22" t="s">
        <v>179</v>
      </c>
      <c r="D1709" s="22" t="s">
        <v>202</v>
      </c>
      <c r="E1709" s="22" t="s">
        <v>181</v>
      </c>
      <c r="F1709" s="20" t="s">
        <v>4354</v>
      </c>
      <c r="G1709" s="22">
        <v>27</v>
      </c>
      <c r="H1709" s="22" t="s">
        <v>3535</v>
      </c>
      <c r="I1709" s="22" t="s">
        <v>302</v>
      </c>
      <c r="J1709" s="36">
        <v>0</v>
      </c>
      <c r="K1709" s="36">
        <v>0</v>
      </c>
      <c r="L1709" s="36">
        <v>0</v>
      </c>
      <c r="M1709" s="36">
        <f t="shared" si="208"/>
        <v>0</v>
      </c>
      <c r="N1709" s="34">
        <f t="shared" si="214"/>
        <v>0</v>
      </c>
      <c r="O1709" s="35">
        <f>SUM($M$2:M1709)</f>
        <v>190743600</v>
      </c>
      <c r="P1709" s="34">
        <f t="shared" si="215"/>
        <v>1</v>
      </c>
      <c r="Q1709" s="39">
        <v>0</v>
      </c>
      <c r="R1709" s="22">
        <v>0</v>
      </c>
      <c r="S1709" s="22">
        <v>0</v>
      </c>
      <c r="T1709" s="22">
        <v>0</v>
      </c>
      <c r="U1709" s="39">
        <v>0.9</v>
      </c>
      <c r="V1709" s="22">
        <v>11</v>
      </c>
      <c r="W1709" s="22">
        <v>0</v>
      </c>
      <c r="X1709" s="40">
        <v>9</v>
      </c>
      <c r="Y1709" s="22">
        <v>0</v>
      </c>
      <c r="Z1709" s="22">
        <v>0</v>
      </c>
      <c r="AA1709" s="22" t="s">
        <v>212</v>
      </c>
      <c r="AB1709" s="22" t="s">
        <v>220</v>
      </c>
      <c r="AC1709" s="42">
        <f>IFERROR(LOOKUP(M1709,打分卡!$F$7:$J$7,打分卡!$K$7:$O$7),1)</f>
        <v>1</v>
      </c>
      <c r="AD1709" s="42">
        <f>IFERROR(LOOKUP(S1709,打分卡!$F$8:$J$8,打分卡!$K$8:$O$8),1)</f>
        <v>1</v>
      </c>
      <c r="AE1709" s="42">
        <f>IFERROR(LOOKUP(T1709,打分卡!$F$9:$I$9,打分卡!$K$9:$N$9),1)</f>
        <v>1</v>
      </c>
      <c r="AF1709" s="42">
        <f>IFERROR(LOOKUP(Q1709,打分卡!$F$10:$J$10,打分卡!$K$10:$O$10),1)</f>
        <v>1</v>
      </c>
      <c r="AG1709" s="42">
        <f>IFERROR(LOOKUP(R1709,打分卡!$F$11:$J$11,打分卡!$K$11:$O$11),1)</f>
        <v>1</v>
      </c>
      <c r="AH1709" s="42">
        <f>IFERROR(LOOKUP(U1709,打分卡!$F$12:$J$12,打分卡!$K$12:$O$12),1)</f>
        <v>1</v>
      </c>
      <c r="AI1709" s="42">
        <f>IFERROR(LOOKUP(X1709,打分卡!$F$13:$J$13,打分卡!$K$13:$O$13),1)</f>
        <v>1</v>
      </c>
      <c r="AJ1709" s="42">
        <f>IFERROR(LOOKUP(Y1709,打分卡!$F$14:$J$14,打分卡!$K$14:$O$14),1)</f>
        <v>1</v>
      </c>
      <c r="AK1709" s="42">
        <f>IFERROR(LOOKUP(W1709,打分卡!$F$15:$J$15,打分卡!$K$15:$O$15),1)</f>
        <v>1</v>
      </c>
      <c r="AL1709" s="45">
        <f t="shared" si="209"/>
        <v>1</v>
      </c>
      <c r="AM1709" s="42">
        <f>IFERROR(LOOKUP(Z1709,打分卡!$F$17:$H$17,打分卡!$K$17:$M$17),1)</f>
        <v>1</v>
      </c>
      <c r="AN1709" s="46">
        <f>(打分卡!$D$7*AC1709+打分卡!$D$8*AD1709+打分卡!$D$9*AE1709)/5</f>
        <v>8</v>
      </c>
      <c r="AO1709" s="46">
        <f>(打分卡!$D$10*AF1709+打分卡!$D$11*AG1709)/5</f>
        <v>4</v>
      </c>
      <c r="AP1709" s="46">
        <f>(打分卡!$D$12*AH1709+打分卡!$D$13*AI1709+打分卡!$D$14*AJ1709+打分卡!$D$15*AK1709)/5</f>
        <v>6</v>
      </c>
      <c r="AQ1709" s="46">
        <f>(打分卡!$D$16*AL1709+打分卡!$D$17*AM1709)/5</f>
        <v>2</v>
      </c>
      <c r="AR1709" s="48">
        <f t="shared" si="210"/>
        <v>20</v>
      </c>
      <c r="AS1709" s="45" t="str">
        <f t="shared" si="211"/>
        <v>未激活</v>
      </c>
      <c r="AT1709" s="45" t="str">
        <f t="shared" si="212"/>
        <v>连续下降-预警</v>
      </c>
      <c r="AU1709" s="45" t="str">
        <f t="shared" si="213"/>
        <v>唤醒：短信模板+首充补贴</v>
      </c>
    </row>
    <row r="1710" ht="15" customHeight="1" spans="1:47">
      <c r="A1710" s="30" t="s">
        <v>4355</v>
      </c>
      <c r="B1710" s="31" t="s">
        <v>4356</v>
      </c>
      <c r="C1710" s="31" t="s">
        <v>179</v>
      </c>
      <c r="D1710" s="31" t="s">
        <v>190</v>
      </c>
      <c r="E1710" s="31" t="s">
        <v>181</v>
      </c>
      <c r="F1710" s="30" t="s">
        <v>4357</v>
      </c>
      <c r="G1710" s="31">
        <v>27</v>
      </c>
      <c r="H1710" s="31" t="s">
        <v>3535</v>
      </c>
      <c r="I1710" s="31" t="s">
        <v>302</v>
      </c>
      <c r="J1710" s="33">
        <v>0</v>
      </c>
      <c r="K1710" s="33">
        <v>0</v>
      </c>
      <c r="L1710" s="33">
        <v>0</v>
      </c>
      <c r="M1710" s="33">
        <f t="shared" si="208"/>
        <v>0</v>
      </c>
      <c r="N1710" s="34">
        <f t="shared" si="214"/>
        <v>0</v>
      </c>
      <c r="O1710" s="35">
        <f>SUM($M$2:M1710)</f>
        <v>190743600</v>
      </c>
      <c r="P1710" s="34">
        <f t="shared" si="215"/>
        <v>1</v>
      </c>
      <c r="Q1710" s="37">
        <v>0</v>
      </c>
      <c r="R1710" s="31">
        <v>0</v>
      </c>
      <c r="S1710" s="31">
        <v>0</v>
      </c>
      <c r="T1710" s="31">
        <v>0</v>
      </c>
      <c r="U1710" s="37">
        <v>1.3</v>
      </c>
      <c r="V1710" s="31">
        <v>2</v>
      </c>
      <c r="W1710" s="31">
        <v>2</v>
      </c>
      <c r="X1710" s="38">
        <v>16</v>
      </c>
      <c r="Y1710" s="31">
        <v>0</v>
      </c>
      <c r="Z1710" s="31">
        <v>0</v>
      </c>
      <c r="AA1710" s="31" t="s">
        <v>212</v>
      </c>
      <c r="AB1710" s="31" t="s">
        <v>220</v>
      </c>
      <c r="AC1710" s="41">
        <f>IFERROR(LOOKUP(M1710,打分卡!$F$7:$J$7,打分卡!$K$7:$O$7),1)</f>
        <v>1</v>
      </c>
      <c r="AD1710" s="41">
        <f>IFERROR(LOOKUP(S1710,打分卡!$F$8:$J$8,打分卡!$K$8:$O$8),1)</f>
        <v>1</v>
      </c>
      <c r="AE1710" s="41">
        <f>IFERROR(LOOKUP(T1710,打分卡!$F$9:$I$9,打分卡!$K$9:$N$9),1)</f>
        <v>1</v>
      </c>
      <c r="AF1710" s="41">
        <f>IFERROR(LOOKUP(Q1710,打分卡!$F$10:$J$10,打分卡!$K$10:$O$10),1)</f>
        <v>1</v>
      </c>
      <c r="AG1710" s="41">
        <f>IFERROR(LOOKUP(R1710,打分卡!$F$11:$J$11,打分卡!$K$11:$O$11),1)</f>
        <v>1</v>
      </c>
      <c r="AH1710" s="41">
        <f>IFERROR(LOOKUP(U1710,打分卡!$F$12:$J$12,打分卡!$K$12:$O$12),1)</f>
        <v>1</v>
      </c>
      <c r="AI1710" s="41">
        <f>IFERROR(LOOKUP(X1710,打分卡!$F$13:$J$13,打分卡!$K$13:$O$13),1)</f>
        <v>1</v>
      </c>
      <c r="AJ1710" s="41">
        <f>IFERROR(LOOKUP(Y1710,打分卡!$F$14:$J$14,打分卡!$K$14:$O$14),1)</f>
        <v>1</v>
      </c>
      <c r="AK1710" s="41">
        <f>IFERROR(LOOKUP(W1710,打分卡!$F$15:$J$15,打分卡!$K$15:$O$15),1)</f>
        <v>2</v>
      </c>
      <c r="AL1710" s="43">
        <f t="shared" si="209"/>
        <v>1</v>
      </c>
      <c r="AM1710" s="41">
        <f>IFERROR(LOOKUP(Z1710,打分卡!$F$17:$H$17,打分卡!$K$17:$M$17),1)</f>
        <v>1</v>
      </c>
      <c r="AN1710" s="44">
        <f>(打分卡!$D$7*AC1710+打分卡!$D$8*AD1710+打分卡!$D$9*AE1710)/5</f>
        <v>8</v>
      </c>
      <c r="AO1710" s="44">
        <f>(打分卡!$D$10*AF1710+打分卡!$D$11*AG1710)/5</f>
        <v>4</v>
      </c>
      <c r="AP1710" s="44">
        <f>(打分卡!$D$12*AH1710+打分卡!$D$13*AI1710+打分卡!$D$14*AJ1710+打分卡!$D$15*AK1710)/5</f>
        <v>6.8</v>
      </c>
      <c r="AQ1710" s="44">
        <f>(打分卡!$D$16*AL1710+打分卡!$D$17*AM1710)/5</f>
        <v>2</v>
      </c>
      <c r="AR1710" s="47">
        <f t="shared" si="210"/>
        <v>20.8</v>
      </c>
      <c r="AS1710" s="43" t="str">
        <f t="shared" si="211"/>
        <v>未激活</v>
      </c>
      <c r="AT1710" s="43" t="str">
        <f t="shared" si="212"/>
        <v>连续下降-预警</v>
      </c>
      <c r="AU1710" s="43" t="str">
        <f t="shared" si="213"/>
        <v>唤醒：短信模板+首充补贴</v>
      </c>
    </row>
    <row r="1711" ht="15" customHeight="1" spans="1:47">
      <c r="A1711" s="20" t="s">
        <v>4358</v>
      </c>
      <c r="B1711" s="22" t="s">
        <v>4359</v>
      </c>
      <c r="C1711" s="22" t="s">
        <v>179</v>
      </c>
      <c r="D1711" s="22" t="s">
        <v>252</v>
      </c>
      <c r="E1711" s="22" t="s">
        <v>197</v>
      </c>
      <c r="F1711" s="20" t="s">
        <v>4360</v>
      </c>
      <c r="G1711" s="22">
        <v>19</v>
      </c>
      <c r="H1711" s="22" t="s">
        <v>3535</v>
      </c>
      <c r="I1711" s="22" t="s">
        <v>302</v>
      </c>
      <c r="J1711" s="36">
        <v>0</v>
      </c>
      <c r="K1711" s="36">
        <v>0</v>
      </c>
      <c r="L1711" s="36">
        <v>0</v>
      </c>
      <c r="M1711" s="36">
        <f t="shared" si="208"/>
        <v>0</v>
      </c>
      <c r="N1711" s="34">
        <f t="shared" si="214"/>
        <v>0</v>
      </c>
      <c r="O1711" s="35">
        <f>SUM($M$2:M1711)</f>
        <v>190743600</v>
      </c>
      <c r="P1711" s="34">
        <f t="shared" si="215"/>
        <v>1</v>
      </c>
      <c r="Q1711" s="39">
        <v>0</v>
      </c>
      <c r="R1711" s="22">
        <v>0</v>
      </c>
      <c r="S1711" s="22">
        <v>0</v>
      </c>
      <c r="T1711" s="22">
        <v>0</v>
      </c>
      <c r="U1711" s="39">
        <v>0.9</v>
      </c>
      <c r="V1711" s="22">
        <v>6</v>
      </c>
      <c r="W1711" s="22">
        <v>1</v>
      </c>
      <c r="X1711" s="40">
        <v>67</v>
      </c>
      <c r="Y1711" s="22">
        <v>1</v>
      </c>
      <c r="Z1711" s="22">
        <v>0</v>
      </c>
      <c r="AA1711" s="22" t="s">
        <v>212</v>
      </c>
      <c r="AB1711" s="22" t="s">
        <v>220</v>
      </c>
      <c r="AC1711" s="42">
        <f>IFERROR(LOOKUP(M1711,打分卡!$F$7:$J$7,打分卡!$K$7:$O$7),1)</f>
        <v>1</v>
      </c>
      <c r="AD1711" s="42">
        <f>IFERROR(LOOKUP(S1711,打分卡!$F$8:$J$8,打分卡!$K$8:$O$8),1)</f>
        <v>1</v>
      </c>
      <c r="AE1711" s="42">
        <f>IFERROR(LOOKUP(T1711,打分卡!$F$9:$I$9,打分卡!$K$9:$N$9),1)</f>
        <v>1</v>
      </c>
      <c r="AF1711" s="42">
        <f>IFERROR(LOOKUP(Q1711,打分卡!$F$10:$J$10,打分卡!$K$10:$O$10),1)</f>
        <v>1</v>
      </c>
      <c r="AG1711" s="42">
        <f>IFERROR(LOOKUP(R1711,打分卡!$F$11:$J$11,打分卡!$K$11:$O$11),1)</f>
        <v>1</v>
      </c>
      <c r="AH1711" s="42">
        <f>IFERROR(LOOKUP(U1711,打分卡!$F$12:$J$12,打分卡!$K$12:$O$12),1)</f>
        <v>1</v>
      </c>
      <c r="AI1711" s="42">
        <f>IFERROR(LOOKUP(X1711,打分卡!$F$13:$J$13,打分卡!$K$13:$O$13),1)</f>
        <v>3</v>
      </c>
      <c r="AJ1711" s="42">
        <f>IFERROR(LOOKUP(Y1711,打分卡!$F$14:$J$14,打分卡!$K$14:$O$14),1)</f>
        <v>2</v>
      </c>
      <c r="AK1711" s="42">
        <f>IFERROR(LOOKUP(W1711,打分卡!$F$15:$J$15,打分卡!$K$15:$O$15),1)</f>
        <v>2</v>
      </c>
      <c r="AL1711" s="45">
        <f t="shared" si="209"/>
        <v>1</v>
      </c>
      <c r="AM1711" s="42">
        <f>IFERROR(LOOKUP(Z1711,打分卡!$F$17:$H$17,打分卡!$K$17:$M$17),1)</f>
        <v>1</v>
      </c>
      <c r="AN1711" s="46">
        <f>(打分卡!$D$7*AC1711+打分卡!$D$8*AD1711+打分卡!$D$9*AE1711)/5</f>
        <v>8</v>
      </c>
      <c r="AO1711" s="46">
        <f>(打分卡!$D$10*AF1711+打分卡!$D$11*AG1711)/5</f>
        <v>4</v>
      </c>
      <c r="AP1711" s="46">
        <f>(打分卡!$D$12*AH1711+打分卡!$D$13*AI1711+打分卡!$D$14*AJ1711+打分卡!$D$15*AK1711)/5</f>
        <v>11.2</v>
      </c>
      <c r="AQ1711" s="46">
        <f>(打分卡!$D$16*AL1711+打分卡!$D$17*AM1711)/5</f>
        <v>2</v>
      </c>
      <c r="AR1711" s="48">
        <f t="shared" si="210"/>
        <v>25.2</v>
      </c>
      <c r="AS1711" s="45" t="str">
        <f t="shared" si="211"/>
        <v>未激活</v>
      </c>
      <c r="AT1711" s="45" t="str">
        <f t="shared" si="212"/>
        <v>连续下降-预警</v>
      </c>
      <c r="AU1711" s="45" t="str">
        <f t="shared" si="213"/>
        <v>唤醒：短信模板+首充补贴</v>
      </c>
    </row>
    <row r="1712" ht="15" customHeight="1" spans="1:47">
      <c r="A1712" s="30" t="s">
        <v>4361</v>
      </c>
      <c r="B1712" s="31" t="s">
        <v>4362</v>
      </c>
      <c r="C1712" s="31" t="s">
        <v>234</v>
      </c>
      <c r="D1712" s="31" t="s">
        <v>180</v>
      </c>
      <c r="E1712" s="31" t="s">
        <v>181</v>
      </c>
      <c r="F1712" s="30" t="s">
        <v>581</v>
      </c>
      <c r="G1712" s="31">
        <v>30</v>
      </c>
      <c r="H1712" s="31" t="s">
        <v>3535</v>
      </c>
      <c r="I1712" s="31" t="s">
        <v>302</v>
      </c>
      <c r="J1712" s="33">
        <v>0</v>
      </c>
      <c r="K1712" s="33">
        <v>0</v>
      </c>
      <c r="L1712" s="33">
        <v>0</v>
      </c>
      <c r="M1712" s="33">
        <f t="shared" si="208"/>
        <v>0</v>
      </c>
      <c r="N1712" s="34">
        <f t="shared" si="214"/>
        <v>0</v>
      </c>
      <c r="O1712" s="35">
        <f>SUM($M$2:M1712)</f>
        <v>190743600</v>
      </c>
      <c r="P1712" s="34">
        <f t="shared" si="215"/>
        <v>1</v>
      </c>
      <c r="Q1712" s="37">
        <v>0</v>
      </c>
      <c r="R1712" s="31">
        <v>0</v>
      </c>
      <c r="S1712" s="31">
        <v>0</v>
      </c>
      <c r="T1712" s="31">
        <v>0</v>
      </c>
      <c r="U1712" s="37">
        <v>2.6</v>
      </c>
      <c r="V1712" s="31">
        <v>10</v>
      </c>
      <c r="W1712" s="31">
        <v>2</v>
      </c>
      <c r="X1712" s="38">
        <v>29</v>
      </c>
      <c r="Y1712" s="31">
        <v>0</v>
      </c>
      <c r="Z1712" s="31">
        <v>0</v>
      </c>
      <c r="AA1712" s="31" t="s">
        <v>212</v>
      </c>
      <c r="AB1712" s="31" t="s">
        <v>220</v>
      </c>
      <c r="AC1712" s="41">
        <f>IFERROR(LOOKUP(M1712,打分卡!$F$7:$J$7,打分卡!$K$7:$O$7),1)</f>
        <v>1</v>
      </c>
      <c r="AD1712" s="41">
        <f>IFERROR(LOOKUP(S1712,打分卡!$F$8:$J$8,打分卡!$K$8:$O$8),1)</f>
        <v>1</v>
      </c>
      <c r="AE1712" s="41">
        <f>IFERROR(LOOKUP(T1712,打分卡!$F$9:$I$9,打分卡!$K$9:$N$9),1)</f>
        <v>1</v>
      </c>
      <c r="AF1712" s="41">
        <f>IFERROR(LOOKUP(Q1712,打分卡!$F$10:$J$10,打分卡!$K$10:$O$10),1)</f>
        <v>1</v>
      </c>
      <c r="AG1712" s="41">
        <f>IFERROR(LOOKUP(R1712,打分卡!$F$11:$J$11,打分卡!$K$11:$O$11),1)</f>
        <v>1</v>
      </c>
      <c r="AH1712" s="41">
        <f>IFERROR(LOOKUP(U1712,打分卡!$F$12:$J$12,打分卡!$K$12:$O$12),1)</f>
        <v>1</v>
      </c>
      <c r="AI1712" s="41">
        <f>IFERROR(LOOKUP(X1712,打分卡!$F$13:$J$13,打分卡!$K$13:$O$13),1)</f>
        <v>2</v>
      </c>
      <c r="AJ1712" s="41">
        <f>IFERROR(LOOKUP(Y1712,打分卡!$F$14:$J$14,打分卡!$K$14:$O$14),1)</f>
        <v>1</v>
      </c>
      <c r="AK1712" s="41">
        <f>IFERROR(LOOKUP(W1712,打分卡!$F$15:$J$15,打分卡!$K$15:$O$15),1)</f>
        <v>2</v>
      </c>
      <c r="AL1712" s="43">
        <f t="shared" si="209"/>
        <v>1</v>
      </c>
      <c r="AM1712" s="41">
        <f>IFERROR(LOOKUP(Z1712,打分卡!$F$17:$H$17,打分卡!$K$17:$M$17),1)</f>
        <v>1</v>
      </c>
      <c r="AN1712" s="44">
        <f>(打分卡!$D$7*AC1712+打分卡!$D$8*AD1712+打分卡!$D$9*AE1712)/5</f>
        <v>8</v>
      </c>
      <c r="AO1712" s="44">
        <f>(打分卡!$D$10*AF1712+打分卡!$D$11*AG1712)/5</f>
        <v>4</v>
      </c>
      <c r="AP1712" s="44">
        <f>(打分卡!$D$12*AH1712+打分卡!$D$13*AI1712+打分卡!$D$14*AJ1712+打分卡!$D$15*AK1712)/5</f>
        <v>8.4</v>
      </c>
      <c r="AQ1712" s="44">
        <f>(打分卡!$D$16*AL1712+打分卡!$D$17*AM1712)/5</f>
        <v>2</v>
      </c>
      <c r="AR1712" s="47">
        <f t="shared" si="210"/>
        <v>22.4</v>
      </c>
      <c r="AS1712" s="43" t="str">
        <f t="shared" si="211"/>
        <v>未激活</v>
      </c>
      <c r="AT1712" s="43" t="str">
        <f t="shared" si="212"/>
        <v>连续下降-预警</v>
      </c>
      <c r="AU1712" s="43" t="str">
        <f t="shared" si="213"/>
        <v>唤醒：短信模板+首充补贴</v>
      </c>
    </row>
    <row r="1713" ht="15" customHeight="1" spans="1:47">
      <c r="A1713" s="20" t="s">
        <v>4363</v>
      </c>
      <c r="B1713" s="22" t="s">
        <v>4364</v>
      </c>
      <c r="C1713" s="22" t="s">
        <v>239</v>
      </c>
      <c r="D1713" s="22" t="s">
        <v>235</v>
      </c>
      <c r="E1713" s="22" t="s">
        <v>181</v>
      </c>
      <c r="F1713" s="20" t="s">
        <v>869</v>
      </c>
      <c r="G1713" s="22">
        <v>24</v>
      </c>
      <c r="H1713" s="22" t="s">
        <v>3535</v>
      </c>
      <c r="I1713" s="22" t="s">
        <v>302</v>
      </c>
      <c r="J1713" s="36">
        <v>0</v>
      </c>
      <c r="K1713" s="36">
        <v>0</v>
      </c>
      <c r="L1713" s="36">
        <v>0</v>
      </c>
      <c r="M1713" s="36">
        <f t="shared" si="208"/>
        <v>0</v>
      </c>
      <c r="N1713" s="34">
        <f t="shared" si="214"/>
        <v>0</v>
      </c>
      <c r="O1713" s="35">
        <f>SUM($M$2:M1713)</f>
        <v>190743600</v>
      </c>
      <c r="P1713" s="34">
        <f t="shared" si="215"/>
        <v>1</v>
      </c>
      <c r="Q1713" s="39">
        <v>0</v>
      </c>
      <c r="R1713" s="22">
        <v>0</v>
      </c>
      <c r="S1713" s="22">
        <v>0</v>
      </c>
      <c r="T1713" s="22">
        <v>0</v>
      </c>
      <c r="U1713" s="39">
        <v>6.8</v>
      </c>
      <c r="V1713" s="22">
        <v>4</v>
      </c>
      <c r="W1713" s="22">
        <v>1</v>
      </c>
      <c r="X1713" s="40">
        <v>25</v>
      </c>
      <c r="Y1713" s="22">
        <v>0</v>
      </c>
      <c r="Z1713" s="22">
        <v>0</v>
      </c>
      <c r="AA1713" s="22" t="s">
        <v>212</v>
      </c>
      <c r="AB1713" s="22" t="s">
        <v>220</v>
      </c>
      <c r="AC1713" s="42">
        <f>IFERROR(LOOKUP(M1713,打分卡!$F$7:$J$7,打分卡!$K$7:$O$7),1)</f>
        <v>1</v>
      </c>
      <c r="AD1713" s="42">
        <f>IFERROR(LOOKUP(S1713,打分卡!$F$8:$J$8,打分卡!$K$8:$O$8),1)</f>
        <v>1</v>
      </c>
      <c r="AE1713" s="42">
        <f>IFERROR(LOOKUP(T1713,打分卡!$F$9:$I$9,打分卡!$K$9:$N$9),1)</f>
        <v>1</v>
      </c>
      <c r="AF1713" s="42">
        <f>IFERROR(LOOKUP(Q1713,打分卡!$F$10:$J$10,打分卡!$K$10:$O$10),1)</f>
        <v>1</v>
      </c>
      <c r="AG1713" s="42">
        <f>IFERROR(LOOKUP(R1713,打分卡!$F$11:$J$11,打分卡!$K$11:$O$11),1)</f>
        <v>1</v>
      </c>
      <c r="AH1713" s="42">
        <f>IFERROR(LOOKUP(U1713,打分卡!$F$12:$J$12,打分卡!$K$12:$O$12),1)</f>
        <v>2</v>
      </c>
      <c r="AI1713" s="42">
        <f>IFERROR(LOOKUP(X1713,打分卡!$F$13:$J$13,打分卡!$K$13:$O$13),1)</f>
        <v>2</v>
      </c>
      <c r="AJ1713" s="42">
        <f>IFERROR(LOOKUP(Y1713,打分卡!$F$14:$J$14,打分卡!$K$14:$O$14),1)</f>
        <v>1</v>
      </c>
      <c r="AK1713" s="42">
        <f>IFERROR(LOOKUP(W1713,打分卡!$F$15:$J$15,打分卡!$K$15:$O$15),1)</f>
        <v>2</v>
      </c>
      <c r="AL1713" s="45">
        <f t="shared" si="209"/>
        <v>1</v>
      </c>
      <c r="AM1713" s="42">
        <f>IFERROR(LOOKUP(Z1713,打分卡!$F$17:$H$17,打分卡!$K$17:$M$17),1)</f>
        <v>1</v>
      </c>
      <c r="AN1713" s="46">
        <f>(打分卡!$D$7*AC1713+打分卡!$D$8*AD1713+打分卡!$D$9*AE1713)/5</f>
        <v>8</v>
      </c>
      <c r="AO1713" s="46">
        <f>(打分卡!$D$10*AF1713+打分卡!$D$11*AG1713)/5</f>
        <v>4</v>
      </c>
      <c r="AP1713" s="46">
        <f>(打分卡!$D$12*AH1713+打分卡!$D$13*AI1713+打分卡!$D$14*AJ1713+打分卡!$D$15*AK1713)/5</f>
        <v>10.8</v>
      </c>
      <c r="AQ1713" s="46">
        <f>(打分卡!$D$16*AL1713+打分卡!$D$17*AM1713)/5</f>
        <v>2</v>
      </c>
      <c r="AR1713" s="48">
        <f t="shared" si="210"/>
        <v>24.8</v>
      </c>
      <c r="AS1713" s="45" t="str">
        <f t="shared" si="211"/>
        <v>未激活</v>
      </c>
      <c r="AT1713" s="45" t="str">
        <f t="shared" si="212"/>
        <v>连续下降-预警</v>
      </c>
      <c r="AU1713" s="45" t="str">
        <f t="shared" si="213"/>
        <v>唤醒：短信模板+首充补贴</v>
      </c>
    </row>
    <row r="1714" ht="15" customHeight="1" spans="1:47">
      <c r="A1714" s="30" t="s">
        <v>4365</v>
      </c>
      <c r="B1714" s="31" t="s">
        <v>4366</v>
      </c>
      <c r="C1714" s="31" t="s">
        <v>239</v>
      </c>
      <c r="D1714" s="31" t="s">
        <v>196</v>
      </c>
      <c r="E1714" s="31" t="s">
        <v>181</v>
      </c>
      <c r="F1714" s="30" t="s">
        <v>433</v>
      </c>
      <c r="G1714" s="31">
        <v>30</v>
      </c>
      <c r="H1714" s="31" t="s">
        <v>3535</v>
      </c>
      <c r="I1714" s="31" t="s">
        <v>302</v>
      </c>
      <c r="J1714" s="33">
        <v>0</v>
      </c>
      <c r="K1714" s="33">
        <v>0</v>
      </c>
      <c r="L1714" s="33">
        <v>0</v>
      </c>
      <c r="M1714" s="33">
        <f t="shared" si="208"/>
        <v>0</v>
      </c>
      <c r="N1714" s="34">
        <f t="shared" si="214"/>
        <v>0</v>
      </c>
      <c r="O1714" s="35">
        <f>SUM($M$2:M1714)</f>
        <v>190743600</v>
      </c>
      <c r="P1714" s="34">
        <f t="shared" si="215"/>
        <v>1</v>
      </c>
      <c r="Q1714" s="37">
        <v>0</v>
      </c>
      <c r="R1714" s="31">
        <v>0</v>
      </c>
      <c r="S1714" s="31">
        <v>0</v>
      </c>
      <c r="T1714" s="31">
        <v>0</v>
      </c>
      <c r="U1714" s="37">
        <v>0.5</v>
      </c>
      <c r="V1714" s="31">
        <v>9</v>
      </c>
      <c r="W1714" s="31">
        <v>0</v>
      </c>
      <c r="X1714" s="38">
        <v>14</v>
      </c>
      <c r="Y1714" s="31">
        <v>1</v>
      </c>
      <c r="Z1714" s="31">
        <v>0</v>
      </c>
      <c r="AA1714" s="31" t="s">
        <v>212</v>
      </c>
      <c r="AB1714" s="31" t="s">
        <v>220</v>
      </c>
      <c r="AC1714" s="41">
        <f>IFERROR(LOOKUP(M1714,打分卡!$F$7:$J$7,打分卡!$K$7:$O$7),1)</f>
        <v>1</v>
      </c>
      <c r="AD1714" s="41">
        <f>IFERROR(LOOKUP(S1714,打分卡!$F$8:$J$8,打分卡!$K$8:$O$8),1)</f>
        <v>1</v>
      </c>
      <c r="AE1714" s="41">
        <f>IFERROR(LOOKUP(T1714,打分卡!$F$9:$I$9,打分卡!$K$9:$N$9),1)</f>
        <v>1</v>
      </c>
      <c r="AF1714" s="41">
        <f>IFERROR(LOOKUP(Q1714,打分卡!$F$10:$J$10,打分卡!$K$10:$O$10),1)</f>
        <v>1</v>
      </c>
      <c r="AG1714" s="41">
        <f>IFERROR(LOOKUP(R1714,打分卡!$F$11:$J$11,打分卡!$K$11:$O$11),1)</f>
        <v>1</v>
      </c>
      <c r="AH1714" s="41">
        <f>IFERROR(LOOKUP(U1714,打分卡!$F$12:$J$12,打分卡!$K$12:$O$12),1)</f>
        <v>1</v>
      </c>
      <c r="AI1714" s="41">
        <f>IFERROR(LOOKUP(X1714,打分卡!$F$13:$J$13,打分卡!$K$13:$O$13),1)</f>
        <v>1</v>
      </c>
      <c r="AJ1714" s="41">
        <f>IFERROR(LOOKUP(Y1714,打分卡!$F$14:$J$14,打分卡!$K$14:$O$14),1)</f>
        <v>2</v>
      </c>
      <c r="AK1714" s="41">
        <f>IFERROR(LOOKUP(W1714,打分卡!$F$15:$J$15,打分卡!$K$15:$O$15),1)</f>
        <v>1</v>
      </c>
      <c r="AL1714" s="43">
        <f t="shared" si="209"/>
        <v>1</v>
      </c>
      <c r="AM1714" s="41">
        <f>IFERROR(LOOKUP(Z1714,打分卡!$F$17:$H$17,打分卡!$K$17:$M$17),1)</f>
        <v>1</v>
      </c>
      <c r="AN1714" s="44">
        <f>(打分卡!$D$7*AC1714+打分卡!$D$8*AD1714+打分卡!$D$9*AE1714)/5</f>
        <v>8</v>
      </c>
      <c r="AO1714" s="44">
        <f>(打分卡!$D$10*AF1714+打分卡!$D$11*AG1714)/5</f>
        <v>4</v>
      </c>
      <c r="AP1714" s="44">
        <f>(打分卡!$D$12*AH1714+打分卡!$D$13*AI1714+打分卡!$D$14*AJ1714+打分卡!$D$15*AK1714)/5</f>
        <v>7.2</v>
      </c>
      <c r="AQ1714" s="44">
        <f>(打分卡!$D$16*AL1714+打分卡!$D$17*AM1714)/5</f>
        <v>2</v>
      </c>
      <c r="AR1714" s="47">
        <f t="shared" si="210"/>
        <v>21.2</v>
      </c>
      <c r="AS1714" s="43" t="str">
        <f t="shared" si="211"/>
        <v>未激活</v>
      </c>
      <c r="AT1714" s="43" t="str">
        <f t="shared" si="212"/>
        <v>连续下降-预警</v>
      </c>
      <c r="AU1714" s="43" t="str">
        <f t="shared" si="213"/>
        <v>唤醒：短信模板+首充补贴</v>
      </c>
    </row>
    <row r="1715" ht="15" customHeight="1" spans="1:47">
      <c r="A1715" s="20" t="s">
        <v>4367</v>
      </c>
      <c r="B1715" s="22" t="s">
        <v>4368</v>
      </c>
      <c r="C1715" s="22" t="s">
        <v>189</v>
      </c>
      <c r="D1715" s="22" t="s">
        <v>252</v>
      </c>
      <c r="E1715" s="22" t="s">
        <v>181</v>
      </c>
      <c r="F1715" s="20" t="s">
        <v>3891</v>
      </c>
      <c r="G1715" s="22">
        <v>36</v>
      </c>
      <c r="H1715" s="22" t="s">
        <v>3535</v>
      </c>
      <c r="I1715" s="22" t="s">
        <v>302</v>
      </c>
      <c r="J1715" s="36">
        <v>0</v>
      </c>
      <c r="K1715" s="36">
        <v>0</v>
      </c>
      <c r="L1715" s="36">
        <v>0</v>
      </c>
      <c r="M1715" s="36">
        <f t="shared" si="208"/>
        <v>0</v>
      </c>
      <c r="N1715" s="34">
        <f t="shared" si="214"/>
        <v>0</v>
      </c>
      <c r="O1715" s="35">
        <f>SUM($M$2:M1715)</f>
        <v>190743600</v>
      </c>
      <c r="P1715" s="34">
        <f t="shared" si="215"/>
        <v>1</v>
      </c>
      <c r="Q1715" s="39">
        <v>0</v>
      </c>
      <c r="R1715" s="22">
        <v>0</v>
      </c>
      <c r="S1715" s="22">
        <v>0</v>
      </c>
      <c r="T1715" s="22">
        <v>0</v>
      </c>
      <c r="U1715" s="39">
        <v>19.2</v>
      </c>
      <c r="V1715" s="22">
        <v>7</v>
      </c>
      <c r="W1715" s="22">
        <v>0</v>
      </c>
      <c r="X1715" s="40">
        <v>37</v>
      </c>
      <c r="Y1715" s="22">
        <v>1</v>
      </c>
      <c r="Z1715" s="22">
        <v>0</v>
      </c>
      <c r="AA1715" s="22" t="s">
        <v>212</v>
      </c>
      <c r="AB1715" s="22" t="s">
        <v>220</v>
      </c>
      <c r="AC1715" s="42">
        <f>IFERROR(LOOKUP(M1715,打分卡!$F$7:$J$7,打分卡!$K$7:$O$7),1)</f>
        <v>1</v>
      </c>
      <c r="AD1715" s="42">
        <f>IFERROR(LOOKUP(S1715,打分卡!$F$8:$J$8,打分卡!$K$8:$O$8),1)</f>
        <v>1</v>
      </c>
      <c r="AE1715" s="42">
        <f>IFERROR(LOOKUP(T1715,打分卡!$F$9:$I$9,打分卡!$K$9:$N$9),1)</f>
        <v>1</v>
      </c>
      <c r="AF1715" s="42">
        <f>IFERROR(LOOKUP(Q1715,打分卡!$F$10:$J$10,打分卡!$K$10:$O$10),1)</f>
        <v>1</v>
      </c>
      <c r="AG1715" s="42">
        <f>IFERROR(LOOKUP(R1715,打分卡!$F$11:$J$11,打分卡!$K$11:$O$11),1)</f>
        <v>1</v>
      </c>
      <c r="AH1715" s="42">
        <f>IFERROR(LOOKUP(U1715,打分卡!$F$12:$J$12,打分卡!$K$12:$O$12),1)</f>
        <v>3</v>
      </c>
      <c r="AI1715" s="42">
        <f>IFERROR(LOOKUP(X1715,打分卡!$F$13:$J$13,打分卡!$K$13:$O$13),1)</f>
        <v>2</v>
      </c>
      <c r="AJ1715" s="42">
        <f>IFERROR(LOOKUP(Y1715,打分卡!$F$14:$J$14,打分卡!$K$14:$O$14),1)</f>
        <v>2</v>
      </c>
      <c r="AK1715" s="42">
        <f>IFERROR(LOOKUP(W1715,打分卡!$F$15:$J$15,打分卡!$K$15:$O$15),1)</f>
        <v>1</v>
      </c>
      <c r="AL1715" s="45">
        <f t="shared" si="209"/>
        <v>1</v>
      </c>
      <c r="AM1715" s="42">
        <f>IFERROR(LOOKUP(Z1715,打分卡!$F$17:$H$17,打分卡!$K$17:$M$17),1)</f>
        <v>1</v>
      </c>
      <c r="AN1715" s="46">
        <f>(打分卡!$D$7*AC1715+打分卡!$D$8*AD1715+打分卡!$D$9*AE1715)/5</f>
        <v>8</v>
      </c>
      <c r="AO1715" s="46">
        <f>(打分卡!$D$10*AF1715+打分卡!$D$11*AG1715)/5</f>
        <v>4</v>
      </c>
      <c r="AP1715" s="46">
        <f>(打分卡!$D$12*AH1715+打分卡!$D$13*AI1715+打分卡!$D$14*AJ1715+打分卡!$D$15*AK1715)/5</f>
        <v>13.6</v>
      </c>
      <c r="AQ1715" s="46">
        <f>(打分卡!$D$16*AL1715+打分卡!$D$17*AM1715)/5</f>
        <v>2</v>
      </c>
      <c r="AR1715" s="48">
        <f t="shared" si="210"/>
        <v>27.6</v>
      </c>
      <c r="AS1715" s="45" t="str">
        <f t="shared" si="211"/>
        <v>未激活</v>
      </c>
      <c r="AT1715" s="45" t="str">
        <f t="shared" si="212"/>
        <v>连续下降-预警</v>
      </c>
      <c r="AU1715" s="45" t="str">
        <f t="shared" si="213"/>
        <v>唤醒：短信模板+首充补贴</v>
      </c>
    </row>
    <row r="1716" ht="15" customHeight="1" spans="1:47">
      <c r="A1716" s="30" t="s">
        <v>4369</v>
      </c>
      <c r="B1716" s="31" t="s">
        <v>4370</v>
      </c>
      <c r="C1716" s="31" t="s">
        <v>234</v>
      </c>
      <c r="D1716" s="31" t="s">
        <v>202</v>
      </c>
      <c r="E1716" s="31" t="s">
        <v>181</v>
      </c>
      <c r="F1716" s="30" t="s">
        <v>1964</v>
      </c>
      <c r="G1716" s="31">
        <v>16</v>
      </c>
      <c r="H1716" s="31" t="s">
        <v>3535</v>
      </c>
      <c r="I1716" s="31" t="s">
        <v>302</v>
      </c>
      <c r="J1716" s="33">
        <v>0</v>
      </c>
      <c r="K1716" s="33">
        <v>0</v>
      </c>
      <c r="L1716" s="33">
        <v>0</v>
      </c>
      <c r="M1716" s="33">
        <f t="shared" si="208"/>
        <v>0</v>
      </c>
      <c r="N1716" s="34">
        <f t="shared" si="214"/>
        <v>0</v>
      </c>
      <c r="O1716" s="35">
        <f>SUM($M$2:M1716)</f>
        <v>190743600</v>
      </c>
      <c r="P1716" s="34">
        <f t="shared" si="215"/>
        <v>1</v>
      </c>
      <c r="Q1716" s="37">
        <v>0</v>
      </c>
      <c r="R1716" s="31">
        <v>0</v>
      </c>
      <c r="S1716" s="31">
        <v>0</v>
      </c>
      <c r="T1716" s="31">
        <v>0</v>
      </c>
      <c r="U1716" s="37">
        <v>1.1</v>
      </c>
      <c r="V1716" s="31">
        <v>13</v>
      </c>
      <c r="W1716" s="31">
        <v>2</v>
      </c>
      <c r="X1716" s="38">
        <v>30</v>
      </c>
      <c r="Y1716" s="31">
        <v>1</v>
      </c>
      <c r="Z1716" s="31">
        <v>0</v>
      </c>
      <c r="AA1716" s="31" t="s">
        <v>212</v>
      </c>
      <c r="AB1716" s="31" t="s">
        <v>220</v>
      </c>
      <c r="AC1716" s="41">
        <f>IFERROR(LOOKUP(M1716,打分卡!$F$7:$J$7,打分卡!$K$7:$O$7),1)</f>
        <v>1</v>
      </c>
      <c r="AD1716" s="41">
        <f>IFERROR(LOOKUP(S1716,打分卡!$F$8:$J$8,打分卡!$K$8:$O$8),1)</f>
        <v>1</v>
      </c>
      <c r="AE1716" s="41">
        <f>IFERROR(LOOKUP(T1716,打分卡!$F$9:$I$9,打分卡!$K$9:$N$9),1)</f>
        <v>1</v>
      </c>
      <c r="AF1716" s="41">
        <f>IFERROR(LOOKUP(Q1716,打分卡!$F$10:$J$10,打分卡!$K$10:$O$10),1)</f>
        <v>1</v>
      </c>
      <c r="AG1716" s="41">
        <f>IFERROR(LOOKUP(R1716,打分卡!$F$11:$J$11,打分卡!$K$11:$O$11),1)</f>
        <v>1</v>
      </c>
      <c r="AH1716" s="41">
        <f>IFERROR(LOOKUP(U1716,打分卡!$F$12:$J$12,打分卡!$K$12:$O$12),1)</f>
        <v>1</v>
      </c>
      <c r="AI1716" s="41">
        <f>IFERROR(LOOKUP(X1716,打分卡!$F$13:$J$13,打分卡!$K$13:$O$13),1)</f>
        <v>2</v>
      </c>
      <c r="AJ1716" s="41">
        <f>IFERROR(LOOKUP(Y1716,打分卡!$F$14:$J$14,打分卡!$K$14:$O$14),1)</f>
        <v>2</v>
      </c>
      <c r="AK1716" s="41">
        <f>IFERROR(LOOKUP(W1716,打分卡!$F$15:$J$15,打分卡!$K$15:$O$15),1)</f>
        <v>2</v>
      </c>
      <c r="AL1716" s="43">
        <f t="shared" si="209"/>
        <v>1</v>
      </c>
      <c r="AM1716" s="41">
        <f>IFERROR(LOOKUP(Z1716,打分卡!$F$17:$H$17,打分卡!$K$17:$M$17),1)</f>
        <v>1</v>
      </c>
      <c r="AN1716" s="44">
        <f>(打分卡!$D$7*AC1716+打分卡!$D$8*AD1716+打分卡!$D$9*AE1716)/5</f>
        <v>8</v>
      </c>
      <c r="AO1716" s="44">
        <f>(打分卡!$D$10*AF1716+打分卡!$D$11*AG1716)/5</f>
        <v>4</v>
      </c>
      <c r="AP1716" s="44">
        <f>(打分卡!$D$12*AH1716+打分卡!$D$13*AI1716+打分卡!$D$14*AJ1716+打分卡!$D$15*AK1716)/5</f>
        <v>9.6</v>
      </c>
      <c r="AQ1716" s="44">
        <f>(打分卡!$D$16*AL1716+打分卡!$D$17*AM1716)/5</f>
        <v>2</v>
      </c>
      <c r="AR1716" s="47">
        <f t="shared" si="210"/>
        <v>23.6</v>
      </c>
      <c r="AS1716" s="43" t="str">
        <f t="shared" si="211"/>
        <v>未激活</v>
      </c>
      <c r="AT1716" s="43" t="str">
        <f t="shared" si="212"/>
        <v>连续下降-预警</v>
      </c>
      <c r="AU1716" s="43" t="str">
        <f t="shared" si="213"/>
        <v>唤醒：短信模板+首充补贴</v>
      </c>
    </row>
    <row r="1717" ht="15" customHeight="1" spans="1:47">
      <c r="A1717" s="20" t="s">
        <v>4371</v>
      </c>
      <c r="B1717" s="22" t="s">
        <v>4372</v>
      </c>
      <c r="C1717" s="22" t="s">
        <v>195</v>
      </c>
      <c r="D1717" s="22" t="s">
        <v>227</v>
      </c>
      <c r="E1717" s="22" t="s">
        <v>197</v>
      </c>
      <c r="F1717" s="20" t="s">
        <v>4373</v>
      </c>
      <c r="G1717" s="22">
        <v>29</v>
      </c>
      <c r="H1717" s="22" t="s">
        <v>3535</v>
      </c>
      <c r="I1717" s="22" t="s">
        <v>302</v>
      </c>
      <c r="J1717" s="36">
        <v>0</v>
      </c>
      <c r="K1717" s="36">
        <v>0</v>
      </c>
      <c r="L1717" s="36">
        <v>0</v>
      </c>
      <c r="M1717" s="36">
        <f t="shared" si="208"/>
        <v>0</v>
      </c>
      <c r="N1717" s="34">
        <f t="shared" si="214"/>
        <v>0</v>
      </c>
      <c r="O1717" s="35">
        <f>SUM($M$2:M1717)</f>
        <v>190743600</v>
      </c>
      <c r="P1717" s="34">
        <f t="shared" si="215"/>
        <v>1</v>
      </c>
      <c r="Q1717" s="39">
        <v>0</v>
      </c>
      <c r="R1717" s="22">
        <v>0</v>
      </c>
      <c r="S1717" s="22">
        <v>0</v>
      </c>
      <c r="T1717" s="22">
        <v>0</v>
      </c>
      <c r="U1717" s="39">
        <v>1</v>
      </c>
      <c r="V1717" s="22">
        <v>11</v>
      </c>
      <c r="W1717" s="22">
        <v>1</v>
      </c>
      <c r="X1717" s="40">
        <v>48</v>
      </c>
      <c r="Y1717" s="22">
        <v>1</v>
      </c>
      <c r="Z1717" s="22">
        <v>0</v>
      </c>
      <c r="AA1717" s="22" t="s">
        <v>212</v>
      </c>
      <c r="AB1717" s="22" t="s">
        <v>220</v>
      </c>
      <c r="AC1717" s="42">
        <f>IFERROR(LOOKUP(M1717,打分卡!$F$7:$J$7,打分卡!$K$7:$O$7),1)</f>
        <v>1</v>
      </c>
      <c r="AD1717" s="42">
        <f>IFERROR(LOOKUP(S1717,打分卡!$F$8:$J$8,打分卡!$K$8:$O$8),1)</f>
        <v>1</v>
      </c>
      <c r="AE1717" s="42">
        <f>IFERROR(LOOKUP(T1717,打分卡!$F$9:$I$9,打分卡!$K$9:$N$9),1)</f>
        <v>1</v>
      </c>
      <c r="AF1717" s="42">
        <f>IFERROR(LOOKUP(Q1717,打分卡!$F$10:$J$10,打分卡!$K$10:$O$10),1)</f>
        <v>1</v>
      </c>
      <c r="AG1717" s="42">
        <f>IFERROR(LOOKUP(R1717,打分卡!$F$11:$J$11,打分卡!$K$11:$O$11),1)</f>
        <v>1</v>
      </c>
      <c r="AH1717" s="42">
        <f>IFERROR(LOOKUP(U1717,打分卡!$F$12:$J$12,打分卡!$K$12:$O$12),1)</f>
        <v>1</v>
      </c>
      <c r="AI1717" s="42">
        <f>IFERROR(LOOKUP(X1717,打分卡!$F$13:$J$13,打分卡!$K$13:$O$13),1)</f>
        <v>3</v>
      </c>
      <c r="AJ1717" s="42">
        <f>IFERROR(LOOKUP(Y1717,打分卡!$F$14:$J$14,打分卡!$K$14:$O$14),1)</f>
        <v>2</v>
      </c>
      <c r="AK1717" s="42">
        <f>IFERROR(LOOKUP(W1717,打分卡!$F$15:$J$15,打分卡!$K$15:$O$15),1)</f>
        <v>2</v>
      </c>
      <c r="AL1717" s="45">
        <f t="shared" si="209"/>
        <v>1</v>
      </c>
      <c r="AM1717" s="42">
        <f>IFERROR(LOOKUP(Z1717,打分卡!$F$17:$H$17,打分卡!$K$17:$M$17),1)</f>
        <v>1</v>
      </c>
      <c r="AN1717" s="46">
        <f>(打分卡!$D$7*AC1717+打分卡!$D$8*AD1717+打分卡!$D$9*AE1717)/5</f>
        <v>8</v>
      </c>
      <c r="AO1717" s="46">
        <f>(打分卡!$D$10*AF1717+打分卡!$D$11*AG1717)/5</f>
        <v>4</v>
      </c>
      <c r="AP1717" s="46">
        <f>(打分卡!$D$12*AH1717+打分卡!$D$13*AI1717+打分卡!$D$14*AJ1717+打分卡!$D$15*AK1717)/5</f>
        <v>11.2</v>
      </c>
      <c r="AQ1717" s="46">
        <f>(打分卡!$D$16*AL1717+打分卡!$D$17*AM1717)/5</f>
        <v>2</v>
      </c>
      <c r="AR1717" s="48">
        <f t="shared" si="210"/>
        <v>25.2</v>
      </c>
      <c r="AS1717" s="45" t="str">
        <f t="shared" si="211"/>
        <v>未激活</v>
      </c>
      <c r="AT1717" s="45" t="str">
        <f t="shared" si="212"/>
        <v>连续下降-预警</v>
      </c>
      <c r="AU1717" s="45" t="str">
        <f t="shared" si="213"/>
        <v>唤醒：短信模板+首充补贴</v>
      </c>
    </row>
    <row r="1718" ht="15" customHeight="1" spans="1:47">
      <c r="A1718" s="30" t="s">
        <v>4374</v>
      </c>
      <c r="B1718" s="31" t="s">
        <v>4375</v>
      </c>
      <c r="C1718" s="31" t="s">
        <v>223</v>
      </c>
      <c r="D1718" s="31" t="s">
        <v>202</v>
      </c>
      <c r="E1718" s="31" t="s">
        <v>181</v>
      </c>
      <c r="F1718" s="30" t="s">
        <v>1543</v>
      </c>
      <c r="G1718" s="31">
        <v>12</v>
      </c>
      <c r="H1718" s="31" t="s">
        <v>3535</v>
      </c>
      <c r="I1718" s="31" t="s">
        <v>302</v>
      </c>
      <c r="J1718" s="33">
        <v>0</v>
      </c>
      <c r="K1718" s="33">
        <v>0</v>
      </c>
      <c r="L1718" s="33">
        <v>0</v>
      </c>
      <c r="M1718" s="33">
        <f t="shared" si="208"/>
        <v>0</v>
      </c>
      <c r="N1718" s="34">
        <f t="shared" si="214"/>
        <v>0</v>
      </c>
      <c r="O1718" s="35">
        <f>SUM($M$2:M1718)</f>
        <v>190743600</v>
      </c>
      <c r="P1718" s="34">
        <f t="shared" si="215"/>
        <v>1</v>
      </c>
      <c r="Q1718" s="37">
        <v>0</v>
      </c>
      <c r="R1718" s="31">
        <v>0</v>
      </c>
      <c r="S1718" s="31">
        <v>0</v>
      </c>
      <c r="T1718" s="31">
        <v>0</v>
      </c>
      <c r="U1718" s="37">
        <v>3.6</v>
      </c>
      <c r="V1718" s="31">
        <v>15</v>
      </c>
      <c r="W1718" s="31">
        <v>2</v>
      </c>
      <c r="X1718" s="38">
        <v>35</v>
      </c>
      <c r="Y1718" s="31">
        <v>0</v>
      </c>
      <c r="Z1718" s="31">
        <v>0</v>
      </c>
      <c r="AA1718" s="31" t="s">
        <v>212</v>
      </c>
      <c r="AB1718" s="31" t="s">
        <v>220</v>
      </c>
      <c r="AC1718" s="41">
        <f>IFERROR(LOOKUP(M1718,打分卡!$F$7:$J$7,打分卡!$K$7:$O$7),1)</f>
        <v>1</v>
      </c>
      <c r="AD1718" s="41">
        <f>IFERROR(LOOKUP(S1718,打分卡!$F$8:$J$8,打分卡!$K$8:$O$8),1)</f>
        <v>1</v>
      </c>
      <c r="AE1718" s="41">
        <f>IFERROR(LOOKUP(T1718,打分卡!$F$9:$I$9,打分卡!$K$9:$N$9),1)</f>
        <v>1</v>
      </c>
      <c r="AF1718" s="41">
        <f>IFERROR(LOOKUP(Q1718,打分卡!$F$10:$J$10,打分卡!$K$10:$O$10),1)</f>
        <v>1</v>
      </c>
      <c r="AG1718" s="41">
        <f>IFERROR(LOOKUP(R1718,打分卡!$F$11:$J$11,打分卡!$K$11:$O$11),1)</f>
        <v>1</v>
      </c>
      <c r="AH1718" s="41">
        <f>IFERROR(LOOKUP(U1718,打分卡!$F$12:$J$12,打分卡!$K$12:$O$12),1)</f>
        <v>2</v>
      </c>
      <c r="AI1718" s="41">
        <f>IFERROR(LOOKUP(X1718,打分卡!$F$13:$J$13,打分卡!$K$13:$O$13),1)</f>
        <v>2</v>
      </c>
      <c r="AJ1718" s="41">
        <f>IFERROR(LOOKUP(Y1718,打分卡!$F$14:$J$14,打分卡!$K$14:$O$14),1)</f>
        <v>1</v>
      </c>
      <c r="AK1718" s="41">
        <f>IFERROR(LOOKUP(W1718,打分卡!$F$15:$J$15,打分卡!$K$15:$O$15),1)</f>
        <v>2</v>
      </c>
      <c r="AL1718" s="43">
        <f t="shared" si="209"/>
        <v>1</v>
      </c>
      <c r="AM1718" s="41">
        <f>IFERROR(LOOKUP(Z1718,打分卡!$F$17:$H$17,打分卡!$K$17:$M$17),1)</f>
        <v>1</v>
      </c>
      <c r="AN1718" s="44">
        <f>(打分卡!$D$7*AC1718+打分卡!$D$8*AD1718+打分卡!$D$9*AE1718)/5</f>
        <v>8</v>
      </c>
      <c r="AO1718" s="44">
        <f>(打分卡!$D$10*AF1718+打分卡!$D$11*AG1718)/5</f>
        <v>4</v>
      </c>
      <c r="AP1718" s="44">
        <f>(打分卡!$D$12*AH1718+打分卡!$D$13*AI1718+打分卡!$D$14*AJ1718+打分卡!$D$15*AK1718)/5</f>
        <v>10.8</v>
      </c>
      <c r="AQ1718" s="44">
        <f>(打分卡!$D$16*AL1718+打分卡!$D$17*AM1718)/5</f>
        <v>2</v>
      </c>
      <c r="AR1718" s="47">
        <f t="shared" si="210"/>
        <v>24.8</v>
      </c>
      <c r="AS1718" s="43" t="str">
        <f t="shared" si="211"/>
        <v>未激活</v>
      </c>
      <c r="AT1718" s="43" t="str">
        <f t="shared" si="212"/>
        <v>连续下降-预警</v>
      </c>
      <c r="AU1718" s="43" t="str">
        <f t="shared" si="213"/>
        <v>唤醒：短信模板+首充补贴</v>
      </c>
    </row>
    <row r="1719" ht="15" customHeight="1" spans="1:47">
      <c r="A1719" s="20" t="s">
        <v>4376</v>
      </c>
      <c r="B1719" s="22" t="s">
        <v>4377</v>
      </c>
      <c r="C1719" s="22" t="s">
        <v>189</v>
      </c>
      <c r="D1719" s="22" t="s">
        <v>202</v>
      </c>
      <c r="E1719" s="22" t="s">
        <v>197</v>
      </c>
      <c r="F1719" s="20" t="s">
        <v>4244</v>
      </c>
      <c r="G1719" s="22">
        <v>15</v>
      </c>
      <c r="H1719" s="22" t="s">
        <v>3535</v>
      </c>
      <c r="I1719" s="22" t="s">
        <v>302</v>
      </c>
      <c r="J1719" s="36">
        <v>0</v>
      </c>
      <c r="K1719" s="36">
        <v>0</v>
      </c>
      <c r="L1719" s="36">
        <v>0</v>
      </c>
      <c r="M1719" s="36">
        <f t="shared" si="208"/>
        <v>0</v>
      </c>
      <c r="N1719" s="34">
        <f t="shared" si="214"/>
        <v>0</v>
      </c>
      <c r="O1719" s="35">
        <f>SUM($M$2:M1719)</f>
        <v>190743600</v>
      </c>
      <c r="P1719" s="34">
        <f t="shared" si="215"/>
        <v>1</v>
      </c>
      <c r="Q1719" s="39">
        <v>0</v>
      </c>
      <c r="R1719" s="22">
        <v>0</v>
      </c>
      <c r="S1719" s="22">
        <v>0</v>
      </c>
      <c r="T1719" s="22">
        <v>0</v>
      </c>
      <c r="U1719" s="39">
        <v>37.3</v>
      </c>
      <c r="V1719" s="22">
        <v>14</v>
      </c>
      <c r="W1719" s="22">
        <v>2</v>
      </c>
      <c r="X1719" s="40">
        <v>30</v>
      </c>
      <c r="Y1719" s="22">
        <v>0</v>
      </c>
      <c r="Z1719" s="22">
        <v>0</v>
      </c>
      <c r="AA1719" s="22" t="s">
        <v>212</v>
      </c>
      <c r="AB1719" s="22" t="s">
        <v>220</v>
      </c>
      <c r="AC1719" s="42">
        <f>IFERROR(LOOKUP(M1719,打分卡!$F$7:$J$7,打分卡!$K$7:$O$7),1)</f>
        <v>1</v>
      </c>
      <c r="AD1719" s="42">
        <f>IFERROR(LOOKUP(S1719,打分卡!$F$8:$J$8,打分卡!$K$8:$O$8),1)</f>
        <v>1</v>
      </c>
      <c r="AE1719" s="42">
        <f>IFERROR(LOOKUP(T1719,打分卡!$F$9:$I$9,打分卡!$K$9:$N$9),1)</f>
        <v>1</v>
      </c>
      <c r="AF1719" s="42">
        <f>IFERROR(LOOKUP(Q1719,打分卡!$F$10:$J$10,打分卡!$K$10:$O$10),1)</f>
        <v>1</v>
      </c>
      <c r="AG1719" s="42">
        <f>IFERROR(LOOKUP(R1719,打分卡!$F$11:$J$11,打分卡!$K$11:$O$11),1)</f>
        <v>1</v>
      </c>
      <c r="AH1719" s="42">
        <f>IFERROR(LOOKUP(U1719,打分卡!$F$12:$J$12,打分卡!$K$12:$O$12),1)</f>
        <v>4</v>
      </c>
      <c r="AI1719" s="42">
        <f>IFERROR(LOOKUP(X1719,打分卡!$F$13:$J$13,打分卡!$K$13:$O$13),1)</f>
        <v>2</v>
      </c>
      <c r="AJ1719" s="42">
        <f>IFERROR(LOOKUP(Y1719,打分卡!$F$14:$J$14,打分卡!$K$14:$O$14),1)</f>
        <v>1</v>
      </c>
      <c r="AK1719" s="42">
        <f>IFERROR(LOOKUP(W1719,打分卡!$F$15:$J$15,打分卡!$K$15:$O$15),1)</f>
        <v>2</v>
      </c>
      <c r="AL1719" s="45">
        <f t="shared" si="209"/>
        <v>1</v>
      </c>
      <c r="AM1719" s="42">
        <f>IFERROR(LOOKUP(Z1719,打分卡!$F$17:$H$17,打分卡!$K$17:$M$17),1)</f>
        <v>1</v>
      </c>
      <c r="AN1719" s="46">
        <f>(打分卡!$D$7*AC1719+打分卡!$D$8*AD1719+打分卡!$D$9*AE1719)/5</f>
        <v>8</v>
      </c>
      <c r="AO1719" s="46">
        <f>(打分卡!$D$10*AF1719+打分卡!$D$11*AG1719)/5</f>
        <v>4</v>
      </c>
      <c r="AP1719" s="46">
        <f>(打分卡!$D$12*AH1719+打分卡!$D$13*AI1719+打分卡!$D$14*AJ1719+打分卡!$D$15*AK1719)/5</f>
        <v>15.6</v>
      </c>
      <c r="AQ1719" s="46">
        <f>(打分卡!$D$16*AL1719+打分卡!$D$17*AM1719)/5</f>
        <v>2</v>
      </c>
      <c r="AR1719" s="48">
        <f t="shared" si="210"/>
        <v>29.6</v>
      </c>
      <c r="AS1719" s="45" t="str">
        <f t="shared" si="211"/>
        <v>未激活</v>
      </c>
      <c r="AT1719" s="45" t="str">
        <f t="shared" si="212"/>
        <v>连续下降-预警</v>
      </c>
      <c r="AU1719" s="45" t="str">
        <f t="shared" si="213"/>
        <v>唤醒：短信模板+首充补贴</v>
      </c>
    </row>
    <row r="1720" ht="15" customHeight="1" spans="1:47">
      <c r="A1720" s="30" t="s">
        <v>4378</v>
      </c>
      <c r="B1720" s="31" t="s">
        <v>4379</v>
      </c>
      <c r="C1720" s="31" t="s">
        <v>179</v>
      </c>
      <c r="D1720" s="31" t="s">
        <v>196</v>
      </c>
      <c r="E1720" s="31" t="s">
        <v>181</v>
      </c>
      <c r="F1720" s="30" t="s">
        <v>372</v>
      </c>
      <c r="G1720" s="31">
        <v>26</v>
      </c>
      <c r="H1720" s="31" t="s">
        <v>3535</v>
      </c>
      <c r="I1720" s="31" t="s">
        <v>302</v>
      </c>
      <c r="J1720" s="33">
        <v>0</v>
      </c>
      <c r="K1720" s="33">
        <v>0</v>
      </c>
      <c r="L1720" s="33">
        <v>0</v>
      </c>
      <c r="M1720" s="33">
        <f t="shared" si="208"/>
        <v>0</v>
      </c>
      <c r="N1720" s="34">
        <f t="shared" si="214"/>
        <v>0</v>
      </c>
      <c r="O1720" s="35">
        <f>SUM($M$2:M1720)</f>
        <v>190743600</v>
      </c>
      <c r="P1720" s="34">
        <f t="shared" si="215"/>
        <v>1</v>
      </c>
      <c r="Q1720" s="37">
        <v>0</v>
      </c>
      <c r="R1720" s="31">
        <v>0</v>
      </c>
      <c r="S1720" s="31">
        <v>0</v>
      </c>
      <c r="T1720" s="31">
        <v>0</v>
      </c>
      <c r="U1720" s="37">
        <v>0.8</v>
      </c>
      <c r="V1720" s="31">
        <v>6</v>
      </c>
      <c r="W1720" s="31">
        <v>2</v>
      </c>
      <c r="X1720" s="38">
        <v>29</v>
      </c>
      <c r="Y1720" s="31">
        <v>0</v>
      </c>
      <c r="Z1720" s="31">
        <v>0</v>
      </c>
      <c r="AA1720" s="31" t="s">
        <v>212</v>
      </c>
      <c r="AB1720" s="31" t="s">
        <v>220</v>
      </c>
      <c r="AC1720" s="41">
        <f>IFERROR(LOOKUP(M1720,打分卡!$F$7:$J$7,打分卡!$K$7:$O$7),1)</f>
        <v>1</v>
      </c>
      <c r="AD1720" s="41">
        <f>IFERROR(LOOKUP(S1720,打分卡!$F$8:$J$8,打分卡!$K$8:$O$8),1)</f>
        <v>1</v>
      </c>
      <c r="AE1720" s="41">
        <f>IFERROR(LOOKUP(T1720,打分卡!$F$9:$I$9,打分卡!$K$9:$N$9),1)</f>
        <v>1</v>
      </c>
      <c r="AF1720" s="41">
        <f>IFERROR(LOOKUP(Q1720,打分卡!$F$10:$J$10,打分卡!$K$10:$O$10),1)</f>
        <v>1</v>
      </c>
      <c r="AG1720" s="41">
        <f>IFERROR(LOOKUP(R1720,打分卡!$F$11:$J$11,打分卡!$K$11:$O$11),1)</f>
        <v>1</v>
      </c>
      <c r="AH1720" s="41">
        <f>IFERROR(LOOKUP(U1720,打分卡!$F$12:$J$12,打分卡!$K$12:$O$12),1)</f>
        <v>1</v>
      </c>
      <c r="AI1720" s="41">
        <f>IFERROR(LOOKUP(X1720,打分卡!$F$13:$J$13,打分卡!$K$13:$O$13),1)</f>
        <v>2</v>
      </c>
      <c r="AJ1720" s="41">
        <f>IFERROR(LOOKUP(Y1720,打分卡!$F$14:$J$14,打分卡!$K$14:$O$14),1)</f>
        <v>1</v>
      </c>
      <c r="AK1720" s="41">
        <f>IFERROR(LOOKUP(W1720,打分卡!$F$15:$J$15,打分卡!$K$15:$O$15),1)</f>
        <v>2</v>
      </c>
      <c r="AL1720" s="43">
        <f t="shared" si="209"/>
        <v>1</v>
      </c>
      <c r="AM1720" s="41">
        <f>IFERROR(LOOKUP(Z1720,打分卡!$F$17:$H$17,打分卡!$K$17:$M$17),1)</f>
        <v>1</v>
      </c>
      <c r="AN1720" s="44">
        <f>(打分卡!$D$7*AC1720+打分卡!$D$8*AD1720+打分卡!$D$9*AE1720)/5</f>
        <v>8</v>
      </c>
      <c r="AO1720" s="44">
        <f>(打分卡!$D$10*AF1720+打分卡!$D$11*AG1720)/5</f>
        <v>4</v>
      </c>
      <c r="AP1720" s="44">
        <f>(打分卡!$D$12*AH1720+打分卡!$D$13*AI1720+打分卡!$D$14*AJ1720+打分卡!$D$15*AK1720)/5</f>
        <v>8.4</v>
      </c>
      <c r="AQ1720" s="44">
        <f>(打分卡!$D$16*AL1720+打分卡!$D$17*AM1720)/5</f>
        <v>2</v>
      </c>
      <c r="AR1720" s="47">
        <f t="shared" si="210"/>
        <v>22.4</v>
      </c>
      <c r="AS1720" s="43" t="str">
        <f t="shared" si="211"/>
        <v>未激活</v>
      </c>
      <c r="AT1720" s="43" t="str">
        <f t="shared" si="212"/>
        <v>连续下降-预警</v>
      </c>
      <c r="AU1720" s="43" t="str">
        <f t="shared" si="213"/>
        <v>唤醒：短信模板+首充补贴</v>
      </c>
    </row>
    <row r="1721" ht="15" customHeight="1" spans="1:47">
      <c r="A1721" s="20" t="s">
        <v>4380</v>
      </c>
      <c r="B1721" s="22" t="s">
        <v>4381</v>
      </c>
      <c r="C1721" s="22" t="s">
        <v>179</v>
      </c>
      <c r="D1721" s="22" t="s">
        <v>196</v>
      </c>
      <c r="E1721" s="22" t="s">
        <v>197</v>
      </c>
      <c r="F1721" s="20" t="s">
        <v>4382</v>
      </c>
      <c r="G1721" s="22">
        <v>32</v>
      </c>
      <c r="H1721" s="22" t="s">
        <v>3535</v>
      </c>
      <c r="I1721" s="22" t="s">
        <v>302</v>
      </c>
      <c r="J1721" s="36">
        <v>0</v>
      </c>
      <c r="K1721" s="36">
        <v>0</v>
      </c>
      <c r="L1721" s="36">
        <v>0</v>
      </c>
      <c r="M1721" s="36">
        <f t="shared" si="208"/>
        <v>0</v>
      </c>
      <c r="N1721" s="34">
        <f t="shared" si="214"/>
        <v>0</v>
      </c>
      <c r="O1721" s="35">
        <f>SUM($M$2:M1721)</f>
        <v>190743600</v>
      </c>
      <c r="P1721" s="34">
        <f t="shared" si="215"/>
        <v>1</v>
      </c>
      <c r="Q1721" s="39">
        <v>0</v>
      </c>
      <c r="R1721" s="22">
        <v>0</v>
      </c>
      <c r="S1721" s="22">
        <v>0</v>
      </c>
      <c r="T1721" s="22">
        <v>0</v>
      </c>
      <c r="U1721" s="39">
        <v>5.3</v>
      </c>
      <c r="V1721" s="22">
        <v>6</v>
      </c>
      <c r="W1721" s="22">
        <v>0</v>
      </c>
      <c r="X1721" s="40">
        <v>10</v>
      </c>
      <c r="Y1721" s="22">
        <v>0</v>
      </c>
      <c r="Z1721" s="22">
        <v>0</v>
      </c>
      <c r="AA1721" s="22" t="s">
        <v>212</v>
      </c>
      <c r="AB1721" s="22" t="s">
        <v>220</v>
      </c>
      <c r="AC1721" s="42">
        <f>IFERROR(LOOKUP(M1721,打分卡!$F$7:$J$7,打分卡!$K$7:$O$7),1)</f>
        <v>1</v>
      </c>
      <c r="AD1721" s="42">
        <f>IFERROR(LOOKUP(S1721,打分卡!$F$8:$J$8,打分卡!$K$8:$O$8),1)</f>
        <v>1</v>
      </c>
      <c r="AE1721" s="42">
        <f>IFERROR(LOOKUP(T1721,打分卡!$F$9:$I$9,打分卡!$K$9:$N$9),1)</f>
        <v>1</v>
      </c>
      <c r="AF1721" s="42">
        <f>IFERROR(LOOKUP(Q1721,打分卡!$F$10:$J$10,打分卡!$K$10:$O$10),1)</f>
        <v>1</v>
      </c>
      <c r="AG1721" s="42">
        <f>IFERROR(LOOKUP(R1721,打分卡!$F$11:$J$11,打分卡!$K$11:$O$11),1)</f>
        <v>1</v>
      </c>
      <c r="AH1721" s="42">
        <f>IFERROR(LOOKUP(U1721,打分卡!$F$12:$J$12,打分卡!$K$12:$O$12),1)</f>
        <v>2</v>
      </c>
      <c r="AI1721" s="42">
        <f>IFERROR(LOOKUP(X1721,打分卡!$F$13:$J$13,打分卡!$K$13:$O$13),1)</f>
        <v>1</v>
      </c>
      <c r="AJ1721" s="42">
        <f>IFERROR(LOOKUP(Y1721,打分卡!$F$14:$J$14,打分卡!$K$14:$O$14),1)</f>
        <v>1</v>
      </c>
      <c r="AK1721" s="42">
        <f>IFERROR(LOOKUP(W1721,打分卡!$F$15:$J$15,打分卡!$K$15:$O$15),1)</f>
        <v>1</v>
      </c>
      <c r="AL1721" s="45">
        <f t="shared" si="209"/>
        <v>1</v>
      </c>
      <c r="AM1721" s="42">
        <f>IFERROR(LOOKUP(Z1721,打分卡!$F$17:$H$17,打分卡!$K$17:$M$17),1)</f>
        <v>1</v>
      </c>
      <c r="AN1721" s="46">
        <f>(打分卡!$D$7*AC1721+打分卡!$D$8*AD1721+打分卡!$D$9*AE1721)/5</f>
        <v>8</v>
      </c>
      <c r="AO1721" s="46">
        <f>(打分卡!$D$10*AF1721+打分卡!$D$11*AG1721)/5</f>
        <v>4</v>
      </c>
      <c r="AP1721" s="46">
        <f>(打分卡!$D$12*AH1721+打分卡!$D$13*AI1721+打分卡!$D$14*AJ1721+打分卡!$D$15*AK1721)/5</f>
        <v>8.4</v>
      </c>
      <c r="AQ1721" s="46">
        <f>(打分卡!$D$16*AL1721+打分卡!$D$17*AM1721)/5</f>
        <v>2</v>
      </c>
      <c r="AR1721" s="48">
        <f t="shared" si="210"/>
        <v>22.4</v>
      </c>
      <c r="AS1721" s="45" t="str">
        <f t="shared" si="211"/>
        <v>未激活</v>
      </c>
      <c r="AT1721" s="45" t="str">
        <f t="shared" si="212"/>
        <v>连续下降-预警</v>
      </c>
      <c r="AU1721" s="45" t="str">
        <f t="shared" si="213"/>
        <v>唤醒：短信模板+首充补贴</v>
      </c>
    </row>
    <row r="1722" ht="15" customHeight="1" spans="1:47">
      <c r="A1722" s="30" t="s">
        <v>4383</v>
      </c>
      <c r="B1722" s="31" t="s">
        <v>4384</v>
      </c>
      <c r="C1722" s="31" t="s">
        <v>179</v>
      </c>
      <c r="D1722" s="31" t="s">
        <v>196</v>
      </c>
      <c r="E1722" s="31" t="s">
        <v>197</v>
      </c>
      <c r="F1722" s="30" t="s">
        <v>4385</v>
      </c>
      <c r="G1722" s="31">
        <v>36</v>
      </c>
      <c r="H1722" s="31" t="s">
        <v>3535</v>
      </c>
      <c r="I1722" s="31" t="s">
        <v>302</v>
      </c>
      <c r="J1722" s="33">
        <v>0</v>
      </c>
      <c r="K1722" s="33">
        <v>0</v>
      </c>
      <c r="L1722" s="33">
        <v>0</v>
      </c>
      <c r="M1722" s="33">
        <f t="shared" si="208"/>
        <v>0</v>
      </c>
      <c r="N1722" s="34">
        <f t="shared" si="214"/>
        <v>0</v>
      </c>
      <c r="O1722" s="35">
        <f>SUM($M$2:M1722)</f>
        <v>190743600</v>
      </c>
      <c r="P1722" s="34">
        <f t="shared" si="215"/>
        <v>1</v>
      </c>
      <c r="Q1722" s="37">
        <v>0</v>
      </c>
      <c r="R1722" s="31">
        <v>0</v>
      </c>
      <c r="S1722" s="31">
        <v>0</v>
      </c>
      <c r="T1722" s="31">
        <v>0</v>
      </c>
      <c r="U1722" s="37">
        <v>42.8</v>
      </c>
      <c r="V1722" s="31">
        <v>1</v>
      </c>
      <c r="W1722" s="31">
        <v>0</v>
      </c>
      <c r="X1722" s="38">
        <v>10</v>
      </c>
      <c r="Y1722" s="31">
        <v>1</v>
      </c>
      <c r="Z1722" s="31">
        <v>0</v>
      </c>
      <c r="AA1722" s="31" t="s">
        <v>212</v>
      </c>
      <c r="AB1722" s="31" t="s">
        <v>220</v>
      </c>
      <c r="AC1722" s="41">
        <f>IFERROR(LOOKUP(M1722,打分卡!$F$7:$J$7,打分卡!$K$7:$O$7),1)</f>
        <v>1</v>
      </c>
      <c r="AD1722" s="41">
        <f>IFERROR(LOOKUP(S1722,打分卡!$F$8:$J$8,打分卡!$K$8:$O$8),1)</f>
        <v>1</v>
      </c>
      <c r="AE1722" s="41">
        <f>IFERROR(LOOKUP(T1722,打分卡!$F$9:$I$9,打分卡!$K$9:$N$9),1)</f>
        <v>1</v>
      </c>
      <c r="AF1722" s="41">
        <f>IFERROR(LOOKUP(Q1722,打分卡!$F$10:$J$10,打分卡!$K$10:$O$10),1)</f>
        <v>1</v>
      </c>
      <c r="AG1722" s="41">
        <f>IFERROR(LOOKUP(R1722,打分卡!$F$11:$J$11,打分卡!$K$11:$O$11),1)</f>
        <v>1</v>
      </c>
      <c r="AH1722" s="41">
        <f>IFERROR(LOOKUP(U1722,打分卡!$F$12:$J$12,打分卡!$K$12:$O$12),1)</f>
        <v>4</v>
      </c>
      <c r="AI1722" s="41">
        <f>IFERROR(LOOKUP(X1722,打分卡!$F$13:$J$13,打分卡!$K$13:$O$13),1)</f>
        <v>1</v>
      </c>
      <c r="AJ1722" s="41">
        <f>IFERROR(LOOKUP(Y1722,打分卡!$F$14:$J$14,打分卡!$K$14:$O$14),1)</f>
        <v>2</v>
      </c>
      <c r="AK1722" s="41">
        <f>IFERROR(LOOKUP(W1722,打分卡!$F$15:$J$15,打分卡!$K$15:$O$15),1)</f>
        <v>1</v>
      </c>
      <c r="AL1722" s="43">
        <f t="shared" si="209"/>
        <v>1</v>
      </c>
      <c r="AM1722" s="41">
        <f>IFERROR(LOOKUP(Z1722,打分卡!$F$17:$H$17,打分卡!$K$17:$M$17),1)</f>
        <v>1</v>
      </c>
      <c r="AN1722" s="44">
        <f>(打分卡!$D$7*AC1722+打分卡!$D$8*AD1722+打分卡!$D$9*AE1722)/5</f>
        <v>8</v>
      </c>
      <c r="AO1722" s="44">
        <f>(打分卡!$D$10*AF1722+打分卡!$D$11*AG1722)/5</f>
        <v>4</v>
      </c>
      <c r="AP1722" s="44">
        <f>(打分卡!$D$12*AH1722+打分卡!$D$13*AI1722+打分卡!$D$14*AJ1722+打分卡!$D$15*AK1722)/5</f>
        <v>14.4</v>
      </c>
      <c r="AQ1722" s="44">
        <f>(打分卡!$D$16*AL1722+打分卡!$D$17*AM1722)/5</f>
        <v>2</v>
      </c>
      <c r="AR1722" s="47">
        <f t="shared" si="210"/>
        <v>28.4</v>
      </c>
      <c r="AS1722" s="43" t="str">
        <f t="shared" si="211"/>
        <v>未激活</v>
      </c>
      <c r="AT1722" s="43" t="str">
        <f t="shared" si="212"/>
        <v>连续下降-预警</v>
      </c>
      <c r="AU1722" s="43" t="str">
        <f t="shared" si="213"/>
        <v>唤醒：短信模板+首充补贴</v>
      </c>
    </row>
    <row r="1723" ht="15" customHeight="1" spans="1:47">
      <c r="A1723" s="20" t="s">
        <v>4386</v>
      </c>
      <c r="B1723" s="22" t="s">
        <v>4387</v>
      </c>
      <c r="C1723" s="22" t="s">
        <v>179</v>
      </c>
      <c r="D1723" s="22" t="s">
        <v>190</v>
      </c>
      <c r="E1723" s="22" t="s">
        <v>181</v>
      </c>
      <c r="F1723" s="20" t="s">
        <v>1766</v>
      </c>
      <c r="G1723" s="22">
        <v>19</v>
      </c>
      <c r="H1723" s="22" t="s">
        <v>3535</v>
      </c>
      <c r="I1723" s="22" t="s">
        <v>302</v>
      </c>
      <c r="J1723" s="36">
        <v>0</v>
      </c>
      <c r="K1723" s="36">
        <v>0</v>
      </c>
      <c r="L1723" s="36">
        <v>0</v>
      </c>
      <c r="M1723" s="36">
        <f t="shared" si="208"/>
        <v>0</v>
      </c>
      <c r="N1723" s="34">
        <f t="shared" si="214"/>
        <v>0</v>
      </c>
      <c r="O1723" s="35">
        <f>SUM($M$2:M1723)</f>
        <v>190743600</v>
      </c>
      <c r="P1723" s="34">
        <f t="shared" si="215"/>
        <v>1</v>
      </c>
      <c r="Q1723" s="39">
        <v>0</v>
      </c>
      <c r="R1723" s="22">
        <v>0</v>
      </c>
      <c r="S1723" s="22">
        <v>0</v>
      </c>
      <c r="T1723" s="22">
        <v>0</v>
      </c>
      <c r="U1723" s="39">
        <v>25.3</v>
      </c>
      <c r="V1723" s="22">
        <v>13</v>
      </c>
      <c r="W1723" s="22">
        <v>1</v>
      </c>
      <c r="X1723" s="40">
        <v>13</v>
      </c>
      <c r="Y1723" s="22">
        <v>0</v>
      </c>
      <c r="Z1723" s="22">
        <v>0</v>
      </c>
      <c r="AA1723" s="22" t="s">
        <v>212</v>
      </c>
      <c r="AB1723" s="22" t="s">
        <v>220</v>
      </c>
      <c r="AC1723" s="42">
        <f>IFERROR(LOOKUP(M1723,打分卡!$F$7:$J$7,打分卡!$K$7:$O$7),1)</f>
        <v>1</v>
      </c>
      <c r="AD1723" s="42">
        <f>IFERROR(LOOKUP(S1723,打分卡!$F$8:$J$8,打分卡!$K$8:$O$8),1)</f>
        <v>1</v>
      </c>
      <c r="AE1723" s="42">
        <f>IFERROR(LOOKUP(T1723,打分卡!$F$9:$I$9,打分卡!$K$9:$N$9),1)</f>
        <v>1</v>
      </c>
      <c r="AF1723" s="42">
        <f>IFERROR(LOOKUP(Q1723,打分卡!$F$10:$J$10,打分卡!$K$10:$O$10),1)</f>
        <v>1</v>
      </c>
      <c r="AG1723" s="42">
        <f>IFERROR(LOOKUP(R1723,打分卡!$F$11:$J$11,打分卡!$K$11:$O$11),1)</f>
        <v>1</v>
      </c>
      <c r="AH1723" s="42">
        <f>IFERROR(LOOKUP(U1723,打分卡!$F$12:$J$12,打分卡!$K$12:$O$12),1)</f>
        <v>3</v>
      </c>
      <c r="AI1723" s="42">
        <f>IFERROR(LOOKUP(X1723,打分卡!$F$13:$J$13,打分卡!$K$13:$O$13),1)</f>
        <v>1</v>
      </c>
      <c r="AJ1723" s="42">
        <f>IFERROR(LOOKUP(Y1723,打分卡!$F$14:$J$14,打分卡!$K$14:$O$14),1)</f>
        <v>1</v>
      </c>
      <c r="AK1723" s="42">
        <f>IFERROR(LOOKUP(W1723,打分卡!$F$15:$J$15,打分卡!$K$15:$O$15),1)</f>
        <v>2</v>
      </c>
      <c r="AL1723" s="45">
        <f t="shared" si="209"/>
        <v>1</v>
      </c>
      <c r="AM1723" s="42">
        <f>IFERROR(LOOKUP(Z1723,打分卡!$F$17:$H$17,打分卡!$K$17:$M$17),1)</f>
        <v>1</v>
      </c>
      <c r="AN1723" s="46">
        <f>(打分卡!$D$7*AC1723+打分卡!$D$8*AD1723+打分卡!$D$9*AE1723)/5</f>
        <v>8</v>
      </c>
      <c r="AO1723" s="46">
        <f>(打分卡!$D$10*AF1723+打分卡!$D$11*AG1723)/5</f>
        <v>4</v>
      </c>
      <c r="AP1723" s="46">
        <f>(打分卡!$D$12*AH1723+打分卡!$D$13*AI1723+打分卡!$D$14*AJ1723+打分卡!$D$15*AK1723)/5</f>
        <v>11.6</v>
      </c>
      <c r="AQ1723" s="46">
        <f>(打分卡!$D$16*AL1723+打分卡!$D$17*AM1723)/5</f>
        <v>2</v>
      </c>
      <c r="AR1723" s="48">
        <f t="shared" si="210"/>
        <v>25.6</v>
      </c>
      <c r="AS1723" s="45" t="str">
        <f t="shared" si="211"/>
        <v>未激活</v>
      </c>
      <c r="AT1723" s="45" t="str">
        <f t="shared" si="212"/>
        <v>连续下降-预警</v>
      </c>
      <c r="AU1723" s="45" t="str">
        <f t="shared" si="213"/>
        <v>唤醒：短信模板+首充补贴</v>
      </c>
    </row>
    <row r="1724" ht="15" customHeight="1" spans="1:47">
      <c r="A1724" s="30" t="s">
        <v>4388</v>
      </c>
      <c r="B1724" s="31" t="s">
        <v>4389</v>
      </c>
      <c r="C1724" s="31" t="s">
        <v>239</v>
      </c>
      <c r="D1724" s="31" t="s">
        <v>202</v>
      </c>
      <c r="E1724" s="31" t="s">
        <v>197</v>
      </c>
      <c r="F1724" s="30" t="s">
        <v>1183</v>
      </c>
      <c r="G1724" s="31">
        <v>16</v>
      </c>
      <c r="H1724" s="31" t="s">
        <v>3535</v>
      </c>
      <c r="I1724" s="31" t="s">
        <v>302</v>
      </c>
      <c r="J1724" s="33">
        <v>0</v>
      </c>
      <c r="K1724" s="33">
        <v>0</v>
      </c>
      <c r="L1724" s="33">
        <v>0</v>
      </c>
      <c r="M1724" s="33">
        <f t="shared" si="208"/>
        <v>0</v>
      </c>
      <c r="N1724" s="34">
        <f t="shared" si="214"/>
        <v>0</v>
      </c>
      <c r="O1724" s="35">
        <f>SUM($M$2:M1724)</f>
        <v>190743600</v>
      </c>
      <c r="P1724" s="34">
        <f t="shared" si="215"/>
        <v>1</v>
      </c>
      <c r="Q1724" s="37">
        <v>0</v>
      </c>
      <c r="R1724" s="31">
        <v>0</v>
      </c>
      <c r="S1724" s="31">
        <v>0</v>
      </c>
      <c r="T1724" s="31">
        <v>0</v>
      </c>
      <c r="U1724" s="37">
        <v>24.4</v>
      </c>
      <c r="V1724" s="31">
        <v>12</v>
      </c>
      <c r="W1724" s="31">
        <v>1</v>
      </c>
      <c r="X1724" s="38">
        <v>71</v>
      </c>
      <c r="Y1724" s="31">
        <v>1</v>
      </c>
      <c r="Z1724" s="31">
        <v>0</v>
      </c>
      <c r="AA1724" s="31" t="s">
        <v>212</v>
      </c>
      <c r="AB1724" s="31" t="s">
        <v>220</v>
      </c>
      <c r="AC1724" s="41">
        <f>IFERROR(LOOKUP(M1724,打分卡!$F$7:$J$7,打分卡!$K$7:$O$7),1)</f>
        <v>1</v>
      </c>
      <c r="AD1724" s="41">
        <f>IFERROR(LOOKUP(S1724,打分卡!$F$8:$J$8,打分卡!$K$8:$O$8),1)</f>
        <v>1</v>
      </c>
      <c r="AE1724" s="41">
        <f>IFERROR(LOOKUP(T1724,打分卡!$F$9:$I$9,打分卡!$K$9:$N$9),1)</f>
        <v>1</v>
      </c>
      <c r="AF1724" s="41">
        <f>IFERROR(LOOKUP(Q1724,打分卡!$F$10:$J$10,打分卡!$K$10:$O$10),1)</f>
        <v>1</v>
      </c>
      <c r="AG1724" s="41">
        <f>IFERROR(LOOKUP(R1724,打分卡!$F$11:$J$11,打分卡!$K$11:$O$11),1)</f>
        <v>1</v>
      </c>
      <c r="AH1724" s="41">
        <f>IFERROR(LOOKUP(U1724,打分卡!$F$12:$J$12,打分卡!$K$12:$O$12),1)</f>
        <v>3</v>
      </c>
      <c r="AI1724" s="41">
        <f>IFERROR(LOOKUP(X1724,打分卡!$F$13:$J$13,打分卡!$K$13:$O$13),1)</f>
        <v>3</v>
      </c>
      <c r="AJ1724" s="41">
        <f>IFERROR(LOOKUP(Y1724,打分卡!$F$14:$J$14,打分卡!$K$14:$O$14),1)</f>
        <v>2</v>
      </c>
      <c r="AK1724" s="41">
        <f>IFERROR(LOOKUP(W1724,打分卡!$F$15:$J$15,打分卡!$K$15:$O$15),1)</f>
        <v>2</v>
      </c>
      <c r="AL1724" s="43">
        <f t="shared" si="209"/>
        <v>1</v>
      </c>
      <c r="AM1724" s="41">
        <f>IFERROR(LOOKUP(Z1724,打分卡!$F$17:$H$17,打分卡!$K$17:$M$17),1)</f>
        <v>1</v>
      </c>
      <c r="AN1724" s="44">
        <f>(打分卡!$D$7*AC1724+打分卡!$D$8*AD1724+打分卡!$D$9*AE1724)/5</f>
        <v>8</v>
      </c>
      <c r="AO1724" s="44">
        <f>(打分卡!$D$10*AF1724+打分卡!$D$11*AG1724)/5</f>
        <v>4</v>
      </c>
      <c r="AP1724" s="44">
        <f>(打分卡!$D$12*AH1724+打分卡!$D$13*AI1724+打分卡!$D$14*AJ1724+打分卡!$D$15*AK1724)/5</f>
        <v>16</v>
      </c>
      <c r="AQ1724" s="44">
        <f>(打分卡!$D$16*AL1724+打分卡!$D$17*AM1724)/5</f>
        <v>2</v>
      </c>
      <c r="AR1724" s="47">
        <f t="shared" si="210"/>
        <v>30</v>
      </c>
      <c r="AS1724" s="43" t="str">
        <f t="shared" si="211"/>
        <v>未激活</v>
      </c>
      <c r="AT1724" s="43" t="str">
        <f t="shared" si="212"/>
        <v>连续下降-预警</v>
      </c>
      <c r="AU1724" s="43" t="str">
        <f t="shared" si="213"/>
        <v>唤醒：短信模板+首充补贴</v>
      </c>
    </row>
    <row r="1725" ht="15" customHeight="1" spans="1:47">
      <c r="A1725" s="20" t="s">
        <v>4390</v>
      </c>
      <c r="B1725" s="22" t="s">
        <v>4391</v>
      </c>
      <c r="C1725" s="22" t="s">
        <v>179</v>
      </c>
      <c r="D1725" s="22" t="s">
        <v>202</v>
      </c>
      <c r="E1725" s="22" t="s">
        <v>181</v>
      </c>
      <c r="F1725" s="20" t="s">
        <v>4392</v>
      </c>
      <c r="G1725" s="22">
        <v>20</v>
      </c>
      <c r="H1725" s="22" t="s">
        <v>3535</v>
      </c>
      <c r="I1725" s="22" t="s">
        <v>302</v>
      </c>
      <c r="J1725" s="36">
        <v>0</v>
      </c>
      <c r="K1725" s="36">
        <v>0</v>
      </c>
      <c r="L1725" s="36">
        <v>0</v>
      </c>
      <c r="M1725" s="36">
        <f t="shared" si="208"/>
        <v>0</v>
      </c>
      <c r="N1725" s="34">
        <f t="shared" si="214"/>
        <v>0</v>
      </c>
      <c r="O1725" s="35">
        <f>SUM($M$2:M1725)</f>
        <v>190743600</v>
      </c>
      <c r="P1725" s="34">
        <f t="shared" si="215"/>
        <v>1</v>
      </c>
      <c r="Q1725" s="39">
        <v>0</v>
      </c>
      <c r="R1725" s="22">
        <v>0</v>
      </c>
      <c r="S1725" s="22">
        <v>0</v>
      </c>
      <c r="T1725" s="22">
        <v>0</v>
      </c>
      <c r="U1725" s="39">
        <v>22.9</v>
      </c>
      <c r="V1725" s="22">
        <v>5</v>
      </c>
      <c r="W1725" s="22">
        <v>1</v>
      </c>
      <c r="X1725" s="40">
        <v>36</v>
      </c>
      <c r="Y1725" s="22">
        <v>0</v>
      </c>
      <c r="Z1725" s="22">
        <v>0</v>
      </c>
      <c r="AA1725" s="22" t="s">
        <v>212</v>
      </c>
      <c r="AB1725" s="22" t="s">
        <v>220</v>
      </c>
      <c r="AC1725" s="42">
        <f>IFERROR(LOOKUP(M1725,打分卡!$F$7:$J$7,打分卡!$K$7:$O$7),1)</f>
        <v>1</v>
      </c>
      <c r="AD1725" s="42">
        <f>IFERROR(LOOKUP(S1725,打分卡!$F$8:$J$8,打分卡!$K$8:$O$8),1)</f>
        <v>1</v>
      </c>
      <c r="AE1725" s="42">
        <f>IFERROR(LOOKUP(T1725,打分卡!$F$9:$I$9,打分卡!$K$9:$N$9),1)</f>
        <v>1</v>
      </c>
      <c r="AF1725" s="42">
        <f>IFERROR(LOOKUP(Q1725,打分卡!$F$10:$J$10,打分卡!$K$10:$O$10),1)</f>
        <v>1</v>
      </c>
      <c r="AG1725" s="42">
        <f>IFERROR(LOOKUP(R1725,打分卡!$F$11:$J$11,打分卡!$K$11:$O$11),1)</f>
        <v>1</v>
      </c>
      <c r="AH1725" s="42">
        <f>IFERROR(LOOKUP(U1725,打分卡!$F$12:$J$12,打分卡!$K$12:$O$12),1)</f>
        <v>3</v>
      </c>
      <c r="AI1725" s="42">
        <f>IFERROR(LOOKUP(X1725,打分卡!$F$13:$J$13,打分卡!$K$13:$O$13),1)</f>
        <v>2</v>
      </c>
      <c r="AJ1725" s="42">
        <f>IFERROR(LOOKUP(Y1725,打分卡!$F$14:$J$14,打分卡!$K$14:$O$14),1)</f>
        <v>1</v>
      </c>
      <c r="AK1725" s="42">
        <f>IFERROR(LOOKUP(W1725,打分卡!$F$15:$J$15,打分卡!$K$15:$O$15),1)</f>
        <v>2</v>
      </c>
      <c r="AL1725" s="45">
        <f t="shared" si="209"/>
        <v>1</v>
      </c>
      <c r="AM1725" s="42">
        <f>IFERROR(LOOKUP(Z1725,打分卡!$F$17:$H$17,打分卡!$K$17:$M$17),1)</f>
        <v>1</v>
      </c>
      <c r="AN1725" s="46">
        <f>(打分卡!$D$7*AC1725+打分卡!$D$8*AD1725+打分卡!$D$9*AE1725)/5</f>
        <v>8</v>
      </c>
      <c r="AO1725" s="46">
        <f>(打分卡!$D$10*AF1725+打分卡!$D$11*AG1725)/5</f>
        <v>4</v>
      </c>
      <c r="AP1725" s="46">
        <f>(打分卡!$D$12*AH1725+打分卡!$D$13*AI1725+打分卡!$D$14*AJ1725+打分卡!$D$15*AK1725)/5</f>
        <v>13.2</v>
      </c>
      <c r="AQ1725" s="46">
        <f>(打分卡!$D$16*AL1725+打分卡!$D$17*AM1725)/5</f>
        <v>2</v>
      </c>
      <c r="AR1725" s="48">
        <f t="shared" si="210"/>
        <v>27.2</v>
      </c>
      <c r="AS1725" s="45" t="str">
        <f t="shared" si="211"/>
        <v>未激活</v>
      </c>
      <c r="AT1725" s="45" t="str">
        <f t="shared" si="212"/>
        <v>连续下降-预警</v>
      </c>
      <c r="AU1725" s="45" t="str">
        <f t="shared" si="213"/>
        <v>唤醒：短信模板+首充补贴</v>
      </c>
    </row>
    <row r="1726" ht="15" customHeight="1" spans="1:47">
      <c r="A1726" s="30" t="s">
        <v>4393</v>
      </c>
      <c r="B1726" s="31" t="s">
        <v>4394</v>
      </c>
      <c r="C1726" s="31" t="s">
        <v>189</v>
      </c>
      <c r="D1726" s="31" t="s">
        <v>202</v>
      </c>
      <c r="E1726" s="31" t="s">
        <v>181</v>
      </c>
      <c r="F1726" s="30" t="s">
        <v>4395</v>
      </c>
      <c r="G1726" s="31">
        <v>32</v>
      </c>
      <c r="H1726" s="31" t="s">
        <v>3535</v>
      </c>
      <c r="I1726" s="31" t="s">
        <v>302</v>
      </c>
      <c r="J1726" s="33">
        <v>0</v>
      </c>
      <c r="K1726" s="33">
        <v>0</v>
      </c>
      <c r="L1726" s="33">
        <v>0</v>
      </c>
      <c r="M1726" s="33">
        <f t="shared" si="208"/>
        <v>0</v>
      </c>
      <c r="N1726" s="34">
        <f t="shared" si="214"/>
        <v>0</v>
      </c>
      <c r="O1726" s="35">
        <f>SUM($M$2:M1726)</f>
        <v>190743600</v>
      </c>
      <c r="P1726" s="34">
        <f t="shared" si="215"/>
        <v>1</v>
      </c>
      <c r="Q1726" s="37">
        <v>0</v>
      </c>
      <c r="R1726" s="31">
        <v>0</v>
      </c>
      <c r="S1726" s="31">
        <v>0</v>
      </c>
      <c r="T1726" s="31">
        <v>0</v>
      </c>
      <c r="U1726" s="37">
        <v>39.9</v>
      </c>
      <c r="V1726" s="31">
        <v>5</v>
      </c>
      <c r="W1726" s="31">
        <v>0</v>
      </c>
      <c r="X1726" s="38">
        <v>22</v>
      </c>
      <c r="Y1726" s="31">
        <v>0</v>
      </c>
      <c r="Z1726" s="31">
        <v>0</v>
      </c>
      <c r="AA1726" s="31" t="s">
        <v>212</v>
      </c>
      <c r="AB1726" s="31" t="s">
        <v>220</v>
      </c>
      <c r="AC1726" s="41">
        <f>IFERROR(LOOKUP(M1726,打分卡!$F$7:$J$7,打分卡!$K$7:$O$7),1)</f>
        <v>1</v>
      </c>
      <c r="AD1726" s="41">
        <f>IFERROR(LOOKUP(S1726,打分卡!$F$8:$J$8,打分卡!$K$8:$O$8),1)</f>
        <v>1</v>
      </c>
      <c r="AE1726" s="41">
        <f>IFERROR(LOOKUP(T1726,打分卡!$F$9:$I$9,打分卡!$K$9:$N$9),1)</f>
        <v>1</v>
      </c>
      <c r="AF1726" s="41">
        <f>IFERROR(LOOKUP(Q1726,打分卡!$F$10:$J$10,打分卡!$K$10:$O$10),1)</f>
        <v>1</v>
      </c>
      <c r="AG1726" s="41">
        <f>IFERROR(LOOKUP(R1726,打分卡!$F$11:$J$11,打分卡!$K$11:$O$11),1)</f>
        <v>1</v>
      </c>
      <c r="AH1726" s="41">
        <f>IFERROR(LOOKUP(U1726,打分卡!$F$12:$J$12,打分卡!$K$12:$O$12),1)</f>
        <v>4</v>
      </c>
      <c r="AI1726" s="41">
        <f>IFERROR(LOOKUP(X1726,打分卡!$F$13:$J$13,打分卡!$K$13:$O$13),1)</f>
        <v>2</v>
      </c>
      <c r="AJ1726" s="41">
        <f>IFERROR(LOOKUP(Y1726,打分卡!$F$14:$J$14,打分卡!$K$14:$O$14),1)</f>
        <v>1</v>
      </c>
      <c r="AK1726" s="41">
        <f>IFERROR(LOOKUP(W1726,打分卡!$F$15:$J$15,打分卡!$K$15:$O$15),1)</f>
        <v>1</v>
      </c>
      <c r="AL1726" s="43">
        <f t="shared" si="209"/>
        <v>1</v>
      </c>
      <c r="AM1726" s="41">
        <f>IFERROR(LOOKUP(Z1726,打分卡!$F$17:$H$17,打分卡!$K$17:$M$17),1)</f>
        <v>1</v>
      </c>
      <c r="AN1726" s="44">
        <f>(打分卡!$D$7*AC1726+打分卡!$D$8*AD1726+打分卡!$D$9*AE1726)/5</f>
        <v>8</v>
      </c>
      <c r="AO1726" s="44">
        <f>(打分卡!$D$10*AF1726+打分卡!$D$11*AG1726)/5</f>
        <v>4</v>
      </c>
      <c r="AP1726" s="44">
        <f>(打分卡!$D$12*AH1726+打分卡!$D$13*AI1726+打分卡!$D$14*AJ1726+打分卡!$D$15*AK1726)/5</f>
        <v>14.8</v>
      </c>
      <c r="AQ1726" s="44">
        <f>(打分卡!$D$16*AL1726+打分卡!$D$17*AM1726)/5</f>
        <v>2</v>
      </c>
      <c r="AR1726" s="47">
        <f t="shared" si="210"/>
        <v>28.8</v>
      </c>
      <c r="AS1726" s="43" t="str">
        <f t="shared" si="211"/>
        <v>未激活</v>
      </c>
      <c r="AT1726" s="43" t="str">
        <f t="shared" si="212"/>
        <v>连续下降-预警</v>
      </c>
      <c r="AU1726" s="43" t="str">
        <f t="shared" si="213"/>
        <v>唤醒：短信模板+首充补贴</v>
      </c>
    </row>
    <row r="1727" ht="15" customHeight="1" spans="1:47">
      <c r="A1727" s="20" t="s">
        <v>4396</v>
      </c>
      <c r="B1727" s="22" t="s">
        <v>4397</v>
      </c>
      <c r="C1727" s="22" t="s">
        <v>239</v>
      </c>
      <c r="D1727" s="22" t="s">
        <v>202</v>
      </c>
      <c r="E1727" s="22" t="s">
        <v>181</v>
      </c>
      <c r="F1727" s="20" t="s">
        <v>3595</v>
      </c>
      <c r="G1727" s="22">
        <v>35</v>
      </c>
      <c r="H1727" s="22" t="s">
        <v>3535</v>
      </c>
      <c r="I1727" s="22" t="s">
        <v>302</v>
      </c>
      <c r="J1727" s="36">
        <v>0</v>
      </c>
      <c r="K1727" s="36">
        <v>0</v>
      </c>
      <c r="L1727" s="36">
        <v>0</v>
      </c>
      <c r="M1727" s="36">
        <f t="shared" si="208"/>
        <v>0</v>
      </c>
      <c r="N1727" s="34">
        <f t="shared" si="214"/>
        <v>0</v>
      </c>
      <c r="O1727" s="35">
        <f>SUM($M$2:M1727)</f>
        <v>190743600</v>
      </c>
      <c r="P1727" s="34">
        <f t="shared" si="215"/>
        <v>1</v>
      </c>
      <c r="Q1727" s="39">
        <v>0</v>
      </c>
      <c r="R1727" s="22">
        <v>0</v>
      </c>
      <c r="S1727" s="22">
        <v>0</v>
      </c>
      <c r="T1727" s="22">
        <v>0</v>
      </c>
      <c r="U1727" s="39">
        <v>6.5</v>
      </c>
      <c r="V1727" s="22">
        <v>15</v>
      </c>
      <c r="W1727" s="22">
        <v>1</v>
      </c>
      <c r="X1727" s="40">
        <v>73</v>
      </c>
      <c r="Y1727" s="22">
        <v>1</v>
      </c>
      <c r="Z1727" s="22">
        <v>0</v>
      </c>
      <c r="AA1727" s="22" t="s">
        <v>212</v>
      </c>
      <c r="AB1727" s="22" t="s">
        <v>220</v>
      </c>
      <c r="AC1727" s="42">
        <f>IFERROR(LOOKUP(M1727,打分卡!$F$7:$J$7,打分卡!$K$7:$O$7),1)</f>
        <v>1</v>
      </c>
      <c r="AD1727" s="42">
        <f>IFERROR(LOOKUP(S1727,打分卡!$F$8:$J$8,打分卡!$K$8:$O$8),1)</f>
        <v>1</v>
      </c>
      <c r="AE1727" s="42">
        <f>IFERROR(LOOKUP(T1727,打分卡!$F$9:$I$9,打分卡!$K$9:$N$9),1)</f>
        <v>1</v>
      </c>
      <c r="AF1727" s="42">
        <f>IFERROR(LOOKUP(Q1727,打分卡!$F$10:$J$10,打分卡!$K$10:$O$10),1)</f>
        <v>1</v>
      </c>
      <c r="AG1727" s="42">
        <f>IFERROR(LOOKUP(R1727,打分卡!$F$11:$J$11,打分卡!$K$11:$O$11),1)</f>
        <v>1</v>
      </c>
      <c r="AH1727" s="42">
        <f>IFERROR(LOOKUP(U1727,打分卡!$F$12:$J$12,打分卡!$K$12:$O$12),1)</f>
        <v>2</v>
      </c>
      <c r="AI1727" s="42">
        <f>IFERROR(LOOKUP(X1727,打分卡!$F$13:$J$13,打分卡!$K$13:$O$13),1)</f>
        <v>3</v>
      </c>
      <c r="AJ1727" s="42">
        <f>IFERROR(LOOKUP(Y1727,打分卡!$F$14:$J$14,打分卡!$K$14:$O$14),1)</f>
        <v>2</v>
      </c>
      <c r="AK1727" s="42">
        <f>IFERROR(LOOKUP(W1727,打分卡!$F$15:$J$15,打分卡!$K$15:$O$15),1)</f>
        <v>2</v>
      </c>
      <c r="AL1727" s="45">
        <f t="shared" si="209"/>
        <v>1</v>
      </c>
      <c r="AM1727" s="42">
        <f>IFERROR(LOOKUP(Z1727,打分卡!$F$17:$H$17,打分卡!$K$17:$M$17),1)</f>
        <v>1</v>
      </c>
      <c r="AN1727" s="46">
        <f>(打分卡!$D$7*AC1727+打分卡!$D$8*AD1727+打分卡!$D$9*AE1727)/5</f>
        <v>8</v>
      </c>
      <c r="AO1727" s="46">
        <f>(打分卡!$D$10*AF1727+打分卡!$D$11*AG1727)/5</f>
        <v>4</v>
      </c>
      <c r="AP1727" s="46">
        <f>(打分卡!$D$12*AH1727+打分卡!$D$13*AI1727+打分卡!$D$14*AJ1727+打分卡!$D$15*AK1727)/5</f>
        <v>13.6</v>
      </c>
      <c r="AQ1727" s="46">
        <f>(打分卡!$D$16*AL1727+打分卡!$D$17*AM1727)/5</f>
        <v>2</v>
      </c>
      <c r="AR1727" s="48">
        <f t="shared" si="210"/>
        <v>27.6</v>
      </c>
      <c r="AS1727" s="45" t="str">
        <f t="shared" si="211"/>
        <v>未激活</v>
      </c>
      <c r="AT1727" s="45" t="str">
        <f t="shared" si="212"/>
        <v>连续下降-预警</v>
      </c>
      <c r="AU1727" s="45" t="str">
        <f t="shared" si="213"/>
        <v>唤醒：短信模板+首充补贴</v>
      </c>
    </row>
    <row r="1728" ht="15" customHeight="1" spans="1:47">
      <c r="A1728" s="30" t="s">
        <v>4398</v>
      </c>
      <c r="B1728" s="31" t="s">
        <v>4399</v>
      </c>
      <c r="C1728" s="31" t="s">
        <v>189</v>
      </c>
      <c r="D1728" s="31" t="s">
        <v>180</v>
      </c>
      <c r="E1728" s="31" t="s">
        <v>197</v>
      </c>
      <c r="F1728" s="30" t="s">
        <v>4400</v>
      </c>
      <c r="G1728" s="31">
        <v>26</v>
      </c>
      <c r="H1728" s="31" t="s">
        <v>3535</v>
      </c>
      <c r="I1728" s="31" t="s">
        <v>302</v>
      </c>
      <c r="J1728" s="33">
        <v>0</v>
      </c>
      <c r="K1728" s="33">
        <v>0</v>
      </c>
      <c r="L1728" s="33">
        <v>0</v>
      </c>
      <c r="M1728" s="33">
        <f t="shared" si="208"/>
        <v>0</v>
      </c>
      <c r="N1728" s="34">
        <f t="shared" si="214"/>
        <v>0</v>
      </c>
      <c r="O1728" s="35">
        <f>SUM($M$2:M1728)</f>
        <v>190743600</v>
      </c>
      <c r="P1728" s="34">
        <f t="shared" si="215"/>
        <v>1</v>
      </c>
      <c r="Q1728" s="37">
        <v>0</v>
      </c>
      <c r="R1728" s="31">
        <v>0</v>
      </c>
      <c r="S1728" s="31">
        <v>0</v>
      </c>
      <c r="T1728" s="31">
        <v>0</v>
      </c>
      <c r="U1728" s="37">
        <v>8.8</v>
      </c>
      <c r="V1728" s="31">
        <v>11</v>
      </c>
      <c r="W1728" s="31">
        <v>1</v>
      </c>
      <c r="X1728" s="38">
        <v>22</v>
      </c>
      <c r="Y1728" s="31">
        <v>1</v>
      </c>
      <c r="Z1728" s="31">
        <v>0</v>
      </c>
      <c r="AA1728" s="31" t="s">
        <v>212</v>
      </c>
      <c r="AB1728" s="31" t="s">
        <v>220</v>
      </c>
      <c r="AC1728" s="41">
        <f>IFERROR(LOOKUP(M1728,打分卡!$F$7:$J$7,打分卡!$K$7:$O$7),1)</f>
        <v>1</v>
      </c>
      <c r="AD1728" s="41">
        <f>IFERROR(LOOKUP(S1728,打分卡!$F$8:$J$8,打分卡!$K$8:$O$8),1)</f>
        <v>1</v>
      </c>
      <c r="AE1728" s="41">
        <f>IFERROR(LOOKUP(T1728,打分卡!$F$9:$I$9,打分卡!$K$9:$N$9),1)</f>
        <v>1</v>
      </c>
      <c r="AF1728" s="41">
        <f>IFERROR(LOOKUP(Q1728,打分卡!$F$10:$J$10,打分卡!$K$10:$O$10),1)</f>
        <v>1</v>
      </c>
      <c r="AG1728" s="41">
        <f>IFERROR(LOOKUP(R1728,打分卡!$F$11:$J$11,打分卡!$K$11:$O$11),1)</f>
        <v>1</v>
      </c>
      <c r="AH1728" s="41">
        <f>IFERROR(LOOKUP(U1728,打分卡!$F$12:$J$12,打分卡!$K$12:$O$12),1)</f>
        <v>2</v>
      </c>
      <c r="AI1728" s="41">
        <f>IFERROR(LOOKUP(X1728,打分卡!$F$13:$J$13,打分卡!$K$13:$O$13),1)</f>
        <v>2</v>
      </c>
      <c r="AJ1728" s="41">
        <f>IFERROR(LOOKUP(Y1728,打分卡!$F$14:$J$14,打分卡!$K$14:$O$14),1)</f>
        <v>2</v>
      </c>
      <c r="AK1728" s="41">
        <f>IFERROR(LOOKUP(W1728,打分卡!$F$15:$J$15,打分卡!$K$15:$O$15),1)</f>
        <v>2</v>
      </c>
      <c r="AL1728" s="43">
        <f t="shared" si="209"/>
        <v>1</v>
      </c>
      <c r="AM1728" s="41">
        <f>IFERROR(LOOKUP(Z1728,打分卡!$F$17:$H$17,打分卡!$K$17:$M$17),1)</f>
        <v>1</v>
      </c>
      <c r="AN1728" s="44">
        <f>(打分卡!$D$7*AC1728+打分卡!$D$8*AD1728+打分卡!$D$9*AE1728)/5</f>
        <v>8</v>
      </c>
      <c r="AO1728" s="44">
        <f>(打分卡!$D$10*AF1728+打分卡!$D$11*AG1728)/5</f>
        <v>4</v>
      </c>
      <c r="AP1728" s="44">
        <f>(打分卡!$D$12*AH1728+打分卡!$D$13*AI1728+打分卡!$D$14*AJ1728+打分卡!$D$15*AK1728)/5</f>
        <v>12</v>
      </c>
      <c r="AQ1728" s="44">
        <f>(打分卡!$D$16*AL1728+打分卡!$D$17*AM1728)/5</f>
        <v>2</v>
      </c>
      <c r="AR1728" s="47">
        <f t="shared" si="210"/>
        <v>26</v>
      </c>
      <c r="AS1728" s="43" t="str">
        <f t="shared" si="211"/>
        <v>未激活</v>
      </c>
      <c r="AT1728" s="43" t="str">
        <f t="shared" si="212"/>
        <v>连续下降-预警</v>
      </c>
      <c r="AU1728" s="43" t="str">
        <f t="shared" si="213"/>
        <v>唤醒：短信模板+首充补贴</v>
      </c>
    </row>
    <row r="1729" ht="15" customHeight="1" spans="1:47">
      <c r="A1729" s="20" t="s">
        <v>4401</v>
      </c>
      <c r="B1729" s="22" t="s">
        <v>4402</v>
      </c>
      <c r="C1729" s="22" t="s">
        <v>239</v>
      </c>
      <c r="D1729" s="22" t="s">
        <v>235</v>
      </c>
      <c r="E1729" s="22" t="s">
        <v>181</v>
      </c>
      <c r="F1729" s="20" t="s">
        <v>1936</v>
      </c>
      <c r="G1729" s="22">
        <v>17</v>
      </c>
      <c r="H1729" s="22" t="s">
        <v>3535</v>
      </c>
      <c r="I1729" s="22" t="s">
        <v>302</v>
      </c>
      <c r="J1729" s="36">
        <v>0</v>
      </c>
      <c r="K1729" s="36">
        <v>0</v>
      </c>
      <c r="L1729" s="36">
        <v>0</v>
      </c>
      <c r="M1729" s="36">
        <f t="shared" si="208"/>
        <v>0</v>
      </c>
      <c r="N1729" s="34">
        <f t="shared" si="214"/>
        <v>0</v>
      </c>
      <c r="O1729" s="35">
        <f>SUM($M$2:M1729)</f>
        <v>190743600</v>
      </c>
      <c r="P1729" s="34">
        <f t="shared" si="215"/>
        <v>1</v>
      </c>
      <c r="Q1729" s="39">
        <v>0</v>
      </c>
      <c r="R1729" s="22">
        <v>0</v>
      </c>
      <c r="S1729" s="22">
        <v>0</v>
      </c>
      <c r="T1729" s="22">
        <v>0</v>
      </c>
      <c r="U1729" s="39">
        <v>18.5</v>
      </c>
      <c r="V1729" s="22">
        <v>12</v>
      </c>
      <c r="W1729" s="22">
        <v>1</v>
      </c>
      <c r="X1729" s="40">
        <v>24</v>
      </c>
      <c r="Y1729" s="22">
        <v>0</v>
      </c>
      <c r="Z1729" s="22">
        <v>0</v>
      </c>
      <c r="AA1729" s="22" t="s">
        <v>212</v>
      </c>
      <c r="AB1729" s="22" t="s">
        <v>220</v>
      </c>
      <c r="AC1729" s="42">
        <f>IFERROR(LOOKUP(M1729,打分卡!$F$7:$J$7,打分卡!$K$7:$O$7),1)</f>
        <v>1</v>
      </c>
      <c r="AD1729" s="42">
        <f>IFERROR(LOOKUP(S1729,打分卡!$F$8:$J$8,打分卡!$K$8:$O$8),1)</f>
        <v>1</v>
      </c>
      <c r="AE1729" s="42">
        <f>IFERROR(LOOKUP(T1729,打分卡!$F$9:$I$9,打分卡!$K$9:$N$9),1)</f>
        <v>1</v>
      </c>
      <c r="AF1729" s="42">
        <f>IFERROR(LOOKUP(Q1729,打分卡!$F$10:$J$10,打分卡!$K$10:$O$10),1)</f>
        <v>1</v>
      </c>
      <c r="AG1729" s="42">
        <f>IFERROR(LOOKUP(R1729,打分卡!$F$11:$J$11,打分卡!$K$11:$O$11),1)</f>
        <v>1</v>
      </c>
      <c r="AH1729" s="42">
        <f>IFERROR(LOOKUP(U1729,打分卡!$F$12:$J$12,打分卡!$K$12:$O$12),1)</f>
        <v>3</v>
      </c>
      <c r="AI1729" s="42">
        <f>IFERROR(LOOKUP(X1729,打分卡!$F$13:$J$13,打分卡!$K$13:$O$13),1)</f>
        <v>2</v>
      </c>
      <c r="AJ1729" s="42">
        <f>IFERROR(LOOKUP(Y1729,打分卡!$F$14:$J$14,打分卡!$K$14:$O$14),1)</f>
        <v>1</v>
      </c>
      <c r="AK1729" s="42">
        <f>IFERROR(LOOKUP(W1729,打分卡!$F$15:$J$15,打分卡!$K$15:$O$15),1)</f>
        <v>2</v>
      </c>
      <c r="AL1729" s="45">
        <f t="shared" si="209"/>
        <v>1</v>
      </c>
      <c r="AM1729" s="42">
        <f>IFERROR(LOOKUP(Z1729,打分卡!$F$17:$H$17,打分卡!$K$17:$M$17),1)</f>
        <v>1</v>
      </c>
      <c r="AN1729" s="46">
        <f>(打分卡!$D$7*AC1729+打分卡!$D$8*AD1729+打分卡!$D$9*AE1729)/5</f>
        <v>8</v>
      </c>
      <c r="AO1729" s="46">
        <f>(打分卡!$D$10*AF1729+打分卡!$D$11*AG1729)/5</f>
        <v>4</v>
      </c>
      <c r="AP1729" s="46">
        <f>(打分卡!$D$12*AH1729+打分卡!$D$13*AI1729+打分卡!$D$14*AJ1729+打分卡!$D$15*AK1729)/5</f>
        <v>13.2</v>
      </c>
      <c r="AQ1729" s="46">
        <f>(打分卡!$D$16*AL1729+打分卡!$D$17*AM1729)/5</f>
        <v>2</v>
      </c>
      <c r="AR1729" s="48">
        <f t="shared" si="210"/>
        <v>27.2</v>
      </c>
      <c r="AS1729" s="45" t="str">
        <f t="shared" si="211"/>
        <v>未激活</v>
      </c>
      <c r="AT1729" s="45" t="str">
        <f t="shared" si="212"/>
        <v>连续下降-预警</v>
      </c>
      <c r="AU1729" s="45" t="str">
        <f t="shared" si="213"/>
        <v>唤醒：短信模板+首充补贴</v>
      </c>
    </row>
    <row r="1730" ht="15" customHeight="1" spans="1:47">
      <c r="A1730" s="30" t="s">
        <v>4403</v>
      </c>
      <c r="B1730" s="31" t="s">
        <v>4404</v>
      </c>
      <c r="C1730" s="31" t="s">
        <v>179</v>
      </c>
      <c r="D1730" s="31" t="s">
        <v>227</v>
      </c>
      <c r="E1730" s="31" t="s">
        <v>197</v>
      </c>
      <c r="F1730" s="30" t="s">
        <v>360</v>
      </c>
      <c r="G1730" s="31">
        <v>26</v>
      </c>
      <c r="H1730" s="31" t="s">
        <v>3535</v>
      </c>
      <c r="I1730" s="31" t="s">
        <v>302</v>
      </c>
      <c r="J1730" s="33">
        <v>0</v>
      </c>
      <c r="K1730" s="33">
        <v>0</v>
      </c>
      <c r="L1730" s="33">
        <v>0</v>
      </c>
      <c r="M1730" s="33">
        <f t="shared" ref="M1730:M1793" si="216">SUM(J1730:L1730)</f>
        <v>0</v>
      </c>
      <c r="N1730" s="34">
        <f t="shared" si="214"/>
        <v>0</v>
      </c>
      <c r="O1730" s="35">
        <f>SUM($M$2:M1730)</f>
        <v>190743600</v>
      </c>
      <c r="P1730" s="34">
        <f t="shared" si="215"/>
        <v>1</v>
      </c>
      <c r="Q1730" s="37">
        <v>0</v>
      </c>
      <c r="R1730" s="31">
        <v>0</v>
      </c>
      <c r="S1730" s="31">
        <v>0</v>
      </c>
      <c r="T1730" s="31">
        <v>0</v>
      </c>
      <c r="U1730" s="37">
        <v>12.9</v>
      </c>
      <c r="V1730" s="31">
        <v>9</v>
      </c>
      <c r="W1730" s="31">
        <v>2</v>
      </c>
      <c r="X1730" s="38">
        <v>26</v>
      </c>
      <c r="Y1730" s="31">
        <v>0</v>
      </c>
      <c r="Z1730" s="31">
        <v>0</v>
      </c>
      <c r="AA1730" s="31" t="s">
        <v>212</v>
      </c>
      <c r="AB1730" s="31" t="s">
        <v>220</v>
      </c>
      <c r="AC1730" s="41">
        <f>IFERROR(LOOKUP(M1730,打分卡!$F$7:$J$7,打分卡!$K$7:$O$7),1)</f>
        <v>1</v>
      </c>
      <c r="AD1730" s="41">
        <f>IFERROR(LOOKUP(S1730,打分卡!$F$8:$J$8,打分卡!$K$8:$O$8),1)</f>
        <v>1</v>
      </c>
      <c r="AE1730" s="41">
        <f>IFERROR(LOOKUP(T1730,打分卡!$F$9:$I$9,打分卡!$K$9:$N$9),1)</f>
        <v>1</v>
      </c>
      <c r="AF1730" s="41">
        <f>IFERROR(LOOKUP(Q1730,打分卡!$F$10:$J$10,打分卡!$K$10:$O$10),1)</f>
        <v>1</v>
      </c>
      <c r="AG1730" s="41">
        <f>IFERROR(LOOKUP(R1730,打分卡!$F$11:$J$11,打分卡!$K$11:$O$11),1)</f>
        <v>1</v>
      </c>
      <c r="AH1730" s="41">
        <f>IFERROR(LOOKUP(U1730,打分卡!$F$12:$J$12,打分卡!$K$12:$O$12),1)</f>
        <v>3</v>
      </c>
      <c r="AI1730" s="41">
        <f>IFERROR(LOOKUP(X1730,打分卡!$F$13:$J$13,打分卡!$K$13:$O$13),1)</f>
        <v>2</v>
      </c>
      <c r="AJ1730" s="41">
        <f>IFERROR(LOOKUP(Y1730,打分卡!$F$14:$J$14,打分卡!$K$14:$O$14),1)</f>
        <v>1</v>
      </c>
      <c r="AK1730" s="41">
        <f>IFERROR(LOOKUP(W1730,打分卡!$F$15:$J$15,打分卡!$K$15:$O$15),1)</f>
        <v>2</v>
      </c>
      <c r="AL1730" s="43">
        <f t="shared" ref="AL1730:AL1793" si="217">IF(AA1730="连续下降",1,IF(AA1730="下降",2,IF(AA1730="上升",5,3)))</f>
        <v>1</v>
      </c>
      <c r="AM1730" s="41">
        <f>IFERROR(LOOKUP(Z1730,打分卡!$F$17:$H$17,打分卡!$K$17:$M$17),1)</f>
        <v>1</v>
      </c>
      <c r="AN1730" s="44">
        <f>(打分卡!$D$7*AC1730+打分卡!$D$8*AD1730+打分卡!$D$9*AE1730)/5</f>
        <v>8</v>
      </c>
      <c r="AO1730" s="44">
        <f>(打分卡!$D$10*AF1730+打分卡!$D$11*AG1730)/5</f>
        <v>4</v>
      </c>
      <c r="AP1730" s="44">
        <f>(打分卡!$D$12*AH1730+打分卡!$D$13*AI1730+打分卡!$D$14*AJ1730+打分卡!$D$15*AK1730)/5</f>
        <v>13.2</v>
      </c>
      <c r="AQ1730" s="44">
        <f>(打分卡!$D$16*AL1730+打分卡!$D$17*AM1730)/5</f>
        <v>2</v>
      </c>
      <c r="AR1730" s="47">
        <f t="shared" ref="AR1730:AR1793" si="218">IF(G1730&lt;3,AP1730/30*40+AO1730+AP1730+AQ1730,AN1730+AO1730+AP1730+AQ1730)</f>
        <v>27.2</v>
      </c>
      <c r="AS1730" s="43" t="str">
        <f t="shared" ref="AS1730:AS1793" si="219">IF(M1730=0,IF(G1730&lt;3,"新客观察期","未激活"),IF(AR1730&gt;=90,"SKA",IF(AR1730&gt;=75,"KA",IF(AR1730&gt;=40,"腰部","基础长尾"))))</f>
        <v>未激活</v>
      </c>
      <c r="AT1730" s="43" t="str">
        <f t="shared" ref="AT1730:AT1793" si="220">IF(AA1730="连续下降","连续下降-预警","")</f>
        <v>连续下降-预警</v>
      </c>
      <c r="AU1730" s="43" t="str">
        <f t="shared" ref="AU1730:AU1793" si="221">IF(AS1730="SKA","守·共创：卡片短信/AI外呼新场景POC",IF(AS1730="KA","扩·深化：AI外呼场景深化+Push/企微补全",IF(AS1730="腰部","拉·主攻：主推AI外呼+大促作战包",IF(AS1730="新客观察期","培育：入门包+1v1场景教育",IF(AS1730="基础长尾","激活：企微+Push低成本先跑","唤醒：短信模板+首充补贴")))))</f>
        <v>唤醒：短信模板+首充补贴</v>
      </c>
    </row>
    <row r="1731" ht="15" customHeight="1" spans="1:47">
      <c r="A1731" s="20" t="s">
        <v>4405</v>
      </c>
      <c r="B1731" s="22" t="s">
        <v>4406</v>
      </c>
      <c r="C1731" s="22" t="s">
        <v>189</v>
      </c>
      <c r="D1731" s="22" t="s">
        <v>196</v>
      </c>
      <c r="E1731" s="22" t="s">
        <v>181</v>
      </c>
      <c r="F1731" s="20" t="s">
        <v>1736</v>
      </c>
      <c r="G1731" s="22">
        <v>13</v>
      </c>
      <c r="H1731" s="22" t="s">
        <v>3535</v>
      </c>
      <c r="I1731" s="22" t="s">
        <v>302</v>
      </c>
      <c r="J1731" s="36">
        <v>0</v>
      </c>
      <c r="K1731" s="36">
        <v>0</v>
      </c>
      <c r="L1731" s="36">
        <v>0</v>
      </c>
      <c r="M1731" s="36">
        <f t="shared" si="216"/>
        <v>0</v>
      </c>
      <c r="N1731" s="34">
        <f t="shared" ref="N1731:N1794" si="222">M1731/$M$2002</f>
        <v>0</v>
      </c>
      <c r="O1731" s="35">
        <f>SUM($M$2:M1731)</f>
        <v>190743600</v>
      </c>
      <c r="P1731" s="34">
        <f t="shared" ref="P1731:P1794" si="223">O1731/$M$2002</f>
        <v>1</v>
      </c>
      <c r="Q1731" s="39">
        <v>0</v>
      </c>
      <c r="R1731" s="22">
        <v>0</v>
      </c>
      <c r="S1731" s="22">
        <v>0</v>
      </c>
      <c r="T1731" s="22">
        <v>0</v>
      </c>
      <c r="U1731" s="39">
        <v>4.1</v>
      </c>
      <c r="V1731" s="22">
        <v>5</v>
      </c>
      <c r="W1731" s="22">
        <v>1</v>
      </c>
      <c r="X1731" s="40">
        <v>40</v>
      </c>
      <c r="Y1731" s="22">
        <v>0</v>
      </c>
      <c r="Z1731" s="22">
        <v>0</v>
      </c>
      <c r="AA1731" s="22" t="s">
        <v>212</v>
      </c>
      <c r="AB1731" s="22" t="s">
        <v>220</v>
      </c>
      <c r="AC1731" s="42">
        <f>IFERROR(LOOKUP(M1731,打分卡!$F$7:$J$7,打分卡!$K$7:$O$7),1)</f>
        <v>1</v>
      </c>
      <c r="AD1731" s="42">
        <f>IFERROR(LOOKUP(S1731,打分卡!$F$8:$J$8,打分卡!$K$8:$O$8),1)</f>
        <v>1</v>
      </c>
      <c r="AE1731" s="42">
        <f>IFERROR(LOOKUP(T1731,打分卡!$F$9:$I$9,打分卡!$K$9:$N$9),1)</f>
        <v>1</v>
      </c>
      <c r="AF1731" s="42">
        <f>IFERROR(LOOKUP(Q1731,打分卡!$F$10:$J$10,打分卡!$K$10:$O$10),1)</f>
        <v>1</v>
      </c>
      <c r="AG1731" s="42">
        <f>IFERROR(LOOKUP(R1731,打分卡!$F$11:$J$11,打分卡!$K$11:$O$11),1)</f>
        <v>1</v>
      </c>
      <c r="AH1731" s="42">
        <f>IFERROR(LOOKUP(U1731,打分卡!$F$12:$J$12,打分卡!$K$12:$O$12),1)</f>
        <v>2</v>
      </c>
      <c r="AI1731" s="42">
        <f>IFERROR(LOOKUP(X1731,打分卡!$F$13:$J$13,打分卡!$K$13:$O$13),1)</f>
        <v>3</v>
      </c>
      <c r="AJ1731" s="42">
        <f>IFERROR(LOOKUP(Y1731,打分卡!$F$14:$J$14,打分卡!$K$14:$O$14),1)</f>
        <v>1</v>
      </c>
      <c r="AK1731" s="42">
        <f>IFERROR(LOOKUP(W1731,打分卡!$F$15:$J$15,打分卡!$K$15:$O$15),1)</f>
        <v>2</v>
      </c>
      <c r="AL1731" s="45">
        <f t="shared" si="217"/>
        <v>1</v>
      </c>
      <c r="AM1731" s="42">
        <f>IFERROR(LOOKUP(Z1731,打分卡!$F$17:$H$17,打分卡!$K$17:$M$17),1)</f>
        <v>1</v>
      </c>
      <c r="AN1731" s="46">
        <f>(打分卡!$D$7*AC1731+打分卡!$D$8*AD1731+打分卡!$D$9*AE1731)/5</f>
        <v>8</v>
      </c>
      <c r="AO1731" s="46">
        <f>(打分卡!$D$10*AF1731+打分卡!$D$11*AG1731)/5</f>
        <v>4</v>
      </c>
      <c r="AP1731" s="46">
        <f>(打分卡!$D$12*AH1731+打分卡!$D$13*AI1731+打分卡!$D$14*AJ1731+打分卡!$D$15*AK1731)/5</f>
        <v>12.4</v>
      </c>
      <c r="AQ1731" s="46">
        <f>(打分卡!$D$16*AL1731+打分卡!$D$17*AM1731)/5</f>
        <v>2</v>
      </c>
      <c r="AR1731" s="48">
        <f t="shared" si="218"/>
        <v>26.4</v>
      </c>
      <c r="AS1731" s="45" t="str">
        <f t="shared" si="219"/>
        <v>未激活</v>
      </c>
      <c r="AT1731" s="45" t="str">
        <f t="shared" si="220"/>
        <v>连续下降-预警</v>
      </c>
      <c r="AU1731" s="45" t="str">
        <f t="shared" si="221"/>
        <v>唤醒：短信模板+首充补贴</v>
      </c>
    </row>
    <row r="1732" ht="15" customHeight="1" spans="1:47">
      <c r="A1732" s="30" t="s">
        <v>4407</v>
      </c>
      <c r="B1732" s="31" t="s">
        <v>4408</v>
      </c>
      <c r="C1732" s="31" t="s">
        <v>209</v>
      </c>
      <c r="D1732" s="31" t="s">
        <v>235</v>
      </c>
      <c r="E1732" s="31" t="s">
        <v>197</v>
      </c>
      <c r="F1732" s="30" t="s">
        <v>3785</v>
      </c>
      <c r="G1732" s="31">
        <v>18</v>
      </c>
      <c r="H1732" s="31" t="s">
        <v>3535</v>
      </c>
      <c r="I1732" s="31" t="s">
        <v>302</v>
      </c>
      <c r="J1732" s="33">
        <v>0</v>
      </c>
      <c r="K1732" s="33">
        <v>0</v>
      </c>
      <c r="L1732" s="33">
        <v>0</v>
      </c>
      <c r="M1732" s="33">
        <f t="shared" si="216"/>
        <v>0</v>
      </c>
      <c r="N1732" s="34">
        <f t="shared" si="222"/>
        <v>0</v>
      </c>
      <c r="O1732" s="35">
        <f>SUM($M$2:M1732)</f>
        <v>190743600</v>
      </c>
      <c r="P1732" s="34">
        <f t="shared" si="223"/>
        <v>1</v>
      </c>
      <c r="Q1732" s="37">
        <v>0</v>
      </c>
      <c r="R1732" s="31">
        <v>0</v>
      </c>
      <c r="S1732" s="31">
        <v>0</v>
      </c>
      <c r="T1732" s="31">
        <v>0</v>
      </c>
      <c r="U1732" s="37">
        <v>2.1</v>
      </c>
      <c r="V1732" s="31">
        <v>2</v>
      </c>
      <c r="W1732" s="31">
        <v>0</v>
      </c>
      <c r="X1732" s="38">
        <v>8</v>
      </c>
      <c r="Y1732" s="31">
        <v>0</v>
      </c>
      <c r="Z1732" s="31">
        <v>0</v>
      </c>
      <c r="AA1732" s="31" t="s">
        <v>212</v>
      </c>
      <c r="AB1732" s="31" t="s">
        <v>220</v>
      </c>
      <c r="AC1732" s="41">
        <f>IFERROR(LOOKUP(M1732,打分卡!$F$7:$J$7,打分卡!$K$7:$O$7),1)</f>
        <v>1</v>
      </c>
      <c r="AD1732" s="41">
        <f>IFERROR(LOOKUP(S1732,打分卡!$F$8:$J$8,打分卡!$K$8:$O$8),1)</f>
        <v>1</v>
      </c>
      <c r="AE1732" s="41">
        <f>IFERROR(LOOKUP(T1732,打分卡!$F$9:$I$9,打分卡!$K$9:$N$9),1)</f>
        <v>1</v>
      </c>
      <c r="AF1732" s="41">
        <f>IFERROR(LOOKUP(Q1732,打分卡!$F$10:$J$10,打分卡!$K$10:$O$10),1)</f>
        <v>1</v>
      </c>
      <c r="AG1732" s="41">
        <f>IFERROR(LOOKUP(R1732,打分卡!$F$11:$J$11,打分卡!$K$11:$O$11),1)</f>
        <v>1</v>
      </c>
      <c r="AH1732" s="41">
        <f>IFERROR(LOOKUP(U1732,打分卡!$F$12:$J$12,打分卡!$K$12:$O$12),1)</f>
        <v>1</v>
      </c>
      <c r="AI1732" s="41">
        <f>IFERROR(LOOKUP(X1732,打分卡!$F$13:$J$13,打分卡!$K$13:$O$13),1)</f>
        <v>1</v>
      </c>
      <c r="AJ1732" s="41">
        <f>IFERROR(LOOKUP(Y1732,打分卡!$F$14:$J$14,打分卡!$K$14:$O$14),1)</f>
        <v>1</v>
      </c>
      <c r="AK1732" s="41">
        <f>IFERROR(LOOKUP(W1732,打分卡!$F$15:$J$15,打分卡!$K$15:$O$15),1)</f>
        <v>1</v>
      </c>
      <c r="AL1732" s="43">
        <f t="shared" si="217"/>
        <v>1</v>
      </c>
      <c r="AM1732" s="41">
        <f>IFERROR(LOOKUP(Z1732,打分卡!$F$17:$H$17,打分卡!$K$17:$M$17),1)</f>
        <v>1</v>
      </c>
      <c r="AN1732" s="44">
        <f>(打分卡!$D$7*AC1732+打分卡!$D$8*AD1732+打分卡!$D$9*AE1732)/5</f>
        <v>8</v>
      </c>
      <c r="AO1732" s="44">
        <f>(打分卡!$D$10*AF1732+打分卡!$D$11*AG1732)/5</f>
        <v>4</v>
      </c>
      <c r="AP1732" s="44">
        <f>(打分卡!$D$12*AH1732+打分卡!$D$13*AI1732+打分卡!$D$14*AJ1732+打分卡!$D$15*AK1732)/5</f>
        <v>6</v>
      </c>
      <c r="AQ1732" s="44">
        <f>(打分卡!$D$16*AL1732+打分卡!$D$17*AM1732)/5</f>
        <v>2</v>
      </c>
      <c r="AR1732" s="47">
        <f t="shared" si="218"/>
        <v>20</v>
      </c>
      <c r="AS1732" s="43" t="str">
        <f t="shared" si="219"/>
        <v>未激活</v>
      </c>
      <c r="AT1732" s="43" t="str">
        <f t="shared" si="220"/>
        <v>连续下降-预警</v>
      </c>
      <c r="AU1732" s="43" t="str">
        <f t="shared" si="221"/>
        <v>唤醒：短信模板+首充补贴</v>
      </c>
    </row>
    <row r="1733" ht="15" customHeight="1" spans="1:47">
      <c r="A1733" s="20" t="s">
        <v>4409</v>
      </c>
      <c r="B1733" s="22" t="s">
        <v>4410</v>
      </c>
      <c r="C1733" s="22" t="s">
        <v>209</v>
      </c>
      <c r="D1733" s="22" t="s">
        <v>202</v>
      </c>
      <c r="E1733" s="22" t="s">
        <v>181</v>
      </c>
      <c r="F1733" s="20" t="s">
        <v>1659</v>
      </c>
      <c r="G1733" s="22">
        <v>18</v>
      </c>
      <c r="H1733" s="22" t="s">
        <v>3535</v>
      </c>
      <c r="I1733" s="22" t="s">
        <v>302</v>
      </c>
      <c r="J1733" s="36">
        <v>0</v>
      </c>
      <c r="K1733" s="36">
        <v>0</v>
      </c>
      <c r="L1733" s="36">
        <v>0</v>
      </c>
      <c r="M1733" s="36">
        <f t="shared" si="216"/>
        <v>0</v>
      </c>
      <c r="N1733" s="34">
        <f t="shared" si="222"/>
        <v>0</v>
      </c>
      <c r="O1733" s="35">
        <f>SUM($M$2:M1733)</f>
        <v>190743600</v>
      </c>
      <c r="P1733" s="34">
        <f t="shared" si="223"/>
        <v>1</v>
      </c>
      <c r="Q1733" s="39">
        <v>0</v>
      </c>
      <c r="R1733" s="22">
        <v>0</v>
      </c>
      <c r="S1733" s="22">
        <v>0</v>
      </c>
      <c r="T1733" s="22">
        <v>0</v>
      </c>
      <c r="U1733" s="39">
        <v>14.3</v>
      </c>
      <c r="V1733" s="22">
        <v>13</v>
      </c>
      <c r="W1733" s="22">
        <v>1</v>
      </c>
      <c r="X1733" s="40">
        <v>37</v>
      </c>
      <c r="Y1733" s="22">
        <v>0</v>
      </c>
      <c r="Z1733" s="22">
        <v>0</v>
      </c>
      <c r="AA1733" s="22" t="s">
        <v>212</v>
      </c>
      <c r="AB1733" s="22" t="s">
        <v>220</v>
      </c>
      <c r="AC1733" s="42">
        <f>IFERROR(LOOKUP(M1733,打分卡!$F$7:$J$7,打分卡!$K$7:$O$7),1)</f>
        <v>1</v>
      </c>
      <c r="AD1733" s="42">
        <f>IFERROR(LOOKUP(S1733,打分卡!$F$8:$J$8,打分卡!$K$8:$O$8),1)</f>
        <v>1</v>
      </c>
      <c r="AE1733" s="42">
        <f>IFERROR(LOOKUP(T1733,打分卡!$F$9:$I$9,打分卡!$K$9:$N$9),1)</f>
        <v>1</v>
      </c>
      <c r="AF1733" s="42">
        <f>IFERROR(LOOKUP(Q1733,打分卡!$F$10:$J$10,打分卡!$K$10:$O$10),1)</f>
        <v>1</v>
      </c>
      <c r="AG1733" s="42">
        <f>IFERROR(LOOKUP(R1733,打分卡!$F$11:$J$11,打分卡!$K$11:$O$11),1)</f>
        <v>1</v>
      </c>
      <c r="AH1733" s="42">
        <f>IFERROR(LOOKUP(U1733,打分卡!$F$12:$J$12,打分卡!$K$12:$O$12),1)</f>
        <v>3</v>
      </c>
      <c r="AI1733" s="42">
        <f>IFERROR(LOOKUP(X1733,打分卡!$F$13:$J$13,打分卡!$K$13:$O$13),1)</f>
        <v>2</v>
      </c>
      <c r="AJ1733" s="42">
        <f>IFERROR(LOOKUP(Y1733,打分卡!$F$14:$J$14,打分卡!$K$14:$O$14),1)</f>
        <v>1</v>
      </c>
      <c r="AK1733" s="42">
        <f>IFERROR(LOOKUP(W1733,打分卡!$F$15:$J$15,打分卡!$K$15:$O$15),1)</f>
        <v>2</v>
      </c>
      <c r="AL1733" s="45">
        <f t="shared" si="217"/>
        <v>1</v>
      </c>
      <c r="AM1733" s="42">
        <f>IFERROR(LOOKUP(Z1733,打分卡!$F$17:$H$17,打分卡!$K$17:$M$17),1)</f>
        <v>1</v>
      </c>
      <c r="AN1733" s="46">
        <f>(打分卡!$D$7*AC1733+打分卡!$D$8*AD1733+打分卡!$D$9*AE1733)/5</f>
        <v>8</v>
      </c>
      <c r="AO1733" s="46">
        <f>(打分卡!$D$10*AF1733+打分卡!$D$11*AG1733)/5</f>
        <v>4</v>
      </c>
      <c r="AP1733" s="46">
        <f>(打分卡!$D$12*AH1733+打分卡!$D$13*AI1733+打分卡!$D$14*AJ1733+打分卡!$D$15*AK1733)/5</f>
        <v>13.2</v>
      </c>
      <c r="AQ1733" s="46">
        <f>(打分卡!$D$16*AL1733+打分卡!$D$17*AM1733)/5</f>
        <v>2</v>
      </c>
      <c r="AR1733" s="48">
        <f t="shared" si="218"/>
        <v>27.2</v>
      </c>
      <c r="AS1733" s="45" t="str">
        <f t="shared" si="219"/>
        <v>未激活</v>
      </c>
      <c r="AT1733" s="45" t="str">
        <f t="shared" si="220"/>
        <v>连续下降-预警</v>
      </c>
      <c r="AU1733" s="45" t="str">
        <f t="shared" si="221"/>
        <v>唤醒：短信模板+首充补贴</v>
      </c>
    </row>
    <row r="1734" ht="15" customHeight="1" spans="1:47">
      <c r="A1734" s="30" t="s">
        <v>4411</v>
      </c>
      <c r="B1734" s="31" t="s">
        <v>4412</v>
      </c>
      <c r="C1734" s="31" t="s">
        <v>189</v>
      </c>
      <c r="D1734" s="31" t="s">
        <v>190</v>
      </c>
      <c r="E1734" s="31" t="s">
        <v>181</v>
      </c>
      <c r="F1734" s="30" t="s">
        <v>439</v>
      </c>
      <c r="G1734" s="31">
        <v>22</v>
      </c>
      <c r="H1734" s="31" t="s">
        <v>3535</v>
      </c>
      <c r="I1734" s="31" t="s">
        <v>302</v>
      </c>
      <c r="J1734" s="33">
        <v>0</v>
      </c>
      <c r="K1734" s="33">
        <v>0</v>
      </c>
      <c r="L1734" s="33">
        <v>0</v>
      </c>
      <c r="M1734" s="33">
        <f t="shared" si="216"/>
        <v>0</v>
      </c>
      <c r="N1734" s="34">
        <f t="shared" si="222"/>
        <v>0</v>
      </c>
      <c r="O1734" s="35">
        <f>SUM($M$2:M1734)</f>
        <v>190743600</v>
      </c>
      <c r="P1734" s="34">
        <f t="shared" si="223"/>
        <v>1</v>
      </c>
      <c r="Q1734" s="37">
        <v>0</v>
      </c>
      <c r="R1734" s="31">
        <v>0</v>
      </c>
      <c r="S1734" s="31">
        <v>0</v>
      </c>
      <c r="T1734" s="31">
        <v>0</v>
      </c>
      <c r="U1734" s="37">
        <v>0.5</v>
      </c>
      <c r="V1734" s="31">
        <v>5</v>
      </c>
      <c r="W1734" s="31">
        <v>0</v>
      </c>
      <c r="X1734" s="38">
        <v>6</v>
      </c>
      <c r="Y1734" s="31">
        <v>1</v>
      </c>
      <c r="Z1734" s="31">
        <v>0</v>
      </c>
      <c r="AA1734" s="31" t="s">
        <v>212</v>
      </c>
      <c r="AB1734" s="31" t="s">
        <v>220</v>
      </c>
      <c r="AC1734" s="41">
        <f>IFERROR(LOOKUP(M1734,打分卡!$F$7:$J$7,打分卡!$K$7:$O$7),1)</f>
        <v>1</v>
      </c>
      <c r="AD1734" s="41">
        <f>IFERROR(LOOKUP(S1734,打分卡!$F$8:$J$8,打分卡!$K$8:$O$8),1)</f>
        <v>1</v>
      </c>
      <c r="AE1734" s="41">
        <f>IFERROR(LOOKUP(T1734,打分卡!$F$9:$I$9,打分卡!$K$9:$N$9),1)</f>
        <v>1</v>
      </c>
      <c r="AF1734" s="41">
        <f>IFERROR(LOOKUP(Q1734,打分卡!$F$10:$J$10,打分卡!$K$10:$O$10),1)</f>
        <v>1</v>
      </c>
      <c r="AG1734" s="41">
        <f>IFERROR(LOOKUP(R1734,打分卡!$F$11:$J$11,打分卡!$K$11:$O$11),1)</f>
        <v>1</v>
      </c>
      <c r="AH1734" s="41">
        <f>IFERROR(LOOKUP(U1734,打分卡!$F$12:$J$12,打分卡!$K$12:$O$12),1)</f>
        <v>1</v>
      </c>
      <c r="AI1734" s="41">
        <f>IFERROR(LOOKUP(X1734,打分卡!$F$13:$J$13,打分卡!$K$13:$O$13),1)</f>
        <v>1</v>
      </c>
      <c r="AJ1734" s="41">
        <f>IFERROR(LOOKUP(Y1734,打分卡!$F$14:$J$14,打分卡!$K$14:$O$14),1)</f>
        <v>2</v>
      </c>
      <c r="AK1734" s="41">
        <f>IFERROR(LOOKUP(W1734,打分卡!$F$15:$J$15,打分卡!$K$15:$O$15),1)</f>
        <v>1</v>
      </c>
      <c r="AL1734" s="43">
        <f t="shared" si="217"/>
        <v>1</v>
      </c>
      <c r="AM1734" s="41">
        <f>IFERROR(LOOKUP(Z1734,打分卡!$F$17:$H$17,打分卡!$K$17:$M$17),1)</f>
        <v>1</v>
      </c>
      <c r="AN1734" s="44">
        <f>(打分卡!$D$7*AC1734+打分卡!$D$8*AD1734+打分卡!$D$9*AE1734)/5</f>
        <v>8</v>
      </c>
      <c r="AO1734" s="44">
        <f>(打分卡!$D$10*AF1734+打分卡!$D$11*AG1734)/5</f>
        <v>4</v>
      </c>
      <c r="AP1734" s="44">
        <f>(打分卡!$D$12*AH1734+打分卡!$D$13*AI1734+打分卡!$D$14*AJ1734+打分卡!$D$15*AK1734)/5</f>
        <v>7.2</v>
      </c>
      <c r="AQ1734" s="44">
        <f>(打分卡!$D$16*AL1734+打分卡!$D$17*AM1734)/5</f>
        <v>2</v>
      </c>
      <c r="AR1734" s="47">
        <f t="shared" si="218"/>
        <v>21.2</v>
      </c>
      <c r="AS1734" s="43" t="str">
        <f t="shared" si="219"/>
        <v>未激活</v>
      </c>
      <c r="AT1734" s="43" t="str">
        <f t="shared" si="220"/>
        <v>连续下降-预警</v>
      </c>
      <c r="AU1734" s="43" t="str">
        <f t="shared" si="221"/>
        <v>唤醒：短信模板+首充补贴</v>
      </c>
    </row>
    <row r="1735" ht="15" customHeight="1" spans="1:47">
      <c r="A1735" s="20" t="s">
        <v>4413</v>
      </c>
      <c r="B1735" s="22" t="s">
        <v>4414</v>
      </c>
      <c r="C1735" s="22" t="s">
        <v>179</v>
      </c>
      <c r="D1735" s="22" t="s">
        <v>252</v>
      </c>
      <c r="E1735" s="22" t="s">
        <v>197</v>
      </c>
      <c r="F1735" s="20" t="s">
        <v>2132</v>
      </c>
      <c r="G1735" s="22">
        <v>15</v>
      </c>
      <c r="H1735" s="22" t="s">
        <v>3535</v>
      </c>
      <c r="I1735" s="22" t="s">
        <v>302</v>
      </c>
      <c r="J1735" s="36">
        <v>0</v>
      </c>
      <c r="K1735" s="36">
        <v>0</v>
      </c>
      <c r="L1735" s="36">
        <v>0</v>
      </c>
      <c r="M1735" s="36">
        <f t="shared" si="216"/>
        <v>0</v>
      </c>
      <c r="N1735" s="34">
        <f t="shared" si="222"/>
        <v>0</v>
      </c>
      <c r="O1735" s="35">
        <f>SUM($M$2:M1735)</f>
        <v>190743600</v>
      </c>
      <c r="P1735" s="34">
        <f t="shared" si="223"/>
        <v>1</v>
      </c>
      <c r="Q1735" s="39">
        <v>0</v>
      </c>
      <c r="R1735" s="22">
        <v>0</v>
      </c>
      <c r="S1735" s="22">
        <v>0</v>
      </c>
      <c r="T1735" s="22">
        <v>0</v>
      </c>
      <c r="U1735" s="39">
        <v>0.6</v>
      </c>
      <c r="V1735" s="22">
        <v>9</v>
      </c>
      <c r="W1735" s="22">
        <v>2</v>
      </c>
      <c r="X1735" s="40">
        <v>8</v>
      </c>
      <c r="Y1735" s="22">
        <v>1</v>
      </c>
      <c r="Z1735" s="22">
        <v>0</v>
      </c>
      <c r="AA1735" s="22" t="s">
        <v>212</v>
      </c>
      <c r="AB1735" s="22" t="s">
        <v>220</v>
      </c>
      <c r="AC1735" s="42">
        <f>IFERROR(LOOKUP(M1735,打分卡!$F$7:$J$7,打分卡!$K$7:$O$7),1)</f>
        <v>1</v>
      </c>
      <c r="AD1735" s="42">
        <f>IFERROR(LOOKUP(S1735,打分卡!$F$8:$J$8,打分卡!$K$8:$O$8),1)</f>
        <v>1</v>
      </c>
      <c r="AE1735" s="42">
        <f>IFERROR(LOOKUP(T1735,打分卡!$F$9:$I$9,打分卡!$K$9:$N$9),1)</f>
        <v>1</v>
      </c>
      <c r="AF1735" s="42">
        <f>IFERROR(LOOKUP(Q1735,打分卡!$F$10:$J$10,打分卡!$K$10:$O$10),1)</f>
        <v>1</v>
      </c>
      <c r="AG1735" s="42">
        <f>IFERROR(LOOKUP(R1735,打分卡!$F$11:$J$11,打分卡!$K$11:$O$11),1)</f>
        <v>1</v>
      </c>
      <c r="AH1735" s="42">
        <f>IFERROR(LOOKUP(U1735,打分卡!$F$12:$J$12,打分卡!$K$12:$O$12),1)</f>
        <v>1</v>
      </c>
      <c r="AI1735" s="42">
        <f>IFERROR(LOOKUP(X1735,打分卡!$F$13:$J$13,打分卡!$K$13:$O$13),1)</f>
        <v>1</v>
      </c>
      <c r="AJ1735" s="42">
        <f>IFERROR(LOOKUP(Y1735,打分卡!$F$14:$J$14,打分卡!$K$14:$O$14),1)</f>
        <v>2</v>
      </c>
      <c r="AK1735" s="42">
        <f>IFERROR(LOOKUP(W1735,打分卡!$F$15:$J$15,打分卡!$K$15:$O$15),1)</f>
        <v>2</v>
      </c>
      <c r="AL1735" s="45">
        <f t="shared" si="217"/>
        <v>1</v>
      </c>
      <c r="AM1735" s="42">
        <f>IFERROR(LOOKUP(Z1735,打分卡!$F$17:$H$17,打分卡!$K$17:$M$17),1)</f>
        <v>1</v>
      </c>
      <c r="AN1735" s="46">
        <f>(打分卡!$D$7*AC1735+打分卡!$D$8*AD1735+打分卡!$D$9*AE1735)/5</f>
        <v>8</v>
      </c>
      <c r="AO1735" s="46">
        <f>(打分卡!$D$10*AF1735+打分卡!$D$11*AG1735)/5</f>
        <v>4</v>
      </c>
      <c r="AP1735" s="46">
        <f>(打分卡!$D$12*AH1735+打分卡!$D$13*AI1735+打分卡!$D$14*AJ1735+打分卡!$D$15*AK1735)/5</f>
        <v>8</v>
      </c>
      <c r="AQ1735" s="46">
        <f>(打分卡!$D$16*AL1735+打分卡!$D$17*AM1735)/5</f>
        <v>2</v>
      </c>
      <c r="AR1735" s="48">
        <f t="shared" si="218"/>
        <v>22</v>
      </c>
      <c r="AS1735" s="45" t="str">
        <f t="shared" si="219"/>
        <v>未激活</v>
      </c>
      <c r="AT1735" s="45" t="str">
        <f t="shared" si="220"/>
        <v>连续下降-预警</v>
      </c>
      <c r="AU1735" s="45" t="str">
        <f t="shared" si="221"/>
        <v>唤醒：短信模板+首充补贴</v>
      </c>
    </row>
    <row r="1736" ht="15" customHeight="1" spans="1:47">
      <c r="A1736" s="30" t="s">
        <v>4415</v>
      </c>
      <c r="B1736" s="31" t="s">
        <v>4416</v>
      </c>
      <c r="C1736" s="31" t="s">
        <v>223</v>
      </c>
      <c r="D1736" s="31" t="s">
        <v>196</v>
      </c>
      <c r="E1736" s="31" t="s">
        <v>197</v>
      </c>
      <c r="F1736" s="30" t="s">
        <v>4417</v>
      </c>
      <c r="G1736" s="31">
        <v>30</v>
      </c>
      <c r="H1736" s="31" t="s">
        <v>3535</v>
      </c>
      <c r="I1736" s="31" t="s">
        <v>302</v>
      </c>
      <c r="J1736" s="33">
        <v>0</v>
      </c>
      <c r="K1736" s="33">
        <v>0</v>
      </c>
      <c r="L1736" s="33">
        <v>0</v>
      </c>
      <c r="M1736" s="33">
        <f t="shared" si="216"/>
        <v>0</v>
      </c>
      <c r="N1736" s="34">
        <f t="shared" si="222"/>
        <v>0</v>
      </c>
      <c r="O1736" s="35">
        <f>SUM($M$2:M1736)</f>
        <v>190743600</v>
      </c>
      <c r="P1736" s="34">
        <f t="shared" si="223"/>
        <v>1</v>
      </c>
      <c r="Q1736" s="37">
        <v>0</v>
      </c>
      <c r="R1736" s="31">
        <v>0</v>
      </c>
      <c r="S1736" s="31">
        <v>0</v>
      </c>
      <c r="T1736" s="31">
        <v>0</v>
      </c>
      <c r="U1736" s="37">
        <v>5.2</v>
      </c>
      <c r="V1736" s="31">
        <v>6</v>
      </c>
      <c r="W1736" s="31">
        <v>0</v>
      </c>
      <c r="X1736" s="38">
        <v>35</v>
      </c>
      <c r="Y1736" s="31">
        <v>0</v>
      </c>
      <c r="Z1736" s="31">
        <v>0</v>
      </c>
      <c r="AA1736" s="31" t="s">
        <v>212</v>
      </c>
      <c r="AB1736" s="31" t="s">
        <v>220</v>
      </c>
      <c r="AC1736" s="41">
        <f>IFERROR(LOOKUP(M1736,打分卡!$F$7:$J$7,打分卡!$K$7:$O$7),1)</f>
        <v>1</v>
      </c>
      <c r="AD1736" s="41">
        <f>IFERROR(LOOKUP(S1736,打分卡!$F$8:$J$8,打分卡!$K$8:$O$8),1)</f>
        <v>1</v>
      </c>
      <c r="AE1736" s="41">
        <f>IFERROR(LOOKUP(T1736,打分卡!$F$9:$I$9,打分卡!$K$9:$N$9),1)</f>
        <v>1</v>
      </c>
      <c r="AF1736" s="41">
        <f>IFERROR(LOOKUP(Q1736,打分卡!$F$10:$J$10,打分卡!$K$10:$O$10),1)</f>
        <v>1</v>
      </c>
      <c r="AG1736" s="41">
        <f>IFERROR(LOOKUP(R1736,打分卡!$F$11:$J$11,打分卡!$K$11:$O$11),1)</f>
        <v>1</v>
      </c>
      <c r="AH1736" s="41">
        <f>IFERROR(LOOKUP(U1736,打分卡!$F$12:$J$12,打分卡!$K$12:$O$12),1)</f>
        <v>2</v>
      </c>
      <c r="AI1736" s="41">
        <f>IFERROR(LOOKUP(X1736,打分卡!$F$13:$J$13,打分卡!$K$13:$O$13),1)</f>
        <v>2</v>
      </c>
      <c r="AJ1736" s="41">
        <f>IFERROR(LOOKUP(Y1736,打分卡!$F$14:$J$14,打分卡!$K$14:$O$14),1)</f>
        <v>1</v>
      </c>
      <c r="AK1736" s="41">
        <f>IFERROR(LOOKUP(W1736,打分卡!$F$15:$J$15,打分卡!$K$15:$O$15),1)</f>
        <v>1</v>
      </c>
      <c r="AL1736" s="43">
        <f t="shared" si="217"/>
        <v>1</v>
      </c>
      <c r="AM1736" s="41">
        <f>IFERROR(LOOKUP(Z1736,打分卡!$F$17:$H$17,打分卡!$K$17:$M$17),1)</f>
        <v>1</v>
      </c>
      <c r="AN1736" s="44">
        <f>(打分卡!$D$7*AC1736+打分卡!$D$8*AD1736+打分卡!$D$9*AE1736)/5</f>
        <v>8</v>
      </c>
      <c r="AO1736" s="44">
        <f>(打分卡!$D$10*AF1736+打分卡!$D$11*AG1736)/5</f>
        <v>4</v>
      </c>
      <c r="AP1736" s="44">
        <f>(打分卡!$D$12*AH1736+打分卡!$D$13*AI1736+打分卡!$D$14*AJ1736+打分卡!$D$15*AK1736)/5</f>
        <v>10</v>
      </c>
      <c r="AQ1736" s="44">
        <f>(打分卡!$D$16*AL1736+打分卡!$D$17*AM1736)/5</f>
        <v>2</v>
      </c>
      <c r="AR1736" s="47">
        <f t="shared" si="218"/>
        <v>24</v>
      </c>
      <c r="AS1736" s="43" t="str">
        <f t="shared" si="219"/>
        <v>未激活</v>
      </c>
      <c r="AT1736" s="43" t="str">
        <f t="shared" si="220"/>
        <v>连续下降-预警</v>
      </c>
      <c r="AU1736" s="43" t="str">
        <f t="shared" si="221"/>
        <v>唤醒：短信模板+首充补贴</v>
      </c>
    </row>
    <row r="1737" ht="15" customHeight="1" spans="1:47">
      <c r="A1737" s="20" t="s">
        <v>4418</v>
      </c>
      <c r="B1737" s="22" t="s">
        <v>4419</v>
      </c>
      <c r="C1737" s="22" t="s">
        <v>239</v>
      </c>
      <c r="D1737" s="22" t="s">
        <v>180</v>
      </c>
      <c r="E1737" s="22" t="s">
        <v>197</v>
      </c>
      <c r="F1737" s="20" t="s">
        <v>4420</v>
      </c>
      <c r="G1737" s="22">
        <v>15</v>
      </c>
      <c r="H1737" s="22" t="s">
        <v>3535</v>
      </c>
      <c r="I1737" s="22" t="s">
        <v>302</v>
      </c>
      <c r="J1737" s="36">
        <v>0</v>
      </c>
      <c r="K1737" s="36">
        <v>0</v>
      </c>
      <c r="L1737" s="36">
        <v>0</v>
      </c>
      <c r="M1737" s="36">
        <f t="shared" si="216"/>
        <v>0</v>
      </c>
      <c r="N1737" s="34">
        <f t="shared" si="222"/>
        <v>0</v>
      </c>
      <c r="O1737" s="35">
        <f>SUM($M$2:M1737)</f>
        <v>190743600</v>
      </c>
      <c r="P1737" s="34">
        <f t="shared" si="223"/>
        <v>1</v>
      </c>
      <c r="Q1737" s="39">
        <v>0</v>
      </c>
      <c r="R1737" s="22">
        <v>0</v>
      </c>
      <c r="S1737" s="22">
        <v>0</v>
      </c>
      <c r="T1737" s="22">
        <v>0</v>
      </c>
      <c r="U1737" s="39">
        <v>2.5</v>
      </c>
      <c r="V1737" s="22">
        <v>2</v>
      </c>
      <c r="W1737" s="22">
        <v>1</v>
      </c>
      <c r="X1737" s="40">
        <v>74</v>
      </c>
      <c r="Y1737" s="22">
        <v>0</v>
      </c>
      <c r="Z1737" s="22">
        <v>0</v>
      </c>
      <c r="AA1737" s="22" t="s">
        <v>212</v>
      </c>
      <c r="AB1737" s="22" t="s">
        <v>220</v>
      </c>
      <c r="AC1737" s="42">
        <f>IFERROR(LOOKUP(M1737,打分卡!$F$7:$J$7,打分卡!$K$7:$O$7),1)</f>
        <v>1</v>
      </c>
      <c r="AD1737" s="42">
        <f>IFERROR(LOOKUP(S1737,打分卡!$F$8:$J$8,打分卡!$K$8:$O$8),1)</f>
        <v>1</v>
      </c>
      <c r="AE1737" s="42">
        <f>IFERROR(LOOKUP(T1737,打分卡!$F$9:$I$9,打分卡!$K$9:$N$9),1)</f>
        <v>1</v>
      </c>
      <c r="AF1737" s="42">
        <f>IFERROR(LOOKUP(Q1737,打分卡!$F$10:$J$10,打分卡!$K$10:$O$10),1)</f>
        <v>1</v>
      </c>
      <c r="AG1737" s="42">
        <f>IFERROR(LOOKUP(R1737,打分卡!$F$11:$J$11,打分卡!$K$11:$O$11),1)</f>
        <v>1</v>
      </c>
      <c r="AH1737" s="42">
        <f>IFERROR(LOOKUP(U1737,打分卡!$F$12:$J$12,打分卡!$K$12:$O$12),1)</f>
        <v>1</v>
      </c>
      <c r="AI1737" s="42">
        <f>IFERROR(LOOKUP(X1737,打分卡!$F$13:$J$13,打分卡!$K$13:$O$13),1)</f>
        <v>3</v>
      </c>
      <c r="AJ1737" s="42">
        <f>IFERROR(LOOKUP(Y1737,打分卡!$F$14:$J$14,打分卡!$K$14:$O$14),1)</f>
        <v>1</v>
      </c>
      <c r="AK1737" s="42">
        <f>IFERROR(LOOKUP(W1737,打分卡!$F$15:$J$15,打分卡!$K$15:$O$15),1)</f>
        <v>2</v>
      </c>
      <c r="AL1737" s="45">
        <f t="shared" si="217"/>
        <v>1</v>
      </c>
      <c r="AM1737" s="42">
        <f>IFERROR(LOOKUP(Z1737,打分卡!$F$17:$H$17,打分卡!$K$17:$M$17),1)</f>
        <v>1</v>
      </c>
      <c r="AN1737" s="46">
        <f>(打分卡!$D$7*AC1737+打分卡!$D$8*AD1737+打分卡!$D$9*AE1737)/5</f>
        <v>8</v>
      </c>
      <c r="AO1737" s="46">
        <f>(打分卡!$D$10*AF1737+打分卡!$D$11*AG1737)/5</f>
        <v>4</v>
      </c>
      <c r="AP1737" s="46">
        <f>(打分卡!$D$12*AH1737+打分卡!$D$13*AI1737+打分卡!$D$14*AJ1737+打分卡!$D$15*AK1737)/5</f>
        <v>10</v>
      </c>
      <c r="AQ1737" s="46">
        <f>(打分卡!$D$16*AL1737+打分卡!$D$17*AM1737)/5</f>
        <v>2</v>
      </c>
      <c r="AR1737" s="48">
        <f t="shared" si="218"/>
        <v>24</v>
      </c>
      <c r="AS1737" s="45" t="str">
        <f t="shared" si="219"/>
        <v>未激活</v>
      </c>
      <c r="AT1737" s="45" t="str">
        <f t="shared" si="220"/>
        <v>连续下降-预警</v>
      </c>
      <c r="AU1737" s="45" t="str">
        <f t="shared" si="221"/>
        <v>唤醒：短信模板+首充补贴</v>
      </c>
    </row>
    <row r="1738" ht="15" customHeight="1" spans="1:47">
      <c r="A1738" s="30" t="s">
        <v>4421</v>
      </c>
      <c r="B1738" s="31" t="s">
        <v>4422</v>
      </c>
      <c r="C1738" s="31" t="s">
        <v>223</v>
      </c>
      <c r="D1738" s="31" t="s">
        <v>227</v>
      </c>
      <c r="E1738" s="31" t="s">
        <v>197</v>
      </c>
      <c r="F1738" s="30" t="s">
        <v>4423</v>
      </c>
      <c r="G1738" s="31">
        <v>34</v>
      </c>
      <c r="H1738" s="31" t="s">
        <v>3535</v>
      </c>
      <c r="I1738" s="31" t="s">
        <v>302</v>
      </c>
      <c r="J1738" s="33">
        <v>0</v>
      </c>
      <c r="K1738" s="33">
        <v>0</v>
      </c>
      <c r="L1738" s="33">
        <v>0</v>
      </c>
      <c r="M1738" s="33">
        <f t="shared" si="216"/>
        <v>0</v>
      </c>
      <c r="N1738" s="34">
        <f t="shared" si="222"/>
        <v>0</v>
      </c>
      <c r="O1738" s="35">
        <f>SUM($M$2:M1738)</f>
        <v>190743600</v>
      </c>
      <c r="P1738" s="34">
        <f t="shared" si="223"/>
        <v>1</v>
      </c>
      <c r="Q1738" s="37">
        <v>0</v>
      </c>
      <c r="R1738" s="31">
        <v>0</v>
      </c>
      <c r="S1738" s="31">
        <v>0</v>
      </c>
      <c r="T1738" s="31">
        <v>0</v>
      </c>
      <c r="U1738" s="37">
        <v>0.8</v>
      </c>
      <c r="V1738" s="31">
        <v>7</v>
      </c>
      <c r="W1738" s="31">
        <v>0</v>
      </c>
      <c r="X1738" s="38">
        <v>6</v>
      </c>
      <c r="Y1738" s="31">
        <v>0</v>
      </c>
      <c r="Z1738" s="31">
        <v>0</v>
      </c>
      <c r="AA1738" s="31" t="s">
        <v>212</v>
      </c>
      <c r="AB1738" s="31" t="s">
        <v>220</v>
      </c>
      <c r="AC1738" s="41">
        <f>IFERROR(LOOKUP(M1738,打分卡!$F$7:$J$7,打分卡!$K$7:$O$7),1)</f>
        <v>1</v>
      </c>
      <c r="AD1738" s="41">
        <f>IFERROR(LOOKUP(S1738,打分卡!$F$8:$J$8,打分卡!$K$8:$O$8),1)</f>
        <v>1</v>
      </c>
      <c r="AE1738" s="41">
        <f>IFERROR(LOOKUP(T1738,打分卡!$F$9:$I$9,打分卡!$K$9:$N$9),1)</f>
        <v>1</v>
      </c>
      <c r="AF1738" s="41">
        <f>IFERROR(LOOKUP(Q1738,打分卡!$F$10:$J$10,打分卡!$K$10:$O$10),1)</f>
        <v>1</v>
      </c>
      <c r="AG1738" s="41">
        <f>IFERROR(LOOKUP(R1738,打分卡!$F$11:$J$11,打分卡!$K$11:$O$11),1)</f>
        <v>1</v>
      </c>
      <c r="AH1738" s="41">
        <f>IFERROR(LOOKUP(U1738,打分卡!$F$12:$J$12,打分卡!$K$12:$O$12),1)</f>
        <v>1</v>
      </c>
      <c r="AI1738" s="41">
        <f>IFERROR(LOOKUP(X1738,打分卡!$F$13:$J$13,打分卡!$K$13:$O$13),1)</f>
        <v>1</v>
      </c>
      <c r="AJ1738" s="41">
        <f>IFERROR(LOOKUP(Y1738,打分卡!$F$14:$J$14,打分卡!$K$14:$O$14),1)</f>
        <v>1</v>
      </c>
      <c r="AK1738" s="41">
        <f>IFERROR(LOOKUP(W1738,打分卡!$F$15:$J$15,打分卡!$K$15:$O$15),1)</f>
        <v>1</v>
      </c>
      <c r="AL1738" s="43">
        <f t="shared" si="217"/>
        <v>1</v>
      </c>
      <c r="AM1738" s="41">
        <f>IFERROR(LOOKUP(Z1738,打分卡!$F$17:$H$17,打分卡!$K$17:$M$17),1)</f>
        <v>1</v>
      </c>
      <c r="AN1738" s="44">
        <f>(打分卡!$D$7*AC1738+打分卡!$D$8*AD1738+打分卡!$D$9*AE1738)/5</f>
        <v>8</v>
      </c>
      <c r="AO1738" s="44">
        <f>(打分卡!$D$10*AF1738+打分卡!$D$11*AG1738)/5</f>
        <v>4</v>
      </c>
      <c r="AP1738" s="44">
        <f>(打分卡!$D$12*AH1738+打分卡!$D$13*AI1738+打分卡!$D$14*AJ1738+打分卡!$D$15*AK1738)/5</f>
        <v>6</v>
      </c>
      <c r="AQ1738" s="44">
        <f>(打分卡!$D$16*AL1738+打分卡!$D$17*AM1738)/5</f>
        <v>2</v>
      </c>
      <c r="AR1738" s="47">
        <f t="shared" si="218"/>
        <v>20</v>
      </c>
      <c r="AS1738" s="43" t="str">
        <f t="shared" si="219"/>
        <v>未激活</v>
      </c>
      <c r="AT1738" s="43" t="str">
        <f t="shared" si="220"/>
        <v>连续下降-预警</v>
      </c>
      <c r="AU1738" s="43" t="str">
        <f t="shared" si="221"/>
        <v>唤醒：短信模板+首充补贴</v>
      </c>
    </row>
    <row r="1739" ht="15" customHeight="1" spans="1:47">
      <c r="A1739" s="20" t="s">
        <v>4424</v>
      </c>
      <c r="B1739" s="22" t="s">
        <v>4425</v>
      </c>
      <c r="C1739" s="22" t="s">
        <v>189</v>
      </c>
      <c r="D1739" s="22" t="s">
        <v>190</v>
      </c>
      <c r="E1739" s="22" t="s">
        <v>181</v>
      </c>
      <c r="F1739" s="20" t="s">
        <v>4426</v>
      </c>
      <c r="G1739" s="22">
        <v>32</v>
      </c>
      <c r="H1739" s="22" t="s">
        <v>3535</v>
      </c>
      <c r="I1739" s="22" t="s">
        <v>302</v>
      </c>
      <c r="J1739" s="36">
        <v>0</v>
      </c>
      <c r="K1739" s="36">
        <v>0</v>
      </c>
      <c r="L1739" s="36">
        <v>0</v>
      </c>
      <c r="M1739" s="36">
        <f t="shared" si="216"/>
        <v>0</v>
      </c>
      <c r="N1739" s="34">
        <f t="shared" si="222"/>
        <v>0</v>
      </c>
      <c r="O1739" s="35">
        <f>SUM($M$2:M1739)</f>
        <v>190743600</v>
      </c>
      <c r="P1739" s="34">
        <f t="shared" si="223"/>
        <v>1</v>
      </c>
      <c r="Q1739" s="39">
        <v>0</v>
      </c>
      <c r="R1739" s="22">
        <v>0</v>
      </c>
      <c r="S1739" s="22">
        <v>0</v>
      </c>
      <c r="T1739" s="22">
        <v>0</v>
      </c>
      <c r="U1739" s="39">
        <v>1.7</v>
      </c>
      <c r="V1739" s="22">
        <v>12</v>
      </c>
      <c r="W1739" s="22">
        <v>1</v>
      </c>
      <c r="X1739" s="40">
        <v>5</v>
      </c>
      <c r="Y1739" s="22">
        <v>0</v>
      </c>
      <c r="Z1739" s="22">
        <v>0</v>
      </c>
      <c r="AA1739" s="22" t="s">
        <v>212</v>
      </c>
      <c r="AB1739" s="22" t="s">
        <v>220</v>
      </c>
      <c r="AC1739" s="42">
        <f>IFERROR(LOOKUP(M1739,打分卡!$F$7:$J$7,打分卡!$K$7:$O$7),1)</f>
        <v>1</v>
      </c>
      <c r="AD1739" s="42">
        <f>IFERROR(LOOKUP(S1739,打分卡!$F$8:$J$8,打分卡!$K$8:$O$8),1)</f>
        <v>1</v>
      </c>
      <c r="AE1739" s="42">
        <f>IFERROR(LOOKUP(T1739,打分卡!$F$9:$I$9,打分卡!$K$9:$N$9),1)</f>
        <v>1</v>
      </c>
      <c r="AF1739" s="42">
        <f>IFERROR(LOOKUP(Q1739,打分卡!$F$10:$J$10,打分卡!$K$10:$O$10),1)</f>
        <v>1</v>
      </c>
      <c r="AG1739" s="42">
        <f>IFERROR(LOOKUP(R1739,打分卡!$F$11:$J$11,打分卡!$K$11:$O$11),1)</f>
        <v>1</v>
      </c>
      <c r="AH1739" s="42">
        <f>IFERROR(LOOKUP(U1739,打分卡!$F$12:$J$12,打分卡!$K$12:$O$12),1)</f>
        <v>1</v>
      </c>
      <c r="AI1739" s="42">
        <f>IFERROR(LOOKUP(X1739,打分卡!$F$13:$J$13,打分卡!$K$13:$O$13),1)</f>
        <v>1</v>
      </c>
      <c r="AJ1739" s="42">
        <f>IFERROR(LOOKUP(Y1739,打分卡!$F$14:$J$14,打分卡!$K$14:$O$14),1)</f>
        <v>1</v>
      </c>
      <c r="AK1739" s="42">
        <f>IFERROR(LOOKUP(W1739,打分卡!$F$15:$J$15,打分卡!$K$15:$O$15),1)</f>
        <v>2</v>
      </c>
      <c r="AL1739" s="45">
        <f t="shared" si="217"/>
        <v>1</v>
      </c>
      <c r="AM1739" s="42">
        <f>IFERROR(LOOKUP(Z1739,打分卡!$F$17:$H$17,打分卡!$K$17:$M$17),1)</f>
        <v>1</v>
      </c>
      <c r="AN1739" s="46">
        <f>(打分卡!$D$7*AC1739+打分卡!$D$8*AD1739+打分卡!$D$9*AE1739)/5</f>
        <v>8</v>
      </c>
      <c r="AO1739" s="46">
        <f>(打分卡!$D$10*AF1739+打分卡!$D$11*AG1739)/5</f>
        <v>4</v>
      </c>
      <c r="AP1739" s="46">
        <f>(打分卡!$D$12*AH1739+打分卡!$D$13*AI1739+打分卡!$D$14*AJ1739+打分卡!$D$15*AK1739)/5</f>
        <v>6.8</v>
      </c>
      <c r="AQ1739" s="46">
        <f>(打分卡!$D$16*AL1739+打分卡!$D$17*AM1739)/5</f>
        <v>2</v>
      </c>
      <c r="AR1739" s="48">
        <f t="shared" si="218"/>
        <v>20.8</v>
      </c>
      <c r="AS1739" s="45" t="str">
        <f t="shared" si="219"/>
        <v>未激活</v>
      </c>
      <c r="AT1739" s="45" t="str">
        <f t="shared" si="220"/>
        <v>连续下降-预警</v>
      </c>
      <c r="AU1739" s="45" t="str">
        <f t="shared" si="221"/>
        <v>唤醒：短信模板+首充补贴</v>
      </c>
    </row>
    <row r="1740" ht="15" customHeight="1" spans="1:47">
      <c r="A1740" s="30" t="s">
        <v>4427</v>
      </c>
      <c r="B1740" s="31" t="s">
        <v>4428</v>
      </c>
      <c r="C1740" s="31" t="s">
        <v>189</v>
      </c>
      <c r="D1740" s="31" t="s">
        <v>227</v>
      </c>
      <c r="E1740" s="31" t="s">
        <v>181</v>
      </c>
      <c r="F1740" s="30" t="s">
        <v>4429</v>
      </c>
      <c r="G1740" s="31">
        <v>27</v>
      </c>
      <c r="H1740" s="31" t="s">
        <v>3535</v>
      </c>
      <c r="I1740" s="31" t="s">
        <v>302</v>
      </c>
      <c r="J1740" s="33">
        <v>0</v>
      </c>
      <c r="K1740" s="33">
        <v>0</v>
      </c>
      <c r="L1740" s="33">
        <v>0</v>
      </c>
      <c r="M1740" s="33">
        <f t="shared" si="216"/>
        <v>0</v>
      </c>
      <c r="N1740" s="34">
        <f t="shared" si="222"/>
        <v>0</v>
      </c>
      <c r="O1740" s="35">
        <f>SUM($M$2:M1740)</f>
        <v>190743600</v>
      </c>
      <c r="P1740" s="34">
        <f t="shared" si="223"/>
        <v>1</v>
      </c>
      <c r="Q1740" s="37">
        <v>0</v>
      </c>
      <c r="R1740" s="31">
        <v>0</v>
      </c>
      <c r="S1740" s="31">
        <v>0</v>
      </c>
      <c r="T1740" s="31">
        <v>0</v>
      </c>
      <c r="U1740" s="37">
        <v>2</v>
      </c>
      <c r="V1740" s="31">
        <v>8</v>
      </c>
      <c r="W1740" s="31">
        <v>2</v>
      </c>
      <c r="X1740" s="38">
        <v>9</v>
      </c>
      <c r="Y1740" s="31">
        <v>0</v>
      </c>
      <c r="Z1740" s="31">
        <v>0</v>
      </c>
      <c r="AA1740" s="31" t="s">
        <v>212</v>
      </c>
      <c r="AB1740" s="31" t="s">
        <v>220</v>
      </c>
      <c r="AC1740" s="41">
        <f>IFERROR(LOOKUP(M1740,打分卡!$F$7:$J$7,打分卡!$K$7:$O$7),1)</f>
        <v>1</v>
      </c>
      <c r="AD1740" s="41">
        <f>IFERROR(LOOKUP(S1740,打分卡!$F$8:$J$8,打分卡!$K$8:$O$8),1)</f>
        <v>1</v>
      </c>
      <c r="AE1740" s="41">
        <f>IFERROR(LOOKUP(T1740,打分卡!$F$9:$I$9,打分卡!$K$9:$N$9),1)</f>
        <v>1</v>
      </c>
      <c r="AF1740" s="41">
        <f>IFERROR(LOOKUP(Q1740,打分卡!$F$10:$J$10,打分卡!$K$10:$O$10),1)</f>
        <v>1</v>
      </c>
      <c r="AG1740" s="41">
        <f>IFERROR(LOOKUP(R1740,打分卡!$F$11:$J$11,打分卡!$K$11:$O$11),1)</f>
        <v>1</v>
      </c>
      <c r="AH1740" s="41">
        <f>IFERROR(LOOKUP(U1740,打分卡!$F$12:$J$12,打分卡!$K$12:$O$12),1)</f>
        <v>1</v>
      </c>
      <c r="AI1740" s="41">
        <f>IFERROR(LOOKUP(X1740,打分卡!$F$13:$J$13,打分卡!$K$13:$O$13),1)</f>
        <v>1</v>
      </c>
      <c r="AJ1740" s="41">
        <f>IFERROR(LOOKUP(Y1740,打分卡!$F$14:$J$14,打分卡!$K$14:$O$14),1)</f>
        <v>1</v>
      </c>
      <c r="AK1740" s="41">
        <f>IFERROR(LOOKUP(W1740,打分卡!$F$15:$J$15,打分卡!$K$15:$O$15),1)</f>
        <v>2</v>
      </c>
      <c r="AL1740" s="43">
        <f t="shared" si="217"/>
        <v>1</v>
      </c>
      <c r="AM1740" s="41">
        <f>IFERROR(LOOKUP(Z1740,打分卡!$F$17:$H$17,打分卡!$K$17:$M$17),1)</f>
        <v>1</v>
      </c>
      <c r="AN1740" s="44">
        <f>(打分卡!$D$7*AC1740+打分卡!$D$8*AD1740+打分卡!$D$9*AE1740)/5</f>
        <v>8</v>
      </c>
      <c r="AO1740" s="44">
        <f>(打分卡!$D$10*AF1740+打分卡!$D$11*AG1740)/5</f>
        <v>4</v>
      </c>
      <c r="AP1740" s="44">
        <f>(打分卡!$D$12*AH1740+打分卡!$D$13*AI1740+打分卡!$D$14*AJ1740+打分卡!$D$15*AK1740)/5</f>
        <v>6.8</v>
      </c>
      <c r="AQ1740" s="44">
        <f>(打分卡!$D$16*AL1740+打分卡!$D$17*AM1740)/5</f>
        <v>2</v>
      </c>
      <c r="AR1740" s="47">
        <f t="shared" si="218"/>
        <v>20.8</v>
      </c>
      <c r="AS1740" s="43" t="str">
        <f t="shared" si="219"/>
        <v>未激活</v>
      </c>
      <c r="AT1740" s="43" t="str">
        <f t="shared" si="220"/>
        <v>连续下降-预警</v>
      </c>
      <c r="AU1740" s="43" t="str">
        <f t="shared" si="221"/>
        <v>唤醒：短信模板+首充补贴</v>
      </c>
    </row>
    <row r="1741" ht="15" customHeight="1" spans="1:47">
      <c r="A1741" s="20" t="s">
        <v>4430</v>
      </c>
      <c r="B1741" s="22" t="s">
        <v>4431</v>
      </c>
      <c r="C1741" s="22" t="s">
        <v>179</v>
      </c>
      <c r="D1741" s="22" t="s">
        <v>196</v>
      </c>
      <c r="E1741" s="22" t="s">
        <v>197</v>
      </c>
      <c r="F1741" s="20" t="s">
        <v>4145</v>
      </c>
      <c r="G1741" s="22">
        <v>34</v>
      </c>
      <c r="H1741" s="22" t="s">
        <v>3535</v>
      </c>
      <c r="I1741" s="22" t="s">
        <v>302</v>
      </c>
      <c r="J1741" s="36">
        <v>0</v>
      </c>
      <c r="K1741" s="36">
        <v>0</v>
      </c>
      <c r="L1741" s="36">
        <v>0</v>
      </c>
      <c r="M1741" s="36">
        <f t="shared" si="216"/>
        <v>0</v>
      </c>
      <c r="N1741" s="34">
        <f t="shared" si="222"/>
        <v>0</v>
      </c>
      <c r="O1741" s="35">
        <f>SUM($M$2:M1741)</f>
        <v>190743600</v>
      </c>
      <c r="P1741" s="34">
        <f t="shared" si="223"/>
        <v>1</v>
      </c>
      <c r="Q1741" s="39">
        <v>0</v>
      </c>
      <c r="R1741" s="22">
        <v>0</v>
      </c>
      <c r="S1741" s="22">
        <v>0</v>
      </c>
      <c r="T1741" s="22">
        <v>0</v>
      </c>
      <c r="U1741" s="39">
        <v>6.1</v>
      </c>
      <c r="V1741" s="22">
        <v>11</v>
      </c>
      <c r="W1741" s="22">
        <v>0</v>
      </c>
      <c r="X1741" s="40">
        <v>52</v>
      </c>
      <c r="Y1741" s="22">
        <v>1</v>
      </c>
      <c r="Z1741" s="22">
        <v>0</v>
      </c>
      <c r="AA1741" s="22" t="s">
        <v>212</v>
      </c>
      <c r="AB1741" s="22" t="s">
        <v>220</v>
      </c>
      <c r="AC1741" s="42">
        <f>IFERROR(LOOKUP(M1741,打分卡!$F$7:$J$7,打分卡!$K$7:$O$7),1)</f>
        <v>1</v>
      </c>
      <c r="AD1741" s="42">
        <f>IFERROR(LOOKUP(S1741,打分卡!$F$8:$J$8,打分卡!$K$8:$O$8),1)</f>
        <v>1</v>
      </c>
      <c r="AE1741" s="42">
        <f>IFERROR(LOOKUP(T1741,打分卡!$F$9:$I$9,打分卡!$K$9:$N$9),1)</f>
        <v>1</v>
      </c>
      <c r="AF1741" s="42">
        <f>IFERROR(LOOKUP(Q1741,打分卡!$F$10:$J$10,打分卡!$K$10:$O$10),1)</f>
        <v>1</v>
      </c>
      <c r="AG1741" s="42">
        <f>IFERROR(LOOKUP(R1741,打分卡!$F$11:$J$11,打分卡!$K$11:$O$11),1)</f>
        <v>1</v>
      </c>
      <c r="AH1741" s="42">
        <f>IFERROR(LOOKUP(U1741,打分卡!$F$12:$J$12,打分卡!$K$12:$O$12),1)</f>
        <v>2</v>
      </c>
      <c r="AI1741" s="42">
        <f>IFERROR(LOOKUP(X1741,打分卡!$F$13:$J$13,打分卡!$K$13:$O$13),1)</f>
        <v>3</v>
      </c>
      <c r="AJ1741" s="42">
        <f>IFERROR(LOOKUP(Y1741,打分卡!$F$14:$J$14,打分卡!$K$14:$O$14),1)</f>
        <v>2</v>
      </c>
      <c r="AK1741" s="42">
        <f>IFERROR(LOOKUP(W1741,打分卡!$F$15:$J$15,打分卡!$K$15:$O$15),1)</f>
        <v>1</v>
      </c>
      <c r="AL1741" s="45">
        <f t="shared" si="217"/>
        <v>1</v>
      </c>
      <c r="AM1741" s="42">
        <f>IFERROR(LOOKUP(Z1741,打分卡!$F$17:$H$17,打分卡!$K$17:$M$17),1)</f>
        <v>1</v>
      </c>
      <c r="AN1741" s="46">
        <f>(打分卡!$D$7*AC1741+打分卡!$D$8*AD1741+打分卡!$D$9*AE1741)/5</f>
        <v>8</v>
      </c>
      <c r="AO1741" s="46">
        <f>(打分卡!$D$10*AF1741+打分卡!$D$11*AG1741)/5</f>
        <v>4</v>
      </c>
      <c r="AP1741" s="46">
        <f>(打分卡!$D$12*AH1741+打分卡!$D$13*AI1741+打分卡!$D$14*AJ1741+打分卡!$D$15*AK1741)/5</f>
        <v>12.8</v>
      </c>
      <c r="AQ1741" s="46">
        <f>(打分卡!$D$16*AL1741+打分卡!$D$17*AM1741)/5</f>
        <v>2</v>
      </c>
      <c r="AR1741" s="48">
        <f t="shared" si="218"/>
        <v>26.8</v>
      </c>
      <c r="AS1741" s="45" t="str">
        <f t="shared" si="219"/>
        <v>未激活</v>
      </c>
      <c r="AT1741" s="45" t="str">
        <f t="shared" si="220"/>
        <v>连续下降-预警</v>
      </c>
      <c r="AU1741" s="45" t="str">
        <f t="shared" si="221"/>
        <v>唤醒：短信模板+首充补贴</v>
      </c>
    </row>
    <row r="1742" ht="15" customHeight="1" spans="1:47">
      <c r="A1742" s="30" t="s">
        <v>4432</v>
      </c>
      <c r="B1742" s="31" t="s">
        <v>4433</v>
      </c>
      <c r="C1742" s="31" t="s">
        <v>189</v>
      </c>
      <c r="D1742" s="31" t="s">
        <v>190</v>
      </c>
      <c r="E1742" s="31" t="s">
        <v>181</v>
      </c>
      <c r="F1742" s="30" t="s">
        <v>1262</v>
      </c>
      <c r="G1742" s="31">
        <v>16</v>
      </c>
      <c r="H1742" s="31" t="s">
        <v>3535</v>
      </c>
      <c r="I1742" s="31" t="s">
        <v>302</v>
      </c>
      <c r="J1742" s="33">
        <v>0</v>
      </c>
      <c r="K1742" s="33">
        <v>0</v>
      </c>
      <c r="L1742" s="33">
        <v>0</v>
      </c>
      <c r="M1742" s="33">
        <f t="shared" si="216"/>
        <v>0</v>
      </c>
      <c r="N1742" s="34">
        <f t="shared" si="222"/>
        <v>0</v>
      </c>
      <c r="O1742" s="35">
        <f>SUM($M$2:M1742)</f>
        <v>190743600</v>
      </c>
      <c r="P1742" s="34">
        <f t="shared" si="223"/>
        <v>1</v>
      </c>
      <c r="Q1742" s="37">
        <v>0</v>
      </c>
      <c r="R1742" s="31">
        <v>0</v>
      </c>
      <c r="S1742" s="31">
        <v>0</v>
      </c>
      <c r="T1742" s="31">
        <v>0</v>
      </c>
      <c r="U1742" s="37">
        <v>1.1</v>
      </c>
      <c r="V1742" s="31">
        <v>1</v>
      </c>
      <c r="W1742" s="31">
        <v>1</v>
      </c>
      <c r="X1742" s="38">
        <v>64</v>
      </c>
      <c r="Y1742" s="31">
        <v>0</v>
      </c>
      <c r="Z1742" s="31">
        <v>0</v>
      </c>
      <c r="AA1742" s="31" t="s">
        <v>212</v>
      </c>
      <c r="AB1742" s="31" t="s">
        <v>220</v>
      </c>
      <c r="AC1742" s="41">
        <f>IFERROR(LOOKUP(M1742,打分卡!$F$7:$J$7,打分卡!$K$7:$O$7),1)</f>
        <v>1</v>
      </c>
      <c r="AD1742" s="41">
        <f>IFERROR(LOOKUP(S1742,打分卡!$F$8:$J$8,打分卡!$K$8:$O$8),1)</f>
        <v>1</v>
      </c>
      <c r="AE1742" s="41">
        <f>IFERROR(LOOKUP(T1742,打分卡!$F$9:$I$9,打分卡!$K$9:$N$9),1)</f>
        <v>1</v>
      </c>
      <c r="AF1742" s="41">
        <f>IFERROR(LOOKUP(Q1742,打分卡!$F$10:$J$10,打分卡!$K$10:$O$10),1)</f>
        <v>1</v>
      </c>
      <c r="AG1742" s="41">
        <f>IFERROR(LOOKUP(R1742,打分卡!$F$11:$J$11,打分卡!$K$11:$O$11),1)</f>
        <v>1</v>
      </c>
      <c r="AH1742" s="41">
        <f>IFERROR(LOOKUP(U1742,打分卡!$F$12:$J$12,打分卡!$K$12:$O$12),1)</f>
        <v>1</v>
      </c>
      <c r="AI1742" s="41">
        <f>IFERROR(LOOKUP(X1742,打分卡!$F$13:$J$13,打分卡!$K$13:$O$13),1)</f>
        <v>3</v>
      </c>
      <c r="AJ1742" s="41">
        <f>IFERROR(LOOKUP(Y1742,打分卡!$F$14:$J$14,打分卡!$K$14:$O$14),1)</f>
        <v>1</v>
      </c>
      <c r="AK1742" s="41">
        <f>IFERROR(LOOKUP(W1742,打分卡!$F$15:$J$15,打分卡!$K$15:$O$15),1)</f>
        <v>2</v>
      </c>
      <c r="AL1742" s="43">
        <f t="shared" si="217"/>
        <v>1</v>
      </c>
      <c r="AM1742" s="41">
        <f>IFERROR(LOOKUP(Z1742,打分卡!$F$17:$H$17,打分卡!$K$17:$M$17),1)</f>
        <v>1</v>
      </c>
      <c r="AN1742" s="44">
        <f>(打分卡!$D$7*AC1742+打分卡!$D$8*AD1742+打分卡!$D$9*AE1742)/5</f>
        <v>8</v>
      </c>
      <c r="AO1742" s="44">
        <f>(打分卡!$D$10*AF1742+打分卡!$D$11*AG1742)/5</f>
        <v>4</v>
      </c>
      <c r="AP1742" s="44">
        <f>(打分卡!$D$12*AH1742+打分卡!$D$13*AI1742+打分卡!$D$14*AJ1742+打分卡!$D$15*AK1742)/5</f>
        <v>10</v>
      </c>
      <c r="AQ1742" s="44">
        <f>(打分卡!$D$16*AL1742+打分卡!$D$17*AM1742)/5</f>
        <v>2</v>
      </c>
      <c r="AR1742" s="47">
        <f t="shared" si="218"/>
        <v>24</v>
      </c>
      <c r="AS1742" s="43" t="str">
        <f t="shared" si="219"/>
        <v>未激活</v>
      </c>
      <c r="AT1742" s="43" t="str">
        <f t="shared" si="220"/>
        <v>连续下降-预警</v>
      </c>
      <c r="AU1742" s="43" t="str">
        <f t="shared" si="221"/>
        <v>唤醒：短信模板+首充补贴</v>
      </c>
    </row>
    <row r="1743" ht="15" customHeight="1" spans="1:47">
      <c r="A1743" s="20" t="s">
        <v>4434</v>
      </c>
      <c r="B1743" s="22" t="s">
        <v>4435</v>
      </c>
      <c r="C1743" s="22" t="s">
        <v>223</v>
      </c>
      <c r="D1743" s="22" t="s">
        <v>202</v>
      </c>
      <c r="E1743" s="22" t="s">
        <v>181</v>
      </c>
      <c r="F1743" s="20" t="s">
        <v>4154</v>
      </c>
      <c r="G1743" s="22">
        <v>28</v>
      </c>
      <c r="H1743" s="22" t="s">
        <v>3535</v>
      </c>
      <c r="I1743" s="22" t="s">
        <v>302</v>
      </c>
      <c r="J1743" s="36">
        <v>0</v>
      </c>
      <c r="K1743" s="36">
        <v>0</v>
      </c>
      <c r="L1743" s="36">
        <v>0</v>
      </c>
      <c r="M1743" s="36">
        <f t="shared" si="216"/>
        <v>0</v>
      </c>
      <c r="N1743" s="34">
        <f t="shared" si="222"/>
        <v>0</v>
      </c>
      <c r="O1743" s="35">
        <f>SUM($M$2:M1743)</f>
        <v>190743600</v>
      </c>
      <c r="P1743" s="34">
        <f t="shared" si="223"/>
        <v>1</v>
      </c>
      <c r="Q1743" s="39">
        <v>0</v>
      </c>
      <c r="R1743" s="22">
        <v>0</v>
      </c>
      <c r="S1743" s="22">
        <v>0</v>
      </c>
      <c r="T1743" s="22">
        <v>0</v>
      </c>
      <c r="U1743" s="39">
        <v>17.8</v>
      </c>
      <c r="V1743" s="22">
        <v>1</v>
      </c>
      <c r="W1743" s="22">
        <v>1</v>
      </c>
      <c r="X1743" s="40">
        <v>71</v>
      </c>
      <c r="Y1743" s="22">
        <v>1</v>
      </c>
      <c r="Z1743" s="22">
        <v>0</v>
      </c>
      <c r="AA1743" s="22" t="s">
        <v>212</v>
      </c>
      <c r="AB1743" s="22" t="s">
        <v>220</v>
      </c>
      <c r="AC1743" s="42">
        <f>IFERROR(LOOKUP(M1743,打分卡!$F$7:$J$7,打分卡!$K$7:$O$7),1)</f>
        <v>1</v>
      </c>
      <c r="AD1743" s="42">
        <f>IFERROR(LOOKUP(S1743,打分卡!$F$8:$J$8,打分卡!$K$8:$O$8),1)</f>
        <v>1</v>
      </c>
      <c r="AE1743" s="42">
        <f>IFERROR(LOOKUP(T1743,打分卡!$F$9:$I$9,打分卡!$K$9:$N$9),1)</f>
        <v>1</v>
      </c>
      <c r="AF1743" s="42">
        <f>IFERROR(LOOKUP(Q1743,打分卡!$F$10:$J$10,打分卡!$K$10:$O$10),1)</f>
        <v>1</v>
      </c>
      <c r="AG1743" s="42">
        <f>IFERROR(LOOKUP(R1743,打分卡!$F$11:$J$11,打分卡!$K$11:$O$11),1)</f>
        <v>1</v>
      </c>
      <c r="AH1743" s="42">
        <f>IFERROR(LOOKUP(U1743,打分卡!$F$12:$J$12,打分卡!$K$12:$O$12),1)</f>
        <v>3</v>
      </c>
      <c r="AI1743" s="42">
        <f>IFERROR(LOOKUP(X1743,打分卡!$F$13:$J$13,打分卡!$K$13:$O$13),1)</f>
        <v>3</v>
      </c>
      <c r="AJ1743" s="42">
        <f>IFERROR(LOOKUP(Y1743,打分卡!$F$14:$J$14,打分卡!$K$14:$O$14),1)</f>
        <v>2</v>
      </c>
      <c r="AK1743" s="42">
        <f>IFERROR(LOOKUP(W1743,打分卡!$F$15:$J$15,打分卡!$K$15:$O$15),1)</f>
        <v>2</v>
      </c>
      <c r="AL1743" s="45">
        <f t="shared" si="217"/>
        <v>1</v>
      </c>
      <c r="AM1743" s="42">
        <f>IFERROR(LOOKUP(Z1743,打分卡!$F$17:$H$17,打分卡!$K$17:$M$17),1)</f>
        <v>1</v>
      </c>
      <c r="AN1743" s="46">
        <f>(打分卡!$D$7*AC1743+打分卡!$D$8*AD1743+打分卡!$D$9*AE1743)/5</f>
        <v>8</v>
      </c>
      <c r="AO1743" s="46">
        <f>(打分卡!$D$10*AF1743+打分卡!$D$11*AG1743)/5</f>
        <v>4</v>
      </c>
      <c r="AP1743" s="46">
        <f>(打分卡!$D$12*AH1743+打分卡!$D$13*AI1743+打分卡!$D$14*AJ1743+打分卡!$D$15*AK1743)/5</f>
        <v>16</v>
      </c>
      <c r="AQ1743" s="46">
        <f>(打分卡!$D$16*AL1743+打分卡!$D$17*AM1743)/5</f>
        <v>2</v>
      </c>
      <c r="AR1743" s="48">
        <f t="shared" si="218"/>
        <v>30</v>
      </c>
      <c r="AS1743" s="45" t="str">
        <f t="shared" si="219"/>
        <v>未激活</v>
      </c>
      <c r="AT1743" s="45" t="str">
        <f t="shared" si="220"/>
        <v>连续下降-预警</v>
      </c>
      <c r="AU1743" s="45" t="str">
        <f t="shared" si="221"/>
        <v>唤醒：短信模板+首充补贴</v>
      </c>
    </row>
    <row r="1744" ht="15" customHeight="1" spans="1:47">
      <c r="A1744" s="30" t="s">
        <v>4436</v>
      </c>
      <c r="B1744" s="31" t="s">
        <v>4437</v>
      </c>
      <c r="C1744" s="31" t="s">
        <v>218</v>
      </c>
      <c r="D1744" s="31" t="s">
        <v>202</v>
      </c>
      <c r="E1744" s="31" t="s">
        <v>197</v>
      </c>
      <c r="F1744" s="30" t="s">
        <v>4438</v>
      </c>
      <c r="G1744" s="31">
        <v>35</v>
      </c>
      <c r="H1744" s="31" t="s">
        <v>3535</v>
      </c>
      <c r="I1744" s="31" t="s">
        <v>302</v>
      </c>
      <c r="J1744" s="33">
        <v>0</v>
      </c>
      <c r="K1744" s="33">
        <v>0</v>
      </c>
      <c r="L1744" s="33">
        <v>0</v>
      </c>
      <c r="M1744" s="33">
        <f t="shared" si="216"/>
        <v>0</v>
      </c>
      <c r="N1744" s="34">
        <f t="shared" si="222"/>
        <v>0</v>
      </c>
      <c r="O1744" s="35">
        <f>SUM($M$2:M1744)</f>
        <v>190743600</v>
      </c>
      <c r="P1744" s="34">
        <f t="shared" si="223"/>
        <v>1</v>
      </c>
      <c r="Q1744" s="37">
        <v>0</v>
      </c>
      <c r="R1744" s="31">
        <v>0</v>
      </c>
      <c r="S1744" s="31">
        <v>0</v>
      </c>
      <c r="T1744" s="31">
        <v>0</v>
      </c>
      <c r="U1744" s="37">
        <v>3.1</v>
      </c>
      <c r="V1744" s="31">
        <v>2</v>
      </c>
      <c r="W1744" s="31">
        <v>1</v>
      </c>
      <c r="X1744" s="38">
        <v>22</v>
      </c>
      <c r="Y1744" s="31">
        <v>1</v>
      </c>
      <c r="Z1744" s="31">
        <v>0</v>
      </c>
      <c r="AA1744" s="31" t="s">
        <v>212</v>
      </c>
      <c r="AB1744" s="31" t="s">
        <v>220</v>
      </c>
      <c r="AC1744" s="41">
        <f>IFERROR(LOOKUP(M1744,打分卡!$F$7:$J$7,打分卡!$K$7:$O$7),1)</f>
        <v>1</v>
      </c>
      <c r="AD1744" s="41">
        <f>IFERROR(LOOKUP(S1744,打分卡!$F$8:$J$8,打分卡!$K$8:$O$8),1)</f>
        <v>1</v>
      </c>
      <c r="AE1744" s="41">
        <f>IFERROR(LOOKUP(T1744,打分卡!$F$9:$I$9,打分卡!$K$9:$N$9),1)</f>
        <v>1</v>
      </c>
      <c r="AF1744" s="41">
        <f>IFERROR(LOOKUP(Q1744,打分卡!$F$10:$J$10,打分卡!$K$10:$O$10),1)</f>
        <v>1</v>
      </c>
      <c r="AG1744" s="41">
        <f>IFERROR(LOOKUP(R1744,打分卡!$F$11:$J$11,打分卡!$K$11:$O$11),1)</f>
        <v>1</v>
      </c>
      <c r="AH1744" s="41">
        <f>IFERROR(LOOKUP(U1744,打分卡!$F$12:$J$12,打分卡!$K$12:$O$12),1)</f>
        <v>2</v>
      </c>
      <c r="AI1744" s="41">
        <f>IFERROR(LOOKUP(X1744,打分卡!$F$13:$J$13,打分卡!$K$13:$O$13),1)</f>
        <v>2</v>
      </c>
      <c r="AJ1744" s="41">
        <f>IFERROR(LOOKUP(Y1744,打分卡!$F$14:$J$14,打分卡!$K$14:$O$14),1)</f>
        <v>2</v>
      </c>
      <c r="AK1744" s="41">
        <f>IFERROR(LOOKUP(W1744,打分卡!$F$15:$J$15,打分卡!$K$15:$O$15),1)</f>
        <v>2</v>
      </c>
      <c r="AL1744" s="43">
        <f t="shared" si="217"/>
        <v>1</v>
      </c>
      <c r="AM1744" s="41">
        <f>IFERROR(LOOKUP(Z1744,打分卡!$F$17:$H$17,打分卡!$K$17:$M$17),1)</f>
        <v>1</v>
      </c>
      <c r="AN1744" s="44">
        <f>(打分卡!$D$7*AC1744+打分卡!$D$8*AD1744+打分卡!$D$9*AE1744)/5</f>
        <v>8</v>
      </c>
      <c r="AO1744" s="44">
        <f>(打分卡!$D$10*AF1744+打分卡!$D$11*AG1744)/5</f>
        <v>4</v>
      </c>
      <c r="AP1744" s="44">
        <f>(打分卡!$D$12*AH1744+打分卡!$D$13*AI1744+打分卡!$D$14*AJ1744+打分卡!$D$15*AK1744)/5</f>
        <v>12</v>
      </c>
      <c r="AQ1744" s="44">
        <f>(打分卡!$D$16*AL1744+打分卡!$D$17*AM1744)/5</f>
        <v>2</v>
      </c>
      <c r="AR1744" s="47">
        <f t="shared" si="218"/>
        <v>26</v>
      </c>
      <c r="AS1744" s="43" t="str">
        <f t="shared" si="219"/>
        <v>未激活</v>
      </c>
      <c r="AT1744" s="43" t="str">
        <f t="shared" si="220"/>
        <v>连续下降-预警</v>
      </c>
      <c r="AU1744" s="43" t="str">
        <f t="shared" si="221"/>
        <v>唤醒：短信模板+首充补贴</v>
      </c>
    </row>
    <row r="1745" ht="15" customHeight="1" spans="1:47">
      <c r="A1745" s="20" t="s">
        <v>4439</v>
      </c>
      <c r="B1745" s="22" t="s">
        <v>4440</v>
      </c>
      <c r="C1745" s="22" t="s">
        <v>189</v>
      </c>
      <c r="D1745" s="22" t="s">
        <v>202</v>
      </c>
      <c r="E1745" s="22" t="s">
        <v>197</v>
      </c>
      <c r="F1745" s="20" t="s">
        <v>4441</v>
      </c>
      <c r="G1745" s="22">
        <v>34</v>
      </c>
      <c r="H1745" s="22" t="s">
        <v>3535</v>
      </c>
      <c r="I1745" s="22" t="s">
        <v>302</v>
      </c>
      <c r="J1745" s="36">
        <v>0</v>
      </c>
      <c r="K1745" s="36">
        <v>0</v>
      </c>
      <c r="L1745" s="36">
        <v>0</v>
      </c>
      <c r="M1745" s="36">
        <f t="shared" si="216"/>
        <v>0</v>
      </c>
      <c r="N1745" s="34">
        <f t="shared" si="222"/>
        <v>0</v>
      </c>
      <c r="O1745" s="35">
        <f>SUM($M$2:M1745)</f>
        <v>190743600</v>
      </c>
      <c r="P1745" s="34">
        <f t="shared" si="223"/>
        <v>1</v>
      </c>
      <c r="Q1745" s="39">
        <v>0</v>
      </c>
      <c r="R1745" s="22">
        <v>0</v>
      </c>
      <c r="S1745" s="22">
        <v>0</v>
      </c>
      <c r="T1745" s="22">
        <v>0</v>
      </c>
      <c r="U1745" s="39">
        <v>1.1</v>
      </c>
      <c r="V1745" s="22">
        <v>15</v>
      </c>
      <c r="W1745" s="22">
        <v>0</v>
      </c>
      <c r="X1745" s="40">
        <v>78</v>
      </c>
      <c r="Y1745" s="22">
        <v>0</v>
      </c>
      <c r="Z1745" s="22">
        <v>0</v>
      </c>
      <c r="AA1745" s="22" t="s">
        <v>212</v>
      </c>
      <c r="AB1745" s="22" t="s">
        <v>220</v>
      </c>
      <c r="AC1745" s="42">
        <f>IFERROR(LOOKUP(M1745,打分卡!$F$7:$J$7,打分卡!$K$7:$O$7),1)</f>
        <v>1</v>
      </c>
      <c r="AD1745" s="42">
        <f>IFERROR(LOOKUP(S1745,打分卡!$F$8:$J$8,打分卡!$K$8:$O$8),1)</f>
        <v>1</v>
      </c>
      <c r="AE1745" s="42">
        <f>IFERROR(LOOKUP(T1745,打分卡!$F$9:$I$9,打分卡!$K$9:$N$9),1)</f>
        <v>1</v>
      </c>
      <c r="AF1745" s="42">
        <f>IFERROR(LOOKUP(Q1745,打分卡!$F$10:$J$10,打分卡!$K$10:$O$10),1)</f>
        <v>1</v>
      </c>
      <c r="AG1745" s="42">
        <f>IFERROR(LOOKUP(R1745,打分卡!$F$11:$J$11,打分卡!$K$11:$O$11),1)</f>
        <v>1</v>
      </c>
      <c r="AH1745" s="42">
        <f>IFERROR(LOOKUP(U1745,打分卡!$F$12:$J$12,打分卡!$K$12:$O$12),1)</f>
        <v>1</v>
      </c>
      <c r="AI1745" s="42">
        <f>IFERROR(LOOKUP(X1745,打分卡!$F$13:$J$13,打分卡!$K$13:$O$13),1)</f>
        <v>3</v>
      </c>
      <c r="AJ1745" s="42">
        <f>IFERROR(LOOKUP(Y1745,打分卡!$F$14:$J$14,打分卡!$K$14:$O$14),1)</f>
        <v>1</v>
      </c>
      <c r="AK1745" s="42">
        <f>IFERROR(LOOKUP(W1745,打分卡!$F$15:$J$15,打分卡!$K$15:$O$15),1)</f>
        <v>1</v>
      </c>
      <c r="AL1745" s="45">
        <f t="shared" si="217"/>
        <v>1</v>
      </c>
      <c r="AM1745" s="42">
        <f>IFERROR(LOOKUP(Z1745,打分卡!$F$17:$H$17,打分卡!$K$17:$M$17),1)</f>
        <v>1</v>
      </c>
      <c r="AN1745" s="46">
        <f>(打分卡!$D$7*AC1745+打分卡!$D$8*AD1745+打分卡!$D$9*AE1745)/5</f>
        <v>8</v>
      </c>
      <c r="AO1745" s="46">
        <f>(打分卡!$D$10*AF1745+打分卡!$D$11*AG1745)/5</f>
        <v>4</v>
      </c>
      <c r="AP1745" s="46">
        <f>(打分卡!$D$12*AH1745+打分卡!$D$13*AI1745+打分卡!$D$14*AJ1745+打分卡!$D$15*AK1745)/5</f>
        <v>9.2</v>
      </c>
      <c r="AQ1745" s="46">
        <f>(打分卡!$D$16*AL1745+打分卡!$D$17*AM1745)/5</f>
        <v>2</v>
      </c>
      <c r="AR1745" s="48">
        <f t="shared" si="218"/>
        <v>23.2</v>
      </c>
      <c r="AS1745" s="45" t="str">
        <f t="shared" si="219"/>
        <v>未激活</v>
      </c>
      <c r="AT1745" s="45" t="str">
        <f t="shared" si="220"/>
        <v>连续下降-预警</v>
      </c>
      <c r="AU1745" s="45" t="str">
        <f t="shared" si="221"/>
        <v>唤醒：短信模板+首充补贴</v>
      </c>
    </row>
    <row r="1746" ht="15" customHeight="1" spans="1:47">
      <c r="A1746" s="30" t="s">
        <v>4442</v>
      </c>
      <c r="B1746" s="31" t="s">
        <v>4443</v>
      </c>
      <c r="C1746" s="31" t="s">
        <v>179</v>
      </c>
      <c r="D1746" s="31" t="s">
        <v>196</v>
      </c>
      <c r="E1746" s="31" t="s">
        <v>197</v>
      </c>
      <c r="F1746" s="30" t="s">
        <v>4444</v>
      </c>
      <c r="G1746" s="31">
        <v>30</v>
      </c>
      <c r="H1746" s="31" t="s">
        <v>3535</v>
      </c>
      <c r="I1746" s="31" t="s">
        <v>302</v>
      </c>
      <c r="J1746" s="33">
        <v>0</v>
      </c>
      <c r="K1746" s="33">
        <v>0</v>
      </c>
      <c r="L1746" s="33">
        <v>0</v>
      </c>
      <c r="M1746" s="33">
        <f t="shared" si="216"/>
        <v>0</v>
      </c>
      <c r="N1746" s="34">
        <f t="shared" si="222"/>
        <v>0</v>
      </c>
      <c r="O1746" s="35">
        <f>SUM($M$2:M1746)</f>
        <v>190743600</v>
      </c>
      <c r="P1746" s="34">
        <f t="shared" si="223"/>
        <v>1</v>
      </c>
      <c r="Q1746" s="37">
        <v>0</v>
      </c>
      <c r="R1746" s="31">
        <v>0</v>
      </c>
      <c r="S1746" s="31">
        <v>0</v>
      </c>
      <c r="T1746" s="31">
        <v>0</v>
      </c>
      <c r="U1746" s="37">
        <v>24.9</v>
      </c>
      <c r="V1746" s="31">
        <v>15</v>
      </c>
      <c r="W1746" s="31">
        <v>2</v>
      </c>
      <c r="X1746" s="38">
        <v>22</v>
      </c>
      <c r="Y1746" s="31">
        <v>0</v>
      </c>
      <c r="Z1746" s="31">
        <v>0</v>
      </c>
      <c r="AA1746" s="31" t="s">
        <v>212</v>
      </c>
      <c r="AB1746" s="31" t="s">
        <v>220</v>
      </c>
      <c r="AC1746" s="41">
        <f>IFERROR(LOOKUP(M1746,打分卡!$F$7:$J$7,打分卡!$K$7:$O$7),1)</f>
        <v>1</v>
      </c>
      <c r="AD1746" s="41">
        <f>IFERROR(LOOKUP(S1746,打分卡!$F$8:$J$8,打分卡!$K$8:$O$8),1)</f>
        <v>1</v>
      </c>
      <c r="AE1746" s="41">
        <f>IFERROR(LOOKUP(T1746,打分卡!$F$9:$I$9,打分卡!$K$9:$N$9),1)</f>
        <v>1</v>
      </c>
      <c r="AF1746" s="41">
        <f>IFERROR(LOOKUP(Q1746,打分卡!$F$10:$J$10,打分卡!$K$10:$O$10),1)</f>
        <v>1</v>
      </c>
      <c r="AG1746" s="41">
        <f>IFERROR(LOOKUP(R1746,打分卡!$F$11:$J$11,打分卡!$K$11:$O$11),1)</f>
        <v>1</v>
      </c>
      <c r="AH1746" s="41">
        <f>IFERROR(LOOKUP(U1746,打分卡!$F$12:$J$12,打分卡!$K$12:$O$12),1)</f>
        <v>3</v>
      </c>
      <c r="AI1746" s="41">
        <f>IFERROR(LOOKUP(X1746,打分卡!$F$13:$J$13,打分卡!$K$13:$O$13),1)</f>
        <v>2</v>
      </c>
      <c r="AJ1746" s="41">
        <f>IFERROR(LOOKUP(Y1746,打分卡!$F$14:$J$14,打分卡!$K$14:$O$14),1)</f>
        <v>1</v>
      </c>
      <c r="AK1746" s="41">
        <f>IFERROR(LOOKUP(W1746,打分卡!$F$15:$J$15,打分卡!$K$15:$O$15),1)</f>
        <v>2</v>
      </c>
      <c r="AL1746" s="43">
        <f t="shared" si="217"/>
        <v>1</v>
      </c>
      <c r="AM1746" s="41">
        <f>IFERROR(LOOKUP(Z1746,打分卡!$F$17:$H$17,打分卡!$K$17:$M$17),1)</f>
        <v>1</v>
      </c>
      <c r="AN1746" s="44">
        <f>(打分卡!$D$7*AC1746+打分卡!$D$8*AD1746+打分卡!$D$9*AE1746)/5</f>
        <v>8</v>
      </c>
      <c r="AO1746" s="44">
        <f>(打分卡!$D$10*AF1746+打分卡!$D$11*AG1746)/5</f>
        <v>4</v>
      </c>
      <c r="AP1746" s="44">
        <f>(打分卡!$D$12*AH1746+打分卡!$D$13*AI1746+打分卡!$D$14*AJ1746+打分卡!$D$15*AK1746)/5</f>
        <v>13.2</v>
      </c>
      <c r="AQ1746" s="44">
        <f>(打分卡!$D$16*AL1746+打分卡!$D$17*AM1746)/5</f>
        <v>2</v>
      </c>
      <c r="AR1746" s="47">
        <f t="shared" si="218"/>
        <v>27.2</v>
      </c>
      <c r="AS1746" s="43" t="str">
        <f t="shared" si="219"/>
        <v>未激活</v>
      </c>
      <c r="AT1746" s="43" t="str">
        <f t="shared" si="220"/>
        <v>连续下降-预警</v>
      </c>
      <c r="AU1746" s="43" t="str">
        <f t="shared" si="221"/>
        <v>唤醒：短信模板+首充补贴</v>
      </c>
    </row>
    <row r="1747" ht="15" customHeight="1" spans="1:47">
      <c r="A1747" s="20" t="s">
        <v>4445</v>
      </c>
      <c r="B1747" s="22" t="s">
        <v>4446</v>
      </c>
      <c r="C1747" s="22" t="s">
        <v>189</v>
      </c>
      <c r="D1747" s="22" t="s">
        <v>190</v>
      </c>
      <c r="E1747" s="22" t="s">
        <v>181</v>
      </c>
      <c r="F1747" s="20" t="s">
        <v>4447</v>
      </c>
      <c r="G1747" s="22">
        <v>16</v>
      </c>
      <c r="H1747" s="22" t="s">
        <v>3535</v>
      </c>
      <c r="I1747" s="22" t="s">
        <v>302</v>
      </c>
      <c r="J1747" s="36">
        <v>0</v>
      </c>
      <c r="K1747" s="36">
        <v>0</v>
      </c>
      <c r="L1747" s="36">
        <v>0</v>
      </c>
      <c r="M1747" s="36">
        <f t="shared" si="216"/>
        <v>0</v>
      </c>
      <c r="N1747" s="34">
        <f t="shared" si="222"/>
        <v>0</v>
      </c>
      <c r="O1747" s="35">
        <f>SUM($M$2:M1747)</f>
        <v>190743600</v>
      </c>
      <c r="P1747" s="34">
        <f t="shared" si="223"/>
        <v>1</v>
      </c>
      <c r="Q1747" s="39">
        <v>0</v>
      </c>
      <c r="R1747" s="22">
        <v>0</v>
      </c>
      <c r="S1747" s="22">
        <v>0</v>
      </c>
      <c r="T1747" s="22">
        <v>0</v>
      </c>
      <c r="U1747" s="39">
        <v>1.7</v>
      </c>
      <c r="V1747" s="22">
        <v>5</v>
      </c>
      <c r="W1747" s="22">
        <v>2</v>
      </c>
      <c r="X1747" s="40">
        <v>24</v>
      </c>
      <c r="Y1747" s="22">
        <v>0</v>
      </c>
      <c r="Z1747" s="22">
        <v>0</v>
      </c>
      <c r="AA1747" s="22" t="s">
        <v>212</v>
      </c>
      <c r="AB1747" s="22" t="s">
        <v>220</v>
      </c>
      <c r="AC1747" s="42">
        <f>IFERROR(LOOKUP(M1747,打分卡!$F$7:$J$7,打分卡!$K$7:$O$7),1)</f>
        <v>1</v>
      </c>
      <c r="AD1747" s="42">
        <f>IFERROR(LOOKUP(S1747,打分卡!$F$8:$J$8,打分卡!$K$8:$O$8),1)</f>
        <v>1</v>
      </c>
      <c r="AE1747" s="42">
        <f>IFERROR(LOOKUP(T1747,打分卡!$F$9:$I$9,打分卡!$K$9:$N$9),1)</f>
        <v>1</v>
      </c>
      <c r="AF1747" s="42">
        <f>IFERROR(LOOKUP(Q1747,打分卡!$F$10:$J$10,打分卡!$K$10:$O$10),1)</f>
        <v>1</v>
      </c>
      <c r="AG1747" s="42">
        <f>IFERROR(LOOKUP(R1747,打分卡!$F$11:$J$11,打分卡!$K$11:$O$11),1)</f>
        <v>1</v>
      </c>
      <c r="AH1747" s="42">
        <f>IFERROR(LOOKUP(U1747,打分卡!$F$12:$J$12,打分卡!$K$12:$O$12),1)</f>
        <v>1</v>
      </c>
      <c r="AI1747" s="42">
        <f>IFERROR(LOOKUP(X1747,打分卡!$F$13:$J$13,打分卡!$K$13:$O$13),1)</f>
        <v>2</v>
      </c>
      <c r="AJ1747" s="42">
        <f>IFERROR(LOOKUP(Y1747,打分卡!$F$14:$J$14,打分卡!$K$14:$O$14),1)</f>
        <v>1</v>
      </c>
      <c r="AK1747" s="42">
        <f>IFERROR(LOOKUP(W1747,打分卡!$F$15:$J$15,打分卡!$K$15:$O$15),1)</f>
        <v>2</v>
      </c>
      <c r="AL1747" s="45">
        <f t="shared" si="217"/>
        <v>1</v>
      </c>
      <c r="AM1747" s="42">
        <f>IFERROR(LOOKUP(Z1747,打分卡!$F$17:$H$17,打分卡!$K$17:$M$17),1)</f>
        <v>1</v>
      </c>
      <c r="AN1747" s="46">
        <f>(打分卡!$D$7*AC1747+打分卡!$D$8*AD1747+打分卡!$D$9*AE1747)/5</f>
        <v>8</v>
      </c>
      <c r="AO1747" s="46">
        <f>(打分卡!$D$10*AF1747+打分卡!$D$11*AG1747)/5</f>
        <v>4</v>
      </c>
      <c r="AP1747" s="46">
        <f>(打分卡!$D$12*AH1747+打分卡!$D$13*AI1747+打分卡!$D$14*AJ1747+打分卡!$D$15*AK1747)/5</f>
        <v>8.4</v>
      </c>
      <c r="AQ1747" s="46">
        <f>(打分卡!$D$16*AL1747+打分卡!$D$17*AM1747)/5</f>
        <v>2</v>
      </c>
      <c r="AR1747" s="48">
        <f t="shared" si="218"/>
        <v>22.4</v>
      </c>
      <c r="AS1747" s="45" t="str">
        <f t="shared" si="219"/>
        <v>未激活</v>
      </c>
      <c r="AT1747" s="45" t="str">
        <f t="shared" si="220"/>
        <v>连续下降-预警</v>
      </c>
      <c r="AU1747" s="45" t="str">
        <f t="shared" si="221"/>
        <v>唤醒：短信模板+首充补贴</v>
      </c>
    </row>
    <row r="1748" ht="15" customHeight="1" spans="1:47">
      <c r="A1748" s="30" t="s">
        <v>4448</v>
      </c>
      <c r="B1748" s="31" t="s">
        <v>4449</v>
      </c>
      <c r="C1748" s="31" t="s">
        <v>189</v>
      </c>
      <c r="D1748" s="31" t="s">
        <v>202</v>
      </c>
      <c r="E1748" s="31" t="s">
        <v>197</v>
      </c>
      <c r="F1748" s="30" t="s">
        <v>4450</v>
      </c>
      <c r="G1748" s="31">
        <v>26</v>
      </c>
      <c r="H1748" s="31" t="s">
        <v>3535</v>
      </c>
      <c r="I1748" s="31" t="s">
        <v>302</v>
      </c>
      <c r="J1748" s="33">
        <v>0</v>
      </c>
      <c r="K1748" s="33">
        <v>0</v>
      </c>
      <c r="L1748" s="33">
        <v>0</v>
      </c>
      <c r="M1748" s="33">
        <f t="shared" si="216"/>
        <v>0</v>
      </c>
      <c r="N1748" s="34">
        <f t="shared" si="222"/>
        <v>0</v>
      </c>
      <c r="O1748" s="35">
        <f>SUM($M$2:M1748)</f>
        <v>190743600</v>
      </c>
      <c r="P1748" s="34">
        <f t="shared" si="223"/>
        <v>1</v>
      </c>
      <c r="Q1748" s="37">
        <v>0</v>
      </c>
      <c r="R1748" s="31">
        <v>0</v>
      </c>
      <c r="S1748" s="31">
        <v>0</v>
      </c>
      <c r="T1748" s="31">
        <v>0</v>
      </c>
      <c r="U1748" s="37">
        <v>2.4</v>
      </c>
      <c r="V1748" s="31">
        <v>10</v>
      </c>
      <c r="W1748" s="31">
        <v>0</v>
      </c>
      <c r="X1748" s="38">
        <v>11</v>
      </c>
      <c r="Y1748" s="31">
        <v>1</v>
      </c>
      <c r="Z1748" s="31">
        <v>0</v>
      </c>
      <c r="AA1748" s="31" t="s">
        <v>212</v>
      </c>
      <c r="AB1748" s="31" t="s">
        <v>220</v>
      </c>
      <c r="AC1748" s="41">
        <f>IFERROR(LOOKUP(M1748,打分卡!$F$7:$J$7,打分卡!$K$7:$O$7),1)</f>
        <v>1</v>
      </c>
      <c r="AD1748" s="41">
        <f>IFERROR(LOOKUP(S1748,打分卡!$F$8:$J$8,打分卡!$K$8:$O$8),1)</f>
        <v>1</v>
      </c>
      <c r="AE1748" s="41">
        <f>IFERROR(LOOKUP(T1748,打分卡!$F$9:$I$9,打分卡!$K$9:$N$9),1)</f>
        <v>1</v>
      </c>
      <c r="AF1748" s="41">
        <f>IFERROR(LOOKUP(Q1748,打分卡!$F$10:$J$10,打分卡!$K$10:$O$10),1)</f>
        <v>1</v>
      </c>
      <c r="AG1748" s="41">
        <f>IFERROR(LOOKUP(R1748,打分卡!$F$11:$J$11,打分卡!$K$11:$O$11),1)</f>
        <v>1</v>
      </c>
      <c r="AH1748" s="41">
        <f>IFERROR(LOOKUP(U1748,打分卡!$F$12:$J$12,打分卡!$K$12:$O$12),1)</f>
        <v>1</v>
      </c>
      <c r="AI1748" s="41">
        <f>IFERROR(LOOKUP(X1748,打分卡!$F$13:$J$13,打分卡!$K$13:$O$13),1)</f>
        <v>1</v>
      </c>
      <c r="AJ1748" s="41">
        <f>IFERROR(LOOKUP(Y1748,打分卡!$F$14:$J$14,打分卡!$K$14:$O$14),1)</f>
        <v>2</v>
      </c>
      <c r="AK1748" s="41">
        <f>IFERROR(LOOKUP(W1748,打分卡!$F$15:$J$15,打分卡!$K$15:$O$15),1)</f>
        <v>1</v>
      </c>
      <c r="AL1748" s="43">
        <f t="shared" si="217"/>
        <v>1</v>
      </c>
      <c r="AM1748" s="41">
        <f>IFERROR(LOOKUP(Z1748,打分卡!$F$17:$H$17,打分卡!$K$17:$M$17),1)</f>
        <v>1</v>
      </c>
      <c r="AN1748" s="44">
        <f>(打分卡!$D$7*AC1748+打分卡!$D$8*AD1748+打分卡!$D$9*AE1748)/5</f>
        <v>8</v>
      </c>
      <c r="AO1748" s="44">
        <f>(打分卡!$D$10*AF1748+打分卡!$D$11*AG1748)/5</f>
        <v>4</v>
      </c>
      <c r="AP1748" s="44">
        <f>(打分卡!$D$12*AH1748+打分卡!$D$13*AI1748+打分卡!$D$14*AJ1748+打分卡!$D$15*AK1748)/5</f>
        <v>7.2</v>
      </c>
      <c r="AQ1748" s="44">
        <f>(打分卡!$D$16*AL1748+打分卡!$D$17*AM1748)/5</f>
        <v>2</v>
      </c>
      <c r="AR1748" s="47">
        <f t="shared" si="218"/>
        <v>21.2</v>
      </c>
      <c r="AS1748" s="43" t="str">
        <f t="shared" si="219"/>
        <v>未激活</v>
      </c>
      <c r="AT1748" s="43" t="str">
        <f t="shared" si="220"/>
        <v>连续下降-预警</v>
      </c>
      <c r="AU1748" s="43" t="str">
        <f t="shared" si="221"/>
        <v>唤醒：短信模板+首充补贴</v>
      </c>
    </row>
    <row r="1749" ht="15" customHeight="1" spans="1:47">
      <c r="A1749" s="20" t="s">
        <v>4451</v>
      </c>
      <c r="B1749" s="22" t="s">
        <v>4452</v>
      </c>
      <c r="C1749" s="22" t="s">
        <v>189</v>
      </c>
      <c r="D1749" s="22" t="s">
        <v>190</v>
      </c>
      <c r="E1749" s="22" t="s">
        <v>181</v>
      </c>
      <c r="F1749" s="20" t="s">
        <v>4322</v>
      </c>
      <c r="G1749" s="22">
        <v>29</v>
      </c>
      <c r="H1749" s="22" t="s">
        <v>3535</v>
      </c>
      <c r="I1749" s="22" t="s">
        <v>302</v>
      </c>
      <c r="J1749" s="36">
        <v>0</v>
      </c>
      <c r="K1749" s="36">
        <v>0</v>
      </c>
      <c r="L1749" s="36">
        <v>0</v>
      </c>
      <c r="M1749" s="36">
        <f t="shared" si="216"/>
        <v>0</v>
      </c>
      <c r="N1749" s="34">
        <f t="shared" si="222"/>
        <v>0</v>
      </c>
      <c r="O1749" s="35">
        <f>SUM($M$2:M1749)</f>
        <v>190743600</v>
      </c>
      <c r="P1749" s="34">
        <f t="shared" si="223"/>
        <v>1</v>
      </c>
      <c r="Q1749" s="39">
        <v>0</v>
      </c>
      <c r="R1749" s="22">
        <v>0</v>
      </c>
      <c r="S1749" s="22">
        <v>0</v>
      </c>
      <c r="T1749" s="22">
        <v>0</v>
      </c>
      <c r="U1749" s="39">
        <v>47.2</v>
      </c>
      <c r="V1749" s="22">
        <v>10</v>
      </c>
      <c r="W1749" s="22">
        <v>0</v>
      </c>
      <c r="X1749" s="40">
        <v>5</v>
      </c>
      <c r="Y1749" s="22">
        <v>1</v>
      </c>
      <c r="Z1749" s="22">
        <v>0</v>
      </c>
      <c r="AA1749" s="22" t="s">
        <v>212</v>
      </c>
      <c r="AB1749" s="22" t="s">
        <v>220</v>
      </c>
      <c r="AC1749" s="42">
        <f>IFERROR(LOOKUP(M1749,打分卡!$F$7:$J$7,打分卡!$K$7:$O$7),1)</f>
        <v>1</v>
      </c>
      <c r="AD1749" s="42">
        <f>IFERROR(LOOKUP(S1749,打分卡!$F$8:$J$8,打分卡!$K$8:$O$8),1)</f>
        <v>1</v>
      </c>
      <c r="AE1749" s="42">
        <f>IFERROR(LOOKUP(T1749,打分卡!$F$9:$I$9,打分卡!$K$9:$N$9),1)</f>
        <v>1</v>
      </c>
      <c r="AF1749" s="42">
        <f>IFERROR(LOOKUP(Q1749,打分卡!$F$10:$J$10,打分卡!$K$10:$O$10),1)</f>
        <v>1</v>
      </c>
      <c r="AG1749" s="42">
        <f>IFERROR(LOOKUP(R1749,打分卡!$F$11:$J$11,打分卡!$K$11:$O$11),1)</f>
        <v>1</v>
      </c>
      <c r="AH1749" s="42">
        <f>IFERROR(LOOKUP(U1749,打分卡!$F$12:$J$12,打分卡!$K$12:$O$12),1)</f>
        <v>4</v>
      </c>
      <c r="AI1749" s="42">
        <f>IFERROR(LOOKUP(X1749,打分卡!$F$13:$J$13,打分卡!$K$13:$O$13),1)</f>
        <v>1</v>
      </c>
      <c r="AJ1749" s="42">
        <f>IFERROR(LOOKUP(Y1749,打分卡!$F$14:$J$14,打分卡!$K$14:$O$14),1)</f>
        <v>2</v>
      </c>
      <c r="AK1749" s="42">
        <f>IFERROR(LOOKUP(W1749,打分卡!$F$15:$J$15,打分卡!$K$15:$O$15),1)</f>
        <v>1</v>
      </c>
      <c r="AL1749" s="45">
        <f t="shared" si="217"/>
        <v>1</v>
      </c>
      <c r="AM1749" s="42">
        <f>IFERROR(LOOKUP(Z1749,打分卡!$F$17:$H$17,打分卡!$K$17:$M$17),1)</f>
        <v>1</v>
      </c>
      <c r="AN1749" s="46">
        <f>(打分卡!$D$7*AC1749+打分卡!$D$8*AD1749+打分卡!$D$9*AE1749)/5</f>
        <v>8</v>
      </c>
      <c r="AO1749" s="46">
        <f>(打分卡!$D$10*AF1749+打分卡!$D$11*AG1749)/5</f>
        <v>4</v>
      </c>
      <c r="AP1749" s="46">
        <f>(打分卡!$D$12*AH1749+打分卡!$D$13*AI1749+打分卡!$D$14*AJ1749+打分卡!$D$15*AK1749)/5</f>
        <v>14.4</v>
      </c>
      <c r="AQ1749" s="46">
        <f>(打分卡!$D$16*AL1749+打分卡!$D$17*AM1749)/5</f>
        <v>2</v>
      </c>
      <c r="AR1749" s="48">
        <f t="shared" si="218"/>
        <v>28.4</v>
      </c>
      <c r="AS1749" s="45" t="str">
        <f t="shared" si="219"/>
        <v>未激活</v>
      </c>
      <c r="AT1749" s="45" t="str">
        <f t="shared" si="220"/>
        <v>连续下降-预警</v>
      </c>
      <c r="AU1749" s="45" t="str">
        <f t="shared" si="221"/>
        <v>唤醒：短信模板+首充补贴</v>
      </c>
    </row>
    <row r="1750" ht="15" customHeight="1" spans="1:47">
      <c r="A1750" s="30" t="s">
        <v>4453</v>
      </c>
      <c r="B1750" s="31" t="s">
        <v>4454</v>
      </c>
      <c r="C1750" s="31" t="s">
        <v>223</v>
      </c>
      <c r="D1750" s="31" t="s">
        <v>202</v>
      </c>
      <c r="E1750" s="31" t="s">
        <v>197</v>
      </c>
      <c r="F1750" s="30" t="s">
        <v>606</v>
      </c>
      <c r="G1750" s="31">
        <v>26</v>
      </c>
      <c r="H1750" s="31" t="s">
        <v>3535</v>
      </c>
      <c r="I1750" s="31" t="s">
        <v>302</v>
      </c>
      <c r="J1750" s="33">
        <v>0</v>
      </c>
      <c r="K1750" s="33">
        <v>0</v>
      </c>
      <c r="L1750" s="33">
        <v>0</v>
      </c>
      <c r="M1750" s="33">
        <f t="shared" si="216"/>
        <v>0</v>
      </c>
      <c r="N1750" s="34">
        <f t="shared" si="222"/>
        <v>0</v>
      </c>
      <c r="O1750" s="35">
        <f>SUM($M$2:M1750)</f>
        <v>190743600</v>
      </c>
      <c r="P1750" s="34">
        <f t="shared" si="223"/>
        <v>1</v>
      </c>
      <c r="Q1750" s="37">
        <v>0</v>
      </c>
      <c r="R1750" s="31">
        <v>0</v>
      </c>
      <c r="S1750" s="31">
        <v>0</v>
      </c>
      <c r="T1750" s="31">
        <v>0</v>
      </c>
      <c r="U1750" s="37">
        <v>0.8</v>
      </c>
      <c r="V1750" s="31">
        <v>8</v>
      </c>
      <c r="W1750" s="31">
        <v>0</v>
      </c>
      <c r="X1750" s="38">
        <v>7</v>
      </c>
      <c r="Y1750" s="31">
        <v>1</v>
      </c>
      <c r="Z1750" s="31">
        <v>0</v>
      </c>
      <c r="AA1750" s="31" t="s">
        <v>212</v>
      </c>
      <c r="AB1750" s="31" t="s">
        <v>220</v>
      </c>
      <c r="AC1750" s="41">
        <f>IFERROR(LOOKUP(M1750,打分卡!$F$7:$J$7,打分卡!$K$7:$O$7),1)</f>
        <v>1</v>
      </c>
      <c r="AD1750" s="41">
        <f>IFERROR(LOOKUP(S1750,打分卡!$F$8:$J$8,打分卡!$K$8:$O$8),1)</f>
        <v>1</v>
      </c>
      <c r="AE1750" s="41">
        <f>IFERROR(LOOKUP(T1750,打分卡!$F$9:$I$9,打分卡!$K$9:$N$9),1)</f>
        <v>1</v>
      </c>
      <c r="AF1750" s="41">
        <f>IFERROR(LOOKUP(Q1750,打分卡!$F$10:$J$10,打分卡!$K$10:$O$10),1)</f>
        <v>1</v>
      </c>
      <c r="AG1750" s="41">
        <f>IFERROR(LOOKUP(R1750,打分卡!$F$11:$J$11,打分卡!$K$11:$O$11),1)</f>
        <v>1</v>
      </c>
      <c r="AH1750" s="41">
        <f>IFERROR(LOOKUP(U1750,打分卡!$F$12:$J$12,打分卡!$K$12:$O$12),1)</f>
        <v>1</v>
      </c>
      <c r="AI1750" s="41">
        <f>IFERROR(LOOKUP(X1750,打分卡!$F$13:$J$13,打分卡!$K$13:$O$13),1)</f>
        <v>1</v>
      </c>
      <c r="AJ1750" s="41">
        <f>IFERROR(LOOKUP(Y1750,打分卡!$F$14:$J$14,打分卡!$K$14:$O$14),1)</f>
        <v>2</v>
      </c>
      <c r="AK1750" s="41">
        <f>IFERROR(LOOKUP(W1750,打分卡!$F$15:$J$15,打分卡!$K$15:$O$15),1)</f>
        <v>1</v>
      </c>
      <c r="AL1750" s="43">
        <f t="shared" si="217"/>
        <v>1</v>
      </c>
      <c r="AM1750" s="41">
        <f>IFERROR(LOOKUP(Z1750,打分卡!$F$17:$H$17,打分卡!$K$17:$M$17),1)</f>
        <v>1</v>
      </c>
      <c r="AN1750" s="44">
        <f>(打分卡!$D$7*AC1750+打分卡!$D$8*AD1750+打分卡!$D$9*AE1750)/5</f>
        <v>8</v>
      </c>
      <c r="AO1750" s="44">
        <f>(打分卡!$D$10*AF1750+打分卡!$D$11*AG1750)/5</f>
        <v>4</v>
      </c>
      <c r="AP1750" s="44">
        <f>(打分卡!$D$12*AH1750+打分卡!$D$13*AI1750+打分卡!$D$14*AJ1750+打分卡!$D$15*AK1750)/5</f>
        <v>7.2</v>
      </c>
      <c r="AQ1750" s="44">
        <f>(打分卡!$D$16*AL1750+打分卡!$D$17*AM1750)/5</f>
        <v>2</v>
      </c>
      <c r="AR1750" s="47">
        <f t="shared" si="218"/>
        <v>21.2</v>
      </c>
      <c r="AS1750" s="43" t="str">
        <f t="shared" si="219"/>
        <v>未激活</v>
      </c>
      <c r="AT1750" s="43" t="str">
        <f t="shared" si="220"/>
        <v>连续下降-预警</v>
      </c>
      <c r="AU1750" s="43" t="str">
        <f t="shared" si="221"/>
        <v>唤醒：短信模板+首充补贴</v>
      </c>
    </row>
    <row r="1751" ht="15" customHeight="1" spans="1:47">
      <c r="A1751" s="20" t="s">
        <v>4455</v>
      </c>
      <c r="B1751" s="22" t="s">
        <v>4456</v>
      </c>
      <c r="C1751" s="22" t="s">
        <v>189</v>
      </c>
      <c r="D1751" s="22" t="s">
        <v>235</v>
      </c>
      <c r="E1751" s="22" t="s">
        <v>197</v>
      </c>
      <c r="F1751" s="20" t="s">
        <v>4457</v>
      </c>
      <c r="G1751" s="22">
        <v>17</v>
      </c>
      <c r="H1751" s="22" t="s">
        <v>3535</v>
      </c>
      <c r="I1751" s="22" t="s">
        <v>302</v>
      </c>
      <c r="J1751" s="36">
        <v>0</v>
      </c>
      <c r="K1751" s="36">
        <v>0</v>
      </c>
      <c r="L1751" s="36">
        <v>0</v>
      </c>
      <c r="M1751" s="36">
        <f t="shared" si="216"/>
        <v>0</v>
      </c>
      <c r="N1751" s="34">
        <f t="shared" si="222"/>
        <v>0</v>
      </c>
      <c r="O1751" s="35">
        <f>SUM($M$2:M1751)</f>
        <v>190743600</v>
      </c>
      <c r="P1751" s="34">
        <f t="shared" si="223"/>
        <v>1</v>
      </c>
      <c r="Q1751" s="39">
        <v>0</v>
      </c>
      <c r="R1751" s="22">
        <v>0</v>
      </c>
      <c r="S1751" s="22">
        <v>0</v>
      </c>
      <c r="T1751" s="22">
        <v>0</v>
      </c>
      <c r="U1751" s="39">
        <v>1.5</v>
      </c>
      <c r="V1751" s="22">
        <v>11</v>
      </c>
      <c r="W1751" s="22">
        <v>0</v>
      </c>
      <c r="X1751" s="40">
        <v>15</v>
      </c>
      <c r="Y1751" s="22">
        <v>0</v>
      </c>
      <c r="Z1751" s="22">
        <v>0</v>
      </c>
      <c r="AA1751" s="22" t="s">
        <v>212</v>
      </c>
      <c r="AB1751" s="22" t="s">
        <v>220</v>
      </c>
      <c r="AC1751" s="42">
        <f>IFERROR(LOOKUP(M1751,打分卡!$F$7:$J$7,打分卡!$K$7:$O$7),1)</f>
        <v>1</v>
      </c>
      <c r="AD1751" s="42">
        <f>IFERROR(LOOKUP(S1751,打分卡!$F$8:$J$8,打分卡!$K$8:$O$8),1)</f>
        <v>1</v>
      </c>
      <c r="AE1751" s="42">
        <f>IFERROR(LOOKUP(T1751,打分卡!$F$9:$I$9,打分卡!$K$9:$N$9),1)</f>
        <v>1</v>
      </c>
      <c r="AF1751" s="42">
        <f>IFERROR(LOOKUP(Q1751,打分卡!$F$10:$J$10,打分卡!$K$10:$O$10),1)</f>
        <v>1</v>
      </c>
      <c r="AG1751" s="42">
        <f>IFERROR(LOOKUP(R1751,打分卡!$F$11:$J$11,打分卡!$K$11:$O$11),1)</f>
        <v>1</v>
      </c>
      <c r="AH1751" s="42">
        <f>IFERROR(LOOKUP(U1751,打分卡!$F$12:$J$12,打分卡!$K$12:$O$12),1)</f>
        <v>1</v>
      </c>
      <c r="AI1751" s="42">
        <f>IFERROR(LOOKUP(X1751,打分卡!$F$13:$J$13,打分卡!$K$13:$O$13),1)</f>
        <v>1</v>
      </c>
      <c r="AJ1751" s="42">
        <f>IFERROR(LOOKUP(Y1751,打分卡!$F$14:$J$14,打分卡!$K$14:$O$14),1)</f>
        <v>1</v>
      </c>
      <c r="AK1751" s="42">
        <f>IFERROR(LOOKUP(W1751,打分卡!$F$15:$J$15,打分卡!$K$15:$O$15),1)</f>
        <v>1</v>
      </c>
      <c r="AL1751" s="45">
        <f t="shared" si="217"/>
        <v>1</v>
      </c>
      <c r="AM1751" s="42">
        <f>IFERROR(LOOKUP(Z1751,打分卡!$F$17:$H$17,打分卡!$K$17:$M$17),1)</f>
        <v>1</v>
      </c>
      <c r="AN1751" s="46">
        <f>(打分卡!$D$7*AC1751+打分卡!$D$8*AD1751+打分卡!$D$9*AE1751)/5</f>
        <v>8</v>
      </c>
      <c r="AO1751" s="46">
        <f>(打分卡!$D$10*AF1751+打分卡!$D$11*AG1751)/5</f>
        <v>4</v>
      </c>
      <c r="AP1751" s="46">
        <f>(打分卡!$D$12*AH1751+打分卡!$D$13*AI1751+打分卡!$D$14*AJ1751+打分卡!$D$15*AK1751)/5</f>
        <v>6</v>
      </c>
      <c r="AQ1751" s="46">
        <f>(打分卡!$D$16*AL1751+打分卡!$D$17*AM1751)/5</f>
        <v>2</v>
      </c>
      <c r="AR1751" s="48">
        <f t="shared" si="218"/>
        <v>20</v>
      </c>
      <c r="AS1751" s="45" t="str">
        <f t="shared" si="219"/>
        <v>未激活</v>
      </c>
      <c r="AT1751" s="45" t="str">
        <f t="shared" si="220"/>
        <v>连续下降-预警</v>
      </c>
      <c r="AU1751" s="45" t="str">
        <f t="shared" si="221"/>
        <v>唤醒：短信模板+首充补贴</v>
      </c>
    </row>
    <row r="1752" ht="15" customHeight="1" spans="1:47">
      <c r="A1752" s="30" t="s">
        <v>4458</v>
      </c>
      <c r="B1752" s="31" t="s">
        <v>4459</v>
      </c>
      <c r="C1752" s="31" t="s">
        <v>179</v>
      </c>
      <c r="D1752" s="31" t="s">
        <v>227</v>
      </c>
      <c r="E1752" s="31" t="s">
        <v>197</v>
      </c>
      <c r="F1752" s="30" t="s">
        <v>2207</v>
      </c>
      <c r="G1752" s="31">
        <v>16</v>
      </c>
      <c r="H1752" s="31" t="s">
        <v>3535</v>
      </c>
      <c r="I1752" s="31" t="s">
        <v>302</v>
      </c>
      <c r="J1752" s="33">
        <v>0</v>
      </c>
      <c r="K1752" s="33">
        <v>0</v>
      </c>
      <c r="L1752" s="33">
        <v>0</v>
      </c>
      <c r="M1752" s="33">
        <f t="shared" si="216"/>
        <v>0</v>
      </c>
      <c r="N1752" s="34">
        <f t="shared" si="222"/>
        <v>0</v>
      </c>
      <c r="O1752" s="35">
        <f>SUM($M$2:M1752)</f>
        <v>190743600</v>
      </c>
      <c r="P1752" s="34">
        <f t="shared" si="223"/>
        <v>1</v>
      </c>
      <c r="Q1752" s="37">
        <v>0</v>
      </c>
      <c r="R1752" s="31">
        <v>0</v>
      </c>
      <c r="S1752" s="31">
        <v>0</v>
      </c>
      <c r="T1752" s="31">
        <v>0</v>
      </c>
      <c r="U1752" s="37">
        <v>3.7</v>
      </c>
      <c r="V1752" s="31">
        <v>10</v>
      </c>
      <c r="W1752" s="31">
        <v>2</v>
      </c>
      <c r="X1752" s="38">
        <v>79</v>
      </c>
      <c r="Y1752" s="31">
        <v>1</v>
      </c>
      <c r="Z1752" s="31">
        <v>0</v>
      </c>
      <c r="AA1752" s="31" t="s">
        <v>212</v>
      </c>
      <c r="AB1752" s="31" t="s">
        <v>220</v>
      </c>
      <c r="AC1752" s="41">
        <f>IFERROR(LOOKUP(M1752,打分卡!$F$7:$J$7,打分卡!$K$7:$O$7),1)</f>
        <v>1</v>
      </c>
      <c r="AD1752" s="41">
        <f>IFERROR(LOOKUP(S1752,打分卡!$F$8:$J$8,打分卡!$K$8:$O$8),1)</f>
        <v>1</v>
      </c>
      <c r="AE1752" s="41">
        <f>IFERROR(LOOKUP(T1752,打分卡!$F$9:$I$9,打分卡!$K$9:$N$9),1)</f>
        <v>1</v>
      </c>
      <c r="AF1752" s="41">
        <f>IFERROR(LOOKUP(Q1752,打分卡!$F$10:$J$10,打分卡!$K$10:$O$10),1)</f>
        <v>1</v>
      </c>
      <c r="AG1752" s="41">
        <f>IFERROR(LOOKUP(R1752,打分卡!$F$11:$J$11,打分卡!$K$11:$O$11),1)</f>
        <v>1</v>
      </c>
      <c r="AH1752" s="41">
        <f>IFERROR(LOOKUP(U1752,打分卡!$F$12:$J$12,打分卡!$K$12:$O$12),1)</f>
        <v>2</v>
      </c>
      <c r="AI1752" s="41">
        <f>IFERROR(LOOKUP(X1752,打分卡!$F$13:$J$13,打分卡!$K$13:$O$13),1)</f>
        <v>3</v>
      </c>
      <c r="AJ1752" s="41">
        <f>IFERROR(LOOKUP(Y1752,打分卡!$F$14:$J$14,打分卡!$K$14:$O$14),1)</f>
        <v>2</v>
      </c>
      <c r="AK1752" s="41">
        <f>IFERROR(LOOKUP(W1752,打分卡!$F$15:$J$15,打分卡!$K$15:$O$15),1)</f>
        <v>2</v>
      </c>
      <c r="AL1752" s="43">
        <f t="shared" si="217"/>
        <v>1</v>
      </c>
      <c r="AM1752" s="41">
        <f>IFERROR(LOOKUP(Z1752,打分卡!$F$17:$H$17,打分卡!$K$17:$M$17),1)</f>
        <v>1</v>
      </c>
      <c r="AN1752" s="44">
        <f>(打分卡!$D$7*AC1752+打分卡!$D$8*AD1752+打分卡!$D$9*AE1752)/5</f>
        <v>8</v>
      </c>
      <c r="AO1752" s="44">
        <f>(打分卡!$D$10*AF1752+打分卡!$D$11*AG1752)/5</f>
        <v>4</v>
      </c>
      <c r="AP1752" s="44">
        <f>(打分卡!$D$12*AH1752+打分卡!$D$13*AI1752+打分卡!$D$14*AJ1752+打分卡!$D$15*AK1752)/5</f>
        <v>13.6</v>
      </c>
      <c r="AQ1752" s="44">
        <f>(打分卡!$D$16*AL1752+打分卡!$D$17*AM1752)/5</f>
        <v>2</v>
      </c>
      <c r="AR1752" s="47">
        <f t="shared" si="218"/>
        <v>27.6</v>
      </c>
      <c r="AS1752" s="43" t="str">
        <f t="shared" si="219"/>
        <v>未激活</v>
      </c>
      <c r="AT1752" s="43" t="str">
        <f t="shared" si="220"/>
        <v>连续下降-预警</v>
      </c>
      <c r="AU1752" s="43" t="str">
        <f t="shared" si="221"/>
        <v>唤醒：短信模板+首充补贴</v>
      </c>
    </row>
    <row r="1753" ht="15" customHeight="1" spans="1:47">
      <c r="A1753" s="20" t="s">
        <v>4460</v>
      </c>
      <c r="B1753" s="22" t="s">
        <v>4461</v>
      </c>
      <c r="C1753" s="22" t="s">
        <v>179</v>
      </c>
      <c r="D1753" s="22" t="s">
        <v>196</v>
      </c>
      <c r="E1753" s="22" t="s">
        <v>197</v>
      </c>
      <c r="F1753" s="20" t="s">
        <v>265</v>
      </c>
      <c r="G1753" s="22">
        <v>20</v>
      </c>
      <c r="H1753" s="22" t="s">
        <v>3535</v>
      </c>
      <c r="I1753" s="22" t="s">
        <v>302</v>
      </c>
      <c r="J1753" s="36">
        <v>0</v>
      </c>
      <c r="K1753" s="36">
        <v>0</v>
      </c>
      <c r="L1753" s="36">
        <v>0</v>
      </c>
      <c r="M1753" s="36">
        <f t="shared" si="216"/>
        <v>0</v>
      </c>
      <c r="N1753" s="34">
        <f t="shared" si="222"/>
        <v>0</v>
      </c>
      <c r="O1753" s="35">
        <f>SUM($M$2:M1753)</f>
        <v>190743600</v>
      </c>
      <c r="P1753" s="34">
        <f t="shared" si="223"/>
        <v>1</v>
      </c>
      <c r="Q1753" s="39">
        <v>0</v>
      </c>
      <c r="R1753" s="22">
        <v>0</v>
      </c>
      <c r="S1753" s="22">
        <v>0</v>
      </c>
      <c r="T1753" s="22">
        <v>0</v>
      </c>
      <c r="U1753" s="39">
        <v>7.6</v>
      </c>
      <c r="V1753" s="22">
        <v>1</v>
      </c>
      <c r="W1753" s="22">
        <v>0</v>
      </c>
      <c r="X1753" s="40">
        <v>38</v>
      </c>
      <c r="Y1753" s="22">
        <v>0</v>
      </c>
      <c r="Z1753" s="22">
        <v>0</v>
      </c>
      <c r="AA1753" s="22" t="s">
        <v>212</v>
      </c>
      <c r="AB1753" s="22" t="s">
        <v>220</v>
      </c>
      <c r="AC1753" s="42">
        <f>IFERROR(LOOKUP(M1753,打分卡!$F$7:$J$7,打分卡!$K$7:$O$7),1)</f>
        <v>1</v>
      </c>
      <c r="AD1753" s="42">
        <f>IFERROR(LOOKUP(S1753,打分卡!$F$8:$J$8,打分卡!$K$8:$O$8),1)</f>
        <v>1</v>
      </c>
      <c r="AE1753" s="42">
        <f>IFERROR(LOOKUP(T1753,打分卡!$F$9:$I$9,打分卡!$K$9:$N$9),1)</f>
        <v>1</v>
      </c>
      <c r="AF1753" s="42">
        <f>IFERROR(LOOKUP(Q1753,打分卡!$F$10:$J$10,打分卡!$K$10:$O$10),1)</f>
        <v>1</v>
      </c>
      <c r="AG1753" s="42">
        <f>IFERROR(LOOKUP(R1753,打分卡!$F$11:$J$11,打分卡!$K$11:$O$11),1)</f>
        <v>1</v>
      </c>
      <c r="AH1753" s="42">
        <f>IFERROR(LOOKUP(U1753,打分卡!$F$12:$J$12,打分卡!$K$12:$O$12),1)</f>
        <v>2</v>
      </c>
      <c r="AI1753" s="42">
        <f>IFERROR(LOOKUP(X1753,打分卡!$F$13:$J$13,打分卡!$K$13:$O$13),1)</f>
        <v>2</v>
      </c>
      <c r="AJ1753" s="42">
        <f>IFERROR(LOOKUP(Y1753,打分卡!$F$14:$J$14,打分卡!$K$14:$O$14),1)</f>
        <v>1</v>
      </c>
      <c r="AK1753" s="42">
        <f>IFERROR(LOOKUP(W1753,打分卡!$F$15:$J$15,打分卡!$K$15:$O$15),1)</f>
        <v>1</v>
      </c>
      <c r="AL1753" s="45">
        <f t="shared" si="217"/>
        <v>1</v>
      </c>
      <c r="AM1753" s="42">
        <f>IFERROR(LOOKUP(Z1753,打分卡!$F$17:$H$17,打分卡!$K$17:$M$17),1)</f>
        <v>1</v>
      </c>
      <c r="AN1753" s="46">
        <f>(打分卡!$D$7*AC1753+打分卡!$D$8*AD1753+打分卡!$D$9*AE1753)/5</f>
        <v>8</v>
      </c>
      <c r="AO1753" s="46">
        <f>(打分卡!$D$10*AF1753+打分卡!$D$11*AG1753)/5</f>
        <v>4</v>
      </c>
      <c r="AP1753" s="46">
        <f>(打分卡!$D$12*AH1753+打分卡!$D$13*AI1753+打分卡!$D$14*AJ1753+打分卡!$D$15*AK1753)/5</f>
        <v>10</v>
      </c>
      <c r="AQ1753" s="46">
        <f>(打分卡!$D$16*AL1753+打分卡!$D$17*AM1753)/5</f>
        <v>2</v>
      </c>
      <c r="AR1753" s="48">
        <f t="shared" si="218"/>
        <v>24</v>
      </c>
      <c r="AS1753" s="45" t="str">
        <f t="shared" si="219"/>
        <v>未激活</v>
      </c>
      <c r="AT1753" s="45" t="str">
        <f t="shared" si="220"/>
        <v>连续下降-预警</v>
      </c>
      <c r="AU1753" s="45" t="str">
        <f t="shared" si="221"/>
        <v>唤醒：短信模板+首充补贴</v>
      </c>
    </row>
    <row r="1754" ht="15" customHeight="1" spans="1:47">
      <c r="A1754" s="30" t="s">
        <v>4462</v>
      </c>
      <c r="B1754" s="31" t="s">
        <v>4463</v>
      </c>
      <c r="C1754" s="31" t="s">
        <v>239</v>
      </c>
      <c r="D1754" s="31" t="s">
        <v>202</v>
      </c>
      <c r="E1754" s="31" t="s">
        <v>181</v>
      </c>
      <c r="F1754" s="30" t="s">
        <v>882</v>
      </c>
      <c r="G1754" s="31">
        <v>12</v>
      </c>
      <c r="H1754" s="31" t="s">
        <v>3535</v>
      </c>
      <c r="I1754" s="31" t="s">
        <v>302</v>
      </c>
      <c r="J1754" s="33">
        <v>0</v>
      </c>
      <c r="K1754" s="33">
        <v>0</v>
      </c>
      <c r="L1754" s="33">
        <v>0</v>
      </c>
      <c r="M1754" s="33">
        <f t="shared" si="216"/>
        <v>0</v>
      </c>
      <c r="N1754" s="34">
        <f t="shared" si="222"/>
        <v>0</v>
      </c>
      <c r="O1754" s="35">
        <f>SUM($M$2:M1754)</f>
        <v>190743600</v>
      </c>
      <c r="P1754" s="34">
        <f t="shared" si="223"/>
        <v>1</v>
      </c>
      <c r="Q1754" s="37">
        <v>0</v>
      </c>
      <c r="R1754" s="31">
        <v>0</v>
      </c>
      <c r="S1754" s="31">
        <v>0</v>
      </c>
      <c r="T1754" s="31">
        <v>0</v>
      </c>
      <c r="U1754" s="37">
        <v>5.5</v>
      </c>
      <c r="V1754" s="31">
        <v>11</v>
      </c>
      <c r="W1754" s="31">
        <v>0</v>
      </c>
      <c r="X1754" s="38">
        <v>6</v>
      </c>
      <c r="Y1754" s="31">
        <v>0</v>
      </c>
      <c r="Z1754" s="31">
        <v>0</v>
      </c>
      <c r="AA1754" s="31" t="s">
        <v>212</v>
      </c>
      <c r="AB1754" s="31" t="s">
        <v>220</v>
      </c>
      <c r="AC1754" s="41">
        <f>IFERROR(LOOKUP(M1754,打分卡!$F$7:$J$7,打分卡!$K$7:$O$7),1)</f>
        <v>1</v>
      </c>
      <c r="AD1754" s="41">
        <f>IFERROR(LOOKUP(S1754,打分卡!$F$8:$J$8,打分卡!$K$8:$O$8),1)</f>
        <v>1</v>
      </c>
      <c r="AE1754" s="41">
        <f>IFERROR(LOOKUP(T1754,打分卡!$F$9:$I$9,打分卡!$K$9:$N$9),1)</f>
        <v>1</v>
      </c>
      <c r="AF1754" s="41">
        <f>IFERROR(LOOKUP(Q1754,打分卡!$F$10:$J$10,打分卡!$K$10:$O$10),1)</f>
        <v>1</v>
      </c>
      <c r="AG1754" s="41">
        <f>IFERROR(LOOKUP(R1754,打分卡!$F$11:$J$11,打分卡!$K$11:$O$11),1)</f>
        <v>1</v>
      </c>
      <c r="AH1754" s="41">
        <f>IFERROR(LOOKUP(U1754,打分卡!$F$12:$J$12,打分卡!$K$12:$O$12),1)</f>
        <v>2</v>
      </c>
      <c r="AI1754" s="41">
        <f>IFERROR(LOOKUP(X1754,打分卡!$F$13:$J$13,打分卡!$K$13:$O$13),1)</f>
        <v>1</v>
      </c>
      <c r="AJ1754" s="41">
        <f>IFERROR(LOOKUP(Y1754,打分卡!$F$14:$J$14,打分卡!$K$14:$O$14),1)</f>
        <v>1</v>
      </c>
      <c r="AK1754" s="41">
        <f>IFERROR(LOOKUP(W1754,打分卡!$F$15:$J$15,打分卡!$K$15:$O$15),1)</f>
        <v>1</v>
      </c>
      <c r="AL1754" s="43">
        <f t="shared" si="217"/>
        <v>1</v>
      </c>
      <c r="AM1754" s="41">
        <f>IFERROR(LOOKUP(Z1754,打分卡!$F$17:$H$17,打分卡!$K$17:$M$17),1)</f>
        <v>1</v>
      </c>
      <c r="AN1754" s="44">
        <f>(打分卡!$D$7*AC1754+打分卡!$D$8*AD1754+打分卡!$D$9*AE1754)/5</f>
        <v>8</v>
      </c>
      <c r="AO1754" s="44">
        <f>(打分卡!$D$10*AF1754+打分卡!$D$11*AG1754)/5</f>
        <v>4</v>
      </c>
      <c r="AP1754" s="44">
        <f>(打分卡!$D$12*AH1754+打分卡!$D$13*AI1754+打分卡!$D$14*AJ1754+打分卡!$D$15*AK1754)/5</f>
        <v>8.4</v>
      </c>
      <c r="AQ1754" s="44">
        <f>(打分卡!$D$16*AL1754+打分卡!$D$17*AM1754)/5</f>
        <v>2</v>
      </c>
      <c r="AR1754" s="47">
        <f t="shared" si="218"/>
        <v>22.4</v>
      </c>
      <c r="AS1754" s="43" t="str">
        <f t="shared" si="219"/>
        <v>未激活</v>
      </c>
      <c r="AT1754" s="43" t="str">
        <f t="shared" si="220"/>
        <v>连续下降-预警</v>
      </c>
      <c r="AU1754" s="43" t="str">
        <f t="shared" si="221"/>
        <v>唤醒：短信模板+首充补贴</v>
      </c>
    </row>
    <row r="1755" ht="15" customHeight="1" spans="1:47">
      <c r="A1755" s="20" t="s">
        <v>4464</v>
      </c>
      <c r="B1755" s="22" t="s">
        <v>4465</v>
      </c>
      <c r="C1755" s="22" t="s">
        <v>179</v>
      </c>
      <c r="D1755" s="22" t="s">
        <v>202</v>
      </c>
      <c r="E1755" s="22" t="s">
        <v>197</v>
      </c>
      <c r="F1755" s="20" t="s">
        <v>3968</v>
      </c>
      <c r="G1755" s="22">
        <v>28</v>
      </c>
      <c r="H1755" s="22" t="s">
        <v>3535</v>
      </c>
      <c r="I1755" s="22" t="s">
        <v>302</v>
      </c>
      <c r="J1755" s="36">
        <v>0</v>
      </c>
      <c r="K1755" s="36">
        <v>0</v>
      </c>
      <c r="L1755" s="36">
        <v>0</v>
      </c>
      <c r="M1755" s="36">
        <f t="shared" si="216"/>
        <v>0</v>
      </c>
      <c r="N1755" s="34">
        <f t="shared" si="222"/>
        <v>0</v>
      </c>
      <c r="O1755" s="35">
        <f>SUM($M$2:M1755)</f>
        <v>190743600</v>
      </c>
      <c r="P1755" s="34">
        <f t="shared" si="223"/>
        <v>1</v>
      </c>
      <c r="Q1755" s="39">
        <v>0</v>
      </c>
      <c r="R1755" s="22">
        <v>0</v>
      </c>
      <c r="S1755" s="22">
        <v>0</v>
      </c>
      <c r="T1755" s="22">
        <v>0</v>
      </c>
      <c r="U1755" s="39">
        <v>6.4</v>
      </c>
      <c r="V1755" s="22">
        <v>8</v>
      </c>
      <c r="W1755" s="22">
        <v>1</v>
      </c>
      <c r="X1755" s="40">
        <v>48</v>
      </c>
      <c r="Y1755" s="22">
        <v>0</v>
      </c>
      <c r="Z1755" s="22">
        <v>0</v>
      </c>
      <c r="AA1755" s="22" t="s">
        <v>212</v>
      </c>
      <c r="AB1755" s="22" t="s">
        <v>220</v>
      </c>
      <c r="AC1755" s="42">
        <f>IFERROR(LOOKUP(M1755,打分卡!$F$7:$J$7,打分卡!$K$7:$O$7),1)</f>
        <v>1</v>
      </c>
      <c r="AD1755" s="42">
        <f>IFERROR(LOOKUP(S1755,打分卡!$F$8:$J$8,打分卡!$K$8:$O$8),1)</f>
        <v>1</v>
      </c>
      <c r="AE1755" s="42">
        <f>IFERROR(LOOKUP(T1755,打分卡!$F$9:$I$9,打分卡!$K$9:$N$9),1)</f>
        <v>1</v>
      </c>
      <c r="AF1755" s="42">
        <f>IFERROR(LOOKUP(Q1755,打分卡!$F$10:$J$10,打分卡!$K$10:$O$10),1)</f>
        <v>1</v>
      </c>
      <c r="AG1755" s="42">
        <f>IFERROR(LOOKUP(R1755,打分卡!$F$11:$J$11,打分卡!$K$11:$O$11),1)</f>
        <v>1</v>
      </c>
      <c r="AH1755" s="42">
        <f>IFERROR(LOOKUP(U1755,打分卡!$F$12:$J$12,打分卡!$K$12:$O$12),1)</f>
        <v>2</v>
      </c>
      <c r="AI1755" s="42">
        <f>IFERROR(LOOKUP(X1755,打分卡!$F$13:$J$13,打分卡!$K$13:$O$13),1)</f>
        <v>3</v>
      </c>
      <c r="AJ1755" s="42">
        <f>IFERROR(LOOKUP(Y1755,打分卡!$F$14:$J$14,打分卡!$K$14:$O$14),1)</f>
        <v>1</v>
      </c>
      <c r="AK1755" s="42">
        <f>IFERROR(LOOKUP(W1755,打分卡!$F$15:$J$15,打分卡!$K$15:$O$15),1)</f>
        <v>2</v>
      </c>
      <c r="AL1755" s="45">
        <f t="shared" si="217"/>
        <v>1</v>
      </c>
      <c r="AM1755" s="42">
        <f>IFERROR(LOOKUP(Z1755,打分卡!$F$17:$H$17,打分卡!$K$17:$M$17),1)</f>
        <v>1</v>
      </c>
      <c r="AN1755" s="46">
        <f>(打分卡!$D$7*AC1755+打分卡!$D$8*AD1755+打分卡!$D$9*AE1755)/5</f>
        <v>8</v>
      </c>
      <c r="AO1755" s="46">
        <f>(打分卡!$D$10*AF1755+打分卡!$D$11*AG1755)/5</f>
        <v>4</v>
      </c>
      <c r="AP1755" s="46">
        <f>(打分卡!$D$12*AH1755+打分卡!$D$13*AI1755+打分卡!$D$14*AJ1755+打分卡!$D$15*AK1755)/5</f>
        <v>12.4</v>
      </c>
      <c r="AQ1755" s="46">
        <f>(打分卡!$D$16*AL1755+打分卡!$D$17*AM1755)/5</f>
        <v>2</v>
      </c>
      <c r="AR1755" s="48">
        <f t="shared" si="218"/>
        <v>26.4</v>
      </c>
      <c r="AS1755" s="45" t="str">
        <f t="shared" si="219"/>
        <v>未激活</v>
      </c>
      <c r="AT1755" s="45" t="str">
        <f t="shared" si="220"/>
        <v>连续下降-预警</v>
      </c>
      <c r="AU1755" s="45" t="str">
        <f t="shared" si="221"/>
        <v>唤醒：短信模板+首充补贴</v>
      </c>
    </row>
    <row r="1756" ht="15" customHeight="1" spans="1:47">
      <c r="A1756" s="30" t="s">
        <v>4466</v>
      </c>
      <c r="B1756" s="31" t="s">
        <v>4467</v>
      </c>
      <c r="C1756" s="31" t="s">
        <v>223</v>
      </c>
      <c r="D1756" s="31" t="s">
        <v>190</v>
      </c>
      <c r="E1756" s="31" t="s">
        <v>181</v>
      </c>
      <c r="F1756" s="30" t="s">
        <v>3902</v>
      </c>
      <c r="G1756" s="31">
        <v>20</v>
      </c>
      <c r="H1756" s="31" t="s">
        <v>3535</v>
      </c>
      <c r="I1756" s="31" t="s">
        <v>302</v>
      </c>
      <c r="J1756" s="33">
        <v>0</v>
      </c>
      <c r="K1756" s="33">
        <v>0</v>
      </c>
      <c r="L1756" s="33">
        <v>0</v>
      </c>
      <c r="M1756" s="33">
        <f t="shared" si="216"/>
        <v>0</v>
      </c>
      <c r="N1756" s="34">
        <f t="shared" si="222"/>
        <v>0</v>
      </c>
      <c r="O1756" s="35">
        <f>SUM($M$2:M1756)</f>
        <v>190743600</v>
      </c>
      <c r="P1756" s="34">
        <f t="shared" si="223"/>
        <v>1</v>
      </c>
      <c r="Q1756" s="37">
        <v>0</v>
      </c>
      <c r="R1756" s="31">
        <v>0</v>
      </c>
      <c r="S1756" s="31">
        <v>0</v>
      </c>
      <c r="T1756" s="31">
        <v>0</v>
      </c>
      <c r="U1756" s="37">
        <v>0.6</v>
      </c>
      <c r="V1756" s="31">
        <v>6</v>
      </c>
      <c r="W1756" s="31">
        <v>2</v>
      </c>
      <c r="X1756" s="38">
        <v>31</v>
      </c>
      <c r="Y1756" s="31">
        <v>0</v>
      </c>
      <c r="Z1756" s="31">
        <v>0</v>
      </c>
      <c r="AA1756" s="31" t="s">
        <v>212</v>
      </c>
      <c r="AB1756" s="31" t="s">
        <v>220</v>
      </c>
      <c r="AC1756" s="41">
        <f>IFERROR(LOOKUP(M1756,打分卡!$F$7:$J$7,打分卡!$K$7:$O$7),1)</f>
        <v>1</v>
      </c>
      <c r="AD1756" s="41">
        <f>IFERROR(LOOKUP(S1756,打分卡!$F$8:$J$8,打分卡!$K$8:$O$8),1)</f>
        <v>1</v>
      </c>
      <c r="AE1756" s="41">
        <f>IFERROR(LOOKUP(T1756,打分卡!$F$9:$I$9,打分卡!$K$9:$N$9),1)</f>
        <v>1</v>
      </c>
      <c r="AF1756" s="41">
        <f>IFERROR(LOOKUP(Q1756,打分卡!$F$10:$J$10,打分卡!$K$10:$O$10),1)</f>
        <v>1</v>
      </c>
      <c r="AG1756" s="41">
        <f>IFERROR(LOOKUP(R1756,打分卡!$F$11:$J$11,打分卡!$K$11:$O$11),1)</f>
        <v>1</v>
      </c>
      <c r="AH1756" s="41">
        <f>IFERROR(LOOKUP(U1756,打分卡!$F$12:$J$12,打分卡!$K$12:$O$12),1)</f>
        <v>1</v>
      </c>
      <c r="AI1756" s="41">
        <f>IFERROR(LOOKUP(X1756,打分卡!$F$13:$J$13,打分卡!$K$13:$O$13),1)</f>
        <v>2</v>
      </c>
      <c r="AJ1756" s="41">
        <f>IFERROR(LOOKUP(Y1756,打分卡!$F$14:$J$14,打分卡!$K$14:$O$14),1)</f>
        <v>1</v>
      </c>
      <c r="AK1756" s="41">
        <f>IFERROR(LOOKUP(W1756,打分卡!$F$15:$J$15,打分卡!$K$15:$O$15),1)</f>
        <v>2</v>
      </c>
      <c r="AL1756" s="43">
        <f t="shared" si="217"/>
        <v>1</v>
      </c>
      <c r="AM1756" s="41">
        <f>IFERROR(LOOKUP(Z1756,打分卡!$F$17:$H$17,打分卡!$K$17:$M$17),1)</f>
        <v>1</v>
      </c>
      <c r="AN1756" s="44">
        <f>(打分卡!$D$7*AC1756+打分卡!$D$8*AD1756+打分卡!$D$9*AE1756)/5</f>
        <v>8</v>
      </c>
      <c r="AO1756" s="44">
        <f>(打分卡!$D$10*AF1756+打分卡!$D$11*AG1756)/5</f>
        <v>4</v>
      </c>
      <c r="AP1756" s="44">
        <f>(打分卡!$D$12*AH1756+打分卡!$D$13*AI1756+打分卡!$D$14*AJ1756+打分卡!$D$15*AK1756)/5</f>
        <v>8.4</v>
      </c>
      <c r="AQ1756" s="44">
        <f>(打分卡!$D$16*AL1756+打分卡!$D$17*AM1756)/5</f>
        <v>2</v>
      </c>
      <c r="AR1756" s="47">
        <f t="shared" si="218"/>
        <v>22.4</v>
      </c>
      <c r="AS1756" s="43" t="str">
        <f t="shared" si="219"/>
        <v>未激活</v>
      </c>
      <c r="AT1756" s="43" t="str">
        <f t="shared" si="220"/>
        <v>连续下降-预警</v>
      </c>
      <c r="AU1756" s="43" t="str">
        <f t="shared" si="221"/>
        <v>唤醒：短信模板+首充补贴</v>
      </c>
    </row>
    <row r="1757" ht="15" customHeight="1" spans="1:47">
      <c r="A1757" s="20" t="s">
        <v>4468</v>
      </c>
      <c r="B1757" s="22" t="s">
        <v>4469</v>
      </c>
      <c r="C1757" s="22" t="s">
        <v>239</v>
      </c>
      <c r="D1757" s="22" t="s">
        <v>190</v>
      </c>
      <c r="E1757" s="22" t="s">
        <v>197</v>
      </c>
      <c r="F1757" s="20" t="s">
        <v>1954</v>
      </c>
      <c r="G1757" s="22">
        <v>15</v>
      </c>
      <c r="H1757" s="22" t="s">
        <v>3535</v>
      </c>
      <c r="I1757" s="22" t="s">
        <v>302</v>
      </c>
      <c r="J1757" s="36">
        <v>0</v>
      </c>
      <c r="K1757" s="36">
        <v>0</v>
      </c>
      <c r="L1757" s="36">
        <v>0</v>
      </c>
      <c r="M1757" s="36">
        <f t="shared" si="216"/>
        <v>0</v>
      </c>
      <c r="N1757" s="34">
        <f t="shared" si="222"/>
        <v>0</v>
      </c>
      <c r="O1757" s="35">
        <f>SUM($M$2:M1757)</f>
        <v>190743600</v>
      </c>
      <c r="P1757" s="34">
        <f t="shared" si="223"/>
        <v>1</v>
      </c>
      <c r="Q1757" s="39">
        <v>0</v>
      </c>
      <c r="R1757" s="22">
        <v>0</v>
      </c>
      <c r="S1757" s="22">
        <v>0</v>
      </c>
      <c r="T1757" s="22">
        <v>0</v>
      </c>
      <c r="U1757" s="39">
        <v>12.4</v>
      </c>
      <c r="V1757" s="22">
        <v>9</v>
      </c>
      <c r="W1757" s="22">
        <v>2</v>
      </c>
      <c r="X1757" s="40">
        <v>7</v>
      </c>
      <c r="Y1757" s="22">
        <v>1</v>
      </c>
      <c r="Z1757" s="22">
        <v>0</v>
      </c>
      <c r="AA1757" s="22" t="s">
        <v>212</v>
      </c>
      <c r="AB1757" s="22" t="s">
        <v>220</v>
      </c>
      <c r="AC1757" s="42">
        <f>IFERROR(LOOKUP(M1757,打分卡!$F$7:$J$7,打分卡!$K$7:$O$7),1)</f>
        <v>1</v>
      </c>
      <c r="AD1757" s="42">
        <f>IFERROR(LOOKUP(S1757,打分卡!$F$8:$J$8,打分卡!$K$8:$O$8),1)</f>
        <v>1</v>
      </c>
      <c r="AE1757" s="42">
        <f>IFERROR(LOOKUP(T1757,打分卡!$F$9:$I$9,打分卡!$K$9:$N$9),1)</f>
        <v>1</v>
      </c>
      <c r="AF1757" s="42">
        <f>IFERROR(LOOKUP(Q1757,打分卡!$F$10:$J$10,打分卡!$K$10:$O$10),1)</f>
        <v>1</v>
      </c>
      <c r="AG1757" s="42">
        <f>IFERROR(LOOKUP(R1757,打分卡!$F$11:$J$11,打分卡!$K$11:$O$11),1)</f>
        <v>1</v>
      </c>
      <c r="AH1757" s="42">
        <f>IFERROR(LOOKUP(U1757,打分卡!$F$12:$J$12,打分卡!$K$12:$O$12),1)</f>
        <v>3</v>
      </c>
      <c r="AI1757" s="42">
        <f>IFERROR(LOOKUP(X1757,打分卡!$F$13:$J$13,打分卡!$K$13:$O$13),1)</f>
        <v>1</v>
      </c>
      <c r="AJ1757" s="42">
        <f>IFERROR(LOOKUP(Y1757,打分卡!$F$14:$J$14,打分卡!$K$14:$O$14),1)</f>
        <v>2</v>
      </c>
      <c r="AK1757" s="42">
        <f>IFERROR(LOOKUP(W1757,打分卡!$F$15:$J$15,打分卡!$K$15:$O$15),1)</f>
        <v>2</v>
      </c>
      <c r="AL1757" s="45">
        <f t="shared" si="217"/>
        <v>1</v>
      </c>
      <c r="AM1757" s="42">
        <f>IFERROR(LOOKUP(Z1757,打分卡!$F$17:$H$17,打分卡!$K$17:$M$17),1)</f>
        <v>1</v>
      </c>
      <c r="AN1757" s="46">
        <f>(打分卡!$D$7*AC1757+打分卡!$D$8*AD1757+打分卡!$D$9*AE1757)/5</f>
        <v>8</v>
      </c>
      <c r="AO1757" s="46">
        <f>(打分卡!$D$10*AF1757+打分卡!$D$11*AG1757)/5</f>
        <v>4</v>
      </c>
      <c r="AP1757" s="46">
        <f>(打分卡!$D$12*AH1757+打分卡!$D$13*AI1757+打分卡!$D$14*AJ1757+打分卡!$D$15*AK1757)/5</f>
        <v>12.8</v>
      </c>
      <c r="AQ1757" s="46">
        <f>(打分卡!$D$16*AL1757+打分卡!$D$17*AM1757)/5</f>
        <v>2</v>
      </c>
      <c r="AR1757" s="48">
        <f t="shared" si="218"/>
        <v>26.8</v>
      </c>
      <c r="AS1757" s="45" t="str">
        <f t="shared" si="219"/>
        <v>未激活</v>
      </c>
      <c r="AT1757" s="45" t="str">
        <f t="shared" si="220"/>
        <v>连续下降-预警</v>
      </c>
      <c r="AU1757" s="45" t="str">
        <f t="shared" si="221"/>
        <v>唤醒：短信模板+首充补贴</v>
      </c>
    </row>
    <row r="1758" ht="15" customHeight="1" spans="1:47">
      <c r="A1758" s="30" t="s">
        <v>4470</v>
      </c>
      <c r="B1758" s="31" t="s">
        <v>4471</v>
      </c>
      <c r="C1758" s="31" t="s">
        <v>179</v>
      </c>
      <c r="D1758" s="31" t="s">
        <v>252</v>
      </c>
      <c r="E1758" s="31" t="s">
        <v>181</v>
      </c>
      <c r="F1758" s="30" t="s">
        <v>3816</v>
      </c>
      <c r="G1758" s="31">
        <v>35</v>
      </c>
      <c r="H1758" s="31" t="s">
        <v>3535</v>
      </c>
      <c r="I1758" s="31" t="s">
        <v>302</v>
      </c>
      <c r="J1758" s="33">
        <v>0</v>
      </c>
      <c r="K1758" s="33">
        <v>0</v>
      </c>
      <c r="L1758" s="33">
        <v>0</v>
      </c>
      <c r="M1758" s="33">
        <f t="shared" si="216"/>
        <v>0</v>
      </c>
      <c r="N1758" s="34">
        <f t="shared" si="222"/>
        <v>0</v>
      </c>
      <c r="O1758" s="35">
        <f>SUM($M$2:M1758)</f>
        <v>190743600</v>
      </c>
      <c r="P1758" s="34">
        <f t="shared" si="223"/>
        <v>1</v>
      </c>
      <c r="Q1758" s="37">
        <v>0</v>
      </c>
      <c r="R1758" s="31">
        <v>0</v>
      </c>
      <c r="S1758" s="31">
        <v>0</v>
      </c>
      <c r="T1758" s="31">
        <v>0</v>
      </c>
      <c r="U1758" s="37">
        <v>39.8</v>
      </c>
      <c r="V1758" s="31">
        <v>15</v>
      </c>
      <c r="W1758" s="31">
        <v>1</v>
      </c>
      <c r="X1758" s="38">
        <v>32</v>
      </c>
      <c r="Y1758" s="31">
        <v>0</v>
      </c>
      <c r="Z1758" s="31">
        <v>0</v>
      </c>
      <c r="AA1758" s="31" t="s">
        <v>212</v>
      </c>
      <c r="AB1758" s="31" t="s">
        <v>220</v>
      </c>
      <c r="AC1758" s="41">
        <f>IFERROR(LOOKUP(M1758,打分卡!$F$7:$J$7,打分卡!$K$7:$O$7),1)</f>
        <v>1</v>
      </c>
      <c r="AD1758" s="41">
        <f>IFERROR(LOOKUP(S1758,打分卡!$F$8:$J$8,打分卡!$K$8:$O$8),1)</f>
        <v>1</v>
      </c>
      <c r="AE1758" s="41">
        <f>IFERROR(LOOKUP(T1758,打分卡!$F$9:$I$9,打分卡!$K$9:$N$9),1)</f>
        <v>1</v>
      </c>
      <c r="AF1758" s="41">
        <f>IFERROR(LOOKUP(Q1758,打分卡!$F$10:$J$10,打分卡!$K$10:$O$10),1)</f>
        <v>1</v>
      </c>
      <c r="AG1758" s="41">
        <f>IFERROR(LOOKUP(R1758,打分卡!$F$11:$J$11,打分卡!$K$11:$O$11),1)</f>
        <v>1</v>
      </c>
      <c r="AH1758" s="41">
        <f>IFERROR(LOOKUP(U1758,打分卡!$F$12:$J$12,打分卡!$K$12:$O$12),1)</f>
        <v>4</v>
      </c>
      <c r="AI1758" s="41">
        <f>IFERROR(LOOKUP(X1758,打分卡!$F$13:$J$13,打分卡!$K$13:$O$13),1)</f>
        <v>2</v>
      </c>
      <c r="AJ1758" s="41">
        <f>IFERROR(LOOKUP(Y1758,打分卡!$F$14:$J$14,打分卡!$K$14:$O$14),1)</f>
        <v>1</v>
      </c>
      <c r="AK1758" s="41">
        <f>IFERROR(LOOKUP(W1758,打分卡!$F$15:$J$15,打分卡!$K$15:$O$15),1)</f>
        <v>2</v>
      </c>
      <c r="AL1758" s="43">
        <f t="shared" si="217"/>
        <v>1</v>
      </c>
      <c r="AM1758" s="41">
        <f>IFERROR(LOOKUP(Z1758,打分卡!$F$17:$H$17,打分卡!$K$17:$M$17),1)</f>
        <v>1</v>
      </c>
      <c r="AN1758" s="44">
        <f>(打分卡!$D$7*AC1758+打分卡!$D$8*AD1758+打分卡!$D$9*AE1758)/5</f>
        <v>8</v>
      </c>
      <c r="AO1758" s="44">
        <f>(打分卡!$D$10*AF1758+打分卡!$D$11*AG1758)/5</f>
        <v>4</v>
      </c>
      <c r="AP1758" s="44">
        <f>(打分卡!$D$12*AH1758+打分卡!$D$13*AI1758+打分卡!$D$14*AJ1758+打分卡!$D$15*AK1758)/5</f>
        <v>15.6</v>
      </c>
      <c r="AQ1758" s="44">
        <f>(打分卡!$D$16*AL1758+打分卡!$D$17*AM1758)/5</f>
        <v>2</v>
      </c>
      <c r="AR1758" s="47">
        <f t="shared" si="218"/>
        <v>29.6</v>
      </c>
      <c r="AS1758" s="43" t="str">
        <f t="shared" si="219"/>
        <v>未激活</v>
      </c>
      <c r="AT1758" s="43" t="str">
        <f t="shared" si="220"/>
        <v>连续下降-预警</v>
      </c>
      <c r="AU1758" s="43" t="str">
        <f t="shared" si="221"/>
        <v>唤醒：短信模板+首充补贴</v>
      </c>
    </row>
    <row r="1759" ht="15" customHeight="1" spans="1:47">
      <c r="A1759" s="20" t="s">
        <v>4472</v>
      </c>
      <c r="B1759" s="22" t="s">
        <v>4473</v>
      </c>
      <c r="C1759" s="22" t="s">
        <v>195</v>
      </c>
      <c r="D1759" s="22" t="s">
        <v>227</v>
      </c>
      <c r="E1759" s="22" t="s">
        <v>197</v>
      </c>
      <c r="F1759" s="20" t="s">
        <v>769</v>
      </c>
      <c r="G1759" s="22">
        <v>24</v>
      </c>
      <c r="H1759" s="22" t="s">
        <v>3535</v>
      </c>
      <c r="I1759" s="22" t="s">
        <v>302</v>
      </c>
      <c r="J1759" s="36">
        <v>0</v>
      </c>
      <c r="K1759" s="36">
        <v>0</v>
      </c>
      <c r="L1759" s="36">
        <v>0</v>
      </c>
      <c r="M1759" s="36">
        <f t="shared" si="216"/>
        <v>0</v>
      </c>
      <c r="N1759" s="34">
        <f t="shared" si="222"/>
        <v>0</v>
      </c>
      <c r="O1759" s="35">
        <f>SUM($M$2:M1759)</f>
        <v>190743600</v>
      </c>
      <c r="P1759" s="34">
        <f t="shared" si="223"/>
        <v>1</v>
      </c>
      <c r="Q1759" s="39">
        <v>0</v>
      </c>
      <c r="R1759" s="22">
        <v>0</v>
      </c>
      <c r="S1759" s="22">
        <v>0</v>
      </c>
      <c r="T1759" s="22">
        <v>0</v>
      </c>
      <c r="U1759" s="39">
        <v>41.4</v>
      </c>
      <c r="V1759" s="22">
        <v>12</v>
      </c>
      <c r="W1759" s="22">
        <v>0</v>
      </c>
      <c r="X1759" s="40">
        <v>9</v>
      </c>
      <c r="Y1759" s="22">
        <v>0</v>
      </c>
      <c r="Z1759" s="22">
        <v>0</v>
      </c>
      <c r="AA1759" s="22" t="s">
        <v>212</v>
      </c>
      <c r="AB1759" s="22" t="s">
        <v>220</v>
      </c>
      <c r="AC1759" s="42">
        <f>IFERROR(LOOKUP(M1759,打分卡!$F$7:$J$7,打分卡!$K$7:$O$7),1)</f>
        <v>1</v>
      </c>
      <c r="AD1759" s="42">
        <f>IFERROR(LOOKUP(S1759,打分卡!$F$8:$J$8,打分卡!$K$8:$O$8),1)</f>
        <v>1</v>
      </c>
      <c r="AE1759" s="42">
        <f>IFERROR(LOOKUP(T1759,打分卡!$F$9:$I$9,打分卡!$K$9:$N$9),1)</f>
        <v>1</v>
      </c>
      <c r="AF1759" s="42">
        <f>IFERROR(LOOKUP(Q1759,打分卡!$F$10:$J$10,打分卡!$K$10:$O$10),1)</f>
        <v>1</v>
      </c>
      <c r="AG1759" s="42">
        <f>IFERROR(LOOKUP(R1759,打分卡!$F$11:$J$11,打分卡!$K$11:$O$11),1)</f>
        <v>1</v>
      </c>
      <c r="AH1759" s="42">
        <f>IFERROR(LOOKUP(U1759,打分卡!$F$12:$J$12,打分卡!$K$12:$O$12),1)</f>
        <v>4</v>
      </c>
      <c r="AI1759" s="42">
        <f>IFERROR(LOOKUP(X1759,打分卡!$F$13:$J$13,打分卡!$K$13:$O$13),1)</f>
        <v>1</v>
      </c>
      <c r="AJ1759" s="42">
        <f>IFERROR(LOOKUP(Y1759,打分卡!$F$14:$J$14,打分卡!$K$14:$O$14),1)</f>
        <v>1</v>
      </c>
      <c r="AK1759" s="42">
        <f>IFERROR(LOOKUP(W1759,打分卡!$F$15:$J$15,打分卡!$K$15:$O$15),1)</f>
        <v>1</v>
      </c>
      <c r="AL1759" s="45">
        <f t="shared" si="217"/>
        <v>1</v>
      </c>
      <c r="AM1759" s="42">
        <f>IFERROR(LOOKUP(Z1759,打分卡!$F$17:$H$17,打分卡!$K$17:$M$17),1)</f>
        <v>1</v>
      </c>
      <c r="AN1759" s="46">
        <f>(打分卡!$D$7*AC1759+打分卡!$D$8*AD1759+打分卡!$D$9*AE1759)/5</f>
        <v>8</v>
      </c>
      <c r="AO1759" s="46">
        <f>(打分卡!$D$10*AF1759+打分卡!$D$11*AG1759)/5</f>
        <v>4</v>
      </c>
      <c r="AP1759" s="46">
        <f>(打分卡!$D$12*AH1759+打分卡!$D$13*AI1759+打分卡!$D$14*AJ1759+打分卡!$D$15*AK1759)/5</f>
        <v>13.2</v>
      </c>
      <c r="AQ1759" s="46">
        <f>(打分卡!$D$16*AL1759+打分卡!$D$17*AM1759)/5</f>
        <v>2</v>
      </c>
      <c r="AR1759" s="48">
        <f t="shared" si="218"/>
        <v>27.2</v>
      </c>
      <c r="AS1759" s="45" t="str">
        <f t="shared" si="219"/>
        <v>未激活</v>
      </c>
      <c r="AT1759" s="45" t="str">
        <f t="shared" si="220"/>
        <v>连续下降-预警</v>
      </c>
      <c r="AU1759" s="45" t="str">
        <f t="shared" si="221"/>
        <v>唤醒：短信模板+首充补贴</v>
      </c>
    </row>
    <row r="1760" ht="15" customHeight="1" spans="1:47">
      <c r="A1760" s="30" t="s">
        <v>4474</v>
      </c>
      <c r="B1760" s="31" t="s">
        <v>4475</v>
      </c>
      <c r="C1760" s="31" t="s">
        <v>179</v>
      </c>
      <c r="D1760" s="31" t="s">
        <v>196</v>
      </c>
      <c r="E1760" s="31" t="s">
        <v>181</v>
      </c>
      <c r="F1760" s="30" t="s">
        <v>2132</v>
      </c>
      <c r="G1760" s="31">
        <v>15</v>
      </c>
      <c r="H1760" s="31" t="s">
        <v>3535</v>
      </c>
      <c r="I1760" s="31" t="s">
        <v>302</v>
      </c>
      <c r="J1760" s="33">
        <v>0</v>
      </c>
      <c r="K1760" s="33">
        <v>0</v>
      </c>
      <c r="L1760" s="33">
        <v>0</v>
      </c>
      <c r="M1760" s="33">
        <f t="shared" si="216"/>
        <v>0</v>
      </c>
      <c r="N1760" s="34">
        <f t="shared" si="222"/>
        <v>0</v>
      </c>
      <c r="O1760" s="35">
        <f>SUM($M$2:M1760)</f>
        <v>190743600</v>
      </c>
      <c r="P1760" s="34">
        <f t="shared" si="223"/>
        <v>1</v>
      </c>
      <c r="Q1760" s="37">
        <v>0</v>
      </c>
      <c r="R1760" s="31">
        <v>0</v>
      </c>
      <c r="S1760" s="31">
        <v>0</v>
      </c>
      <c r="T1760" s="31">
        <v>0</v>
      </c>
      <c r="U1760" s="37">
        <v>21.6</v>
      </c>
      <c r="V1760" s="31">
        <v>7</v>
      </c>
      <c r="W1760" s="31">
        <v>2</v>
      </c>
      <c r="X1760" s="38">
        <v>13</v>
      </c>
      <c r="Y1760" s="31">
        <v>1</v>
      </c>
      <c r="Z1760" s="31">
        <v>0</v>
      </c>
      <c r="AA1760" s="31" t="s">
        <v>212</v>
      </c>
      <c r="AB1760" s="31" t="s">
        <v>220</v>
      </c>
      <c r="AC1760" s="41">
        <f>IFERROR(LOOKUP(M1760,打分卡!$F$7:$J$7,打分卡!$K$7:$O$7),1)</f>
        <v>1</v>
      </c>
      <c r="AD1760" s="41">
        <f>IFERROR(LOOKUP(S1760,打分卡!$F$8:$J$8,打分卡!$K$8:$O$8),1)</f>
        <v>1</v>
      </c>
      <c r="AE1760" s="41">
        <f>IFERROR(LOOKUP(T1760,打分卡!$F$9:$I$9,打分卡!$K$9:$N$9),1)</f>
        <v>1</v>
      </c>
      <c r="AF1760" s="41">
        <f>IFERROR(LOOKUP(Q1760,打分卡!$F$10:$J$10,打分卡!$K$10:$O$10),1)</f>
        <v>1</v>
      </c>
      <c r="AG1760" s="41">
        <f>IFERROR(LOOKUP(R1760,打分卡!$F$11:$J$11,打分卡!$K$11:$O$11),1)</f>
        <v>1</v>
      </c>
      <c r="AH1760" s="41">
        <f>IFERROR(LOOKUP(U1760,打分卡!$F$12:$J$12,打分卡!$K$12:$O$12),1)</f>
        <v>3</v>
      </c>
      <c r="AI1760" s="41">
        <f>IFERROR(LOOKUP(X1760,打分卡!$F$13:$J$13,打分卡!$K$13:$O$13),1)</f>
        <v>1</v>
      </c>
      <c r="AJ1760" s="41">
        <f>IFERROR(LOOKUP(Y1760,打分卡!$F$14:$J$14,打分卡!$K$14:$O$14),1)</f>
        <v>2</v>
      </c>
      <c r="AK1760" s="41">
        <f>IFERROR(LOOKUP(W1760,打分卡!$F$15:$J$15,打分卡!$K$15:$O$15),1)</f>
        <v>2</v>
      </c>
      <c r="AL1760" s="43">
        <f t="shared" si="217"/>
        <v>1</v>
      </c>
      <c r="AM1760" s="41">
        <f>IFERROR(LOOKUP(Z1760,打分卡!$F$17:$H$17,打分卡!$K$17:$M$17),1)</f>
        <v>1</v>
      </c>
      <c r="AN1760" s="44">
        <f>(打分卡!$D$7*AC1760+打分卡!$D$8*AD1760+打分卡!$D$9*AE1760)/5</f>
        <v>8</v>
      </c>
      <c r="AO1760" s="44">
        <f>(打分卡!$D$10*AF1760+打分卡!$D$11*AG1760)/5</f>
        <v>4</v>
      </c>
      <c r="AP1760" s="44">
        <f>(打分卡!$D$12*AH1760+打分卡!$D$13*AI1760+打分卡!$D$14*AJ1760+打分卡!$D$15*AK1760)/5</f>
        <v>12.8</v>
      </c>
      <c r="AQ1760" s="44">
        <f>(打分卡!$D$16*AL1760+打分卡!$D$17*AM1760)/5</f>
        <v>2</v>
      </c>
      <c r="AR1760" s="47">
        <f t="shared" si="218"/>
        <v>26.8</v>
      </c>
      <c r="AS1760" s="43" t="str">
        <f t="shared" si="219"/>
        <v>未激活</v>
      </c>
      <c r="AT1760" s="43" t="str">
        <f t="shared" si="220"/>
        <v>连续下降-预警</v>
      </c>
      <c r="AU1760" s="43" t="str">
        <f t="shared" si="221"/>
        <v>唤醒：短信模板+首充补贴</v>
      </c>
    </row>
    <row r="1761" ht="15" customHeight="1" spans="1:47">
      <c r="A1761" s="20" t="s">
        <v>4476</v>
      </c>
      <c r="B1761" s="22" t="s">
        <v>4477</v>
      </c>
      <c r="C1761" s="22" t="s">
        <v>189</v>
      </c>
      <c r="D1761" s="22" t="s">
        <v>227</v>
      </c>
      <c r="E1761" s="22" t="s">
        <v>181</v>
      </c>
      <c r="F1761" s="20" t="s">
        <v>3556</v>
      </c>
      <c r="G1761" s="22">
        <v>21</v>
      </c>
      <c r="H1761" s="22" t="s">
        <v>3535</v>
      </c>
      <c r="I1761" s="22" t="s">
        <v>302</v>
      </c>
      <c r="J1761" s="36">
        <v>0</v>
      </c>
      <c r="K1761" s="36">
        <v>0</v>
      </c>
      <c r="L1761" s="36">
        <v>0</v>
      </c>
      <c r="M1761" s="36">
        <f t="shared" si="216"/>
        <v>0</v>
      </c>
      <c r="N1761" s="34">
        <f t="shared" si="222"/>
        <v>0</v>
      </c>
      <c r="O1761" s="35">
        <f>SUM($M$2:M1761)</f>
        <v>190743600</v>
      </c>
      <c r="P1761" s="34">
        <f t="shared" si="223"/>
        <v>1</v>
      </c>
      <c r="Q1761" s="39">
        <v>0</v>
      </c>
      <c r="R1761" s="22">
        <v>0</v>
      </c>
      <c r="S1761" s="22">
        <v>0</v>
      </c>
      <c r="T1761" s="22">
        <v>0</v>
      </c>
      <c r="U1761" s="39">
        <v>11</v>
      </c>
      <c r="V1761" s="22">
        <v>3</v>
      </c>
      <c r="W1761" s="22">
        <v>0</v>
      </c>
      <c r="X1761" s="40">
        <v>21</v>
      </c>
      <c r="Y1761" s="22">
        <v>0</v>
      </c>
      <c r="Z1761" s="22">
        <v>0</v>
      </c>
      <c r="AA1761" s="22" t="s">
        <v>212</v>
      </c>
      <c r="AB1761" s="22" t="s">
        <v>220</v>
      </c>
      <c r="AC1761" s="42">
        <f>IFERROR(LOOKUP(M1761,打分卡!$F$7:$J$7,打分卡!$K$7:$O$7),1)</f>
        <v>1</v>
      </c>
      <c r="AD1761" s="42">
        <f>IFERROR(LOOKUP(S1761,打分卡!$F$8:$J$8,打分卡!$K$8:$O$8),1)</f>
        <v>1</v>
      </c>
      <c r="AE1761" s="42">
        <f>IFERROR(LOOKUP(T1761,打分卡!$F$9:$I$9,打分卡!$K$9:$N$9),1)</f>
        <v>1</v>
      </c>
      <c r="AF1761" s="42">
        <f>IFERROR(LOOKUP(Q1761,打分卡!$F$10:$J$10,打分卡!$K$10:$O$10),1)</f>
        <v>1</v>
      </c>
      <c r="AG1761" s="42">
        <f>IFERROR(LOOKUP(R1761,打分卡!$F$11:$J$11,打分卡!$K$11:$O$11),1)</f>
        <v>1</v>
      </c>
      <c r="AH1761" s="42">
        <f>IFERROR(LOOKUP(U1761,打分卡!$F$12:$J$12,打分卡!$K$12:$O$12),1)</f>
        <v>3</v>
      </c>
      <c r="AI1761" s="42">
        <f>IFERROR(LOOKUP(X1761,打分卡!$F$13:$J$13,打分卡!$K$13:$O$13),1)</f>
        <v>2</v>
      </c>
      <c r="AJ1761" s="42">
        <f>IFERROR(LOOKUP(Y1761,打分卡!$F$14:$J$14,打分卡!$K$14:$O$14),1)</f>
        <v>1</v>
      </c>
      <c r="AK1761" s="42">
        <f>IFERROR(LOOKUP(W1761,打分卡!$F$15:$J$15,打分卡!$K$15:$O$15),1)</f>
        <v>1</v>
      </c>
      <c r="AL1761" s="45">
        <f t="shared" si="217"/>
        <v>1</v>
      </c>
      <c r="AM1761" s="42">
        <f>IFERROR(LOOKUP(Z1761,打分卡!$F$17:$H$17,打分卡!$K$17:$M$17),1)</f>
        <v>1</v>
      </c>
      <c r="AN1761" s="46">
        <f>(打分卡!$D$7*AC1761+打分卡!$D$8*AD1761+打分卡!$D$9*AE1761)/5</f>
        <v>8</v>
      </c>
      <c r="AO1761" s="46">
        <f>(打分卡!$D$10*AF1761+打分卡!$D$11*AG1761)/5</f>
        <v>4</v>
      </c>
      <c r="AP1761" s="46">
        <f>(打分卡!$D$12*AH1761+打分卡!$D$13*AI1761+打分卡!$D$14*AJ1761+打分卡!$D$15*AK1761)/5</f>
        <v>12.4</v>
      </c>
      <c r="AQ1761" s="46">
        <f>(打分卡!$D$16*AL1761+打分卡!$D$17*AM1761)/5</f>
        <v>2</v>
      </c>
      <c r="AR1761" s="48">
        <f t="shared" si="218"/>
        <v>26.4</v>
      </c>
      <c r="AS1761" s="45" t="str">
        <f t="shared" si="219"/>
        <v>未激活</v>
      </c>
      <c r="AT1761" s="45" t="str">
        <f t="shared" si="220"/>
        <v>连续下降-预警</v>
      </c>
      <c r="AU1761" s="45" t="str">
        <f t="shared" si="221"/>
        <v>唤醒：短信模板+首充补贴</v>
      </c>
    </row>
    <row r="1762" ht="15" customHeight="1" spans="1:47">
      <c r="A1762" s="30" t="s">
        <v>4478</v>
      </c>
      <c r="B1762" s="31" t="s">
        <v>4479</v>
      </c>
      <c r="C1762" s="31" t="s">
        <v>239</v>
      </c>
      <c r="D1762" s="31" t="s">
        <v>196</v>
      </c>
      <c r="E1762" s="31" t="s">
        <v>197</v>
      </c>
      <c r="F1762" s="30" t="s">
        <v>3600</v>
      </c>
      <c r="G1762" s="31">
        <v>27</v>
      </c>
      <c r="H1762" s="31" t="s">
        <v>3535</v>
      </c>
      <c r="I1762" s="31" t="s">
        <v>302</v>
      </c>
      <c r="J1762" s="33">
        <v>0</v>
      </c>
      <c r="K1762" s="33">
        <v>0</v>
      </c>
      <c r="L1762" s="33">
        <v>0</v>
      </c>
      <c r="M1762" s="33">
        <f t="shared" si="216"/>
        <v>0</v>
      </c>
      <c r="N1762" s="34">
        <f t="shared" si="222"/>
        <v>0</v>
      </c>
      <c r="O1762" s="35">
        <f>SUM($M$2:M1762)</f>
        <v>190743600</v>
      </c>
      <c r="P1762" s="34">
        <f t="shared" si="223"/>
        <v>1</v>
      </c>
      <c r="Q1762" s="37">
        <v>0</v>
      </c>
      <c r="R1762" s="31">
        <v>0</v>
      </c>
      <c r="S1762" s="31">
        <v>0</v>
      </c>
      <c r="T1762" s="31">
        <v>0</v>
      </c>
      <c r="U1762" s="37">
        <v>5.8</v>
      </c>
      <c r="V1762" s="31">
        <v>3</v>
      </c>
      <c r="W1762" s="31">
        <v>1</v>
      </c>
      <c r="X1762" s="38">
        <v>5</v>
      </c>
      <c r="Y1762" s="31">
        <v>1</v>
      </c>
      <c r="Z1762" s="31">
        <v>0</v>
      </c>
      <c r="AA1762" s="31" t="s">
        <v>212</v>
      </c>
      <c r="AB1762" s="31" t="s">
        <v>220</v>
      </c>
      <c r="AC1762" s="41">
        <f>IFERROR(LOOKUP(M1762,打分卡!$F$7:$J$7,打分卡!$K$7:$O$7),1)</f>
        <v>1</v>
      </c>
      <c r="AD1762" s="41">
        <f>IFERROR(LOOKUP(S1762,打分卡!$F$8:$J$8,打分卡!$K$8:$O$8),1)</f>
        <v>1</v>
      </c>
      <c r="AE1762" s="41">
        <f>IFERROR(LOOKUP(T1762,打分卡!$F$9:$I$9,打分卡!$K$9:$N$9),1)</f>
        <v>1</v>
      </c>
      <c r="AF1762" s="41">
        <f>IFERROR(LOOKUP(Q1762,打分卡!$F$10:$J$10,打分卡!$K$10:$O$10),1)</f>
        <v>1</v>
      </c>
      <c r="AG1762" s="41">
        <f>IFERROR(LOOKUP(R1762,打分卡!$F$11:$J$11,打分卡!$K$11:$O$11),1)</f>
        <v>1</v>
      </c>
      <c r="AH1762" s="41">
        <f>IFERROR(LOOKUP(U1762,打分卡!$F$12:$J$12,打分卡!$K$12:$O$12),1)</f>
        <v>2</v>
      </c>
      <c r="AI1762" s="41">
        <f>IFERROR(LOOKUP(X1762,打分卡!$F$13:$J$13,打分卡!$K$13:$O$13),1)</f>
        <v>1</v>
      </c>
      <c r="AJ1762" s="41">
        <f>IFERROR(LOOKUP(Y1762,打分卡!$F$14:$J$14,打分卡!$K$14:$O$14),1)</f>
        <v>2</v>
      </c>
      <c r="AK1762" s="41">
        <f>IFERROR(LOOKUP(W1762,打分卡!$F$15:$J$15,打分卡!$K$15:$O$15),1)</f>
        <v>2</v>
      </c>
      <c r="AL1762" s="43">
        <f t="shared" si="217"/>
        <v>1</v>
      </c>
      <c r="AM1762" s="41">
        <f>IFERROR(LOOKUP(Z1762,打分卡!$F$17:$H$17,打分卡!$K$17:$M$17),1)</f>
        <v>1</v>
      </c>
      <c r="AN1762" s="44">
        <f>(打分卡!$D$7*AC1762+打分卡!$D$8*AD1762+打分卡!$D$9*AE1762)/5</f>
        <v>8</v>
      </c>
      <c r="AO1762" s="44">
        <f>(打分卡!$D$10*AF1762+打分卡!$D$11*AG1762)/5</f>
        <v>4</v>
      </c>
      <c r="AP1762" s="44">
        <f>(打分卡!$D$12*AH1762+打分卡!$D$13*AI1762+打分卡!$D$14*AJ1762+打分卡!$D$15*AK1762)/5</f>
        <v>10.4</v>
      </c>
      <c r="AQ1762" s="44">
        <f>(打分卡!$D$16*AL1762+打分卡!$D$17*AM1762)/5</f>
        <v>2</v>
      </c>
      <c r="AR1762" s="47">
        <f t="shared" si="218"/>
        <v>24.4</v>
      </c>
      <c r="AS1762" s="43" t="str">
        <f t="shared" si="219"/>
        <v>未激活</v>
      </c>
      <c r="AT1762" s="43" t="str">
        <f t="shared" si="220"/>
        <v>连续下降-预警</v>
      </c>
      <c r="AU1762" s="43" t="str">
        <f t="shared" si="221"/>
        <v>唤醒：短信模板+首充补贴</v>
      </c>
    </row>
    <row r="1763" ht="15" customHeight="1" spans="1:47">
      <c r="A1763" s="20" t="s">
        <v>4480</v>
      </c>
      <c r="B1763" s="22" t="s">
        <v>4481</v>
      </c>
      <c r="C1763" s="22" t="s">
        <v>239</v>
      </c>
      <c r="D1763" s="22" t="s">
        <v>202</v>
      </c>
      <c r="E1763" s="22" t="s">
        <v>181</v>
      </c>
      <c r="F1763" s="20" t="s">
        <v>4482</v>
      </c>
      <c r="G1763" s="22">
        <v>35</v>
      </c>
      <c r="H1763" s="22" t="s">
        <v>3535</v>
      </c>
      <c r="I1763" s="22" t="s">
        <v>302</v>
      </c>
      <c r="J1763" s="36">
        <v>0</v>
      </c>
      <c r="K1763" s="36">
        <v>0</v>
      </c>
      <c r="L1763" s="36">
        <v>0</v>
      </c>
      <c r="M1763" s="36">
        <f t="shared" si="216"/>
        <v>0</v>
      </c>
      <c r="N1763" s="34">
        <f t="shared" si="222"/>
        <v>0</v>
      </c>
      <c r="O1763" s="35">
        <f>SUM($M$2:M1763)</f>
        <v>190743600</v>
      </c>
      <c r="P1763" s="34">
        <f t="shared" si="223"/>
        <v>1</v>
      </c>
      <c r="Q1763" s="39">
        <v>0</v>
      </c>
      <c r="R1763" s="22">
        <v>0</v>
      </c>
      <c r="S1763" s="22">
        <v>0</v>
      </c>
      <c r="T1763" s="22">
        <v>0</v>
      </c>
      <c r="U1763" s="39">
        <v>0.5</v>
      </c>
      <c r="V1763" s="22">
        <v>1</v>
      </c>
      <c r="W1763" s="22">
        <v>1</v>
      </c>
      <c r="X1763" s="40">
        <v>52</v>
      </c>
      <c r="Y1763" s="22">
        <v>1</v>
      </c>
      <c r="Z1763" s="22">
        <v>0</v>
      </c>
      <c r="AA1763" s="22" t="s">
        <v>212</v>
      </c>
      <c r="AB1763" s="22" t="s">
        <v>220</v>
      </c>
      <c r="AC1763" s="42">
        <f>IFERROR(LOOKUP(M1763,打分卡!$F$7:$J$7,打分卡!$K$7:$O$7),1)</f>
        <v>1</v>
      </c>
      <c r="AD1763" s="42">
        <f>IFERROR(LOOKUP(S1763,打分卡!$F$8:$J$8,打分卡!$K$8:$O$8),1)</f>
        <v>1</v>
      </c>
      <c r="AE1763" s="42">
        <f>IFERROR(LOOKUP(T1763,打分卡!$F$9:$I$9,打分卡!$K$9:$N$9),1)</f>
        <v>1</v>
      </c>
      <c r="AF1763" s="42">
        <f>IFERROR(LOOKUP(Q1763,打分卡!$F$10:$J$10,打分卡!$K$10:$O$10),1)</f>
        <v>1</v>
      </c>
      <c r="AG1763" s="42">
        <f>IFERROR(LOOKUP(R1763,打分卡!$F$11:$J$11,打分卡!$K$11:$O$11),1)</f>
        <v>1</v>
      </c>
      <c r="AH1763" s="42">
        <f>IFERROR(LOOKUP(U1763,打分卡!$F$12:$J$12,打分卡!$K$12:$O$12),1)</f>
        <v>1</v>
      </c>
      <c r="AI1763" s="42">
        <f>IFERROR(LOOKUP(X1763,打分卡!$F$13:$J$13,打分卡!$K$13:$O$13),1)</f>
        <v>3</v>
      </c>
      <c r="AJ1763" s="42">
        <f>IFERROR(LOOKUP(Y1763,打分卡!$F$14:$J$14,打分卡!$K$14:$O$14),1)</f>
        <v>2</v>
      </c>
      <c r="AK1763" s="42">
        <f>IFERROR(LOOKUP(W1763,打分卡!$F$15:$J$15,打分卡!$K$15:$O$15),1)</f>
        <v>2</v>
      </c>
      <c r="AL1763" s="45">
        <f t="shared" si="217"/>
        <v>1</v>
      </c>
      <c r="AM1763" s="42">
        <f>IFERROR(LOOKUP(Z1763,打分卡!$F$17:$H$17,打分卡!$K$17:$M$17),1)</f>
        <v>1</v>
      </c>
      <c r="AN1763" s="46">
        <f>(打分卡!$D$7*AC1763+打分卡!$D$8*AD1763+打分卡!$D$9*AE1763)/5</f>
        <v>8</v>
      </c>
      <c r="AO1763" s="46">
        <f>(打分卡!$D$10*AF1763+打分卡!$D$11*AG1763)/5</f>
        <v>4</v>
      </c>
      <c r="AP1763" s="46">
        <f>(打分卡!$D$12*AH1763+打分卡!$D$13*AI1763+打分卡!$D$14*AJ1763+打分卡!$D$15*AK1763)/5</f>
        <v>11.2</v>
      </c>
      <c r="AQ1763" s="46">
        <f>(打分卡!$D$16*AL1763+打分卡!$D$17*AM1763)/5</f>
        <v>2</v>
      </c>
      <c r="AR1763" s="48">
        <f t="shared" si="218"/>
        <v>25.2</v>
      </c>
      <c r="AS1763" s="45" t="str">
        <f t="shared" si="219"/>
        <v>未激活</v>
      </c>
      <c r="AT1763" s="45" t="str">
        <f t="shared" si="220"/>
        <v>连续下降-预警</v>
      </c>
      <c r="AU1763" s="45" t="str">
        <f t="shared" si="221"/>
        <v>唤醒：短信模板+首充补贴</v>
      </c>
    </row>
    <row r="1764" ht="15" customHeight="1" spans="1:47">
      <c r="A1764" s="30" t="s">
        <v>4483</v>
      </c>
      <c r="B1764" s="31" t="s">
        <v>4484</v>
      </c>
      <c r="C1764" s="31" t="s">
        <v>179</v>
      </c>
      <c r="D1764" s="31" t="s">
        <v>190</v>
      </c>
      <c r="E1764" s="31" t="s">
        <v>181</v>
      </c>
      <c r="F1764" s="30" t="s">
        <v>4457</v>
      </c>
      <c r="G1764" s="31">
        <v>17</v>
      </c>
      <c r="H1764" s="31" t="s">
        <v>3535</v>
      </c>
      <c r="I1764" s="31" t="s">
        <v>302</v>
      </c>
      <c r="J1764" s="33">
        <v>0</v>
      </c>
      <c r="K1764" s="33">
        <v>0</v>
      </c>
      <c r="L1764" s="33">
        <v>0</v>
      </c>
      <c r="M1764" s="33">
        <f t="shared" si="216"/>
        <v>0</v>
      </c>
      <c r="N1764" s="34">
        <f t="shared" si="222"/>
        <v>0</v>
      </c>
      <c r="O1764" s="35">
        <f>SUM($M$2:M1764)</f>
        <v>190743600</v>
      </c>
      <c r="P1764" s="34">
        <f t="shared" si="223"/>
        <v>1</v>
      </c>
      <c r="Q1764" s="37">
        <v>0</v>
      </c>
      <c r="R1764" s="31">
        <v>0</v>
      </c>
      <c r="S1764" s="31">
        <v>0</v>
      </c>
      <c r="T1764" s="31">
        <v>0</v>
      </c>
      <c r="U1764" s="37">
        <v>25.4</v>
      </c>
      <c r="V1764" s="31">
        <v>0</v>
      </c>
      <c r="W1764" s="31">
        <v>1</v>
      </c>
      <c r="X1764" s="38">
        <v>9</v>
      </c>
      <c r="Y1764" s="31">
        <v>0</v>
      </c>
      <c r="Z1764" s="31">
        <v>0</v>
      </c>
      <c r="AA1764" s="31" t="s">
        <v>212</v>
      </c>
      <c r="AB1764" s="31" t="s">
        <v>220</v>
      </c>
      <c r="AC1764" s="41">
        <f>IFERROR(LOOKUP(M1764,打分卡!$F$7:$J$7,打分卡!$K$7:$O$7),1)</f>
        <v>1</v>
      </c>
      <c r="AD1764" s="41">
        <f>IFERROR(LOOKUP(S1764,打分卡!$F$8:$J$8,打分卡!$K$8:$O$8),1)</f>
        <v>1</v>
      </c>
      <c r="AE1764" s="41">
        <f>IFERROR(LOOKUP(T1764,打分卡!$F$9:$I$9,打分卡!$K$9:$N$9),1)</f>
        <v>1</v>
      </c>
      <c r="AF1764" s="41">
        <f>IFERROR(LOOKUP(Q1764,打分卡!$F$10:$J$10,打分卡!$K$10:$O$10),1)</f>
        <v>1</v>
      </c>
      <c r="AG1764" s="41">
        <f>IFERROR(LOOKUP(R1764,打分卡!$F$11:$J$11,打分卡!$K$11:$O$11),1)</f>
        <v>1</v>
      </c>
      <c r="AH1764" s="41">
        <f>IFERROR(LOOKUP(U1764,打分卡!$F$12:$J$12,打分卡!$K$12:$O$12),1)</f>
        <v>3</v>
      </c>
      <c r="AI1764" s="41">
        <f>IFERROR(LOOKUP(X1764,打分卡!$F$13:$J$13,打分卡!$K$13:$O$13),1)</f>
        <v>1</v>
      </c>
      <c r="AJ1764" s="41">
        <f>IFERROR(LOOKUP(Y1764,打分卡!$F$14:$J$14,打分卡!$K$14:$O$14),1)</f>
        <v>1</v>
      </c>
      <c r="AK1764" s="41">
        <f>IFERROR(LOOKUP(W1764,打分卡!$F$15:$J$15,打分卡!$K$15:$O$15),1)</f>
        <v>2</v>
      </c>
      <c r="AL1764" s="43">
        <f t="shared" si="217"/>
        <v>1</v>
      </c>
      <c r="AM1764" s="41">
        <f>IFERROR(LOOKUP(Z1764,打分卡!$F$17:$H$17,打分卡!$K$17:$M$17),1)</f>
        <v>1</v>
      </c>
      <c r="AN1764" s="44">
        <f>(打分卡!$D$7*AC1764+打分卡!$D$8*AD1764+打分卡!$D$9*AE1764)/5</f>
        <v>8</v>
      </c>
      <c r="AO1764" s="44">
        <f>(打分卡!$D$10*AF1764+打分卡!$D$11*AG1764)/5</f>
        <v>4</v>
      </c>
      <c r="AP1764" s="44">
        <f>(打分卡!$D$12*AH1764+打分卡!$D$13*AI1764+打分卡!$D$14*AJ1764+打分卡!$D$15*AK1764)/5</f>
        <v>11.6</v>
      </c>
      <c r="AQ1764" s="44">
        <f>(打分卡!$D$16*AL1764+打分卡!$D$17*AM1764)/5</f>
        <v>2</v>
      </c>
      <c r="AR1764" s="47">
        <f t="shared" si="218"/>
        <v>25.6</v>
      </c>
      <c r="AS1764" s="43" t="str">
        <f t="shared" si="219"/>
        <v>未激活</v>
      </c>
      <c r="AT1764" s="43" t="str">
        <f t="shared" si="220"/>
        <v>连续下降-预警</v>
      </c>
      <c r="AU1764" s="43" t="str">
        <f t="shared" si="221"/>
        <v>唤醒：短信模板+首充补贴</v>
      </c>
    </row>
    <row r="1765" ht="15" customHeight="1" spans="1:47">
      <c r="A1765" s="20" t="s">
        <v>4485</v>
      </c>
      <c r="B1765" s="22" t="s">
        <v>4486</v>
      </c>
      <c r="C1765" s="22" t="s">
        <v>195</v>
      </c>
      <c r="D1765" s="22" t="s">
        <v>196</v>
      </c>
      <c r="E1765" s="22" t="s">
        <v>197</v>
      </c>
      <c r="F1765" s="20" t="s">
        <v>4360</v>
      </c>
      <c r="G1765" s="22">
        <v>19</v>
      </c>
      <c r="H1765" s="22" t="s">
        <v>3535</v>
      </c>
      <c r="I1765" s="22" t="s">
        <v>302</v>
      </c>
      <c r="J1765" s="36">
        <v>0</v>
      </c>
      <c r="K1765" s="36">
        <v>0</v>
      </c>
      <c r="L1765" s="36">
        <v>0</v>
      </c>
      <c r="M1765" s="36">
        <f t="shared" si="216"/>
        <v>0</v>
      </c>
      <c r="N1765" s="34">
        <f t="shared" si="222"/>
        <v>0</v>
      </c>
      <c r="O1765" s="35">
        <f>SUM($M$2:M1765)</f>
        <v>190743600</v>
      </c>
      <c r="P1765" s="34">
        <f t="shared" si="223"/>
        <v>1</v>
      </c>
      <c r="Q1765" s="39">
        <v>0</v>
      </c>
      <c r="R1765" s="22">
        <v>0</v>
      </c>
      <c r="S1765" s="22">
        <v>0</v>
      </c>
      <c r="T1765" s="22">
        <v>0</v>
      </c>
      <c r="U1765" s="39">
        <v>2.1</v>
      </c>
      <c r="V1765" s="22">
        <v>1</v>
      </c>
      <c r="W1765" s="22">
        <v>2</v>
      </c>
      <c r="X1765" s="40">
        <v>6</v>
      </c>
      <c r="Y1765" s="22">
        <v>1</v>
      </c>
      <c r="Z1765" s="22">
        <v>0</v>
      </c>
      <c r="AA1765" s="22" t="s">
        <v>212</v>
      </c>
      <c r="AB1765" s="22" t="s">
        <v>220</v>
      </c>
      <c r="AC1765" s="42">
        <f>IFERROR(LOOKUP(M1765,打分卡!$F$7:$J$7,打分卡!$K$7:$O$7),1)</f>
        <v>1</v>
      </c>
      <c r="AD1765" s="42">
        <f>IFERROR(LOOKUP(S1765,打分卡!$F$8:$J$8,打分卡!$K$8:$O$8),1)</f>
        <v>1</v>
      </c>
      <c r="AE1765" s="42">
        <f>IFERROR(LOOKUP(T1765,打分卡!$F$9:$I$9,打分卡!$K$9:$N$9),1)</f>
        <v>1</v>
      </c>
      <c r="AF1765" s="42">
        <f>IFERROR(LOOKUP(Q1765,打分卡!$F$10:$J$10,打分卡!$K$10:$O$10),1)</f>
        <v>1</v>
      </c>
      <c r="AG1765" s="42">
        <f>IFERROR(LOOKUP(R1765,打分卡!$F$11:$J$11,打分卡!$K$11:$O$11),1)</f>
        <v>1</v>
      </c>
      <c r="AH1765" s="42">
        <f>IFERROR(LOOKUP(U1765,打分卡!$F$12:$J$12,打分卡!$K$12:$O$12),1)</f>
        <v>1</v>
      </c>
      <c r="AI1765" s="42">
        <f>IFERROR(LOOKUP(X1765,打分卡!$F$13:$J$13,打分卡!$K$13:$O$13),1)</f>
        <v>1</v>
      </c>
      <c r="AJ1765" s="42">
        <f>IFERROR(LOOKUP(Y1765,打分卡!$F$14:$J$14,打分卡!$K$14:$O$14),1)</f>
        <v>2</v>
      </c>
      <c r="AK1765" s="42">
        <f>IFERROR(LOOKUP(W1765,打分卡!$F$15:$J$15,打分卡!$K$15:$O$15),1)</f>
        <v>2</v>
      </c>
      <c r="AL1765" s="45">
        <f t="shared" si="217"/>
        <v>1</v>
      </c>
      <c r="AM1765" s="42">
        <f>IFERROR(LOOKUP(Z1765,打分卡!$F$17:$H$17,打分卡!$K$17:$M$17),1)</f>
        <v>1</v>
      </c>
      <c r="AN1765" s="46">
        <f>(打分卡!$D$7*AC1765+打分卡!$D$8*AD1765+打分卡!$D$9*AE1765)/5</f>
        <v>8</v>
      </c>
      <c r="AO1765" s="46">
        <f>(打分卡!$D$10*AF1765+打分卡!$D$11*AG1765)/5</f>
        <v>4</v>
      </c>
      <c r="AP1765" s="46">
        <f>(打分卡!$D$12*AH1765+打分卡!$D$13*AI1765+打分卡!$D$14*AJ1765+打分卡!$D$15*AK1765)/5</f>
        <v>8</v>
      </c>
      <c r="AQ1765" s="46">
        <f>(打分卡!$D$16*AL1765+打分卡!$D$17*AM1765)/5</f>
        <v>2</v>
      </c>
      <c r="AR1765" s="48">
        <f t="shared" si="218"/>
        <v>22</v>
      </c>
      <c r="AS1765" s="45" t="str">
        <f t="shared" si="219"/>
        <v>未激活</v>
      </c>
      <c r="AT1765" s="45" t="str">
        <f t="shared" si="220"/>
        <v>连续下降-预警</v>
      </c>
      <c r="AU1765" s="45" t="str">
        <f t="shared" si="221"/>
        <v>唤醒：短信模板+首充补贴</v>
      </c>
    </row>
    <row r="1766" ht="15" customHeight="1" spans="1:47">
      <c r="A1766" s="30" t="s">
        <v>4487</v>
      </c>
      <c r="B1766" s="31" t="s">
        <v>4488</v>
      </c>
      <c r="C1766" s="31" t="s">
        <v>223</v>
      </c>
      <c r="D1766" s="31" t="s">
        <v>202</v>
      </c>
      <c r="E1766" s="31" t="s">
        <v>197</v>
      </c>
      <c r="F1766" s="30" t="s">
        <v>3747</v>
      </c>
      <c r="G1766" s="31">
        <v>36</v>
      </c>
      <c r="H1766" s="31" t="s">
        <v>3535</v>
      </c>
      <c r="I1766" s="31" t="s">
        <v>302</v>
      </c>
      <c r="J1766" s="33">
        <v>0</v>
      </c>
      <c r="K1766" s="33">
        <v>0</v>
      </c>
      <c r="L1766" s="33">
        <v>0</v>
      </c>
      <c r="M1766" s="33">
        <f t="shared" si="216"/>
        <v>0</v>
      </c>
      <c r="N1766" s="34">
        <f t="shared" si="222"/>
        <v>0</v>
      </c>
      <c r="O1766" s="35">
        <f>SUM($M$2:M1766)</f>
        <v>190743600</v>
      </c>
      <c r="P1766" s="34">
        <f t="shared" si="223"/>
        <v>1</v>
      </c>
      <c r="Q1766" s="37">
        <v>0</v>
      </c>
      <c r="R1766" s="31">
        <v>0</v>
      </c>
      <c r="S1766" s="31">
        <v>0</v>
      </c>
      <c r="T1766" s="31">
        <v>0</v>
      </c>
      <c r="U1766" s="37">
        <v>8</v>
      </c>
      <c r="V1766" s="31">
        <v>8</v>
      </c>
      <c r="W1766" s="31">
        <v>2</v>
      </c>
      <c r="X1766" s="38">
        <v>7</v>
      </c>
      <c r="Y1766" s="31">
        <v>1</v>
      </c>
      <c r="Z1766" s="31">
        <v>0</v>
      </c>
      <c r="AA1766" s="31" t="s">
        <v>212</v>
      </c>
      <c r="AB1766" s="31" t="s">
        <v>220</v>
      </c>
      <c r="AC1766" s="41">
        <f>IFERROR(LOOKUP(M1766,打分卡!$F$7:$J$7,打分卡!$K$7:$O$7),1)</f>
        <v>1</v>
      </c>
      <c r="AD1766" s="41">
        <f>IFERROR(LOOKUP(S1766,打分卡!$F$8:$J$8,打分卡!$K$8:$O$8),1)</f>
        <v>1</v>
      </c>
      <c r="AE1766" s="41">
        <f>IFERROR(LOOKUP(T1766,打分卡!$F$9:$I$9,打分卡!$K$9:$N$9),1)</f>
        <v>1</v>
      </c>
      <c r="AF1766" s="41">
        <f>IFERROR(LOOKUP(Q1766,打分卡!$F$10:$J$10,打分卡!$K$10:$O$10),1)</f>
        <v>1</v>
      </c>
      <c r="AG1766" s="41">
        <f>IFERROR(LOOKUP(R1766,打分卡!$F$11:$J$11,打分卡!$K$11:$O$11),1)</f>
        <v>1</v>
      </c>
      <c r="AH1766" s="41">
        <f>IFERROR(LOOKUP(U1766,打分卡!$F$12:$J$12,打分卡!$K$12:$O$12),1)</f>
        <v>2</v>
      </c>
      <c r="AI1766" s="41">
        <f>IFERROR(LOOKUP(X1766,打分卡!$F$13:$J$13,打分卡!$K$13:$O$13),1)</f>
        <v>1</v>
      </c>
      <c r="AJ1766" s="41">
        <f>IFERROR(LOOKUP(Y1766,打分卡!$F$14:$J$14,打分卡!$K$14:$O$14),1)</f>
        <v>2</v>
      </c>
      <c r="AK1766" s="41">
        <f>IFERROR(LOOKUP(W1766,打分卡!$F$15:$J$15,打分卡!$K$15:$O$15),1)</f>
        <v>2</v>
      </c>
      <c r="AL1766" s="43">
        <f t="shared" si="217"/>
        <v>1</v>
      </c>
      <c r="AM1766" s="41">
        <f>IFERROR(LOOKUP(Z1766,打分卡!$F$17:$H$17,打分卡!$K$17:$M$17),1)</f>
        <v>1</v>
      </c>
      <c r="AN1766" s="44">
        <f>(打分卡!$D$7*AC1766+打分卡!$D$8*AD1766+打分卡!$D$9*AE1766)/5</f>
        <v>8</v>
      </c>
      <c r="AO1766" s="44">
        <f>(打分卡!$D$10*AF1766+打分卡!$D$11*AG1766)/5</f>
        <v>4</v>
      </c>
      <c r="AP1766" s="44">
        <f>(打分卡!$D$12*AH1766+打分卡!$D$13*AI1766+打分卡!$D$14*AJ1766+打分卡!$D$15*AK1766)/5</f>
        <v>10.4</v>
      </c>
      <c r="AQ1766" s="44">
        <f>(打分卡!$D$16*AL1766+打分卡!$D$17*AM1766)/5</f>
        <v>2</v>
      </c>
      <c r="AR1766" s="47">
        <f t="shared" si="218"/>
        <v>24.4</v>
      </c>
      <c r="AS1766" s="43" t="str">
        <f t="shared" si="219"/>
        <v>未激活</v>
      </c>
      <c r="AT1766" s="43" t="str">
        <f t="shared" si="220"/>
        <v>连续下降-预警</v>
      </c>
      <c r="AU1766" s="43" t="str">
        <f t="shared" si="221"/>
        <v>唤醒：短信模板+首充补贴</v>
      </c>
    </row>
    <row r="1767" ht="15" customHeight="1" spans="1:47">
      <c r="A1767" s="20" t="s">
        <v>4489</v>
      </c>
      <c r="B1767" s="22" t="s">
        <v>4490</v>
      </c>
      <c r="C1767" s="22" t="s">
        <v>179</v>
      </c>
      <c r="D1767" s="22" t="s">
        <v>202</v>
      </c>
      <c r="E1767" s="22" t="s">
        <v>181</v>
      </c>
      <c r="F1767" s="20" t="s">
        <v>4270</v>
      </c>
      <c r="G1767" s="22">
        <v>18</v>
      </c>
      <c r="H1767" s="22" t="s">
        <v>3535</v>
      </c>
      <c r="I1767" s="22" t="s">
        <v>302</v>
      </c>
      <c r="J1767" s="36">
        <v>0</v>
      </c>
      <c r="K1767" s="36">
        <v>0</v>
      </c>
      <c r="L1767" s="36">
        <v>0</v>
      </c>
      <c r="M1767" s="36">
        <f t="shared" si="216"/>
        <v>0</v>
      </c>
      <c r="N1767" s="34">
        <f t="shared" si="222"/>
        <v>0</v>
      </c>
      <c r="O1767" s="35">
        <f>SUM($M$2:M1767)</f>
        <v>190743600</v>
      </c>
      <c r="P1767" s="34">
        <f t="shared" si="223"/>
        <v>1</v>
      </c>
      <c r="Q1767" s="39">
        <v>0</v>
      </c>
      <c r="R1767" s="22">
        <v>0</v>
      </c>
      <c r="S1767" s="22">
        <v>0</v>
      </c>
      <c r="T1767" s="22">
        <v>0</v>
      </c>
      <c r="U1767" s="39">
        <v>28.7</v>
      </c>
      <c r="V1767" s="22">
        <v>2</v>
      </c>
      <c r="W1767" s="22">
        <v>0</v>
      </c>
      <c r="X1767" s="40">
        <v>60</v>
      </c>
      <c r="Y1767" s="22">
        <v>1</v>
      </c>
      <c r="Z1767" s="22">
        <v>0</v>
      </c>
      <c r="AA1767" s="22" t="s">
        <v>212</v>
      </c>
      <c r="AB1767" s="22" t="s">
        <v>220</v>
      </c>
      <c r="AC1767" s="42">
        <f>IFERROR(LOOKUP(M1767,打分卡!$F$7:$J$7,打分卡!$K$7:$O$7),1)</f>
        <v>1</v>
      </c>
      <c r="AD1767" s="42">
        <f>IFERROR(LOOKUP(S1767,打分卡!$F$8:$J$8,打分卡!$K$8:$O$8),1)</f>
        <v>1</v>
      </c>
      <c r="AE1767" s="42">
        <f>IFERROR(LOOKUP(T1767,打分卡!$F$9:$I$9,打分卡!$K$9:$N$9),1)</f>
        <v>1</v>
      </c>
      <c r="AF1767" s="42">
        <f>IFERROR(LOOKUP(Q1767,打分卡!$F$10:$J$10,打分卡!$K$10:$O$10),1)</f>
        <v>1</v>
      </c>
      <c r="AG1767" s="42">
        <f>IFERROR(LOOKUP(R1767,打分卡!$F$11:$J$11,打分卡!$K$11:$O$11),1)</f>
        <v>1</v>
      </c>
      <c r="AH1767" s="42">
        <f>IFERROR(LOOKUP(U1767,打分卡!$F$12:$J$12,打分卡!$K$12:$O$12),1)</f>
        <v>3</v>
      </c>
      <c r="AI1767" s="42">
        <f>IFERROR(LOOKUP(X1767,打分卡!$F$13:$J$13,打分卡!$K$13:$O$13),1)</f>
        <v>3</v>
      </c>
      <c r="AJ1767" s="42">
        <f>IFERROR(LOOKUP(Y1767,打分卡!$F$14:$J$14,打分卡!$K$14:$O$14),1)</f>
        <v>2</v>
      </c>
      <c r="AK1767" s="42">
        <f>IFERROR(LOOKUP(W1767,打分卡!$F$15:$J$15,打分卡!$K$15:$O$15),1)</f>
        <v>1</v>
      </c>
      <c r="AL1767" s="45">
        <f t="shared" si="217"/>
        <v>1</v>
      </c>
      <c r="AM1767" s="42">
        <f>IFERROR(LOOKUP(Z1767,打分卡!$F$17:$H$17,打分卡!$K$17:$M$17),1)</f>
        <v>1</v>
      </c>
      <c r="AN1767" s="46">
        <f>(打分卡!$D$7*AC1767+打分卡!$D$8*AD1767+打分卡!$D$9*AE1767)/5</f>
        <v>8</v>
      </c>
      <c r="AO1767" s="46">
        <f>(打分卡!$D$10*AF1767+打分卡!$D$11*AG1767)/5</f>
        <v>4</v>
      </c>
      <c r="AP1767" s="46">
        <f>(打分卡!$D$12*AH1767+打分卡!$D$13*AI1767+打分卡!$D$14*AJ1767+打分卡!$D$15*AK1767)/5</f>
        <v>15.2</v>
      </c>
      <c r="AQ1767" s="46">
        <f>(打分卡!$D$16*AL1767+打分卡!$D$17*AM1767)/5</f>
        <v>2</v>
      </c>
      <c r="AR1767" s="48">
        <f t="shared" si="218"/>
        <v>29.2</v>
      </c>
      <c r="AS1767" s="45" t="str">
        <f t="shared" si="219"/>
        <v>未激活</v>
      </c>
      <c r="AT1767" s="45" t="str">
        <f t="shared" si="220"/>
        <v>连续下降-预警</v>
      </c>
      <c r="AU1767" s="45" t="str">
        <f t="shared" si="221"/>
        <v>唤醒：短信模板+首充补贴</v>
      </c>
    </row>
    <row r="1768" ht="15" customHeight="1" spans="1:47">
      <c r="A1768" s="30" t="s">
        <v>4491</v>
      </c>
      <c r="B1768" s="31" t="s">
        <v>4492</v>
      </c>
      <c r="C1768" s="31" t="s">
        <v>189</v>
      </c>
      <c r="D1768" s="31" t="s">
        <v>196</v>
      </c>
      <c r="E1768" s="31" t="s">
        <v>181</v>
      </c>
      <c r="F1768" s="30" t="s">
        <v>4493</v>
      </c>
      <c r="G1768" s="31">
        <v>36</v>
      </c>
      <c r="H1768" s="31" t="s">
        <v>3535</v>
      </c>
      <c r="I1768" s="31" t="s">
        <v>302</v>
      </c>
      <c r="J1768" s="33">
        <v>0</v>
      </c>
      <c r="K1768" s="33">
        <v>0</v>
      </c>
      <c r="L1768" s="33">
        <v>0</v>
      </c>
      <c r="M1768" s="33">
        <f t="shared" si="216"/>
        <v>0</v>
      </c>
      <c r="N1768" s="34">
        <f t="shared" si="222"/>
        <v>0</v>
      </c>
      <c r="O1768" s="35">
        <f>SUM($M$2:M1768)</f>
        <v>190743600</v>
      </c>
      <c r="P1768" s="34">
        <f t="shared" si="223"/>
        <v>1</v>
      </c>
      <c r="Q1768" s="37">
        <v>0</v>
      </c>
      <c r="R1768" s="31">
        <v>0</v>
      </c>
      <c r="S1768" s="31">
        <v>0</v>
      </c>
      <c r="T1768" s="31">
        <v>0</v>
      </c>
      <c r="U1768" s="37">
        <v>7.4</v>
      </c>
      <c r="V1768" s="31">
        <v>5</v>
      </c>
      <c r="W1768" s="31">
        <v>0</v>
      </c>
      <c r="X1768" s="38">
        <v>66</v>
      </c>
      <c r="Y1768" s="31">
        <v>1</v>
      </c>
      <c r="Z1768" s="31">
        <v>0</v>
      </c>
      <c r="AA1768" s="31" t="s">
        <v>212</v>
      </c>
      <c r="AB1768" s="31" t="s">
        <v>220</v>
      </c>
      <c r="AC1768" s="41">
        <f>IFERROR(LOOKUP(M1768,打分卡!$F$7:$J$7,打分卡!$K$7:$O$7),1)</f>
        <v>1</v>
      </c>
      <c r="AD1768" s="41">
        <f>IFERROR(LOOKUP(S1768,打分卡!$F$8:$J$8,打分卡!$K$8:$O$8),1)</f>
        <v>1</v>
      </c>
      <c r="AE1768" s="41">
        <f>IFERROR(LOOKUP(T1768,打分卡!$F$9:$I$9,打分卡!$K$9:$N$9),1)</f>
        <v>1</v>
      </c>
      <c r="AF1768" s="41">
        <f>IFERROR(LOOKUP(Q1768,打分卡!$F$10:$J$10,打分卡!$K$10:$O$10),1)</f>
        <v>1</v>
      </c>
      <c r="AG1768" s="41">
        <f>IFERROR(LOOKUP(R1768,打分卡!$F$11:$J$11,打分卡!$K$11:$O$11),1)</f>
        <v>1</v>
      </c>
      <c r="AH1768" s="41">
        <f>IFERROR(LOOKUP(U1768,打分卡!$F$12:$J$12,打分卡!$K$12:$O$12),1)</f>
        <v>2</v>
      </c>
      <c r="AI1768" s="41">
        <f>IFERROR(LOOKUP(X1768,打分卡!$F$13:$J$13,打分卡!$K$13:$O$13),1)</f>
        <v>3</v>
      </c>
      <c r="AJ1768" s="41">
        <f>IFERROR(LOOKUP(Y1768,打分卡!$F$14:$J$14,打分卡!$K$14:$O$14),1)</f>
        <v>2</v>
      </c>
      <c r="AK1768" s="41">
        <f>IFERROR(LOOKUP(W1768,打分卡!$F$15:$J$15,打分卡!$K$15:$O$15),1)</f>
        <v>1</v>
      </c>
      <c r="AL1768" s="43">
        <f t="shared" si="217"/>
        <v>1</v>
      </c>
      <c r="AM1768" s="41">
        <f>IFERROR(LOOKUP(Z1768,打分卡!$F$17:$H$17,打分卡!$K$17:$M$17),1)</f>
        <v>1</v>
      </c>
      <c r="AN1768" s="44">
        <f>(打分卡!$D$7*AC1768+打分卡!$D$8*AD1768+打分卡!$D$9*AE1768)/5</f>
        <v>8</v>
      </c>
      <c r="AO1768" s="44">
        <f>(打分卡!$D$10*AF1768+打分卡!$D$11*AG1768)/5</f>
        <v>4</v>
      </c>
      <c r="AP1768" s="44">
        <f>(打分卡!$D$12*AH1768+打分卡!$D$13*AI1768+打分卡!$D$14*AJ1768+打分卡!$D$15*AK1768)/5</f>
        <v>12.8</v>
      </c>
      <c r="AQ1768" s="44">
        <f>(打分卡!$D$16*AL1768+打分卡!$D$17*AM1768)/5</f>
        <v>2</v>
      </c>
      <c r="AR1768" s="47">
        <f t="shared" si="218"/>
        <v>26.8</v>
      </c>
      <c r="AS1768" s="43" t="str">
        <f t="shared" si="219"/>
        <v>未激活</v>
      </c>
      <c r="AT1768" s="43" t="str">
        <f t="shared" si="220"/>
        <v>连续下降-预警</v>
      </c>
      <c r="AU1768" s="43" t="str">
        <f t="shared" si="221"/>
        <v>唤醒：短信模板+首充补贴</v>
      </c>
    </row>
    <row r="1769" ht="15" customHeight="1" spans="1:47">
      <c r="A1769" s="20" t="s">
        <v>4494</v>
      </c>
      <c r="B1769" s="22" t="s">
        <v>4495</v>
      </c>
      <c r="C1769" s="22" t="s">
        <v>223</v>
      </c>
      <c r="D1769" s="22" t="s">
        <v>190</v>
      </c>
      <c r="E1769" s="22" t="s">
        <v>181</v>
      </c>
      <c r="F1769" s="20" t="s">
        <v>1807</v>
      </c>
      <c r="G1769" s="22">
        <v>23</v>
      </c>
      <c r="H1769" s="22" t="s">
        <v>3535</v>
      </c>
      <c r="I1769" s="22" t="s">
        <v>302</v>
      </c>
      <c r="J1769" s="36">
        <v>0</v>
      </c>
      <c r="K1769" s="36">
        <v>0</v>
      </c>
      <c r="L1769" s="36">
        <v>0</v>
      </c>
      <c r="M1769" s="36">
        <f t="shared" si="216"/>
        <v>0</v>
      </c>
      <c r="N1769" s="34">
        <f t="shared" si="222"/>
        <v>0</v>
      </c>
      <c r="O1769" s="35">
        <f>SUM($M$2:M1769)</f>
        <v>190743600</v>
      </c>
      <c r="P1769" s="34">
        <f t="shared" si="223"/>
        <v>1</v>
      </c>
      <c r="Q1769" s="39">
        <v>0</v>
      </c>
      <c r="R1769" s="22">
        <v>0</v>
      </c>
      <c r="S1769" s="22">
        <v>0</v>
      </c>
      <c r="T1769" s="22">
        <v>0</v>
      </c>
      <c r="U1769" s="39">
        <v>1</v>
      </c>
      <c r="V1769" s="22">
        <v>9</v>
      </c>
      <c r="W1769" s="22">
        <v>2</v>
      </c>
      <c r="X1769" s="40">
        <v>11</v>
      </c>
      <c r="Y1769" s="22">
        <v>0</v>
      </c>
      <c r="Z1769" s="22">
        <v>0</v>
      </c>
      <c r="AA1769" s="22" t="s">
        <v>212</v>
      </c>
      <c r="AB1769" s="22" t="s">
        <v>220</v>
      </c>
      <c r="AC1769" s="42">
        <f>IFERROR(LOOKUP(M1769,打分卡!$F$7:$J$7,打分卡!$K$7:$O$7),1)</f>
        <v>1</v>
      </c>
      <c r="AD1769" s="42">
        <f>IFERROR(LOOKUP(S1769,打分卡!$F$8:$J$8,打分卡!$K$8:$O$8),1)</f>
        <v>1</v>
      </c>
      <c r="AE1769" s="42">
        <f>IFERROR(LOOKUP(T1769,打分卡!$F$9:$I$9,打分卡!$K$9:$N$9),1)</f>
        <v>1</v>
      </c>
      <c r="AF1769" s="42">
        <f>IFERROR(LOOKUP(Q1769,打分卡!$F$10:$J$10,打分卡!$K$10:$O$10),1)</f>
        <v>1</v>
      </c>
      <c r="AG1769" s="42">
        <f>IFERROR(LOOKUP(R1769,打分卡!$F$11:$J$11,打分卡!$K$11:$O$11),1)</f>
        <v>1</v>
      </c>
      <c r="AH1769" s="42">
        <f>IFERROR(LOOKUP(U1769,打分卡!$F$12:$J$12,打分卡!$K$12:$O$12),1)</f>
        <v>1</v>
      </c>
      <c r="AI1769" s="42">
        <f>IFERROR(LOOKUP(X1769,打分卡!$F$13:$J$13,打分卡!$K$13:$O$13),1)</f>
        <v>1</v>
      </c>
      <c r="AJ1769" s="42">
        <f>IFERROR(LOOKUP(Y1769,打分卡!$F$14:$J$14,打分卡!$K$14:$O$14),1)</f>
        <v>1</v>
      </c>
      <c r="AK1769" s="42">
        <f>IFERROR(LOOKUP(W1769,打分卡!$F$15:$J$15,打分卡!$K$15:$O$15),1)</f>
        <v>2</v>
      </c>
      <c r="AL1769" s="45">
        <f t="shared" si="217"/>
        <v>1</v>
      </c>
      <c r="AM1769" s="42">
        <f>IFERROR(LOOKUP(Z1769,打分卡!$F$17:$H$17,打分卡!$K$17:$M$17),1)</f>
        <v>1</v>
      </c>
      <c r="AN1769" s="46">
        <f>(打分卡!$D$7*AC1769+打分卡!$D$8*AD1769+打分卡!$D$9*AE1769)/5</f>
        <v>8</v>
      </c>
      <c r="AO1769" s="46">
        <f>(打分卡!$D$10*AF1769+打分卡!$D$11*AG1769)/5</f>
        <v>4</v>
      </c>
      <c r="AP1769" s="46">
        <f>(打分卡!$D$12*AH1769+打分卡!$D$13*AI1769+打分卡!$D$14*AJ1769+打分卡!$D$15*AK1769)/5</f>
        <v>6.8</v>
      </c>
      <c r="AQ1769" s="46">
        <f>(打分卡!$D$16*AL1769+打分卡!$D$17*AM1769)/5</f>
        <v>2</v>
      </c>
      <c r="AR1769" s="48">
        <f t="shared" si="218"/>
        <v>20.8</v>
      </c>
      <c r="AS1769" s="45" t="str">
        <f t="shared" si="219"/>
        <v>未激活</v>
      </c>
      <c r="AT1769" s="45" t="str">
        <f t="shared" si="220"/>
        <v>连续下降-预警</v>
      </c>
      <c r="AU1769" s="45" t="str">
        <f t="shared" si="221"/>
        <v>唤醒：短信模板+首充补贴</v>
      </c>
    </row>
    <row r="1770" ht="15" customHeight="1" spans="1:47">
      <c r="A1770" s="30" t="s">
        <v>4496</v>
      </c>
      <c r="B1770" s="31" t="s">
        <v>4497</v>
      </c>
      <c r="C1770" s="31" t="s">
        <v>218</v>
      </c>
      <c r="D1770" s="31" t="s">
        <v>227</v>
      </c>
      <c r="E1770" s="31" t="s">
        <v>197</v>
      </c>
      <c r="F1770" s="30" t="s">
        <v>4498</v>
      </c>
      <c r="G1770" s="31">
        <v>16</v>
      </c>
      <c r="H1770" s="31" t="s">
        <v>3535</v>
      </c>
      <c r="I1770" s="31" t="s">
        <v>302</v>
      </c>
      <c r="J1770" s="33">
        <v>0</v>
      </c>
      <c r="K1770" s="33">
        <v>0</v>
      </c>
      <c r="L1770" s="33">
        <v>0</v>
      </c>
      <c r="M1770" s="33">
        <f t="shared" si="216"/>
        <v>0</v>
      </c>
      <c r="N1770" s="34">
        <f t="shared" si="222"/>
        <v>0</v>
      </c>
      <c r="O1770" s="35">
        <f>SUM($M$2:M1770)</f>
        <v>190743600</v>
      </c>
      <c r="P1770" s="34">
        <f t="shared" si="223"/>
        <v>1</v>
      </c>
      <c r="Q1770" s="37">
        <v>0</v>
      </c>
      <c r="R1770" s="31">
        <v>0</v>
      </c>
      <c r="S1770" s="31">
        <v>0</v>
      </c>
      <c r="T1770" s="31">
        <v>0</v>
      </c>
      <c r="U1770" s="37">
        <v>21.2</v>
      </c>
      <c r="V1770" s="31">
        <v>6</v>
      </c>
      <c r="W1770" s="31">
        <v>1</v>
      </c>
      <c r="X1770" s="38">
        <v>18</v>
      </c>
      <c r="Y1770" s="31">
        <v>1</v>
      </c>
      <c r="Z1770" s="31">
        <v>0</v>
      </c>
      <c r="AA1770" s="31" t="s">
        <v>212</v>
      </c>
      <c r="AB1770" s="31" t="s">
        <v>220</v>
      </c>
      <c r="AC1770" s="41">
        <f>IFERROR(LOOKUP(M1770,打分卡!$F$7:$J$7,打分卡!$K$7:$O$7),1)</f>
        <v>1</v>
      </c>
      <c r="AD1770" s="41">
        <f>IFERROR(LOOKUP(S1770,打分卡!$F$8:$J$8,打分卡!$K$8:$O$8),1)</f>
        <v>1</v>
      </c>
      <c r="AE1770" s="41">
        <f>IFERROR(LOOKUP(T1770,打分卡!$F$9:$I$9,打分卡!$K$9:$N$9),1)</f>
        <v>1</v>
      </c>
      <c r="AF1770" s="41">
        <f>IFERROR(LOOKUP(Q1770,打分卡!$F$10:$J$10,打分卡!$K$10:$O$10),1)</f>
        <v>1</v>
      </c>
      <c r="AG1770" s="41">
        <f>IFERROR(LOOKUP(R1770,打分卡!$F$11:$J$11,打分卡!$K$11:$O$11),1)</f>
        <v>1</v>
      </c>
      <c r="AH1770" s="41">
        <f>IFERROR(LOOKUP(U1770,打分卡!$F$12:$J$12,打分卡!$K$12:$O$12),1)</f>
        <v>3</v>
      </c>
      <c r="AI1770" s="41">
        <f>IFERROR(LOOKUP(X1770,打分卡!$F$13:$J$13,打分卡!$K$13:$O$13),1)</f>
        <v>2</v>
      </c>
      <c r="AJ1770" s="41">
        <f>IFERROR(LOOKUP(Y1770,打分卡!$F$14:$J$14,打分卡!$K$14:$O$14),1)</f>
        <v>2</v>
      </c>
      <c r="AK1770" s="41">
        <f>IFERROR(LOOKUP(W1770,打分卡!$F$15:$J$15,打分卡!$K$15:$O$15),1)</f>
        <v>2</v>
      </c>
      <c r="AL1770" s="43">
        <f t="shared" si="217"/>
        <v>1</v>
      </c>
      <c r="AM1770" s="41">
        <f>IFERROR(LOOKUP(Z1770,打分卡!$F$17:$H$17,打分卡!$K$17:$M$17),1)</f>
        <v>1</v>
      </c>
      <c r="AN1770" s="44">
        <f>(打分卡!$D$7*AC1770+打分卡!$D$8*AD1770+打分卡!$D$9*AE1770)/5</f>
        <v>8</v>
      </c>
      <c r="AO1770" s="44">
        <f>(打分卡!$D$10*AF1770+打分卡!$D$11*AG1770)/5</f>
        <v>4</v>
      </c>
      <c r="AP1770" s="44">
        <f>(打分卡!$D$12*AH1770+打分卡!$D$13*AI1770+打分卡!$D$14*AJ1770+打分卡!$D$15*AK1770)/5</f>
        <v>14.4</v>
      </c>
      <c r="AQ1770" s="44">
        <f>(打分卡!$D$16*AL1770+打分卡!$D$17*AM1770)/5</f>
        <v>2</v>
      </c>
      <c r="AR1770" s="47">
        <f t="shared" si="218"/>
        <v>28.4</v>
      </c>
      <c r="AS1770" s="43" t="str">
        <f t="shared" si="219"/>
        <v>未激活</v>
      </c>
      <c r="AT1770" s="43" t="str">
        <f t="shared" si="220"/>
        <v>连续下降-预警</v>
      </c>
      <c r="AU1770" s="43" t="str">
        <f t="shared" si="221"/>
        <v>唤醒：短信模板+首充补贴</v>
      </c>
    </row>
    <row r="1771" ht="15" customHeight="1" spans="1:47">
      <c r="A1771" s="20" t="s">
        <v>4499</v>
      </c>
      <c r="B1771" s="22" t="s">
        <v>4500</v>
      </c>
      <c r="C1771" s="22" t="s">
        <v>218</v>
      </c>
      <c r="D1771" s="22" t="s">
        <v>196</v>
      </c>
      <c r="E1771" s="22" t="s">
        <v>197</v>
      </c>
      <c r="F1771" s="20" t="s">
        <v>1807</v>
      </c>
      <c r="G1771" s="22">
        <v>23</v>
      </c>
      <c r="H1771" s="22" t="s">
        <v>3535</v>
      </c>
      <c r="I1771" s="22" t="s">
        <v>302</v>
      </c>
      <c r="J1771" s="36">
        <v>0</v>
      </c>
      <c r="K1771" s="36">
        <v>0</v>
      </c>
      <c r="L1771" s="36">
        <v>0</v>
      </c>
      <c r="M1771" s="36">
        <f t="shared" si="216"/>
        <v>0</v>
      </c>
      <c r="N1771" s="34">
        <f t="shared" si="222"/>
        <v>0</v>
      </c>
      <c r="O1771" s="35">
        <f>SUM($M$2:M1771)</f>
        <v>190743600</v>
      </c>
      <c r="P1771" s="34">
        <f t="shared" si="223"/>
        <v>1</v>
      </c>
      <c r="Q1771" s="39">
        <v>0</v>
      </c>
      <c r="R1771" s="22">
        <v>0</v>
      </c>
      <c r="S1771" s="22">
        <v>0</v>
      </c>
      <c r="T1771" s="22">
        <v>0</v>
      </c>
      <c r="U1771" s="39">
        <v>2</v>
      </c>
      <c r="V1771" s="22">
        <v>3</v>
      </c>
      <c r="W1771" s="22">
        <v>2</v>
      </c>
      <c r="X1771" s="40">
        <v>13</v>
      </c>
      <c r="Y1771" s="22">
        <v>0</v>
      </c>
      <c r="Z1771" s="22">
        <v>0</v>
      </c>
      <c r="AA1771" s="22" t="s">
        <v>212</v>
      </c>
      <c r="AB1771" s="22" t="s">
        <v>220</v>
      </c>
      <c r="AC1771" s="42">
        <f>IFERROR(LOOKUP(M1771,打分卡!$F$7:$J$7,打分卡!$K$7:$O$7),1)</f>
        <v>1</v>
      </c>
      <c r="AD1771" s="42">
        <f>IFERROR(LOOKUP(S1771,打分卡!$F$8:$J$8,打分卡!$K$8:$O$8),1)</f>
        <v>1</v>
      </c>
      <c r="AE1771" s="42">
        <f>IFERROR(LOOKUP(T1771,打分卡!$F$9:$I$9,打分卡!$K$9:$N$9),1)</f>
        <v>1</v>
      </c>
      <c r="AF1771" s="42">
        <f>IFERROR(LOOKUP(Q1771,打分卡!$F$10:$J$10,打分卡!$K$10:$O$10),1)</f>
        <v>1</v>
      </c>
      <c r="AG1771" s="42">
        <f>IFERROR(LOOKUP(R1771,打分卡!$F$11:$J$11,打分卡!$K$11:$O$11),1)</f>
        <v>1</v>
      </c>
      <c r="AH1771" s="42">
        <f>IFERROR(LOOKUP(U1771,打分卡!$F$12:$J$12,打分卡!$K$12:$O$12),1)</f>
        <v>1</v>
      </c>
      <c r="AI1771" s="42">
        <f>IFERROR(LOOKUP(X1771,打分卡!$F$13:$J$13,打分卡!$K$13:$O$13),1)</f>
        <v>1</v>
      </c>
      <c r="AJ1771" s="42">
        <f>IFERROR(LOOKUP(Y1771,打分卡!$F$14:$J$14,打分卡!$K$14:$O$14),1)</f>
        <v>1</v>
      </c>
      <c r="AK1771" s="42">
        <f>IFERROR(LOOKUP(W1771,打分卡!$F$15:$J$15,打分卡!$K$15:$O$15),1)</f>
        <v>2</v>
      </c>
      <c r="AL1771" s="45">
        <f t="shared" si="217"/>
        <v>1</v>
      </c>
      <c r="AM1771" s="42">
        <f>IFERROR(LOOKUP(Z1771,打分卡!$F$17:$H$17,打分卡!$K$17:$M$17),1)</f>
        <v>1</v>
      </c>
      <c r="AN1771" s="46">
        <f>(打分卡!$D$7*AC1771+打分卡!$D$8*AD1771+打分卡!$D$9*AE1771)/5</f>
        <v>8</v>
      </c>
      <c r="AO1771" s="46">
        <f>(打分卡!$D$10*AF1771+打分卡!$D$11*AG1771)/5</f>
        <v>4</v>
      </c>
      <c r="AP1771" s="46">
        <f>(打分卡!$D$12*AH1771+打分卡!$D$13*AI1771+打分卡!$D$14*AJ1771+打分卡!$D$15*AK1771)/5</f>
        <v>6.8</v>
      </c>
      <c r="AQ1771" s="46">
        <f>(打分卡!$D$16*AL1771+打分卡!$D$17*AM1771)/5</f>
        <v>2</v>
      </c>
      <c r="AR1771" s="48">
        <f t="shared" si="218"/>
        <v>20.8</v>
      </c>
      <c r="AS1771" s="45" t="str">
        <f t="shared" si="219"/>
        <v>未激活</v>
      </c>
      <c r="AT1771" s="45" t="str">
        <f t="shared" si="220"/>
        <v>连续下降-预警</v>
      </c>
      <c r="AU1771" s="45" t="str">
        <f t="shared" si="221"/>
        <v>唤醒：短信模板+首充补贴</v>
      </c>
    </row>
    <row r="1772" ht="15" customHeight="1" spans="1:47">
      <c r="A1772" s="30" t="s">
        <v>4501</v>
      </c>
      <c r="B1772" s="31" t="s">
        <v>4502</v>
      </c>
      <c r="C1772" s="31" t="s">
        <v>189</v>
      </c>
      <c r="D1772" s="31" t="s">
        <v>202</v>
      </c>
      <c r="E1772" s="31" t="s">
        <v>197</v>
      </c>
      <c r="F1772" s="30" t="s">
        <v>3600</v>
      </c>
      <c r="G1772" s="31">
        <v>27</v>
      </c>
      <c r="H1772" s="31" t="s">
        <v>3535</v>
      </c>
      <c r="I1772" s="31" t="s">
        <v>302</v>
      </c>
      <c r="J1772" s="33">
        <v>0</v>
      </c>
      <c r="K1772" s="33">
        <v>0</v>
      </c>
      <c r="L1772" s="33">
        <v>0</v>
      </c>
      <c r="M1772" s="33">
        <f t="shared" si="216"/>
        <v>0</v>
      </c>
      <c r="N1772" s="34">
        <f t="shared" si="222"/>
        <v>0</v>
      </c>
      <c r="O1772" s="35">
        <f>SUM($M$2:M1772)</f>
        <v>190743600</v>
      </c>
      <c r="P1772" s="34">
        <f t="shared" si="223"/>
        <v>1</v>
      </c>
      <c r="Q1772" s="37">
        <v>0</v>
      </c>
      <c r="R1772" s="31">
        <v>0</v>
      </c>
      <c r="S1772" s="31">
        <v>0</v>
      </c>
      <c r="T1772" s="31">
        <v>0</v>
      </c>
      <c r="U1772" s="37">
        <v>4.9</v>
      </c>
      <c r="V1772" s="31">
        <v>7</v>
      </c>
      <c r="W1772" s="31">
        <v>0</v>
      </c>
      <c r="X1772" s="38">
        <v>13</v>
      </c>
      <c r="Y1772" s="31">
        <v>1</v>
      </c>
      <c r="Z1772" s="31">
        <v>0</v>
      </c>
      <c r="AA1772" s="31" t="s">
        <v>212</v>
      </c>
      <c r="AB1772" s="31" t="s">
        <v>220</v>
      </c>
      <c r="AC1772" s="41">
        <f>IFERROR(LOOKUP(M1772,打分卡!$F$7:$J$7,打分卡!$K$7:$O$7),1)</f>
        <v>1</v>
      </c>
      <c r="AD1772" s="41">
        <f>IFERROR(LOOKUP(S1772,打分卡!$F$8:$J$8,打分卡!$K$8:$O$8),1)</f>
        <v>1</v>
      </c>
      <c r="AE1772" s="41">
        <f>IFERROR(LOOKUP(T1772,打分卡!$F$9:$I$9,打分卡!$K$9:$N$9),1)</f>
        <v>1</v>
      </c>
      <c r="AF1772" s="41">
        <f>IFERROR(LOOKUP(Q1772,打分卡!$F$10:$J$10,打分卡!$K$10:$O$10),1)</f>
        <v>1</v>
      </c>
      <c r="AG1772" s="41">
        <f>IFERROR(LOOKUP(R1772,打分卡!$F$11:$J$11,打分卡!$K$11:$O$11),1)</f>
        <v>1</v>
      </c>
      <c r="AH1772" s="41">
        <f>IFERROR(LOOKUP(U1772,打分卡!$F$12:$J$12,打分卡!$K$12:$O$12),1)</f>
        <v>2</v>
      </c>
      <c r="AI1772" s="41">
        <f>IFERROR(LOOKUP(X1772,打分卡!$F$13:$J$13,打分卡!$K$13:$O$13),1)</f>
        <v>1</v>
      </c>
      <c r="AJ1772" s="41">
        <f>IFERROR(LOOKUP(Y1772,打分卡!$F$14:$J$14,打分卡!$K$14:$O$14),1)</f>
        <v>2</v>
      </c>
      <c r="AK1772" s="41">
        <f>IFERROR(LOOKUP(W1772,打分卡!$F$15:$J$15,打分卡!$K$15:$O$15),1)</f>
        <v>1</v>
      </c>
      <c r="AL1772" s="43">
        <f t="shared" si="217"/>
        <v>1</v>
      </c>
      <c r="AM1772" s="41">
        <f>IFERROR(LOOKUP(Z1772,打分卡!$F$17:$H$17,打分卡!$K$17:$M$17),1)</f>
        <v>1</v>
      </c>
      <c r="AN1772" s="44">
        <f>(打分卡!$D$7*AC1772+打分卡!$D$8*AD1772+打分卡!$D$9*AE1772)/5</f>
        <v>8</v>
      </c>
      <c r="AO1772" s="44">
        <f>(打分卡!$D$10*AF1772+打分卡!$D$11*AG1772)/5</f>
        <v>4</v>
      </c>
      <c r="AP1772" s="44">
        <f>(打分卡!$D$12*AH1772+打分卡!$D$13*AI1772+打分卡!$D$14*AJ1772+打分卡!$D$15*AK1772)/5</f>
        <v>9.6</v>
      </c>
      <c r="AQ1772" s="44">
        <f>(打分卡!$D$16*AL1772+打分卡!$D$17*AM1772)/5</f>
        <v>2</v>
      </c>
      <c r="AR1772" s="47">
        <f t="shared" si="218"/>
        <v>23.6</v>
      </c>
      <c r="AS1772" s="43" t="str">
        <f t="shared" si="219"/>
        <v>未激活</v>
      </c>
      <c r="AT1772" s="43" t="str">
        <f t="shared" si="220"/>
        <v>连续下降-预警</v>
      </c>
      <c r="AU1772" s="43" t="str">
        <f t="shared" si="221"/>
        <v>唤醒：短信模板+首充补贴</v>
      </c>
    </row>
    <row r="1773" ht="15" customHeight="1" spans="1:47">
      <c r="A1773" s="20" t="s">
        <v>4503</v>
      </c>
      <c r="B1773" s="22" t="s">
        <v>4504</v>
      </c>
      <c r="C1773" s="22" t="s">
        <v>234</v>
      </c>
      <c r="D1773" s="22" t="s">
        <v>190</v>
      </c>
      <c r="E1773" s="22" t="s">
        <v>181</v>
      </c>
      <c r="F1773" s="20" t="s">
        <v>4505</v>
      </c>
      <c r="G1773" s="22">
        <v>31</v>
      </c>
      <c r="H1773" s="22" t="s">
        <v>3535</v>
      </c>
      <c r="I1773" s="22" t="s">
        <v>302</v>
      </c>
      <c r="J1773" s="36">
        <v>0</v>
      </c>
      <c r="K1773" s="36">
        <v>0</v>
      </c>
      <c r="L1773" s="36">
        <v>0</v>
      </c>
      <c r="M1773" s="36">
        <f t="shared" si="216"/>
        <v>0</v>
      </c>
      <c r="N1773" s="34">
        <f t="shared" si="222"/>
        <v>0</v>
      </c>
      <c r="O1773" s="35">
        <f>SUM($M$2:M1773)</f>
        <v>190743600</v>
      </c>
      <c r="P1773" s="34">
        <f t="shared" si="223"/>
        <v>1</v>
      </c>
      <c r="Q1773" s="39">
        <v>0</v>
      </c>
      <c r="R1773" s="22">
        <v>0</v>
      </c>
      <c r="S1773" s="22">
        <v>0</v>
      </c>
      <c r="T1773" s="22">
        <v>0</v>
      </c>
      <c r="U1773" s="39">
        <v>5.8</v>
      </c>
      <c r="V1773" s="22">
        <v>1</v>
      </c>
      <c r="W1773" s="22">
        <v>1</v>
      </c>
      <c r="X1773" s="40">
        <v>17</v>
      </c>
      <c r="Y1773" s="22">
        <v>0</v>
      </c>
      <c r="Z1773" s="22">
        <v>0</v>
      </c>
      <c r="AA1773" s="22" t="s">
        <v>212</v>
      </c>
      <c r="AB1773" s="22" t="s">
        <v>220</v>
      </c>
      <c r="AC1773" s="42">
        <f>IFERROR(LOOKUP(M1773,打分卡!$F$7:$J$7,打分卡!$K$7:$O$7),1)</f>
        <v>1</v>
      </c>
      <c r="AD1773" s="42">
        <f>IFERROR(LOOKUP(S1773,打分卡!$F$8:$J$8,打分卡!$K$8:$O$8),1)</f>
        <v>1</v>
      </c>
      <c r="AE1773" s="42">
        <f>IFERROR(LOOKUP(T1773,打分卡!$F$9:$I$9,打分卡!$K$9:$N$9),1)</f>
        <v>1</v>
      </c>
      <c r="AF1773" s="42">
        <f>IFERROR(LOOKUP(Q1773,打分卡!$F$10:$J$10,打分卡!$K$10:$O$10),1)</f>
        <v>1</v>
      </c>
      <c r="AG1773" s="42">
        <f>IFERROR(LOOKUP(R1773,打分卡!$F$11:$J$11,打分卡!$K$11:$O$11),1)</f>
        <v>1</v>
      </c>
      <c r="AH1773" s="42">
        <f>IFERROR(LOOKUP(U1773,打分卡!$F$12:$J$12,打分卡!$K$12:$O$12),1)</f>
        <v>2</v>
      </c>
      <c r="AI1773" s="42">
        <f>IFERROR(LOOKUP(X1773,打分卡!$F$13:$J$13,打分卡!$K$13:$O$13),1)</f>
        <v>1</v>
      </c>
      <c r="AJ1773" s="42">
        <f>IFERROR(LOOKUP(Y1773,打分卡!$F$14:$J$14,打分卡!$K$14:$O$14),1)</f>
        <v>1</v>
      </c>
      <c r="AK1773" s="42">
        <f>IFERROR(LOOKUP(W1773,打分卡!$F$15:$J$15,打分卡!$K$15:$O$15),1)</f>
        <v>2</v>
      </c>
      <c r="AL1773" s="45">
        <f t="shared" si="217"/>
        <v>1</v>
      </c>
      <c r="AM1773" s="42">
        <f>IFERROR(LOOKUP(Z1773,打分卡!$F$17:$H$17,打分卡!$K$17:$M$17),1)</f>
        <v>1</v>
      </c>
      <c r="AN1773" s="46">
        <f>(打分卡!$D$7*AC1773+打分卡!$D$8*AD1773+打分卡!$D$9*AE1773)/5</f>
        <v>8</v>
      </c>
      <c r="AO1773" s="46">
        <f>(打分卡!$D$10*AF1773+打分卡!$D$11*AG1773)/5</f>
        <v>4</v>
      </c>
      <c r="AP1773" s="46">
        <f>(打分卡!$D$12*AH1773+打分卡!$D$13*AI1773+打分卡!$D$14*AJ1773+打分卡!$D$15*AK1773)/5</f>
        <v>9.2</v>
      </c>
      <c r="AQ1773" s="46">
        <f>(打分卡!$D$16*AL1773+打分卡!$D$17*AM1773)/5</f>
        <v>2</v>
      </c>
      <c r="AR1773" s="48">
        <f t="shared" si="218"/>
        <v>23.2</v>
      </c>
      <c r="AS1773" s="45" t="str">
        <f t="shared" si="219"/>
        <v>未激活</v>
      </c>
      <c r="AT1773" s="45" t="str">
        <f t="shared" si="220"/>
        <v>连续下降-预警</v>
      </c>
      <c r="AU1773" s="45" t="str">
        <f t="shared" si="221"/>
        <v>唤醒：短信模板+首充补贴</v>
      </c>
    </row>
    <row r="1774" ht="15" customHeight="1" spans="1:47">
      <c r="A1774" s="30" t="s">
        <v>4506</v>
      </c>
      <c r="B1774" s="31" t="s">
        <v>4507</v>
      </c>
      <c r="C1774" s="31" t="s">
        <v>239</v>
      </c>
      <c r="D1774" s="31" t="s">
        <v>196</v>
      </c>
      <c r="E1774" s="31" t="s">
        <v>197</v>
      </c>
      <c r="F1774" s="30" t="s">
        <v>191</v>
      </c>
      <c r="G1774" s="31">
        <v>35</v>
      </c>
      <c r="H1774" s="31" t="s">
        <v>3535</v>
      </c>
      <c r="I1774" s="31" t="s">
        <v>302</v>
      </c>
      <c r="J1774" s="33">
        <v>0</v>
      </c>
      <c r="K1774" s="33">
        <v>0</v>
      </c>
      <c r="L1774" s="33">
        <v>0</v>
      </c>
      <c r="M1774" s="33">
        <f t="shared" si="216"/>
        <v>0</v>
      </c>
      <c r="N1774" s="34">
        <f t="shared" si="222"/>
        <v>0</v>
      </c>
      <c r="O1774" s="35">
        <f>SUM($M$2:M1774)</f>
        <v>190743600</v>
      </c>
      <c r="P1774" s="34">
        <f t="shared" si="223"/>
        <v>1</v>
      </c>
      <c r="Q1774" s="37">
        <v>0</v>
      </c>
      <c r="R1774" s="31">
        <v>0</v>
      </c>
      <c r="S1774" s="31">
        <v>0</v>
      </c>
      <c r="T1774" s="31">
        <v>0</v>
      </c>
      <c r="U1774" s="37">
        <v>4.3</v>
      </c>
      <c r="V1774" s="31">
        <v>15</v>
      </c>
      <c r="W1774" s="31">
        <v>2</v>
      </c>
      <c r="X1774" s="38">
        <v>17</v>
      </c>
      <c r="Y1774" s="31">
        <v>1</v>
      </c>
      <c r="Z1774" s="31">
        <v>0</v>
      </c>
      <c r="AA1774" s="31" t="s">
        <v>212</v>
      </c>
      <c r="AB1774" s="31" t="s">
        <v>220</v>
      </c>
      <c r="AC1774" s="41">
        <f>IFERROR(LOOKUP(M1774,打分卡!$F$7:$J$7,打分卡!$K$7:$O$7),1)</f>
        <v>1</v>
      </c>
      <c r="AD1774" s="41">
        <f>IFERROR(LOOKUP(S1774,打分卡!$F$8:$J$8,打分卡!$K$8:$O$8),1)</f>
        <v>1</v>
      </c>
      <c r="AE1774" s="41">
        <f>IFERROR(LOOKUP(T1774,打分卡!$F$9:$I$9,打分卡!$K$9:$N$9),1)</f>
        <v>1</v>
      </c>
      <c r="AF1774" s="41">
        <f>IFERROR(LOOKUP(Q1774,打分卡!$F$10:$J$10,打分卡!$K$10:$O$10),1)</f>
        <v>1</v>
      </c>
      <c r="AG1774" s="41">
        <f>IFERROR(LOOKUP(R1774,打分卡!$F$11:$J$11,打分卡!$K$11:$O$11),1)</f>
        <v>1</v>
      </c>
      <c r="AH1774" s="41">
        <f>IFERROR(LOOKUP(U1774,打分卡!$F$12:$J$12,打分卡!$K$12:$O$12),1)</f>
        <v>2</v>
      </c>
      <c r="AI1774" s="41">
        <f>IFERROR(LOOKUP(X1774,打分卡!$F$13:$J$13,打分卡!$K$13:$O$13),1)</f>
        <v>1</v>
      </c>
      <c r="AJ1774" s="41">
        <f>IFERROR(LOOKUP(Y1774,打分卡!$F$14:$J$14,打分卡!$K$14:$O$14),1)</f>
        <v>2</v>
      </c>
      <c r="AK1774" s="41">
        <f>IFERROR(LOOKUP(W1774,打分卡!$F$15:$J$15,打分卡!$K$15:$O$15),1)</f>
        <v>2</v>
      </c>
      <c r="AL1774" s="43">
        <f t="shared" si="217"/>
        <v>1</v>
      </c>
      <c r="AM1774" s="41">
        <f>IFERROR(LOOKUP(Z1774,打分卡!$F$17:$H$17,打分卡!$K$17:$M$17),1)</f>
        <v>1</v>
      </c>
      <c r="AN1774" s="44">
        <f>(打分卡!$D$7*AC1774+打分卡!$D$8*AD1774+打分卡!$D$9*AE1774)/5</f>
        <v>8</v>
      </c>
      <c r="AO1774" s="44">
        <f>(打分卡!$D$10*AF1774+打分卡!$D$11*AG1774)/5</f>
        <v>4</v>
      </c>
      <c r="AP1774" s="44">
        <f>(打分卡!$D$12*AH1774+打分卡!$D$13*AI1774+打分卡!$D$14*AJ1774+打分卡!$D$15*AK1774)/5</f>
        <v>10.4</v>
      </c>
      <c r="AQ1774" s="44">
        <f>(打分卡!$D$16*AL1774+打分卡!$D$17*AM1774)/5</f>
        <v>2</v>
      </c>
      <c r="AR1774" s="47">
        <f t="shared" si="218"/>
        <v>24.4</v>
      </c>
      <c r="AS1774" s="43" t="str">
        <f t="shared" si="219"/>
        <v>未激活</v>
      </c>
      <c r="AT1774" s="43" t="str">
        <f t="shared" si="220"/>
        <v>连续下降-预警</v>
      </c>
      <c r="AU1774" s="43" t="str">
        <f t="shared" si="221"/>
        <v>唤醒：短信模板+首充补贴</v>
      </c>
    </row>
    <row r="1775" ht="15" customHeight="1" spans="1:47">
      <c r="A1775" s="20" t="s">
        <v>4508</v>
      </c>
      <c r="B1775" s="22" t="s">
        <v>4509</v>
      </c>
      <c r="C1775" s="22" t="s">
        <v>179</v>
      </c>
      <c r="D1775" s="22" t="s">
        <v>190</v>
      </c>
      <c r="E1775" s="22" t="s">
        <v>181</v>
      </c>
      <c r="F1775" s="20" t="s">
        <v>4018</v>
      </c>
      <c r="G1775" s="22">
        <v>24</v>
      </c>
      <c r="H1775" s="22" t="s">
        <v>3535</v>
      </c>
      <c r="I1775" s="22" t="s">
        <v>302</v>
      </c>
      <c r="J1775" s="36">
        <v>0</v>
      </c>
      <c r="K1775" s="36">
        <v>0</v>
      </c>
      <c r="L1775" s="36">
        <v>0</v>
      </c>
      <c r="M1775" s="36">
        <f t="shared" si="216"/>
        <v>0</v>
      </c>
      <c r="N1775" s="34">
        <f t="shared" si="222"/>
        <v>0</v>
      </c>
      <c r="O1775" s="35">
        <f>SUM($M$2:M1775)</f>
        <v>190743600</v>
      </c>
      <c r="P1775" s="34">
        <f t="shared" si="223"/>
        <v>1</v>
      </c>
      <c r="Q1775" s="39">
        <v>0</v>
      </c>
      <c r="R1775" s="22">
        <v>0</v>
      </c>
      <c r="S1775" s="22">
        <v>0</v>
      </c>
      <c r="T1775" s="22">
        <v>0</v>
      </c>
      <c r="U1775" s="39">
        <v>9.7</v>
      </c>
      <c r="V1775" s="22">
        <v>3</v>
      </c>
      <c r="W1775" s="22">
        <v>1</v>
      </c>
      <c r="X1775" s="40">
        <v>43</v>
      </c>
      <c r="Y1775" s="22">
        <v>1</v>
      </c>
      <c r="Z1775" s="22">
        <v>0</v>
      </c>
      <c r="AA1775" s="22" t="s">
        <v>212</v>
      </c>
      <c r="AB1775" s="22" t="s">
        <v>220</v>
      </c>
      <c r="AC1775" s="42">
        <f>IFERROR(LOOKUP(M1775,打分卡!$F$7:$J$7,打分卡!$K$7:$O$7),1)</f>
        <v>1</v>
      </c>
      <c r="AD1775" s="42">
        <f>IFERROR(LOOKUP(S1775,打分卡!$F$8:$J$8,打分卡!$K$8:$O$8),1)</f>
        <v>1</v>
      </c>
      <c r="AE1775" s="42">
        <f>IFERROR(LOOKUP(T1775,打分卡!$F$9:$I$9,打分卡!$K$9:$N$9),1)</f>
        <v>1</v>
      </c>
      <c r="AF1775" s="42">
        <f>IFERROR(LOOKUP(Q1775,打分卡!$F$10:$J$10,打分卡!$K$10:$O$10),1)</f>
        <v>1</v>
      </c>
      <c r="AG1775" s="42">
        <f>IFERROR(LOOKUP(R1775,打分卡!$F$11:$J$11,打分卡!$K$11:$O$11),1)</f>
        <v>1</v>
      </c>
      <c r="AH1775" s="42">
        <f>IFERROR(LOOKUP(U1775,打分卡!$F$12:$J$12,打分卡!$K$12:$O$12),1)</f>
        <v>2</v>
      </c>
      <c r="AI1775" s="42">
        <f>IFERROR(LOOKUP(X1775,打分卡!$F$13:$J$13,打分卡!$K$13:$O$13),1)</f>
        <v>3</v>
      </c>
      <c r="AJ1775" s="42">
        <f>IFERROR(LOOKUP(Y1775,打分卡!$F$14:$J$14,打分卡!$K$14:$O$14),1)</f>
        <v>2</v>
      </c>
      <c r="AK1775" s="42">
        <f>IFERROR(LOOKUP(W1775,打分卡!$F$15:$J$15,打分卡!$K$15:$O$15),1)</f>
        <v>2</v>
      </c>
      <c r="AL1775" s="45">
        <f t="shared" si="217"/>
        <v>1</v>
      </c>
      <c r="AM1775" s="42">
        <f>IFERROR(LOOKUP(Z1775,打分卡!$F$17:$H$17,打分卡!$K$17:$M$17),1)</f>
        <v>1</v>
      </c>
      <c r="AN1775" s="46">
        <f>(打分卡!$D$7*AC1775+打分卡!$D$8*AD1775+打分卡!$D$9*AE1775)/5</f>
        <v>8</v>
      </c>
      <c r="AO1775" s="46">
        <f>(打分卡!$D$10*AF1775+打分卡!$D$11*AG1775)/5</f>
        <v>4</v>
      </c>
      <c r="AP1775" s="46">
        <f>(打分卡!$D$12*AH1775+打分卡!$D$13*AI1775+打分卡!$D$14*AJ1775+打分卡!$D$15*AK1775)/5</f>
        <v>13.6</v>
      </c>
      <c r="AQ1775" s="46">
        <f>(打分卡!$D$16*AL1775+打分卡!$D$17*AM1775)/5</f>
        <v>2</v>
      </c>
      <c r="AR1775" s="48">
        <f t="shared" si="218"/>
        <v>27.6</v>
      </c>
      <c r="AS1775" s="45" t="str">
        <f t="shared" si="219"/>
        <v>未激活</v>
      </c>
      <c r="AT1775" s="45" t="str">
        <f t="shared" si="220"/>
        <v>连续下降-预警</v>
      </c>
      <c r="AU1775" s="45" t="str">
        <f t="shared" si="221"/>
        <v>唤醒：短信模板+首充补贴</v>
      </c>
    </row>
    <row r="1776" ht="15" customHeight="1" spans="1:47">
      <c r="A1776" s="30" t="s">
        <v>4510</v>
      </c>
      <c r="B1776" s="31" t="s">
        <v>4511</v>
      </c>
      <c r="C1776" s="31" t="s">
        <v>179</v>
      </c>
      <c r="D1776" s="31" t="s">
        <v>196</v>
      </c>
      <c r="E1776" s="31" t="s">
        <v>181</v>
      </c>
      <c r="F1776" s="30" t="s">
        <v>4132</v>
      </c>
      <c r="G1776" s="31">
        <v>34</v>
      </c>
      <c r="H1776" s="31" t="s">
        <v>3535</v>
      </c>
      <c r="I1776" s="31" t="s">
        <v>302</v>
      </c>
      <c r="J1776" s="33">
        <v>0</v>
      </c>
      <c r="K1776" s="33">
        <v>0</v>
      </c>
      <c r="L1776" s="33">
        <v>0</v>
      </c>
      <c r="M1776" s="33">
        <f t="shared" si="216"/>
        <v>0</v>
      </c>
      <c r="N1776" s="34">
        <f t="shared" si="222"/>
        <v>0</v>
      </c>
      <c r="O1776" s="35">
        <f>SUM($M$2:M1776)</f>
        <v>190743600</v>
      </c>
      <c r="P1776" s="34">
        <f t="shared" si="223"/>
        <v>1</v>
      </c>
      <c r="Q1776" s="37">
        <v>0</v>
      </c>
      <c r="R1776" s="31">
        <v>0</v>
      </c>
      <c r="S1776" s="31">
        <v>0</v>
      </c>
      <c r="T1776" s="31">
        <v>0</v>
      </c>
      <c r="U1776" s="37">
        <v>1.2</v>
      </c>
      <c r="V1776" s="31">
        <v>12</v>
      </c>
      <c r="W1776" s="31">
        <v>2</v>
      </c>
      <c r="X1776" s="38">
        <v>31</v>
      </c>
      <c r="Y1776" s="31">
        <v>1</v>
      </c>
      <c r="Z1776" s="31">
        <v>0</v>
      </c>
      <c r="AA1776" s="31" t="s">
        <v>212</v>
      </c>
      <c r="AB1776" s="31" t="s">
        <v>220</v>
      </c>
      <c r="AC1776" s="41">
        <f>IFERROR(LOOKUP(M1776,打分卡!$F$7:$J$7,打分卡!$K$7:$O$7),1)</f>
        <v>1</v>
      </c>
      <c r="AD1776" s="41">
        <f>IFERROR(LOOKUP(S1776,打分卡!$F$8:$J$8,打分卡!$K$8:$O$8),1)</f>
        <v>1</v>
      </c>
      <c r="AE1776" s="41">
        <f>IFERROR(LOOKUP(T1776,打分卡!$F$9:$I$9,打分卡!$K$9:$N$9),1)</f>
        <v>1</v>
      </c>
      <c r="AF1776" s="41">
        <f>IFERROR(LOOKUP(Q1776,打分卡!$F$10:$J$10,打分卡!$K$10:$O$10),1)</f>
        <v>1</v>
      </c>
      <c r="AG1776" s="41">
        <f>IFERROR(LOOKUP(R1776,打分卡!$F$11:$J$11,打分卡!$K$11:$O$11),1)</f>
        <v>1</v>
      </c>
      <c r="AH1776" s="41">
        <f>IFERROR(LOOKUP(U1776,打分卡!$F$12:$J$12,打分卡!$K$12:$O$12),1)</f>
        <v>1</v>
      </c>
      <c r="AI1776" s="41">
        <f>IFERROR(LOOKUP(X1776,打分卡!$F$13:$J$13,打分卡!$K$13:$O$13),1)</f>
        <v>2</v>
      </c>
      <c r="AJ1776" s="41">
        <f>IFERROR(LOOKUP(Y1776,打分卡!$F$14:$J$14,打分卡!$K$14:$O$14),1)</f>
        <v>2</v>
      </c>
      <c r="AK1776" s="41">
        <f>IFERROR(LOOKUP(W1776,打分卡!$F$15:$J$15,打分卡!$K$15:$O$15),1)</f>
        <v>2</v>
      </c>
      <c r="AL1776" s="43">
        <f t="shared" si="217"/>
        <v>1</v>
      </c>
      <c r="AM1776" s="41">
        <f>IFERROR(LOOKUP(Z1776,打分卡!$F$17:$H$17,打分卡!$K$17:$M$17),1)</f>
        <v>1</v>
      </c>
      <c r="AN1776" s="44">
        <f>(打分卡!$D$7*AC1776+打分卡!$D$8*AD1776+打分卡!$D$9*AE1776)/5</f>
        <v>8</v>
      </c>
      <c r="AO1776" s="44">
        <f>(打分卡!$D$10*AF1776+打分卡!$D$11*AG1776)/5</f>
        <v>4</v>
      </c>
      <c r="AP1776" s="44">
        <f>(打分卡!$D$12*AH1776+打分卡!$D$13*AI1776+打分卡!$D$14*AJ1776+打分卡!$D$15*AK1776)/5</f>
        <v>9.6</v>
      </c>
      <c r="AQ1776" s="44">
        <f>(打分卡!$D$16*AL1776+打分卡!$D$17*AM1776)/5</f>
        <v>2</v>
      </c>
      <c r="AR1776" s="47">
        <f t="shared" si="218"/>
        <v>23.6</v>
      </c>
      <c r="AS1776" s="43" t="str">
        <f t="shared" si="219"/>
        <v>未激活</v>
      </c>
      <c r="AT1776" s="43" t="str">
        <f t="shared" si="220"/>
        <v>连续下降-预警</v>
      </c>
      <c r="AU1776" s="43" t="str">
        <f t="shared" si="221"/>
        <v>唤醒：短信模板+首充补贴</v>
      </c>
    </row>
    <row r="1777" ht="15" customHeight="1" spans="1:47">
      <c r="A1777" s="20" t="s">
        <v>4512</v>
      </c>
      <c r="B1777" s="22" t="s">
        <v>4513</v>
      </c>
      <c r="C1777" s="22" t="s">
        <v>218</v>
      </c>
      <c r="D1777" s="22" t="s">
        <v>227</v>
      </c>
      <c r="E1777" s="22" t="s">
        <v>197</v>
      </c>
      <c r="F1777" s="20" t="s">
        <v>1636</v>
      </c>
      <c r="G1777" s="22">
        <v>17</v>
      </c>
      <c r="H1777" s="22" t="s">
        <v>3535</v>
      </c>
      <c r="I1777" s="22" t="s">
        <v>302</v>
      </c>
      <c r="J1777" s="36">
        <v>0</v>
      </c>
      <c r="K1777" s="36">
        <v>0</v>
      </c>
      <c r="L1777" s="36">
        <v>0</v>
      </c>
      <c r="M1777" s="36">
        <f t="shared" si="216"/>
        <v>0</v>
      </c>
      <c r="N1777" s="34">
        <f t="shared" si="222"/>
        <v>0</v>
      </c>
      <c r="O1777" s="35">
        <f>SUM($M$2:M1777)</f>
        <v>190743600</v>
      </c>
      <c r="P1777" s="34">
        <f t="shared" si="223"/>
        <v>1</v>
      </c>
      <c r="Q1777" s="39">
        <v>0</v>
      </c>
      <c r="R1777" s="22">
        <v>0</v>
      </c>
      <c r="S1777" s="22">
        <v>0</v>
      </c>
      <c r="T1777" s="22">
        <v>0</v>
      </c>
      <c r="U1777" s="39">
        <v>2.9</v>
      </c>
      <c r="V1777" s="22">
        <v>3</v>
      </c>
      <c r="W1777" s="22">
        <v>2</v>
      </c>
      <c r="X1777" s="40">
        <v>57</v>
      </c>
      <c r="Y1777" s="22">
        <v>0</v>
      </c>
      <c r="Z1777" s="22">
        <v>0</v>
      </c>
      <c r="AA1777" s="22" t="s">
        <v>212</v>
      </c>
      <c r="AB1777" s="22" t="s">
        <v>220</v>
      </c>
      <c r="AC1777" s="42">
        <f>IFERROR(LOOKUP(M1777,打分卡!$F$7:$J$7,打分卡!$K$7:$O$7),1)</f>
        <v>1</v>
      </c>
      <c r="AD1777" s="42">
        <f>IFERROR(LOOKUP(S1777,打分卡!$F$8:$J$8,打分卡!$K$8:$O$8),1)</f>
        <v>1</v>
      </c>
      <c r="AE1777" s="42">
        <f>IFERROR(LOOKUP(T1777,打分卡!$F$9:$I$9,打分卡!$K$9:$N$9),1)</f>
        <v>1</v>
      </c>
      <c r="AF1777" s="42">
        <f>IFERROR(LOOKUP(Q1777,打分卡!$F$10:$J$10,打分卡!$K$10:$O$10),1)</f>
        <v>1</v>
      </c>
      <c r="AG1777" s="42">
        <f>IFERROR(LOOKUP(R1777,打分卡!$F$11:$J$11,打分卡!$K$11:$O$11),1)</f>
        <v>1</v>
      </c>
      <c r="AH1777" s="42">
        <f>IFERROR(LOOKUP(U1777,打分卡!$F$12:$J$12,打分卡!$K$12:$O$12),1)</f>
        <v>2</v>
      </c>
      <c r="AI1777" s="42">
        <f>IFERROR(LOOKUP(X1777,打分卡!$F$13:$J$13,打分卡!$K$13:$O$13),1)</f>
        <v>3</v>
      </c>
      <c r="AJ1777" s="42">
        <f>IFERROR(LOOKUP(Y1777,打分卡!$F$14:$J$14,打分卡!$K$14:$O$14),1)</f>
        <v>1</v>
      </c>
      <c r="AK1777" s="42">
        <f>IFERROR(LOOKUP(W1777,打分卡!$F$15:$J$15,打分卡!$K$15:$O$15),1)</f>
        <v>2</v>
      </c>
      <c r="AL1777" s="45">
        <f t="shared" si="217"/>
        <v>1</v>
      </c>
      <c r="AM1777" s="42">
        <f>IFERROR(LOOKUP(Z1777,打分卡!$F$17:$H$17,打分卡!$K$17:$M$17),1)</f>
        <v>1</v>
      </c>
      <c r="AN1777" s="46">
        <f>(打分卡!$D$7*AC1777+打分卡!$D$8*AD1777+打分卡!$D$9*AE1777)/5</f>
        <v>8</v>
      </c>
      <c r="AO1777" s="46">
        <f>(打分卡!$D$10*AF1777+打分卡!$D$11*AG1777)/5</f>
        <v>4</v>
      </c>
      <c r="AP1777" s="46">
        <f>(打分卡!$D$12*AH1777+打分卡!$D$13*AI1777+打分卡!$D$14*AJ1777+打分卡!$D$15*AK1777)/5</f>
        <v>12.4</v>
      </c>
      <c r="AQ1777" s="46">
        <f>(打分卡!$D$16*AL1777+打分卡!$D$17*AM1777)/5</f>
        <v>2</v>
      </c>
      <c r="AR1777" s="48">
        <f t="shared" si="218"/>
        <v>26.4</v>
      </c>
      <c r="AS1777" s="45" t="str">
        <f t="shared" si="219"/>
        <v>未激活</v>
      </c>
      <c r="AT1777" s="45" t="str">
        <f t="shared" si="220"/>
        <v>连续下降-预警</v>
      </c>
      <c r="AU1777" s="45" t="str">
        <f t="shared" si="221"/>
        <v>唤醒：短信模板+首充补贴</v>
      </c>
    </row>
    <row r="1778" ht="15" customHeight="1" spans="1:47">
      <c r="A1778" s="30" t="s">
        <v>4514</v>
      </c>
      <c r="B1778" s="31" t="s">
        <v>4515</v>
      </c>
      <c r="C1778" s="31" t="s">
        <v>218</v>
      </c>
      <c r="D1778" s="31" t="s">
        <v>202</v>
      </c>
      <c r="E1778" s="31" t="s">
        <v>197</v>
      </c>
      <c r="F1778" s="30" t="s">
        <v>563</v>
      </c>
      <c r="G1778" s="31">
        <v>20</v>
      </c>
      <c r="H1778" s="31" t="s">
        <v>3535</v>
      </c>
      <c r="I1778" s="31" t="s">
        <v>302</v>
      </c>
      <c r="J1778" s="33">
        <v>0</v>
      </c>
      <c r="K1778" s="33">
        <v>0</v>
      </c>
      <c r="L1778" s="33">
        <v>0</v>
      </c>
      <c r="M1778" s="33">
        <f t="shared" si="216"/>
        <v>0</v>
      </c>
      <c r="N1778" s="34">
        <f t="shared" si="222"/>
        <v>0</v>
      </c>
      <c r="O1778" s="35">
        <f>SUM($M$2:M1778)</f>
        <v>190743600</v>
      </c>
      <c r="P1778" s="34">
        <f t="shared" si="223"/>
        <v>1</v>
      </c>
      <c r="Q1778" s="37">
        <v>0</v>
      </c>
      <c r="R1778" s="31">
        <v>0</v>
      </c>
      <c r="S1778" s="31">
        <v>0</v>
      </c>
      <c r="T1778" s="31">
        <v>0</v>
      </c>
      <c r="U1778" s="37">
        <v>0.7</v>
      </c>
      <c r="V1778" s="31">
        <v>2</v>
      </c>
      <c r="W1778" s="31">
        <v>0</v>
      </c>
      <c r="X1778" s="38">
        <v>6</v>
      </c>
      <c r="Y1778" s="31">
        <v>0</v>
      </c>
      <c r="Z1778" s="31">
        <v>0</v>
      </c>
      <c r="AA1778" s="31" t="s">
        <v>212</v>
      </c>
      <c r="AB1778" s="31" t="s">
        <v>220</v>
      </c>
      <c r="AC1778" s="41">
        <f>IFERROR(LOOKUP(M1778,打分卡!$F$7:$J$7,打分卡!$K$7:$O$7),1)</f>
        <v>1</v>
      </c>
      <c r="AD1778" s="41">
        <f>IFERROR(LOOKUP(S1778,打分卡!$F$8:$J$8,打分卡!$K$8:$O$8),1)</f>
        <v>1</v>
      </c>
      <c r="AE1778" s="41">
        <f>IFERROR(LOOKUP(T1778,打分卡!$F$9:$I$9,打分卡!$K$9:$N$9),1)</f>
        <v>1</v>
      </c>
      <c r="AF1778" s="41">
        <f>IFERROR(LOOKUP(Q1778,打分卡!$F$10:$J$10,打分卡!$K$10:$O$10),1)</f>
        <v>1</v>
      </c>
      <c r="AG1778" s="41">
        <f>IFERROR(LOOKUP(R1778,打分卡!$F$11:$J$11,打分卡!$K$11:$O$11),1)</f>
        <v>1</v>
      </c>
      <c r="AH1778" s="41">
        <f>IFERROR(LOOKUP(U1778,打分卡!$F$12:$J$12,打分卡!$K$12:$O$12),1)</f>
        <v>1</v>
      </c>
      <c r="AI1778" s="41">
        <f>IFERROR(LOOKUP(X1778,打分卡!$F$13:$J$13,打分卡!$K$13:$O$13),1)</f>
        <v>1</v>
      </c>
      <c r="AJ1778" s="41">
        <f>IFERROR(LOOKUP(Y1778,打分卡!$F$14:$J$14,打分卡!$K$14:$O$14),1)</f>
        <v>1</v>
      </c>
      <c r="AK1778" s="41">
        <f>IFERROR(LOOKUP(W1778,打分卡!$F$15:$J$15,打分卡!$K$15:$O$15),1)</f>
        <v>1</v>
      </c>
      <c r="AL1778" s="43">
        <f t="shared" si="217"/>
        <v>1</v>
      </c>
      <c r="AM1778" s="41">
        <f>IFERROR(LOOKUP(Z1778,打分卡!$F$17:$H$17,打分卡!$K$17:$M$17),1)</f>
        <v>1</v>
      </c>
      <c r="AN1778" s="44">
        <f>(打分卡!$D$7*AC1778+打分卡!$D$8*AD1778+打分卡!$D$9*AE1778)/5</f>
        <v>8</v>
      </c>
      <c r="AO1778" s="44">
        <f>(打分卡!$D$10*AF1778+打分卡!$D$11*AG1778)/5</f>
        <v>4</v>
      </c>
      <c r="AP1778" s="44">
        <f>(打分卡!$D$12*AH1778+打分卡!$D$13*AI1778+打分卡!$D$14*AJ1778+打分卡!$D$15*AK1778)/5</f>
        <v>6</v>
      </c>
      <c r="AQ1778" s="44">
        <f>(打分卡!$D$16*AL1778+打分卡!$D$17*AM1778)/5</f>
        <v>2</v>
      </c>
      <c r="AR1778" s="47">
        <f t="shared" si="218"/>
        <v>20</v>
      </c>
      <c r="AS1778" s="43" t="str">
        <f t="shared" si="219"/>
        <v>未激活</v>
      </c>
      <c r="AT1778" s="43" t="str">
        <f t="shared" si="220"/>
        <v>连续下降-预警</v>
      </c>
      <c r="AU1778" s="43" t="str">
        <f t="shared" si="221"/>
        <v>唤醒：短信模板+首充补贴</v>
      </c>
    </row>
    <row r="1779" ht="15" customHeight="1" spans="1:47">
      <c r="A1779" s="20" t="s">
        <v>4516</v>
      </c>
      <c r="B1779" s="22" t="s">
        <v>4517</v>
      </c>
      <c r="C1779" s="22" t="s">
        <v>179</v>
      </c>
      <c r="D1779" s="22" t="s">
        <v>252</v>
      </c>
      <c r="E1779" s="22" t="s">
        <v>181</v>
      </c>
      <c r="F1779" s="20" t="s">
        <v>852</v>
      </c>
      <c r="G1779" s="22">
        <v>16</v>
      </c>
      <c r="H1779" s="22" t="s">
        <v>3535</v>
      </c>
      <c r="I1779" s="22" t="s">
        <v>302</v>
      </c>
      <c r="J1779" s="36">
        <v>0</v>
      </c>
      <c r="K1779" s="36">
        <v>0</v>
      </c>
      <c r="L1779" s="36">
        <v>0</v>
      </c>
      <c r="M1779" s="36">
        <f t="shared" si="216"/>
        <v>0</v>
      </c>
      <c r="N1779" s="34">
        <f t="shared" si="222"/>
        <v>0</v>
      </c>
      <c r="O1779" s="35">
        <f>SUM($M$2:M1779)</f>
        <v>190743600</v>
      </c>
      <c r="P1779" s="34">
        <f t="shared" si="223"/>
        <v>1</v>
      </c>
      <c r="Q1779" s="39">
        <v>0</v>
      </c>
      <c r="R1779" s="22">
        <v>0</v>
      </c>
      <c r="S1779" s="22">
        <v>0</v>
      </c>
      <c r="T1779" s="22">
        <v>0</v>
      </c>
      <c r="U1779" s="39">
        <v>41.3</v>
      </c>
      <c r="V1779" s="22">
        <v>5</v>
      </c>
      <c r="W1779" s="22">
        <v>0</v>
      </c>
      <c r="X1779" s="40">
        <v>28</v>
      </c>
      <c r="Y1779" s="22">
        <v>1</v>
      </c>
      <c r="Z1779" s="22">
        <v>0</v>
      </c>
      <c r="AA1779" s="22" t="s">
        <v>212</v>
      </c>
      <c r="AB1779" s="22" t="s">
        <v>220</v>
      </c>
      <c r="AC1779" s="42">
        <f>IFERROR(LOOKUP(M1779,打分卡!$F$7:$J$7,打分卡!$K$7:$O$7),1)</f>
        <v>1</v>
      </c>
      <c r="AD1779" s="42">
        <f>IFERROR(LOOKUP(S1779,打分卡!$F$8:$J$8,打分卡!$K$8:$O$8),1)</f>
        <v>1</v>
      </c>
      <c r="AE1779" s="42">
        <f>IFERROR(LOOKUP(T1779,打分卡!$F$9:$I$9,打分卡!$K$9:$N$9),1)</f>
        <v>1</v>
      </c>
      <c r="AF1779" s="42">
        <f>IFERROR(LOOKUP(Q1779,打分卡!$F$10:$J$10,打分卡!$K$10:$O$10),1)</f>
        <v>1</v>
      </c>
      <c r="AG1779" s="42">
        <f>IFERROR(LOOKUP(R1779,打分卡!$F$11:$J$11,打分卡!$K$11:$O$11),1)</f>
        <v>1</v>
      </c>
      <c r="AH1779" s="42">
        <f>IFERROR(LOOKUP(U1779,打分卡!$F$12:$J$12,打分卡!$K$12:$O$12),1)</f>
        <v>4</v>
      </c>
      <c r="AI1779" s="42">
        <f>IFERROR(LOOKUP(X1779,打分卡!$F$13:$J$13,打分卡!$K$13:$O$13),1)</f>
        <v>2</v>
      </c>
      <c r="AJ1779" s="42">
        <f>IFERROR(LOOKUP(Y1779,打分卡!$F$14:$J$14,打分卡!$K$14:$O$14),1)</f>
        <v>2</v>
      </c>
      <c r="AK1779" s="42">
        <f>IFERROR(LOOKUP(W1779,打分卡!$F$15:$J$15,打分卡!$K$15:$O$15),1)</f>
        <v>1</v>
      </c>
      <c r="AL1779" s="45">
        <f t="shared" si="217"/>
        <v>1</v>
      </c>
      <c r="AM1779" s="42">
        <f>IFERROR(LOOKUP(Z1779,打分卡!$F$17:$H$17,打分卡!$K$17:$M$17),1)</f>
        <v>1</v>
      </c>
      <c r="AN1779" s="46">
        <f>(打分卡!$D$7*AC1779+打分卡!$D$8*AD1779+打分卡!$D$9*AE1779)/5</f>
        <v>8</v>
      </c>
      <c r="AO1779" s="46">
        <f>(打分卡!$D$10*AF1779+打分卡!$D$11*AG1779)/5</f>
        <v>4</v>
      </c>
      <c r="AP1779" s="46">
        <f>(打分卡!$D$12*AH1779+打分卡!$D$13*AI1779+打分卡!$D$14*AJ1779+打分卡!$D$15*AK1779)/5</f>
        <v>16</v>
      </c>
      <c r="AQ1779" s="46">
        <f>(打分卡!$D$16*AL1779+打分卡!$D$17*AM1779)/5</f>
        <v>2</v>
      </c>
      <c r="AR1779" s="48">
        <f t="shared" si="218"/>
        <v>30</v>
      </c>
      <c r="AS1779" s="45" t="str">
        <f t="shared" si="219"/>
        <v>未激活</v>
      </c>
      <c r="AT1779" s="45" t="str">
        <f t="shared" si="220"/>
        <v>连续下降-预警</v>
      </c>
      <c r="AU1779" s="45" t="str">
        <f t="shared" si="221"/>
        <v>唤醒：短信模板+首充补贴</v>
      </c>
    </row>
    <row r="1780" ht="15" customHeight="1" spans="1:47">
      <c r="A1780" s="30" t="s">
        <v>4518</v>
      </c>
      <c r="B1780" s="31" t="s">
        <v>4519</v>
      </c>
      <c r="C1780" s="31" t="s">
        <v>218</v>
      </c>
      <c r="D1780" s="31" t="s">
        <v>202</v>
      </c>
      <c r="E1780" s="31" t="s">
        <v>181</v>
      </c>
      <c r="F1780" s="30" t="s">
        <v>182</v>
      </c>
      <c r="G1780" s="31">
        <v>26</v>
      </c>
      <c r="H1780" s="31" t="s">
        <v>3535</v>
      </c>
      <c r="I1780" s="31" t="s">
        <v>302</v>
      </c>
      <c r="J1780" s="33">
        <v>0</v>
      </c>
      <c r="K1780" s="33">
        <v>0</v>
      </c>
      <c r="L1780" s="33">
        <v>0</v>
      </c>
      <c r="M1780" s="33">
        <f t="shared" si="216"/>
        <v>0</v>
      </c>
      <c r="N1780" s="34">
        <f t="shared" si="222"/>
        <v>0</v>
      </c>
      <c r="O1780" s="35">
        <f>SUM($M$2:M1780)</f>
        <v>190743600</v>
      </c>
      <c r="P1780" s="34">
        <f t="shared" si="223"/>
        <v>1</v>
      </c>
      <c r="Q1780" s="37">
        <v>0</v>
      </c>
      <c r="R1780" s="31">
        <v>0</v>
      </c>
      <c r="S1780" s="31">
        <v>0</v>
      </c>
      <c r="T1780" s="31">
        <v>0</v>
      </c>
      <c r="U1780" s="37">
        <v>15.7</v>
      </c>
      <c r="V1780" s="31">
        <v>10</v>
      </c>
      <c r="W1780" s="31">
        <v>2</v>
      </c>
      <c r="X1780" s="38">
        <v>35</v>
      </c>
      <c r="Y1780" s="31">
        <v>1</v>
      </c>
      <c r="Z1780" s="31">
        <v>0</v>
      </c>
      <c r="AA1780" s="31" t="s">
        <v>212</v>
      </c>
      <c r="AB1780" s="31" t="s">
        <v>220</v>
      </c>
      <c r="AC1780" s="41">
        <f>IFERROR(LOOKUP(M1780,打分卡!$F$7:$J$7,打分卡!$K$7:$O$7),1)</f>
        <v>1</v>
      </c>
      <c r="AD1780" s="41">
        <f>IFERROR(LOOKUP(S1780,打分卡!$F$8:$J$8,打分卡!$K$8:$O$8),1)</f>
        <v>1</v>
      </c>
      <c r="AE1780" s="41">
        <f>IFERROR(LOOKUP(T1780,打分卡!$F$9:$I$9,打分卡!$K$9:$N$9),1)</f>
        <v>1</v>
      </c>
      <c r="AF1780" s="41">
        <f>IFERROR(LOOKUP(Q1780,打分卡!$F$10:$J$10,打分卡!$K$10:$O$10),1)</f>
        <v>1</v>
      </c>
      <c r="AG1780" s="41">
        <f>IFERROR(LOOKUP(R1780,打分卡!$F$11:$J$11,打分卡!$K$11:$O$11),1)</f>
        <v>1</v>
      </c>
      <c r="AH1780" s="41">
        <f>IFERROR(LOOKUP(U1780,打分卡!$F$12:$J$12,打分卡!$K$12:$O$12),1)</f>
        <v>3</v>
      </c>
      <c r="AI1780" s="41">
        <f>IFERROR(LOOKUP(X1780,打分卡!$F$13:$J$13,打分卡!$K$13:$O$13),1)</f>
        <v>2</v>
      </c>
      <c r="AJ1780" s="41">
        <f>IFERROR(LOOKUP(Y1780,打分卡!$F$14:$J$14,打分卡!$K$14:$O$14),1)</f>
        <v>2</v>
      </c>
      <c r="AK1780" s="41">
        <f>IFERROR(LOOKUP(W1780,打分卡!$F$15:$J$15,打分卡!$K$15:$O$15),1)</f>
        <v>2</v>
      </c>
      <c r="AL1780" s="43">
        <f t="shared" si="217"/>
        <v>1</v>
      </c>
      <c r="AM1780" s="41">
        <f>IFERROR(LOOKUP(Z1780,打分卡!$F$17:$H$17,打分卡!$K$17:$M$17),1)</f>
        <v>1</v>
      </c>
      <c r="AN1780" s="44">
        <f>(打分卡!$D$7*AC1780+打分卡!$D$8*AD1780+打分卡!$D$9*AE1780)/5</f>
        <v>8</v>
      </c>
      <c r="AO1780" s="44">
        <f>(打分卡!$D$10*AF1780+打分卡!$D$11*AG1780)/5</f>
        <v>4</v>
      </c>
      <c r="AP1780" s="44">
        <f>(打分卡!$D$12*AH1780+打分卡!$D$13*AI1780+打分卡!$D$14*AJ1780+打分卡!$D$15*AK1780)/5</f>
        <v>14.4</v>
      </c>
      <c r="AQ1780" s="44">
        <f>(打分卡!$D$16*AL1780+打分卡!$D$17*AM1780)/5</f>
        <v>2</v>
      </c>
      <c r="AR1780" s="47">
        <f t="shared" si="218"/>
        <v>28.4</v>
      </c>
      <c r="AS1780" s="43" t="str">
        <f t="shared" si="219"/>
        <v>未激活</v>
      </c>
      <c r="AT1780" s="43" t="str">
        <f t="shared" si="220"/>
        <v>连续下降-预警</v>
      </c>
      <c r="AU1780" s="43" t="str">
        <f t="shared" si="221"/>
        <v>唤醒：短信模板+首充补贴</v>
      </c>
    </row>
    <row r="1781" ht="15" customHeight="1" spans="1:47">
      <c r="A1781" s="20" t="s">
        <v>4520</v>
      </c>
      <c r="B1781" s="22" t="s">
        <v>4521</v>
      </c>
      <c r="C1781" s="22" t="s">
        <v>179</v>
      </c>
      <c r="D1781" s="22" t="s">
        <v>227</v>
      </c>
      <c r="E1781" s="22" t="s">
        <v>181</v>
      </c>
      <c r="F1781" s="20" t="s">
        <v>4522</v>
      </c>
      <c r="G1781" s="22">
        <v>25</v>
      </c>
      <c r="H1781" s="22" t="s">
        <v>3535</v>
      </c>
      <c r="I1781" s="22" t="s">
        <v>302</v>
      </c>
      <c r="J1781" s="36">
        <v>0</v>
      </c>
      <c r="K1781" s="36">
        <v>0</v>
      </c>
      <c r="L1781" s="36">
        <v>0</v>
      </c>
      <c r="M1781" s="36">
        <f t="shared" si="216"/>
        <v>0</v>
      </c>
      <c r="N1781" s="34">
        <f t="shared" si="222"/>
        <v>0</v>
      </c>
      <c r="O1781" s="35">
        <f>SUM($M$2:M1781)</f>
        <v>190743600</v>
      </c>
      <c r="P1781" s="34">
        <f t="shared" si="223"/>
        <v>1</v>
      </c>
      <c r="Q1781" s="39">
        <v>0</v>
      </c>
      <c r="R1781" s="22">
        <v>0</v>
      </c>
      <c r="S1781" s="22">
        <v>0</v>
      </c>
      <c r="T1781" s="22">
        <v>0</v>
      </c>
      <c r="U1781" s="39">
        <v>0.7</v>
      </c>
      <c r="V1781" s="22">
        <v>7</v>
      </c>
      <c r="W1781" s="22">
        <v>2</v>
      </c>
      <c r="X1781" s="40">
        <v>22</v>
      </c>
      <c r="Y1781" s="22">
        <v>1</v>
      </c>
      <c r="Z1781" s="22">
        <v>0</v>
      </c>
      <c r="AA1781" s="22" t="s">
        <v>212</v>
      </c>
      <c r="AB1781" s="22" t="s">
        <v>220</v>
      </c>
      <c r="AC1781" s="42">
        <f>IFERROR(LOOKUP(M1781,打分卡!$F$7:$J$7,打分卡!$K$7:$O$7),1)</f>
        <v>1</v>
      </c>
      <c r="AD1781" s="42">
        <f>IFERROR(LOOKUP(S1781,打分卡!$F$8:$J$8,打分卡!$K$8:$O$8),1)</f>
        <v>1</v>
      </c>
      <c r="AE1781" s="42">
        <f>IFERROR(LOOKUP(T1781,打分卡!$F$9:$I$9,打分卡!$K$9:$N$9),1)</f>
        <v>1</v>
      </c>
      <c r="AF1781" s="42">
        <f>IFERROR(LOOKUP(Q1781,打分卡!$F$10:$J$10,打分卡!$K$10:$O$10),1)</f>
        <v>1</v>
      </c>
      <c r="AG1781" s="42">
        <f>IFERROR(LOOKUP(R1781,打分卡!$F$11:$J$11,打分卡!$K$11:$O$11),1)</f>
        <v>1</v>
      </c>
      <c r="AH1781" s="42">
        <f>IFERROR(LOOKUP(U1781,打分卡!$F$12:$J$12,打分卡!$K$12:$O$12),1)</f>
        <v>1</v>
      </c>
      <c r="AI1781" s="42">
        <f>IFERROR(LOOKUP(X1781,打分卡!$F$13:$J$13,打分卡!$K$13:$O$13),1)</f>
        <v>2</v>
      </c>
      <c r="AJ1781" s="42">
        <f>IFERROR(LOOKUP(Y1781,打分卡!$F$14:$J$14,打分卡!$K$14:$O$14),1)</f>
        <v>2</v>
      </c>
      <c r="AK1781" s="42">
        <f>IFERROR(LOOKUP(W1781,打分卡!$F$15:$J$15,打分卡!$K$15:$O$15),1)</f>
        <v>2</v>
      </c>
      <c r="AL1781" s="45">
        <f t="shared" si="217"/>
        <v>1</v>
      </c>
      <c r="AM1781" s="42">
        <f>IFERROR(LOOKUP(Z1781,打分卡!$F$17:$H$17,打分卡!$K$17:$M$17),1)</f>
        <v>1</v>
      </c>
      <c r="AN1781" s="46">
        <f>(打分卡!$D$7*AC1781+打分卡!$D$8*AD1781+打分卡!$D$9*AE1781)/5</f>
        <v>8</v>
      </c>
      <c r="AO1781" s="46">
        <f>(打分卡!$D$10*AF1781+打分卡!$D$11*AG1781)/5</f>
        <v>4</v>
      </c>
      <c r="AP1781" s="46">
        <f>(打分卡!$D$12*AH1781+打分卡!$D$13*AI1781+打分卡!$D$14*AJ1781+打分卡!$D$15*AK1781)/5</f>
        <v>9.6</v>
      </c>
      <c r="AQ1781" s="46">
        <f>(打分卡!$D$16*AL1781+打分卡!$D$17*AM1781)/5</f>
        <v>2</v>
      </c>
      <c r="AR1781" s="48">
        <f t="shared" si="218"/>
        <v>23.6</v>
      </c>
      <c r="AS1781" s="45" t="str">
        <f t="shared" si="219"/>
        <v>未激活</v>
      </c>
      <c r="AT1781" s="45" t="str">
        <f t="shared" si="220"/>
        <v>连续下降-预警</v>
      </c>
      <c r="AU1781" s="45" t="str">
        <f t="shared" si="221"/>
        <v>唤醒：短信模板+首充补贴</v>
      </c>
    </row>
    <row r="1782" ht="15" customHeight="1" spans="1:47">
      <c r="A1782" s="30" t="s">
        <v>4523</v>
      </c>
      <c r="B1782" s="31" t="s">
        <v>4524</v>
      </c>
      <c r="C1782" s="31" t="s">
        <v>189</v>
      </c>
      <c r="D1782" s="31" t="s">
        <v>196</v>
      </c>
      <c r="E1782" s="31" t="s">
        <v>197</v>
      </c>
      <c r="F1782" s="30" t="s">
        <v>4077</v>
      </c>
      <c r="G1782" s="31">
        <v>35</v>
      </c>
      <c r="H1782" s="31" t="s">
        <v>3535</v>
      </c>
      <c r="I1782" s="31" t="s">
        <v>302</v>
      </c>
      <c r="J1782" s="33">
        <v>0</v>
      </c>
      <c r="K1782" s="33">
        <v>0</v>
      </c>
      <c r="L1782" s="33">
        <v>0</v>
      </c>
      <c r="M1782" s="33">
        <f t="shared" si="216"/>
        <v>0</v>
      </c>
      <c r="N1782" s="34">
        <f t="shared" si="222"/>
        <v>0</v>
      </c>
      <c r="O1782" s="35">
        <f>SUM($M$2:M1782)</f>
        <v>190743600</v>
      </c>
      <c r="P1782" s="34">
        <f t="shared" si="223"/>
        <v>1</v>
      </c>
      <c r="Q1782" s="37">
        <v>0</v>
      </c>
      <c r="R1782" s="31">
        <v>0</v>
      </c>
      <c r="S1782" s="31">
        <v>0</v>
      </c>
      <c r="T1782" s="31">
        <v>0</v>
      </c>
      <c r="U1782" s="37">
        <v>45.2</v>
      </c>
      <c r="V1782" s="31">
        <v>9</v>
      </c>
      <c r="W1782" s="31">
        <v>1</v>
      </c>
      <c r="X1782" s="38">
        <v>6</v>
      </c>
      <c r="Y1782" s="31">
        <v>0</v>
      </c>
      <c r="Z1782" s="31">
        <v>0</v>
      </c>
      <c r="AA1782" s="31" t="s">
        <v>212</v>
      </c>
      <c r="AB1782" s="31" t="s">
        <v>220</v>
      </c>
      <c r="AC1782" s="41">
        <f>IFERROR(LOOKUP(M1782,打分卡!$F$7:$J$7,打分卡!$K$7:$O$7),1)</f>
        <v>1</v>
      </c>
      <c r="AD1782" s="41">
        <f>IFERROR(LOOKUP(S1782,打分卡!$F$8:$J$8,打分卡!$K$8:$O$8),1)</f>
        <v>1</v>
      </c>
      <c r="AE1782" s="41">
        <f>IFERROR(LOOKUP(T1782,打分卡!$F$9:$I$9,打分卡!$K$9:$N$9),1)</f>
        <v>1</v>
      </c>
      <c r="AF1782" s="41">
        <f>IFERROR(LOOKUP(Q1782,打分卡!$F$10:$J$10,打分卡!$K$10:$O$10),1)</f>
        <v>1</v>
      </c>
      <c r="AG1782" s="41">
        <f>IFERROR(LOOKUP(R1782,打分卡!$F$11:$J$11,打分卡!$K$11:$O$11),1)</f>
        <v>1</v>
      </c>
      <c r="AH1782" s="41">
        <f>IFERROR(LOOKUP(U1782,打分卡!$F$12:$J$12,打分卡!$K$12:$O$12),1)</f>
        <v>4</v>
      </c>
      <c r="AI1782" s="41">
        <f>IFERROR(LOOKUP(X1782,打分卡!$F$13:$J$13,打分卡!$K$13:$O$13),1)</f>
        <v>1</v>
      </c>
      <c r="AJ1782" s="41">
        <f>IFERROR(LOOKUP(Y1782,打分卡!$F$14:$J$14,打分卡!$K$14:$O$14),1)</f>
        <v>1</v>
      </c>
      <c r="AK1782" s="41">
        <f>IFERROR(LOOKUP(W1782,打分卡!$F$15:$J$15,打分卡!$K$15:$O$15),1)</f>
        <v>2</v>
      </c>
      <c r="AL1782" s="43">
        <f t="shared" si="217"/>
        <v>1</v>
      </c>
      <c r="AM1782" s="41">
        <f>IFERROR(LOOKUP(Z1782,打分卡!$F$17:$H$17,打分卡!$K$17:$M$17),1)</f>
        <v>1</v>
      </c>
      <c r="AN1782" s="44">
        <f>(打分卡!$D$7*AC1782+打分卡!$D$8*AD1782+打分卡!$D$9*AE1782)/5</f>
        <v>8</v>
      </c>
      <c r="AO1782" s="44">
        <f>(打分卡!$D$10*AF1782+打分卡!$D$11*AG1782)/5</f>
        <v>4</v>
      </c>
      <c r="AP1782" s="44">
        <f>(打分卡!$D$12*AH1782+打分卡!$D$13*AI1782+打分卡!$D$14*AJ1782+打分卡!$D$15*AK1782)/5</f>
        <v>14</v>
      </c>
      <c r="AQ1782" s="44">
        <f>(打分卡!$D$16*AL1782+打分卡!$D$17*AM1782)/5</f>
        <v>2</v>
      </c>
      <c r="AR1782" s="47">
        <f t="shared" si="218"/>
        <v>28</v>
      </c>
      <c r="AS1782" s="43" t="str">
        <f t="shared" si="219"/>
        <v>未激活</v>
      </c>
      <c r="AT1782" s="43" t="str">
        <f t="shared" si="220"/>
        <v>连续下降-预警</v>
      </c>
      <c r="AU1782" s="43" t="str">
        <f t="shared" si="221"/>
        <v>唤醒：短信模板+首充补贴</v>
      </c>
    </row>
    <row r="1783" ht="15" customHeight="1" spans="1:47">
      <c r="A1783" s="20" t="s">
        <v>4525</v>
      </c>
      <c r="B1783" s="22" t="s">
        <v>4526</v>
      </c>
      <c r="C1783" s="22" t="s">
        <v>189</v>
      </c>
      <c r="D1783" s="22" t="s">
        <v>227</v>
      </c>
      <c r="E1783" s="22" t="s">
        <v>181</v>
      </c>
      <c r="F1783" s="20" t="s">
        <v>3652</v>
      </c>
      <c r="G1783" s="22">
        <v>12</v>
      </c>
      <c r="H1783" s="22" t="s">
        <v>3535</v>
      </c>
      <c r="I1783" s="22" t="s">
        <v>302</v>
      </c>
      <c r="J1783" s="36">
        <v>0</v>
      </c>
      <c r="K1783" s="36">
        <v>0</v>
      </c>
      <c r="L1783" s="36">
        <v>0</v>
      </c>
      <c r="M1783" s="36">
        <f t="shared" si="216"/>
        <v>0</v>
      </c>
      <c r="N1783" s="34">
        <f t="shared" si="222"/>
        <v>0</v>
      </c>
      <c r="O1783" s="35">
        <f>SUM($M$2:M1783)</f>
        <v>190743600</v>
      </c>
      <c r="P1783" s="34">
        <f t="shared" si="223"/>
        <v>1</v>
      </c>
      <c r="Q1783" s="39">
        <v>0</v>
      </c>
      <c r="R1783" s="22">
        <v>0</v>
      </c>
      <c r="S1783" s="22">
        <v>0</v>
      </c>
      <c r="T1783" s="22">
        <v>0</v>
      </c>
      <c r="U1783" s="39">
        <v>14</v>
      </c>
      <c r="V1783" s="22">
        <v>8</v>
      </c>
      <c r="W1783" s="22">
        <v>2</v>
      </c>
      <c r="X1783" s="40">
        <v>29</v>
      </c>
      <c r="Y1783" s="22">
        <v>1</v>
      </c>
      <c r="Z1783" s="22">
        <v>0</v>
      </c>
      <c r="AA1783" s="22" t="s">
        <v>212</v>
      </c>
      <c r="AB1783" s="22" t="s">
        <v>220</v>
      </c>
      <c r="AC1783" s="42">
        <f>IFERROR(LOOKUP(M1783,打分卡!$F$7:$J$7,打分卡!$K$7:$O$7),1)</f>
        <v>1</v>
      </c>
      <c r="AD1783" s="42">
        <f>IFERROR(LOOKUP(S1783,打分卡!$F$8:$J$8,打分卡!$K$8:$O$8),1)</f>
        <v>1</v>
      </c>
      <c r="AE1783" s="42">
        <f>IFERROR(LOOKUP(T1783,打分卡!$F$9:$I$9,打分卡!$K$9:$N$9),1)</f>
        <v>1</v>
      </c>
      <c r="AF1783" s="42">
        <f>IFERROR(LOOKUP(Q1783,打分卡!$F$10:$J$10,打分卡!$K$10:$O$10),1)</f>
        <v>1</v>
      </c>
      <c r="AG1783" s="42">
        <f>IFERROR(LOOKUP(R1783,打分卡!$F$11:$J$11,打分卡!$K$11:$O$11),1)</f>
        <v>1</v>
      </c>
      <c r="AH1783" s="42">
        <f>IFERROR(LOOKUP(U1783,打分卡!$F$12:$J$12,打分卡!$K$12:$O$12),1)</f>
        <v>3</v>
      </c>
      <c r="AI1783" s="42">
        <f>IFERROR(LOOKUP(X1783,打分卡!$F$13:$J$13,打分卡!$K$13:$O$13),1)</f>
        <v>2</v>
      </c>
      <c r="AJ1783" s="42">
        <f>IFERROR(LOOKUP(Y1783,打分卡!$F$14:$J$14,打分卡!$K$14:$O$14),1)</f>
        <v>2</v>
      </c>
      <c r="AK1783" s="42">
        <f>IFERROR(LOOKUP(W1783,打分卡!$F$15:$J$15,打分卡!$K$15:$O$15),1)</f>
        <v>2</v>
      </c>
      <c r="AL1783" s="45">
        <f t="shared" si="217"/>
        <v>1</v>
      </c>
      <c r="AM1783" s="42">
        <f>IFERROR(LOOKUP(Z1783,打分卡!$F$17:$H$17,打分卡!$K$17:$M$17),1)</f>
        <v>1</v>
      </c>
      <c r="AN1783" s="46">
        <f>(打分卡!$D$7*AC1783+打分卡!$D$8*AD1783+打分卡!$D$9*AE1783)/5</f>
        <v>8</v>
      </c>
      <c r="AO1783" s="46">
        <f>(打分卡!$D$10*AF1783+打分卡!$D$11*AG1783)/5</f>
        <v>4</v>
      </c>
      <c r="AP1783" s="46">
        <f>(打分卡!$D$12*AH1783+打分卡!$D$13*AI1783+打分卡!$D$14*AJ1783+打分卡!$D$15*AK1783)/5</f>
        <v>14.4</v>
      </c>
      <c r="AQ1783" s="46">
        <f>(打分卡!$D$16*AL1783+打分卡!$D$17*AM1783)/5</f>
        <v>2</v>
      </c>
      <c r="AR1783" s="48">
        <f t="shared" si="218"/>
        <v>28.4</v>
      </c>
      <c r="AS1783" s="45" t="str">
        <f t="shared" si="219"/>
        <v>未激活</v>
      </c>
      <c r="AT1783" s="45" t="str">
        <f t="shared" si="220"/>
        <v>连续下降-预警</v>
      </c>
      <c r="AU1783" s="45" t="str">
        <f t="shared" si="221"/>
        <v>唤醒：短信模板+首充补贴</v>
      </c>
    </row>
    <row r="1784" ht="15" customHeight="1" spans="1:47">
      <c r="A1784" s="30" t="s">
        <v>4527</v>
      </c>
      <c r="B1784" s="31" t="s">
        <v>4528</v>
      </c>
      <c r="C1784" s="31" t="s">
        <v>189</v>
      </c>
      <c r="D1784" s="31" t="s">
        <v>190</v>
      </c>
      <c r="E1784" s="31" t="s">
        <v>181</v>
      </c>
      <c r="F1784" s="30" t="s">
        <v>3905</v>
      </c>
      <c r="G1784" s="31">
        <v>32</v>
      </c>
      <c r="H1784" s="31" t="s">
        <v>3535</v>
      </c>
      <c r="I1784" s="31" t="s">
        <v>302</v>
      </c>
      <c r="J1784" s="33">
        <v>0</v>
      </c>
      <c r="K1784" s="33">
        <v>0</v>
      </c>
      <c r="L1784" s="33">
        <v>0</v>
      </c>
      <c r="M1784" s="33">
        <f t="shared" si="216"/>
        <v>0</v>
      </c>
      <c r="N1784" s="34">
        <f t="shared" si="222"/>
        <v>0</v>
      </c>
      <c r="O1784" s="35">
        <f>SUM($M$2:M1784)</f>
        <v>190743600</v>
      </c>
      <c r="P1784" s="34">
        <f t="shared" si="223"/>
        <v>1</v>
      </c>
      <c r="Q1784" s="37">
        <v>0</v>
      </c>
      <c r="R1784" s="31">
        <v>0</v>
      </c>
      <c r="S1784" s="31">
        <v>0</v>
      </c>
      <c r="T1784" s="31">
        <v>0</v>
      </c>
      <c r="U1784" s="37">
        <v>14.5</v>
      </c>
      <c r="V1784" s="31">
        <v>14</v>
      </c>
      <c r="W1784" s="31">
        <v>2</v>
      </c>
      <c r="X1784" s="38">
        <v>41</v>
      </c>
      <c r="Y1784" s="31">
        <v>1</v>
      </c>
      <c r="Z1784" s="31">
        <v>0</v>
      </c>
      <c r="AA1784" s="31" t="s">
        <v>212</v>
      </c>
      <c r="AB1784" s="31" t="s">
        <v>220</v>
      </c>
      <c r="AC1784" s="41">
        <f>IFERROR(LOOKUP(M1784,打分卡!$F$7:$J$7,打分卡!$K$7:$O$7),1)</f>
        <v>1</v>
      </c>
      <c r="AD1784" s="41">
        <f>IFERROR(LOOKUP(S1784,打分卡!$F$8:$J$8,打分卡!$K$8:$O$8),1)</f>
        <v>1</v>
      </c>
      <c r="AE1784" s="41">
        <f>IFERROR(LOOKUP(T1784,打分卡!$F$9:$I$9,打分卡!$K$9:$N$9),1)</f>
        <v>1</v>
      </c>
      <c r="AF1784" s="41">
        <f>IFERROR(LOOKUP(Q1784,打分卡!$F$10:$J$10,打分卡!$K$10:$O$10),1)</f>
        <v>1</v>
      </c>
      <c r="AG1784" s="41">
        <f>IFERROR(LOOKUP(R1784,打分卡!$F$11:$J$11,打分卡!$K$11:$O$11),1)</f>
        <v>1</v>
      </c>
      <c r="AH1784" s="41">
        <f>IFERROR(LOOKUP(U1784,打分卡!$F$12:$J$12,打分卡!$K$12:$O$12),1)</f>
        <v>3</v>
      </c>
      <c r="AI1784" s="41">
        <f>IFERROR(LOOKUP(X1784,打分卡!$F$13:$J$13,打分卡!$K$13:$O$13),1)</f>
        <v>3</v>
      </c>
      <c r="AJ1784" s="41">
        <f>IFERROR(LOOKUP(Y1784,打分卡!$F$14:$J$14,打分卡!$K$14:$O$14),1)</f>
        <v>2</v>
      </c>
      <c r="AK1784" s="41">
        <f>IFERROR(LOOKUP(W1784,打分卡!$F$15:$J$15,打分卡!$K$15:$O$15),1)</f>
        <v>2</v>
      </c>
      <c r="AL1784" s="43">
        <f t="shared" si="217"/>
        <v>1</v>
      </c>
      <c r="AM1784" s="41">
        <f>IFERROR(LOOKUP(Z1784,打分卡!$F$17:$H$17,打分卡!$K$17:$M$17),1)</f>
        <v>1</v>
      </c>
      <c r="AN1784" s="44">
        <f>(打分卡!$D$7*AC1784+打分卡!$D$8*AD1784+打分卡!$D$9*AE1784)/5</f>
        <v>8</v>
      </c>
      <c r="AO1784" s="44">
        <f>(打分卡!$D$10*AF1784+打分卡!$D$11*AG1784)/5</f>
        <v>4</v>
      </c>
      <c r="AP1784" s="44">
        <f>(打分卡!$D$12*AH1784+打分卡!$D$13*AI1784+打分卡!$D$14*AJ1784+打分卡!$D$15*AK1784)/5</f>
        <v>16</v>
      </c>
      <c r="AQ1784" s="44">
        <f>(打分卡!$D$16*AL1784+打分卡!$D$17*AM1784)/5</f>
        <v>2</v>
      </c>
      <c r="AR1784" s="47">
        <f t="shared" si="218"/>
        <v>30</v>
      </c>
      <c r="AS1784" s="43" t="str">
        <f t="shared" si="219"/>
        <v>未激活</v>
      </c>
      <c r="AT1784" s="43" t="str">
        <f t="shared" si="220"/>
        <v>连续下降-预警</v>
      </c>
      <c r="AU1784" s="43" t="str">
        <f t="shared" si="221"/>
        <v>唤醒：短信模板+首充补贴</v>
      </c>
    </row>
    <row r="1785" ht="15" customHeight="1" spans="1:47">
      <c r="A1785" s="20" t="s">
        <v>4529</v>
      </c>
      <c r="B1785" s="22" t="s">
        <v>4530</v>
      </c>
      <c r="C1785" s="22" t="s">
        <v>239</v>
      </c>
      <c r="D1785" s="22" t="s">
        <v>196</v>
      </c>
      <c r="E1785" s="22" t="s">
        <v>181</v>
      </c>
      <c r="F1785" s="20" t="s">
        <v>3615</v>
      </c>
      <c r="G1785" s="22">
        <v>26</v>
      </c>
      <c r="H1785" s="22" t="s">
        <v>3535</v>
      </c>
      <c r="I1785" s="22" t="s">
        <v>302</v>
      </c>
      <c r="J1785" s="36">
        <v>0</v>
      </c>
      <c r="K1785" s="36">
        <v>0</v>
      </c>
      <c r="L1785" s="36">
        <v>0</v>
      </c>
      <c r="M1785" s="36">
        <f t="shared" si="216"/>
        <v>0</v>
      </c>
      <c r="N1785" s="34">
        <f t="shared" si="222"/>
        <v>0</v>
      </c>
      <c r="O1785" s="35">
        <f>SUM($M$2:M1785)</f>
        <v>190743600</v>
      </c>
      <c r="P1785" s="34">
        <f t="shared" si="223"/>
        <v>1</v>
      </c>
      <c r="Q1785" s="39">
        <v>0</v>
      </c>
      <c r="R1785" s="22">
        <v>0</v>
      </c>
      <c r="S1785" s="22">
        <v>0</v>
      </c>
      <c r="T1785" s="22">
        <v>0</v>
      </c>
      <c r="U1785" s="39">
        <v>14.5</v>
      </c>
      <c r="V1785" s="22">
        <v>9</v>
      </c>
      <c r="W1785" s="22">
        <v>1</v>
      </c>
      <c r="X1785" s="40">
        <v>61</v>
      </c>
      <c r="Y1785" s="22">
        <v>1</v>
      </c>
      <c r="Z1785" s="22">
        <v>0</v>
      </c>
      <c r="AA1785" s="22" t="s">
        <v>212</v>
      </c>
      <c r="AB1785" s="22" t="s">
        <v>220</v>
      </c>
      <c r="AC1785" s="42">
        <f>IFERROR(LOOKUP(M1785,打分卡!$F$7:$J$7,打分卡!$K$7:$O$7),1)</f>
        <v>1</v>
      </c>
      <c r="AD1785" s="42">
        <f>IFERROR(LOOKUP(S1785,打分卡!$F$8:$J$8,打分卡!$K$8:$O$8),1)</f>
        <v>1</v>
      </c>
      <c r="AE1785" s="42">
        <f>IFERROR(LOOKUP(T1785,打分卡!$F$9:$I$9,打分卡!$K$9:$N$9),1)</f>
        <v>1</v>
      </c>
      <c r="AF1785" s="42">
        <f>IFERROR(LOOKUP(Q1785,打分卡!$F$10:$J$10,打分卡!$K$10:$O$10),1)</f>
        <v>1</v>
      </c>
      <c r="AG1785" s="42">
        <f>IFERROR(LOOKUP(R1785,打分卡!$F$11:$J$11,打分卡!$K$11:$O$11),1)</f>
        <v>1</v>
      </c>
      <c r="AH1785" s="42">
        <f>IFERROR(LOOKUP(U1785,打分卡!$F$12:$J$12,打分卡!$K$12:$O$12),1)</f>
        <v>3</v>
      </c>
      <c r="AI1785" s="42">
        <f>IFERROR(LOOKUP(X1785,打分卡!$F$13:$J$13,打分卡!$K$13:$O$13),1)</f>
        <v>3</v>
      </c>
      <c r="AJ1785" s="42">
        <f>IFERROR(LOOKUP(Y1785,打分卡!$F$14:$J$14,打分卡!$K$14:$O$14),1)</f>
        <v>2</v>
      </c>
      <c r="AK1785" s="42">
        <f>IFERROR(LOOKUP(W1785,打分卡!$F$15:$J$15,打分卡!$K$15:$O$15),1)</f>
        <v>2</v>
      </c>
      <c r="AL1785" s="45">
        <f t="shared" si="217"/>
        <v>1</v>
      </c>
      <c r="AM1785" s="42">
        <f>IFERROR(LOOKUP(Z1785,打分卡!$F$17:$H$17,打分卡!$K$17:$M$17),1)</f>
        <v>1</v>
      </c>
      <c r="AN1785" s="46">
        <f>(打分卡!$D$7*AC1785+打分卡!$D$8*AD1785+打分卡!$D$9*AE1785)/5</f>
        <v>8</v>
      </c>
      <c r="AO1785" s="46">
        <f>(打分卡!$D$10*AF1785+打分卡!$D$11*AG1785)/5</f>
        <v>4</v>
      </c>
      <c r="AP1785" s="46">
        <f>(打分卡!$D$12*AH1785+打分卡!$D$13*AI1785+打分卡!$D$14*AJ1785+打分卡!$D$15*AK1785)/5</f>
        <v>16</v>
      </c>
      <c r="AQ1785" s="46">
        <f>(打分卡!$D$16*AL1785+打分卡!$D$17*AM1785)/5</f>
        <v>2</v>
      </c>
      <c r="AR1785" s="48">
        <f t="shared" si="218"/>
        <v>30</v>
      </c>
      <c r="AS1785" s="45" t="str">
        <f t="shared" si="219"/>
        <v>未激活</v>
      </c>
      <c r="AT1785" s="45" t="str">
        <f t="shared" si="220"/>
        <v>连续下降-预警</v>
      </c>
      <c r="AU1785" s="45" t="str">
        <f t="shared" si="221"/>
        <v>唤醒：短信模板+首充补贴</v>
      </c>
    </row>
    <row r="1786" ht="15" customHeight="1" spans="1:47">
      <c r="A1786" s="30" t="s">
        <v>4531</v>
      </c>
      <c r="B1786" s="31" t="s">
        <v>4532</v>
      </c>
      <c r="C1786" s="31" t="s">
        <v>179</v>
      </c>
      <c r="D1786" s="31" t="s">
        <v>235</v>
      </c>
      <c r="E1786" s="31" t="s">
        <v>181</v>
      </c>
      <c r="F1786" s="30" t="s">
        <v>4533</v>
      </c>
      <c r="G1786" s="31">
        <v>28</v>
      </c>
      <c r="H1786" s="31" t="s">
        <v>3535</v>
      </c>
      <c r="I1786" s="31" t="s">
        <v>302</v>
      </c>
      <c r="J1786" s="33">
        <v>0</v>
      </c>
      <c r="K1786" s="33">
        <v>0</v>
      </c>
      <c r="L1786" s="33">
        <v>0</v>
      </c>
      <c r="M1786" s="33">
        <f t="shared" si="216"/>
        <v>0</v>
      </c>
      <c r="N1786" s="34">
        <f t="shared" si="222"/>
        <v>0</v>
      </c>
      <c r="O1786" s="35">
        <f>SUM($M$2:M1786)</f>
        <v>190743600</v>
      </c>
      <c r="P1786" s="34">
        <f t="shared" si="223"/>
        <v>1</v>
      </c>
      <c r="Q1786" s="37">
        <v>0</v>
      </c>
      <c r="R1786" s="31">
        <v>0</v>
      </c>
      <c r="S1786" s="31">
        <v>0</v>
      </c>
      <c r="T1786" s="31">
        <v>0</v>
      </c>
      <c r="U1786" s="37">
        <v>4.2</v>
      </c>
      <c r="V1786" s="31">
        <v>8</v>
      </c>
      <c r="W1786" s="31">
        <v>0</v>
      </c>
      <c r="X1786" s="38">
        <v>39</v>
      </c>
      <c r="Y1786" s="31">
        <v>0</v>
      </c>
      <c r="Z1786" s="31">
        <v>0</v>
      </c>
      <c r="AA1786" s="31" t="s">
        <v>212</v>
      </c>
      <c r="AB1786" s="31" t="s">
        <v>220</v>
      </c>
      <c r="AC1786" s="41">
        <f>IFERROR(LOOKUP(M1786,打分卡!$F$7:$J$7,打分卡!$K$7:$O$7),1)</f>
        <v>1</v>
      </c>
      <c r="AD1786" s="41">
        <f>IFERROR(LOOKUP(S1786,打分卡!$F$8:$J$8,打分卡!$K$8:$O$8),1)</f>
        <v>1</v>
      </c>
      <c r="AE1786" s="41">
        <f>IFERROR(LOOKUP(T1786,打分卡!$F$9:$I$9,打分卡!$K$9:$N$9),1)</f>
        <v>1</v>
      </c>
      <c r="AF1786" s="41">
        <f>IFERROR(LOOKUP(Q1786,打分卡!$F$10:$J$10,打分卡!$K$10:$O$10),1)</f>
        <v>1</v>
      </c>
      <c r="AG1786" s="41">
        <f>IFERROR(LOOKUP(R1786,打分卡!$F$11:$J$11,打分卡!$K$11:$O$11),1)</f>
        <v>1</v>
      </c>
      <c r="AH1786" s="41">
        <f>IFERROR(LOOKUP(U1786,打分卡!$F$12:$J$12,打分卡!$K$12:$O$12),1)</f>
        <v>2</v>
      </c>
      <c r="AI1786" s="41">
        <f>IFERROR(LOOKUP(X1786,打分卡!$F$13:$J$13,打分卡!$K$13:$O$13),1)</f>
        <v>3</v>
      </c>
      <c r="AJ1786" s="41">
        <f>IFERROR(LOOKUP(Y1786,打分卡!$F$14:$J$14,打分卡!$K$14:$O$14),1)</f>
        <v>1</v>
      </c>
      <c r="AK1786" s="41">
        <f>IFERROR(LOOKUP(W1786,打分卡!$F$15:$J$15,打分卡!$K$15:$O$15),1)</f>
        <v>1</v>
      </c>
      <c r="AL1786" s="43">
        <f t="shared" si="217"/>
        <v>1</v>
      </c>
      <c r="AM1786" s="41">
        <f>IFERROR(LOOKUP(Z1786,打分卡!$F$17:$H$17,打分卡!$K$17:$M$17),1)</f>
        <v>1</v>
      </c>
      <c r="AN1786" s="44">
        <f>(打分卡!$D$7*AC1786+打分卡!$D$8*AD1786+打分卡!$D$9*AE1786)/5</f>
        <v>8</v>
      </c>
      <c r="AO1786" s="44">
        <f>(打分卡!$D$10*AF1786+打分卡!$D$11*AG1786)/5</f>
        <v>4</v>
      </c>
      <c r="AP1786" s="44">
        <f>(打分卡!$D$12*AH1786+打分卡!$D$13*AI1786+打分卡!$D$14*AJ1786+打分卡!$D$15*AK1786)/5</f>
        <v>11.6</v>
      </c>
      <c r="AQ1786" s="44">
        <f>(打分卡!$D$16*AL1786+打分卡!$D$17*AM1786)/5</f>
        <v>2</v>
      </c>
      <c r="AR1786" s="47">
        <f t="shared" si="218"/>
        <v>25.6</v>
      </c>
      <c r="AS1786" s="43" t="str">
        <f t="shared" si="219"/>
        <v>未激活</v>
      </c>
      <c r="AT1786" s="43" t="str">
        <f t="shared" si="220"/>
        <v>连续下降-预警</v>
      </c>
      <c r="AU1786" s="43" t="str">
        <f t="shared" si="221"/>
        <v>唤醒：短信模板+首充补贴</v>
      </c>
    </row>
    <row r="1787" ht="15" customHeight="1" spans="1:47">
      <c r="A1787" s="20" t="s">
        <v>4534</v>
      </c>
      <c r="B1787" s="22" t="s">
        <v>4535</v>
      </c>
      <c r="C1787" s="22" t="s">
        <v>189</v>
      </c>
      <c r="D1787" s="22" t="s">
        <v>180</v>
      </c>
      <c r="E1787" s="22" t="s">
        <v>197</v>
      </c>
      <c r="F1787" s="20" t="s">
        <v>1513</v>
      </c>
      <c r="G1787" s="22">
        <v>13</v>
      </c>
      <c r="H1787" s="22" t="s">
        <v>3535</v>
      </c>
      <c r="I1787" s="22" t="s">
        <v>302</v>
      </c>
      <c r="J1787" s="36">
        <v>0</v>
      </c>
      <c r="K1787" s="36">
        <v>0</v>
      </c>
      <c r="L1787" s="36">
        <v>0</v>
      </c>
      <c r="M1787" s="36">
        <f t="shared" si="216"/>
        <v>0</v>
      </c>
      <c r="N1787" s="34">
        <f t="shared" si="222"/>
        <v>0</v>
      </c>
      <c r="O1787" s="35">
        <f>SUM($M$2:M1787)</f>
        <v>190743600</v>
      </c>
      <c r="P1787" s="34">
        <f t="shared" si="223"/>
        <v>1</v>
      </c>
      <c r="Q1787" s="39">
        <v>0</v>
      </c>
      <c r="R1787" s="22">
        <v>0</v>
      </c>
      <c r="S1787" s="22">
        <v>0</v>
      </c>
      <c r="T1787" s="22">
        <v>0</v>
      </c>
      <c r="U1787" s="39">
        <v>1.9</v>
      </c>
      <c r="V1787" s="22">
        <v>12</v>
      </c>
      <c r="W1787" s="22">
        <v>0</v>
      </c>
      <c r="X1787" s="40">
        <v>7</v>
      </c>
      <c r="Y1787" s="22">
        <v>1</v>
      </c>
      <c r="Z1787" s="22">
        <v>0</v>
      </c>
      <c r="AA1787" s="22" t="s">
        <v>212</v>
      </c>
      <c r="AB1787" s="22" t="s">
        <v>220</v>
      </c>
      <c r="AC1787" s="42">
        <f>IFERROR(LOOKUP(M1787,打分卡!$F$7:$J$7,打分卡!$K$7:$O$7),1)</f>
        <v>1</v>
      </c>
      <c r="AD1787" s="42">
        <f>IFERROR(LOOKUP(S1787,打分卡!$F$8:$J$8,打分卡!$K$8:$O$8),1)</f>
        <v>1</v>
      </c>
      <c r="AE1787" s="42">
        <f>IFERROR(LOOKUP(T1787,打分卡!$F$9:$I$9,打分卡!$K$9:$N$9),1)</f>
        <v>1</v>
      </c>
      <c r="AF1787" s="42">
        <f>IFERROR(LOOKUP(Q1787,打分卡!$F$10:$J$10,打分卡!$K$10:$O$10),1)</f>
        <v>1</v>
      </c>
      <c r="AG1787" s="42">
        <f>IFERROR(LOOKUP(R1787,打分卡!$F$11:$J$11,打分卡!$K$11:$O$11),1)</f>
        <v>1</v>
      </c>
      <c r="AH1787" s="42">
        <f>IFERROR(LOOKUP(U1787,打分卡!$F$12:$J$12,打分卡!$K$12:$O$12),1)</f>
        <v>1</v>
      </c>
      <c r="AI1787" s="42">
        <f>IFERROR(LOOKUP(X1787,打分卡!$F$13:$J$13,打分卡!$K$13:$O$13),1)</f>
        <v>1</v>
      </c>
      <c r="AJ1787" s="42">
        <f>IFERROR(LOOKUP(Y1787,打分卡!$F$14:$J$14,打分卡!$K$14:$O$14),1)</f>
        <v>2</v>
      </c>
      <c r="AK1787" s="42">
        <f>IFERROR(LOOKUP(W1787,打分卡!$F$15:$J$15,打分卡!$K$15:$O$15),1)</f>
        <v>1</v>
      </c>
      <c r="AL1787" s="45">
        <f t="shared" si="217"/>
        <v>1</v>
      </c>
      <c r="AM1787" s="42">
        <f>IFERROR(LOOKUP(Z1787,打分卡!$F$17:$H$17,打分卡!$K$17:$M$17),1)</f>
        <v>1</v>
      </c>
      <c r="AN1787" s="46">
        <f>(打分卡!$D$7*AC1787+打分卡!$D$8*AD1787+打分卡!$D$9*AE1787)/5</f>
        <v>8</v>
      </c>
      <c r="AO1787" s="46">
        <f>(打分卡!$D$10*AF1787+打分卡!$D$11*AG1787)/5</f>
        <v>4</v>
      </c>
      <c r="AP1787" s="46">
        <f>(打分卡!$D$12*AH1787+打分卡!$D$13*AI1787+打分卡!$D$14*AJ1787+打分卡!$D$15*AK1787)/5</f>
        <v>7.2</v>
      </c>
      <c r="AQ1787" s="46">
        <f>(打分卡!$D$16*AL1787+打分卡!$D$17*AM1787)/5</f>
        <v>2</v>
      </c>
      <c r="AR1787" s="48">
        <f t="shared" si="218"/>
        <v>21.2</v>
      </c>
      <c r="AS1787" s="45" t="str">
        <f t="shared" si="219"/>
        <v>未激活</v>
      </c>
      <c r="AT1787" s="45" t="str">
        <f t="shared" si="220"/>
        <v>连续下降-预警</v>
      </c>
      <c r="AU1787" s="45" t="str">
        <f t="shared" si="221"/>
        <v>唤醒：短信模板+首充补贴</v>
      </c>
    </row>
    <row r="1788" ht="15" customHeight="1" spans="1:47">
      <c r="A1788" s="30" t="s">
        <v>4536</v>
      </c>
      <c r="B1788" s="31" t="s">
        <v>4537</v>
      </c>
      <c r="C1788" s="31" t="s">
        <v>239</v>
      </c>
      <c r="D1788" s="31" t="s">
        <v>235</v>
      </c>
      <c r="E1788" s="31" t="s">
        <v>181</v>
      </c>
      <c r="F1788" s="30" t="s">
        <v>681</v>
      </c>
      <c r="G1788" s="31">
        <v>19</v>
      </c>
      <c r="H1788" s="31" t="s">
        <v>3535</v>
      </c>
      <c r="I1788" s="31" t="s">
        <v>302</v>
      </c>
      <c r="J1788" s="33">
        <v>0</v>
      </c>
      <c r="K1788" s="33">
        <v>0</v>
      </c>
      <c r="L1788" s="33">
        <v>0</v>
      </c>
      <c r="M1788" s="33">
        <f t="shared" si="216"/>
        <v>0</v>
      </c>
      <c r="N1788" s="34">
        <f t="shared" si="222"/>
        <v>0</v>
      </c>
      <c r="O1788" s="35">
        <f>SUM($M$2:M1788)</f>
        <v>190743600</v>
      </c>
      <c r="P1788" s="34">
        <f t="shared" si="223"/>
        <v>1</v>
      </c>
      <c r="Q1788" s="37">
        <v>0</v>
      </c>
      <c r="R1788" s="31">
        <v>0</v>
      </c>
      <c r="S1788" s="31">
        <v>0</v>
      </c>
      <c r="T1788" s="31">
        <v>0</v>
      </c>
      <c r="U1788" s="37">
        <v>6.1</v>
      </c>
      <c r="V1788" s="31">
        <v>6</v>
      </c>
      <c r="W1788" s="31">
        <v>1</v>
      </c>
      <c r="X1788" s="38">
        <v>6</v>
      </c>
      <c r="Y1788" s="31">
        <v>1</v>
      </c>
      <c r="Z1788" s="31">
        <v>0</v>
      </c>
      <c r="AA1788" s="31" t="s">
        <v>212</v>
      </c>
      <c r="AB1788" s="31" t="s">
        <v>220</v>
      </c>
      <c r="AC1788" s="41">
        <f>IFERROR(LOOKUP(M1788,打分卡!$F$7:$J$7,打分卡!$K$7:$O$7),1)</f>
        <v>1</v>
      </c>
      <c r="AD1788" s="41">
        <f>IFERROR(LOOKUP(S1788,打分卡!$F$8:$J$8,打分卡!$K$8:$O$8),1)</f>
        <v>1</v>
      </c>
      <c r="AE1788" s="41">
        <f>IFERROR(LOOKUP(T1788,打分卡!$F$9:$I$9,打分卡!$K$9:$N$9),1)</f>
        <v>1</v>
      </c>
      <c r="AF1788" s="41">
        <f>IFERROR(LOOKUP(Q1788,打分卡!$F$10:$J$10,打分卡!$K$10:$O$10),1)</f>
        <v>1</v>
      </c>
      <c r="AG1788" s="41">
        <f>IFERROR(LOOKUP(R1788,打分卡!$F$11:$J$11,打分卡!$K$11:$O$11),1)</f>
        <v>1</v>
      </c>
      <c r="AH1788" s="41">
        <f>IFERROR(LOOKUP(U1788,打分卡!$F$12:$J$12,打分卡!$K$12:$O$12),1)</f>
        <v>2</v>
      </c>
      <c r="AI1788" s="41">
        <f>IFERROR(LOOKUP(X1788,打分卡!$F$13:$J$13,打分卡!$K$13:$O$13),1)</f>
        <v>1</v>
      </c>
      <c r="AJ1788" s="41">
        <f>IFERROR(LOOKUP(Y1788,打分卡!$F$14:$J$14,打分卡!$K$14:$O$14),1)</f>
        <v>2</v>
      </c>
      <c r="AK1788" s="41">
        <f>IFERROR(LOOKUP(W1788,打分卡!$F$15:$J$15,打分卡!$K$15:$O$15),1)</f>
        <v>2</v>
      </c>
      <c r="AL1788" s="43">
        <f t="shared" si="217"/>
        <v>1</v>
      </c>
      <c r="AM1788" s="41">
        <f>IFERROR(LOOKUP(Z1788,打分卡!$F$17:$H$17,打分卡!$K$17:$M$17),1)</f>
        <v>1</v>
      </c>
      <c r="AN1788" s="44">
        <f>(打分卡!$D$7*AC1788+打分卡!$D$8*AD1788+打分卡!$D$9*AE1788)/5</f>
        <v>8</v>
      </c>
      <c r="AO1788" s="44">
        <f>(打分卡!$D$10*AF1788+打分卡!$D$11*AG1788)/5</f>
        <v>4</v>
      </c>
      <c r="AP1788" s="44">
        <f>(打分卡!$D$12*AH1788+打分卡!$D$13*AI1788+打分卡!$D$14*AJ1788+打分卡!$D$15*AK1788)/5</f>
        <v>10.4</v>
      </c>
      <c r="AQ1788" s="44">
        <f>(打分卡!$D$16*AL1788+打分卡!$D$17*AM1788)/5</f>
        <v>2</v>
      </c>
      <c r="AR1788" s="47">
        <f t="shared" si="218"/>
        <v>24.4</v>
      </c>
      <c r="AS1788" s="43" t="str">
        <f t="shared" si="219"/>
        <v>未激活</v>
      </c>
      <c r="AT1788" s="43" t="str">
        <f t="shared" si="220"/>
        <v>连续下降-预警</v>
      </c>
      <c r="AU1788" s="43" t="str">
        <f t="shared" si="221"/>
        <v>唤醒：短信模板+首充补贴</v>
      </c>
    </row>
    <row r="1789" ht="15" customHeight="1" spans="1:47">
      <c r="A1789" s="20" t="s">
        <v>4538</v>
      </c>
      <c r="B1789" s="22" t="s">
        <v>4539</v>
      </c>
      <c r="C1789" s="22" t="s">
        <v>179</v>
      </c>
      <c r="D1789" s="22" t="s">
        <v>202</v>
      </c>
      <c r="E1789" s="22" t="s">
        <v>197</v>
      </c>
      <c r="F1789" s="20" t="s">
        <v>262</v>
      </c>
      <c r="G1789" s="22">
        <v>16</v>
      </c>
      <c r="H1789" s="22" t="s">
        <v>3535</v>
      </c>
      <c r="I1789" s="22" t="s">
        <v>302</v>
      </c>
      <c r="J1789" s="36">
        <v>0</v>
      </c>
      <c r="K1789" s="36">
        <v>0</v>
      </c>
      <c r="L1789" s="36">
        <v>0</v>
      </c>
      <c r="M1789" s="36">
        <f t="shared" si="216"/>
        <v>0</v>
      </c>
      <c r="N1789" s="34">
        <f t="shared" si="222"/>
        <v>0</v>
      </c>
      <c r="O1789" s="35">
        <f>SUM($M$2:M1789)</f>
        <v>190743600</v>
      </c>
      <c r="P1789" s="34">
        <f t="shared" si="223"/>
        <v>1</v>
      </c>
      <c r="Q1789" s="39">
        <v>0</v>
      </c>
      <c r="R1789" s="22">
        <v>0</v>
      </c>
      <c r="S1789" s="22">
        <v>0</v>
      </c>
      <c r="T1789" s="22">
        <v>0</v>
      </c>
      <c r="U1789" s="39">
        <v>19.6</v>
      </c>
      <c r="V1789" s="22">
        <v>5</v>
      </c>
      <c r="W1789" s="22">
        <v>2</v>
      </c>
      <c r="X1789" s="40">
        <v>10</v>
      </c>
      <c r="Y1789" s="22">
        <v>0</v>
      </c>
      <c r="Z1789" s="22">
        <v>0</v>
      </c>
      <c r="AA1789" s="22" t="s">
        <v>212</v>
      </c>
      <c r="AB1789" s="22" t="s">
        <v>220</v>
      </c>
      <c r="AC1789" s="42">
        <f>IFERROR(LOOKUP(M1789,打分卡!$F$7:$J$7,打分卡!$K$7:$O$7),1)</f>
        <v>1</v>
      </c>
      <c r="AD1789" s="42">
        <f>IFERROR(LOOKUP(S1789,打分卡!$F$8:$J$8,打分卡!$K$8:$O$8),1)</f>
        <v>1</v>
      </c>
      <c r="AE1789" s="42">
        <f>IFERROR(LOOKUP(T1789,打分卡!$F$9:$I$9,打分卡!$K$9:$N$9),1)</f>
        <v>1</v>
      </c>
      <c r="AF1789" s="42">
        <f>IFERROR(LOOKUP(Q1789,打分卡!$F$10:$J$10,打分卡!$K$10:$O$10),1)</f>
        <v>1</v>
      </c>
      <c r="AG1789" s="42">
        <f>IFERROR(LOOKUP(R1789,打分卡!$F$11:$J$11,打分卡!$K$11:$O$11),1)</f>
        <v>1</v>
      </c>
      <c r="AH1789" s="42">
        <f>IFERROR(LOOKUP(U1789,打分卡!$F$12:$J$12,打分卡!$K$12:$O$12),1)</f>
        <v>3</v>
      </c>
      <c r="AI1789" s="42">
        <f>IFERROR(LOOKUP(X1789,打分卡!$F$13:$J$13,打分卡!$K$13:$O$13),1)</f>
        <v>1</v>
      </c>
      <c r="AJ1789" s="42">
        <f>IFERROR(LOOKUP(Y1789,打分卡!$F$14:$J$14,打分卡!$K$14:$O$14),1)</f>
        <v>1</v>
      </c>
      <c r="AK1789" s="42">
        <f>IFERROR(LOOKUP(W1789,打分卡!$F$15:$J$15,打分卡!$K$15:$O$15),1)</f>
        <v>2</v>
      </c>
      <c r="AL1789" s="45">
        <f t="shared" si="217"/>
        <v>1</v>
      </c>
      <c r="AM1789" s="42">
        <f>IFERROR(LOOKUP(Z1789,打分卡!$F$17:$H$17,打分卡!$K$17:$M$17),1)</f>
        <v>1</v>
      </c>
      <c r="AN1789" s="46">
        <f>(打分卡!$D$7*AC1789+打分卡!$D$8*AD1789+打分卡!$D$9*AE1789)/5</f>
        <v>8</v>
      </c>
      <c r="AO1789" s="46">
        <f>(打分卡!$D$10*AF1789+打分卡!$D$11*AG1789)/5</f>
        <v>4</v>
      </c>
      <c r="AP1789" s="46">
        <f>(打分卡!$D$12*AH1789+打分卡!$D$13*AI1789+打分卡!$D$14*AJ1789+打分卡!$D$15*AK1789)/5</f>
        <v>11.6</v>
      </c>
      <c r="AQ1789" s="46">
        <f>(打分卡!$D$16*AL1789+打分卡!$D$17*AM1789)/5</f>
        <v>2</v>
      </c>
      <c r="AR1789" s="48">
        <f t="shared" si="218"/>
        <v>25.6</v>
      </c>
      <c r="AS1789" s="45" t="str">
        <f t="shared" si="219"/>
        <v>未激活</v>
      </c>
      <c r="AT1789" s="45" t="str">
        <f t="shared" si="220"/>
        <v>连续下降-预警</v>
      </c>
      <c r="AU1789" s="45" t="str">
        <f t="shared" si="221"/>
        <v>唤醒：短信模板+首充补贴</v>
      </c>
    </row>
    <row r="1790" ht="15" customHeight="1" spans="1:47">
      <c r="A1790" s="30" t="s">
        <v>4540</v>
      </c>
      <c r="B1790" s="31" t="s">
        <v>4541</v>
      </c>
      <c r="C1790" s="31" t="s">
        <v>209</v>
      </c>
      <c r="D1790" s="31" t="s">
        <v>190</v>
      </c>
      <c r="E1790" s="31" t="s">
        <v>181</v>
      </c>
      <c r="F1790" s="30" t="s">
        <v>4542</v>
      </c>
      <c r="G1790" s="31">
        <v>33</v>
      </c>
      <c r="H1790" s="31" t="s">
        <v>3535</v>
      </c>
      <c r="I1790" s="31" t="s">
        <v>302</v>
      </c>
      <c r="J1790" s="33">
        <v>0</v>
      </c>
      <c r="K1790" s="33">
        <v>0</v>
      </c>
      <c r="L1790" s="33">
        <v>0</v>
      </c>
      <c r="M1790" s="33">
        <f t="shared" si="216"/>
        <v>0</v>
      </c>
      <c r="N1790" s="34">
        <f t="shared" si="222"/>
        <v>0</v>
      </c>
      <c r="O1790" s="35">
        <f>SUM($M$2:M1790)</f>
        <v>190743600</v>
      </c>
      <c r="P1790" s="34">
        <f t="shared" si="223"/>
        <v>1</v>
      </c>
      <c r="Q1790" s="37">
        <v>0</v>
      </c>
      <c r="R1790" s="31">
        <v>0</v>
      </c>
      <c r="S1790" s="31">
        <v>0</v>
      </c>
      <c r="T1790" s="31">
        <v>0</v>
      </c>
      <c r="U1790" s="37">
        <v>5.7</v>
      </c>
      <c r="V1790" s="31">
        <v>15</v>
      </c>
      <c r="W1790" s="31">
        <v>2</v>
      </c>
      <c r="X1790" s="38">
        <v>49</v>
      </c>
      <c r="Y1790" s="31">
        <v>0</v>
      </c>
      <c r="Z1790" s="31">
        <v>0</v>
      </c>
      <c r="AA1790" s="31" t="s">
        <v>212</v>
      </c>
      <c r="AB1790" s="31" t="s">
        <v>220</v>
      </c>
      <c r="AC1790" s="41">
        <f>IFERROR(LOOKUP(M1790,打分卡!$F$7:$J$7,打分卡!$K$7:$O$7),1)</f>
        <v>1</v>
      </c>
      <c r="AD1790" s="41">
        <f>IFERROR(LOOKUP(S1790,打分卡!$F$8:$J$8,打分卡!$K$8:$O$8),1)</f>
        <v>1</v>
      </c>
      <c r="AE1790" s="41">
        <f>IFERROR(LOOKUP(T1790,打分卡!$F$9:$I$9,打分卡!$K$9:$N$9),1)</f>
        <v>1</v>
      </c>
      <c r="AF1790" s="41">
        <f>IFERROR(LOOKUP(Q1790,打分卡!$F$10:$J$10,打分卡!$K$10:$O$10),1)</f>
        <v>1</v>
      </c>
      <c r="AG1790" s="41">
        <f>IFERROR(LOOKUP(R1790,打分卡!$F$11:$J$11,打分卡!$K$11:$O$11),1)</f>
        <v>1</v>
      </c>
      <c r="AH1790" s="41">
        <f>IFERROR(LOOKUP(U1790,打分卡!$F$12:$J$12,打分卡!$K$12:$O$12),1)</f>
        <v>2</v>
      </c>
      <c r="AI1790" s="41">
        <f>IFERROR(LOOKUP(X1790,打分卡!$F$13:$J$13,打分卡!$K$13:$O$13),1)</f>
        <v>3</v>
      </c>
      <c r="AJ1790" s="41">
        <f>IFERROR(LOOKUP(Y1790,打分卡!$F$14:$J$14,打分卡!$K$14:$O$14),1)</f>
        <v>1</v>
      </c>
      <c r="AK1790" s="41">
        <f>IFERROR(LOOKUP(W1790,打分卡!$F$15:$J$15,打分卡!$K$15:$O$15),1)</f>
        <v>2</v>
      </c>
      <c r="AL1790" s="43">
        <f t="shared" si="217"/>
        <v>1</v>
      </c>
      <c r="AM1790" s="41">
        <f>IFERROR(LOOKUP(Z1790,打分卡!$F$17:$H$17,打分卡!$K$17:$M$17),1)</f>
        <v>1</v>
      </c>
      <c r="AN1790" s="44">
        <f>(打分卡!$D$7*AC1790+打分卡!$D$8*AD1790+打分卡!$D$9*AE1790)/5</f>
        <v>8</v>
      </c>
      <c r="AO1790" s="44">
        <f>(打分卡!$D$10*AF1790+打分卡!$D$11*AG1790)/5</f>
        <v>4</v>
      </c>
      <c r="AP1790" s="44">
        <f>(打分卡!$D$12*AH1790+打分卡!$D$13*AI1790+打分卡!$D$14*AJ1790+打分卡!$D$15*AK1790)/5</f>
        <v>12.4</v>
      </c>
      <c r="AQ1790" s="44">
        <f>(打分卡!$D$16*AL1790+打分卡!$D$17*AM1790)/5</f>
        <v>2</v>
      </c>
      <c r="AR1790" s="47">
        <f t="shared" si="218"/>
        <v>26.4</v>
      </c>
      <c r="AS1790" s="43" t="str">
        <f t="shared" si="219"/>
        <v>未激活</v>
      </c>
      <c r="AT1790" s="43" t="str">
        <f t="shared" si="220"/>
        <v>连续下降-预警</v>
      </c>
      <c r="AU1790" s="43" t="str">
        <f t="shared" si="221"/>
        <v>唤醒：短信模板+首充补贴</v>
      </c>
    </row>
    <row r="1791" ht="15" customHeight="1" spans="1:47">
      <c r="A1791" s="20" t="s">
        <v>4543</v>
      </c>
      <c r="B1791" s="22" t="s">
        <v>4544</v>
      </c>
      <c r="C1791" s="22" t="s">
        <v>195</v>
      </c>
      <c r="D1791" s="22" t="s">
        <v>202</v>
      </c>
      <c r="E1791" s="22" t="s">
        <v>181</v>
      </c>
      <c r="F1791" s="20" t="s">
        <v>4505</v>
      </c>
      <c r="G1791" s="22">
        <v>31</v>
      </c>
      <c r="H1791" s="22" t="s">
        <v>3535</v>
      </c>
      <c r="I1791" s="22" t="s">
        <v>302</v>
      </c>
      <c r="J1791" s="36">
        <v>0</v>
      </c>
      <c r="K1791" s="36">
        <v>0</v>
      </c>
      <c r="L1791" s="36">
        <v>0</v>
      </c>
      <c r="M1791" s="36">
        <f t="shared" si="216"/>
        <v>0</v>
      </c>
      <c r="N1791" s="34">
        <f t="shared" si="222"/>
        <v>0</v>
      </c>
      <c r="O1791" s="35">
        <f>SUM($M$2:M1791)</f>
        <v>190743600</v>
      </c>
      <c r="P1791" s="34">
        <f t="shared" si="223"/>
        <v>1</v>
      </c>
      <c r="Q1791" s="39">
        <v>0</v>
      </c>
      <c r="R1791" s="22">
        <v>0</v>
      </c>
      <c r="S1791" s="22">
        <v>0</v>
      </c>
      <c r="T1791" s="22">
        <v>0</v>
      </c>
      <c r="U1791" s="39">
        <v>19.8</v>
      </c>
      <c r="V1791" s="22">
        <v>5</v>
      </c>
      <c r="W1791" s="22">
        <v>1</v>
      </c>
      <c r="X1791" s="40">
        <v>11</v>
      </c>
      <c r="Y1791" s="22">
        <v>1</v>
      </c>
      <c r="Z1791" s="22">
        <v>0</v>
      </c>
      <c r="AA1791" s="22" t="s">
        <v>212</v>
      </c>
      <c r="AB1791" s="22" t="s">
        <v>220</v>
      </c>
      <c r="AC1791" s="42">
        <f>IFERROR(LOOKUP(M1791,打分卡!$F$7:$J$7,打分卡!$K$7:$O$7),1)</f>
        <v>1</v>
      </c>
      <c r="AD1791" s="42">
        <f>IFERROR(LOOKUP(S1791,打分卡!$F$8:$J$8,打分卡!$K$8:$O$8),1)</f>
        <v>1</v>
      </c>
      <c r="AE1791" s="42">
        <f>IFERROR(LOOKUP(T1791,打分卡!$F$9:$I$9,打分卡!$K$9:$N$9),1)</f>
        <v>1</v>
      </c>
      <c r="AF1791" s="42">
        <f>IFERROR(LOOKUP(Q1791,打分卡!$F$10:$J$10,打分卡!$K$10:$O$10),1)</f>
        <v>1</v>
      </c>
      <c r="AG1791" s="42">
        <f>IFERROR(LOOKUP(R1791,打分卡!$F$11:$J$11,打分卡!$K$11:$O$11),1)</f>
        <v>1</v>
      </c>
      <c r="AH1791" s="42">
        <f>IFERROR(LOOKUP(U1791,打分卡!$F$12:$J$12,打分卡!$K$12:$O$12),1)</f>
        <v>3</v>
      </c>
      <c r="AI1791" s="42">
        <f>IFERROR(LOOKUP(X1791,打分卡!$F$13:$J$13,打分卡!$K$13:$O$13),1)</f>
        <v>1</v>
      </c>
      <c r="AJ1791" s="42">
        <f>IFERROR(LOOKUP(Y1791,打分卡!$F$14:$J$14,打分卡!$K$14:$O$14),1)</f>
        <v>2</v>
      </c>
      <c r="AK1791" s="42">
        <f>IFERROR(LOOKUP(W1791,打分卡!$F$15:$J$15,打分卡!$K$15:$O$15),1)</f>
        <v>2</v>
      </c>
      <c r="AL1791" s="45">
        <f t="shared" si="217"/>
        <v>1</v>
      </c>
      <c r="AM1791" s="42">
        <f>IFERROR(LOOKUP(Z1791,打分卡!$F$17:$H$17,打分卡!$K$17:$M$17),1)</f>
        <v>1</v>
      </c>
      <c r="AN1791" s="46">
        <f>(打分卡!$D$7*AC1791+打分卡!$D$8*AD1791+打分卡!$D$9*AE1791)/5</f>
        <v>8</v>
      </c>
      <c r="AO1791" s="46">
        <f>(打分卡!$D$10*AF1791+打分卡!$D$11*AG1791)/5</f>
        <v>4</v>
      </c>
      <c r="AP1791" s="46">
        <f>(打分卡!$D$12*AH1791+打分卡!$D$13*AI1791+打分卡!$D$14*AJ1791+打分卡!$D$15*AK1791)/5</f>
        <v>12.8</v>
      </c>
      <c r="AQ1791" s="46">
        <f>(打分卡!$D$16*AL1791+打分卡!$D$17*AM1791)/5</f>
        <v>2</v>
      </c>
      <c r="AR1791" s="48">
        <f t="shared" si="218"/>
        <v>26.8</v>
      </c>
      <c r="AS1791" s="45" t="str">
        <f t="shared" si="219"/>
        <v>未激活</v>
      </c>
      <c r="AT1791" s="45" t="str">
        <f t="shared" si="220"/>
        <v>连续下降-预警</v>
      </c>
      <c r="AU1791" s="45" t="str">
        <f t="shared" si="221"/>
        <v>唤醒：短信模板+首充补贴</v>
      </c>
    </row>
    <row r="1792" ht="15" customHeight="1" spans="1:47">
      <c r="A1792" s="30" t="s">
        <v>4545</v>
      </c>
      <c r="B1792" s="31" t="s">
        <v>4546</v>
      </c>
      <c r="C1792" s="31" t="s">
        <v>179</v>
      </c>
      <c r="D1792" s="31" t="s">
        <v>202</v>
      </c>
      <c r="E1792" s="31" t="s">
        <v>197</v>
      </c>
      <c r="F1792" s="30" t="s">
        <v>681</v>
      </c>
      <c r="G1792" s="31">
        <v>19</v>
      </c>
      <c r="H1792" s="31" t="s">
        <v>3535</v>
      </c>
      <c r="I1792" s="31" t="s">
        <v>302</v>
      </c>
      <c r="J1792" s="33">
        <v>0</v>
      </c>
      <c r="K1792" s="33">
        <v>0</v>
      </c>
      <c r="L1792" s="33">
        <v>0</v>
      </c>
      <c r="M1792" s="33">
        <f t="shared" si="216"/>
        <v>0</v>
      </c>
      <c r="N1792" s="34">
        <f t="shared" si="222"/>
        <v>0</v>
      </c>
      <c r="O1792" s="35">
        <f>SUM($M$2:M1792)</f>
        <v>190743600</v>
      </c>
      <c r="P1792" s="34">
        <f t="shared" si="223"/>
        <v>1</v>
      </c>
      <c r="Q1792" s="37">
        <v>0</v>
      </c>
      <c r="R1792" s="31">
        <v>0</v>
      </c>
      <c r="S1792" s="31">
        <v>0</v>
      </c>
      <c r="T1792" s="31">
        <v>0</v>
      </c>
      <c r="U1792" s="37">
        <v>2.5</v>
      </c>
      <c r="V1792" s="31">
        <v>8</v>
      </c>
      <c r="W1792" s="31">
        <v>0</v>
      </c>
      <c r="X1792" s="38">
        <v>16</v>
      </c>
      <c r="Y1792" s="31">
        <v>1</v>
      </c>
      <c r="Z1792" s="31">
        <v>0</v>
      </c>
      <c r="AA1792" s="31" t="s">
        <v>212</v>
      </c>
      <c r="AB1792" s="31" t="s">
        <v>220</v>
      </c>
      <c r="AC1792" s="41">
        <f>IFERROR(LOOKUP(M1792,打分卡!$F$7:$J$7,打分卡!$K$7:$O$7),1)</f>
        <v>1</v>
      </c>
      <c r="AD1792" s="41">
        <f>IFERROR(LOOKUP(S1792,打分卡!$F$8:$J$8,打分卡!$K$8:$O$8),1)</f>
        <v>1</v>
      </c>
      <c r="AE1792" s="41">
        <f>IFERROR(LOOKUP(T1792,打分卡!$F$9:$I$9,打分卡!$K$9:$N$9),1)</f>
        <v>1</v>
      </c>
      <c r="AF1792" s="41">
        <f>IFERROR(LOOKUP(Q1792,打分卡!$F$10:$J$10,打分卡!$K$10:$O$10),1)</f>
        <v>1</v>
      </c>
      <c r="AG1792" s="41">
        <f>IFERROR(LOOKUP(R1792,打分卡!$F$11:$J$11,打分卡!$K$11:$O$11),1)</f>
        <v>1</v>
      </c>
      <c r="AH1792" s="41">
        <f>IFERROR(LOOKUP(U1792,打分卡!$F$12:$J$12,打分卡!$K$12:$O$12),1)</f>
        <v>1</v>
      </c>
      <c r="AI1792" s="41">
        <f>IFERROR(LOOKUP(X1792,打分卡!$F$13:$J$13,打分卡!$K$13:$O$13),1)</f>
        <v>1</v>
      </c>
      <c r="AJ1792" s="41">
        <f>IFERROR(LOOKUP(Y1792,打分卡!$F$14:$J$14,打分卡!$K$14:$O$14),1)</f>
        <v>2</v>
      </c>
      <c r="AK1792" s="41">
        <f>IFERROR(LOOKUP(W1792,打分卡!$F$15:$J$15,打分卡!$K$15:$O$15),1)</f>
        <v>1</v>
      </c>
      <c r="AL1792" s="43">
        <f t="shared" si="217"/>
        <v>1</v>
      </c>
      <c r="AM1792" s="41">
        <f>IFERROR(LOOKUP(Z1792,打分卡!$F$17:$H$17,打分卡!$K$17:$M$17),1)</f>
        <v>1</v>
      </c>
      <c r="AN1792" s="44">
        <f>(打分卡!$D$7*AC1792+打分卡!$D$8*AD1792+打分卡!$D$9*AE1792)/5</f>
        <v>8</v>
      </c>
      <c r="AO1792" s="44">
        <f>(打分卡!$D$10*AF1792+打分卡!$D$11*AG1792)/5</f>
        <v>4</v>
      </c>
      <c r="AP1792" s="44">
        <f>(打分卡!$D$12*AH1792+打分卡!$D$13*AI1792+打分卡!$D$14*AJ1792+打分卡!$D$15*AK1792)/5</f>
        <v>7.2</v>
      </c>
      <c r="AQ1792" s="44">
        <f>(打分卡!$D$16*AL1792+打分卡!$D$17*AM1792)/5</f>
        <v>2</v>
      </c>
      <c r="AR1792" s="47">
        <f t="shared" si="218"/>
        <v>21.2</v>
      </c>
      <c r="AS1792" s="43" t="str">
        <f t="shared" si="219"/>
        <v>未激活</v>
      </c>
      <c r="AT1792" s="43" t="str">
        <f t="shared" si="220"/>
        <v>连续下降-预警</v>
      </c>
      <c r="AU1792" s="43" t="str">
        <f t="shared" si="221"/>
        <v>唤醒：短信模板+首充补贴</v>
      </c>
    </row>
    <row r="1793" ht="15" customHeight="1" spans="1:47">
      <c r="A1793" s="20" t="s">
        <v>4547</v>
      </c>
      <c r="B1793" s="22" t="s">
        <v>4548</v>
      </c>
      <c r="C1793" s="22" t="s">
        <v>234</v>
      </c>
      <c r="D1793" s="22" t="s">
        <v>196</v>
      </c>
      <c r="E1793" s="22" t="s">
        <v>181</v>
      </c>
      <c r="F1793" s="20" t="s">
        <v>4549</v>
      </c>
      <c r="G1793" s="22">
        <v>31</v>
      </c>
      <c r="H1793" s="22" t="s">
        <v>3535</v>
      </c>
      <c r="I1793" s="22" t="s">
        <v>302</v>
      </c>
      <c r="J1793" s="36">
        <v>0</v>
      </c>
      <c r="K1793" s="36">
        <v>0</v>
      </c>
      <c r="L1793" s="36">
        <v>0</v>
      </c>
      <c r="M1793" s="36">
        <f t="shared" si="216"/>
        <v>0</v>
      </c>
      <c r="N1793" s="34">
        <f t="shared" si="222"/>
        <v>0</v>
      </c>
      <c r="O1793" s="35">
        <f>SUM($M$2:M1793)</f>
        <v>190743600</v>
      </c>
      <c r="P1793" s="34">
        <f t="shared" si="223"/>
        <v>1</v>
      </c>
      <c r="Q1793" s="39">
        <v>0</v>
      </c>
      <c r="R1793" s="22">
        <v>0</v>
      </c>
      <c r="S1793" s="22">
        <v>0</v>
      </c>
      <c r="T1793" s="22">
        <v>0</v>
      </c>
      <c r="U1793" s="39">
        <v>14.9</v>
      </c>
      <c r="V1793" s="22">
        <v>15</v>
      </c>
      <c r="W1793" s="22">
        <v>2</v>
      </c>
      <c r="X1793" s="40">
        <v>64</v>
      </c>
      <c r="Y1793" s="22">
        <v>1</v>
      </c>
      <c r="Z1793" s="22">
        <v>0</v>
      </c>
      <c r="AA1793" s="22" t="s">
        <v>212</v>
      </c>
      <c r="AB1793" s="22" t="s">
        <v>220</v>
      </c>
      <c r="AC1793" s="42">
        <f>IFERROR(LOOKUP(M1793,打分卡!$F$7:$J$7,打分卡!$K$7:$O$7),1)</f>
        <v>1</v>
      </c>
      <c r="AD1793" s="42">
        <f>IFERROR(LOOKUP(S1793,打分卡!$F$8:$J$8,打分卡!$K$8:$O$8),1)</f>
        <v>1</v>
      </c>
      <c r="AE1793" s="42">
        <f>IFERROR(LOOKUP(T1793,打分卡!$F$9:$I$9,打分卡!$K$9:$N$9),1)</f>
        <v>1</v>
      </c>
      <c r="AF1793" s="42">
        <f>IFERROR(LOOKUP(Q1793,打分卡!$F$10:$J$10,打分卡!$K$10:$O$10),1)</f>
        <v>1</v>
      </c>
      <c r="AG1793" s="42">
        <f>IFERROR(LOOKUP(R1793,打分卡!$F$11:$J$11,打分卡!$K$11:$O$11),1)</f>
        <v>1</v>
      </c>
      <c r="AH1793" s="42">
        <f>IFERROR(LOOKUP(U1793,打分卡!$F$12:$J$12,打分卡!$K$12:$O$12),1)</f>
        <v>3</v>
      </c>
      <c r="AI1793" s="42">
        <f>IFERROR(LOOKUP(X1793,打分卡!$F$13:$J$13,打分卡!$K$13:$O$13),1)</f>
        <v>3</v>
      </c>
      <c r="AJ1793" s="42">
        <f>IFERROR(LOOKUP(Y1793,打分卡!$F$14:$J$14,打分卡!$K$14:$O$14),1)</f>
        <v>2</v>
      </c>
      <c r="AK1793" s="42">
        <f>IFERROR(LOOKUP(W1793,打分卡!$F$15:$J$15,打分卡!$K$15:$O$15),1)</f>
        <v>2</v>
      </c>
      <c r="AL1793" s="45">
        <f t="shared" si="217"/>
        <v>1</v>
      </c>
      <c r="AM1793" s="42">
        <f>IFERROR(LOOKUP(Z1793,打分卡!$F$17:$H$17,打分卡!$K$17:$M$17),1)</f>
        <v>1</v>
      </c>
      <c r="AN1793" s="46">
        <f>(打分卡!$D$7*AC1793+打分卡!$D$8*AD1793+打分卡!$D$9*AE1793)/5</f>
        <v>8</v>
      </c>
      <c r="AO1793" s="46">
        <f>(打分卡!$D$10*AF1793+打分卡!$D$11*AG1793)/5</f>
        <v>4</v>
      </c>
      <c r="AP1793" s="46">
        <f>(打分卡!$D$12*AH1793+打分卡!$D$13*AI1793+打分卡!$D$14*AJ1793+打分卡!$D$15*AK1793)/5</f>
        <v>16</v>
      </c>
      <c r="AQ1793" s="46">
        <f>(打分卡!$D$16*AL1793+打分卡!$D$17*AM1793)/5</f>
        <v>2</v>
      </c>
      <c r="AR1793" s="48">
        <f t="shared" si="218"/>
        <v>30</v>
      </c>
      <c r="AS1793" s="45" t="str">
        <f t="shared" si="219"/>
        <v>未激活</v>
      </c>
      <c r="AT1793" s="45" t="str">
        <f t="shared" si="220"/>
        <v>连续下降-预警</v>
      </c>
      <c r="AU1793" s="45" t="str">
        <f t="shared" si="221"/>
        <v>唤醒：短信模板+首充补贴</v>
      </c>
    </row>
    <row r="1794" ht="15" customHeight="1" spans="1:47">
      <c r="A1794" s="30" t="s">
        <v>4550</v>
      </c>
      <c r="B1794" s="31" t="s">
        <v>4551</v>
      </c>
      <c r="C1794" s="31" t="s">
        <v>189</v>
      </c>
      <c r="D1794" s="31" t="s">
        <v>190</v>
      </c>
      <c r="E1794" s="31" t="s">
        <v>181</v>
      </c>
      <c r="F1794" s="30" t="s">
        <v>2681</v>
      </c>
      <c r="G1794" s="31">
        <v>14</v>
      </c>
      <c r="H1794" s="31" t="s">
        <v>3535</v>
      </c>
      <c r="I1794" s="31" t="s">
        <v>302</v>
      </c>
      <c r="J1794" s="33">
        <v>0</v>
      </c>
      <c r="K1794" s="33">
        <v>0</v>
      </c>
      <c r="L1794" s="33">
        <v>0</v>
      </c>
      <c r="M1794" s="33">
        <f t="shared" ref="M1794:M1857" si="224">SUM(J1794:L1794)</f>
        <v>0</v>
      </c>
      <c r="N1794" s="34">
        <f t="shared" si="222"/>
        <v>0</v>
      </c>
      <c r="O1794" s="35">
        <f>SUM($M$2:M1794)</f>
        <v>190743600</v>
      </c>
      <c r="P1794" s="34">
        <f t="shared" si="223"/>
        <v>1</v>
      </c>
      <c r="Q1794" s="37">
        <v>0</v>
      </c>
      <c r="R1794" s="31">
        <v>0</v>
      </c>
      <c r="S1794" s="31">
        <v>0</v>
      </c>
      <c r="T1794" s="31">
        <v>0</v>
      </c>
      <c r="U1794" s="37">
        <v>4.4</v>
      </c>
      <c r="V1794" s="31">
        <v>4</v>
      </c>
      <c r="W1794" s="31">
        <v>0</v>
      </c>
      <c r="X1794" s="38">
        <v>38</v>
      </c>
      <c r="Y1794" s="31">
        <v>0</v>
      </c>
      <c r="Z1794" s="31">
        <v>0</v>
      </c>
      <c r="AA1794" s="31" t="s">
        <v>212</v>
      </c>
      <c r="AB1794" s="31" t="s">
        <v>220</v>
      </c>
      <c r="AC1794" s="41">
        <f>IFERROR(LOOKUP(M1794,打分卡!$F$7:$J$7,打分卡!$K$7:$O$7),1)</f>
        <v>1</v>
      </c>
      <c r="AD1794" s="41">
        <f>IFERROR(LOOKUP(S1794,打分卡!$F$8:$J$8,打分卡!$K$8:$O$8),1)</f>
        <v>1</v>
      </c>
      <c r="AE1794" s="41">
        <f>IFERROR(LOOKUP(T1794,打分卡!$F$9:$I$9,打分卡!$K$9:$N$9),1)</f>
        <v>1</v>
      </c>
      <c r="AF1794" s="41">
        <f>IFERROR(LOOKUP(Q1794,打分卡!$F$10:$J$10,打分卡!$K$10:$O$10),1)</f>
        <v>1</v>
      </c>
      <c r="AG1794" s="41">
        <f>IFERROR(LOOKUP(R1794,打分卡!$F$11:$J$11,打分卡!$K$11:$O$11),1)</f>
        <v>1</v>
      </c>
      <c r="AH1794" s="41">
        <f>IFERROR(LOOKUP(U1794,打分卡!$F$12:$J$12,打分卡!$K$12:$O$12),1)</f>
        <v>2</v>
      </c>
      <c r="AI1794" s="41">
        <f>IFERROR(LOOKUP(X1794,打分卡!$F$13:$J$13,打分卡!$K$13:$O$13),1)</f>
        <v>2</v>
      </c>
      <c r="AJ1794" s="41">
        <f>IFERROR(LOOKUP(Y1794,打分卡!$F$14:$J$14,打分卡!$K$14:$O$14),1)</f>
        <v>1</v>
      </c>
      <c r="AK1794" s="41">
        <f>IFERROR(LOOKUP(W1794,打分卡!$F$15:$J$15,打分卡!$K$15:$O$15),1)</f>
        <v>1</v>
      </c>
      <c r="AL1794" s="43">
        <f t="shared" ref="AL1794:AL1857" si="225">IF(AA1794="连续下降",1,IF(AA1794="下降",2,IF(AA1794="上升",5,3)))</f>
        <v>1</v>
      </c>
      <c r="AM1794" s="41">
        <f>IFERROR(LOOKUP(Z1794,打分卡!$F$17:$H$17,打分卡!$K$17:$M$17),1)</f>
        <v>1</v>
      </c>
      <c r="AN1794" s="44">
        <f>(打分卡!$D$7*AC1794+打分卡!$D$8*AD1794+打分卡!$D$9*AE1794)/5</f>
        <v>8</v>
      </c>
      <c r="AO1794" s="44">
        <f>(打分卡!$D$10*AF1794+打分卡!$D$11*AG1794)/5</f>
        <v>4</v>
      </c>
      <c r="AP1794" s="44">
        <f>(打分卡!$D$12*AH1794+打分卡!$D$13*AI1794+打分卡!$D$14*AJ1794+打分卡!$D$15*AK1794)/5</f>
        <v>10</v>
      </c>
      <c r="AQ1794" s="44">
        <f>(打分卡!$D$16*AL1794+打分卡!$D$17*AM1794)/5</f>
        <v>2</v>
      </c>
      <c r="AR1794" s="47">
        <f t="shared" ref="AR1794:AR1857" si="226">IF(G1794&lt;3,AP1794/30*40+AO1794+AP1794+AQ1794,AN1794+AO1794+AP1794+AQ1794)</f>
        <v>24</v>
      </c>
      <c r="AS1794" s="43" t="str">
        <f t="shared" ref="AS1794:AS1857" si="227">IF(M1794=0,IF(G1794&lt;3,"新客观察期","未激活"),IF(AR1794&gt;=90,"SKA",IF(AR1794&gt;=75,"KA",IF(AR1794&gt;=40,"腰部","基础长尾"))))</f>
        <v>未激活</v>
      </c>
      <c r="AT1794" s="43" t="str">
        <f t="shared" ref="AT1794:AT1857" si="228">IF(AA1794="连续下降","连续下降-预警","")</f>
        <v>连续下降-预警</v>
      </c>
      <c r="AU1794" s="43" t="str">
        <f t="shared" ref="AU1794:AU1857" si="229">IF(AS1794="SKA","守·共创：卡片短信/AI外呼新场景POC",IF(AS1794="KA","扩·深化：AI外呼场景深化+Push/企微补全",IF(AS1794="腰部","拉·主攻：主推AI外呼+大促作战包",IF(AS1794="新客观察期","培育：入门包+1v1场景教育",IF(AS1794="基础长尾","激活：企微+Push低成本先跑","唤醒：短信模板+首充补贴")))))</f>
        <v>唤醒：短信模板+首充补贴</v>
      </c>
    </row>
    <row r="1795" ht="15" customHeight="1" spans="1:47">
      <c r="A1795" s="20" t="s">
        <v>4552</v>
      </c>
      <c r="B1795" s="22" t="s">
        <v>4553</v>
      </c>
      <c r="C1795" s="22" t="s">
        <v>234</v>
      </c>
      <c r="D1795" s="22" t="s">
        <v>202</v>
      </c>
      <c r="E1795" s="22" t="s">
        <v>181</v>
      </c>
      <c r="F1795" s="20" t="s">
        <v>4554</v>
      </c>
      <c r="G1795" s="22">
        <v>14</v>
      </c>
      <c r="H1795" s="22" t="s">
        <v>3535</v>
      </c>
      <c r="I1795" s="22" t="s">
        <v>302</v>
      </c>
      <c r="J1795" s="36">
        <v>0</v>
      </c>
      <c r="K1795" s="36">
        <v>0</v>
      </c>
      <c r="L1795" s="36">
        <v>0</v>
      </c>
      <c r="M1795" s="36">
        <f t="shared" si="224"/>
        <v>0</v>
      </c>
      <c r="N1795" s="34">
        <f t="shared" ref="N1795:N1858" si="230">M1795/$M$2002</f>
        <v>0</v>
      </c>
      <c r="O1795" s="35">
        <f>SUM($M$2:M1795)</f>
        <v>190743600</v>
      </c>
      <c r="P1795" s="34">
        <f t="shared" ref="P1795:P1858" si="231">O1795/$M$2002</f>
        <v>1</v>
      </c>
      <c r="Q1795" s="39">
        <v>0</v>
      </c>
      <c r="R1795" s="22">
        <v>0</v>
      </c>
      <c r="S1795" s="22">
        <v>0</v>
      </c>
      <c r="T1795" s="22">
        <v>0</v>
      </c>
      <c r="U1795" s="39">
        <v>3.9</v>
      </c>
      <c r="V1795" s="22">
        <v>3</v>
      </c>
      <c r="W1795" s="22">
        <v>0</v>
      </c>
      <c r="X1795" s="40">
        <v>35</v>
      </c>
      <c r="Y1795" s="22">
        <v>0</v>
      </c>
      <c r="Z1795" s="22">
        <v>0</v>
      </c>
      <c r="AA1795" s="22" t="s">
        <v>212</v>
      </c>
      <c r="AB1795" s="22" t="s">
        <v>220</v>
      </c>
      <c r="AC1795" s="42">
        <f>IFERROR(LOOKUP(M1795,打分卡!$F$7:$J$7,打分卡!$K$7:$O$7),1)</f>
        <v>1</v>
      </c>
      <c r="AD1795" s="42">
        <f>IFERROR(LOOKUP(S1795,打分卡!$F$8:$J$8,打分卡!$K$8:$O$8),1)</f>
        <v>1</v>
      </c>
      <c r="AE1795" s="42">
        <f>IFERROR(LOOKUP(T1795,打分卡!$F$9:$I$9,打分卡!$K$9:$N$9),1)</f>
        <v>1</v>
      </c>
      <c r="AF1795" s="42">
        <f>IFERROR(LOOKUP(Q1795,打分卡!$F$10:$J$10,打分卡!$K$10:$O$10),1)</f>
        <v>1</v>
      </c>
      <c r="AG1795" s="42">
        <f>IFERROR(LOOKUP(R1795,打分卡!$F$11:$J$11,打分卡!$K$11:$O$11),1)</f>
        <v>1</v>
      </c>
      <c r="AH1795" s="42">
        <f>IFERROR(LOOKUP(U1795,打分卡!$F$12:$J$12,打分卡!$K$12:$O$12),1)</f>
        <v>2</v>
      </c>
      <c r="AI1795" s="42">
        <f>IFERROR(LOOKUP(X1795,打分卡!$F$13:$J$13,打分卡!$K$13:$O$13),1)</f>
        <v>2</v>
      </c>
      <c r="AJ1795" s="42">
        <f>IFERROR(LOOKUP(Y1795,打分卡!$F$14:$J$14,打分卡!$K$14:$O$14),1)</f>
        <v>1</v>
      </c>
      <c r="AK1795" s="42">
        <f>IFERROR(LOOKUP(W1795,打分卡!$F$15:$J$15,打分卡!$K$15:$O$15),1)</f>
        <v>1</v>
      </c>
      <c r="AL1795" s="45">
        <f t="shared" si="225"/>
        <v>1</v>
      </c>
      <c r="AM1795" s="42">
        <f>IFERROR(LOOKUP(Z1795,打分卡!$F$17:$H$17,打分卡!$K$17:$M$17),1)</f>
        <v>1</v>
      </c>
      <c r="AN1795" s="46">
        <f>(打分卡!$D$7*AC1795+打分卡!$D$8*AD1795+打分卡!$D$9*AE1795)/5</f>
        <v>8</v>
      </c>
      <c r="AO1795" s="46">
        <f>(打分卡!$D$10*AF1795+打分卡!$D$11*AG1795)/5</f>
        <v>4</v>
      </c>
      <c r="AP1795" s="46">
        <f>(打分卡!$D$12*AH1795+打分卡!$D$13*AI1795+打分卡!$D$14*AJ1795+打分卡!$D$15*AK1795)/5</f>
        <v>10</v>
      </c>
      <c r="AQ1795" s="46">
        <f>(打分卡!$D$16*AL1795+打分卡!$D$17*AM1795)/5</f>
        <v>2</v>
      </c>
      <c r="AR1795" s="48">
        <f t="shared" si="226"/>
        <v>24</v>
      </c>
      <c r="AS1795" s="45" t="str">
        <f t="shared" si="227"/>
        <v>未激活</v>
      </c>
      <c r="AT1795" s="45" t="str">
        <f t="shared" si="228"/>
        <v>连续下降-预警</v>
      </c>
      <c r="AU1795" s="45" t="str">
        <f t="shared" si="229"/>
        <v>唤醒：短信模板+首充补贴</v>
      </c>
    </row>
    <row r="1796" ht="15" customHeight="1" spans="1:47">
      <c r="A1796" s="30" t="s">
        <v>4555</v>
      </c>
      <c r="B1796" s="31" t="s">
        <v>4556</v>
      </c>
      <c r="C1796" s="31" t="s">
        <v>179</v>
      </c>
      <c r="D1796" s="31" t="s">
        <v>252</v>
      </c>
      <c r="E1796" s="31" t="s">
        <v>181</v>
      </c>
      <c r="F1796" s="30" t="s">
        <v>4557</v>
      </c>
      <c r="G1796" s="31">
        <v>36</v>
      </c>
      <c r="H1796" s="31" t="s">
        <v>3535</v>
      </c>
      <c r="I1796" s="31" t="s">
        <v>302</v>
      </c>
      <c r="J1796" s="33">
        <v>0</v>
      </c>
      <c r="K1796" s="33">
        <v>0</v>
      </c>
      <c r="L1796" s="33">
        <v>0</v>
      </c>
      <c r="M1796" s="33">
        <f t="shared" si="224"/>
        <v>0</v>
      </c>
      <c r="N1796" s="34">
        <f t="shared" si="230"/>
        <v>0</v>
      </c>
      <c r="O1796" s="35">
        <f>SUM($M$2:M1796)</f>
        <v>190743600</v>
      </c>
      <c r="P1796" s="34">
        <f t="shared" si="231"/>
        <v>1</v>
      </c>
      <c r="Q1796" s="37">
        <v>0</v>
      </c>
      <c r="R1796" s="31">
        <v>0</v>
      </c>
      <c r="S1796" s="31">
        <v>0</v>
      </c>
      <c r="T1796" s="31">
        <v>0</v>
      </c>
      <c r="U1796" s="37">
        <v>1.2</v>
      </c>
      <c r="V1796" s="31">
        <v>4</v>
      </c>
      <c r="W1796" s="31">
        <v>1</v>
      </c>
      <c r="X1796" s="38">
        <v>31</v>
      </c>
      <c r="Y1796" s="31">
        <v>0</v>
      </c>
      <c r="Z1796" s="31">
        <v>0</v>
      </c>
      <c r="AA1796" s="31" t="s">
        <v>212</v>
      </c>
      <c r="AB1796" s="31" t="s">
        <v>220</v>
      </c>
      <c r="AC1796" s="41">
        <f>IFERROR(LOOKUP(M1796,打分卡!$F$7:$J$7,打分卡!$K$7:$O$7),1)</f>
        <v>1</v>
      </c>
      <c r="AD1796" s="41">
        <f>IFERROR(LOOKUP(S1796,打分卡!$F$8:$J$8,打分卡!$K$8:$O$8),1)</f>
        <v>1</v>
      </c>
      <c r="AE1796" s="41">
        <f>IFERROR(LOOKUP(T1796,打分卡!$F$9:$I$9,打分卡!$K$9:$N$9),1)</f>
        <v>1</v>
      </c>
      <c r="AF1796" s="41">
        <f>IFERROR(LOOKUP(Q1796,打分卡!$F$10:$J$10,打分卡!$K$10:$O$10),1)</f>
        <v>1</v>
      </c>
      <c r="AG1796" s="41">
        <f>IFERROR(LOOKUP(R1796,打分卡!$F$11:$J$11,打分卡!$K$11:$O$11),1)</f>
        <v>1</v>
      </c>
      <c r="AH1796" s="41">
        <f>IFERROR(LOOKUP(U1796,打分卡!$F$12:$J$12,打分卡!$K$12:$O$12),1)</f>
        <v>1</v>
      </c>
      <c r="AI1796" s="41">
        <f>IFERROR(LOOKUP(X1796,打分卡!$F$13:$J$13,打分卡!$K$13:$O$13),1)</f>
        <v>2</v>
      </c>
      <c r="AJ1796" s="41">
        <f>IFERROR(LOOKUP(Y1796,打分卡!$F$14:$J$14,打分卡!$K$14:$O$14),1)</f>
        <v>1</v>
      </c>
      <c r="AK1796" s="41">
        <f>IFERROR(LOOKUP(W1796,打分卡!$F$15:$J$15,打分卡!$K$15:$O$15),1)</f>
        <v>2</v>
      </c>
      <c r="AL1796" s="43">
        <f t="shared" si="225"/>
        <v>1</v>
      </c>
      <c r="AM1796" s="41">
        <f>IFERROR(LOOKUP(Z1796,打分卡!$F$17:$H$17,打分卡!$K$17:$M$17),1)</f>
        <v>1</v>
      </c>
      <c r="AN1796" s="44">
        <f>(打分卡!$D$7*AC1796+打分卡!$D$8*AD1796+打分卡!$D$9*AE1796)/5</f>
        <v>8</v>
      </c>
      <c r="AO1796" s="44">
        <f>(打分卡!$D$10*AF1796+打分卡!$D$11*AG1796)/5</f>
        <v>4</v>
      </c>
      <c r="AP1796" s="44">
        <f>(打分卡!$D$12*AH1796+打分卡!$D$13*AI1796+打分卡!$D$14*AJ1796+打分卡!$D$15*AK1796)/5</f>
        <v>8.4</v>
      </c>
      <c r="AQ1796" s="44">
        <f>(打分卡!$D$16*AL1796+打分卡!$D$17*AM1796)/5</f>
        <v>2</v>
      </c>
      <c r="AR1796" s="47">
        <f t="shared" si="226"/>
        <v>22.4</v>
      </c>
      <c r="AS1796" s="43" t="str">
        <f t="shared" si="227"/>
        <v>未激活</v>
      </c>
      <c r="AT1796" s="43" t="str">
        <f t="shared" si="228"/>
        <v>连续下降-预警</v>
      </c>
      <c r="AU1796" s="43" t="str">
        <f t="shared" si="229"/>
        <v>唤醒：短信模板+首充补贴</v>
      </c>
    </row>
    <row r="1797" ht="15" customHeight="1" spans="1:47">
      <c r="A1797" s="20" t="s">
        <v>4558</v>
      </c>
      <c r="B1797" s="22" t="s">
        <v>4559</v>
      </c>
      <c r="C1797" s="22" t="s">
        <v>218</v>
      </c>
      <c r="D1797" s="22" t="s">
        <v>227</v>
      </c>
      <c r="E1797" s="22" t="s">
        <v>197</v>
      </c>
      <c r="F1797" s="20" t="s">
        <v>4560</v>
      </c>
      <c r="G1797" s="22">
        <v>35</v>
      </c>
      <c r="H1797" s="22" t="s">
        <v>3535</v>
      </c>
      <c r="I1797" s="22" t="s">
        <v>302</v>
      </c>
      <c r="J1797" s="36">
        <v>0</v>
      </c>
      <c r="K1797" s="36">
        <v>0</v>
      </c>
      <c r="L1797" s="36">
        <v>0</v>
      </c>
      <c r="M1797" s="36">
        <f t="shared" si="224"/>
        <v>0</v>
      </c>
      <c r="N1797" s="34">
        <f t="shared" si="230"/>
        <v>0</v>
      </c>
      <c r="O1797" s="35">
        <f>SUM($M$2:M1797)</f>
        <v>190743600</v>
      </c>
      <c r="P1797" s="34">
        <f t="shared" si="231"/>
        <v>1</v>
      </c>
      <c r="Q1797" s="39">
        <v>0</v>
      </c>
      <c r="R1797" s="22">
        <v>0</v>
      </c>
      <c r="S1797" s="22">
        <v>0</v>
      </c>
      <c r="T1797" s="22">
        <v>0</v>
      </c>
      <c r="U1797" s="39">
        <v>5.9</v>
      </c>
      <c r="V1797" s="22">
        <v>8</v>
      </c>
      <c r="W1797" s="22">
        <v>1</v>
      </c>
      <c r="X1797" s="40">
        <v>35</v>
      </c>
      <c r="Y1797" s="22">
        <v>1</v>
      </c>
      <c r="Z1797" s="22">
        <v>0</v>
      </c>
      <c r="AA1797" s="22" t="s">
        <v>212</v>
      </c>
      <c r="AB1797" s="22" t="s">
        <v>220</v>
      </c>
      <c r="AC1797" s="42">
        <f>IFERROR(LOOKUP(M1797,打分卡!$F$7:$J$7,打分卡!$K$7:$O$7),1)</f>
        <v>1</v>
      </c>
      <c r="AD1797" s="42">
        <f>IFERROR(LOOKUP(S1797,打分卡!$F$8:$J$8,打分卡!$K$8:$O$8),1)</f>
        <v>1</v>
      </c>
      <c r="AE1797" s="42">
        <f>IFERROR(LOOKUP(T1797,打分卡!$F$9:$I$9,打分卡!$K$9:$N$9),1)</f>
        <v>1</v>
      </c>
      <c r="AF1797" s="42">
        <f>IFERROR(LOOKUP(Q1797,打分卡!$F$10:$J$10,打分卡!$K$10:$O$10),1)</f>
        <v>1</v>
      </c>
      <c r="AG1797" s="42">
        <f>IFERROR(LOOKUP(R1797,打分卡!$F$11:$J$11,打分卡!$K$11:$O$11),1)</f>
        <v>1</v>
      </c>
      <c r="AH1797" s="42">
        <f>IFERROR(LOOKUP(U1797,打分卡!$F$12:$J$12,打分卡!$K$12:$O$12),1)</f>
        <v>2</v>
      </c>
      <c r="AI1797" s="42">
        <f>IFERROR(LOOKUP(X1797,打分卡!$F$13:$J$13,打分卡!$K$13:$O$13),1)</f>
        <v>2</v>
      </c>
      <c r="AJ1797" s="42">
        <f>IFERROR(LOOKUP(Y1797,打分卡!$F$14:$J$14,打分卡!$K$14:$O$14),1)</f>
        <v>2</v>
      </c>
      <c r="AK1797" s="42">
        <f>IFERROR(LOOKUP(W1797,打分卡!$F$15:$J$15,打分卡!$K$15:$O$15),1)</f>
        <v>2</v>
      </c>
      <c r="AL1797" s="45">
        <f t="shared" si="225"/>
        <v>1</v>
      </c>
      <c r="AM1797" s="42">
        <f>IFERROR(LOOKUP(Z1797,打分卡!$F$17:$H$17,打分卡!$K$17:$M$17),1)</f>
        <v>1</v>
      </c>
      <c r="AN1797" s="46">
        <f>(打分卡!$D$7*AC1797+打分卡!$D$8*AD1797+打分卡!$D$9*AE1797)/5</f>
        <v>8</v>
      </c>
      <c r="AO1797" s="46">
        <f>(打分卡!$D$10*AF1797+打分卡!$D$11*AG1797)/5</f>
        <v>4</v>
      </c>
      <c r="AP1797" s="46">
        <f>(打分卡!$D$12*AH1797+打分卡!$D$13*AI1797+打分卡!$D$14*AJ1797+打分卡!$D$15*AK1797)/5</f>
        <v>12</v>
      </c>
      <c r="AQ1797" s="46">
        <f>(打分卡!$D$16*AL1797+打分卡!$D$17*AM1797)/5</f>
        <v>2</v>
      </c>
      <c r="AR1797" s="48">
        <f t="shared" si="226"/>
        <v>26</v>
      </c>
      <c r="AS1797" s="45" t="str">
        <f t="shared" si="227"/>
        <v>未激活</v>
      </c>
      <c r="AT1797" s="45" t="str">
        <f t="shared" si="228"/>
        <v>连续下降-预警</v>
      </c>
      <c r="AU1797" s="45" t="str">
        <f t="shared" si="229"/>
        <v>唤醒：短信模板+首充补贴</v>
      </c>
    </row>
    <row r="1798" ht="15" customHeight="1" spans="1:47">
      <c r="A1798" s="30" t="s">
        <v>4561</v>
      </c>
      <c r="B1798" s="31" t="s">
        <v>4562</v>
      </c>
      <c r="C1798" s="31" t="s">
        <v>179</v>
      </c>
      <c r="D1798" s="31" t="s">
        <v>202</v>
      </c>
      <c r="E1798" s="31" t="s">
        <v>181</v>
      </c>
      <c r="F1798" s="30" t="s">
        <v>4563</v>
      </c>
      <c r="G1798" s="31">
        <v>14</v>
      </c>
      <c r="H1798" s="31" t="s">
        <v>3535</v>
      </c>
      <c r="I1798" s="31" t="s">
        <v>302</v>
      </c>
      <c r="J1798" s="33">
        <v>0</v>
      </c>
      <c r="K1798" s="33">
        <v>0</v>
      </c>
      <c r="L1798" s="33">
        <v>0</v>
      </c>
      <c r="M1798" s="33">
        <f t="shared" si="224"/>
        <v>0</v>
      </c>
      <c r="N1798" s="34">
        <f t="shared" si="230"/>
        <v>0</v>
      </c>
      <c r="O1798" s="35">
        <f>SUM($M$2:M1798)</f>
        <v>190743600</v>
      </c>
      <c r="P1798" s="34">
        <f t="shared" si="231"/>
        <v>1</v>
      </c>
      <c r="Q1798" s="37">
        <v>0</v>
      </c>
      <c r="R1798" s="31">
        <v>0</v>
      </c>
      <c r="S1798" s="31">
        <v>0</v>
      </c>
      <c r="T1798" s="31">
        <v>0</v>
      </c>
      <c r="U1798" s="37">
        <v>0.9</v>
      </c>
      <c r="V1798" s="31">
        <v>1</v>
      </c>
      <c r="W1798" s="31">
        <v>1</v>
      </c>
      <c r="X1798" s="38">
        <v>31</v>
      </c>
      <c r="Y1798" s="31">
        <v>1</v>
      </c>
      <c r="Z1798" s="31">
        <v>0</v>
      </c>
      <c r="AA1798" s="31" t="s">
        <v>212</v>
      </c>
      <c r="AB1798" s="31" t="s">
        <v>220</v>
      </c>
      <c r="AC1798" s="41">
        <f>IFERROR(LOOKUP(M1798,打分卡!$F$7:$J$7,打分卡!$K$7:$O$7),1)</f>
        <v>1</v>
      </c>
      <c r="AD1798" s="41">
        <f>IFERROR(LOOKUP(S1798,打分卡!$F$8:$J$8,打分卡!$K$8:$O$8),1)</f>
        <v>1</v>
      </c>
      <c r="AE1798" s="41">
        <f>IFERROR(LOOKUP(T1798,打分卡!$F$9:$I$9,打分卡!$K$9:$N$9),1)</f>
        <v>1</v>
      </c>
      <c r="AF1798" s="41">
        <f>IFERROR(LOOKUP(Q1798,打分卡!$F$10:$J$10,打分卡!$K$10:$O$10),1)</f>
        <v>1</v>
      </c>
      <c r="AG1798" s="41">
        <f>IFERROR(LOOKUP(R1798,打分卡!$F$11:$J$11,打分卡!$K$11:$O$11),1)</f>
        <v>1</v>
      </c>
      <c r="AH1798" s="41">
        <f>IFERROR(LOOKUP(U1798,打分卡!$F$12:$J$12,打分卡!$K$12:$O$12),1)</f>
        <v>1</v>
      </c>
      <c r="AI1798" s="41">
        <f>IFERROR(LOOKUP(X1798,打分卡!$F$13:$J$13,打分卡!$K$13:$O$13),1)</f>
        <v>2</v>
      </c>
      <c r="AJ1798" s="41">
        <f>IFERROR(LOOKUP(Y1798,打分卡!$F$14:$J$14,打分卡!$K$14:$O$14),1)</f>
        <v>2</v>
      </c>
      <c r="AK1798" s="41">
        <f>IFERROR(LOOKUP(W1798,打分卡!$F$15:$J$15,打分卡!$K$15:$O$15),1)</f>
        <v>2</v>
      </c>
      <c r="AL1798" s="43">
        <f t="shared" si="225"/>
        <v>1</v>
      </c>
      <c r="AM1798" s="41">
        <f>IFERROR(LOOKUP(Z1798,打分卡!$F$17:$H$17,打分卡!$K$17:$M$17),1)</f>
        <v>1</v>
      </c>
      <c r="AN1798" s="44">
        <f>(打分卡!$D$7*AC1798+打分卡!$D$8*AD1798+打分卡!$D$9*AE1798)/5</f>
        <v>8</v>
      </c>
      <c r="AO1798" s="44">
        <f>(打分卡!$D$10*AF1798+打分卡!$D$11*AG1798)/5</f>
        <v>4</v>
      </c>
      <c r="AP1798" s="44">
        <f>(打分卡!$D$12*AH1798+打分卡!$D$13*AI1798+打分卡!$D$14*AJ1798+打分卡!$D$15*AK1798)/5</f>
        <v>9.6</v>
      </c>
      <c r="AQ1798" s="44">
        <f>(打分卡!$D$16*AL1798+打分卡!$D$17*AM1798)/5</f>
        <v>2</v>
      </c>
      <c r="AR1798" s="47">
        <f t="shared" si="226"/>
        <v>23.6</v>
      </c>
      <c r="AS1798" s="43" t="str">
        <f t="shared" si="227"/>
        <v>未激活</v>
      </c>
      <c r="AT1798" s="43" t="str">
        <f t="shared" si="228"/>
        <v>连续下降-预警</v>
      </c>
      <c r="AU1798" s="43" t="str">
        <f t="shared" si="229"/>
        <v>唤醒：短信模板+首充补贴</v>
      </c>
    </row>
    <row r="1799" ht="15" customHeight="1" spans="1:47">
      <c r="A1799" s="20" t="s">
        <v>4564</v>
      </c>
      <c r="B1799" s="22" t="s">
        <v>4565</v>
      </c>
      <c r="C1799" s="22" t="s">
        <v>209</v>
      </c>
      <c r="D1799" s="22" t="s">
        <v>202</v>
      </c>
      <c r="E1799" s="22" t="s">
        <v>181</v>
      </c>
      <c r="F1799" s="20" t="s">
        <v>1502</v>
      </c>
      <c r="G1799" s="22">
        <v>12</v>
      </c>
      <c r="H1799" s="22" t="s">
        <v>3535</v>
      </c>
      <c r="I1799" s="22" t="s">
        <v>302</v>
      </c>
      <c r="J1799" s="36">
        <v>0</v>
      </c>
      <c r="K1799" s="36">
        <v>0</v>
      </c>
      <c r="L1799" s="36">
        <v>0</v>
      </c>
      <c r="M1799" s="36">
        <f t="shared" si="224"/>
        <v>0</v>
      </c>
      <c r="N1799" s="34">
        <f t="shared" si="230"/>
        <v>0</v>
      </c>
      <c r="O1799" s="35">
        <f>SUM($M$2:M1799)</f>
        <v>190743600</v>
      </c>
      <c r="P1799" s="34">
        <f t="shared" si="231"/>
        <v>1</v>
      </c>
      <c r="Q1799" s="39">
        <v>0</v>
      </c>
      <c r="R1799" s="22">
        <v>0</v>
      </c>
      <c r="S1799" s="22">
        <v>0</v>
      </c>
      <c r="T1799" s="22">
        <v>0</v>
      </c>
      <c r="U1799" s="39">
        <v>48.7</v>
      </c>
      <c r="V1799" s="22">
        <v>12</v>
      </c>
      <c r="W1799" s="22">
        <v>1</v>
      </c>
      <c r="X1799" s="40">
        <v>69</v>
      </c>
      <c r="Y1799" s="22">
        <v>0</v>
      </c>
      <c r="Z1799" s="22">
        <v>0</v>
      </c>
      <c r="AA1799" s="22" t="s">
        <v>212</v>
      </c>
      <c r="AB1799" s="22" t="s">
        <v>220</v>
      </c>
      <c r="AC1799" s="42">
        <f>IFERROR(LOOKUP(M1799,打分卡!$F$7:$J$7,打分卡!$K$7:$O$7),1)</f>
        <v>1</v>
      </c>
      <c r="AD1799" s="42">
        <f>IFERROR(LOOKUP(S1799,打分卡!$F$8:$J$8,打分卡!$K$8:$O$8),1)</f>
        <v>1</v>
      </c>
      <c r="AE1799" s="42">
        <f>IFERROR(LOOKUP(T1799,打分卡!$F$9:$I$9,打分卡!$K$9:$N$9),1)</f>
        <v>1</v>
      </c>
      <c r="AF1799" s="42">
        <f>IFERROR(LOOKUP(Q1799,打分卡!$F$10:$J$10,打分卡!$K$10:$O$10),1)</f>
        <v>1</v>
      </c>
      <c r="AG1799" s="42">
        <f>IFERROR(LOOKUP(R1799,打分卡!$F$11:$J$11,打分卡!$K$11:$O$11),1)</f>
        <v>1</v>
      </c>
      <c r="AH1799" s="42">
        <f>IFERROR(LOOKUP(U1799,打分卡!$F$12:$J$12,打分卡!$K$12:$O$12),1)</f>
        <v>4</v>
      </c>
      <c r="AI1799" s="42">
        <f>IFERROR(LOOKUP(X1799,打分卡!$F$13:$J$13,打分卡!$K$13:$O$13),1)</f>
        <v>3</v>
      </c>
      <c r="AJ1799" s="42">
        <f>IFERROR(LOOKUP(Y1799,打分卡!$F$14:$J$14,打分卡!$K$14:$O$14),1)</f>
        <v>1</v>
      </c>
      <c r="AK1799" s="42">
        <f>IFERROR(LOOKUP(W1799,打分卡!$F$15:$J$15,打分卡!$K$15:$O$15),1)</f>
        <v>2</v>
      </c>
      <c r="AL1799" s="45">
        <f t="shared" si="225"/>
        <v>1</v>
      </c>
      <c r="AM1799" s="42">
        <f>IFERROR(LOOKUP(Z1799,打分卡!$F$17:$H$17,打分卡!$K$17:$M$17),1)</f>
        <v>1</v>
      </c>
      <c r="AN1799" s="46">
        <f>(打分卡!$D$7*AC1799+打分卡!$D$8*AD1799+打分卡!$D$9*AE1799)/5</f>
        <v>8</v>
      </c>
      <c r="AO1799" s="46">
        <f>(打分卡!$D$10*AF1799+打分卡!$D$11*AG1799)/5</f>
        <v>4</v>
      </c>
      <c r="AP1799" s="46">
        <f>(打分卡!$D$12*AH1799+打分卡!$D$13*AI1799+打分卡!$D$14*AJ1799+打分卡!$D$15*AK1799)/5</f>
        <v>17.2</v>
      </c>
      <c r="AQ1799" s="46">
        <f>(打分卡!$D$16*AL1799+打分卡!$D$17*AM1799)/5</f>
        <v>2</v>
      </c>
      <c r="AR1799" s="48">
        <f t="shared" si="226"/>
        <v>31.2</v>
      </c>
      <c r="AS1799" s="45" t="str">
        <f t="shared" si="227"/>
        <v>未激活</v>
      </c>
      <c r="AT1799" s="45" t="str">
        <f t="shared" si="228"/>
        <v>连续下降-预警</v>
      </c>
      <c r="AU1799" s="45" t="str">
        <f t="shared" si="229"/>
        <v>唤醒：短信模板+首充补贴</v>
      </c>
    </row>
    <row r="1800" ht="15" customHeight="1" spans="1:47">
      <c r="A1800" s="30" t="s">
        <v>4566</v>
      </c>
      <c r="B1800" s="31" t="s">
        <v>4567</v>
      </c>
      <c r="C1800" s="31" t="s">
        <v>189</v>
      </c>
      <c r="D1800" s="31" t="s">
        <v>202</v>
      </c>
      <c r="E1800" s="31" t="s">
        <v>197</v>
      </c>
      <c r="F1800" s="30" t="s">
        <v>4109</v>
      </c>
      <c r="G1800" s="31">
        <v>24</v>
      </c>
      <c r="H1800" s="31" t="s">
        <v>3535</v>
      </c>
      <c r="I1800" s="31" t="s">
        <v>302</v>
      </c>
      <c r="J1800" s="33">
        <v>0</v>
      </c>
      <c r="K1800" s="33">
        <v>0</v>
      </c>
      <c r="L1800" s="33">
        <v>0</v>
      </c>
      <c r="M1800" s="33">
        <f t="shared" si="224"/>
        <v>0</v>
      </c>
      <c r="N1800" s="34">
        <f t="shared" si="230"/>
        <v>0</v>
      </c>
      <c r="O1800" s="35">
        <f>SUM($M$2:M1800)</f>
        <v>190743600</v>
      </c>
      <c r="P1800" s="34">
        <f t="shared" si="231"/>
        <v>1</v>
      </c>
      <c r="Q1800" s="37">
        <v>0</v>
      </c>
      <c r="R1800" s="31">
        <v>0</v>
      </c>
      <c r="S1800" s="31">
        <v>0</v>
      </c>
      <c r="T1800" s="31">
        <v>0</v>
      </c>
      <c r="U1800" s="37">
        <v>34.8</v>
      </c>
      <c r="V1800" s="31">
        <v>10</v>
      </c>
      <c r="W1800" s="31">
        <v>0</v>
      </c>
      <c r="X1800" s="38">
        <v>54</v>
      </c>
      <c r="Y1800" s="31">
        <v>1</v>
      </c>
      <c r="Z1800" s="31">
        <v>0</v>
      </c>
      <c r="AA1800" s="31" t="s">
        <v>212</v>
      </c>
      <c r="AB1800" s="31" t="s">
        <v>220</v>
      </c>
      <c r="AC1800" s="41">
        <f>IFERROR(LOOKUP(M1800,打分卡!$F$7:$J$7,打分卡!$K$7:$O$7),1)</f>
        <v>1</v>
      </c>
      <c r="AD1800" s="41">
        <f>IFERROR(LOOKUP(S1800,打分卡!$F$8:$J$8,打分卡!$K$8:$O$8),1)</f>
        <v>1</v>
      </c>
      <c r="AE1800" s="41">
        <f>IFERROR(LOOKUP(T1800,打分卡!$F$9:$I$9,打分卡!$K$9:$N$9),1)</f>
        <v>1</v>
      </c>
      <c r="AF1800" s="41">
        <f>IFERROR(LOOKUP(Q1800,打分卡!$F$10:$J$10,打分卡!$K$10:$O$10),1)</f>
        <v>1</v>
      </c>
      <c r="AG1800" s="41">
        <f>IFERROR(LOOKUP(R1800,打分卡!$F$11:$J$11,打分卡!$K$11:$O$11),1)</f>
        <v>1</v>
      </c>
      <c r="AH1800" s="41">
        <f>IFERROR(LOOKUP(U1800,打分卡!$F$12:$J$12,打分卡!$K$12:$O$12),1)</f>
        <v>4</v>
      </c>
      <c r="AI1800" s="41">
        <f>IFERROR(LOOKUP(X1800,打分卡!$F$13:$J$13,打分卡!$K$13:$O$13),1)</f>
        <v>3</v>
      </c>
      <c r="AJ1800" s="41">
        <f>IFERROR(LOOKUP(Y1800,打分卡!$F$14:$J$14,打分卡!$K$14:$O$14),1)</f>
        <v>2</v>
      </c>
      <c r="AK1800" s="41">
        <f>IFERROR(LOOKUP(W1800,打分卡!$F$15:$J$15,打分卡!$K$15:$O$15),1)</f>
        <v>1</v>
      </c>
      <c r="AL1800" s="43">
        <f t="shared" si="225"/>
        <v>1</v>
      </c>
      <c r="AM1800" s="41">
        <f>IFERROR(LOOKUP(Z1800,打分卡!$F$17:$H$17,打分卡!$K$17:$M$17),1)</f>
        <v>1</v>
      </c>
      <c r="AN1800" s="44">
        <f>(打分卡!$D$7*AC1800+打分卡!$D$8*AD1800+打分卡!$D$9*AE1800)/5</f>
        <v>8</v>
      </c>
      <c r="AO1800" s="44">
        <f>(打分卡!$D$10*AF1800+打分卡!$D$11*AG1800)/5</f>
        <v>4</v>
      </c>
      <c r="AP1800" s="44">
        <f>(打分卡!$D$12*AH1800+打分卡!$D$13*AI1800+打分卡!$D$14*AJ1800+打分卡!$D$15*AK1800)/5</f>
        <v>17.6</v>
      </c>
      <c r="AQ1800" s="44">
        <f>(打分卡!$D$16*AL1800+打分卡!$D$17*AM1800)/5</f>
        <v>2</v>
      </c>
      <c r="AR1800" s="47">
        <f t="shared" si="226"/>
        <v>31.6</v>
      </c>
      <c r="AS1800" s="43" t="str">
        <f t="shared" si="227"/>
        <v>未激活</v>
      </c>
      <c r="AT1800" s="43" t="str">
        <f t="shared" si="228"/>
        <v>连续下降-预警</v>
      </c>
      <c r="AU1800" s="43" t="str">
        <f t="shared" si="229"/>
        <v>唤醒：短信模板+首充补贴</v>
      </c>
    </row>
    <row r="1801" ht="15" customHeight="1" spans="1:47">
      <c r="A1801" s="20" t="s">
        <v>4568</v>
      </c>
      <c r="B1801" s="22" t="s">
        <v>4569</v>
      </c>
      <c r="C1801" s="22" t="s">
        <v>195</v>
      </c>
      <c r="D1801" s="22" t="s">
        <v>235</v>
      </c>
      <c r="E1801" s="22" t="s">
        <v>181</v>
      </c>
      <c r="F1801" s="20" t="s">
        <v>4570</v>
      </c>
      <c r="G1801" s="22">
        <v>29</v>
      </c>
      <c r="H1801" s="22" t="s">
        <v>3535</v>
      </c>
      <c r="I1801" s="22" t="s">
        <v>302</v>
      </c>
      <c r="J1801" s="36">
        <v>0</v>
      </c>
      <c r="K1801" s="36">
        <v>0</v>
      </c>
      <c r="L1801" s="36">
        <v>0</v>
      </c>
      <c r="M1801" s="36">
        <f t="shared" si="224"/>
        <v>0</v>
      </c>
      <c r="N1801" s="34">
        <f t="shared" si="230"/>
        <v>0</v>
      </c>
      <c r="O1801" s="35">
        <f>SUM($M$2:M1801)</f>
        <v>190743600</v>
      </c>
      <c r="P1801" s="34">
        <f t="shared" si="231"/>
        <v>1</v>
      </c>
      <c r="Q1801" s="39">
        <v>0</v>
      </c>
      <c r="R1801" s="22">
        <v>0</v>
      </c>
      <c r="S1801" s="22">
        <v>0</v>
      </c>
      <c r="T1801" s="22">
        <v>0</v>
      </c>
      <c r="U1801" s="39">
        <v>26.3</v>
      </c>
      <c r="V1801" s="22">
        <v>3</v>
      </c>
      <c r="W1801" s="22">
        <v>2</v>
      </c>
      <c r="X1801" s="40">
        <v>16</v>
      </c>
      <c r="Y1801" s="22">
        <v>1</v>
      </c>
      <c r="Z1801" s="22">
        <v>0</v>
      </c>
      <c r="AA1801" s="22" t="s">
        <v>212</v>
      </c>
      <c r="AB1801" s="22" t="s">
        <v>220</v>
      </c>
      <c r="AC1801" s="42">
        <f>IFERROR(LOOKUP(M1801,打分卡!$F$7:$J$7,打分卡!$K$7:$O$7),1)</f>
        <v>1</v>
      </c>
      <c r="AD1801" s="42">
        <f>IFERROR(LOOKUP(S1801,打分卡!$F$8:$J$8,打分卡!$K$8:$O$8),1)</f>
        <v>1</v>
      </c>
      <c r="AE1801" s="42">
        <f>IFERROR(LOOKUP(T1801,打分卡!$F$9:$I$9,打分卡!$K$9:$N$9),1)</f>
        <v>1</v>
      </c>
      <c r="AF1801" s="42">
        <f>IFERROR(LOOKUP(Q1801,打分卡!$F$10:$J$10,打分卡!$K$10:$O$10),1)</f>
        <v>1</v>
      </c>
      <c r="AG1801" s="42">
        <f>IFERROR(LOOKUP(R1801,打分卡!$F$11:$J$11,打分卡!$K$11:$O$11),1)</f>
        <v>1</v>
      </c>
      <c r="AH1801" s="42">
        <f>IFERROR(LOOKUP(U1801,打分卡!$F$12:$J$12,打分卡!$K$12:$O$12),1)</f>
        <v>3</v>
      </c>
      <c r="AI1801" s="42">
        <f>IFERROR(LOOKUP(X1801,打分卡!$F$13:$J$13,打分卡!$K$13:$O$13),1)</f>
        <v>1</v>
      </c>
      <c r="AJ1801" s="42">
        <f>IFERROR(LOOKUP(Y1801,打分卡!$F$14:$J$14,打分卡!$K$14:$O$14),1)</f>
        <v>2</v>
      </c>
      <c r="AK1801" s="42">
        <f>IFERROR(LOOKUP(W1801,打分卡!$F$15:$J$15,打分卡!$K$15:$O$15),1)</f>
        <v>2</v>
      </c>
      <c r="AL1801" s="45">
        <f t="shared" si="225"/>
        <v>1</v>
      </c>
      <c r="AM1801" s="42">
        <f>IFERROR(LOOKUP(Z1801,打分卡!$F$17:$H$17,打分卡!$K$17:$M$17),1)</f>
        <v>1</v>
      </c>
      <c r="AN1801" s="46">
        <f>(打分卡!$D$7*AC1801+打分卡!$D$8*AD1801+打分卡!$D$9*AE1801)/5</f>
        <v>8</v>
      </c>
      <c r="AO1801" s="46">
        <f>(打分卡!$D$10*AF1801+打分卡!$D$11*AG1801)/5</f>
        <v>4</v>
      </c>
      <c r="AP1801" s="46">
        <f>(打分卡!$D$12*AH1801+打分卡!$D$13*AI1801+打分卡!$D$14*AJ1801+打分卡!$D$15*AK1801)/5</f>
        <v>12.8</v>
      </c>
      <c r="AQ1801" s="46">
        <f>(打分卡!$D$16*AL1801+打分卡!$D$17*AM1801)/5</f>
        <v>2</v>
      </c>
      <c r="AR1801" s="48">
        <f t="shared" si="226"/>
        <v>26.8</v>
      </c>
      <c r="AS1801" s="45" t="str">
        <f t="shared" si="227"/>
        <v>未激活</v>
      </c>
      <c r="AT1801" s="45" t="str">
        <f t="shared" si="228"/>
        <v>连续下降-预警</v>
      </c>
      <c r="AU1801" s="45" t="str">
        <f t="shared" si="229"/>
        <v>唤醒：短信模板+首充补贴</v>
      </c>
    </row>
    <row r="1802" ht="15" customHeight="1" spans="1:47">
      <c r="A1802" s="30" t="s">
        <v>4571</v>
      </c>
      <c r="B1802" s="31" t="s">
        <v>4572</v>
      </c>
      <c r="C1802" s="31" t="s">
        <v>189</v>
      </c>
      <c r="D1802" s="31" t="s">
        <v>252</v>
      </c>
      <c r="E1802" s="31" t="s">
        <v>197</v>
      </c>
      <c r="F1802" s="30" t="s">
        <v>4573</v>
      </c>
      <c r="G1802" s="31">
        <v>36</v>
      </c>
      <c r="H1802" s="31" t="s">
        <v>3535</v>
      </c>
      <c r="I1802" s="31" t="s">
        <v>302</v>
      </c>
      <c r="J1802" s="33">
        <v>0</v>
      </c>
      <c r="K1802" s="33">
        <v>0</v>
      </c>
      <c r="L1802" s="33">
        <v>0</v>
      </c>
      <c r="M1802" s="33">
        <f t="shared" si="224"/>
        <v>0</v>
      </c>
      <c r="N1802" s="34">
        <f t="shared" si="230"/>
        <v>0</v>
      </c>
      <c r="O1802" s="35">
        <f>SUM($M$2:M1802)</f>
        <v>190743600</v>
      </c>
      <c r="P1802" s="34">
        <f t="shared" si="231"/>
        <v>1</v>
      </c>
      <c r="Q1802" s="37">
        <v>0</v>
      </c>
      <c r="R1802" s="31">
        <v>0</v>
      </c>
      <c r="S1802" s="31">
        <v>0</v>
      </c>
      <c r="T1802" s="31">
        <v>0</v>
      </c>
      <c r="U1802" s="37">
        <v>40.7</v>
      </c>
      <c r="V1802" s="31">
        <v>4</v>
      </c>
      <c r="W1802" s="31">
        <v>0</v>
      </c>
      <c r="X1802" s="38">
        <v>60</v>
      </c>
      <c r="Y1802" s="31">
        <v>1</v>
      </c>
      <c r="Z1802" s="31">
        <v>0</v>
      </c>
      <c r="AA1802" s="31" t="s">
        <v>212</v>
      </c>
      <c r="AB1802" s="31" t="s">
        <v>220</v>
      </c>
      <c r="AC1802" s="41">
        <f>IFERROR(LOOKUP(M1802,打分卡!$F$7:$J$7,打分卡!$K$7:$O$7),1)</f>
        <v>1</v>
      </c>
      <c r="AD1802" s="41">
        <f>IFERROR(LOOKUP(S1802,打分卡!$F$8:$J$8,打分卡!$K$8:$O$8),1)</f>
        <v>1</v>
      </c>
      <c r="AE1802" s="41">
        <f>IFERROR(LOOKUP(T1802,打分卡!$F$9:$I$9,打分卡!$K$9:$N$9),1)</f>
        <v>1</v>
      </c>
      <c r="AF1802" s="41">
        <f>IFERROR(LOOKUP(Q1802,打分卡!$F$10:$J$10,打分卡!$K$10:$O$10),1)</f>
        <v>1</v>
      </c>
      <c r="AG1802" s="41">
        <f>IFERROR(LOOKUP(R1802,打分卡!$F$11:$J$11,打分卡!$K$11:$O$11),1)</f>
        <v>1</v>
      </c>
      <c r="AH1802" s="41">
        <f>IFERROR(LOOKUP(U1802,打分卡!$F$12:$J$12,打分卡!$K$12:$O$12),1)</f>
        <v>4</v>
      </c>
      <c r="AI1802" s="41">
        <f>IFERROR(LOOKUP(X1802,打分卡!$F$13:$J$13,打分卡!$K$13:$O$13),1)</f>
        <v>3</v>
      </c>
      <c r="AJ1802" s="41">
        <f>IFERROR(LOOKUP(Y1802,打分卡!$F$14:$J$14,打分卡!$K$14:$O$14),1)</f>
        <v>2</v>
      </c>
      <c r="AK1802" s="41">
        <f>IFERROR(LOOKUP(W1802,打分卡!$F$15:$J$15,打分卡!$K$15:$O$15),1)</f>
        <v>1</v>
      </c>
      <c r="AL1802" s="43">
        <f t="shared" si="225"/>
        <v>1</v>
      </c>
      <c r="AM1802" s="41">
        <f>IFERROR(LOOKUP(Z1802,打分卡!$F$17:$H$17,打分卡!$K$17:$M$17),1)</f>
        <v>1</v>
      </c>
      <c r="AN1802" s="44">
        <f>(打分卡!$D$7*AC1802+打分卡!$D$8*AD1802+打分卡!$D$9*AE1802)/5</f>
        <v>8</v>
      </c>
      <c r="AO1802" s="44">
        <f>(打分卡!$D$10*AF1802+打分卡!$D$11*AG1802)/5</f>
        <v>4</v>
      </c>
      <c r="AP1802" s="44">
        <f>(打分卡!$D$12*AH1802+打分卡!$D$13*AI1802+打分卡!$D$14*AJ1802+打分卡!$D$15*AK1802)/5</f>
        <v>17.6</v>
      </c>
      <c r="AQ1802" s="44">
        <f>(打分卡!$D$16*AL1802+打分卡!$D$17*AM1802)/5</f>
        <v>2</v>
      </c>
      <c r="AR1802" s="47">
        <f t="shared" si="226"/>
        <v>31.6</v>
      </c>
      <c r="AS1802" s="43" t="str">
        <f t="shared" si="227"/>
        <v>未激活</v>
      </c>
      <c r="AT1802" s="43" t="str">
        <f t="shared" si="228"/>
        <v>连续下降-预警</v>
      </c>
      <c r="AU1802" s="43" t="str">
        <f t="shared" si="229"/>
        <v>唤醒：短信模板+首充补贴</v>
      </c>
    </row>
    <row r="1803" ht="15" customHeight="1" spans="1:47">
      <c r="A1803" s="20" t="s">
        <v>4574</v>
      </c>
      <c r="B1803" s="22" t="s">
        <v>4575</v>
      </c>
      <c r="C1803" s="22" t="s">
        <v>189</v>
      </c>
      <c r="D1803" s="22" t="s">
        <v>190</v>
      </c>
      <c r="E1803" s="22" t="s">
        <v>181</v>
      </c>
      <c r="F1803" s="20" t="s">
        <v>4417</v>
      </c>
      <c r="G1803" s="22">
        <v>30</v>
      </c>
      <c r="H1803" s="22" t="s">
        <v>3535</v>
      </c>
      <c r="I1803" s="22" t="s">
        <v>302</v>
      </c>
      <c r="J1803" s="36">
        <v>0</v>
      </c>
      <c r="K1803" s="36">
        <v>0</v>
      </c>
      <c r="L1803" s="36">
        <v>0</v>
      </c>
      <c r="M1803" s="36">
        <f t="shared" si="224"/>
        <v>0</v>
      </c>
      <c r="N1803" s="34">
        <f t="shared" si="230"/>
        <v>0</v>
      </c>
      <c r="O1803" s="35">
        <f>SUM($M$2:M1803)</f>
        <v>190743600</v>
      </c>
      <c r="P1803" s="34">
        <f t="shared" si="231"/>
        <v>1</v>
      </c>
      <c r="Q1803" s="39">
        <v>0</v>
      </c>
      <c r="R1803" s="22">
        <v>0</v>
      </c>
      <c r="S1803" s="22">
        <v>0</v>
      </c>
      <c r="T1803" s="22">
        <v>0</v>
      </c>
      <c r="U1803" s="39">
        <v>6</v>
      </c>
      <c r="V1803" s="22">
        <v>9</v>
      </c>
      <c r="W1803" s="22">
        <v>2</v>
      </c>
      <c r="X1803" s="40">
        <v>20</v>
      </c>
      <c r="Y1803" s="22">
        <v>1</v>
      </c>
      <c r="Z1803" s="22">
        <v>0</v>
      </c>
      <c r="AA1803" s="22" t="s">
        <v>212</v>
      </c>
      <c r="AB1803" s="22" t="s">
        <v>220</v>
      </c>
      <c r="AC1803" s="42">
        <f>IFERROR(LOOKUP(M1803,打分卡!$F$7:$J$7,打分卡!$K$7:$O$7),1)</f>
        <v>1</v>
      </c>
      <c r="AD1803" s="42">
        <f>IFERROR(LOOKUP(S1803,打分卡!$F$8:$J$8,打分卡!$K$8:$O$8),1)</f>
        <v>1</v>
      </c>
      <c r="AE1803" s="42">
        <f>IFERROR(LOOKUP(T1803,打分卡!$F$9:$I$9,打分卡!$K$9:$N$9),1)</f>
        <v>1</v>
      </c>
      <c r="AF1803" s="42">
        <f>IFERROR(LOOKUP(Q1803,打分卡!$F$10:$J$10,打分卡!$K$10:$O$10),1)</f>
        <v>1</v>
      </c>
      <c r="AG1803" s="42">
        <f>IFERROR(LOOKUP(R1803,打分卡!$F$11:$J$11,打分卡!$K$11:$O$11),1)</f>
        <v>1</v>
      </c>
      <c r="AH1803" s="42">
        <f>IFERROR(LOOKUP(U1803,打分卡!$F$12:$J$12,打分卡!$K$12:$O$12),1)</f>
        <v>2</v>
      </c>
      <c r="AI1803" s="42">
        <f>IFERROR(LOOKUP(X1803,打分卡!$F$13:$J$13,打分卡!$K$13:$O$13),1)</f>
        <v>2</v>
      </c>
      <c r="AJ1803" s="42">
        <f>IFERROR(LOOKUP(Y1803,打分卡!$F$14:$J$14,打分卡!$K$14:$O$14),1)</f>
        <v>2</v>
      </c>
      <c r="AK1803" s="42">
        <f>IFERROR(LOOKUP(W1803,打分卡!$F$15:$J$15,打分卡!$K$15:$O$15),1)</f>
        <v>2</v>
      </c>
      <c r="AL1803" s="45">
        <f t="shared" si="225"/>
        <v>1</v>
      </c>
      <c r="AM1803" s="42">
        <f>IFERROR(LOOKUP(Z1803,打分卡!$F$17:$H$17,打分卡!$K$17:$M$17),1)</f>
        <v>1</v>
      </c>
      <c r="AN1803" s="46">
        <f>(打分卡!$D$7*AC1803+打分卡!$D$8*AD1803+打分卡!$D$9*AE1803)/5</f>
        <v>8</v>
      </c>
      <c r="AO1803" s="46">
        <f>(打分卡!$D$10*AF1803+打分卡!$D$11*AG1803)/5</f>
        <v>4</v>
      </c>
      <c r="AP1803" s="46">
        <f>(打分卡!$D$12*AH1803+打分卡!$D$13*AI1803+打分卡!$D$14*AJ1803+打分卡!$D$15*AK1803)/5</f>
        <v>12</v>
      </c>
      <c r="AQ1803" s="46">
        <f>(打分卡!$D$16*AL1803+打分卡!$D$17*AM1803)/5</f>
        <v>2</v>
      </c>
      <c r="AR1803" s="48">
        <f t="shared" si="226"/>
        <v>26</v>
      </c>
      <c r="AS1803" s="45" t="str">
        <f t="shared" si="227"/>
        <v>未激活</v>
      </c>
      <c r="AT1803" s="45" t="str">
        <f t="shared" si="228"/>
        <v>连续下降-预警</v>
      </c>
      <c r="AU1803" s="45" t="str">
        <f t="shared" si="229"/>
        <v>唤醒：短信模板+首充补贴</v>
      </c>
    </row>
    <row r="1804" ht="15" customHeight="1" spans="1:47">
      <c r="A1804" s="30" t="s">
        <v>4576</v>
      </c>
      <c r="B1804" s="31" t="s">
        <v>4577</v>
      </c>
      <c r="C1804" s="31" t="s">
        <v>209</v>
      </c>
      <c r="D1804" s="31" t="s">
        <v>227</v>
      </c>
      <c r="E1804" s="31" t="s">
        <v>181</v>
      </c>
      <c r="F1804" s="30" t="s">
        <v>1138</v>
      </c>
      <c r="G1804" s="31">
        <v>15</v>
      </c>
      <c r="H1804" s="31" t="s">
        <v>3535</v>
      </c>
      <c r="I1804" s="31" t="s">
        <v>302</v>
      </c>
      <c r="J1804" s="33">
        <v>0</v>
      </c>
      <c r="K1804" s="33">
        <v>0</v>
      </c>
      <c r="L1804" s="33">
        <v>0</v>
      </c>
      <c r="M1804" s="33">
        <f t="shared" si="224"/>
        <v>0</v>
      </c>
      <c r="N1804" s="34">
        <f t="shared" si="230"/>
        <v>0</v>
      </c>
      <c r="O1804" s="35">
        <f>SUM($M$2:M1804)</f>
        <v>190743600</v>
      </c>
      <c r="P1804" s="34">
        <f t="shared" si="231"/>
        <v>1</v>
      </c>
      <c r="Q1804" s="37">
        <v>0</v>
      </c>
      <c r="R1804" s="31">
        <v>0</v>
      </c>
      <c r="S1804" s="31">
        <v>0</v>
      </c>
      <c r="T1804" s="31">
        <v>0</v>
      </c>
      <c r="U1804" s="37">
        <v>3</v>
      </c>
      <c r="V1804" s="31">
        <v>7</v>
      </c>
      <c r="W1804" s="31">
        <v>1</v>
      </c>
      <c r="X1804" s="38">
        <v>7</v>
      </c>
      <c r="Y1804" s="31">
        <v>0</v>
      </c>
      <c r="Z1804" s="31">
        <v>0</v>
      </c>
      <c r="AA1804" s="31" t="s">
        <v>212</v>
      </c>
      <c r="AB1804" s="31" t="s">
        <v>220</v>
      </c>
      <c r="AC1804" s="41">
        <f>IFERROR(LOOKUP(M1804,打分卡!$F$7:$J$7,打分卡!$K$7:$O$7),1)</f>
        <v>1</v>
      </c>
      <c r="AD1804" s="41">
        <f>IFERROR(LOOKUP(S1804,打分卡!$F$8:$J$8,打分卡!$K$8:$O$8),1)</f>
        <v>1</v>
      </c>
      <c r="AE1804" s="41">
        <f>IFERROR(LOOKUP(T1804,打分卡!$F$9:$I$9,打分卡!$K$9:$N$9),1)</f>
        <v>1</v>
      </c>
      <c r="AF1804" s="41">
        <f>IFERROR(LOOKUP(Q1804,打分卡!$F$10:$J$10,打分卡!$K$10:$O$10),1)</f>
        <v>1</v>
      </c>
      <c r="AG1804" s="41">
        <f>IFERROR(LOOKUP(R1804,打分卡!$F$11:$J$11,打分卡!$K$11:$O$11),1)</f>
        <v>1</v>
      </c>
      <c r="AH1804" s="41">
        <f>IFERROR(LOOKUP(U1804,打分卡!$F$12:$J$12,打分卡!$K$12:$O$12),1)</f>
        <v>2</v>
      </c>
      <c r="AI1804" s="41">
        <f>IFERROR(LOOKUP(X1804,打分卡!$F$13:$J$13,打分卡!$K$13:$O$13),1)</f>
        <v>1</v>
      </c>
      <c r="AJ1804" s="41">
        <f>IFERROR(LOOKUP(Y1804,打分卡!$F$14:$J$14,打分卡!$K$14:$O$14),1)</f>
        <v>1</v>
      </c>
      <c r="AK1804" s="41">
        <f>IFERROR(LOOKUP(W1804,打分卡!$F$15:$J$15,打分卡!$K$15:$O$15),1)</f>
        <v>2</v>
      </c>
      <c r="AL1804" s="43">
        <f t="shared" si="225"/>
        <v>1</v>
      </c>
      <c r="AM1804" s="41">
        <f>IFERROR(LOOKUP(Z1804,打分卡!$F$17:$H$17,打分卡!$K$17:$M$17),1)</f>
        <v>1</v>
      </c>
      <c r="AN1804" s="44">
        <f>(打分卡!$D$7*AC1804+打分卡!$D$8*AD1804+打分卡!$D$9*AE1804)/5</f>
        <v>8</v>
      </c>
      <c r="AO1804" s="44">
        <f>(打分卡!$D$10*AF1804+打分卡!$D$11*AG1804)/5</f>
        <v>4</v>
      </c>
      <c r="AP1804" s="44">
        <f>(打分卡!$D$12*AH1804+打分卡!$D$13*AI1804+打分卡!$D$14*AJ1804+打分卡!$D$15*AK1804)/5</f>
        <v>9.2</v>
      </c>
      <c r="AQ1804" s="44">
        <f>(打分卡!$D$16*AL1804+打分卡!$D$17*AM1804)/5</f>
        <v>2</v>
      </c>
      <c r="AR1804" s="47">
        <f t="shared" si="226"/>
        <v>23.2</v>
      </c>
      <c r="AS1804" s="43" t="str">
        <f t="shared" si="227"/>
        <v>未激活</v>
      </c>
      <c r="AT1804" s="43" t="str">
        <f t="shared" si="228"/>
        <v>连续下降-预警</v>
      </c>
      <c r="AU1804" s="43" t="str">
        <f t="shared" si="229"/>
        <v>唤醒：短信模板+首充补贴</v>
      </c>
    </row>
    <row r="1805" ht="15" customHeight="1" spans="1:47">
      <c r="A1805" s="20" t="s">
        <v>4578</v>
      </c>
      <c r="B1805" s="22" t="s">
        <v>4579</v>
      </c>
      <c r="C1805" s="22" t="s">
        <v>179</v>
      </c>
      <c r="D1805" s="22" t="s">
        <v>196</v>
      </c>
      <c r="E1805" s="22" t="s">
        <v>181</v>
      </c>
      <c r="F1805" s="20" t="s">
        <v>4580</v>
      </c>
      <c r="G1805" s="22">
        <v>13</v>
      </c>
      <c r="H1805" s="22" t="s">
        <v>3535</v>
      </c>
      <c r="I1805" s="22" t="s">
        <v>302</v>
      </c>
      <c r="J1805" s="36">
        <v>0</v>
      </c>
      <c r="K1805" s="36">
        <v>0</v>
      </c>
      <c r="L1805" s="36">
        <v>0</v>
      </c>
      <c r="M1805" s="36">
        <f t="shared" si="224"/>
        <v>0</v>
      </c>
      <c r="N1805" s="34">
        <f t="shared" si="230"/>
        <v>0</v>
      </c>
      <c r="O1805" s="35">
        <f>SUM($M$2:M1805)</f>
        <v>190743600</v>
      </c>
      <c r="P1805" s="34">
        <f t="shared" si="231"/>
        <v>1</v>
      </c>
      <c r="Q1805" s="39">
        <v>0</v>
      </c>
      <c r="R1805" s="22">
        <v>0</v>
      </c>
      <c r="S1805" s="22">
        <v>0</v>
      </c>
      <c r="T1805" s="22">
        <v>0</v>
      </c>
      <c r="U1805" s="39">
        <v>3</v>
      </c>
      <c r="V1805" s="22">
        <v>10</v>
      </c>
      <c r="W1805" s="22">
        <v>0</v>
      </c>
      <c r="X1805" s="40">
        <v>55</v>
      </c>
      <c r="Y1805" s="22">
        <v>0</v>
      </c>
      <c r="Z1805" s="22">
        <v>0</v>
      </c>
      <c r="AA1805" s="22" t="s">
        <v>212</v>
      </c>
      <c r="AB1805" s="22" t="s">
        <v>220</v>
      </c>
      <c r="AC1805" s="42">
        <f>IFERROR(LOOKUP(M1805,打分卡!$F$7:$J$7,打分卡!$K$7:$O$7),1)</f>
        <v>1</v>
      </c>
      <c r="AD1805" s="42">
        <f>IFERROR(LOOKUP(S1805,打分卡!$F$8:$J$8,打分卡!$K$8:$O$8),1)</f>
        <v>1</v>
      </c>
      <c r="AE1805" s="42">
        <f>IFERROR(LOOKUP(T1805,打分卡!$F$9:$I$9,打分卡!$K$9:$N$9),1)</f>
        <v>1</v>
      </c>
      <c r="AF1805" s="42">
        <f>IFERROR(LOOKUP(Q1805,打分卡!$F$10:$J$10,打分卡!$K$10:$O$10),1)</f>
        <v>1</v>
      </c>
      <c r="AG1805" s="42">
        <f>IFERROR(LOOKUP(R1805,打分卡!$F$11:$J$11,打分卡!$K$11:$O$11),1)</f>
        <v>1</v>
      </c>
      <c r="AH1805" s="42">
        <f>IFERROR(LOOKUP(U1805,打分卡!$F$12:$J$12,打分卡!$K$12:$O$12),1)</f>
        <v>2</v>
      </c>
      <c r="AI1805" s="42">
        <f>IFERROR(LOOKUP(X1805,打分卡!$F$13:$J$13,打分卡!$K$13:$O$13),1)</f>
        <v>3</v>
      </c>
      <c r="AJ1805" s="42">
        <f>IFERROR(LOOKUP(Y1805,打分卡!$F$14:$J$14,打分卡!$K$14:$O$14),1)</f>
        <v>1</v>
      </c>
      <c r="AK1805" s="42">
        <f>IFERROR(LOOKUP(W1805,打分卡!$F$15:$J$15,打分卡!$K$15:$O$15),1)</f>
        <v>1</v>
      </c>
      <c r="AL1805" s="45">
        <f t="shared" si="225"/>
        <v>1</v>
      </c>
      <c r="AM1805" s="42">
        <f>IFERROR(LOOKUP(Z1805,打分卡!$F$17:$H$17,打分卡!$K$17:$M$17),1)</f>
        <v>1</v>
      </c>
      <c r="AN1805" s="46">
        <f>(打分卡!$D$7*AC1805+打分卡!$D$8*AD1805+打分卡!$D$9*AE1805)/5</f>
        <v>8</v>
      </c>
      <c r="AO1805" s="46">
        <f>(打分卡!$D$10*AF1805+打分卡!$D$11*AG1805)/5</f>
        <v>4</v>
      </c>
      <c r="AP1805" s="46">
        <f>(打分卡!$D$12*AH1805+打分卡!$D$13*AI1805+打分卡!$D$14*AJ1805+打分卡!$D$15*AK1805)/5</f>
        <v>11.6</v>
      </c>
      <c r="AQ1805" s="46">
        <f>(打分卡!$D$16*AL1805+打分卡!$D$17*AM1805)/5</f>
        <v>2</v>
      </c>
      <c r="AR1805" s="48">
        <f t="shared" si="226"/>
        <v>25.6</v>
      </c>
      <c r="AS1805" s="45" t="str">
        <f t="shared" si="227"/>
        <v>未激活</v>
      </c>
      <c r="AT1805" s="45" t="str">
        <f t="shared" si="228"/>
        <v>连续下降-预警</v>
      </c>
      <c r="AU1805" s="45" t="str">
        <f t="shared" si="229"/>
        <v>唤醒：短信模板+首充补贴</v>
      </c>
    </row>
    <row r="1806" ht="15" customHeight="1" spans="1:47">
      <c r="A1806" s="30" t="s">
        <v>4581</v>
      </c>
      <c r="B1806" s="31" t="s">
        <v>4582</v>
      </c>
      <c r="C1806" s="31" t="s">
        <v>179</v>
      </c>
      <c r="D1806" s="31" t="s">
        <v>235</v>
      </c>
      <c r="E1806" s="31" t="s">
        <v>197</v>
      </c>
      <c r="F1806" s="30" t="s">
        <v>681</v>
      </c>
      <c r="G1806" s="31">
        <v>19</v>
      </c>
      <c r="H1806" s="31" t="s">
        <v>3535</v>
      </c>
      <c r="I1806" s="31" t="s">
        <v>302</v>
      </c>
      <c r="J1806" s="33">
        <v>0</v>
      </c>
      <c r="K1806" s="33">
        <v>0</v>
      </c>
      <c r="L1806" s="33">
        <v>0</v>
      </c>
      <c r="M1806" s="33">
        <f t="shared" si="224"/>
        <v>0</v>
      </c>
      <c r="N1806" s="34">
        <f t="shared" si="230"/>
        <v>0</v>
      </c>
      <c r="O1806" s="35">
        <f>SUM($M$2:M1806)</f>
        <v>190743600</v>
      </c>
      <c r="P1806" s="34">
        <f t="shared" si="231"/>
        <v>1</v>
      </c>
      <c r="Q1806" s="37">
        <v>0</v>
      </c>
      <c r="R1806" s="31">
        <v>0</v>
      </c>
      <c r="S1806" s="31">
        <v>0</v>
      </c>
      <c r="T1806" s="31">
        <v>0</v>
      </c>
      <c r="U1806" s="37">
        <v>4.6</v>
      </c>
      <c r="V1806" s="31">
        <v>6</v>
      </c>
      <c r="W1806" s="31">
        <v>2</v>
      </c>
      <c r="X1806" s="38">
        <v>49</v>
      </c>
      <c r="Y1806" s="31">
        <v>1</v>
      </c>
      <c r="Z1806" s="31">
        <v>0</v>
      </c>
      <c r="AA1806" s="31" t="s">
        <v>212</v>
      </c>
      <c r="AB1806" s="31" t="s">
        <v>220</v>
      </c>
      <c r="AC1806" s="41">
        <f>IFERROR(LOOKUP(M1806,打分卡!$F$7:$J$7,打分卡!$K$7:$O$7),1)</f>
        <v>1</v>
      </c>
      <c r="AD1806" s="41">
        <f>IFERROR(LOOKUP(S1806,打分卡!$F$8:$J$8,打分卡!$K$8:$O$8),1)</f>
        <v>1</v>
      </c>
      <c r="AE1806" s="41">
        <f>IFERROR(LOOKUP(T1806,打分卡!$F$9:$I$9,打分卡!$K$9:$N$9),1)</f>
        <v>1</v>
      </c>
      <c r="AF1806" s="41">
        <f>IFERROR(LOOKUP(Q1806,打分卡!$F$10:$J$10,打分卡!$K$10:$O$10),1)</f>
        <v>1</v>
      </c>
      <c r="AG1806" s="41">
        <f>IFERROR(LOOKUP(R1806,打分卡!$F$11:$J$11,打分卡!$K$11:$O$11),1)</f>
        <v>1</v>
      </c>
      <c r="AH1806" s="41">
        <f>IFERROR(LOOKUP(U1806,打分卡!$F$12:$J$12,打分卡!$K$12:$O$12),1)</f>
        <v>2</v>
      </c>
      <c r="AI1806" s="41">
        <f>IFERROR(LOOKUP(X1806,打分卡!$F$13:$J$13,打分卡!$K$13:$O$13),1)</f>
        <v>3</v>
      </c>
      <c r="AJ1806" s="41">
        <f>IFERROR(LOOKUP(Y1806,打分卡!$F$14:$J$14,打分卡!$K$14:$O$14),1)</f>
        <v>2</v>
      </c>
      <c r="AK1806" s="41">
        <f>IFERROR(LOOKUP(W1806,打分卡!$F$15:$J$15,打分卡!$K$15:$O$15),1)</f>
        <v>2</v>
      </c>
      <c r="AL1806" s="43">
        <f t="shared" si="225"/>
        <v>1</v>
      </c>
      <c r="AM1806" s="41">
        <f>IFERROR(LOOKUP(Z1806,打分卡!$F$17:$H$17,打分卡!$K$17:$M$17),1)</f>
        <v>1</v>
      </c>
      <c r="AN1806" s="44">
        <f>(打分卡!$D$7*AC1806+打分卡!$D$8*AD1806+打分卡!$D$9*AE1806)/5</f>
        <v>8</v>
      </c>
      <c r="AO1806" s="44">
        <f>(打分卡!$D$10*AF1806+打分卡!$D$11*AG1806)/5</f>
        <v>4</v>
      </c>
      <c r="AP1806" s="44">
        <f>(打分卡!$D$12*AH1806+打分卡!$D$13*AI1806+打分卡!$D$14*AJ1806+打分卡!$D$15*AK1806)/5</f>
        <v>13.6</v>
      </c>
      <c r="AQ1806" s="44">
        <f>(打分卡!$D$16*AL1806+打分卡!$D$17*AM1806)/5</f>
        <v>2</v>
      </c>
      <c r="AR1806" s="47">
        <f t="shared" si="226"/>
        <v>27.6</v>
      </c>
      <c r="AS1806" s="43" t="str">
        <f t="shared" si="227"/>
        <v>未激活</v>
      </c>
      <c r="AT1806" s="43" t="str">
        <f t="shared" si="228"/>
        <v>连续下降-预警</v>
      </c>
      <c r="AU1806" s="43" t="str">
        <f t="shared" si="229"/>
        <v>唤醒：短信模板+首充补贴</v>
      </c>
    </row>
    <row r="1807" ht="15" customHeight="1" spans="1:47">
      <c r="A1807" s="20" t="s">
        <v>4583</v>
      </c>
      <c r="B1807" s="22" t="s">
        <v>4584</v>
      </c>
      <c r="C1807" s="22" t="s">
        <v>239</v>
      </c>
      <c r="D1807" s="22" t="s">
        <v>235</v>
      </c>
      <c r="E1807" s="22" t="s">
        <v>181</v>
      </c>
      <c r="F1807" s="20" t="s">
        <v>3942</v>
      </c>
      <c r="G1807" s="22">
        <v>13</v>
      </c>
      <c r="H1807" s="22" t="s">
        <v>3535</v>
      </c>
      <c r="I1807" s="22" t="s">
        <v>302</v>
      </c>
      <c r="J1807" s="36">
        <v>0</v>
      </c>
      <c r="K1807" s="36">
        <v>0</v>
      </c>
      <c r="L1807" s="36">
        <v>0</v>
      </c>
      <c r="M1807" s="36">
        <f t="shared" si="224"/>
        <v>0</v>
      </c>
      <c r="N1807" s="34">
        <f t="shared" si="230"/>
        <v>0</v>
      </c>
      <c r="O1807" s="35">
        <f>SUM($M$2:M1807)</f>
        <v>190743600</v>
      </c>
      <c r="P1807" s="34">
        <f t="shared" si="231"/>
        <v>1</v>
      </c>
      <c r="Q1807" s="39">
        <v>0</v>
      </c>
      <c r="R1807" s="22">
        <v>0</v>
      </c>
      <c r="S1807" s="22">
        <v>0</v>
      </c>
      <c r="T1807" s="22">
        <v>0</v>
      </c>
      <c r="U1807" s="39">
        <v>39.8</v>
      </c>
      <c r="V1807" s="22">
        <v>14</v>
      </c>
      <c r="W1807" s="22">
        <v>0</v>
      </c>
      <c r="X1807" s="40">
        <v>17</v>
      </c>
      <c r="Y1807" s="22">
        <v>0</v>
      </c>
      <c r="Z1807" s="22">
        <v>0</v>
      </c>
      <c r="AA1807" s="22" t="s">
        <v>212</v>
      </c>
      <c r="AB1807" s="22" t="s">
        <v>220</v>
      </c>
      <c r="AC1807" s="42">
        <f>IFERROR(LOOKUP(M1807,打分卡!$F$7:$J$7,打分卡!$K$7:$O$7),1)</f>
        <v>1</v>
      </c>
      <c r="AD1807" s="42">
        <f>IFERROR(LOOKUP(S1807,打分卡!$F$8:$J$8,打分卡!$K$8:$O$8),1)</f>
        <v>1</v>
      </c>
      <c r="AE1807" s="42">
        <f>IFERROR(LOOKUP(T1807,打分卡!$F$9:$I$9,打分卡!$K$9:$N$9),1)</f>
        <v>1</v>
      </c>
      <c r="AF1807" s="42">
        <f>IFERROR(LOOKUP(Q1807,打分卡!$F$10:$J$10,打分卡!$K$10:$O$10),1)</f>
        <v>1</v>
      </c>
      <c r="AG1807" s="42">
        <f>IFERROR(LOOKUP(R1807,打分卡!$F$11:$J$11,打分卡!$K$11:$O$11),1)</f>
        <v>1</v>
      </c>
      <c r="AH1807" s="42">
        <f>IFERROR(LOOKUP(U1807,打分卡!$F$12:$J$12,打分卡!$K$12:$O$12),1)</f>
        <v>4</v>
      </c>
      <c r="AI1807" s="42">
        <f>IFERROR(LOOKUP(X1807,打分卡!$F$13:$J$13,打分卡!$K$13:$O$13),1)</f>
        <v>1</v>
      </c>
      <c r="AJ1807" s="42">
        <f>IFERROR(LOOKUP(Y1807,打分卡!$F$14:$J$14,打分卡!$K$14:$O$14),1)</f>
        <v>1</v>
      </c>
      <c r="AK1807" s="42">
        <f>IFERROR(LOOKUP(W1807,打分卡!$F$15:$J$15,打分卡!$K$15:$O$15),1)</f>
        <v>1</v>
      </c>
      <c r="AL1807" s="45">
        <f t="shared" si="225"/>
        <v>1</v>
      </c>
      <c r="AM1807" s="42">
        <f>IFERROR(LOOKUP(Z1807,打分卡!$F$17:$H$17,打分卡!$K$17:$M$17),1)</f>
        <v>1</v>
      </c>
      <c r="AN1807" s="46">
        <f>(打分卡!$D$7*AC1807+打分卡!$D$8*AD1807+打分卡!$D$9*AE1807)/5</f>
        <v>8</v>
      </c>
      <c r="AO1807" s="46">
        <f>(打分卡!$D$10*AF1807+打分卡!$D$11*AG1807)/5</f>
        <v>4</v>
      </c>
      <c r="AP1807" s="46">
        <f>(打分卡!$D$12*AH1807+打分卡!$D$13*AI1807+打分卡!$D$14*AJ1807+打分卡!$D$15*AK1807)/5</f>
        <v>13.2</v>
      </c>
      <c r="AQ1807" s="46">
        <f>(打分卡!$D$16*AL1807+打分卡!$D$17*AM1807)/5</f>
        <v>2</v>
      </c>
      <c r="AR1807" s="48">
        <f t="shared" si="226"/>
        <v>27.2</v>
      </c>
      <c r="AS1807" s="45" t="str">
        <f t="shared" si="227"/>
        <v>未激活</v>
      </c>
      <c r="AT1807" s="45" t="str">
        <f t="shared" si="228"/>
        <v>连续下降-预警</v>
      </c>
      <c r="AU1807" s="45" t="str">
        <f t="shared" si="229"/>
        <v>唤醒：短信模板+首充补贴</v>
      </c>
    </row>
    <row r="1808" ht="15" customHeight="1" spans="1:47">
      <c r="A1808" s="30" t="s">
        <v>4585</v>
      </c>
      <c r="B1808" s="31" t="s">
        <v>4586</v>
      </c>
      <c r="C1808" s="31" t="s">
        <v>218</v>
      </c>
      <c r="D1808" s="31" t="s">
        <v>202</v>
      </c>
      <c r="E1808" s="31" t="s">
        <v>181</v>
      </c>
      <c r="F1808" s="30" t="s">
        <v>834</v>
      </c>
      <c r="G1808" s="31">
        <v>24</v>
      </c>
      <c r="H1808" s="31" t="s">
        <v>3535</v>
      </c>
      <c r="I1808" s="31" t="s">
        <v>302</v>
      </c>
      <c r="J1808" s="33">
        <v>0</v>
      </c>
      <c r="K1808" s="33">
        <v>0</v>
      </c>
      <c r="L1808" s="33">
        <v>0</v>
      </c>
      <c r="M1808" s="33">
        <f t="shared" si="224"/>
        <v>0</v>
      </c>
      <c r="N1808" s="34">
        <f t="shared" si="230"/>
        <v>0</v>
      </c>
      <c r="O1808" s="35">
        <f>SUM($M$2:M1808)</f>
        <v>190743600</v>
      </c>
      <c r="P1808" s="34">
        <f t="shared" si="231"/>
        <v>1</v>
      </c>
      <c r="Q1808" s="37">
        <v>0</v>
      </c>
      <c r="R1808" s="31">
        <v>0</v>
      </c>
      <c r="S1808" s="31">
        <v>0</v>
      </c>
      <c r="T1808" s="31">
        <v>0</v>
      </c>
      <c r="U1808" s="37">
        <v>4.9</v>
      </c>
      <c r="V1808" s="31">
        <v>2</v>
      </c>
      <c r="W1808" s="31">
        <v>0</v>
      </c>
      <c r="X1808" s="38">
        <v>16</v>
      </c>
      <c r="Y1808" s="31">
        <v>0</v>
      </c>
      <c r="Z1808" s="31">
        <v>0</v>
      </c>
      <c r="AA1808" s="31" t="s">
        <v>212</v>
      </c>
      <c r="AB1808" s="31" t="s">
        <v>220</v>
      </c>
      <c r="AC1808" s="41">
        <f>IFERROR(LOOKUP(M1808,打分卡!$F$7:$J$7,打分卡!$K$7:$O$7),1)</f>
        <v>1</v>
      </c>
      <c r="AD1808" s="41">
        <f>IFERROR(LOOKUP(S1808,打分卡!$F$8:$J$8,打分卡!$K$8:$O$8),1)</f>
        <v>1</v>
      </c>
      <c r="AE1808" s="41">
        <f>IFERROR(LOOKUP(T1808,打分卡!$F$9:$I$9,打分卡!$K$9:$N$9),1)</f>
        <v>1</v>
      </c>
      <c r="AF1808" s="41">
        <f>IFERROR(LOOKUP(Q1808,打分卡!$F$10:$J$10,打分卡!$K$10:$O$10),1)</f>
        <v>1</v>
      </c>
      <c r="AG1808" s="41">
        <f>IFERROR(LOOKUP(R1808,打分卡!$F$11:$J$11,打分卡!$K$11:$O$11),1)</f>
        <v>1</v>
      </c>
      <c r="AH1808" s="41">
        <f>IFERROR(LOOKUP(U1808,打分卡!$F$12:$J$12,打分卡!$K$12:$O$12),1)</f>
        <v>2</v>
      </c>
      <c r="AI1808" s="41">
        <f>IFERROR(LOOKUP(X1808,打分卡!$F$13:$J$13,打分卡!$K$13:$O$13),1)</f>
        <v>1</v>
      </c>
      <c r="AJ1808" s="41">
        <f>IFERROR(LOOKUP(Y1808,打分卡!$F$14:$J$14,打分卡!$K$14:$O$14),1)</f>
        <v>1</v>
      </c>
      <c r="AK1808" s="41">
        <f>IFERROR(LOOKUP(W1808,打分卡!$F$15:$J$15,打分卡!$K$15:$O$15),1)</f>
        <v>1</v>
      </c>
      <c r="AL1808" s="43">
        <f t="shared" si="225"/>
        <v>1</v>
      </c>
      <c r="AM1808" s="41">
        <f>IFERROR(LOOKUP(Z1808,打分卡!$F$17:$H$17,打分卡!$K$17:$M$17),1)</f>
        <v>1</v>
      </c>
      <c r="AN1808" s="44">
        <f>(打分卡!$D$7*AC1808+打分卡!$D$8*AD1808+打分卡!$D$9*AE1808)/5</f>
        <v>8</v>
      </c>
      <c r="AO1808" s="44">
        <f>(打分卡!$D$10*AF1808+打分卡!$D$11*AG1808)/5</f>
        <v>4</v>
      </c>
      <c r="AP1808" s="44">
        <f>(打分卡!$D$12*AH1808+打分卡!$D$13*AI1808+打分卡!$D$14*AJ1808+打分卡!$D$15*AK1808)/5</f>
        <v>8.4</v>
      </c>
      <c r="AQ1808" s="44">
        <f>(打分卡!$D$16*AL1808+打分卡!$D$17*AM1808)/5</f>
        <v>2</v>
      </c>
      <c r="AR1808" s="47">
        <f t="shared" si="226"/>
        <v>22.4</v>
      </c>
      <c r="AS1808" s="43" t="str">
        <f t="shared" si="227"/>
        <v>未激活</v>
      </c>
      <c r="AT1808" s="43" t="str">
        <f t="shared" si="228"/>
        <v>连续下降-预警</v>
      </c>
      <c r="AU1808" s="43" t="str">
        <f t="shared" si="229"/>
        <v>唤醒：短信模板+首充补贴</v>
      </c>
    </row>
    <row r="1809" ht="15" customHeight="1" spans="1:47">
      <c r="A1809" s="20" t="s">
        <v>4587</v>
      </c>
      <c r="B1809" s="22" t="s">
        <v>4588</v>
      </c>
      <c r="C1809" s="22" t="s">
        <v>218</v>
      </c>
      <c r="D1809" s="22" t="s">
        <v>202</v>
      </c>
      <c r="E1809" s="22" t="s">
        <v>181</v>
      </c>
      <c r="F1809" s="20" t="s">
        <v>2200</v>
      </c>
      <c r="G1809" s="22">
        <v>19</v>
      </c>
      <c r="H1809" s="22" t="s">
        <v>3535</v>
      </c>
      <c r="I1809" s="22" t="s">
        <v>302</v>
      </c>
      <c r="J1809" s="36">
        <v>0</v>
      </c>
      <c r="K1809" s="36">
        <v>0</v>
      </c>
      <c r="L1809" s="36">
        <v>0</v>
      </c>
      <c r="M1809" s="36">
        <f t="shared" si="224"/>
        <v>0</v>
      </c>
      <c r="N1809" s="34">
        <f t="shared" si="230"/>
        <v>0</v>
      </c>
      <c r="O1809" s="35">
        <f>SUM($M$2:M1809)</f>
        <v>190743600</v>
      </c>
      <c r="P1809" s="34">
        <f t="shared" si="231"/>
        <v>1</v>
      </c>
      <c r="Q1809" s="39">
        <v>0</v>
      </c>
      <c r="R1809" s="22">
        <v>0</v>
      </c>
      <c r="S1809" s="22">
        <v>0</v>
      </c>
      <c r="T1809" s="22">
        <v>0</v>
      </c>
      <c r="U1809" s="39">
        <v>7.9</v>
      </c>
      <c r="V1809" s="22">
        <v>10</v>
      </c>
      <c r="W1809" s="22">
        <v>0</v>
      </c>
      <c r="X1809" s="40">
        <v>9</v>
      </c>
      <c r="Y1809" s="22">
        <v>0</v>
      </c>
      <c r="Z1809" s="22">
        <v>0</v>
      </c>
      <c r="AA1809" s="22" t="s">
        <v>212</v>
      </c>
      <c r="AB1809" s="22" t="s">
        <v>220</v>
      </c>
      <c r="AC1809" s="42">
        <f>IFERROR(LOOKUP(M1809,打分卡!$F$7:$J$7,打分卡!$K$7:$O$7),1)</f>
        <v>1</v>
      </c>
      <c r="AD1809" s="42">
        <f>IFERROR(LOOKUP(S1809,打分卡!$F$8:$J$8,打分卡!$K$8:$O$8),1)</f>
        <v>1</v>
      </c>
      <c r="AE1809" s="42">
        <f>IFERROR(LOOKUP(T1809,打分卡!$F$9:$I$9,打分卡!$K$9:$N$9),1)</f>
        <v>1</v>
      </c>
      <c r="AF1809" s="42">
        <f>IFERROR(LOOKUP(Q1809,打分卡!$F$10:$J$10,打分卡!$K$10:$O$10),1)</f>
        <v>1</v>
      </c>
      <c r="AG1809" s="42">
        <f>IFERROR(LOOKUP(R1809,打分卡!$F$11:$J$11,打分卡!$K$11:$O$11),1)</f>
        <v>1</v>
      </c>
      <c r="AH1809" s="42">
        <f>IFERROR(LOOKUP(U1809,打分卡!$F$12:$J$12,打分卡!$K$12:$O$12),1)</f>
        <v>2</v>
      </c>
      <c r="AI1809" s="42">
        <f>IFERROR(LOOKUP(X1809,打分卡!$F$13:$J$13,打分卡!$K$13:$O$13),1)</f>
        <v>1</v>
      </c>
      <c r="AJ1809" s="42">
        <f>IFERROR(LOOKUP(Y1809,打分卡!$F$14:$J$14,打分卡!$K$14:$O$14),1)</f>
        <v>1</v>
      </c>
      <c r="AK1809" s="42">
        <f>IFERROR(LOOKUP(W1809,打分卡!$F$15:$J$15,打分卡!$K$15:$O$15),1)</f>
        <v>1</v>
      </c>
      <c r="AL1809" s="45">
        <f t="shared" si="225"/>
        <v>1</v>
      </c>
      <c r="AM1809" s="42">
        <f>IFERROR(LOOKUP(Z1809,打分卡!$F$17:$H$17,打分卡!$K$17:$M$17),1)</f>
        <v>1</v>
      </c>
      <c r="AN1809" s="46">
        <f>(打分卡!$D$7*AC1809+打分卡!$D$8*AD1809+打分卡!$D$9*AE1809)/5</f>
        <v>8</v>
      </c>
      <c r="AO1809" s="46">
        <f>(打分卡!$D$10*AF1809+打分卡!$D$11*AG1809)/5</f>
        <v>4</v>
      </c>
      <c r="AP1809" s="46">
        <f>(打分卡!$D$12*AH1809+打分卡!$D$13*AI1809+打分卡!$D$14*AJ1809+打分卡!$D$15*AK1809)/5</f>
        <v>8.4</v>
      </c>
      <c r="AQ1809" s="46">
        <f>(打分卡!$D$16*AL1809+打分卡!$D$17*AM1809)/5</f>
        <v>2</v>
      </c>
      <c r="AR1809" s="48">
        <f t="shared" si="226"/>
        <v>22.4</v>
      </c>
      <c r="AS1809" s="45" t="str">
        <f t="shared" si="227"/>
        <v>未激活</v>
      </c>
      <c r="AT1809" s="45" t="str">
        <f t="shared" si="228"/>
        <v>连续下降-预警</v>
      </c>
      <c r="AU1809" s="45" t="str">
        <f t="shared" si="229"/>
        <v>唤醒：短信模板+首充补贴</v>
      </c>
    </row>
    <row r="1810" ht="15" customHeight="1" spans="1:47">
      <c r="A1810" s="30" t="s">
        <v>4589</v>
      </c>
      <c r="B1810" s="31" t="s">
        <v>4590</v>
      </c>
      <c r="C1810" s="31" t="s">
        <v>179</v>
      </c>
      <c r="D1810" s="31" t="s">
        <v>196</v>
      </c>
      <c r="E1810" s="31" t="s">
        <v>181</v>
      </c>
      <c r="F1810" s="30" t="s">
        <v>1742</v>
      </c>
      <c r="G1810" s="31">
        <v>17</v>
      </c>
      <c r="H1810" s="31" t="s">
        <v>3535</v>
      </c>
      <c r="I1810" s="31" t="s">
        <v>302</v>
      </c>
      <c r="J1810" s="33">
        <v>0</v>
      </c>
      <c r="K1810" s="33">
        <v>0</v>
      </c>
      <c r="L1810" s="33">
        <v>0</v>
      </c>
      <c r="M1810" s="33">
        <f t="shared" si="224"/>
        <v>0</v>
      </c>
      <c r="N1810" s="34">
        <f t="shared" si="230"/>
        <v>0</v>
      </c>
      <c r="O1810" s="35">
        <f>SUM($M$2:M1810)</f>
        <v>190743600</v>
      </c>
      <c r="P1810" s="34">
        <f t="shared" si="231"/>
        <v>1</v>
      </c>
      <c r="Q1810" s="37">
        <v>0</v>
      </c>
      <c r="R1810" s="31">
        <v>0</v>
      </c>
      <c r="S1810" s="31">
        <v>0</v>
      </c>
      <c r="T1810" s="31">
        <v>0</v>
      </c>
      <c r="U1810" s="37">
        <v>1.2</v>
      </c>
      <c r="V1810" s="31">
        <v>10</v>
      </c>
      <c r="W1810" s="31">
        <v>2</v>
      </c>
      <c r="X1810" s="38">
        <v>5</v>
      </c>
      <c r="Y1810" s="31">
        <v>0</v>
      </c>
      <c r="Z1810" s="31">
        <v>0</v>
      </c>
      <c r="AA1810" s="31" t="s">
        <v>212</v>
      </c>
      <c r="AB1810" s="31" t="s">
        <v>220</v>
      </c>
      <c r="AC1810" s="41">
        <f>IFERROR(LOOKUP(M1810,打分卡!$F$7:$J$7,打分卡!$K$7:$O$7),1)</f>
        <v>1</v>
      </c>
      <c r="AD1810" s="41">
        <f>IFERROR(LOOKUP(S1810,打分卡!$F$8:$J$8,打分卡!$K$8:$O$8),1)</f>
        <v>1</v>
      </c>
      <c r="AE1810" s="41">
        <f>IFERROR(LOOKUP(T1810,打分卡!$F$9:$I$9,打分卡!$K$9:$N$9),1)</f>
        <v>1</v>
      </c>
      <c r="AF1810" s="41">
        <f>IFERROR(LOOKUP(Q1810,打分卡!$F$10:$J$10,打分卡!$K$10:$O$10),1)</f>
        <v>1</v>
      </c>
      <c r="AG1810" s="41">
        <f>IFERROR(LOOKUP(R1810,打分卡!$F$11:$J$11,打分卡!$K$11:$O$11),1)</f>
        <v>1</v>
      </c>
      <c r="AH1810" s="41">
        <f>IFERROR(LOOKUP(U1810,打分卡!$F$12:$J$12,打分卡!$K$12:$O$12),1)</f>
        <v>1</v>
      </c>
      <c r="AI1810" s="41">
        <f>IFERROR(LOOKUP(X1810,打分卡!$F$13:$J$13,打分卡!$K$13:$O$13),1)</f>
        <v>1</v>
      </c>
      <c r="AJ1810" s="41">
        <f>IFERROR(LOOKUP(Y1810,打分卡!$F$14:$J$14,打分卡!$K$14:$O$14),1)</f>
        <v>1</v>
      </c>
      <c r="AK1810" s="41">
        <f>IFERROR(LOOKUP(W1810,打分卡!$F$15:$J$15,打分卡!$K$15:$O$15),1)</f>
        <v>2</v>
      </c>
      <c r="AL1810" s="43">
        <f t="shared" si="225"/>
        <v>1</v>
      </c>
      <c r="AM1810" s="41">
        <f>IFERROR(LOOKUP(Z1810,打分卡!$F$17:$H$17,打分卡!$K$17:$M$17),1)</f>
        <v>1</v>
      </c>
      <c r="AN1810" s="44">
        <f>(打分卡!$D$7*AC1810+打分卡!$D$8*AD1810+打分卡!$D$9*AE1810)/5</f>
        <v>8</v>
      </c>
      <c r="AO1810" s="44">
        <f>(打分卡!$D$10*AF1810+打分卡!$D$11*AG1810)/5</f>
        <v>4</v>
      </c>
      <c r="AP1810" s="44">
        <f>(打分卡!$D$12*AH1810+打分卡!$D$13*AI1810+打分卡!$D$14*AJ1810+打分卡!$D$15*AK1810)/5</f>
        <v>6.8</v>
      </c>
      <c r="AQ1810" s="44">
        <f>(打分卡!$D$16*AL1810+打分卡!$D$17*AM1810)/5</f>
        <v>2</v>
      </c>
      <c r="AR1810" s="47">
        <f t="shared" si="226"/>
        <v>20.8</v>
      </c>
      <c r="AS1810" s="43" t="str">
        <f t="shared" si="227"/>
        <v>未激活</v>
      </c>
      <c r="AT1810" s="43" t="str">
        <f t="shared" si="228"/>
        <v>连续下降-预警</v>
      </c>
      <c r="AU1810" s="43" t="str">
        <f t="shared" si="229"/>
        <v>唤醒：短信模板+首充补贴</v>
      </c>
    </row>
    <row r="1811" ht="15" customHeight="1" spans="1:47">
      <c r="A1811" s="20" t="s">
        <v>4591</v>
      </c>
      <c r="B1811" s="22" t="s">
        <v>4592</v>
      </c>
      <c r="C1811" s="22" t="s">
        <v>223</v>
      </c>
      <c r="D1811" s="22" t="s">
        <v>180</v>
      </c>
      <c r="E1811" s="22" t="s">
        <v>181</v>
      </c>
      <c r="F1811" s="20" t="s">
        <v>4294</v>
      </c>
      <c r="G1811" s="22">
        <v>30</v>
      </c>
      <c r="H1811" s="22" t="s">
        <v>3535</v>
      </c>
      <c r="I1811" s="22" t="s">
        <v>302</v>
      </c>
      <c r="J1811" s="36">
        <v>0</v>
      </c>
      <c r="K1811" s="36">
        <v>0</v>
      </c>
      <c r="L1811" s="36">
        <v>0</v>
      </c>
      <c r="M1811" s="36">
        <f t="shared" si="224"/>
        <v>0</v>
      </c>
      <c r="N1811" s="34">
        <f t="shared" si="230"/>
        <v>0</v>
      </c>
      <c r="O1811" s="35">
        <f>SUM($M$2:M1811)</f>
        <v>190743600</v>
      </c>
      <c r="P1811" s="34">
        <f t="shared" si="231"/>
        <v>1</v>
      </c>
      <c r="Q1811" s="39">
        <v>0</v>
      </c>
      <c r="R1811" s="22">
        <v>0</v>
      </c>
      <c r="S1811" s="22">
        <v>0</v>
      </c>
      <c r="T1811" s="22">
        <v>0</v>
      </c>
      <c r="U1811" s="39">
        <v>4</v>
      </c>
      <c r="V1811" s="22">
        <v>2</v>
      </c>
      <c r="W1811" s="22">
        <v>2</v>
      </c>
      <c r="X1811" s="40">
        <v>17</v>
      </c>
      <c r="Y1811" s="22">
        <v>1</v>
      </c>
      <c r="Z1811" s="22">
        <v>0</v>
      </c>
      <c r="AA1811" s="22" t="s">
        <v>212</v>
      </c>
      <c r="AB1811" s="22" t="s">
        <v>220</v>
      </c>
      <c r="AC1811" s="42">
        <f>IFERROR(LOOKUP(M1811,打分卡!$F$7:$J$7,打分卡!$K$7:$O$7),1)</f>
        <v>1</v>
      </c>
      <c r="AD1811" s="42">
        <f>IFERROR(LOOKUP(S1811,打分卡!$F$8:$J$8,打分卡!$K$8:$O$8),1)</f>
        <v>1</v>
      </c>
      <c r="AE1811" s="42">
        <f>IFERROR(LOOKUP(T1811,打分卡!$F$9:$I$9,打分卡!$K$9:$N$9),1)</f>
        <v>1</v>
      </c>
      <c r="AF1811" s="42">
        <f>IFERROR(LOOKUP(Q1811,打分卡!$F$10:$J$10,打分卡!$K$10:$O$10),1)</f>
        <v>1</v>
      </c>
      <c r="AG1811" s="42">
        <f>IFERROR(LOOKUP(R1811,打分卡!$F$11:$J$11,打分卡!$K$11:$O$11),1)</f>
        <v>1</v>
      </c>
      <c r="AH1811" s="42">
        <f>IFERROR(LOOKUP(U1811,打分卡!$F$12:$J$12,打分卡!$K$12:$O$12),1)</f>
        <v>2</v>
      </c>
      <c r="AI1811" s="42">
        <f>IFERROR(LOOKUP(X1811,打分卡!$F$13:$J$13,打分卡!$K$13:$O$13),1)</f>
        <v>1</v>
      </c>
      <c r="AJ1811" s="42">
        <f>IFERROR(LOOKUP(Y1811,打分卡!$F$14:$J$14,打分卡!$K$14:$O$14),1)</f>
        <v>2</v>
      </c>
      <c r="AK1811" s="42">
        <f>IFERROR(LOOKUP(W1811,打分卡!$F$15:$J$15,打分卡!$K$15:$O$15),1)</f>
        <v>2</v>
      </c>
      <c r="AL1811" s="45">
        <f t="shared" si="225"/>
        <v>1</v>
      </c>
      <c r="AM1811" s="42">
        <f>IFERROR(LOOKUP(Z1811,打分卡!$F$17:$H$17,打分卡!$K$17:$M$17),1)</f>
        <v>1</v>
      </c>
      <c r="AN1811" s="46">
        <f>(打分卡!$D$7*AC1811+打分卡!$D$8*AD1811+打分卡!$D$9*AE1811)/5</f>
        <v>8</v>
      </c>
      <c r="AO1811" s="46">
        <f>(打分卡!$D$10*AF1811+打分卡!$D$11*AG1811)/5</f>
        <v>4</v>
      </c>
      <c r="AP1811" s="46">
        <f>(打分卡!$D$12*AH1811+打分卡!$D$13*AI1811+打分卡!$D$14*AJ1811+打分卡!$D$15*AK1811)/5</f>
        <v>10.4</v>
      </c>
      <c r="AQ1811" s="46">
        <f>(打分卡!$D$16*AL1811+打分卡!$D$17*AM1811)/5</f>
        <v>2</v>
      </c>
      <c r="AR1811" s="48">
        <f t="shared" si="226"/>
        <v>24.4</v>
      </c>
      <c r="AS1811" s="45" t="str">
        <f t="shared" si="227"/>
        <v>未激活</v>
      </c>
      <c r="AT1811" s="45" t="str">
        <f t="shared" si="228"/>
        <v>连续下降-预警</v>
      </c>
      <c r="AU1811" s="45" t="str">
        <f t="shared" si="229"/>
        <v>唤醒：短信模板+首充补贴</v>
      </c>
    </row>
    <row r="1812" ht="15" customHeight="1" spans="1:47">
      <c r="A1812" s="30" t="s">
        <v>4593</v>
      </c>
      <c r="B1812" s="31" t="s">
        <v>4594</v>
      </c>
      <c r="C1812" s="31" t="s">
        <v>189</v>
      </c>
      <c r="D1812" s="31" t="s">
        <v>196</v>
      </c>
      <c r="E1812" s="31" t="s">
        <v>197</v>
      </c>
      <c r="F1812" s="30" t="s">
        <v>4595</v>
      </c>
      <c r="G1812" s="31">
        <v>21</v>
      </c>
      <c r="H1812" s="31" t="s">
        <v>3535</v>
      </c>
      <c r="I1812" s="31" t="s">
        <v>302</v>
      </c>
      <c r="J1812" s="33">
        <v>0</v>
      </c>
      <c r="K1812" s="33">
        <v>0</v>
      </c>
      <c r="L1812" s="33">
        <v>0</v>
      </c>
      <c r="M1812" s="33">
        <f t="shared" si="224"/>
        <v>0</v>
      </c>
      <c r="N1812" s="34">
        <f t="shared" si="230"/>
        <v>0</v>
      </c>
      <c r="O1812" s="35">
        <f>SUM($M$2:M1812)</f>
        <v>190743600</v>
      </c>
      <c r="P1812" s="34">
        <f t="shared" si="231"/>
        <v>1</v>
      </c>
      <c r="Q1812" s="37">
        <v>0</v>
      </c>
      <c r="R1812" s="31">
        <v>0</v>
      </c>
      <c r="S1812" s="31">
        <v>0</v>
      </c>
      <c r="T1812" s="31">
        <v>0</v>
      </c>
      <c r="U1812" s="37">
        <v>5.4</v>
      </c>
      <c r="V1812" s="31">
        <v>9</v>
      </c>
      <c r="W1812" s="31">
        <v>1</v>
      </c>
      <c r="X1812" s="38">
        <v>6</v>
      </c>
      <c r="Y1812" s="31">
        <v>0</v>
      </c>
      <c r="Z1812" s="31">
        <v>0</v>
      </c>
      <c r="AA1812" s="31" t="s">
        <v>212</v>
      </c>
      <c r="AB1812" s="31" t="s">
        <v>220</v>
      </c>
      <c r="AC1812" s="41">
        <f>IFERROR(LOOKUP(M1812,打分卡!$F$7:$J$7,打分卡!$K$7:$O$7),1)</f>
        <v>1</v>
      </c>
      <c r="AD1812" s="41">
        <f>IFERROR(LOOKUP(S1812,打分卡!$F$8:$J$8,打分卡!$K$8:$O$8),1)</f>
        <v>1</v>
      </c>
      <c r="AE1812" s="41">
        <f>IFERROR(LOOKUP(T1812,打分卡!$F$9:$I$9,打分卡!$K$9:$N$9),1)</f>
        <v>1</v>
      </c>
      <c r="AF1812" s="41">
        <f>IFERROR(LOOKUP(Q1812,打分卡!$F$10:$J$10,打分卡!$K$10:$O$10),1)</f>
        <v>1</v>
      </c>
      <c r="AG1812" s="41">
        <f>IFERROR(LOOKUP(R1812,打分卡!$F$11:$J$11,打分卡!$K$11:$O$11),1)</f>
        <v>1</v>
      </c>
      <c r="AH1812" s="41">
        <f>IFERROR(LOOKUP(U1812,打分卡!$F$12:$J$12,打分卡!$K$12:$O$12),1)</f>
        <v>2</v>
      </c>
      <c r="AI1812" s="41">
        <f>IFERROR(LOOKUP(X1812,打分卡!$F$13:$J$13,打分卡!$K$13:$O$13),1)</f>
        <v>1</v>
      </c>
      <c r="AJ1812" s="41">
        <f>IFERROR(LOOKUP(Y1812,打分卡!$F$14:$J$14,打分卡!$K$14:$O$14),1)</f>
        <v>1</v>
      </c>
      <c r="AK1812" s="41">
        <f>IFERROR(LOOKUP(W1812,打分卡!$F$15:$J$15,打分卡!$K$15:$O$15),1)</f>
        <v>2</v>
      </c>
      <c r="AL1812" s="43">
        <f t="shared" si="225"/>
        <v>1</v>
      </c>
      <c r="AM1812" s="41">
        <f>IFERROR(LOOKUP(Z1812,打分卡!$F$17:$H$17,打分卡!$K$17:$M$17),1)</f>
        <v>1</v>
      </c>
      <c r="AN1812" s="44">
        <f>(打分卡!$D$7*AC1812+打分卡!$D$8*AD1812+打分卡!$D$9*AE1812)/5</f>
        <v>8</v>
      </c>
      <c r="AO1812" s="44">
        <f>(打分卡!$D$10*AF1812+打分卡!$D$11*AG1812)/5</f>
        <v>4</v>
      </c>
      <c r="AP1812" s="44">
        <f>(打分卡!$D$12*AH1812+打分卡!$D$13*AI1812+打分卡!$D$14*AJ1812+打分卡!$D$15*AK1812)/5</f>
        <v>9.2</v>
      </c>
      <c r="AQ1812" s="44">
        <f>(打分卡!$D$16*AL1812+打分卡!$D$17*AM1812)/5</f>
        <v>2</v>
      </c>
      <c r="AR1812" s="47">
        <f t="shared" si="226"/>
        <v>23.2</v>
      </c>
      <c r="AS1812" s="43" t="str">
        <f t="shared" si="227"/>
        <v>未激活</v>
      </c>
      <c r="AT1812" s="43" t="str">
        <f t="shared" si="228"/>
        <v>连续下降-预警</v>
      </c>
      <c r="AU1812" s="43" t="str">
        <f t="shared" si="229"/>
        <v>唤醒：短信模板+首充补贴</v>
      </c>
    </row>
    <row r="1813" ht="15" customHeight="1" spans="1:47">
      <c r="A1813" s="20" t="s">
        <v>4596</v>
      </c>
      <c r="B1813" s="22" t="s">
        <v>4597</v>
      </c>
      <c r="C1813" s="22" t="s">
        <v>189</v>
      </c>
      <c r="D1813" s="22" t="s">
        <v>190</v>
      </c>
      <c r="E1813" s="22" t="s">
        <v>197</v>
      </c>
      <c r="F1813" s="20" t="s">
        <v>1307</v>
      </c>
      <c r="G1813" s="22">
        <v>17</v>
      </c>
      <c r="H1813" s="22" t="s">
        <v>3535</v>
      </c>
      <c r="I1813" s="22" t="s">
        <v>302</v>
      </c>
      <c r="J1813" s="36">
        <v>0</v>
      </c>
      <c r="K1813" s="36">
        <v>0</v>
      </c>
      <c r="L1813" s="36">
        <v>0</v>
      </c>
      <c r="M1813" s="36">
        <f t="shared" si="224"/>
        <v>0</v>
      </c>
      <c r="N1813" s="34">
        <f t="shared" si="230"/>
        <v>0</v>
      </c>
      <c r="O1813" s="35">
        <f>SUM($M$2:M1813)</f>
        <v>190743600</v>
      </c>
      <c r="P1813" s="34">
        <f t="shared" si="231"/>
        <v>1</v>
      </c>
      <c r="Q1813" s="39">
        <v>0</v>
      </c>
      <c r="R1813" s="22">
        <v>0</v>
      </c>
      <c r="S1813" s="22">
        <v>0</v>
      </c>
      <c r="T1813" s="22">
        <v>0</v>
      </c>
      <c r="U1813" s="39">
        <v>4.7</v>
      </c>
      <c r="V1813" s="22">
        <v>7</v>
      </c>
      <c r="W1813" s="22">
        <v>2</v>
      </c>
      <c r="X1813" s="40">
        <v>12</v>
      </c>
      <c r="Y1813" s="22">
        <v>0</v>
      </c>
      <c r="Z1813" s="22">
        <v>0</v>
      </c>
      <c r="AA1813" s="22" t="s">
        <v>212</v>
      </c>
      <c r="AB1813" s="22" t="s">
        <v>220</v>
      </c>
      <c r="AC1813" s="42">
        <f>IFERROR(LOOKUP(M1813,打分卡!$F$7:$J$7,打分卡!$K$7:$O$7),1)</f>
        <v>1</v>
      </c>
      <c r="AD1813" s="42">
        <f>IFERROR(LOOKUP(S1813,打分卡!$F$8:$J$8,打分卡!$K$8:$O$8),1)</f>
        <v>1</v>
      </c>
      <c r="AE1813" s="42">
        <f>IFERROR(LOOKUP(T1813,打分卡!$F$9:$I$9,打分卡!$K$9:$N$9),1)</f>
        <v>1</v>
      </c>
      <c r="AF1813" s="42">
        <f>IFERROR(LOOKUP(Q1813,打分卡!$F$10:$J$10,打分卡!$K$10:$O$10),1)</f>
        <v>1</v>
      </c>
      <c r="AG1813" s="42">
        <f>IFERROR(LOOKUP(R1813,打分卡!$F$11:$J$11,打分卡!$K$11:$O$11),1)</f>
        <v>1</v>
      </c>
      <c r="AH1813" s="42">
        <f>IFERROR(LOOKUP(U1813,打分卡!$F$12:$J$12,打分卡!$K$12:$O$12),1)</f>
        <v>2</v>
      </c>
      <c r="AI1813" s="42">
        <f>IFERROR(LOOKUP(X1813,打分卡!$F$13:$J$13,打分卡!$K$13:$O$13),1)</f>
        <v>1</v>
      </c>
      <c r="AJ1813" s="42">
        <f>IFERROR(LOOKUP(Y1813,打分卡!$F$14:$J$14,打分卡!$K$14:$O$14),1)</f>
        <v>1</v>
      </c>
      <c r="AK1813" s="42">
        <f>IFERROR(LOOKUP(W1813,打分卡!$F$15:$J$15,打分卡!$K$15:$O$15),1)</f>
        <v>2</v>
      </c>
      <c r="AL1813" s="45">
        <f t="shared" si="225"/>
        <v>1</v>
      </c>
      <c r="AM1813" s="42">
        <f>IFERROR(LOOKUP(Z1813,打分卡!$F$17:$H$17,打分卡!$K$17:$M$17),1)</f>
        <v>1</v>
      </c>
      <c r="AN1813" s="46">
        <f>(打分卡!$D$7*AC1813+打分卡!$D$8*AD1813+打分卡!$D$9*AE1813)/5</f>
        <v>8</v>
      </c>
      <c r="AO1813" s="46">
        <f>(打分卡!$D$10*AF1813+打分卡!$D$11*AG1813)/5</f>
        <v>4</v>
      </c>
      <c r="AP1813" s="46">
        <f>(打分卡!$D$12*AH1813+打分卡!$D$13*AI1813+打分卡!$D$14*AJ1813+打分卡!$D$15*AK1813)/5</f>
        <v>9.2</v>
      </c>
      <c r="AQ1813" s="46">
        <f>(打分卡!$D$16*AL1813+打分卡!$D$17*AM1813)/5</f>
        <v>2</v>
      </c>
      <c r="AR1813" s="48">
        <f t="shared" si="226"/>
        <v>23.2</v>
      </c>
      <c r="AS1813" s="45" t="str">
        <f t="shared" si="227"/>
        <v>未激活</v>
      </c>
      <c r="AT1813" s="45" t="str">
        <f t="shared" si="228"/>
        <v>连续下降-预警</v>
      </c>
      <c r="AU1813" s="45" t="str">
        <f t="shared" si="229"/>
        <v>唤醒：短信模板+首充补贴</v>
      </c>
    </row>
    <row r="1814" ht="15" customHeight="1" spans="1:47">
      <c r="A1814" s="30" t="s">
        <v>4598</v>
      </c>
      <c r="B1814" s="31" t="s">
        <v>4599</v>
      </c>
      <c r="C1814" s="31" t="s">
        <v>179</v>
      </c>
      <c r="D1814" s="31" t="s">
        <v>202</v>
      </c>
      <c r="E1814" s="31" t="s">
        <v>181</v>
      </c>
      <c r="F1814" s="30" t="s">
        <v>4600</v>
      </c>
      <c r="G1814" s="31">
        <v>32</v>
      </c>
      <c r="H1814" s="31" t="s">
        <v>3535</v>
      </c>
      <c r="I1814" s="31" t="s">
        <v>302</v>
      </c>
      <c r="J1814" s="33">
        <v>0</v>
      </c>
      <c r="K1814" s="33">
        <v>0</v>
      </c>
      <c r="L1814" s="33">
        <v>0</v>
      </c>
      <c r="M1814" s="33">
        <f t="shared" si="224"/>
        <v>0</v>
      </c>
      <c r="N1814" s="34">
        <f t="shared" si="230"/>
        <v>0</v>
      </c>
      <c r="O1814" s="35">
        <f>SUM($M$2:M1814)</f>
        <v>190743600</v>
      </c>
      <c r="P1814" s="34">
        <f t="shared" si="231"/>
        <v>1</v>
      </c>
      <c r="Q1814" s="37">
        <v>0</v>
      </c>
      <c r="R1814" s="31">
        <v>0</v>
      </c>
      <c r="S1814" s="31">
        <v>0</v>
      </c>
      <c r="T1814" s="31">
        <v>0</v>
      </c>
      <c r="U1814" s="37">
        <v>18.4</v>
      </c>
      <c r="V1814" s="31">
        <v>14</v>
      </c>
      <c r="W1814" s="31">
        <v>2</v>
      </c>
      <c r="X1814" s="38">
        <v>36</v>
      </c>
      <c r="Y1814" s="31">
        <v>0</v>
      </c>
      <c r="Z1814" s="31">
        <v>0</v>
      </c>
      <c r="AA1814" s="31" t="s">
        <v>212</v>
      </c>
      <c r="AB1814" s="31" t="s">
        <v>220</v>
      </c>
      <c r="AC1814" s="41">
        <f>IFERROR(LOOKUP(M1814,打分卡!$F$7:$J$7,打分卡!$K$7:$O$7),1)</f>
        <v>1</v>
      </c>
      <c r="AD1814" s="41">
        <f>IFERROR(LOOKUP(S1814,打分卡!$F$8:$J$8,打分卡!$K$8:$O$8),1)</f>
        <v>1</v>
      </c>
      <c r="AE1814" s="41">
        <f>IFERROR(LOOKUP(T1814,打分卡!$F$9:$I$9,打分卡!$K$9:$N$9),1)</f>
        <v>1</v>
      </c>
      <c r="AF1814" s="41">
        <f>IFERROR(LOOKUP(Q1814,打分卡!$F$10:$J$10,打分卡!$K$10:$O$10),1)</f>
        <v>1</v>
      </c>
      <c r="AG1814" s="41">
        <f>IFERROR(LOOKUP(R1814,打分卡!$F$11:$J$11,打分卡!$K$11:$O$11),1)</f>
        <v>1</v>
      </c>
      <c r="AH1814" s="41">
        <f>IFERROR(LOOKUP(U1814,打分卡!$F$12:$J$12,打分卡!$K$12:$O$12),1)</f>
        <v>3</v>
      </c>
      <c r="AI1814" s="41">
        <f>IFERROR(LOOKUP(X1814,打分卡!$F$13:$J$13,打分卡!$K$13:$O$13),1)</f>
        <v>2</v>
      </c>
      <c r="AJ1814" s="41">
        <f>IFERROR(LOOKUP(Y1814,打分卡!$F$14:$J$14,打分卡!$K$14:$O$14),1)</f>
        <v>1</v>
      </c>
      <c r="AK1814" s="41">
        <f>IFERROR(LOOKUP(W1814,打分卡!$F$15:$J$15,打分卡!$K$15:$O$15),1)</f>
        <v>2</v>
      </c>
      <c r="AL1814" s="43">
        <f t="shared" si="225"/>
        <v>1</v>
      </c>
      <c r="AM1814" s="41">
        <f>IFERROR(LOOKUP(Z1814,打分卡!$F$17:$H$17,打分卡!$K$17:$M$17),1)</f>
        <v>1</v>
      </c>
      <c r="AN1814" s="44">
        <f>(打分卡!$D$7*AC1814+打分卡!$D$8*AD1814+打分卡!$D$9*AE1814)/5</f>
        <v>8</v>
      </c>
      <c r="AO1814" s="44">
        <f>(打分卡!$D$10*AF1814+打分卡!$D$11*AG1814)/5</f>
        <v>4</v>
      </c>
      <c r="AP1814" s="44">
        <f>(打分卡!$D$12*AH1814+打分卡!$D$13*AI1814+打分卡!$D$14*AJ1814+打分卡!$D$15*AK1814)/5</f>
        <v>13.2</v>
      </c>
      <c r="AQ1814" s="44">
        <f>(打分卡!$D$16*AL1814+打分卡!$D$17*AM1814)/5</f>
        <v>2</v>
      </c>
      <c r="AR1814" s="47">
        <f t="shared" si="226"/>
        <v>27.2</v>
      </c>
      <c r="AS1814" s="43" t="str">
        <f t="shared" si="227"/>
        <v>未激活</v>
      </c>
      <c r="AT1814" s="43" t="str">
        <f t="shared" si="228"/>
        <v>连续下降-预警</v>
      </c>
      <c r="AU1814" s="43" t="str">
        <f t="shared" si="229"/>
        <v>唤醒：短信模板+首充补贴</v>
      </c>
    </row>
    <row r="1815" ht="15" customHeight="1" spans="1:47">
      <c r="A1815" s="20" t="s">
        <v>4601</v>
      </c>
      <c r="B1815" s="22" t="s">
        <v>4602</v>
      </c>
      <c r="C1815" s="22" t="s">
        <v>179</v>
      </c>
      <c r="D1815" s="22" t="s">
        <v>227</v>
      </c>
      <c r="E1815" s="22" t="s">
        <v>181</v>
      </c>
      <c r="F1815" s="20" t="s">
        <v>3565</v>
      </c>
      <c r="G1815" s="22">
        <v>25</v>
      </c>
      <c r="H1815" s="22" t="s">
        <v>3535</v>
      </c>
      <c r="I1815" s="22" t="s">
        <v>302</v>
      </c>
      <c r="J1815" s="36">
        <v>0</v>
      </c>
      <c r="K1815" s="36">
        <v>0</v>
      </c>
      <c r="L1815" s="36">
        <v>0</v>
      </c>
      <c r="M1815" s="36">
        <f t="shared" si="224"/>
        <v>0</v>
      </c>
      <c r="N1815" s="34">
        <f t="shared" si="230"/>
        <v>0</v>
      </c>
      <c r="O1815" s="35">
        <f>SUM($M$2:M1815)</f>
        <v>190743600</v>
      </c>
      <c r="P1815" s="34">
        <f t="shared" si="231"/>
        <v>1</v>
      </c>
      <c r="Q1815" s="39">
        <v>0</v>
      </c>
      <c r="R1815" s="22">
        <v>0</v>
      </c>
      <c r="S1815" s="22">
        <v>0</v>
      </c>
      <c r="T1815" s="22">
        <v>0</v>
      </c>
      <c r="U1815" s="39">
        <v>1.3</v>
      </c>
      <c r="V1815" s="22">
        <v>15</v>
      </c>
      <c r="W1815" s="22">
        <v>1</v>
      </c>
      <c r="X1815" s="40">
        <v>7</v>
      </c>
      <c r="Y1815" s="22">
        <v>1</v>
      </c>
      <c r="Z1815" s="22">
        <v>0</v>
      </c>
      <c r="AA1815" s="22" t="s">
        <v>212</v>
      </c>
      <c r="AB1815" s="22" t="s">
        <v>220</v>
      </c>
      <c r="AC1815" s="42">
        <f>IFERROR(LOOKUP(M1815,打分卡!$F$7:$J$7,打分卡!$K$7:$O$7),1)</f>
        <v>1</v>
      </c>
      <c r="AD1815" s="42">
        <f>IFERROR(LOOKUP(S1815,打分卡!$F$8:$J$8,打分卡!$K$8:$O$8),1)</f>
        <v>1</v>
      </c>
      <c r="AE1815" s="42">
        <f>IFERROR(LOOKUP(T1815,打分卡!$F$9:$I$9,打分卡!$K$9:$N$9),1)</f>
        <v>1</v>
      </c>
      <c r="AF1815" s="42">
        <f>IFERROR(LOOKUP(Q1815,打分卡!$F$10:$J$10,打分卡!$K$10:$O$10),1)</f>
        <v>1</v>
      </c>
      <c r="AG1815" s="42">
        <f>IFERROR(LOOKUP(R1815,打分卡!$F$11:$J$11,打分卡!$K$11:$O$11),1)</f>
        <v>1</v>
      </c>
      <c r="AH1815" s="42">
        <f>IFERROR(LOOKUP(U1815,打分卡!$F$12:$J$12,打分卡!$K$12:$O$12),1)</f>
        <v>1</v>
      </c>
      <c r="AI1815" s="42">
        <f>IFERROR(LOOKUP(X1815,打分卡!$F$13:$J$13,打分卡!$K$13:$O$13),1)</f>
        <v>1</v>
      </c>
      <c r="AJ1815" s="42">
        <f>IFERROR(LOOKUP(Y1815,打分卡!$F$14:$J$14,打分卡!$K$14:$O$14),1)</f>
        <v>2</v>
      </c>
      <c r="AK1815" s="42">
        <f>IFERROR(LOOKUP(W1815,打分卡!$F$15:$J$15,打分卡!$K$15:$O$15),1)</f>
        <v>2</v>
      </c>
      <c r="AL1815" s="45">
        <f t="shared" si="225"/>
        <v>1</v>
      </c>
      <c r="AM1815" s="42">
        <f>IFERROR(LOOKUP(Z1815,打分卡!$F$17:$H$17,打分卡!$K$17:$M$17),1)</f>
        <v>1</v>
      </c>
      <c r="AN1815" s="46">
        <f>(打分卡!$D$7*AC1815+打分卡!$D$8*AD1815+打分卡!$D$9*AE1815)/5</f>
        <v>8</v>
      </c>
      <c r="AO1815" s="46">
        <f>(打分卡!$D$10*AF1815+打分卡!$D$11*AG1815)/5</f>
        <v>4</v>
      </c>
      <c r="AP1815" s="46">
        <f>(打分卡!$D$12*AH1815+打分卡!$D$13*AI1815+打分卡!$D$14*AJ1815+打分卡!$D$15*AK1815)/5</f>
        <v>8</v>
      </c>
      <c r="AQ1815" s="46">
        <f>(打分卡!$D$16*AL1815+打分卡!$D$17*AM1815)/5</f>
        <v>2</v>
      </c>
      <c r="AR1815" s="48">
        <f t="shared" si="226"/>
        <v>22</v>
      </c>
      <c r="AS1815" s="45" t="str">
        <f t="shared" si="227"/>
        <v>未激活</v>
      </c>
      <c r="AT1815" s="45" t="str">
        <f t="shared" si="228"/>
        <v>连续下降-预警</v>
      </c>
      <c r="AU1815" s="45" t="str">
        <f t="shared" si="229"/>
        <v>唤醒：短信模板+首充补贴</v>
      </c>
    </row>
    <row r="1816" ht="15" customHeight="1" spans="1:47">
      <c r="A1816" s="30" t="s">
        <v>4603</v>
      </c>
      <c r="B1816" s="31" t="s">
        <v>4604</v>
      </c>
      <c r="C1816" s="31" t="s">
        <v>189</v>
      </c>
      <c r="D1816" s="31" t="s">
        <v>190</v>
      </c>
      <c r="E1816" s="31" t="s">
        <v>197</v>
      </c>
      <c r="F1816" s="30" t="s">
        <v>481</v>
      </c>
      <c r="G1816" s="31">
        <v>13</v>
      </c>
      <c r="H1816" s="31" t="s">
        <v>3535</v>
      </c>
      <c r="I1816" s="31" t="s">
        <v>302</v>
      </c>
      <c r="J1816" s="33">
        <v>0</v>
      </c>
      <c r="K1816" s="33">
        <v>0</v>
      </c>
      <c r="L1816" s="33">
        <v>0</v>
      </c>
      <c r="M1816" s="33">
        <f t="shared" si="224"/>
        <v>0</v>
      </c>
      <c r="N1816" s="34">
        <f t="shared" si="230"/>
        <v>0</v>
      </c>
      <c r="O1816" s="35">
        <f>SUM($M$2:M1816)</f>
        <v>190743600</v>
      </c>
      <c r="P1816" s="34">
        <f t="shared" si="231"/>
        <v>1</v>
      </c>
      <c r="Q1816" s="37">
        <v>0</v>
      </c>
      <c r="R1816" s="31">
        <v>0</v>
      </c>
      <c r="S1816" s="31">
        <v>0</v>
      </c>
      <c r="T1816" s="31">
        <v>0</v>
      </c>
      <c r="U1816" s="37">
        <v>0.6</v>
      </c>
      <c r="V1816" s="31">
        <v>5</v>
      </c>
      <c r="W1816" s="31">
        <v>1</v>
      </c>
      <c r="X1816" s="38">
        <v>52</v>
      </c>
      <c r="Y1816" s="31">
        <v>1</v>
      </c>
      <c r="Z1816" s="31">
        <v>0</v>
      </c>
      <c r="AA1816" s="31" t="s">
        <v>212</v>
      </c>
      <c r="AB1816" s="31" t="s">
        <v>220</v>
      </c>
      <c r="AC1816" s="41">
        <f>IFERROR(LOOKUP(M1816,打分卡!$F$7:$J$7,打分卡!$K$7:$O$7),1)</f>
        <v>1</v>
      </c>
      <c r="AD1816" s="41">
        <f>IFERROR(LOOKUP(S1816,打分卡!$F$8:$J$8,打分卡!$K$8:$O$8),1)</f>
        <v>1</v>
      </c>
      <c r="AE1816" s="41">
        <f>IFERROR(LOOKUP(T1816,打分卡!$F$9:$I$9,打分卡!$K$9:$N$9),1)</f>
        <v>1</v>
      </c>
      <c r="AF1816" s="41">
        <f>IFERROR(LOOKUP(Q1816,打分卡!$F$10:$J$10,打分卡!$K$10:$O$10),1)</f>
        <v>1</v>
      </c>
      <c r="AG1816" s="41">
        <f>IFERROR(LOOKUP(R1816,打分卡!$F$11:$J$11,打分卡!$K$11:$O$11),1)</f>
        <v>1</v>
      </c>
      <c r="AH1816" s="41">
        <f>IFERROR(LOOKUP(U1816,打分卡!$F$12:$J$12,打分卡!$K$12:$O$12),1)</f>
        <v>1</v>
      </c>
      <c r="AI1816" s="41">
        <f>IFERROR(LOOKUP(X1816,打分卡!$F$13:$J$13,打分卡!$K$13:$O$13),1)</f>
        <v>3</v>
      </c>
      <c r="AJ1816" s="41">
        <f>IFERROR(LOOKUP(Y1816,打分卡!$F$14:$J$14,打分卡!$K$14:$O$14),1)</f>
        <v>2</v>
      </c>
      <c r="AK1816" s="41">
        <f>IFERROR(LOOKUP(W1816,打分卡!$F$15:$J$15,打分卡!$K$15:$O$15),1)</f>
        <v>2</v>
      </c>
      <c r="AL1816" s="43">
        <f t="shared" si="225"/>
        <v>1</v>
      </c>
      <c r="AM1816" s="41">
        <f>IFERROR(LOOKUP(Z1816,打分卡!$F$17:$H$17,打分卡!$K$17:$M$17),1)</f>
        <v>1</v>
      </c>
      <c r="AN1816" s="44">
        <f>(打分卡!$D$7*AC1816+打分卡!$D$8*AD1816+打分卡!$D$9*AE1816)/5</f>
        <v>8</v>
      </c>
      <c r="AO1816" s="44">
        <f>(打分卡!$D$10*AF1816+打分卡!$D$11*AG1816)/5</f>
        <v>4</v>
      </c>
      <c r="AP1816" s="44">
        <f>(打分卡!$D$12*AH1816+打分卡!$D$13*AI1816+打分卡!$D$14*AJ1816+打分卡!$D$15*AK1816)/5</f>
        <v>11.2</v>
      </c>
      <c r="AQ1816" s="44">
        <f>(打分卡!$D$16*AL1816+打分卡!$D$17*AM1816)/5</f>
        <v>2</v>
      </c>
      <c r="AR1816" s="47">
        <f t="shared" si="226"/>
        <v>25.2</v>
      </c>
      <c r="AS1816" s="43" t="str">
        <f t="shared" si="227"/>
        <v>未激活</v>
      </c>
      <c r="AT1816" s="43" t="str">
        <f t="shared" si="228"/>
        <v>连续下降-预警</v>
      </c>
      <c r="AU1816" s="43" t="str">
        <f t="shared" si="229"/>
        <v>唤醒：短信模板+首充补贴</v>
      </c>
    </row>
    <row r="1817" ht="15" customHeight="1" spans="1:47">
      <c r="A1817" s="20" t="s">
        <v>4605</v>
      </c>
      <c r="B1817" s="22" t="s">
        <v>4606</v>
      </c>
      <c r="C1817" s="22" t="s">
        <v>189</v>
      </c>
      <c r="D1817" s="22" t="s">
        <v>202</v>
      </c>
      <c r="E1817" s="22" t="s">
        <v>181</v>
      </c>
      <c r="F1817" s="20" t="s">
        <v>4607</v>
      </c>
      <c r="G1817" s="22">
        <v>26</v>
      </c>
      <c r="H1817" s="22" t="s">
        <v>3535</v>
      </c>
      <c r="I1817" s="22" t="s">
        <v>302</v>
      </c>
      <c r="J1817" s="36">
        <v>0</v>
      </c>
      <c r="K1817" s="36">
        <v>0</v>
      </c>
      <c r="L1817" s="36">
        <v>0</v>
      </c>
      <c r="M1817" s="36">
        <f t="shared" si="224"/>
        <v>0</v>
      </c>
      <c r="N1817" s="34">
        <f t="shared" si="230"/>
        <v>0</v>
      </c>
      <c r="O1817" s="35">
        <f>SUM($M$2:M1817)</f>
        <v>190743600</v>
      </c>
      <c r="P1817" s="34">
        <f t="shared" si="231"/>
        <v>1</v>
      </c>
      <c r="Q1817" s="39">
        <v>0</v>
      </c>
      <c r="R1817" s="22">
        <v>0</v>
      </c>
      <c r="S1817" s="22">
        <v>0</v>
      </c>
      <c r="T1817" s="22">
        <v>0</v>
      </c>
      <c r="U1817" s="39">
        <v>6.5</v>
      </c>
      <c r="V1817" s="22">
        <v>4</v>
      </c>
      <c r="W1817" s="22">
        <v>1</v>
      </c>
      <c r="X1817" s="40">
        <v>42</v>
      </c>
      <c r="Y1817" s="22">
        <v>1</v>
      </c>
      <c r="Z1817" s="22">
        <v>0</v>
      </c>
      <c r="AA1817" s="22" t="s">
        <v>212</v>
      </c>
      <c r="AB1817" s="22" t="s">
        <v>220</v>
      </c>
      <c r="AC1817" s="42">
        <f>IFERROR(LOOKUP(M1817,打分卡!$F$7:$J$7,打分卡!$K$7:$O$7),1)</f>
        <v>1</v>
      </c>
      <c r="AD1817" s="42">
        <f>IFERROR(LOOKUP(S1817,打分卡!$F$8:$J$8,打分卡!$K$8:$O$8),1)</f>
        <v>1</v>
      </c>
      <c r="AE1817" s="42">
        <f>IFERROR(LOOKUP(T1817,打分卡!$F$9:$I$9,打分卡!$K$9:$N$9),1)</f>
        <v>1</v>
      </c>
      <c r="AF1817" s="42">
        <f>IFERROR(LOOKUP(Q1817,打分卡!$F$10:$J$10,打分卡!$K$10:$O$10),1)</f>
        <v>1</v>
      </c>
      <c r="AG1817" s="42">
        <f>IFERROR(LOOKUP(R1817,打分卡!$F$11:$J$11,打分卡!$K$11:$O$11),1)</f>
        <v>1</v>
      </c>
      <c r="AH1817" s="42">
        <f>IFERROR(LOOKUP(U1817,打分卡!$F$12:$J$12,打分卡!$K$12:$O$12),1)</f>
        <v>2</v>
      </c>
      <c r="AI1817" s="42">
        <f>IFERROR(LOOKUP(X1817,打分卡!$F$13:$J$13,打分卡!$K$13:$O$13),1)</f>
        <v>3</v>
      </c>
      <c r="AJ1817" s="42">
        <f>IFERROR(LOOKUP(Y1817,打分卡!$F$14:$J$14,打分卡!$K$14:$O$14),1)</f>
        <v>2</v>
      </c>
      <c r="AK1817" s="42">
        <f>IFERROR(LOOKUP(W1817,打分卡!$F$15:$J$15,打分卡!$K$15:$O$15),1)</f>
        <v>2</v>
      </c>
      <c r="AL1817" s="45">
        <f t="shared" si="225"/>
        <v>1</v>
      </c>
      <c r="AM1817" s="42">
        <f>IFERROR(LOOKUP(Z1817,打分卡!$F$17:$H$17,打分卡!$K$17:$M$17),1)</f>
        <v>1</v>
      </c>
      <c r="AN1817" s="46">
        <f>(打分卡!$D$7*AC1817+打分卡!$D$8*AD1817+打分卡!$D$9*AE1817)/5</f>
        <v>8</v>
      </c>
      <c r="AO1817" s="46">
        <f>(打分卡!$D$10*AF1817+打分卡!$D$11*AG1817)/5</f>
        <v>4</v>
      </c>
      <c r="AP1817" s="46">
        <f>(打分卡!$D$12*AH1817+打分卡!$D$13*AI1817+打分卡!$D$14*AJ1817+打分卡!$D$15*AK1817)/5</f>
        <v>13.6</v>
      </c>
      <c r="AQ1817" s="46">
        <f>(打分卡!$D$16*AL1817+打分卡!$D$17*AM1817)/5</f>
        <v>2</v>
      </c>
      <c r="AR1817" s="48">
        <f t="shared" si="226"/>
        <v>27.6</v>
      </c>
      <c r="AS1817" s="45" t="str">
        <f t="shared" si="227"/>
        <v>未激活</v>
      </c>
      <c r="AT1817" s="45" t="str">
        <f t="shared" si="228"/>
        <v>连续下降-预警</v>
      </c>
      <c r="AU1817" s="45" t="str">
        <f t="shared" si="229"/>
        <v>唤醒：短信模板+首充补贴</v>
      </c>
    </row>
    <row r="1818" ht="15" customHeight="1" spans="1:47">
      <c r="A1818" s="30" t="s">
        <v>4608</v>
      </c>
      <c r="B1818" s="31" t="s">
        <v>4609</v>
      </c>
      <c r="C1818" s="31" t="s">
        <v>189</v>
      </c>
      <c r="D1818" s="31" t="s">
        <v>180</v>
      </c>
      <c r="E1818" s="31" t="s">
        <v>181</v>
      </c>
      <c r="F1818" s="30" t="s">
        <v>2363</v>
      </c>
      <c r="G1818" s="31">
        <v>24</v>
      </c>
      <c r="H1818" s="31" t="s">
        <v>3535</v>
      </c>
      <c r="I1818" s="31" t="s">
        <v>302</v>
      </c>
      <c r="J1818" s="33">
        <v>0</v>
      </c>
      <c r="K1818" s="33">
        <v>0</v>
      </c>
      <c r="L1818" s="33">
        <v>0</v>
      </c>
      <c r="M1818" s="33">
        <f t="shared" si="224"/>
        <v>0</v>
      </c>
      <c r="N1818" s="34">
        <f t="shared" si="230"/>
        <v>0</v>
      </c>
      <c r="O1818" s="35">
        <f>SUM($M$2:M1818)</f>
        <v>190743600</v>
      </c>
      <c r="P1818" s="34">
        <f t="shared" si="231"/>
        <v>1</v>
      </c>
      <c r="Q1818" s="37">
        <v>0</v>
      </c>
      <c r="R1818" s="31">
        <v>0</v>
      </c>
      <c r="S1818" s="31">
        <v>0</v>
      </c>
      <c r="T1818" s="31">
        <v>0</v>
      </c>
      <c r="U1818" s="37">
        <v>11.3</v>
      </c>
      <c r="V1818" s="31">
        <v>0</v>
      </c>
      <c r="W1818" s="31">
        <v>1</v>
      </c>
      <c r="X1818" s="38">
        <v>9</v>
      </c>
      <c r="Y1818" s="31">
        <v>1</v>
      </c>
      <c r="Z1818" s="31">
        <v>0</v>
      </c>
      <c r="AA1818" s="31" t="s">
        <v>212</v>
      </c>
      <c r="AB1818" s="31" t="s">
        <v>220</v>
      </c>
      <c r="AC1818" s="41">
        <f>IFERROR(LOOKUP(M1818,打分卡!$F$7:$J$7,打分卡!$K$7:$O$7),1)</f>
        <v>1</v>
      </c>
      <c r="AD1818" s="41">
        <f>IFERROR(LOOKUP(S1818,打分卡!$F$8:$J$8,打分卡!$K$8:$O$8),1)</f>
        <v>1</v>
      </c>
      <c r="AE1818" s="41">
        <f>IFERROR(LOOKUP(T1818,打分卡!$F$9:$I$9,打分卡!$K$9:$N$9),1)</f>
        <v>1</v>
      </c>
      <c r="AF1818" s="41">
        <f>IFERROR(LOOKUP(Q1818,打分卡!$F$10:$J$10,打分卡!$K$10:$O$10),1)</f>
        <v>1</v>
      </c>
      <c r="AG1818" s="41">
        <f>IFERROR(LOOKUP(R1818,打分卡!$F$11:$J$11,打分卡!$K$11:$O$11),1)</f>
        <v>1</v>
      </c>
      <c r="AH1818" s="41">
        <f>IFERROR(LOOKUP(U1818,打分卡!$F$12:$J$12,打分卡!$K$12:$O$12),1)</f>
        <v>3</v>
      </c>
      <c r="AI1818" s="41">
        <f>IFERROR(LOOKUP(X1818,打分卡!$F$13:$J$13,打分卡!$K$13:$O$13),1)</f>
        <v>1</v>
      </c>
      <c r="AJ1818" s="41">
        <f>IFERROR(LOOKUP(Y1818,打分卡!$F$14:$J$14,打分卡!$K$14:$O$14),1)</f>
        <v>2</v>
      </c>
      <c r="AK1818" s="41">
        <f>IFERROR(LOOKUP(W1818,打分卡!$F$15:$J$15,打分卡!$K$15:$O$15),1)</f>
        <v>2</v>
      </c>
      <c r="AL1818" s="43">
        <f t="shared" si="225"/>
        <v>1</v>
      </c>
      <c r="AM1818" s="41">
        <f>IFERROR(LOOKUP(Z1818,打分卡!$F$17:$H$17,打分卡!$K$17:$M$17),1)</f>
        <v>1</v>
      </c>
      <c r="AN1818" s="44">
        <f>(打分卡!$D$7*AC1818+打分卡!$D$8*AD1818+打分卡!$D$9*AE1818)/5</f>
        <v>8</v>
      </c>
      <c r="AO1818" s="44">
        <f>(打分卡!$D$10*AF1818+打分卡!$D$11*AG1818)/5</f>
        <v>4</v>
      </c>
      <c r="AP1818" s="44">
        <f>(打分卡!$D$12*AH1818+打分卡!$D$13*AI1818+打分卡!$D$14*AJ1818+打分卡!$D$15*AK1818)/5</f>
        <v>12.8</v>
      </c>
      <c r="AQ1818" s="44">
        <f>(打分卡!$D$16*AL1818+打分卡!$D$17*AM1818)/5</f>
        <v>2</v>
      </c>
      <c r="AR1818" s="47">
        <f t="shared" si="226"/>
        <v>26.8</v>
      </c>
      <c r="AS1818" s="43" t="str">
        <f t="shared" si="227"/>
        <v>未激活</v>
      </c>
      <c r="AT1818" s="43" t="str">
        <f t="shared" si="228"/>
        <v>连续下降-预警</v>
      </c>
      <c r="AU1818" s="43" t="str">
        <f t="shared" si="229"/>
        <v>唤醒：短信模板+首充补贴</v>
      </c>
    </row>
    <row r="1819" ht="15" customHeight="1" spans="1:47">
      <c r="A1819" s="20" t="s">
        <v>4610</v>
      </c>
      <c r="B1819" s="22" t="s">
        <v>4611</v>
      </c>
      <c r="C1819" s="22" t="s">
        <v>218</v>
      </c>
      <c r="D1819" s="22" t="s">
        <v>190</v>
      </c>
      <c r="E1819" s="22" t="s">
        <v>197</v>
      </c>
      <c r="F1819" s="20" t="s">
        <v>1329</v>
      </c>
      <c r="G1819" s="22">
        <v>15</v>
      </c>
      <c r="H1819" s="22" t="s">
        <v>3535</v>
      </c>
      <c r="I1819" s="22" t="s">
        <v>302</v>
      </c>
      <c r="J1819" s="36">
        <v>0</v>
      </c>
      <c r="K1819" s="36">
        <v>0</v>
      </c>
      <c r="L1819" s="36">
        <v>0</v>
      </c>
      <c r="M1819" s="36">
        <f t="shared" si="224"/>
        <v>0</v>
      </c>
      <c r="N1819" s="34">
        <f t="shared" si="230"/>
        <v>0</v>
      </c>
      <c r="O1819" s="35">
        <f>SUM($M$2:M1819)</f>
        <v>190743600</v>
      </c>
      <c r="P1819" s="34">
        <f t="shared" si="231"/>
        <v>1</v>
      </c>
      <c r="Q1819" s="39">
        <v>0</v>
      </c>
      <c r="R1819" s="22">
        <v>0</v>
      </c>
      <c r="S1819" s="22">
        <v>0</v>
      </c>
      <c r="T1819" s="22">
        <v>0</v>
      </c>
      <c r="U1819" s="39">
        <v>14.3</v>
      </c>
      <c r="V1819" s="22">
        <v>8</v>
      </c>
      <c r="W1819" s="22">
        <v>0</v>
      </c>
      <c r="X1819" s="40">
        <v>15</v>
      </c>
      <c r="Y1819" s="22">
        <v>0</v>
      </c>
      <c r="Z1819" s="22">
        <v>0</v>
      </c>
      <c r="AA1819" s="22" t="s">
        <v>212</v>
      </c>
      <c r="AB1819" s="22" t="s">
        <v>220</v>
      </c>
      <c r="AC1819" s="42">
        <f>IFERROR(LOOKUP(M1819,打分卡!$F$7:$J$7,打分卡!$K$7:$O$7),1)</f>
        <v>1</v>
      </c>
      <c r="AD1819" s="42">
        <f>IFERROR(LOOKUP(S1819,打分卡!$F$8:$J$8,打分卡!$K$8:$O$8),1)</f>
        <v>1</v>
      </c>
      <c r="AE1819" s="42">
        <f>IFERROR(LOOKUP(T1819,打分卡!$F$9:$I$9,打分卡!$K$9:$N$9),1)</f>
        <v>1</v>
      </c>
      <c r="AF1819" s="42">
        <f>IFERROR(LOOKUP(Q1819,打分卡!$F$10:$J$10,打分卡!$K$10:$O$10),1)</f>
        <v>1</v>
      </c>
      <c r="AG1819" s="42">
        <f>IFERROR(LOOKUP(R1819,打分卡!$F$11:$J$11,打分卡!$K$11:$O$11),1)</f>
        <v>1</v>
      </c>
      <c r="AH1819" s="42">
        <f>IFERROR(LOOKUP(U1819,打分卡!$F$12:$J$12,打分卡!$K$12:$O$12),1)</f>
        <v>3</v>
      </c>
      <c r="AI1819" s="42">
        <f>IFERROR(LOOKUP(X1819,打分卡!$F$13:$J$13,打分卡!$K$13:$O$13),1)</f>
        <v>1</v>
      </c>
      <c r="AJ1819" s="42">
        <f>IFERROR(LOOKUP(Y1819,打分卡!$F$14:$J$14,打分卡!$K$14:$O$14),1)</f>
        <v>1</v>
      </c>
      <c r="AK1819" s="42">
        <f>IFERROR(LOOKUP(W1819,打分卡!$F$15:$J$15,打分卡!$K$15:$O$15),1)</f>
        <v>1</v>
      </c>
      <c r="AL1819" s="45">
        <f t="shared" si="225"/>
        <v>1</v>
      </c>
      <c r="AM1819" s="42">
        <f>IFERROR(LOOKUP(Z1819,打分卡!$F$17:$H$17,打分卡!$K$17:$M$17),1)</f>
        <v>1</v>
      </c>
      <c r="AN1819" s="46">
        <f>(打分卡!$D$7*AC1819+打分卡!$D$8*AD1819+打分卡!$D$9*AE1819)/5</f>
        <v>8</v>
      </c>
      <c r="AO1819" s="46">
        <f>(打分卡!$D$10*AF1819+打分卡!$D$11*AG1819)/5</f>
        <v>4</v>
      </c>
      <c r="AP1819" s="46">
        <f>(打分卡!$D$12*AH1819+打分卡!$D$13*AI1819+打分卡!$D$14*AJ1819+打分卡!$D$15*AK1819)/5</f>
        <v>10.8</v>
      </c>
      <c r="AQ1819" s="46">
        <f>(打分卡!$D$16*AL1819+打分卡!$D$17*AM1819)/5</f>
        <v>2</v>
      </c>
      <c r="AR1819" s="48">
        <f t="shared" si="226"/>
        <v>24.8</v>
      </c>
      <c r="AS1819" s="45" t="str">
        <f t="shared" si="227"/>
        <v>未激活</v>
      </c>
      <c r="AT1819" s="45" t="str">
        <f t="shared" si="228"/>
        <v>连续下降-预警</v>
      </c>
      <c r="AU1819" s="45" t="str">
        <f t="shared" si="229"/>
        <v>唤醒：短信模板+首充补贴</v>
      </c>
    </row>
    <row r="1820" ht="15" customHeight="1" spans="1:47">
      <c r="A1820" s="30" t="s">
        <v>4612</v>
      </c>
      <c r="B1820" s="31" t="s">
        <v>4613</v>
      </c>
      <c r="C1820" s="31" t="s">
        <v>239</v>
      </c>
      <c r="D1820" s="31" t="s">
        <v>202</v>
      </c>
      <c r="E1820" s="31" t="s">
        <v>181</v>
      </c>
      <c r="F1820" s="30" t="s">
        <v>4193</v>
      </c>
      <c r="G1820" s="31">
        <v>27</v>
      </c>
      <c r="H1820" s="31" t="s">
        <v>3535</v>
      </c>
      <c r="I1820" s="31" t="s">
        <v>302</v>
      </c>
      <c r="J1820" s="33">
        <v>0</v>
      </c>
      <c r="K1820" s="33">
        <v>0</v>
      </c>
      <c r="L1820" s="33">
        <v>0</v>
      </c>
      <c r="M1820" s="33">
        <f t="shared" si="224"/>
        <v>0</v>
      </c>
      <c r="N1820" s="34">
        <f t="shared" si="230"/>
        <v>0</v>
      </c>
      <c r="O1820" s="35">
        <f>SUM($M$2:M1820)</f>
        <v>190743600</v>
      </c>
      <c r="P1820" s="34">
        <f t="shared" si="231"/>
        <v>1</v>
      </c>
      <c r="Q1820" s="37">
        <v>0</v>
      </c>
      <c r="R1820" s="31">
        <v>0</v>
      </c>
      <c r="S1820" s="31">
        <v>0</v>
      </c>
      <c r="T1820" s="31">
        <v>0</v>
      </c>
      <c r="U1820" s="37">
        <v>3.5</v>
      </c>
      <c r="V1820" s="31">
        <v>11</v>
      </c>
      <c r="W1820" s="31">
        <v>1</v>
      </c>
      <c r="X1820" s="38">
        <v>24</v>
      </c>
      <c r="Y1820" s="31">
        <v>0</v>
      </c>
      <c r="Z1820" s="31">
        <v>0</v>
      </c>
      <c r="AA1820" s="31" t="s">
        <v>212</v>
      </c>
      <c r="AB1820" s="31" t="s">
        <v>220</v>
      </c>
      <c r="AC1820" s="41">
        <f>IFERROR(LOOKUP(M1820,打分卡!$F$7:$J$7,打分卡!$K$7:$O$7),1)</f>
        <v>1</v>
      </c>
      <c r="AD1820" s="41">
        <f>IFERROR(LOOKUP(S1820,打分卡!$F$8:$J$8,打分卡!$K$8:$O$8),1)</f>
        <v>1</v>
      </c>
      <c r="AE1820" s="41">
        <f>IFERROR(LOOKUP(T1820,打分卡!$F$9:$I$9,打分卡!$K$9:$N$9),1)</f>
        <v>1</v>
      </c>
      <c r="AF1820" s="41">
        <f>IFERROR(LOOKUP(Q1820,打分卡!$F$10:$J$10,打分卡!$K$10:$O$10),1)</f>
        <v>1</v>
      </c>
      <c r="AG1820" s="41">
        <f>IFERROR(LOOKUP(R1820,打分卡!$F$11:$J$11,打分卡!$K$11:$O$11),1)</f>
        <v>1</v>
      </c>
      <c r="AH1820" s="41">
        <f>IFERROR(LOOKUP(U1820,打分卡!$F$12:$J$12,打分卡!$K$12:$O$12),1)</f>
        <v>2</v>
      </c>
      <c r="AI1820" s="41">
        <f>IFERROR(LOOKUP(X1820,打分卡!$F$13:$J$13,打分卡!$K$13:$O$13),1)</f>
        <v>2</v>
      </c>
      <c r="AJ1820" s="41">
        <f>IFERROR(LOOKUP(Y1820,打分卡!$F$14:$J$14,打分卡!$K$14:$O$14),1)</f>
        <v>1</v>
      </c>
      <c r="AK1820" s="41">
        <f>IFERROR(LOOKUP(W1820,打分卡!$F$15:$J$15,打分卡!$K$15:$O$15),1)</f>
        <v>2</v>
      </c>
      <c r="AL1820" s="43">
        <f t="shared" si="225"/>
        <v>1</v>
      </c>
      <c r="AM1820" s="41">
        <f>IFERROR(LOOKUP(Z1820,打分卡!$F$17:$H$17,打分卡!$K$17:$M$17),1)</f>
        <v>1</v>
      </c>
      <c r="AN1820" s="44">
        <f>(打分卡!$D$7*AC1820+打分卡!$D$8*AD1820+打分卡!$D$9*AE1820)/5</f>
        <v>8</v>
      </c>
      <c r="AO1820" s="44">
        <f>(打分卡!$D$10*AF1820+打分卡!$D$11*AG1820)/5</f>
        <v>4</v>
      </c>
      <c r="AP1820" s="44">
        <f>(打分卡!$D$12*AH1820+打分卡!$D$13*AI1820+打分卡!$D$14*AJ1820+打分卡!$D$15*AK1820)/5</f>
        <v>10.8</v>
      </c>
      <c r="AQ1820" s="44">
        <f>(打分卡!$D$16*AL1820+打分卡!$D$17*AM1820)/5</f>
        <v>2</v>
      </c>
      <c r="AR1820" s="47">
        <f t="shared" si="226"/>
        <v>24.8</v>
      </c>
      <c r="AS1820" s="43" t="str">
        <f t="shared" si="227"/>
        <v>未激活</v>
      </c>
      <c r="AT1820" s="43" t="str">
        <f t="shared" si="228"/>
        <v>连续下降-预警</v>
      </c>
      <c r="AU1820" s="43" t="str">
        <f t="shared" si="229"/>
        <v>唤醒：短信模板+首充补贴</v>
      </c>
    </row>
    <row r="1821" ht="15" customHeight="1" spans="1:47">
      <c r="A1821" s="20" t="s">
        <v>4614</v>
      </c>
      <c r="B1821" s="22" t="s">
        <v>4615</v>
      </c>
      <c r="C1821" s="22" t="s">
        <v>179</v>
      </c>
      <c r="D1821" s="22" t="s">
        <v>227</v>
      </c>
      <c r="E1821" s="22" t="s">
        <v>181</v>
      </c>
      <c r="F1821" s="20" t="s">
        <v>606</v>
      </c>
      <c r="G1821" s="22">
        <v>26</v>
      </c>
      <c r="H1821" s="22" t="s">
        <v>3535</v>
      </c>
      <c r="I1821" s="22" t="s">
        <v>302</v>
      </c>
      <c r="J1821" s="36">
        <v>0</v>
      </c>
      <c r="K1821" s="36">
        <v>0</v>
      </c>
      <c r="L1821" s="36">
        <v>0</v>
      </c>
      <c r="M1821" s="36">
        <f t="shared" si="224"/>
        <v>0</v>
      </c>
      <c r="N1821" s="34">
        <f t="shared" si="230"/>
        <v>0</v>
      </c>
      <c r="O1821" s="35">
        <f>SUM($M$2:M1821)</f>
        <v>190743600</v>
      </c>
      <c r="P1821" s="34">
        <f t="shared" si="231"/>
        <v>1</v>
      </c>
      <c r="Q1821" s="39">
        <v>0</v>
      </c>
      <c r="R1821" s="22">
        <v>0</v>
      </c>
      <c r="S1821" s="22">
        <v>0</v>
      </c>
      <c r="T1821" s="22">
        <v>0</v>
      </c>
      <c r="U1821" s="39">
        <v>17.5</v>
      </c>
      <c r="V1821" s="22">
        <v>0</v>
      </c>
      <c r="W1821" s="22">
        <v>1</v>
      </c>
      <c r="X1821" s="40">
        <v>12</v>
      </c>
      <c r="Y1821" s="22">
        <v>1</v>
      </c>
      <c r="Z1821" s="22">
        <v>0</v>
      </c>
      <c r="AA1821" s="22" t="s">
        <v>212</v>
      </c>
      <c r="AB1821" s="22" t="s">
        <v>220</v>
      </c>
      <c r="AC1821" s="42">
        <f>IFERROR(LOOKUP(M1821,打分卡!$F$7:$J$7,打分卡!$K$7:$O$7),1)</f>
        <v>1</v>
      </c>
      <c r="AD1821" s="42">
        <f>IFERROR(LOOKUP(S1821,打分卡!$F$8:$J$8,打分卡!$K$8:$O$8),1)</f>
        <v>1</v>
      </c>
      <c r="AE1821" s="42">
        <f>IFERROR(LOOKUP(T1821,打分卡!$F$9:$I$9,打分卡!$K$9:$N$9),1)</f>
        <v>1</v>
      </c>
      <c r="AF1821" s="42">
        <f>IFERROR(LOOKUP(Q1821,打分卡!$F$10:$J$10,打分卡!$K$10:$O$10),1)</f>
        <v>1</v>
      </c>
      <c r="AG1821" s="42">
        <f>IFERROR(LOOKUP(R1821,打分卡!$F$11:$J$11,打分卡!$K$11:$O$11),1)</f>
        <v>1</v>
      </c>
      <c r="AH1821" s="42">
        <f>IFERROR(LOOKUP(U1821,打分卡!$F$12:$J$12,打分卡!$K$12:$O$12),1)</f>
        <v>3</v>
      </c>
      <c r="AI1821" s="42">
        <f>IFERROR(LOOKUP(X1821,打分卡!$F$13:$J$13,打分卡!$K$13:$O$13),1)</f>
        <v>1</v>
      </c>
      <c r="AJ1821" s="42">
        <f>IFERROR(LOOKUP(Y1821,打分卡!$F$14:$J$14,打分卡!$K$14:$O$14),1)</f>
        <v>2</v>
      </c>
      <c r="AK1821" s="42">
        <f>IFERROR(LOOKUP(W1821,打分卡!$F$15:$J$15,打分卡!$K$15:$O$15),1)</f>
        <v>2</v>
      </c>
      <c r="AL1821" s="45">
        <f t="shared" si="225"/>
        <v>1</v>
      </c>
      <c r="AM1821" s="42">
        <f>IFERROR(LOOKUP(Z1821,打分卡!$F$17:$H$17,打分卡!$K$17:$M$17),1)</f>
        <v>1</v>
      </c>
      <c r="AN1821" s="46">
        <f>(打分卡!$D$7*AC1821+打分卡!$D$8*AD1821+打分卡!$D$9*AE1821)/5</f>
        <v>8</v>
      </c>
      <c r="AO1821" s="46">
        <f>(打分卡!$D$10*AF1821+打分卡!$D$11*AG1821)/5</f>
        <v>4</v>
      </c>
      <c r="AP1821" s="46">
        <f>(打分卡!$D$12*AH1821+打分卡!$D$13*AI1821+打分卡!$D$14*AJ1821+打分卡!$D$15*AK1821)/5</f>
        <v>12.8</v>
      </c>
      <c r="AQ1821" s="46">
        <f>(打分卡!$D$16*AL1821+打分卡!$D$17*AM1821)/5</f>
        <v>2</v>
      </c>
      <c r="AR1821" s="48">
        <f t="shared" si="226"/>
        <v>26.8</v>
      </c>
      <c r="AS1821" s="45" t="str">
        <f t="shared" si="227"/>
        <v>未激活</v>
      </c>
      <c r="AT1821" s="45" t="str">
        <f t="shared" si="228"/>
        <v>连续下降-预警</v>
      </c>
      <c r="AU1821" s="45" t="str">
        <f t="shared" si="229"/>
        <v>唤醒：短信模板+首充补贴</v>
      </c>
    </row>
    <row r="1822" ht="15" customHeight="1" spans="1:47">
      <c r="A1822" s="30" t="s">
        <v>4616</v>
      </c>
      <c r="B1822" s="31" t="s">
        <v>4617</v>
      </c>
      <c r="C1822" s="31" t="s">
        <v>223</v>
      </c>
      <c r="D1822" s="31" t="s">
        <v>202</v>
      </c>
      <c r="E1822" s="31" t="s">
        <v>197</v>
      </c>
      <c r="F1822" s="30" t="s">
        <v>4151</v>
      </c>
      <c r="G1822" s="31">
        <v>12</v>
      </c>
      <c r="H1822" s="31" t="s">
        <v>3535</v>
      </c>
      <c r="I1822" s="31" t="s">
        <v>302</v>
      </c>
      <c r="J1822" s="33">
        <v>0</v>
      </c>
      <c r="K1822" s="33">
        <v>0</v>
      </c>
      <c r="L1822" s="33">
        <v>0</v>
      </c>
      <c r="M1822" s="33">
        <f t="shared" si="224"/>
        <v>0</v>
      </c>
      <c r="N1822" s="34">
        <f t="shared" si="230"/>
        <v>0</v>
      </c>
      <c r="O1822" s="35">
        <f>SUM($M$2:M1822)</f>
        <v>190743600</v>
      </c>
      <c r="P1822" s="34">
        <f t="shared" si="231"/>
        <v>1</v>
      </c>
      <c r="Q1822" s="37">
        <v>0</v>
      </c>
      <c r="R1822" s="31">
        <v>0</v>
      </c>
      <c r="S1822" s="31">
        <v>0</v>
      </c>
      <c r="T1822" s="31">
        <v>0</v>
      </c>
      <c r="U1822" s="37">
        <v>5.5</v>
      </c>
      <c r="V1822" s="31">
        <v>5</v>
      </c>
      <c r="W1822" s="31">
        <v>1</v>
      </c>
      <c r="X1822" s="38">
        <v>29</v>
      </c>
      <c r="Y1822" s="31">
        <v>0</v>
      </c>
      <c r="Z1822" s="31">
        <v>0</v>
      </c>
      <c r="AA1822" s="31" t="s">
        <v>212</v>
      </c>
      <c r="AB1822" s="31" t="s">
        <v>220</v>
      </c>
      <c r="AC1822" s="41">
        <f>IFERROR(LOOKUP(M1822,打分卡!$F$7:$J$7,打分卡!$K$7:$O$7),1)</f>
        <v>1</v>
      </c>
      <c r="AD1822" s="41">
        <f>IFERROR(LOOKUP(S1822,打分卡!$F$8:$J$8,打分卡!$K$8:$O$8),1)</f>
        <v>1</v>
      </c>
      <c r="AE1822" s="41">
        <f>IFERROR(LOOKUP(T1822,打分卡!$F$9:$I$9,打分卡!$K$9:$N$9),1)</f>
        <v>1</v>
      </c>
      <c r="AF1822" s="41">
        <f>IFERROR(LOOKUP(Q1822,打分卡!$F$10:$J$10,打分卡!$K$10:$O$10),1)</f>
        <v>1</v>
      </c>
      <c r="AG1822" s="41">
        <f>IFERROR(LOOKUP(R1822,打分卡!$F$11:$J$11,打分卡!$K$11:$O$11),1)</f>
        <v>1</v>
      </c>
      <c r="AH1822" s="41">
        <f>IFERROR(LOOKUP(U1822,打分卡!$F$12:$J$12,打分卡!$K$12:$O$12),1)</f>
        <v>2</v>
      </c>
      <c r="AI1822" s="41">
        <f>IFERROR(LOOKUP(X1822,打分卡!$F$13:$J$13,打分卡!$K$13:$O$13),1)</f>
        <v>2</v>
      </c>
      <c r="AJ1822" s="41">
        <f>IFERROR(LOOKUP(Y1822,打分卡!$F$14:$J$14,打分卡!$K$14:$O$14),1)</f>
        <v>1</v>
      </c>
      <c r="AK1822" s="41">
        <f>IFERROR(LOOKUP(W1822,打分卡!$F$15:$J$15,打分卡!$K$15:$O$15),1)</f>
        <v>2</v>
      </c>
      <c r="AL1822" s="43">
        <f t="shared" si="225"/>
        <v>1</v>
      </c>
      <c r="AM1822" s="41">
        <f>IFERROR(LOOKUP(Z1822,打分卡!$F$17:$H$17,打分卡!$K$17:$M$17),1)</f>
        <v>1</v>
      </c>
      <c r="AN1822" s="44">
        <f>(打分卡!$D$7*AC1822+打分卡!$D$8*AD1822+打分卡!$D$9*AE1822)/5</f>
        <v>8</v>
      </c>
      <c r="AO1822" s="44">
        <f>(打分卡!$D$10*AF1822+打分卡!$D$11*AG1822)/5</f>
        <v>4</v>
      </c>
      <c r="AP1822" s="44">
        <f>(打分卡!$D$12*AH1822+打分卡!$D$13*AI1822+打分卡!$D$14*AJ1822+打分卡!$D$15*AK1822)/5</f>
        <v>10.8</v>
      </c>
      <c r="AQ1822" s="44">
        <f>(打分卡!$D$16*AL1822+打分卡!$D$17*AM1822)/5</f>
        <v>2</v>
      </c>
      <c r="AR1822" s="47">
        <f t="shared" si="226"/>
        <v>24.8</v>
      </c>
      <c r="AS1822" s="43" t="str">
        <f t="shared" si="227"/>
        <v>未激活</v>
      </c>
      <c r="AT1822" s="43" t="str">
        <f t="shared" si="228"/>
        <v>连续下降-预警</v>
      </c>
      <c r="AU1822" s="43" t="str">
        <f t="shared" si="229"/>
        <v>唤醒：短信模板+首充补贴</v>
      </c>
    </row>
    <row r="1823" ht="15" customHeight="1" spans="1:47">
      <c r="A1823" s="20" t="s">
        <v>4618</v>
      </c>
      <c r="B1823" s="22" t="s">
        <v>4619</v>
      </c>
      <c r="C1823" s="22" t="s">
        <v>234</v>
      </c>
      <c r="D1823" s="22" t="s">
        <v>202</v>
      </c>
      <c r="E1823" s="22" t="s">
        <v>197</v>
      </c>
      <c r="F1823" s="20" t="s">
        <v>1807</v>
      </c>
      <c r="G1823" s="22">
        <v>23</v>
      </c>
      <c r="H1823" s="22" t="s">
        <v>3535</v>
      </c>
      <c r="I1823" s="22" t="s">
        <v>302</v>
      </c>
      <c r="J1823" s="36">
        <v>0</v>
      </c>
      <c r="K1823" s="36">
        <v>0</v>
      </c>
      <c r="L1823" s="36">
        <v>0</v>
      </c>
      <c r="M1823" s="36">
        <f t="shared" si="224"/>
        <v>0</v>
      </c>
      <c r="N1823" s="34">
        <f t="shared" si="230"/>
        <v>0</v>
      </c>
      <c r="O1823" s="35">
        <f>SUM($M$2:M1823)</f>
        <v>190743600</v>
      </c>
      <c r="P1823" s="34">
        <f t="shared" si="231"/>
        <v>1</v>
      </c>
      <c r="Q1823" s="39">
        <v>0</v>
      </c>
      <c r="R1823" s="22">
        <v>0</v>
      </c>
      <c r="S1823" s="22">
        <v>0</v>
      </c>
      <c r="T1823" s="22">
        <v>0</v>
      </c>
      <c r="U1823" s="39">
        <v>22.1</v>
      </c>
      <c r="V1823" s="22">
        <v>1</v>
      </c>
      <c r="W1823" s="22">
        <v>2</v>
      </c>
      <c r="X1823" s="40">
        <v>14</v>
      </c>
      <c r="Y1823" s="22">
        <v>0</v>
      </c>
      <c r="Z1823" s="22">
        <v>0</v>
      </c>
      <c r="AA1823" s="22" t="s">
        <v>212</v>
      </c>
      <c r="AB1823" s="22" t="s">
        <v>220</v>
      </c>
      <c r="AC1823" s="42">
        <f>IFERROR(LOOKUP(M1823,打分卡!$F$7:$J$7,打分卡!$K$7:$O$7),1)</f>
        <v>1</v>
      </c>
      <c r="AD1823" s="42">
        <f>IFERROR(LOOKUP(S1823,打分卡!$F$8:$J$8,打分卡!$K$8:$O$8),1)</f>
        <v>1</v>
      </c>
      <c r="AE1823" s="42">
        <f>IFERROR(LOOKUP(T1823,打分卡!$F$9:$I$9,打分卡!$K$9:$N$9),1)</f>
        <v>1</v>
      </c>
      <c r="AF1823" s="42">
        <f>IFERROR(LOOKUP(Q1823,打分卡!$F$10:$J$10,打分卡!$K$10:$O$10),1)</f>
        <v>1</v>
      </c>
      <c r="AG1823" s="42">
        <f>IFERROR(LOOKUP(R1823,打分卡!$F$11:$J$11,打分卡!$K$11:$O$11),1)</f>
        <v>1</v>
      </c>
      <c r="AH1823" s="42">
        <f>IFERROR(LOOKUP(U1823,打分卡!$F$12:$J$12,打分卡!$K$12:$O$12),1)</f>
        <v>3</v>
      </c>
      <c r="AI1823" s="42">
        <f>IFERROR(LOOKUP(X1823,打分卡!$F$13:$J$13,打分卡!$K$13:$O$13),1)</f>
        <v>1</v>
      </c>
      <c r="AJ1823" s="42">
        <f>IFERROR(LOOKUP(Y1823,打分卡!$F$14:$J$14,打分卡!$K$14:$O$14),1)</f>
        <v>1</v>
      </c>
      <c r="AK1823" s="42">
        <f>IFERROR(LOOKUP(W1823,打分卡!$F$15:$J$15,打分卡!$K$15:$O$15),1)</f>
        <v>2</v>
      </c>
      <c r="AL1823" s="45">
        <f t="shared" si="225"/>
        <v>1</v>
      </c>
      <c r="AM1823" s="42">
        <f>IFERROR(LOOKUP(Z1823,打分卡!$F$17:$H$17,打分卡!$K$17:$M$17),1)</f>
        <v>1</v>
      </c>
      <c r="AN1823" s="46">
        <f>(打分卡!$D$7*AC1823+打分卡!$D$8*AD1823+打分卡!$D$9*AE1823)/5</f>
        <v>8</v>
      </c>
      <c r="AO1823" s="46">
        <f>(打分卡!$D$10*AF1823+打分卡!$D$11*AG1823)/5</f>
        <v>4</v>
      </c>
      <c r="AP1823" s="46">
        <f>(打分卡!$D$12*AH1823+打分卡!$D$13*AI1823+打分卡!$D$14*AJ1823+打分卡!$D$15*AK1823)/5</f>
        <v>11.6</v>
      </c>
      <c r="AQ1823" s="46">
        <f>(打分卡!$D$16*AL1823+打分卡!$D$17*AM1823)/5</f>
        <v>2</v>
      </c>
      <c r="AR1823" s="48">
        <f t="shared" si="226"/>
        <v>25.6</v>
      </c>
      <c r="AS1823" s="45" t="str">
        <f t="shared" si="227"/>
        <v>未激活</v>
      </c>
      <c r="AT1823" s="45" t="str">
        <f t="shared" si="228"/>
        <v>连续下降-预警</v>
      </c>
      <c r="AU1823" s="45" t="str">
        <f t="shared" si="229"/>
        <v>唤醒：短信模板+首充补贴</v>
      </c>
    </row>
    <row r="1824" ht="15" customHeight="1" spans="1:47">
      <c r="A1824" s="30" t="s">
        <v>4620</v>
      </c>
      <c r="B1824" s="31" t="s">
        <v>4621</v>
      </c>
      <c r="C1824" s="31" t="s">
        <v>218</v>
      </c>
      <c r="D1824" s="31" t="s">
        <v>196</v>
      </c>
      <c r="E1824" s="31" t="s">
        <v>197</v>
      </c>
      <c r="F1824" s="30" t="s">
        <v>746</v>
      </c>
      <c r="G1824" s="31">
        <v>3</v>
      </c>
      <c r="H1824" s="31" t="s">
        <v>642</v>
      </c>
      <c r="I1824" s="31" t="s">
        <v>302</v>
      </c>
      <c r="J1824" s="33">
        <v>0</v>
      </c>
      <c r="K1824" s="33">
        <v>0</v>
      </c>
      <c r="L1824" s="33">
        <v>0</v>
      </c>
      <c r="M1824" s="33">
        <f t="shared" si="224"/>
        <v>0</v>
      </c>
      <c r="N1824" s="34">
        <f t="shared" si="230"/>
        <v>0</v>
      </c>
      <c r="O1824" s="35">
        <f>SUM($M$2:M1824)</f>
        <v>190743600</v>
      </c>
      <c r="P1824" s="34">
        <f t="shared" si="231"/>
        <v>1</v>
      </c>
      <c r="Q1824" s="37">
        <v>0</v>
      </c>
      <c r="R1824" s="31">
        <v>0</v>
      </c>
      <c r="S1824" s="31">
        <v>0</v>
      </c>
      <c r="T1824" s="31">
        <v>0</v>
      </c>
      <c r="U1824" s="37">
        <v>483</v>
      </c>
      <c r="V1824" s="31">
        <v>5</v>
      </c>
      <c r="W1824" s="31">
        <v>24</v>
      </c>
      <c r="X1824" s="38">
        <v>1074</v>
      </c>
      <c r="Y1824" s="31">
        <v>4</v>
      </c>
      <c r="Z1824" s="31">
        <v>0</v>
      </c>
      <c r="AA1824" s="31" t="s">
        <v>199</v>
      </c>
      <c r="AB1824" s="31" t="s">
        <v>220</v>
      </c>
      <c r="AC1824" s="41">
        <f>IFERROR(LOOKUP(M1824,打分卡!$F$7:$J$7,打分卡!$K$7:$O$7),1)</f>
        <v>1</v>
      </c>
      <c r="AD1824" s="41">
        <f>IFERROR(LOOKUP(S1824,打分卡!$F$8:$J$8,打分卡!$K$8:$O$8),1)</f>
        <v>1</v>
      </c>
      <c r="AE1824" s="41">
        <f>IFERROR(LOOKUP(T1824,打分卡!$F$9:$I$9,打分卡!$K$9:$N$9),1)</f>
        <v>1</v>
      </c>
      <c r="AF1824" s="41">
        <f>IFERROR(LOOKUP(Q1824,打分卡!$F$10:$J$10,打分卡!$K$10:$O$10),1)</f>
        <v>1</v>
      </c>
      <c r="AG1824" s="41">
        <f>IFERROR(LOOKUP(R1824,打分卡!$F$11:$J$11,打分卡!$K$11:$O$11),1)</f>
        <v>1</v>
      </c>
      <c r="AH1824" s="41">
        <f>IFERROR(LOOKUP(U1824,打分卡!$F$12:$J$12,打分卡!$K$12:$O$12),1)</f>
        <v>5</v>
      </c>
      <c r="AI1824" s="41">
        <f>IFERROR(LOOKUP(X1824,打分卡!$F$13:$J$13,打分卡!$K$13:$O$13),1)</f>
        <v>5</v>
      </c>
      <c r="AJ1824" s="41">
        <f>IFERROR(LOOKUP(Y1824,打分卡!$F$14:$J$14,打分卡!$K$14:$O$14),1)</f>
        <v>4</v>
      </c>
      <c r="AK1824" s="41">
        <f>IFERROR(LOOKUP(W1824,打分卡!$F$15:$J$15,打分卡!$K$15:$O$15),1)</f>
        <v>5</v>
      </c>
      <c r="AL1824" s="43">
        <f t="shared" si="225"/>
        <v>5</v>
      </c>
      <c r="AM1824" s="41">
        <f>IFERROR(LOOKUP(Z1824,打分卡!$F$17:$H$17,打分卡!$K$17:$M$17),1)</f>
        <v>1</v>
      </c>
      <c r="AN1824" s="44">
        <f>(打分卡!$D$7*AC1824+打分卡!$D$8*AD1824+打分卡!$D$9*AE1824)/5</f>
        <v>8</v>
      </c>
      <c r="AO1824" s="44">
        <f>(打分卡!$D$10*AF1824+打分卡!$D$11*AG1824)/5</f>
        <v>4</v>
      </c>
      <c r="AP1824" s="44">
        <f>(打分卡!$D$12*AH1824+打分卡!$D$13*AI1824+打分卡!$D$14*AJ1824+打分卡!$D$15*AK1824)/5</f>
        <v>28.8</v>
      </c>
      <c r="AQ1824" s="44">
        <f>(打分卡!$D$16*AL1824+打分卡!$D$17*AM1824)/5</f>
        <v>6.8</v>
      </c>
      <c r="AR1824" s="47">
        <f t="shared" si="226"/>
        <v>47.6</v>
      </c>
      <c r="AS1824" s="43" t="str">
        <f t="shared" si="227"/>
        <v>未激活</v>
      </c>
      <c r="AT1824" s="43" t="str">
        <f t="shared" si="228"/>
        <v/>
      </c>
      <c r="AU1824" s="43" t="str">
        <f t="shared" si="229"/>
        <v>唤醒：短信模板+首充补贴</v>
      </c>
    </row>
    <row r="1825" ht="15" customHeight="1" spans="1:47">
      <c r="A1825" s="20" t="s">
        <v>4622</v>
      </c>
      <c r="B1825" s="22" t="s">
        <v>4623</v>
      </c>
      <c r="C1825" s="22" t="s">
        <v>223</v>
      </c>
      <c r="D1825" s="22" t="s">
        <v>227</v>
      </c>
      <c r="E1825" s="22" t="s">
        <v>197</v>
      </c>
      <c r="F1825" s="20" t="s">
        <v>2418</v>
      </c>
      <c r="G1825" s="22">
        <v>21</v>
      </c>
      <c r="H1825" s="22" t="s">
        <v>3535</v>
      </c>
      <c r="I1825" s="22" t="s">
        <v>302</v>
      </c>
      <c r="J1825" s="36">
        <v>0</v>
      </c>
      <c r="K1825" s="36">
        <v>0</v>
      </c>
      <c r="L1825" s="36">
        <v>0</v>
      </c>
      <c r="M1825" s="36">
        <f t="shared" si="224"/>
        <v>0</v>
      </c>
      <c r="N1825" s="34">
        <f t="shared" si="230"/>
        <v>0</v>
      </c>
      <c r="O1825" s="35">
        <f>SUM($M$2:M1825)</f>
        <v>190743600</v>
      </c>
      <c r="P1825" s="34">
        <f t="shared" si="231"/>
        <v>1</v>
      </c>
      <c r="Q1825" s="39">
        <v>0</v>
      </c>
      <c r="R1825" s="22">
        <v>0</v>
      </c>
      <c r="S1825" s="22">
        <v>0</v>
      </c>
      <c r="T1825" s="22">
        <v>0</v>
      </c>
      <c r="U1825" s="39">
        <v>39.6</v>
      </c>
      <c r="V1825" s="22">
        <v>12</v>
      </c>
      <c r="W1825" s="22">
        <v>0</v>
      </c>
      <c r="X1825" s="40">
        <v>15</v>
      </c>
      <c r="Y1825" s="22">
        <v>1</v>
      </c>
      <c r="Z1825" s="22">
        <v>0</v>
      </c>
      <c r="AA1825" s="22" t="s">
        <v>212</v>
      </c>
      <c r="AB1825" s="22" t="s">
        <v>220</v>
      </c>
      <c r="AC1825" s="42">
        <f>IFERROR(LOOKUP(M1825,打分卡!$F$7:$J$7,打分卡!$K$7:$O$7),1)</f>
        <v>1</v>
      </c>
      <c r="AD1825" s="42">
        <f>IFERROR(LOOKUP(S1825,打分卡!$F$8:$J$8,打分卡!$K$8:$O$8),1)</f>
        <v>1</v>
      </c>
      <c r="AE1825" s="42">
        <f>IFERROR(LOOKUP(T1825,打分卡!$F$9:$I$9,打分卡!$K$9:$N$9),1)</f>
        <v>1</v>
      </c>
      <c r="AF1825" s="42">
        <f>IFERROR(LOOKUP(Q1825,打分卡!$F$10:$J$10,打分卡!$K$10:$O$10),1)</f>
        <v>1</v>
      </c>
      <c r="AG1825" s="42">
        <f>IFERROR(LOOKUP(R1825,打分卡!$F$11:$J$11,打分卡!$K$11:$O$11),1)</f>
        <v>1</v>
      </c>
      <c r="AH1825" s="42">
        <f>IFERROR(LOOKUP(U1825,打分卡!$F$12:$J$12,打分卡!$K$12:$O$12),1)</f>
        <v>4</v>
      </c>
      <c r="AI1825" s="42">
        <f>IFERROR(LOOKUP(X1825,打分卡!$F$13:$J$13,打分卡!$K$13:$O$13),1)</f>
        <v>1</v>
      </c>
      <c r="AJ1825" s="42">
        <f>IFERROR(LOOKUP(Y1825,打分卡!$F$14:$J$14,打分卡!$K$14:$O$14),1)</f>
        <v>2</v>
      </c>
      <c r="AK1825" s="42">
        <f>IFERROR(LOOKUP(W1825,打分卡!$F$15:$J$15,打分卡!$K$15:$O$15),1)</f>
        <v>1</v>
      </c>
      <c r="AL1825" s="45">
        <f t="shared" si="225"/>
        <v>1</v>
      </c>
      <c r="AM1825" s="42">
        <f>IFERROR(LOOKUP(Z1825,打分卡!$F$17:$H$17,打分卡!$K$17:$M$17),1)</f>
        <v>1</v>
      </c>
      <c r="AN1825" s="46">
        <f>(打分卡!$D$7*AC1825+打分卡!$D$8*AD1825+打分卡!$D$9*AE1825)/5</f>
        <v>8</v>
      </c>
      <c r="AO1825" s="46">
        <f>(打分卡!$D$10*AF1825+打分卡!$D$11*AG1825)/5</f>
        <v>4</v>
      </c>
      <c r="AP1825" s="46">
        <f>(打分卡!$D$12*AH1825+打分卡!$D$13*AI1825+打分卡!$D$14*AJ1825+打分卡!$D$15*AK1825)/5</f>
        <v>14.4</v>
      </c>
      <c r="AQ1825" s="46">
        <f>(打分卡!$D$16*AL1825+打分卡!$D$17*AM1825)/5</f>
        <v>2</v>
      </c>
      <c r="AR1825" s="48">
        <f t="shared" si="226"/>
        <v>28.4</v>
      </c>
      <c r="AS1825" s="45" t="str">
        <f t="shared" si="227"/>
        <v>未激活</v>
      </c>
      <c r="AT1825" s="45" t="str">
        <f t="shared" si="228"/>
        <v>连续下降-预警</v>
      </c>
      <c r="AU1825" s="45" t="str">
        <f t="shared" si="229"/>
        <v>唤醒：短信模板+首充补贴</v>
      </c>
    </row>
    <row r="1826" ht="15" customHeight="1" spans="1:47">
      <c r="A1826" s="30" t="s">
        <v>4624</v>
      </c>
      <c r="B1826" s="31" t="s">
        <v>4625</v>
      </c>
      <c r="C1826" s="31" t="s">
        <v>179</v>
      </c>
      <c r="D1826" s="31" t="s">
        <v>190</v>
      </c>
      <c r="E1826" s="31" t="s">
        <v>181</v>
      </c>
      <c r="F1826" s="30" t="s">
        <v>407</v>
      </c>
      <c r="G1826" s="31">
        <v>21</v>
      </c>
      <c r="H1826" s="31" t="s">
        <v>3535</v>
      </c>
      <c r="I1826" s="31" t="s">
        <v>302</v>
      </c>
      <c r="J1826" s="33">
        <v>0</v>
      </c>
      <c r="K1826" s="33">
        <v>0</v>
      </c>
      <c r="L1826" s="33">
        <v>0</v>
      </c>
      <c r="M1826" s="33">
        <f t="shared" si="224"/>
        <v>0</v>
      </c>
      <c r="N1826" s="34">
        <f t="shared" si="230"/>
        <v>0</v>
      </c>
      <c r="O1826" s="35">
        <f>SUM($M$2:M1826)</f>
        <v>190743600</v>
      </c>
      <c r="P1826" s="34">
        <f t="shared" si="231"/>
        <v>1</v>
      </c>
      <c r="Q1826" s="37">
        <v>0</v>
      </c>
      <c r="R1826" s="31">
        <v>0</v>
      </c>
      <c r="S1826" s="31">
        <v>0</v>
      </c>
      <c r="T1826" s="31">
        <v>0</v>
      </c>
      <c r="U1826" s="37">
        <v>3.2</v>
      </c>
      <c r="V1826" s="31">
        <v>0</v>
      </c>
      <c r="W1826" s="31">
        <v>1</v>
      </c>
      <c r="X1826" s="38">
        <v>60</v>
      </c>
      <c r="Y1826" s="31">
        <v>0</v>
      </c>
      <c r="Z1826" s="31">
        <v>0</v>
      </c>
      <c r="AA1826" s="31" t="s">
        <v>212</v>
      </c>
      <c r="AB1826" s="31" t="s">
        <v>220</v>
      </c>
      <c r="AC1826" s="41">
        <f>IFERROR(LOOKUP(M1826,打分卡!$F$7:$J$7,打分卡!$K$7:$O$7),1)</f>
        <v>1</v>
      </c>
      <c r="AD1826" s="41">
        <f>IFERROR(LOOKUP(S1826,打分卡!$F$8:$J$8,打分卡!$K$8:$O$8),1)</f>
        <v>1</v>
      </c>
      <c r="AE1826" s="41">
        <f>IFERROR(LOOKUP(T1826,打分卡!$F$9:$I$9,打分卡!$K$9:$N$9),1)</f>
        <v>1</v>
      </c>
      <c r="AF1826" s="41">
        <f>IFERROR(LOOKUP(Q1826,打分卡!$F$10:$J$10,打分卡!$K$10:$O$10),1)</f>
        <v>1</v>
      </c>
      <c r="AG1826" s="41">
        <f>IFERROR(LOOKUP(R1826,打分卡!$F$11:$J$11,打分卡!$K$11:$O$11),1)</f>
        <v>1</v>
      </c>
      <c r="AH1826" s="41">
        <f>IFERROR(LOOKUP(U1826,打分卡!$F$12:$J$12,打分卡!$K$12:$O$12),1)</f>
        <v>2</v>
      </c>
      <c r="AI1826" s="41">
        <f>IFERROR(LOOKUP(X1826,打分卡!$F$13:$J$13,打分卡!$K$13:$O$13),1)</f>
        <v>3</v>
      </c>
      <c r="AJ1826" s="41">
        <f>IFERROR(LOOKUP(Y1826,打分卡!$F$14:$J$14,打分卡!$K$14:$O$14),1)</f>
        <v>1</v>
      </c>
      <c r="AK1826" s="41">
        <f>IFERROR(LOOKUP(W1826,打分卡!$F$15:$J$15,打分卡!$K$15:$O$15),1)</f>
        <v>2</v>
      </c>
      <c r="AL1826" s="43">
        <f t="shared" si="225"/>
        <v>1</v>
      </c>
      <c r="AM1826" s="41">
        <f>IFERROR(LOOKUP(Z1826,打分卡!$F$17:$H$17,打分卡!$K$17:$M$17),1)</f>
        <v>1</v>
      </c>
      <c r="AN1826" s="44">
        <f>(打分卡!$D$7*AC1826+打分卡!$D$8*AD1826+打分卡!$D$9*AE1826)/5</f>
        <v>8</v>
      </c>
      <c r="AO1826" s="44">
        <f>(打分卡!$D$10*AF1826+打分卡!$D$11*AG1826)/5</f>
        <v>4</v>
      </c>
      <c r="AP1826" s="44">
        <f>(打分卡!$D$12*AH1826+打分卡!$D$13*AI1826+打分卡!$D$14*AJ1826+打分卡!$D$15*AK1826)/5</f>
        <v>12.4</v>
      </c>
      <c r="AQ1826" s="44">
        <f>(打分卡!$D$16*AL1826+打分卡!$D$17*AM1826)/5</f>
        <v>2</v>
      </c>
      <c r="AR1826" s="47">
        <f t="shared" si="226"/>
        <v>26.4</v>
      </c>
      <c r="AS1826" s="43" t="str">
        <f t="shared" si="227"/>
        <v>未激活</v>
      </c>
      <c r="AT1826" s="43" t="str">
        <f t="shared" si="228"/>
        <v>连续下降-预警</v>
      </c>
      <c r="AU1826" s="43" t="str">
        <f t="shared" si="229"/>
        <v>唤醒：短信模板+首充补贴</v>
      </c>
    </row>
    <row r="1827" ht="15" customHeight="1" spans="1:47">
      <c r="A1827" s="20" t="s">
        <v>4626</v>
      </c>
      <c r="B1827" s="22" t="s">
        <v>4627</v>
      </c>
      <c r="C1827" s="22" t="s">
        <v>218</v>
      </c>
      <c r="D1827" s="22" t="s">
        <v>227</v>
      </c>
      <c r="E1827" s="22" t="s">
        <v>181</v>
      </c>
      <c r="F1827" s="20" t="s">
        <v>407</v>
      </c>
      <c r="G1827" s="22">
        <v>21</v>
      </c>
      <c r="H1827" s="22" t="s">
        <v>3535</v>
      </c>
      <c r="I1827" s="22" t="s">
        <v>302</v>
      </c>
      <c r="J1827" s="36">
        <v>0</v>
      </c>
      <c r="K1827" s="36">
        <v>0</v>
      </c>
      <c r="L1827" s="36">
        <v>0</v>
      </c>
      <c r="M1827" s="36">
        <f t="shared" si="224"/>
        <v>0</v>
      </c>
      <c r="N1827" s="34">
        <f t="shared" si="230"/>
        <v>0</v>
      </c>
      <c r="O1827" s="35">
        <f>SUM($M$2:M1827)</f>
        <v>190743600</v>
      </c>
      <c r="P1827" s="34">
        <f t="shared" si="231"/>
        <v>1</v>
      </c>
      <c r="Q1827" s="39">
        <v>0</v>
      </c>
      <c r="R1827" s="22">
        <v>0</v>
      </c>
      <c r="S1827" s="22">
        <v>0</v>
      </c>
      <c r="T1827" s="22">
        <v>0</v>
      </c>
      <c r="U1827" s="39">
        <v>9.6</v>
      </c>
      <c r="V1827" s="22">
        <v>13</v>
      </c>
      <c r="W1827" s="22">
        <v>1</v>
      </c>
      <c r="X1827" s="40">
        <v>5</v>
      </c>
      <c r="Y1827" s="22">
        <v>0</v>
      </c>
      <c r="Z1827" s="22">
        <v>0</v>
      </c>
      <c r="AA1827" s="22" t="s">
        <v>212</v>
      </c>
      <c r="AB1827" s="22" t="s">
        <v>220</v>
      </c>
      <c r="AC1827" s="42">
        <f>IFERROR(LOOKUP(M1827,打分卡!$F$7:$J$7,打分卡!$K$7:$O$7),1)</f>
        <v>1</v>
      </c>
      <c r="AD1827" s="42">
        <f>IFERROR(LOOKUP(S1827,打分卡!$F$8:$J$8,打分卡!$K$8:$O$8),1)</f>
        <v>1</v>
      </c>
      <c r="AE1827" s="42">
        <f>IFERROR(LOOKUP(T1827,打分卡!$F$9:$I$9,打分卡!$K$9:$N$9),1)</f>
        <v>1</v>
      </c>
      <c r="AF1827" s="42">
        <f>IFERROR(LOOKUP(Q1827,打分卡!$F$10:$J$10,打分卡!$K$10:$O$10),1)</f>
        <v>1</v>
      </c>
      <c r="AG1827" s="42">
        <f>IFERROR(LOOKUP(R1827,打分卡!$F$11:$J$11,打分卡!$K$11:$O$11),1)</f>
        <v>1</v>
      </c>
      <c r="AH1827" s="42">
        <f>IFERROR(LOOKUP(U1827,打分卡!$F$12:$J$12,打分卡!$K$12:$O$12),1)</f>
        <v>2</v>
      </c>
      <c r="AI1827" s="42">
        <f>IFERROR(LOOKUP(X1827,打分卡!$F$13:$J$13,打分卡!$K$13:$O$13),1)</f>
        <v>1</v>
      </c>
      <c r="AJ1827" s="42">
        <f>IFERROR(LOOKUP(Y1827,打分卡!$F$14:$J$14,打分卡!$K$14:$O$14),1)</f>
        <v>1</v>
      </c>
      <c r="AK1827" s="42">
        <f>IFERROR(LOOKUP(W1827,打分卡!$F$15:$J$15,打分卡!$K$15:$O$15),1)</f>
        <v>2</v>
      </c>
      <c r="AL1827" s="45">
        <f t="shared" si="225"/>
        <v>1</v>
      </c>
      <c r="AM1827" s="42">
        <f>IFERROR(LOOKUP(Z1827,打分卡!$F$17:$H$17,打分卡!$K$17:$M$17),1)</f>
        <v>1</v>
      </c>
      <c r="AN1827" s="46">
        <f>(打分卡!$D$7*AC1827+打分卡!$D$8*AD1827+打分卡!$D$9*AE1827)/5</f>
        <v>8</v>
      </c>
      <c r="AO1827" s="46">
        <f>(打分卡!$D$10*AF1827+打分卡!$D$11*AG1827)/5</f>
        <v>4</v>
      </c>
      <c r="AP1827" s="46">
        <f>(打分卡!$D$12*AH1827+打分卡!$D$13*AI1827+打分卡!$D$14*AJ1827+打分卡!$D$15*AK1827)/5</f>
        <v>9.2</v>
      </c>
      <c r="AQ1827" s="46">
        <f>(打分卡!$D$16*AL1827+打分卡!$D$17*AM1827)/5</f>
        <v>2</v>
      </c>
      <c r="AR1827" s="48">
        <f t="shared" si="226"/>
        <v>23.2</v>
      </c>
      <c r="AS1827" s="45" t="str">
        <f t="shared" si="227"/>
        <v>未激活</v>
      </c>
      <c r="AT1827" s="45" t="str">
        <f t="shared" si="228"/>
        <v>连续下降-预警</v>
      </c>
      <c r="AU1827" s="45" t="str">
        <f t="shared" si="229"/>
        <v>唤醒：短信模板+首充补贴</v>
      </c>
    </row>
    <row r="1828" ht="15" customHeight="1" spans="1:47">
      <c r="A1828" s="30" t="s">
        <v>4628</v>
      </c>
      <c r="B1828" s="31" t="s">
        <v>4629</v>
      </c>
      <c r="C1828" s="31" t="s">
        <v>179</v>
      </c>
      <c r="D1828" s="31" t="s">
        <v>190</v>
      </c>
      <c r="E1828" s="31" t="s">
        <v>181</v>
      </c>
      <c r="F1828" s="30" t="s">
        <v>3565</v>
      </c>
      <c r="G1828" s="31">
        <v>25</v>
      </c>
      <c r="H1828" s="31" t="s">
        <v>3535</v>
      </c>
      <c r="I1828" s="31" t="s">
        <v>302</v>
      </c>
      <c r="J1828" s="33">
        <v>0</v>
      </c>
      <c r="K1828" s="33">
        <v>0</v>
      </c>
      <c r="L1828" s="33">
        <v>0</v>
      </c>
      <c r="M1828" s="33">
        <f t="shared" si="224"/>
        <v>0</v>
      </c>
      <c r="N1828" s="34">
        <f t="shared" si="230"/>
        <v>0</v>
      </c>
      <c r="O1828" s="35">
        <f>SUM($M$2:M1828)</f>
        <v>190743600</v>
      </c>
      <c r="P1828" s="34">
        <f t="shared" si="231"/>
        <v>1</v>
      </c>
      <c r="Q1828" s="37">
        <v>0</v>
      </c>
      <c r="R1828" s="31">
        <v>0</v>
      </c>
      <c r="S1828" s="31">
        <v>0</v>
      </c>
      <c r="T1828" s="31">
        <v>0</v>
      </c>
      <c r="U1828" s="37">
        <v>8.1</v>
      </c>
      <c r="V1828" s="31">
        <v>7</v>
      </c>
      <c r="W1828" s="31">
        <v>1</v>
      </c>
      <c r="X1828" s="38">
        <v>17</v>
      </c>
      <c r="Y1828" s="31">
        <v>1</v>
      </c>
      <c r="Z1828" s="31">
        <v>0</v>
      </c>
      <c r="AA1828" s="31" t="s">
        <v>212</v>
      </c>
      <c r="AB1828" s="31" t="s">
        <v>220</v>
      </c>
      <c r="AC1828" s="41">
        <f>IFERROR(LOOKUP(M1828,打分卡!$F$7:$J$7,打分卡!$K$7:$O$7),1)</f>
        <v>1</v>
      </c>
      <c r="AD1828" s="41">
        <f>IFERROR(LOOKUP(S1828,打分卡!$F$8:$J$8,打分卡!$K$8:$O$8),1)</f>
        <v>1</v>
      </c>
      <c r="AE1828" s="41">
        <f>IFERROR(LOOKUP(T1828,打分卡!$F$9:$I$9,打分卡!$K$9:$N$9),1)</f>
        <v>1</v>
      </c>
      <c r="AF1828" s="41">
        <f>IFERROR(LOOKUP(Q1828,打分卡!$F$10:$J$10,打分卡!$K$10:$O$10),1)</f>
        <v>1</v>
      </c>
      <c r="AG1828" s="41">
        <f>IFERROR(LOOKUP(R1828,打分卡!$F$11:$J$11,打分卡!$K$11:$O$11),1)</f>
        <v>1</v>
      </c>
      <c r="AH1828" s="41">
        <f>IFERROR(LOOKUP(U1828,打分卡!$F$12:$J$12,打分卡!$K$12:$O$12),1)</f>
        <v>2</v>
      </c>
      <c r="AI1828" s="41">
        <f>IFERROR(LOOKUP(X1828,打分卡!$F$13:$J$13,打分卡!$K$13:$O$13),1)</f>
        <v>1</v>
      </c>
      <c r="AJ1828" s="41">
        <f>IFERROR(LOOKUP(Y1828,打分卡!$F$14:$J$14,打分卡!$K$14:$O$14),1)</f>
        <v>2</v>
      </c>
      <c r="AK1828" s="41">
        <f>IFERROR(LOOKUP(W1828,打分卡!$F$15:$J$15,打分卡!$K$15:$O$15),1)</f>
        <v>2</v>
      </c>
      <c r="AL1828" s="43">
        <f t="shared" si="225"/>
        <v>1</v>
      </c>
      <c r="AM1828" s="41">
        <f>IFERROR(LOOKUP(Z1828,打分卡!$F$17:$H$17,打分卡!$K$17:$M$17),1)</f>
        <v>1</v>
      </c>
      <c r="AN1828" s="44">
        <f>(打分卡!$D$7*AC1828+打分卡!$D$8*AD1828+打分卡!$D$9*AE1828)/5</f>
        <v>8</v>
      </c>
      <c r="AO1828" s="44">
        <f>(打分卡!$D$10*AF1828+打分卡!$D$11*AG1828)/5</f>
        <v>4</v>
      </c>
      <c r="AP1828" s="44">
        <f>(打分卡!$D$12*AH1828+打分卡!$D$13*AI1828+打分卡!$D$14*AJ1828+打分卡!$D$15*AK1828)/5</f>
        <v>10.4</v>
      </c>
      <c r="AQ1828" s="44">
        <f>(打分卡!$D$16*AL1828+打分卡!$D$17*AM1828)/5</f>
        <v>2</v>
      </c>
      <c r="AR1828" s="47">
        <f t="shared" si="226"/>
        <v>24.4</v>
      </c>
      <c r="AS1828" s="43" t="str">
        <f t="shared" si="227"/>
        <v>未激活</v>
      </c>
      <c r="AT1828" s="43" t="str">
        <f t="shared" si="228"/>
        <v>连续下降-预警</v>
      </c>
      <c r="AU1828" s="43" t="str">
        <f t="shared" si="229"/>
        <v>唤醒：短信模板+首充补贴</v>
      </c>
    </row>
    <row r="1829" ht="15" customHeight="1" spans="1:47">
      <c r="A1829" s="20" t="s">
        <v>4630</v>
      </c>
      <c r="B1829" s="22" t="s">
        <v>4631</v>
      </c>
      <c r="C1829" s="22" t="s">
        <v>189</v>
      </c>
      <c r="D1829" s="22" t="s">
        <v>227</v>
      </c>
      <c r="E1829" s="22" t="s">
        <v>181</v>
      </c>
      <c r="F1829" s="20" t="s">
        <v>3544</v>
      </c>
      <c r="G1829" s="22">
        <v>29</v>
      </c>
      <c r="H1829" s="22" t="s">
        <v>3535</v>
      </c>
      <c r="I1829" s="22" t="s">
        <v>302</v>
      </c>
      <c r="J1829" s="36">
        <v>0</v>
      </c>
      <c r="K1829" s="36">
        <v>0</v>
      </c>
      <c r="L1829" s="36">
        <v>0</v>
      </c>
      <c r="M1829" s="36">
        <f t="shared" si="224"/>
        <v>0</v>
      </c>
      <c r="N1829" s="34">
        <f t="shared" si="230"/>
        <v>0</v>
      </c>
      <c r="O1829" s="35">
        <f>SUM($M$2:M1829)</f>
        <v>190743600</v>
      </c>
      <c r="P1829" s="34">
        <f t="shared" si="231"/>
        <v>1</v>
      </c>
      <c r="Q1829" s="39">
        <v>0</v>
      </c>
      <c r="R1829" s="22">
        <v>0</v>
      </c>
      <c r="S1829" s="22">
        <v>0</v>
      </c>
      <c r="T1829" s="22">
        <v>0</v>
      </c>
      <c r="U1829" s="39">
        <v>1</v>
      </c>
      <c r="V1829" s="22">
        <v>6</v>
      </c>
      <c r="W1829" s="22">
        <v>1</v>
      </c>
      <c r="X1829" s="40">
        <v>10</v>
      </c>
      <c r="Y1829" s="22">
        <v>0</v>
      </c>
      <c r="Z1829" s="22">
        <v>0</v>
      </c>
      <c r="AA1829" s="22" t="s">
        <v>212</v>
      </c>
      <c r="AB1829" s="22" t="s">
        <v>220</v>
      </c>
      <c r="AC1829" s="42">
        <f>IFERROR(LOOKUP(M1829,打分卡!$F$7:$J$7,打分卡!$K$7:$O$7),1)</f>
        <v>1</v>
      </c>
      <c r="AD1829" s="42">
        <f>IFERROR(LOOKUP(S1829,打分卡!$F$8:$J$8,打分卡!$K$8:$O$8),1)</f>
        <v>1</v>
      </c>
      <c r="AE1829" s="42">
        <f>IFERROR(LOOKUP(T1829,打分卡!$F$9:$I$9,打分卡!$K$9:$N$9),1)</f>
        <v>1</v>
      </c>
      <c r="AF1829" s="42">
        <f>IFERROR(LOOKUP(Q1829,打分卡!$F$10:$J$10,打分卡!$K$10:$O$10),1)</f>
        <v>1</v>
      </c>
      <c r="AG1829" s="42">
        <f>IFERROR(LOOKUP(R1829,打分卡!$F$11:$J$11,打分卡!$K$11:$O$11),1)</f>
        <v>1</v>
      </c>
      <c r="AH1829" s="42">
        <f>IFERROR(LOOKUP(U1829,打分卡!$F$12:$J$12,打分卡!$K$12:$O$12),1)</f>
        <v>1</v>
      </c>
      <c r="AI1829" s="42">
        <f>IFERROR(LOOKUP(X1829,打分卡!$F$13:$J$13,打分卡!$K$13:$O$13),1)</f>
        <v>1</v>
      </c>
      <c r="AJ1829" s="42">
        <f>IFERROR(LOOKUP(Y1829,打分卡!$F$14:$J$14,打分卡!$K$14:$O$14),1)</f>
        <v>1</v>
      </c>
      <c r="AK1829" s="42">
        <f>IFERROR(LOOKUP(W1829,打分卡!$F$15:$J$15,打分卡!$K$15:$O$15),1)</f>
        <v>2</v>
      </c>
      <c r="AL1829" s="45">
        <f t="shared" si="225"/>
        <v>1</v>
      </c>
      <c r="AM1829" s="42">
        <f>IFERROR(LOOKUP(Z1829,打分卡!$F$17:$H$17,打分卡!$K$17:$M$17),1)</f>
        <v>1</v>
      </c>
      <c r="AN1829" s="46">
        <f>(打分卡!$D$7*AC1829+打分卡!$D$8*AD1829+打分卡!$D$9*AE1829)/5</f>
        <v>8</v>
      </c>
      <c r="AO1829" s="46">
        <f>(打分卡!$D$10*AF1829+打分卡!$D$11*AG1829)/5</f>
        <v>4</v>
      </c>
      <c r="AP1829" s="46">
        <f>(打分卡!$D$12*AH1829+打分卡!$D$13*AI1829+打分卡!$D$14*AJ1829+打分卡!$D$15*AK1829)/5</f>
        <v>6.8</v>
      </c>
      <c r="AQ1829" s="46">
        <f>(打分卡!$D$16*AL1829+打分卡!$D$17*AM1829)/5</f>
        <v>2</v>
      </c>
      <c r="AR1829" s="48">
        <f t="shared" si="226"/>
        <v>20.8</v>
      </c>
      <c r="AS1829" s="45" t="str">
        <f t="shared" si="227"/>
        <v>未激活</v>
      </c>
      <c r="AT1829" s="45" t="str">
        <f t="shared" si="228"/>
        <v>连续下降-预警</v>
      </c>
      <c r="AU1829" s="45" t="str">
        <f t="shared" si="229"/>
        <v>唤醒：短信模板+首充补贴</v>
      </c>
    </row>
    <row r="1830" ht="15" customHeight="1" spans="1:47">
      <c r="A1830" s="30" t="s">
        <v>4632</v>
      </c>
      <c r="B1830" s="31" t="s">
        <v>4633</v>
      </c>
      <c r="C1830" s="31" t="s">
        <v>239</v>
      </c>
      <c r="D1830" s="31" t="s">
        <v>235</v>
      </c>
      <c r="E1830" s="31" t="s">
        <v>181</v>
      </c>
      <c r="F1830" s="30" t="s">
        <v>4634</v>
      </c>
      <c r="G1830" s="31">
        <v>29</v>
      </c>
      <c r="H1830" s="31" t="s">
        <v>3535</v>
      </c>
      <c r="I1830" s="31" t="s">
        <v>302</v>
      </c>
      <c r="J1830" s="33">
        <v>0</v>
      </c>
      <c r="K1830" s="33">
        <v>0</v>
      </c>
      <c r="L1830" s="33">
        <v>0</v>
      </c>
      <c r="M1830" s="33">
        <f t="shared" si="224"/>
        <v>0</v>
      </c>
      <c r="N1830" s="34">
        <f t="shared" si="230"/>
        <v>0</v>
      </c>
      <c r="O1830" s="35">
        <f>SUM($M$2:M1830)</f>
        <v>190743600</v>
      </c>
      <c r="P1830" s="34">
        <f t="shared" si="231"/>
        <v>1</v>
      </c>
      <c r="Q1830" s="37">
        <v>0</v>
      </c>
      <c r="R1830" s="31">
        <v>0</v>
      </c>
      <c r="S1830" s="31">
        <v>0</v>
      </c>
      <c r="T1830" s="31">
        <v>0</v>
      </c>
      <c r="U1830" s="37">
        <v>10.2</v>
      </c>
      <c r="V1830" s="31">
        <v>12</v>
      </c>
      <c r="W1830" s="31">
        <v>1</v>
      </c>
      <c r="X1830" s="38">
        <v>23</v>
      </c>
      <c r="Y1830" s="31">
        <v>1</v>
      </c>
      <c r="Z1830" s="31">
        <v>0</v>
      </c>
      <c r="AA1830" s="31" t="s">
        <v>212</v>
      </c>
      <c r="AB1830" s="31" t="s">
        <v>220</v>
      </c>
      <c r="AC1830" s="41">
        <f>IFERROR(LOOKUP(M1830,打分卡!$F$7:$J$7,打分卡!$K$7:$O$7),1)</f>
        <v>1</v>
      </c>
      <c r="AD1830" s="41">
        <f>IFERROR(LOOKUP(S1830,打分卡!$F$8:$J$8,打分卡!$K$8:$O$8),1)</f>
        <v>1</v>
      </c>
      <c r="AE1830" s="41">
        <f>IFERROR(LOOKUP(T1830,打分卡!$F$9:$I$9,打分卡!$K$9:$N$9),1)</f>
        <v>1</v>
      </c>
      <c r="AF1830" s="41">
        <f>IFERROR(LOOKUP(Q1830,打分卡!$F$10:$J$10,打分卡!$K$10:$O$10),1)</f>
        <v>1</v>
      </c>
      <c r="AG1830" s="41">
        <f>IFERROR(LOOKUP(R1830,打分卡!$F$11:$J$11,打分卡!$K$11:$O$11),1)</f>
        <v>1</v>
      </c>
      <c r="AH1830" s="41">
        <f>IFERROR(LOOKUP(U1830,打分卡!$F$12:$J$12,打分卡!$K$12:$O$12),1)</f>
        <v>2</v>
      </c>
      <c r="AI1830" s="41">
        <f>IFERROR(LOOKUP(X1830,打分卡!$F$13:$J$13,打分卡!$K$13:$O$13),1)</f>
        <v>2</v>
      </c>
      <c r="AJ1830" s="41">
        <f>IFERROR(LOOKUP(Y1830,打分卡!$F$14:$J$14,打分卡!$K$14:$O$14),1)</f>
        <v>2</v>
      </c>
      <c r="AK1830" s="41">
        <f>IFERROR(LOOKUP(W1830,打分卡!$F$15:$J$15,打分卡!$K$15:$O$15),1)</f>
        <v>2</v>
      </c>
      <c r="AL1830" s="43">
        <f t="shared" si="225"/>
        <v>1</v>
      </c>
      <c r="AM1830" s="41">
        <f>IFERROR(LOOKUP(Z1830,打分卡!$F$17:$H$17,打分卡!$K$17:$M$17),1)</f>
        <v>1</v>
      </c>
      <c r="AN1830" s="44">
        <f>(打分卡!$D$7*AC1830+打分卡!$D$8*AD1830+打分卡!$D$9*AE1830)/5</f>
        <v>8</v>
      </c>
      <c r="AO1830" s="44">
        <f>(打分卡!$D$10*AF1830+打分卡!$D$11*AG1830)/5</f>
        <v>4</v>
      </c>
      <c r="AP1830" s="44">
        <f>(打分卡!$D$12*AH1830+打分卡!$D$13*AI1830+打分卡!$D$14*AJ1830+打分卡!$D$15*AK1830)/5</f>
        <v>12</v>
      </c>
      <c r="AQ1830" s="44">
        <f>(打分卡!$D$16*AL1830+打分卡!$D$17*AM1830)/5</f>
        <v>2</v>
      </c>
      <c r="AR1830" s="47">
        <f t="shared" si="226"/>
        <v>26</v>
      </c>
      <c r="AS1830" s="43" t="str">
        <f t="shared" si="227"/>
        <v>未激活</v>
      </c>
      <c r="AT1830" s="43" t="str">
        <f t="shared" si="228"/>
        <v>连续下降-预警</v>
      </c>
      <c r="AU1830" s="43" t="str">
        <f t="shared" si="229"/>
        <v>唤醒：短信模板+首充补贴</v>
      </c>
    </row>
    <row r="1831" ht="15" customHeight="1" spans="1:47">
      <c r="A1831" s="20" t="s">
        <v>4635</v>
      </c>
      <c r="B1831" s="22" t="s">
        <v>4636</v>
      </c>
      <c r="C1831" s="22" t="s">
        <v>189</v>
      </c>
      <c r="D1831" s="22" t="s">
        <v>196</v>
      </c>
      <c r="E1831" s="22" t="s">
        <v>181</v>
      </c>
      <c r="F1831" s="20" t="s">
        <v>4637</v>
      </c>
      <c r="G1831" s="22">
        <v>28</v>
      </c>
      <c r="H1831" s="22" t="s">
        <v>3535</v>
      </c>
      <c r="I1831" s="22" t="s">
        <v>302</v>
      </c>
      <c r="J1831" s="36">
        <v>0</v>
      </c>
      <c r="K1831" s="36">
        <v>0</v>
      </c>
      <c r="L1831" s="36">
        <v>0</v>
      </c>
      <c r="M1831" s="36">
        <f t="shared" si="224"/>
        <v>0</v>
      </c>
      <c r="N1831" s="34">
        <f t="shared" si="230"/>
        <v>0</v>
      </c>
      <c r="O1831" s="35">
        <f>SUM($M$2:M1831)</f>
        <v>190743600</v>
      </c>
      <c r="P1831" s="34">
        <f t="shared" si="231"/>
        <v>1</v>
      </c>
      <c r="Q1831" s="39">
        <v>0</v>
      </c>
      <c r="R1831" s="22">
        <v>0</v>
      </c>
      <c r="S1831" s="22">
        <v>0</v>
      </c>
      <c r="T1831" s="22">
        <v>0</v>
      </c>
      <c r="U1831" s="39">
        <v>35.9</v>
      </c>
      <c r="V1831" s="22">
        <v>7</v>
      </c>
      <c r="W1831" s="22">
        <v>2</v>
      </c>
      <c r="X1831" s="40">
        <v>7</v>
      </c>
      <c r="Y1831" s="22">
        <v>0</v>
      </c>
      <c r="Z1831" s="22">
        <v>0</v>
      </c>
      <c r="AA1831" s="22" t="s">
        <v>212</v>
      </c>
      <c r="AB1831" s="22" t="s">
        <v>220</v>
      </c>
      <c r="AC1831" s="42">
        <f>IFERROR(LOOKUP(M1831,打分卡!$F$7:$J$7,打分卡!$K$7:$O$7),1)</f>
        <v>1</v>
      </c>
      <c r="AD1831" s="42">
        <f>IFERROR(LOOKUP(S1831,打分卡!$F$8:$J$8,打分卡!$K$8:$O$8),1)</f>
        <v>1</v>
      </c>
      <c r="AE1831" s="42">
        <f>IFERROR(LOOKUP(T1831,打分卡!$F$9:$I$9,打分卡!$K$9:$N$9),1)</f>
        <v>1</v>
      </c>
      <c r="AF1831" s="42">
        <f>IFERROR(LOOKUP(Q1831,打分卡!$F$10:$J$10,打分卡!$K$10:$O$10),1)</f>
        <v>1</v>
      </c>
      <c r="AG1831" s="42">
        <f>IFERROR(LOOKUP(R1831,打分卡!$F$11:$J$11,打分卡!$K$11:$O$11),1)</f>
        <v>1</v>
      </c>
      <c r="AH1831" s="42">
        <f>IFERROR(LOOKUP(U1831,打分卡!$F$12:$J$12,打分卡!$K$12:$O$12),1)</f>
        <v>4</v>
      </c>
      <c r="AI1831" s="42">
        <f>IFERROR(LOOKUP(X1831,打分卡!$F$13:$J$13,打分卡!$K$13:$O$13),1)</f>
        <v>1</v>
      </c>
      <c r="AJ1831" s="42">
        <f>IFERROR(LOOKUP(Y1831,打分卡!$F$14:$J$14,打分卡!$K$14:$O$14),1)</f>
        <v>1</v>
      </c>
      <c r="AK1831" s="42">
        <f>IFERROR(LOOKUP(W1831,打分卡!$F$15:$J$15,打分卡!$K$15:$O$15),1)</f>
        <v>2</v>
      </c>
      <c r="AL1831" s="45">
        <f t="shared" si="225"/>
        <v>1</v>
      </c>
      <c r="AM1831" s="42">
        <f>IFERROR(LOOKUP(Z1831,打分卡!$F$17:$H$17,打分卡!$K$17:$M$17),1)</f>
        <v>1</v>
      </c>
      <c r="AN1831" s="46">
        <f>(打分卡!$D$7*AC1831+打分卡!$D$8*AD1831+打分卡!$D$9*AE1831)/5</f>
        <v>8</v>
      </c>
      <c r="AO1831" s="46">
        <f>(打分卡!$D$10*AF1831+打分卡!$D$11*AG1831)/5</f>
        <v>4</v>
      </c>
      <c r="AP1831" s="46">
        <f>(打分卡!$D$12*AH1831+打分卡!$D$13*AI1831+打分卡!$D$14*AJ1831+打分卡!$D$15*AK1831)/5</f>
        <v>14</v>
      </c>
      <c r="AQ1831" s="46">
        <f>(打分卡!$D$16*AL1831+打分卡!$D$17*AM1831)/5</f>
        <v>2</v>
      </c>
      <c r="AR1831" s="48">
        <f t="shared" si="226"/>
        <v>28</v>
      </c>
      <c r="AS1831" s="45" t="str">
        <f t="shared" si="227"/>
        <v>未激活</v>
      </c>
      <c r="AT1831" s="45" t="str">
        <f t="shared" si="228"/>
        <v>连续下降-预警</v>
      </c>
      <c r="AU1831" s="45" t="str">
        <f t="shared" si="229"/>
        <v>唤醒：短信模板+首充补贴</v>
      </c>
    </row>
    <row r="1832" ht="15" customHeight="1" spans="1:47">
      <c r="A1832" s="30" t="s">
        <v>4638</v>
      </c>
      <c r="B1832" s="31" t="s">
        <v>4639</v>
      </c>
      <c r="C1832" s="31" t="s">
        <v>189</v>
      </c>
      <c r="D1832" s="31" t="s">
        <v>196</v>
      </c>
      <c r="E1832" s="31" t="s">
        <v>181</v>
      </c>
      <c r="F1832" s="30" t="s">
        <v>369</v>
      </c>
      <c r="G1832" s="31">
        <v>14</v>
      </c>
      <c r="H1832" s="31" t="s">
        <v>3535</v>
      </c>
      <c r="I1832" s="31" t="s">
        <v>302</v>
      </c>
      <c r="J1832" s="33">
        <v>0</v>
      </c>
      <c r="K1832" s="33">
        <v>0</v>
      </c>
      <c r="L1832" s="33">
        <v>0</v>
      </c>
      <c r="M1832" s="33">
        <f t="shared" si="224"/>
        <v>0</v>
      </c>
      <c r="N1832" s="34">
        <f t="shared" si="230"/>
        <v>0</v>
      </c>
      <c r="O1832" s="35">
        <f>SUM($M$2:M1832)</f>
        <v>190743600</v>
      </c>
      <c r="P1832" s="34">
        <f t="shared" si="231"/>
        <v>1</v>
      </c>
      <c r="Q1832" s="37">
        <v>0</v>
      </c>
      <c r="R1832" s="31">
        <v>0</v>
      </c>
      <c r="S1832" s="31">
        <v>0</v>
      </c>
      <c r="T1832" s="31">
        <v>0</v>
      </c>
      <c r="U1832" s="37">
        <v>19.3</v>
      </c>
      <c r="V1832" s="31">
        <v>2</v>
      </c>
      <c r="W1832" s="31">
        <v>0</v>
      </c>
      <c r="X1832" s="38">
        <v>64</v>
      </c>
      <c r="Y1832" s="31">
        <v>0</v>
      </c>
      <c r="Z1832" s="31">
        <v>0</v>
      </c>
      <c r="AA1832" s="31" t="s">
        <v>212</v>
      </c>
      <c r="AB1832" s="31" t="s">
        <v>220</v>
      </c>
      <c r="AC1832" s="41">
        <f>IFERROR(LOOKUP(M1832,打分卡!$F$7:$J$7,打分卡!$K$7:$O$7),1)</f>
        <v>1</v>
      </c>
      <c r="AD1832" s="41">
        <f>IFERROR(LOOKUP(S1832,打分卡!$F$8:$J$8,打分卡!$K$8:$O$8),1)</f>
        <v>1</v>
      </c>
      <c r="AE1832" s="41">
        <f>IFERROR(LOOKUP(T1832,打分卡!$F$9:$I$9,打分卡!$K$9:$N$9),1)</f>
        <v>1</v>
      </c>
      <c r="AF1832" s="41">
        <f>IFERROR(LOOKUP(Q1832,打分卡!$F$10:$J$10,打分卡!$K$10:$O$10),1)</f>
        <v>1</v>
      </c>
      <c r="AG1832" s="41">
        <f>IFERROR(LOOKUP(R1832,打分卡!$F$11:$J$11,打分卡!$K$11:$O$11),1)</f>
        <v>1</v>
      </c>
      <c r="AH1832" s="41">
        <f>IFERROR(LOOKUP(U1832,打分卡!$F$12:$J$12,打分卡!$K$12:$O$12),1)</f>
        <v>3</v>
      </c>
      <c r="AI1832" s="41">
        <f>IFERROR(LOOKUP(X1832,打分卡!$F$13:$J$13,打分卡!$K$13:$O$13),1)</f>
        <v>3</v>
      </c>
      <c r="AJ1832" s="41">
        <f>IFERROR(LOOKUP(Y1832,打分卡!$F$14:$J$14,打分卡!$K$14:$O$14),1)</f>
        <v>1</v>
      </c>
      <c r="AK1832" s="41">
        <f>IFERROR(LOOKUP(W1832,打分卡!$F$15:$J$15,打分卡!$K$15:$O$15),1)</f>
        <v>1</v>
      </c>
      <c r="AL1832" s="43">
        <f t="shared" si="225"/>
        <v>1</v>
      </c>
      <c r="AM1832" s="41">
        <f>IFERROR(LOOKUP(Z1832,打分卡!$F$17:$H$17,打分卡!$K$17:$M$17),1)</f>
        <v>1</v>
      </c>
      <c r="AN1832" s="44">
        <f>(打分卡!$D$7*AC1832+打分卡!$D$8*AD1832+打分卡!$D$9*AE1832)/5</f>
        <v>8</v>
      </c>
      <c r="AO1832" s="44">
        <f>(打分卡!$D$10*AF1832+打分卡!$D$11*AG1832)/5</f>
        <v>4</v>
      </c>
      <c r="AP1832" s="44">
        <f>(打分卡!$D$12*AH1832+打分卡!$D$13*AI1832+打分卡!$D$14*AJ1832+打分卡!$D$15*AK1832)/5</f>
        <v>14</v>
      </c>
      <c r="AQ1832" s="44">
        <f>(打分卡!$D$16*AL1832+打分卡!$D$17*AM1832)/5</f>
        <v>2</v>
      </c>
      <c r="AR1832" s="47">
        <f t="shared" si="226"/>
        <v>28</v>
      </c>
      <c r="AS1832" s="43" t="str">
        <f t="shared" si="227"/>
        <v>未激活</v>
      </c>
      <c r="AT1832" s="43" t="str">
        <f t="shared" si="228"/>
        <v>连续下降-预警</v>
      </c>
      <c r="AU1832" s="43" t="str">
        <f t="shared" si="229"/>
        <v>唤醒：短信模板+首充补贴</v>
      </c>
    </row>
    <row r="1833" ht="15" customHeight="1" spans="1:47">
      <c r="A1833" s="20" t="s">
        <v>4640</v>
      </c>
      <c r="B1833" s="22" t="s">
        <v>4641</v>
      </c>
      <c r="C1833" s="22" t="s">
        <v>223</v>
      </c>
      <c r="D1833" s="22" t="s">
        <v>235</v>
      </c>
      <c r="E1833" s="22" t="s">
        <v>181</v>
      </c>
      <c r="F1833" s="20" t="s">
        <v>4642</v>
      </c>
      <c r="G1833" s="22">
        <v>21</v>
      </c>
      <c r="H1833" s="22" t="s">
        <v>3535</v>
      </c>
      <c r="I1833" s="22" t="s">
        <v>302</v>
      </c>
      <c r="J1833" s="36">
        <v>0</v>
      </c>
      <c r="K1833" s="36">
        <v>0</v>
      </c>
      <c r="L1833" s="36">
        <v>0</v>
      </c>
      <c r="M1833" s="36">
        <f t="shared" si="224"/>
        <v>0</v>
      </c>
      <c r="N1833" s="34">
        <f t="shared" si="230"/>
        <v>0</v>
      </c>
      <c r="O1833" s="35">
        <f>SUM($M$2:M1833)</f>
        <v>190743600</v>
      </c>
      <c r="P1833" s="34">
        <f t="shared" si="231"/>
        <v>1</v>
      </c>
      <c r="Q1833" s="39">
        <v>0</v>
      </c>
      <c r="R1833" s="22">
        <v>0</v>
      </c>
      <c r="S1833" s="22">
        <v>0</v>
      </c>
      <c r="T1833" s="22">
        <v>0</v>
      </c>
      <c r="U1833" s="39">
        <v>3.8</v>
      </c>
      <c r="V1833" s="22">
        <v>2</v>
      </c>
      <c r="W1833" s="22">
        <v>1</v>
      </c>
      <c r="X1833" s="40">
        <v>19</v>
      </c>
      <c r="Y1833" s="22">
        <v>0</v>
      </c>
      <c r="Z1833" s="22">
        <v>0</v>
      </c>
      <c r="AA1833" s="22" t="s">
        <v>212</v>
      </c>
      <c r="AB1833" s="22" t="s">
        <v>220</v>
      </c>
      <c r="AC1833" s="42">
        <f>IFERROR(LOOKUP(M1833,打分卡!$F$7:$J$7,打分卡!$K$7:$O$7),1)</f>
        <v>1</v>
      </c>
      <c r="AD1833" s="42">
        <f>IFERROR(LOOKUP(S1833,打分卡!$F$8:$J$8,打分卡!$K$8:$O$8),1)</f>
        <v>1</v>
      </c>
      <c r="AE1833" s="42">
        <f>IFERROR(LOOKUP(T1833,打分卡!$F$9:$I$9,打分卡!$K$9:$N$9),1)</f>
        <v>1</v>
      </c>
      <c r="AF1833" s="42">
        <f>IFERROR(LOOKUP(Q1833,打分卡!$F$10:$J$10,打分卡!$K$10:$O$10),1)</f>
        <v>1</v>
      </c>
      <c r="AG1833" s="42">
        <f>IFERROR(LOOKUP(R1833,打分卡!$F$11:$J$11,打分卡!$K$11:$O$11),1)</f>
        <v>1</v>
      </c>
      <c r="AH1833" s="42">
        <f>IFERROR(LOOKUP(U1833,打分卡!$F$12:$J$12,打分卡!$K$12:$O$12),1)</f>
        <v>2</v>
      </c>
      <c r="AI1833" s="42">
        <f>IFERROR(LOOKUP(X1833,打分卡!$F$13:$J$13,打分卡!$K$13:$O$13),1)</f>
        <v>2</v>
      </c>
      <c r="AJ1833" s="42">
        <f>IFERROR(LOOKUP(Y1833,打分卡!$F$14:$J$14,打分卡!$K$14:$O$14),1)</f>
        <v>1</v>
      </c>
      <c r="AK1833" s="42">
        <f>IFERROR(LOOKUP(W1833,打分卡!$F$15:$J$15,打分卡!$K$15:$O$15),1)</f>
        <v>2</v>
      </c>
      <c r="AL1833" s="45">
        <f t="shared" si="225"/>
        <v>1</v>
      </c>
      <c r="AM1833" s="42">
        <f>IFERROR(LOOKUP(Z1833,打分卡!$F$17:$H$17,打分卡!$K$17:$M$17),1)</f>
        <v>1</v>
      </c>
      <c r="AN1833" s="46">
        <f>(打分卡!$D$7*AC1833+打分卡!$D$8*AD1833+打分卡!$D$9*AE1833)/5</f>
        <v>8</v>
      </c>
      <c r="AO1833" s="46">
        <f>(打分卡!$D$10*AF1833+打分卡!$D$11*AG1833)/5</f>
        <v>4</v>
      </c>
      <c r="AP1833" s="46">
        <f>(打分卡!$D$12*AH1833+打分卡!$D$13*AI1833+打分卡!$D$14*AJ1833+打分卡!$D$15*AK1833)/5</f>
        <v>10.8</v>
      </c>
      <c r="AQ1833" s="46">
        <f>(打分卡!$D$16*AL1833+打分卡!$D$17*AM1833)/5</f>
        <v>2</v>
      </c>
      <c r="AR1833" s="48">
        <f t="shared" si="226"/>
        <v>24.8</v>
      </c>
      <c r="AS1833" s="45" t="str">
        <f t="shared" si="227"/>
        <v>未激活</v>
      </c>
      <c r="AT1833" s="45" t="str">
        <f t="shared" si="228"/>
        <v>连续下降-预警</v>
      </c>
      <c r="AU1833" s="45" t="str">
        <f t="shared" si="229"/>
        <v>唤醒：短信模板+首充补贴</v>
      </c>
    </row>
    <row r="1834" ht="15" customHeight="1" spans="1:47">
      <c r="A1834" s="30" t="s">
        <v>4643</v>
      </c>
      <c r="B1834" s="31" t="s">
        <v>4644</v>
      </c>
      <c r="C1834" s="31" t="s">
        <v>189</v>
      </c>
      <c r="D1834" s="31" t="s">
        <v>202</v>
      </c>
      <c r="E1834" s="31" t="s">
        <v>181</v>
      </c>
      <c r="F1834" s="30" t="s">
        <v>4645</v>
      </c>
      <c r="G1834" s="31">
        <v>18</v>
      </c>
      <c r="H1834" s="31" t="s">
        <v>3535</v>
      </c>
      <c r="I1834" s="31" t="s">
        <v>302</v>
      </c>
      <c r="J1834" s="33">
        <v>0</v>
      </c>
      <c r="K1834" s="33">
        <v>0</v>
      </c>
      <c r="L1834" s="33">
        <v>0</v>
      </c>
      <c r="M1834" s="33">
        <f t="shared" si="224"/>
        <v>0</v>
      </c>
      <c r="N1834" s="34">
        <f t="shared" si="230"/>
        <v>0</v>
      </c>
      <c r="O1834" s="35">
        <f>SUM($M$2:M1834)</f>
        <v>190743600</v>
      </c>
      <c r="P1834" s="34">
        <f t="shared" si="231"/>
        <v>1</v>
      </c>
      <c r="Q1834" s="37">
        <v>0</v>
      </c>
      <c r="R1834" s="31">
        <v>0</v>
      </c>
      <c r="S1834" s="31">
        <v>0</v>
      </c>
      <c r="T1834" s="31">
        <v>0</v>
      </c>
      <c r="U1834" s="37">
        <v>0.8</v>
      </c>
      <c r="V1834" s="31">
        <v>15</v>
      </c>
      <c r="W1834" s="31">
        <v>0</v>
      </c>
      <c r="X1834" s="38">
        <v>16</v>
      </c>
      <c r="Y1834" s="31">
        <v>1</v>
      </c>
      <c r="Z1834" s="31">
        <v>0</v>
      </c>
      <c r="AA1834" s="31" t="s">
        <v>212</v>
      </c>
      <c r="AB1834" s="31" t="s">
        <v>220</v>
      </c>
      <c r="AC1834" s="41">
        <f>IFERROR(LOOKUP(M1834,打分卡!$F$7:$J$7,打分卡!$K$7:$O$7),1)</f>
        <v>1</v>
      </c>
      <c r="AD1834" s="41">
        <f>IFERROR(LOOKUP(S1834,打分卡!$F$8:$J$8,打分卡!$K$8:$O$8),1)</f>
        <v>1</v>
      </c>
      <c r="AE1834" s="41">
        <f>IFERROR(LOOKUP(T1834,打分卡!$F$9:$I$9,打分卡!$K$9:$N$9),1)</f>
        <v>1</v>
      </c>
      <c r="AF1834" s="41">
        <f>IFERROR(LOOKUP(Q1834,打分卡!$F$10:$J$10,打分卡!$K$10:$O$10),1)</f>
        <v>1</v>
      </c>
      <c r="AG1834" s="41">
        <f>IFERROR(LOOKUP(R1834,打分卡!$F$11:$J$11,打分卡!$K$11:$O$11),1)</f>
        <v>1</v>
      </c>
      <c r="AH1834" s="41">
        <f>IFERROR(LOOKUP(U1834,打分卡!$F$12:$J$12,打分卡!$K$12:$O$12),1)</f>
        <v>1</v>
      </c>
      <c r="AI1834" s="41">
        <f>IFERROR(LOOKUP(X1834,打分卡!$F$13:$J$13,打分卡!$K$13:$O$13),1)</f>
        <v>1</v>
      </c>
      <c r="AJ1834" s="41">
        <f>IFERROR(LOOKUP(Y1834,打分卡!$F$14:$J$14,打分卡!$K$14:$O$14),1)</f>
        <v>2</v>
      </c>
      <c r="AK1834" s="41">
        <f>IFERROR(LOOKUP(W1834,打分卡!$F$15:$J$15,打分卡!$K$15:$O$15),1)</f>
        <v>1</v>
      </c>
      <c r="AL1834" s="43">
        <f t="shared" si="225"/>
        <v>1</v>
      </c>
      <c r="AM1834" s="41">
        <f>IFERROR(LOOKUP(Z1834,打分卡!$F$17:$H$17,打分卡!$K$17:$M$17),1)</f>
        <v>1</v>
      </c>
      <c r="AN1834" s="44">
        <f>(打分卡!$D$7*AC1834+打分卡!$D$8*AD1834+打分卡!$D$9*AE1834)/5</f>
        <v>8</v>
      </c>
      <c r="AO1834" s="44">
        <f>(打分卡!$D$10*AF1834+打分卡!$D$11*AG1834)/5</f>
        <v>4</v>
      </c>
      <c r="AP1834" s="44">
        <f>(打分卡!$D$12*AH1834+打分卡!$D$13*AI1834+打分卡!$D$14*AJ1834+打分卡!$D$15*AK1834)/5</f>
        <v>7.2</v>
      </c>
      <c r="AQ1834" s="44">
        <f>(打分卡!$D$16*AL1834+打分卡!$D$17*AM1834)/5</f>
        <v>2</v>
      </c>
      <c r="AR1834" s="47">
        <f t="shared" si="226"/>
        <v>21.2</v>
      </c>
      <c r="AS1834" s="43" t="str">
        <f t="shared" si="227"/>
        <v>未激活</v>
      </c>
      <c r="AT1834" s="43" t="str">
        <f t="shared" si="228"/>
        <v>连续下降-预警</v>
      </c>
      <c r="AU1834" s="43" t="str">
        <f t="shared" si="229"/>
        <v>唤醒：短信模板+首充补贴</v>
      </c>
    </row>
    <row r="1835" ht="15" customHeight="1" spans="1:47">
      <c r="A1835" s="20" t="s">
        <v>4646</v>
      </c>
      <c r="B1835" s="22" t="s">
        <v>4647</v>
      </c>
      <c r="C1835" s="22" t="s">
        <v>223</v>
      </c>
      <c r="D1835" s="22" t="s">
        <v>190</v>
      </c>
      <c r="E1835" s="22" t="s">
        <v>181</v>
      </c>
      <c r="F1835" s="20" t="s">
        <v>3681</v>
      </c>
      <c r="G1835" s="22">
        <v>28</v>
      </c>
      <c r="H1835" s="22" t="s">
        <v>3535</v>
      </c>
      <c r="I1835" s="22" t="s">
        <v>302</v>
      </c>
      <c r="J1835" s="36">
        <v>0</v>
      </c>
      <c r="K1835" s="36">
        <v>0</v>
      </c>
      <c r="L1835" s="36">
        <v>0</v>
      </c>
      <c r="M1835" s="36">
        <f t="shared" si="224"/>
        <v>0</v>
      </c>
      <c r="N1835" s="34">
        <f t="shared" si="230"/>
        <v>0</v>
      </c>
      <c r="O1835" s="35">
        <f>SUM($M$2:M1835)</f>
        <v>190743600</v>
      </c>
      <c r="P1835" s="34">
        <f t="shared" si="231"/>
        <v>1</v>
      </c>
      <c r="Q1835" s="39">
        <v>0</v>
      </c>
      <c r="R1835" s="22">
        <v>0</v>
      </c>
      <c r="S1835" s="22">
        <v>0</v>
      </c>
      <c r="T1835" s="22">
        <v>0</v>
      </c>
      <c r="U1835" s="39">
        <v>15.3</v>
      </c>
      <c r="V1835" s="22">
        <v>0</v>
      </c>
      <c r="W1835" s="22">
        <v>0</v>
      </c>
      <c r="X1835" s="40">
        <v>75</v>
      </c>
      <c r="Y1835" s="22">
        <v>1</v>
      </c>
      <c r="Z1835" s="22">
        <v>0</v>
      </c>
      <c r="AA1835" s="22" t="s">
        <v>212</v>
      </c>
      <c r="AB1835" s="22" t="s">
        <v>220</v>
      </c>
      <c r="AC1835" s="42">
        <f>IFERROR(LOOKUP(M1835,打分卡!$F$7:$J$7,打分卡!$K$7:$O$7),1)</f>
        <v>1</v>
      </c>
      <c r="AD1835" s="42">
        <f>IFERROR(LOOKUP(S1835,打分卡!$F$8:$J$8,打分卡!$K$8:$O$8),1)</f>
        <v>1</v>
      </c>
      <c r="AE1835" s="42">
        <f>IFERROR(LOOKUP(T1835,打分卡!$F$9:$I$9,打分卡!$K$9:$N$9),1)</f>
        <v>1</v>
      </c>
      <c r="AF1835" s="42">
        <f>IFERROR(LOOKUP(Q1835,打分卡!$F$10:$J$10,打分卡!$K$10:$O$10),1)</f>
        <v>1</v>
      </c>
      <c r="AG1835" s="42">
        <f>IFERROR(LOOKUP(R1835,打分卡!$F$11:$J$11,打分卡!$K$11:$O$11),1)</f>
        <v>1</v>
      </c>
      <c r="AH1835" s="42">
        <f>IFERROR(LOOKUP(U1835,打分卡!$F$12:$J$12,打分卡!$K$12:$O$12),1)</f>
        <v>3</v>
      </c>
      <c r="AI1835" s="42">
        <f>IFERROR(LOOKUP(X1835,打分卡!$F$13:$J$13,打分卡!$K$13:$O$13),1)</f>
        <v>3</v>
      </c>
      <c r="AJ1835" s="42">
        <f>IFERROR(LOOKUP(Y1835,打分卡!$F$14:$J$14,打分卡!$K$14:$O$14),1)</f>
        <v>2</v>
      </c>
      <c r="AK1835" s="42">
        <f>IFERROR(LOOKUP(W1835,打分卡!$F$15:$J$15,打分卡!$K$15:$O$15),1)</f>
        <v>1</v>
      </c>
      <c r="AL1835" s="45">
        <f t="shared" si="225"/>
        <v>1</v>
      </c>
      <c r="AM1835" s="42">
        <f>IFERROR(LOOKUP(Z1835,打分卡!$F$17:$H$17,打分卡!$K$17:$M$17),1)</f>
        <v>1</v>
      </c>
      <c r="AN1835" s="46">
        <f>(打分卡!$D$7*AC1835+打分卡!$D$8*AD1835+打分卡!$D$9*AE1835)/5</f>
        <v>8</v>
      </c>
      <c r="AO1835" s="46">
        <f>(打分卡!$D$10*AF1835+打分卡!$D$11*AG1835)/5</f>
        <v>4</v>
      </c>
      <c r="AP1835" s="46">
        <f>(打分卡!$D$12*AH1835+打分卡!$D$13*AI1835+打分卡!$D$14*AJ1835+打分卡!$D$15*AK1835)/5</f>
        <v>15.2</v>
      </c>
      <c r="AQ1835" s="46">
        <f>(打分卡!$D$16*AL1835+打分卡!$D$17*AM1835)/5</f>
        <v>2</v>
      </c>
      <c r="AR1835" s="48">
        <f t="shared" si="226"/>
        <v>29.2</v>
      </c>
      <c r="AS1835" s="45" t="str">
        <f t="shared" si="227"/>
        <v>未激活</v>
      </c>
      <c r="AT1835" s="45" t="str">
        <f t="shared" si="228"/>
        <v>连续下降-预警</v>
      </c>
      <c r="AU1835" s="45" t="str">
        <f t="shared" si="229"/>
        <v>唤醒：短信模板+首充补贴</v>
      </c>
    </row>
    <row r="1836" ht="15" customHeight="1" spans="1:47">
      <c r="A1836" s="30" t="s">
        <v>4648</v>
      </c>
      <c r="B1836" s="31" t="s">
        <v>4649</v>
      </c>
      <c r="C1836" s="31" t="s">
        <v>189</v>
      </c>
      <c r="D1836" s="31" t="s">
        <v>196</v>
      </c>
      <c r="E1836" s="31" t="s">
        <v>197</v>
      </c>
      <c r="F1836" s="30" t="s">
        <v>606</v>
      </c>
      <c r="G1836" s="31">
        <v>26</v>
      </c>
      <c r="H1836" s="31" t="s">
        <v>3535</v>
      </c>
      <c r="I1836" s="31" t="s">
        <v>302</v>
      </c>
      <c r="J1836" s="33">
        <v>0</v>
      </c>
      <c r="K1836" s="33">
        <v>0</v>
      </c>
      <c r="L1836" s="33">
        <v>0</v>
      </c>
      <c r="M1836" s="33">
        <f t="shared" si="224"/>
        <v>0</v>
      </c>
      <c r="N1836" s="34">
        <f t="shared" si="230"/>
        <v>0</v>
      </c>
      <c r="O1836" s="35">
        <f>SUM($M$2:M1836)</f>
        <v>190743600</v>
      </c>
      <c r="P1836" s="34">
        <f t="shared" si="231"/>
        <v>1</v>
      </c>
      <c r="Q1836" s="37">
        <v>0</v>
      </c>
      <c r="R1836" s="31">
        <v>0</v>
      </c>
      <c r="S1836" s="31">
        <v>0</v>
      </c>
      <c r="T1836" s="31">
        <v>0</v>
      </c>
      <c r="U1836" s="37">
        <v>4.4</v>
      </c>
      <c r="V1836" s="31">
        <v>15</v>
      </c>
      <c r="W1836" s="31">
        <v>2</v>
      </c>
      <c r="X1836" s="38">
        <v>43</v>
      </c>
      <c r="Y1836" s="31">
        <v>1</v>
      </c>
      <c r="Z1836" s="31">
        <v>0</v>
      </c>
      <c r="AA1836" s="31" t="s">
        <v>212</v>
      </c>
      <c r="AB1836" s="31" t="s">
        <v>220</v>
      </c>
      <c r="AC1836" s="41">
        <f>IFERROR(LOOKUP(M1836,打分卡!$F$7:$J$7,打分卡!$K$7:$O$7),1)</f>
        <v>1</v>
      </c>
      <c r="AD1836" s="41">
        <f>IFERROR(LOOKUP(S1836,打分卡!$F$8:$J$8,打分卡!$K$8:$O$8),1)</f>
        <v>1</v>
      </c>
      <c r="AE1836" s="41">
        <f>IFERROR(LOOKUP(T1836,打分卡!$F$9:$I$9,打分卡!$K$9:$N$9),1)</f>
        <v>1</v>
      </c>
      <c r="AF1836" s="41">
        <f>IFERROR(LOOKUP(Q1836,打分卡!$F$10:$J$10,打分卡!$K$10:$O$10),1)</f>
        <v>1</v>
      </c>
      <c r="AG1836" s="41">
        <f>IFERROR(LOOKUP(R1836,打分卡!$F$11:$J$11,打分卡!$K$11:$O$11),1)</f>
        <v>1</v>
      </c>
      <c r="AH1836" s="41">
        <f>IFERROR(LOOKUP(U1836,打分卡!$F$12:$J$12,打分卡!$K$12:$O$12),1)</f>
        <v>2</v>
      </c>
      <c r="AI1836" s="41">
        <f>IFERROR(LOOKUP(X1836,打分卡!$F$13:$J$13,打分卡!$K$13:$O$13),1)</f>
        <v>3</v>
      </c>
      <c r="AJ1836" s="41">
        <f>IFERROR(LOOKUP(Y1836,打分卡!$F$14:$J$14,打分卡!$K$14:$O$14),1)</f>
        <v>2</v>
      </c>
      <c r="AK1836" s="41">
        <f>IFERROR(LOOKUP(W1836,打分卡!$F$15:$J$15,打分卡!$K$15:$O$15),1)</f>
        <v>2</v>
      </c>
      <c r="AL1836" s="43">
        <f t="shared" si="225"/>
        <v>1</v>
      </c>
      <c r="AM1836" s="41">
        <f>IFERROR(LOOKUP(Z1836,打分卡!$F$17:$H$17,打分卡!$K$17:$M$17),1)</f>
        <v>1</v>
      </c>
      <c r="AN1836" s="44">
        <f>(打分卡!$D$7*AC1836+打分卡!$D$8*AD1836+打分卡!$D$9*AE1836)/5</f>
        <v>8</v>
      </c>
      <c r="AO1836" s="44">
        <f>(打分卡!$D$10*AF1836+打分卡!$D$11*AG1836)/5</f>
        <v>4</v>
      </c>
      <c r="AP1836" s="44">
        <f>(打分卡!$D$12*AH1836+打分卡!$D$13*AI1836+打分卡!$D$14*AJ1836+打分卡!$D$15*AK1836)/5</f>
        <v>13.6</v>
      </c>
      <c r="AQ1836" s="44">
        <f>(打分卡!$D$16*AL1836+打分卡!$D$17*AM1836)/5</f>
        <v>2</v>
      </c>
      <c r="AR1836" s="47">
        <f t="shared" si="226"/>
        <v>27.6</v>
      </c>
      <c r="AS1836" s="43" t="str">
        <f t="shared" si="227"/>
        <v>未激活</v>
      </c>
      <c r="AT1836" s="43" t="str">
        <f t="shared" si="228"/>
        <v>连续下降-预警</v>
      </c>
      <c r="AU1836" s="43" t="str">
        <f t="shared" si="229"/>
        <v>唤醒：短信模板+首充补贴</v>
      </c>
    </row>
    <row r="1837" ht="15" customHeight="1" spans="1:47">
      <c r="A1837" s="20" t="s">
        <v>4650</v>
      </c>
      <c r="B1837" s="22" t="s">
        <v>4651</v>
      </c>
      <c r="C1837" s="22" t="s">
        <v>239</v>
      </c>
      <c r="D1837" s="22" t="s">
        <v>227</v>
      </c>
      <c r="E1837" s="22" t="s">
        <v>197</v>
      </c>
      <c r="F1837" s="20" t="s">
        <v>3709</v>
      </c>
      <c r="G1837" s="22">
        <v>31</v>
      </c>
      <c r="H1837" s="22" t="s">
        <v>3535</v>
      </c>
      <c r="I1837" s="22" t="s">
        <v>302</v>
      </c>
      <c r="J1837" s="36">
        <v>0</v>
      </c>
      <c r="K1837" s="36">
        <v>0</v>
      </c>
      <c r="L1837" s="36">
        <v>0</v>
      </c>
      <c r="M1837" s="36">
        <f t="shared" si="224"/>
        <v>0</v>
      </c>
      <c r="N1837" s="34">
        <f t="shared" si="230"/>
        <v>0</v>
      </c>
      <c r="O1837" s="35">
        <f>SUM($M$2:M1837)</f>
        <v>190743600</v>
      </c>
      <c r="P1837" s="34">
        <f t="shared" si="231"/>
        <v>1</v>
      </c>
      <c r="Q1837" s="39">
        <v>0</v>
      </c>
      <c r="R1837" s="22">
        <v>0</v>
      </c>
      <c r="S1837" s="22">
        <v>0</v>
      </c>
      <c r="T1837" s="22">
        <v>0</v>
      </c>
      <c r="U1837" s="39">
        <v>40.3</v>
      </c>
      <c r="V1837" s="22">
        <v>4</v>
      </c>
      <c r="W1837" s="22">
        <v>2</v>
      </c>
      <c r="X1837" s="40">
        <v>25</v>
      </c>
      <c r="Y1837" s="22">
        <v>0</v>
      </c>
      <c r="Z1837" s="22">
        <v>0</v>
      </c>
      <c r="AA1837" s="22" t="s">
        <v>212</v>
      </c>
      <c r="AB1837" s="22" t="s">
        <v>220</v>
      </c>
      <c r="AC1837" s="42">
        <f>IFERROR(LOOKUP(M1837,打分卡!$F$7:$J$7,打分卡!$K$7:$O$7),1)</f>
        <v>1</v>
      </c>
      <c r="AD1837" s="42">
        <f>IFERROR(LOOKUP(S1837,打分卡!$F$8:$J$8,打分卡!$K$8:$O$8),1)</f>
        <v>1</v>
      </c>
      <c r="AE1837" s="42">
        <f>IFERROR(LOOKUP(T1837,打分卡!$F$9:$I$9,打分卡!$K$9:$N$9),1)</f>
        <v>1</v>
      </c>
      <c r="AF1837" s="42">
        <f>IFERROR(LOOKUP(Q1837,打分卡!$F$10:$J$10,打分卡!$K$10:$O$10),1)</f>
        <v>1</v>
      </c>
      <c r="AG1837" s="42">
        <f>IFERROR(LOOKUP(R1837,打分卡!$F$11:$J$11,打分卡!$K$11:$O$11),1)</f>
        <v>1</v>
      </c>
      <c r="AH1837" s="42">
        <f>IFERROR(LOOKUP(U1837,打分卡!$F$12:$J$12,打分卡!$K$12:$O$12),1)</f>
        <v>4</v>
      </c>
      <c r="AI1837" s="42">
        <f>IFERROR(LOOKUP(X1837,打分卡!$F$13:$J$13,打分卡!$K$13:$O$13),1)</f>
        <v>2</v>
      </c>
      <c r="AJ1837" s="42">
        <f>IFERROR(LOOKUP(Y1837,打分卡!$F$14:$J$14,打分卡!$K$14:$O$14),1)</f>
        <v>1</v>
      </c>
      <c r="AK1837" s="42">
        <f>IFERROR(LOOKUP(W1837,打分卡!$F$15:$J$15,打分卡!$K$15:$O$15),1)</f>
        <v>2</v>
      </c>
      <c r="AL1837" s="45">
        <f t="shared" si="225"/>
        <v>1</v>
      </c>
      <c r="AM1837" s="42">
        <f>IFERROR(LOOKUP(Z1837,打分卡!$F$17:$H$17,打分卡!$K$17:$M$17),1)</f>
        <v>1</v>
      </c>
      <c r="AN1837" s="46">
        <f>(打分卡!$D$7*AC1837+打分卡!$D$8*AD1837+打分卡!$D$9*AE1837)/5</f>
        <v>8</v>
      </c>
      <c r="AO1837" s="46">
        <f>(打分卡!$D$10*AF1837+打分卡!$D$11*AG1837)/5</f>
        <v>4</v>
      </c>
      <c r="AP1837" s="46">
        <f>(打分卡!$D$12*AH1837+打分卡!$D$13*AI1837+打分卡!$D$14*AJ1837+打分卡!$D$15*AK1837)/5</f>
        <v>15.6</v>
      </c>
      <c r="AQ1837" s="46">
        <f>(打分卡!$D$16*AL1837+打分卡!$D$17*AM1837)/5</f>
        <v>2</v>
      </c>
      <c r="AR1837" s="48">
        <f t="shared" si="226"/>
        <v>29.6</v>
      </c>
      <c r="AS1837" s="45" t="str">
        <f t="shared" si="227"/>
        <v>未激活</v>
      </c>
      <c r="AT1837" s="45" t="str">
        <f t="shared" si="228"/>
        <v>连续下降-预警</v>
      </c>
      <c r="AU1837" s="45" t="str">
        <f t="shared" si="229"/>
        <v>唤醒：短信模板+首充补贴</v>
      </c>
    </row>
    <row r="1838" ht="15" customHeight="1" spans="1:47">
      <c r="A1838" s="30" t="s">
        <v>4652</v>
      </c>
      <c r="B1838" s="31" t="s">
        <v>4653</v>
      </c>
      <c r="C1838" s="31" t="s">
        <v>239</v>
      </c>
      <c r="D1838" s="31" t="s">
        <v>202</v>
      </c>
      <c r="E1838" s="31" t="s">
        <v>197</v>
      </c>
      <c r="F1838" s="30" t="s">
        <v>2514</v>
      </c>
      <c r="G1838" s="31">
        <v>17</v>
      </c>
      <c r="H1838" s="31" t="s">
        <v>3535</v>
      </c>
      <c r="I1838" s="31" t="s">
        <v>302</v>
      </c>
      <c r="J1838" s="33">
        <v>0</v>
      </c>
      <c r="K1838" s="33">
        <v>0</v>
      </c>
      <c r="L1838" s="33">
        <v>0</v>
      </c>
      <c r="M1838" s="33">
        <f t="shared" si="224"/>
        <v>0</v>
      </c>
      <c r="N1838" s="34">
        <f t="shared" si="230"/>
        <v>0</v>
      </c>
      <c r="O1838" s="35">
        <f>SUM($M$2:M1838)</f>
        <v>190743600</v>
      </c>
      <c r="P1838" s="34">
        <f t="shared" si="231"/>
        <v>1</v>
      </c>
      <c r="Q1838" s="37">
        <v>0</v>
      </c>
      <c r="R1838" s="31">
        <v>0</v>
      </c>
      <c r="S1838" s="31">
        <v>0</v>
      </c>
      <c r="T1838" s="31">
        <v>0</v>
      </c>
      <c r="U1838" s="37">
        <v>0.8</v>
      </c>
      <c r="V1838" s="31">
        <v>6</v>
      </c>
      <c r="W1838" s="31">
        <v>2</v>
      </c>
      <c r="X1838" s="38">
        <v>54</v>
      </c>
      <c r="Y1838" s="31">
        <v>0</v>
      </c>
      <c r="Z1838" s="31">
        <v>0</v>
      </c>
      <c r="AA1838" s="31" t="s">
        <v>212</v>
      </c>
      <c r="AB1838" s="31" t="s">
        <v>220</v>
      </c>
      <c r="AC1838" s="41">
        <f>IFERROR(LOOKUP(M1838,打分卡!$F$7:$J$7,打分卡!$K$7:$O$7),1)</f>
        <v>1</v>
      </c>
      <c r="AD1838" s="41">
        <f>IFERROR(LOOKUP(S1838,打分卡!$F$8:$J$8,打分卡!$K$8:$O$8),1)</f>
        <v>1</v>
      </c>
      <c r="AE1838" s="41">
        <f>IFERROR(LOOKUP(T1838,打分卡!$F$9:$I$9,打分卡!$K$9:$N$9),1)</f>
        <v>1</v>
      </c>
      <c r="AF1838" s="41">
        <f>IFERROR(LOOKUP(Q1838,打分卡!$F$10:$J$10,打分卡!$K$10:$O$10),1)</f>
        <v>1</v>
      </c>
      <c r="AG1838" s="41">
        <f>IFERROR(LOOKUP(R1838,打分卡!$F$11:$J$11,打分卡!$K$11:$O$11),1)</f>
        <v>1</v>
      </c>
      <c r="AH1838" s="41">
        <f>IFERROR(LOOKUP(U1838,打分卡!$F$12:$J$12,打分卡!$K$12:$O$12),1)</f>
        <v>1</v>
      </c>
      <c r="AI1838" s="41">
        <f>IFERROR(LOOKUP(X1838,打分卡!$F$13:$J$13,打分卡!$K$13:$O$13),1)</f>
        <v>3</v>
      </c>
      <c r="AJ1838" s="41">
        <f>IFERROR(LOOKUP(Y1838,打分卡!$F$14:$J$14,打分卡!$K$14:$O$14),1)</f>
        <v>1</v>
      </c>
      <c r="AK1838" s="41">
        <f>IFERROR(LOOKUP(W1838,打分卡!$F$15:$J$15,打分卡!$K$15:$O$15),1)</f>
        <v>2</v>
      </c>
      <c r="AL1838" s="43">
        <f t="shared" si="225"/>
        <v>1</v>
      </c>
      <c r="AM1838" s="41">
        <f>IFERROR(LOOKUP(Z1838,打分卡!$F$17:$H$17,打分卡!$K$17:$M$17),1)</f>
        <v>1</v>
      </c>
      <c r="AN1838" s="44">
        <f>(打分卡!$D$7*AC1838+打分卡!$D$8*AD1838+打分卡!$D$9*AE1838)/5</f>
        <v>8</v>
      </c>
      <c r="AO1838" s="44">
        <f>(打分卡!$D$10*AF1838+打分卡!$D$11*AG1838)/5</f>
        <v>4</v>
      </c>
      <c r="AP1838" s="44">
        <f>(打分卡!$D$12*AH1838+打分卡!$D$13*AI1838+打分卡!$D$14*AJ1838+打分卡!$D$15*AK1838)/5</f>
        <v>10</v>
      </c>
      <c r="AQ1838" s="44">
        <f>(打分卡!$D$16*AL1838+打分卡!$D$17*AM1838)/5</f>
        <v>2</v>
      </c>
      <c r="AR1838" s="47">
        <f t="shared" si="226"/>
        <v>24</v>
      </c>
      <c r="AS1838" s="43" t="str">
        <f t="shared" si="227"/>
        <v>未激活</v>
      </c>
      <c r="AT1838" s="43" t="str">
        <f t="shared" si="228"/>
        <v>连续下降-预警</v>
      </c>
      <c r="AU1838" s="43" t="str">
        <f t="shared" si="229"/>
        <v>唤醒：短信模板+首充补贴</v>
      </c>
    </row>
    <row r="1839" ht="15" customHeight="1" spans="1:47">
      <c r="A1839" s="20" t="s">
        <v>4654</v>
      </c>
      <c r="B1839" s="22" t="s">
        <v>4655</v>
      </c>
      <c r="C1839" s="22" t="s">
        <v>189</v>
      </c>
      <c r="D1839" s="22" t="s">
        <v>202</v>
      </c>
      <c r="E1839" s="22" t="s">
        <v>181</v>
      </c>
      <c r="F1839" s="20" t="s">
        <v>4656</v>
      </c>
      <c r="G1839" s="22">
        <v>30</v>
      </c>
      <c r="H1839" s="22" t="s">
        <v>3535</v>
      </c>
      <c r="I1839" s="22" t="s">
        <v>302</v>
      </c>
      <c r="J1839" s="36">
        <v>0</v>
      </c>
      <c r="K1839" s="36">
        <v>0</v>
      </c>
      <c r="L1839" s="36">
        <v>0</v>
      </c>
      <c r="M1839" s="36">
        <f t="shared" si="224"/>
        <v>0</v>
      </c>
      <c r="N1839" s="34">
        <f t="shared" si="230"/>
        <v>0</v>
      </c>
      <c r="O1839" s="35">
        <f>SUM($M$2:M1839)</f>
        <v>190743600</v>
      </c>
      <c r="P1839" s="34">
        <f t="shared" si="231"/>
        <v>1</v>
      </c>
      <c r="Q1839" s="39">
        <v>0</v>
      </c>
      <c r="R1839" s="22">
        <v>0</v>
      </c>
      <c r="S1839" s="22">
        <v>0</v>
      </c>
      <c r="T1839" s="22">
        <v>0</v>
      </c>
      <c r="U1839" s="39">
        <v>36.1</v>
      </c>
      <c r="V1839" s="22">
        <v>9</v>
      </c>
      <c r="W1839" s="22">
        <v>2</v>
      </c>
      <c r="X1839" s="40">
        <v>37</v>
      </c>
      <c r="Y1839" s="22">
        <v>0</v>
      </c>
      <c r="Z1839" s="22">
        <v>0</v>
      </c>
      <c r="AA1839" s="22" t="s">
        <v>212</v>
      </c>
      <c r="AB1839" s="22" t="s">
        <v>220</v>
      </c>
      <c r="AC1839" s="42">
        <f>IFERROR(LOOKUP(M1839,打分卡!$F$7:$J$7,打分卡!$K$7:$O$7),1)</f>
        <v>1</v>
      </c>
      <c r="AD1839" s="42">
        <f>IFERROR(LOOKUP(S1839,打分卡!$F$8:$J$8,打分卡!$K$8:$O$8),1)</f>
        <v>1</v>
      </c>
      <c r="AE1839" s="42">
        <f>IFERROR(LOOKUP(T1839,打分卡!$F$9:$I$9,打分卡!$K$9:$N$9),1)</f>
        <v>1</v>
      </c>
      <c r="AF1839" s="42">
        <f>IFERROR(LOOKUP(Q1839,打分卡!$F$10:$J$10,打分卡!$K$10:$O$10),1)</f>
        <v>1</v>
      </c>
      <c r="AG1839" s="42">
        <f>IFERROR(LOOKUP(R1839,打分卡!$F$11:$J$11,打分卡!$K$11:$O$11),1)</f>
        <v>1</v>
      </c>
      <c r="AH1839" s="42">
        <f>IFERROR(LOOKUP(U1839,打分卡!$F$12:$J$12,打分卡!$K$12:$O$12),1)</f>
        <v>4</v>
      </c>
      <c r="AI1839" s="42">
        <f>IFERROR(LOOKUP(X1839,打分卡!$F$13:$J$13,打分卡!$K$13:$O$13),1)</f>
        <v>2</v>
      </c>
      <c r="AJ1839" s="42">
        <f>IFERROR(LOOKUP(Y1839,打分卡!$F$14:$J$14,打分卡!$K$14:$O$14),1)</f>
        <v>1</v>
      </c>
      <c r="AK1839" s="42">
        <f>IFERROR(LOOKUP(W1839,打分卡!$F$15:$J$15,打分卡!$K$15:$O$15),1)</f>
        <v>2</v>
      </c>
      <c r="AL1839" s="45">
        <f t="shared" si="225"/>
        <v>1</v>
      </c>
      <c r="AM1839" s="42">
        <f>IFERROR(LOOKUP(Z1839,打分卡!$F$17:$H$17,打分卡!$K$17:$M$17),1)</f>
        <v>1</v>
      </c>
      <c r="AN1839" s="46">
        <f>(打分卡!$D$7*AC1839+打分卡!$D$8*AD1839+打分卡!$D$9*AE1839)/5</f>
        <v>8</v>
      </c>
      <c r="AO1839" s="46">
        <f>(打分卡!$D$10*AF1839+打分卡!$D$11*AG1839)/5</f>
        <v>4</v>
      </c>
      <c r="AP1839" s="46">
        <f>(打分卡!$D$12*AH1839+打分卡!$D$13*AI1839+打分卡!$D$14*AJ1839+打分卡!$D$15*AK1839)/5</f>
        <v>15.6</v>
      </c>
      <c r="AQ1839" s="46">
        <f>(打分卡!$D$16*AL1839+打分卡!$D$17*AM1839)/5</f>
        <v>2</v>
      </c>
      <c r="AR1839" s="48">
        <f t="shared" si="226"/>
        <v>29.6</v>
      </c>
      <c r="AS1839" s="45" t="str">
        <f t="shared" si="227"/>
        <v>未激活</v>
      </c>
      <c r="AT1839" s="45" t="str">
        <f t="shared" si="228"/>
        <v>连续下降-预警</v>
      </c>
      <c r="AU1839" s="45" t="str">
        <f t="shared" si="229"/>
        <v>唤醒：短信模板+首充补贴</v>
      </c>
    </row>
    <row r="1840" ht="15" customHeight="1" spans="1:47">
      <c r="A1840" s="30" t="s">
        <v>4657</v>
      </c>
      <c r="B1840" s="31" t="s">
        <v>4658</v>
      </c>
      <c r="C1840" s="31" t="s">
        <v>189</v>
      </c>
      <c r="D1840" s="31" t="s">
        <v>190</v>
      </c>
      <c r="E1840" s="31" t="s">
        <v>181</v>
      </c>
      <c r="F1840" s="30" t="s">
        <v>1416</v>
      </c>
      <c r="G1840" s="31">
        <v>14</v>
      </c>
      <c r="H1840" s="31" t="s">
        <v>3535</v>
      </c>
      <c r="I1840" s="31" t="s">
        <v>302</v>
      </c>
      <c r="J1840" s="33">
        <v>0</v>
      </c>
      <c r="K1840" s="33">
        <v>0</v>
      </c>
      <c r="L1840" s="33">
        <v>0</v>
      </c>
      <c r="M1840" s="33">
        <f t="shared" si="224"/>
        <v>0</v>
      </c>
      <c r="N1840" s="34">
        <f t="shared" si="230"/>
        <v>0</v>
      </c>
      <c r="O1840" s="35">
        <f>SUM($M$2:M1840)</f>
        <v>190743600</v>
      </c>
      <c r="P1840" s="34">
        <f t="shared" si="231"/>
        <v>1</v>
      </c>
      <c r="Q1840" s="37">
        <v>0</v>
      </c>
      <c r="R1840" s="31">
        <v>0</v>
      </c>
      <c r="S1840" s="31">
        <v>0</v>
      </c>
      <c r="T1840" s="31">
        <v>0</v>
      </c>
      <c r="U1840" s="37">
        <v>0.8</v>
      </c>
      <c r="V1840" s="31">
        <v>14</v>
      </c>
      <c r="W1840" s="31">
        <v>2</v>
      </c>
      <c r="X1840" s="38">
        <v>43</v>
      </c>
      <c r="Y1840" s="31">
        <v>1</v>
      </c>
      <c r="Z1840" s="31">
        <v>0</v>
      </c>
      <c r="AA1840" s="31" t="s">
        <v>212</v>
      </c>
      <c r="AB1840" s="31" t="s">
        <v>220</v>
      </c>
      <c r="AC1840" s="41">
        <f>IFERROR(LOOKUP(M1840,打分卡!$F$7:$J$7,打分卡!$K$7:$O$7),1)</f>
        <v>1</v>
      </c>
      <c r="AD1840" s="41">
        <f>IFERROR(LOOKUP(S1840,打分卡!$F$8:$J$8,打分卡!$K$8:$O$8),1)</f>
        <v>1</v>
      </c>
      <c r="AE1840" s="41">
        <f>IFERROR(LOOKUP(T1840,打分卡!$F$9:$I$9,打分卡!$K$9:$N$9),1)</f>
        <v>1</v>
      </c>
      <c r="AF1840" s="41">
        <f>IFERROR(LOOKUP(Q1840,打分卡!$F$10:$J$10,打分卡!$K$10:$O$10),1)</f>
        <v>1</v>
      </c>
      <c r="AG1840" s="41">
        <f>IFERROR(LOOKUP(R1840,打分卡!$F$11:$J$11,打分卡!$K$11:$O$11),1)</f>
        <v>1</v>
      </c>
      <c r="AH1840" s="41">
        <f>IFERROR(LOOKUP(U1840,打分卡!$F$12:$J$12,打分卡!$K$12:$O$12),1)</f>
        <v>1</v>
      </c>
      <c r="AI1840" s="41">
        <f>IFERROR(LOOKUP(X1840,打分卡!$F$13:$J$13,打分卡!$K$13:$O$13),1)</f>
        <v>3</v>
      </c>
      <c r="AJ1840" s="41">
        <f>IFERROR(LOOKUP(Y1840,打分卡!$F$14:$J$14,打分卡!$K$14:$O$14),1)</f>
        <v>2</v>
      </c>
      <c r="AK1840" s="41">
        <f>IFERROR(LOOKUP(W1840,打分卡!$F$15:$J$15,打分卡!$K$15:$O$15),1)</f>
        <v>2</v>
      </c>
      <c r="AL1840" s="43">
        <f t="shared" si="225"/>
        <v>1</v>
      </c>
      <c r="AM1840" s="41">
        <f>IFERROR(LOOKUP(Z1840,打分卡!$F$17:$H$17,打分卡!$K$17:$M$17),1)</f>
        <v>1</v>
      </c>
      <c r="AN1840" s="44">
        <f>(打分卡!$D$7*AC1840+打分卡!$D$8*AD1840+打分卡!$D$9*AE1840)/5</f>
        <v>8</v>
      </c>
      <c r="AO1840" s="44">
        <f>(打分卡!$D$10*AF1840+打分卡!$D$11*AG1840)/5</f>
        <v>4</v>
      </c>
      <c r="AP1840" s="44">
        <f>(打分卡!$D$12*AH1840+打分卡!$D$13*AI1840+打分卡!$D$14*AJ1840+打分卡!$D$15*AK1840)/5</f>
        <v>11.2</v>
      </c>
      <c r="AQ1840" s="44">
        <f>(打分卡!$D$16*AL1840+打分卡!$D$17*AM1840)/5</f>
        <v>2</v>
      </c>
      <c r="AR1840" s="47">
        <f t="shared" si="226"/>
        <v>25.2</v>
      </c>
      <c r="AS1840" s="43" t="str">
        <f t="shared" si="227"/>
        <v>未激活</v>
      </c>
      <c r="AT1840" s="43" t="str">
        <f t="shared" si="228"/>
        <v>连续下降-预警</v>
      </c>
      <c r="AU1840" s="43" t="str">
        <f t="shared" si="229"/>
        <v>唤醒：短信模板+首充补贴</v>
      </c>
    </row>
    <row r="1841" ht="15" customHeight="1" spans="1:47">
      <c r="A1841" s="20" t="s">
        <v>4659</v>
      </c>
      <c r="B1841" s="22" t="s">
        <v>4660</v>
      </c>
      <c r="C1841" s="22" t="s">
        <v>179</v>
      </c>
      <c r="D1841" s="22" t="s">
        <v>196</v>
      </c>
      <c r="E1841" s="22" t="s">
        <v>181</v>
      </c>
      <c r="F1841" s="20" t="s">
        <v>4498</v>
      </c>
      <c r="G1841" s="22">
        <v>16</v>
      </c>
      <c r="H1841" s="22" t="s">
        <v>3535</v>
      </c>
      <c r="I1841" s="22" t="s">
        <v>302</v>
      </c>
      <c r="J1841" s="36">
        <v>0</v>
      </c>
      <c r="K1841" s="36">
        <v>0</v>
      </c>
      <c r="L1841" s="36">
        <v>0</v>
      </c>
      <c r="M1841" s="36">
        <f t="shared" si="224"/>
        <v>0</v>
      </c>
      <c r="N1841" s="34">
        <f t="shared" si="230"/>
        <v>0</v>
      </c>
      <c r="O1841" s="35">
        <f>SUM($M$2:M1841)</f>
        <v>190743600</v>
      </c>
      <c r="P1841" s="34">
        <f t="shared" si="231"/>
        <v>1</v>
      </c>
      <c r="Q1841" s="39">
        <v>0</v>
      </c>
      <c r="R1841" s="22">
        <v>0</v>
      </c>
      <c r="S1841" s="22">
        <v>0</v>
      </c>
      <c r="T1841" s="22">
        <v>0</v>
      </c>
      <c r="U1841" s="39">
        <v>2.7</v>
      </c>
      <c r="V1841" s="22">
        <v>1</v>
      </c>
      <c r="W1841" s="22">
        <v>0</v>
      </c>
      <c r="X1841" s="40">
        <v>13</v>
      </c>
      <c r="Y1841" s="22">
        <v>1</v>
      </c>
      <c r="Z1841" s="22">
        <v>0</v>
      </c>
      <c r="AA1841" s="22" t="s">
        <v>212</v>
      </c>
      <c r="AB1841" s="22" t="s">
        <v>220</v>
      </c>
      <c r="AC1841" s="42">
        <f>IFERROR(LOOKUP(M1841,打分卡!$F$7:$J$7,打分卡!$K$7:$O$7),1)</f>
        <v>1</v>
      </c>
      <c r="AD1841" s="42">
        <f>IFERROR(LOOKUP(S1841,打分卡!$F$8:$J$8,打分卡!$K$8:$O$8),1)</f>
        <v>1</v>
      </c>
      <c r="AE1841" s="42">
        <f>IFERROR(LOOKUP(T1841,打分卡!$F$9:$I$9,打分卡!$K$9:$N$9),1)</f>
        <v>1</v>
      </c>
      <c r="AF1841" s="42">
        <f>IFERROR(LOOKUP(Q1841,打分卡!$F$10:$J$10,打分卡!$K$10:$O$10),1)</f>
        <v>1</v>
      </c>
      <c r="AG1841" s="42">
        <f>IFERROR(LOOKUP(R1841,打分卡!$F$11:$J$11,打分卡!$K$11:$O$11),1)</f>
        <v>1</v>
      </c>
      <c r="AH1841" s="42">
        <f>IFERROR(LOOKUP(U1841,打分卡!$F$12:$J$12,打分卡!$K$12:$O$12),1)</f>
        <v>1</v>
      </c>
      <c r="AI1841" s="42">
        <f>IFERROR(LOOKUP(X1841,打分卡!$F$13:$J$13,打分卡!$K$13:$O$13),1)</f>
        <v>1</v>
      </c>
      <c r="AJ1841" s="42">
        <f>IFERROR(LOOKUP(Y1841,打分卡!$F$14:$J$14,打分卡!$K$14:$O$14),1)</f>
        <v>2</v>
      </c>
      <c r="AK1841" s="42">
        <f>IFERROR(LOOKUP(W1841,打分卡!$F$15:$J$15,打分卡!$K$15:$O$15),1)</f>
        <v>1</v>
      </c>
      <c r="AL1841" s="45">
        <f t="shared" si="225"/>
        <v>1</v>
      </c>
      <c r="AM1841" s="42">
        <f>IFERROR(LOOKUP(Z1841,打分卡!$F$17:$H$17,打分卡!$K$17:$M$17),1)</f>
        <v>1</v>
      </c>
      <c r="AN1841" s="46">
        <f>(打分卡!$D$7*AC1841+打分卡!$D$8*AD1841+打分卡!$D$9*AE1841)/5</f>
        <v>8</v>
      </c>
      <c r="AO1841" s="46">
        <f>(打分卡!$D$10*AF1841+打分卡!$D$11*AG1841)/5</f>
        <v>4</v>
      </c>
      <c r="AP1841" s="46">
        <f>(打分卡!$D$12*AH1841+打分卡!$D$13*AI1841+打分卡!$D$14*AJ1841+打分卡!$D$15*AK1841)/5</f>
        <v>7.2</v>
      </c>
      <c r="AQ1841" s="46">
        <f>(打分卡!$D$16*AL1841+打分卡!$D$17*AM1841)/5</f>
        <v>2</v>
      </c>
      <c r="AR1841" s="48">
        <f t="shared" si="226"/>
        <v>21.2</v>
      </c>
      <c r="AS1841" s="45" t="str">
        <f t="shared" si="227"/>
        <v>未激活</v>
      </c>
      <c r="AT1841" s="45" t="str">
        <f t="shared" si="228"/>
        <v>连续下降-预警</v>
      </c>
      <c r="AU1841" s="45" t="str">
        <f t="shared" si="229"/>
        <v>唤醒：短信模板+首充补贴</v>
      </c>
    </row>
    <row r="1842" ht="15" customHeight="1" spans="1:47">
      <c r="A1842" s="30" t="s">
        <v>4661</v>
      </c>
      <c r="B1842" s="31" t="s">
        <v>4662</v>
      </c>
      <c r="C1842" s="31" t="s">
        <v>223</v>
      </c>
      <c r="D1842" s="31" t="s">
        <v>202</v>
      </c>
      <c r="E1842" s="31" t="s">
        <v>197</v>
      </c>
      <c r="F1842" s="30" t="s">
        <v>917</v>
      </c>
      <c r="G1842" s="31">
        <v>20</v>
      </c>
      <c r="H1842" s="31" t="s">
        <v>3535</v>
      </c>
      <c r="I1842" s="31" t="s">
        <v>302</v>
      </c>
      <c r="J1842" s="33">
        <v>0</v>
      </c>
      <c r="K1842" s="33">
        <v>0</v>
      </c>
      <c r="L1842" s="33">
        <v>0</v>
      </c>
      <c r="M1842" s="33">
        <f t="shared" si="224"/>
        <v>0</v>
      </c>
      <c r="N1842" s="34">
        <f t="shared" si="230"/>
        <v>0</v>
      </c>
      <c r="O1842" s="35">
        <f>SUM($M$2:M1842)</f>
        <v>190743600</v>
      </c>
      <c r="P1842" s="34">
        <f t="shared" si="231"/>
        <v>1</v>
      </c>
      <c r="Q1842" s="37">
        <v>0</v>
      </c>
      <c r="R1842" s="31">
        <v>0</v>
      </c>
      <c r="S1842" s="31">
        <v>0</v>
      </c>
      <c r="T1842" s="31">
        <v>0</v>
      </c>
      <c r="U1842" s="37">
        <v>45.1</v>
      </c>
      <c r="V1842" s="31">
        <v>15</v>
      </c>
      <c r="W1842" s="31">
        <v>2</v>
      </c>
      <c r="X1842" s="38">
        <v>6</v>
      </c>
      <c r="Y1842" s="31">
        <v>0</v>
      </c>
      <c r="Z1842" s="31">
        <v>0</v>
      </c>
      <c r="AA1842" s="31" t="s">
        <v>212</v>
      </c>
      <c r="AB1842" s="31" t="s">
        <v>220</v>
      </c>
      <c r="AC1842" s="41">
        <f>IFERROR(LOOKUP(M1842,打分卡!$F$7:$J$7,打分卡!$K$7:$O$7),1)</f>
        <v>1</v>
      </c>
      <c r="AD1842" s="41">
        <f>IFERROR(LOOKUP(S1842,打分卡!$F$8:$J$8,打分卡!$K$8:$O$8),1)</f>
        <v>1</v>
      </c>
      <c r="AE1842" s="41">
        <f>IFERROR(LOOKUP(T1842,打分卡!$F$9:$I$9,打分卡!$K$9:$N$9),1)</f>
        <v>1</v>
      </c>
      <c r="AF1842" s="41">
        <f>IFERROR(LOOKUP(Q1842,打分卡!$F$10:$J$10,打分卡!$K$10:$O$10),1)</f>
        <v>1</v>
      </c>
      <c r="AG1842" s="41">
        <f>IFERROR(LOOKUP(R1842,打分卡!$F$11:$J$11,打分卡!$K$11:$O$11),1)</f>
        <v>1</v>
      </c>
      <c r="AH1842" s="41">
        <f>IFERROR(LOOKUP(U1842,打分卡!$F$12:$J$12,打分卡!$K$12:$O$12),1)</f>
        <v>4</v>
      </c>
      <c r="AI1842" s="41">
        <f>IFERROR(LOOKUP(X1842,打分卡!$F$13:$J$13,打分卡!$K$13:$O$13),1)</f>
        <v>1</v>
      </c>
      <c r="AJ1842" s="41">
        <f>IFERROR(LOOKUP(Y1842,打分卡!$F$14:$J$14,打分卡!$K$14:$O$14),1)</f>
        <v>1</v>
      </c>
      <c r="AK1842" s="41">
        <f>IFERROR(LOOKUP(W1842,打分卡!$F$15:$J$15,打分卡!$K$15:$O$15),1)</f>
        <v>2</v>
      </c>
      <c r="AL1842" s="43">
        <f t="shared" si="225"/>
        <v>1</v>
      </c>
      <c r="AM1842" s="41">
        <f>IFERROR(LOOKUP(Z1842,打分卡!$F$17:$H$17,打分卡!$K$17:$M$17),1)</f>
        <v>1</v>
      </c>
      <c r="AN1842" s="44">
        <f>(打分卡!$D$7*AC1842+打分卡!$D$8*AD1842+打分卡!$D$9*AE1842)/5</f>
        <v>8</v>
      </c>
      <c r="AO1842" s="44">
        <f>(打分卡!$D$10*AF1842+打分卡!$D$11*AG1842)/5</f>
        <v>4</v>
      </c>
      <c r="AP1842" s="44">
        <f>(打分卡!$D$12*AH1842+打分卡!$D$13*AI1842+打分卡!$D$14*AJ1842+打分卡!$D$15*AK1842)/5</f>
        <v>14</v>
      </c>
      <c r="AQ1842" s="44">
        <f>(打分卡!$D$16*AL1842+打分卡!$D$17*AM1842)/5</f>
        <v>2</v>
      </c>
      <c r="AR1842" s="47">
        <f t="shared" si="226"/>
        <v>28</v>
      </c>
      <c r="AS1842" s="43" t="str">
        <f t="shared" si="227"/>
        <v>未激活</v>
      </c>
      <c r="AT1842" s="43" t="str">
        <f t="shared" si="228"/>
        <v>连续下降-预警</v>
      </c>
      <c r="AU1842" s="43" t="str">
        <f t="shared" si="229"/>
        <v>唤醒：短信模板+首充补贴</v>
      </c>
    </row>
    <row r="1843" ht="15" customHeight="1" spans="1:47">
      <c r="A1843" s="20" t="s">
        <v>4663</v>
      </c>
      <c r="B1843" s="22" t="s">
        <v>4664</v>
      </c>
      <c r="C1843" s="22" t="s">
        <v>189</v>
      </c>
      <c r="D1843" s="22" t="s">
        <v>190</v>
      </c>
      <c r="E1843" s="22" t="s">
        <v>197</v>
      </c>
      <c r="F1843" s="20" t="s">
        <v>4665</v>
      </c>
      <c r="G1843" s="22">
        <v>36</v>
      </c>
      <c r="H1843" s="22" t="s">
        <v>3535</v>
      </c>
      <c r="I1843" s="22" t="s">
        <v>302</v>
      </c>
      <c r="J1843" s="36">
        <v>0</v>
      </c>
      <c r="K1843" s="36">
        <v>0</v>
      </c>
      <c r="L1843" s="36">
        <v>0</v>
      </c>
      <c r="M1843" s="36">
        <f t="shared" si="224"/>
        <v>0</v>
      </c>
      <c r="N1843" s="34">
        <f t="shared" si="230"/>
        <v>0</v>
      </c>
      <c r="O1843" s="35">
        <f>SUM($M$2:M1843)</f>
        <v>190743600</v>
      </c>
      <c r="P1843" s="34">
        <f t="shared" si="231"/>
        <v>1</v>
      </c>
      <c r="Q1843" s="39">
        <v>0</v>
      </c>
      <c r="R1843" s="22">
        <v>0</v>
      </c>
      <c r="S1843" s="22">
        <v>0</v>
      </c>
      <c r="T1843" s="22">
        <v>0</v>
      </c>
      <c r="U1843" s="39">
        <v>0.8</v>
      </c>
      <c r="V1843" s="22">
        <v>0</v>
      </c>
      <c r="W1843" s="22">
        <v>1</v>
      </c>
      <c r="X1843" s="40">
        <v>15</v>
      </c>
      <c r="Y1843" s="22">
        <v>0</v>
      </c>
      <c r="Z1843" s="22">
        <v>0</v>
      </c>
      <c r="AA1843" s="22" t="s">
        <v>212</v>
      </c>
      <c r="AB1843" s="22" t="s">
        <v>220</v>
      </c>
      <c r="AC1843" s="42">
        <f>IFERROR(LOOKUP(M1843,打分卡!$F$7:$J$7,打分卡!$K$7:$O$7),1)</f>
        <v>1</v>
      </c>
      <c r="AD1843" s="42">
        <f>IFERROR(LOOKUP(S1843,打分卡!$F$8:$J$8,打分卡!$K$8:$O$8),1)</f>
        <v>1</v>
      </c>
      <c r="AE1843" s="42">
        <f>IFERROR(LOOKUP(T1843,打分卡!$F$9:$I$9,打分卡!$K$9:$N$9),1)</f>
        <v>1</v>
      </c>
      <c r="AF1843" s="42">
        <f>IFERROR(LOOKUP(Q1843,打分卡!$F$10:$J$10,打分卡!$K$10:$O$10),1)</f>
        <v>1</v>
      </c>
      <c r="AG1843" s="42">
        <f>IFERROR(LOOKUP(R1843,打分卡!$F$11:$J$11,打分卡!$K$11:$O$11),1)</f>
        <v>1</v>
      </c>
      <c r="AH1843" s="42">
        <f>IFERROR(LOOKUP(U1843,打分卡!$F$12:$J$12,打分卡!$K$12:$O$12),1)</f>
        <v>1</v>
      </c>
      <c r="AI1843" s="42">
        <f>IFERROR(LOOKUP(X1843,打分卡!$F$13:$J$13,打分卡!$K$13:$O$13),1)</f>
        <v>1</v>
      </c>
      <c r="AJ1843" s="42">
        <f>IFERROR(LOOKUP(Y1843,打分卡!$F$14:$J$14,打分卡!$K$14:$O$14),1)</f>
        <v>1</v>
      </c>
      <c r="AK1843" s="42">
        <f>IFERROR(LOOKUP(W1843,打分卡!$F$15:$J$15,打分卡!$K$15:$O$15),1)</f>
        <v>2</v>
      </c>
      <c r="AL1843" s="45">
        <f t="shared" si="225"/>
        <v>1</v>
      </c>
      <c r="AM1843" s="42">
        <f>IFERROR(LOOKUP(Z1843,打分卡!$F$17:$H$17,打分卡!$K$17:$M$17),1)</f>
        <v>1</v>
      </c>
      <c r="AN1843" s="46">
        <f>(打分卡!$D$7*AC1843+打分卡!$D$8*AD1843+打分卡!$D$9*AE1843)/5</f>
        <v>8</v>
      </c>
      <c r="AO1843" s="46">
        <f>(打分卡!$D$10*AF1843+打分卡!$D$11*AG1843)/5</f>
        <v>4</v>
      </c>
      <c r="AP1843" s="46">
        <f>(打分卡!$D$12*AH1843+打分卡!$D$13*AI1843+打分卡!$D$14*AJ1843+打分卡!$D$15*AK1843)/5</f>
        <v>6.8</v>
      </c>
      <c r="AQ1843" s="46">
        <f>(打分卡!$D$16*AL1843+打分卡!$D$17*AM1843)/5</f>
        <v>2</v>
      </c>
      <c r="AR1843" s="48">
        <f t="shared" si="226"/>
        <v>20.8</v>
      </c>
      <c r="AS1843" s="45" t="str">
        <f t="shared" si="227"/>
        <v>未激活</v>
      </c>
      <c r="AT1843" s="45" t="str">
        <f t="shared" si="228"/>
        <v>连续下降-预警</v>
      </c>
      <c r="AU1843" s="45" t="str">
        <f t="shared" si="229"/>
        <v>唤醒：短信模板+首充补贴</v>
      </c>
    </row>
    <row r="1844" ht="15" customHeight="1" spans="1:47">
      <c r="A1844" s="30" t="s">
        <v>4666</v>
      </c>
      <c r="B1844" s="31" t="s">
        <v>4667</v>
      </c>
      <c r="C1844" s="31" t="s">
        <v>179</v>
      </c>
      <c r="D1844" s="31" t="s">
        <v>202</v>
      </c>
      <c r="E1844" s="31" t="s">
        <v>197</v>
      </c>
      <c r="F1844" s="30" t="s">
        <v>516</v>
      </c>
      <c r="G1844" s="31">
        <v>22</v>
      </c>
      <c r="H1844" s="31" t="s">
        <v>3535</v>
      </c>
      <c r="I1844" s="31" t="s">
        <v>302</v>
      </c>
      <c r="J1844" s="33">
        <v>0</v>
      </c>
      <c r="K1844" s="33">
        <v>0</v>
      </c>
      <c r="L1844" s="33">
        <v>0</v>
      </c>
      <c r="M1844" s="33">
        <f t="shared" si="224"/>
        <v>0</v>
      </c>
      <c r="N1844" s="34">
        <f t="shared" si="230"/>
        <v>0</v>
      </c>
      <c r="O1844" s="35">
        <f>SUM($M$2:M1844)</f>
        <v>190743600</v>
      </c>
      <c r="P1844" s="34">
        <f t="shared" si="231"/>
        <v>1</v>
      </c>
      <c r="Q1844" s="37">
        <v>0</v>
      </c>
      <c r="R1844" s="31">
        <v>0</v>
      </c>
      <c r="S1844" s="31">
        <v>0</v>
      </c>
      <c r="T1844" s="31">
        <v>0</v>
      </c>
      <c r="U1844" s="37">
        <v>4.6</v>
      </c>
      <c r="V1844" s="31">
        <v>1</v>
      </c>
      <c r="W1844" s="31">
        <v>0</v>
      </c>
      <c r="X1844" s="38">
        <v>34</v>
      </c>
      <c r="Y1844" s="31">
        <v>1</v>
      </c>
      <c r="Z1844" s="31">
        <v>0</v>
      </c>
      <c r="AA1844" s="31" t="s">
        <v>212</v>
      </c>
      <c r="AB1844" s="31" t="s">
        <v>220</v>
      </c>
      <c r="AC1844" s="41">
        <f>IFERROR(LOOKUP(M1844,打分卡!$F$7:$J$7,打分卡!$K$7:$O$7),1)</f>
        <v>1</v>
      </c>
      <c r="AD1844" s="41">
        <f>IFERROR(LOOKUP(S1844,打分卡!$F$8:$J$8,打分卡!$K$8:$O$8),1)</f>
        <v>1</v>
      </c>
      <c r="AE1844" s="41">
        <f>IFERROR(LOOKUP(T1844,打分卡!$F$9:$I$9,打分卡!$K$9:$N$9),1)</f>
        <v>1</v>
      </c>
      <c r="AF1844" s="41">
        <f>IFERROR(LOOKUP(Q1844,打分卡!$F$10:$J$10,打分卡!$K$10:$O$10),1)</f>
        <v>1</v>
      </c>
      <c r="AG1844" s="41">
        <f>IFERROR(LOOKUP(R1844,打分卡!$F$11:$J$11,打分卡!$K$11:$O$11),1)</f>
        <v>1</v>
      </c>
      <c r="AH1844" s="41">
        <f>IFERROR(LOOKUP(U1844,打分卡!$F$12:$J$12,打分卡!$K$12:$O$12),1)</f>
        <v>2</v>
      </c>
      <c r="AI1844" s="41">
        <f>IFERROR(LOOKUP(X1844,打分卡!$F$13:$J$13,打分卡!$K$13:$O$13),1)</f>
        <v>2</v>
      </c>
      <c r="AJ1844" s="41">
        <f>IFERROR(LOOKUP(Y1844,打分卡!$F$14:$J$14,打分卡!$K$14:$O$14),1)</f>
        <v>2</v>
      </c>
      <c r="AK1844" s="41">
        <f>IFERROR(LOOKUP(W1844,打分卡!$F$15:$J$15,打分卡!$K$15:$O$15),1)</f>
        <v>1</v>
      </c>
      <c r="AL1844" s="43">
        <f t="shared" si="225"/>
        <v>1</v>
      </c>
      <c r="AM1844" s="41">
        <f>IFERROR(LOOKUP(Z1844,打分卡!$F$17:$H$17,打分卡!$K$17:$M$17),1)</f>
        <v>1</v>
      </c>
      <c r="AN1844" s="44">
        <f>(打分卡!$D$7*AC1844+打分卡!$D$8*AD1844+打分卡!$D$9*AE1844)/5</f>
        <v>8</v>
      </c>
      <c r="AO1844" s="44">
        <f>(打分卡!$D$10*AF1844+打分卡!$D$11*AG1844)/5</f>
        <v>4</v>
      </c>
      <c r="AP1844" s="44">
        <f>(打分卡!$D$12*AH1844+打分卡!$D$13*AI1844+打分卡!$D$14*AJ1844+打分卡!$D$15*AK1844)/5</f>
        <v>11.2</v>
      </c>
      <c r="AQ1844" s="44">
        <f>(打分卡!$D$16*AL1844+打分卡!$D$17*AM1844)/5</f>
        <v>2</v>
      </c>
      <c r="AR1844" s="47">
        <f t="shared" si="226"/>
        <v>25.2</v>
      </c>
      <c r="AS1844" s="43" t="str">
        <f t="shared" si="227"/>
        <v>未激活</v>
      </c>
      <c r="AT1844" s="43" t="str">
        <f t="shared" si="228"/>
        <v>连续下降-预警</v>
      </c>
      <c r="AU1844" s="43" t="str">
        <f t="shared" si="229"/>
        <v>唤醒：短信模板+首充补贴</v>
      </c>
    </row>
    <row r="1845" ht="15" customHeight="1" spans="1:47">
      <c r="A1845" s="20" t="s">
        <v>4668</v>
      </c>
      <c r="B1845" s="22" t="s">
        <v>4669</v>
      </c>
      <c r="C1845" s="22" t="s">
        <v>179</v>
      </c>
      <c r="D1845" s="22" t="s">
        <v>190</v>
      </c>
      <c r="E1845" s="22" t="s">
        <v>181</v>
      </c>
      <c r="F1845" s="20" t="s">
        <v>3609</v>
      </c>
      <c r="G1845" s="22">
        <v>36</v>
      </c>
      <c r="H1845" s="22" t="s">
        <v>3535</v>
      </c>
      <c r="I1845" s="22" t="s">
        <v>302</v>
      </c>
      <c r="J1845" s="36">
        <v>0</v>
      </c>
      <c r="K1845" s="36">
        <v>0</v>
      </c>
      <c r="L1845" s="36">
        <v>0</v>
      </c>
      <c r="M1845" s="36">
        <f t="shared" si="224"/>
        <v>0</v>
      </c>
      <c r="N1845" s="34">
        <f t="shared" si="230"/>
        <v>0</v>
      </c>
      <c r="O1845" s="35">
        <f>SUM($M$2:M1845)</f>
        <v>190743600</v>
      </c>
      <c r="P1845" s="34">
        <f t="shared" si="231"/>
        <v>1</v>
      </c>
      <c r="Q1845" s="39">
        <v>0</v>
      </c>
      <c r="R1845" s="22">
        <v>0</v>
      </c>
      <c r="S1845" s="22">
        <v>0</v>
      </c>
      <c r="T1845" s="22">
        <v>0</v>
      </c>
      <c r="U1845" s="39">
        <v>2</v>
      </c>
      <c r="V1845" s="22">
        <v>5</v>
      </c>
      <c r="W1845" s="22">
        <v>0</v>
      </c>
      <c r="X1845" s="40">
        <v>35</v>
      </c>
      <c r="Y1845" s="22">
        <v>0</v>
      </c>
      <c r="Z1845" s="22">
        <v>0</v>
      </c>
      <c r="AA1845" s="22" t="s">
        <v>212</v>
      </c>
      <c r="AB1845" s="22" t="s">
        <v>220</v>
      </c>
      <c r="AC1845" s="42">
        <f>IFERROR(LOOKUP(M1845,打分卡!$F$7:$J$7,打分卡!$K$7:$O$7),1)</f>
        <v>1</v>
      </c>
      <c r="AD1845" s="42">
        <f>IFERROR(LOOKUP(S1845,打分卡!$F$8:$J$8,打分卡!$K$8:$O$8),1)</f>
        <v>1</v>
      </c>
      <c r="AE1845" s="42">
        <f>IFERROR(LOOKUP(T1845,打分卡!$F$9:$I$9,打分卡!$K$9:$N$9),1)</f>
        <v>1</v>
      </c>
      <c r="AF1845" s="42">
        <f>IFERROR(LOOKUP(Q1845,打分卡!$F$10:$J$10,打分卡!$K$10:$O$10),1)</f>
        <v>1</v>
      </c>
      <c r="AG1845" s="42">
        <f>IFERROR(LOOKUP(R1845,打分卡!$F$11:$J$11,打分卡!$K$11:$O$11),1)</f>
        <v>1</v>
      </c>
      <c r="AH1845" s="42">
        <f>IFERROR(LOOKUP(U1845,打分卡!$F$12:$J$12,打分卡!$K$12:$O$12),1)</f>
        <v>1</v>
      </c>
      <c r="AI1845" s="42">
        <f>IFERROR(LOOKUP(X1845,打分卡!$F$13:$J$13,打分卡!$K$13:$O$13),1)</f>
        <v>2</v>
      </c>
      <c r="AJ1845" s="42">
        <f>IFERROR(LOOKUP(Y1845,打分卡!$F$14:$J$14,打分卡!$K$14:$O$14),1)</f>
        <v>1</v>
      </c>
      <c r="AK1845" s="42">
        <f>IFERROR(LOOKUP(W1845,打分卡!$F$15:$J$15,打分卡!$K$15:$O$15),1)</f>
        <v>1</v>
      </c>
      <c r="AL1845" s="45">
        <f t="shared" si="225"/>
        <v>1</v>
      </c>
      <c r="AM1845" s="42">
        <f>IFERROR(LOOKUP(Z1845,打分卡!$F$17:$H$17,打分卡!$K$17:$M$17),1)</f>
        <v>1</v>
      </c>
      <c r="AN1845" s="46">
        <f>(打分卡!$D$7*AC1845+打分卡!$D$8*AD1845+打分卡!$D$9*AE1845)/5</f>
        <v>8</v>
      </c>
      <c r="AO1845" s="46">
        <f>(打分卡!$D$10*AF1845+打分卡!$D$11*AG1845)/5</f>
        <v>4</v>
      </c>
      <c r="AP1845" s="46">
        <f>(打分卡!$D$12*AH1845+打分卡!$D$13*AI1845+打分卡!$D$14*AJ1845+打分卡!$D$15*AK1845)/5</f>
        <v>7.6</v>
      </c>
      <c r="AQ1845" s="46">
        <f>(打分卡!$D$16*AL1845+打分卡!$D$17*AM1845)/5</f>
        <v>2</v>
      </c>
      <c r="AR1845" s="48">
        <f t="shared" si="226"/>
        <v>21.6</v>
      </c>
      <c r="AS1845" s="45" t="str">
        <f t="shared" si="227"/>
        <v>未激活</v>
      </c>
      <c r="AT1845" s="45" t="str">
        <f t="shared" si="228"/>
        <v>连续下降-预警</v>
      </c>
      <c r="AU1845" s="45" t="str">
        <f t="shared" si="229"/>
        <v>唤醒：短信模板+首充补贴</v>
      </c>
    </row>
    <row r="1846" ht="15" customHeight="1" spans="1:47">
      <c r="A1846" s="30" t="s">
        <v>4670</v>
      </c>
      <c r="B1846" s="31" t="s">
        <v>4671</v>
      </c>
      <c r="C1846" s="31" t="s">
        <v>239</v>
      </c>
      <c r="D1846" s="31" t="s">
        <v>235</v>
      </c>
      <c r="E1846" s="31" t="s">
        <v>197</v>
      </c>
      <c r="F1846" s="30" t="s">
        <v>4672</v>
      </c>
      <c r="G1846" s="31">
        <v>18</v>
      </c>
      <c r="H1846" s="31" t="s">
        <v>3535</v>
      </c>
      <c r="I1846" s="31" t="s">
        <v>302</v>
      </c>
      <c r="J1846" s="33">
        <v>0</v>
      </c>
      <c r="K1846" s="33">
        <v>0</v>
      </c>
      <c r="L1846" s="33">
        <v>0</v>
      </c>
      <c r="M1846" s="33">
        <f t="shared" si="224"/>
        <v>0</v>
      </c>
      <c r="N1846" s="34">
        <f t="shared" si="230"/>
        <v>0</v>
      </c>
      <c r="O1846" s="35">
        <f>SUM($M$2:M1846)</f>
        <v>190743600</v>
      </c>
      <c r="P1846" s="34">
        <f t="shared" si="231"/>
        <v>1</v>
      </c>
      <c r="Q1846" s="37">
        <v>0</v>
      </c>
      <c r="R1846" s="31">
        <v>0</v>
      </c>
      <c r="S1846" s="31">
        <v>0</v>
      </c>
      <c r="T1846" s="31">
        <v>0</v>
      </c>
      <c r="U1846" s="37">
        <v>42.7</v>
      </c>
      <c r="V1846" s="31">
        <v>8</v>
      </c>
      <c r="W1846" s="31">
        <v>2</v>
      </c>
      <c r="X1846" s="38">
        <v>33</v>
      </c>
      <c r="Y1846" s="31">
        <v>0</v>
      </c>
      <c r="Z1846" s="31">
        <v>0</v>
      </c>
      <c r="AA1846" s="31" t="s">
        <v>212</v>
      </c>
      <c r="AB1846" s="31" t="s">
        <v>220</v>
      </c>
      <c r="AC1846" s="41">
        <f>IFERROR(LOOKUP(M1846,打分卡!$F$7:$J$7,打分卡!$K$7:$O$7),1)</f>
        <v>1</v>
      </c>
      <c r="AD1846" s="41">
        <f>IFERROR(LOOKUP(S1846,打分卡!$F$8:$J$8,打分卡!$K$8:$O$8),1)</f>
        <v>1</v>
      </c>
      <c r="AE1846" s="41">
        <f>IFERROR(LOOKUP(T1846,打分卡!$F$9:$I$9,打分卡!$K$9:$N$9),1)</f>
        <v>1</v>
      </c>
      <c r="AF1846" s="41">
        <f>IFERROR(LOOKUP(Q1846,打分卡!$F$10:$J$10,打分卡!$K$10:$O$10),1)</f>
        <v>1</v>
      </c>
      <c r="AG1846" s="41">
        <f>IFERROR(LOOKUP(R1846,打分卡!$F$11:$J$11,打分卡!$K$11:$O$11),1)</f>
        <v>1</v>
      </c>
      <c r="AH1846" s="41">
        <f>IFERROR(LOOKUP(U1846,打分卡!$F$12:$J$12,打分卡!$K$12:$O$12),1)</f>
        <v>4</v>
      </c>
      <c r="AI1846" s="41">
        <f>IFERROR(LOOKUP(X1846,打分卡!$F$13:$J$13,打分卡!$K$13:$O$13),1)</f>
        <v>2</v>
      </c>
      <c r="AJ1846" s="41">
        <f>IFERROR(LOOKUP(Y1846,打分卡!$F$14:$J$14,打分卡!$K$14:$O$14),1)</f>
        <v>1</v>
      </c>
      <c r="AK1846" s="41">
        <f>IFERROR(LOOKUP(W1846,打分卡!$F$15:$J$15,打分卡!$K$15:$O$15),1)</f>
        <v>2</v>
      </c>
      <c r="AL1846" s="43">
        <f t="shared" si="225"/>
        <v>1</v>
      </c>
      <c r="AM1846" s="41">
        <f>IFERROR(LOOKUP(Z1846,打分卡!$F$17:$H$17,打分卡!$K$17:$M$17),1)</f>
        <v>1</v>
      </c>
      <c r="AN1846" s="44">
        <f>(打分卡!$D$7*AC1846+打分卡!$D$8*AD1846+打分卡!$D$9*AE1846)/5</f>
        <v>8</v>
      </c>
      <c r="AO1846" s="44">
        <f>(打分卡!$D$10*AF1846+打分卡!$D$11*AG1846)/5</f>
        <v>4</v>
      </c>
      <c r="AP1846" s="44">
        <f>(打分卡!$D$12*AH1846+打分卡!$D$13*AI1846+打分卡!$D$14*AJ1846+打分卡!$D$15*AK1846)/5</f>
        <v>15.6</v>
      </c>
      <c r="AQ1846" s="44">
        <f>(打分卡!$D$16*AL1846+打分卡!$D$17*AM1846)/5</f>
        <v>2</v>
      </c>
      <c r="AR1846" s="47">
        <f t="shared" si="226"/>
        <v>29.6</v>
      </c>
      <c r="AS1846" s="43" t="str">
        <f t="shared" si="227"/>
        <v>未激活</v>
      </c>
      <c r="AT1846" s="43" t="str">
        <f t="shared" si="228"/>
        <v>连续下降-预警</v>
      </c>
      <c r="AU1846" s="43" t="str">
        <f t="shared" si="229"/>
        <v>唤醒：短信模板+首充补贴</v>
      </c>
    </row>
    <row r="1847" ht="15" customHeight="1" spans="1:47">
      <c r="A1847" s="20" t="s">
        <v>4673</v>
      </c>
      <c r="B1847" s="22" t="s">
        <v>4674</v>
      </c>
      <c r="C1847" s="22" t="s">
        <v>218</v>
      </c>
      <c r="D1847" s="22" t="s">
        <v>190</v>
      </c>
      <c r="E1847" s="22" t="s">
        <v>181</v>
      </c>
      <c r="F1847" s="20" t="s">
        <v>632</v>
      </c>
      <c r="G1847" s="22">
        <v>21</v>
      </c>
      <c r="H1847" s="22" t="s">
        <v>3535</v>
      </c>
      <c r="I1847" s="22" t="s">
        <v>302</v>
      </c>
      <c r="J1847" s="36">
        <v>0</v>
      </c>
      <c r="K1847" s="36">
        <v>0</v>
      </c>
      <c r="L1847" s="36">
        <v>0</v>
      </c>
      <c r="M1847" s="36">
        <f t="shared" si="224"/>
        <v>0</v>
      </c>
      <c r="N1847" s="34">
        <f t="shared" si="230"/>
        <v>0</v>
      </c>
      <c r="O1847" s="35">
        <f>SUM($M$2:M1847)</f>
        <v>190743600</v>
      </c>
      <c r="P1847" s="34">
        <f t="shared" si="231"/>
        <v>1</v>
      </c>
      <c r="Q1847" s="39">
        <v>0</v>
      </c>
      <c r="R1847" s="22">
        <v>0</v>
      </c>
      <c r="S1847" s="22">
        <v>0</v>
      </c>
      <c r="T1847" s="22">
        <v>0</v>
      </c>
      <c r="U1847" s="39">
        <v>1.2</v>
      </c>
      <c r="V1847" s="22">
        <v>9</v>
      </c>
      <c r="W1847" s="22">
        <v>0</v>
      </c>
      <c r="X1847" s="40">
        <v>69</v>
      </c>
      <c r="Y1847" s="22">
        <v>0</v>
      </c>
      <c r="Z1847" s="22">
        <v>0</v>
      </c>
      <c r="AA1847" s="22" t="s">
        <v>212</v>
      </c>
      <c r="AB1847" s="22" t="s">
        <v>220</v>
      </c>
      <c r="AC1847" s="42">
        <f>IFERROR(LOOKUP(M1847,打分卡!$F$7:$J$7,打分卡!$K$7:$O$7),1)</f>
        <v>1</v>
      </c>
      <c r="AD1847" s="42">
        <f>IFERROR(LOOKUP(S1847,打分卡!$F$8:$J$8,打分卡!$K$8:$O$8),1)</f>
        <v>1</v>
      </c>
      <c r="AE1847" s="42">
        <f>IFERROR(LOOKUP(T1847,打分卡!$F$9:$I$9,打分卡!$K$9:$N$9),1)</f>
        <v>1</v>
      </c>
      <c r="AF1847" s="42">
        <f>IFERROR(LOOKUP(Q1847,打分卡!$F$10:$J$10,打分卡!$K$10:$O$10),1)</f>
        <v>1</v>
      </c>
      <c r="AG1847" s="42">
        <f>IFERROR(LOOKUP(R1847,打分卡!$F$11:$J$11,打分卡!$K$11:$O$11),1)</f>
        <v>1</v>
      </c>
      <c r="AH1847" s="42">
        <f>IFERROR(LOOKUP(U1847,打分卡!$F$12:$J$12,打分卡!$K$12:$O$12),1)</f>
        <v>1</v>
      </c>
      <c r="AI1847" s="42">
        <f>IFERROR(LOOKUP(X1847,打分卡!$F$13:$J$13,打分卡!$K$13:$O$13),1)</f>
        <v>3</v>
      </c>
      <c r="AJ1847" s="42">
        <f>IFERROR(LOOKUP(Y1847,打分卡!$F$14:$J$14,打分卡!$K$14:$O$14),1)</f>
        <v>1</v>
      </c>
      <c r="AK1847" s="42">
        <f>IFERROR(LOOKUP(W1847,打分卡!$F$15:$J$15,打分卡!$K$15:$O$15),1)</f>
        <v>1</v>
      </c>
      <c r="AL1847" s="45">
        <f t="shared" si="225"/>
        <v>1</v>
      </c>
      <c r="AM1847" s="42">
        <f>IFERROR(LOOKUP(Z1847,打分卡!$F$17:$H$17,打分卡!$K$17:$M$17),1)</f>
        <v>1</v>
      </c>
      <c r="AN1847" s="46">
        <f>(打分卡!$D$7*AC1847+打分卡!$D$8*AD1847+打分卡!$D$9*AE1847)/5</f>
        <v>8</v>
      </c>
      <c r="AO1847" s="46">
        <f>(打分卡!$D$10*AF1847+打分卡!$D$11*AG1847)/5</f>
        <v>4</v>
      </c>
      <c r="AP1847" s="46">
        <f>(打分卡!$D$12*AH1847+打分卡!$D$13*AI1847+打分卡!$D$14*AJ1847+打分卡!$D$15*AK1847)/5</f>
        <v>9.2</v>
      </c>
      <c r="AQ1847" s="46">
        <f>(打分卡!$D$16*AL1847+打分卡!$D$17*AM1847)/5</f>
        <v>2</v>
      </c>
      <c r="AR1847" s="48">
        <f t="shared" si="226"/>
        <v>23.2</v>
      </c>
      <c r="AS1847" s="45" t="str">
        <f t="shared" si="227"/>
        <v>未激活</v>
      </c>
      <c r="AT1847" s="45" t="str">
        <f t="shared" si="228"/>
        <v>连续下降-预警</v>
      </c>
      <c r="AU1847" s="45" t="str">
        <f t="shared" si="229"/>
        <v>唤醒：短信模板+首充补贴</v>
      </c>
    </row>
    <row r="1848" ht="15" customHeight="1" spans="1:47">
      <c r="A1848" s="30" t="s">
        <v>4675</v>
      </c>
      <c r="B1848" s="31" t="s">
        <v>4676</v>
      </c>
      <c r="C1848" s="31" t="s">
        <v>179</v>
      </c>
      <c r="D1848" s="31" t="s">
        <v>190</v>
      </c>
      <c r="E1848" s="31" t="s">
        <v>197</v>
      </c>
      <c r="F1848" s="30" t="s">
        <v>2293</v>
      </c>
      <c r="G1848" s="31">
        <v>22</v>
      </c>
      <c r="H1848" s="31" t="s">
        <v>3535</v>
      </c>
      <c r="I1848" s="31" t="s">
        <v>302</v>
      </c>
      <c r="J1848" s="33">
        <v>0</v>
      </c>
      <c r="K1848" s="33">
        <v>0</v>
      </c>
      <c r="L1848" s="33">
        <v>0</v>
      </c>
      <c r="M1848" s="33">
        <f t="shared" si="224"/>
        <v>0</v>
      </c>
      <c r="N1848" s="34">
        <f t="shared" si="230"/>
        <v>0</v>
      </c>
      <c r="O1848" s="35">
        <f>SUM($M$2:M1848)</f>
        <v>190743600</v>
      </c>
      <c r="P1848" s="34">
        <f t="shared" si="231"/>
        <v>1</v>
      </c>
      <c r="Q1848" s="37">
        <v>0</v>
      </c>
      <c r="R1848" s="31">
        <v>0</v>
      </c>
      <c r="S1848" s="31">
        <v>0</v>
      </c>
      <c r="T1848" s="31">
        <v>0</v>
      </c>
      <c r="U1848" s="37">
        <v>7.6</v>
      </c>
      <c r="V1848" s="31">
        <v>11</v>
      </c>
      <c r="W1848" s="31">
        <v>1</v>
      </c>
      <c r="X1848" s="38">
        <v>24</v>
      </c>
      <c r="Y1848" s="31">
        <v>1</v>
      </c>
      <c r="Z1848" s="31">
        <v>0</v>
      </c>
      <c r="AA1848" s="31" t="s">
        <v>212</v>
      </c>
      <c r="AB1848" s="31" t="s">
        <v>220</v>
      </c>
      <c r="AC1848" s="41">
        <f>IFERROR(LOOKUP(M1848,打分卡!$F$7:$J$7,打分卡!$K$7:$O$7),1)</f>
        <v>1</v>
      </c>
      <c r="AD1848" s="41">
        <f>IFERROR(LOOKUP(S1848,打分卡!$F$8:$J$8,打分卡!$K$8:$O$8),1)</f>
        <v>1</v>
      </c>
      <c r="AE1848" s="41">
        <f>IFERROR(LOOKUP(T1848,打分卡!$F$9:$I$9,打分卡!$K$9:$N$9),1)</f>
        <v>1</v>
      </c>
      <c r="AF1848" s="41">
        <f>IFERROR(LOOKUP(Q1848,打分卡!$F$10:$J$10,打分卡!$K$10:$O$10),1)</f>
        <v>1</v>
      </c>
      <c r="AG1848" s="41">
        <f>IFERROR(LOOKUP(R1848,打分卡!$F$11:$J$11,打分卡!$K$11:$O$11),1)</f>
        <v>1</v>
      </c>
      <c r="AH1848" s="41">
        <f>IFERROR(LOOKUP(U1848,打分卡!$F$12:$J$12,打分卡!$K$12:$O$12),1)</f>
        <v>2</v>
      </c>
      <c r="AI1848" s="41">
        <f>IFERROR(LOOKUP(X1848,打分卡!$F$13:$J$13,打分卡!$K$13:$O$13),1)</f>
        <v>2</v>
      </c>
      <c r="AJ1848" s="41">
        <f>IFERROR(LOOKUP(Y1848,打分卡!$F$14:$J$14,打分卡!$K$14:$O$14),1)</f>
        <v>2</v>
      </c>
      <c r="AK1848" s="41">
        <f>IFERROR(LOOKUP(W1848,打分卡!$F$15:$J$15,打分卡!$K$15:$O$15),1)</f>
        <v>2</v>
      </c>
      <c r="AL1848" s="43">
        <f t="shared" si="225"/>
        <v>1</v>
      </c>
      <c r="AM1848" s="41">
        <f>IFERROR(LOOKUP(Z1848,打分卡!$F$17:$H$17,打分卡!$K$17:$M$17),1)</f>
        <v>1</v>
      </c>
      <c r="AN1848" s="44">
        <f>(打分卡!$D$7*AC1848+打分卡!$D$8*AD1848+打分卡!$D$9*AE1848)/5</f>
        <v>8</v>
      </c>
      <c r="AO1848" s="44">
        <f>(打分卡!$D$10*AF1848+打分卡!$D$11*AG1848)/5</f>
        <v>4</v>
      </c>
      <c r="AP1848" s="44">
        <f>(打分卡!$D$12*AH1848+打分卡!$D$13*AI1848+打分卡!$D$14*AJ1848+打分卡!$D$15*AK1848)/5</f>
        <v>12</v>
      </c>
      <c r="AQ1848" s="44">
        <f>(打分卡!$D$16*AL1848+打分卡!$D$17*AM1848)/5</f>
        <v>2</v>
      </c>
      <c r="AR1848" s="47">
        <f t="shared" si="226"/>
        <v>26</v>
      </c>
      <c r="AS1848" s="43" t="str">
        <f t="shared" si="227"/>
        <v>未激活</v>
      </c>
      <c r="AT1848" s="43" t="str">
        <f t="shared" si="228"/>
        <v>连续下降-预警</v>
      </c>
      <c r="AU1848" s="43" t="str">
        <f t="shared" si="229"/>
        <v>唤醒：短信模板+首充补贴</v>
      </c>
    </row>
    <row r="1849" ht="15" customHeight="1" spans="1:47">
      <c r="A1849" s="20" t="s">
        <v>4677</v>
      </c>
      <c r="B1849" s="22" t="s">
        <v>4678</v>
      </c>
      <c r="C1849" s="22" t="s">
        <v>179</v>
      </c>
      <c r="D1849" s="22" t="s">
        <v>196</v>
      </c>
      <c r="E1849" s="22" t="s">
        <v>181</v>
      </c>
      <c r="F1849" s="20" t="s">
        <v>2200</v>
      </c>
      <c r="G1849" s="22">
        <v>19</v>
      </c>
      <c r="H1849" s="22" t="s">
        <v>3535</v>
      </c>
      <c r="I1849" s="22" t="s">
        <v>302</v>
      </c>
      <c r="J1849" s="36">
        <v>0</v>
      </c>
      <c r="K1849" s="36">
        <v>0</v>
      </c>
      <c r="L1849" s="36">
        <v>0</v>
      </c>
      <c r="M1849" s="36">
        <f t="shared" si="224"/>
        <v>0</v>
      </c>
      <c r="N1849" s="34">
        <f t="shared" si="230"/>
        <v>0</v>
      </c>
      <c r="O1849" s="35">
        <f>SUM($M$2:M1849)</f>
        <v>190743600</v>
      </c>
      <c r="P1849" s="34">
        <f t="shared" si="231"/>
        <v>1</v>
      </c>
      <c r="Q1849" s="39">
        <v>0</v>
      </c>
      <c r="R1849" s="22">
        <v>0</v>
      </c>
      <c r="S1849" s="22">
        <v>0</v>
      </c>
      <c r="T1849" s="22">
        <v>0</v>
      </c>
      <c r="U1849" s="39">
        <v>1.1</v>
      </c>
      <c r="V1849" s="22">
        <v>0</v>
      </c>
      <c r="W1849" s="22">
        <v>1</v>
      </c>
      <c r="X1849" s="40">
        <v>51</v>
      </c>
      <c r="Y1849" s="22">
        <v>1</v>
      </c>
      <c r="Z1849" s="22">
        <v>0</v>
      </c>
      <c r="AA1849" s="22" t="s">
        <v>212</v>
      </c>
      <c r="AB1849" s="22" t="s">
        <v>220</v>
      </c>
      <c r="AC1849" s="42">
        <f>IFERROR(LOOKUP(M1849,打分卡!$F$7:$J$7,打分卡!$K$7:$O$7),1)</f>
        <v>1</v>
      </c>
      <c r="AD1849" s="42">
        <f>IFERROR(LOOKUP(S1849,打分卡!$F$8:$J$8,打分卡!$K$8:$O$8),1)</f>
        <v>1</v>
      </c>
      <c r="AE1849" s="42">
        <f>IFERROR(LOOKUP(T1849,打分卡!$F$9:$I$9,打分卡!$K$9:$N$9),1)</f>
        <v>1</v>
      </c>
      <c r="AF1849" s="42">
        <f>IFERROR(LOOKUP(Q1849,打分卡!$F$10:$J$10,打分卡!$K$10:$O$10),1)</f>
        <v>1</v>
      </c>
      <c r="AG1849" s="42">
        <f>IFERROR(LOOKUP(R1849,打分卡!$F$11:$J$11,打分卡!$K$11:$O$11),1)</f>
        <v>1</v>
      </c>
      <c r="AH1849" s="42">
        <f>IFERROR(LOOKUP(U1849,打分卡!$F$12:$J$12,打分卡!$K$12:$O$12),1)</f>
        <v>1</v>
      </c>
      <c r="AI1849" s="42">
        <f>IFERROR(LOOKUP(X1849,打分卡!$F$13:$J$13,打分卡!$K$13:$O$13),1)</f>
        <v>3</v>
      </c>
      <c r="AJ1849" s="42">
        <f>IFERROR(LOOKUP(Y1849,打分卡!$F$14:$J$14,打分卡!$K$14:$O$14),1)</f>
        <v>2</v>
      </c>
      <c r="AK1849" s="42">
        <f>IFERROR(LOOKUP(W1849,打分卡!$F$15:$J$15,打分卡!$K$15:$O$15),1)</f>
        <v>2</v>
      </c>
      <c r="AL1849" s="45">
        <f t="shared" si="225"/>
        <v>1</v>
      </c>
      <c r="AM1849" s="42">
        <f>IFERROR(LOOKUP(Z1849,打分卡!$F$17:$H$17,打分卡!$K$17:$M$17),1)</f>
        <v>1</v>
      </c>
      <c r="AN1849" s="46">
        <f>(打分卡!$D$7*AC1849+打分卡!$D$8*AD1849+打分卡!$D$9*AE1849)/5</f>
        <v>8</v>
      </c>
      <c r="AO1849" s="46">
        <f>(打分卡!$D$10*AF1849+打分卡!$D$11*AG1849)/5</f>
        <v>4</v>
      </c>
      <c r="AP1849" s="46">
        <f>(打分卡!$D$12*AH1849+打分卡!$D$13*AI1849+打分卡!$D$14*AJ1849+打分卡!$D$15*AK1849)/5</f>
        <v>11.2</v>
      </c>
      <c r="AQ1849" s="46">
        <f>(打分卡!$D$16*AL1849+打分卡!$D$17*AM1849)/5</f>
        <v>2</v>
      </c>
      <c r="AR1849" s="48">
        <f t="shared" si="226"/>
        <v>25.2</v>
      </c>
      <c r="AS1849" s="45" t="str">
        <f t="shared" si="227"/>
        <v>未激活</v>
      </c>
      <c r="AT1849" s="45" t="str">
        <f t="shared" si="228"/>
        <v>连续下降-预警</v>
      </c>
      <c r="AU1849" s="45" t="str">
        <f t="shared" si="229"/>
        <v>唤醒：短信模板+首充补贴</v>
      </c>
    </row>
    <row r="1850" ht="15" customHeight="1" spans="1:47">
      <c r="A1850" s="30" t="s">
        <v>4679</v>
      </c>
      <c r="B1850" s="31" t="s">
        <v>4680</v>
      </c>
      <c r="C1850" s="31" t="s">
        <v>223</v>
      </c>
      <c r="D1850" s="31" t="s">
        <v>180</v>
      </c>
      <c r="E1850" s="31" t="s">
        <v>181</v>
      </c>
      <c r="F1850" s="30" t="s">
        <v>1427</v>
      </c>
      <c r="G1850" s="31">
        <v>23</v>
      </c>
      <c r="H1850" s="31" t="s">
        <v>3535</v>
      </c>
      <c r="I1850" s="31" t="s">
        <v>302</v>
      </c>
      <c r="J1850" s="33">
        <v>0</v>
      </c>
      <c r="K1850" s="33">
        <v>0</v>
      </c>
      <c r="L1850" s="33">
        <v>0</v>
      </c>
      <c r="M1850" s="33">
        <f t="shared" si="224"/>
        <v>0</v>
      </c>
      <c r="N1850" s="34">
        <f t="shared" si="230"/>
        <v>0</v>
      </c>
      <c r="O1850" s="35">
        <f>SUM($M$2:M1850)</f>
        <v>190743600</v>
      </c>
      <c r="P1850" s="34">
        <f t="shared" si="231"/>
        <v>1</v>
      </c>
      <c r="Q1850" s="37">
        <v>0</v>
      </c>
      <c r="R1850" s="31">
        <v>0</v>
      </c>
      <c r="S1850" s="31">
        <v>0</v>
      </c>
      <c r="T1850" s="31">
        <v>0</v>
      </c>
      <c r="U1850" s="37">
        <v>3.1</v>
      </c>
      <c r="V1850" s="31">
        <v>6</v>
      </c>
      <c r="W1850" s="31">
        <v>2</v>
      </c>
      <c r="X1850" s="38">
        <v>62</v>
      </c>
      <c r="Y1850" s="31">
        <v>1</v>
      </c>
      <c r="Z1850" s="31">
        <v>0</v>
      </c>
      <c r="AA1850" s="31" t="s">
        <v>212</v>
      </c>
      <c r="AB1850" s="31" t="s">
        <v>220</v>
      </c>
      <c r="AC1850" s="41">
        <f>IFERROR(LOOKUP(M1850,打分卡!$F$7:$J$7,打分卡!$K$7:$O$7),1)</f>
        <v>1</v>
      </c>
      <c r="AD1850" s="41">
        <f>IFERROR(LOOKUP(S1850,打分卡!$F$8:$J$8,打分卡!$K$8:$O$8),1)</f>
        <v>1</v>
      </c>
      <c r="AE1850" s="41">
        <f>IFERROR(LOOKUP(T1850,打分卡!$F$9:$I$9,打分卡!$K$9:$N$9),1)</f>
        <v>1</v>
      </c>
      <c r="AF1850" s="41">
        <f>IFERROR(LOOKUP(Q1850,打分卡!$F$10:$J$10,打分卡!$K$10:$O$10),1)</f>
        <v>1</v>
      </c>
      <c r="AG1850" s="41">
        <f>IFERROR(LOOKUP(R1850,打分卡!$F$11:$J$11,打分卡!$K$11:$O$11),1)</f>
        <v>1</v>
      </c>
      <c r="AH1850" s="41">
        <f>IFERROR(LOOKUP(U1850,打分卡!$F$12:$J$12,打分卡!$K$12:$O$12),1)</f>
        <v>2</v>
      </c>
      <c r="AI1850" s="41">
        <f>IFERROR(LOOKUP(X1850,打分卡!$F$13:$J$13,打分卡!$K$13:$O$13),1)</f>
        <v>3</v>
      </c>
      <c r="AJ1850" s="41">
        <f>IFERROR(LOOKUP(Y1850,打分卡!$F$14:$J$14,打分卡!$K$14:$O$14),1)</f>
        <v>2</v>
      </c>
      <c r="AK1850" s="41">
        <f>IFERROR(LOOKUP(W1850,打分卡!$F$15:$J$15,打分卡!$K$15:$O$15),1)</f>
        <v>2</v>
      </c>
      <c r="AL1850" s="43">
        <f t="shared" si="225"/>
        <v>1</v>
      </c>
      <c r="AM1850" s="41">
        <f>IFERROR(LOOKUP(Z1850,打分卡!$F$17:$H$17,打分卡!$K$17:$M$17),1)</f>
        <v>1</v>
      </c>
      <c r="AN1850" s="44">
        <f>(打分卡!$D$7*AC1850+打分卡!$D$8*AD1850+打分卡!$D$9*AE1850)/5</f>
        <v>8</v>
      </c>
      <c r="AO1850" s="44">
        <f>(打分卡!$D$10*AF1850+打分卡!$D$11*AG1850)/5</f>
        <v>4</v>
      </c>
      <c r="AP1850" s="44">
        <f>(打分卡!$D$12*AH1850+打分卡!$D$13*AI1850+打分卡!$D$14*AJ1850+打分卡!$D$15*AK1850)/5</f>
        <v>13.6</v>
      </c>
      <c r="AQ1850" s="44">
        <f>(打分卡!$D$16*AL1850+打分卡!$D$17*AM1850)/5</f>
        <v>2</v>
      </c>
      <c r="AR1850" s="47">
        <f t="shared" si="226"/>
        <v>27.6</v>
      </c>
      <c r="AS1850" s="43" t="str">
        <f t="shared" si="227"/>
        <v>未激活</v>
      </c>
      <c r="AT1850" s="43" t="str">
        <f t="shared" si="228"/>
        <v>连续下降-预警</v>
      </c>
      <c r="AU1850" s="43" t="str">
        <f t="shared" si="229"/>
        <v>唤醒：短信模板+首充补贴</v>
      </c>
    </row>
    <row r="1851" ht="15" customHeight="1" spans="1:47">
      <c r="A1851" s="20" t="s">
        <v>4681</v>
      </c>
      <c r="B1851" s="22" t="s">
        <v>4682</v>
      </c>
      <c r="C1851" s="22" t="s">
        <v>239</v>
      </c>
      <c r="D1851" s="22" t="s">
        <v>202</v>
      </c>
      <c r="E1851" s="22" t="s">
        <v>197</v>
      </c>
      <c r="F1851" s="20" t="s">
        <v>4683</v>
      </c>
      <c r="G1851" s="22">
        <v>29</v>
      </c>
      <c r="H1851" s="22" t="s">
        <v>3535</v>
      </c>
      <c r="I1851" s="22" t="s">
        <v>302</v>
      </c>
      <c r="J1851" s="36">
        <v>0</v>
      </c>
      <c r="K1851" s="36">
        <v>0</v>
      </c>
      <c r="L1851" s="36">
        <v>0</v>
      </c>
      <c r="M1851" s="36">
        <f t="shared" si="224"/>
        <v>0</v>
      </c>
      <c r="N1851" s="34">
        <f t="shared" si="230"/>
        <v>0</v>
      </c>
      <c r="O1851" s="35">
        <f>SUM($M$2:M1851)</f>
        <v>190743600</v>
      </c>
      <c r="P1851" s="34">
        <f t="shared" si="231"/>
        <v>1</v>
      </c>
      <c r="Q1851" s="39">
        <v>0</v>
      </c>
      <c r="R1851" s="22">
        <v>0</v>
      </c>
      <c r="S1851" s="22">
        <v>0</v>
      </c>
      <c r="T1851" s="22">
        <v>0</v>
      </c>
      <c r="U1851" s="39">
        <v>9.8</v>
      </c>
      <c r="V1851" s="22">
        <v>2</v>
      </c>
      <c r="W1851" s="22">
        <v>0</v>
      </c>
      <c r="X1851" s="40">
        <v>23</v>
      </c>
      <c r="Y1851" s="22">
        <v>1</v>
      </c>
      <c r="Z1851" s="22">
        <v>0</v>
      </c>
      <c r="AA1851" s="22" t="s">
        <v>212</v>
      </c>
      <c r="AB1851" s="22" t="s">
        <v>220</v>
      </c>
      <c r="AC1851" s="42">
        <f>IFERROR(LOOKUP(M1851,打分卡!$F$7:$J$7,打分卡!$K$7:$O$7),1)</f>
        <v>1</v>
      </c>
      <c r="AD1851" s="42">
        <f>IFERROR(LOOKUP(S1851,打分卡!$F$8:$J$8,打分卡!$K$8:$O$8),1)</f>
        <v>1</v>
      </c>
      <c r="AE1851" s="42">
        <f>IFERROR(LOOKUP(T1851,打分卡!$F$9:$I$9,打分卡!$K$9:$N$9),1)</f>
        <v>1</v>
      </c>
      <c r="AF1851" s="42">
        <f>IFERROR(LOOKUP(Q1851,打分卡!$F$10:$J$10,打分卡!$K$10:$O$10),1)</f>
        <v>1</v>
      </c>
      <c r="AG1851" s="42">
        <f>IFERROR(LOOKUP(R1851,打分卡!$F$11:$J$11,打分卡!$K$11:$O$11),1)</f>
        <v>1</v>
      </c>
      <c r="AH1851" s="42">
        <f>IFERROR(LOOKUP(U1851,打分卡!$F$12:$J$12,打分卡!$K$12:$O$12),1)</f>
        <v>2</v>
      </c>
      <c r="AI1851" s="42">
        <f>IFERROR(LOOKUP(X1851,打分卡!$F$13:$J$13,打分卡!$K$13:$O$13),1)</f>
        <v>2</v>
      </c>
      <c r="AJ1851" s="42">
        <f>IFERROR(LOOKUP(Y1851,打分卡!$F$14:$J$14,打分卡!$K$14:$O$14),1)</f>
        <v>2</v>
      </c>
      <c r="AK1851" s="42">
        <f>IFERROR(LOOKUP(W1851,打分卡!$F$15:$J$15,打分卡!$K$15:$O$15),1)</f>
        <v>1</v>
      </c>
      <c r="AL1851" s="45">
        <f t="shared" si="225"/>
        <v>1</v>
      </c>
      <c r="AM1851" s="42">
        <f>IFERROR(LOOKUP(Z1851,打分卡!$F$17:$H$17,打分卡!$K$17:$M$17),1)</f>
        <v>1</v>
      </c>
      <c r="AN1851" s="46">
        <f>(打分卡!$D$7*AC1851+打分卡!$D$8*AD1851+打分卡!$D$9*AE1851)/5</f>
        <v>8</v>
      </c>
      <c r="AO1851" s="46">
        <f>(打分卡!$D$10*AF1851+打分卡!$D$11*AG1851)/5</f>
        <v>4</v>
      </c>
      <c r="AP1851" s="46">
        <f>(打分卡!$D$12*AH1851+打分卡!$D$13*AI1851+打分卡!$D$14*AJ1851+打分卡!$D$15*AK1851)/5</f>
        <v>11.2</v>
      </c>
      <c r="AQ1851" s="46">
        <f>(打分卡!$D$16*AL1851+打分卡!$D$17*AM1851)/5</f>
        <v>2</v>
      </c>
      <c r="AR1851" s="48">
        <f t="shared" si="226"/>
        <v>25.2</v>
      </c>
      <c r="AS1851" s="45" t="str">
        <f t="shared" si="227"/>
        <v>未激活</v>
      </c>
      <c r="AT1851" s="45" t="str">
        <f t="shared" si="228"/>
        <v>连续下降-预警</v>
      </c>
      <c r="AU1851" s="45" t="str">
        <f t="shared" si="229"/>
        <v>唤醒：短信模板+首充补贴</v>
      </c>
    </row>
    <row r="1852" ht="15" customHeight="1" spans="1:47">
      <c r="A1852" s="30" t="s">
        <v>4684</v>
      </c>
      <c r="B1852" s="31" t="s">
        <v>4685</v>
      </c>
      <c r="C1852" s="31" t="s">
        <v>189</v>
      </c>
      <c r="D1852" s="31" t="s">
        <v>196</v>
      </c>
      <c r="E1852" s="31" t="s">
        <v>181</v>
      </c>
      <c r="F1852" s="30" t="s">
        <v>3733</v>
      </c>
      <c r="G1852" s="31">
        <v>30</v>
      </c>
      <c r="H1852" s="31" t="s">
        <v>3535</v>
      </c>
      <c r="I1852" s="31" t="s">
        <v>302</v>
      </c>
      <c r="J1852" s="33">
        <v>0</v>
      </c>
      <c r="K1852" s="33">
        <v>0</v>
      </c>
      <c r="L1852" s="33">
        <v>0</v>
      </c>
      <c r="M1852" s="33">
        <f t="shared" si="224"/>
        <v>0</v>
      </c>
      <c r="N1852" s="34">
        <f t="shared" si="230"/>
        <v>0</v>
      </c>
      <c r="O1852" s="35">
        <f>SUM($M$2:M1852)</f>
        <v>190743600</v>
      </c>
      <c r="P1852" s="34">
        <f t="shared" si="231"/>
        <v>1</v>
      </c>
      <c r="Q1852" s="37">
        <v>0</v>
      </c>
      <c r="R1852" s="31">
        <v>0</v>
      </c>
      <c r="S1852" s="31">
        <v>0</v>
      </c>
      <c r="T1852" s="31">
        <v>0</v>
      </c>
      <c r="U1852" s="37">
        <v>3.5</v>
      </c>
      <c r="V1852" s="31">
        <v>3</v>
      </c>
      <c r="W1852" s="31">
        <v>1</v>
      </c>
      <c r="X1852" s="38">
        <v>9</v>
      </c>
      <c r="Y1852" s="31">
        <v>0</v>
      </c>
      <c r="Z1852" s="31">
        <v>0</v>
      </c>
      <c r="AA1852" s="31" t="s">
        <v>212</v>
      </c>
      <c r="AB1852" s="31" t="s">
        <v>220</v>
      </c>
      <c r="AC1852" s="41">
        <f>IFERROR(LOOKUP(M1852,打分卡!$F$7:$J$7,打分卡!$K$7:$O$7),1)</f>
        <v>1</v>
      </c>
      <c r="AD1852" s="41">
        <f>IFERROR(LOOKUP(S1852,打分卡!$F$8:$J$8,打分卡!$K$8:$O$8),1)</f>
        <v>1</v>
      </c>
      <c r="AE1852" s="41">
        <f>IFERROR(LOOKUP(T1852,打分卡!$F$9:$I$9,打分卡!$K$9:$N$9),1)</f>
        <v>1</v>
      </c>
      <c r="AF1852" s="41">
        <f>IFERROR(LOOKUP(Q1852,打分卡!$F$10:$J$10,打分卡!$K$10:$O$10),1)</f>
        <v>1</v>
      </c>
      <c r="AG1852" s="41">
        <f>IFERROR(LOOKUP(R1852,打分卡!$F$11:$J$11,打分卡!$K$11:$O$11),1)</f>
        <v>1</v>
      </c>
      <c r="AH1852" s="41">
        <f>IFERROR(LOOKUP(U1852,打分卡!$F$12:$J$12,打分卡!$K$12:$O$12),1)</f>
        <v>2</v>
      </c>
      <c r="AI1852" s="41">
        <f>IFERROR(LOOKUP(X1852,打分卡!$F$13:$J$13,打分卡!$K$13:$O$13),1)</f>
        <v>1</v>
      </c>
      <c r="AJ1852" s="41">
        <f>IFERROR(LOOKUP(Y1852,打分卡!$F$14:$J$14,打分卡!$K$14:$O$14),1)</f>
        <v>1</v>
      </c>
      <c r="AK1852" s="41">
        <f>IFERROR(LOOKUP(W1852,打分卡!$F$15:$J$15,打分卡!$K$15:$O$15),1)</f>
        <v>2</v>
      </c>
      <c r="AL1852" s="43">
        <f t="shared" si="225"/>
        <v>1</v>
      </c>
      <c r="AM1852" s="41">
        <f>IFERROR(LOOKUP(Z1852,打分卡!$F$17:$H$17,打分卡!$K$17:$M$17),1)</f>
        <v>1</v>
      </c>
      <c r="AN1852" s="44">
        <f>(打分卡!$D$7*AC1852+打分卡!$D$8*AD1852+打分卡!$D$9*AE1852)/5</f>
        <v>8</v>
      </c>
      <c r="AO1852" s="44">
        <f>(打分卡!$D$10*AF1852+打分卡!$D$11*AG1852)/5</f>
        <v>4</v>
      </c>
      <c r="AP1852" s="44">
        <f>(打分卡!$D$12*AH1852+打分卡!$D$13*AI1852+打分卡!$D$14*AJ1852+打分卡!$D$15*AK1852)/5</f>
        <v>9.2</v>
      </c>
      <c r="AQ1852" s="44">
        <f>(打分卡!$D$16*AL1852+打分卡!$D$17*AM1852)/5</f>
        <v>2</v>
      </c>
      <c r="AR1852" s="47">
        <f t="shared" si="226"/>
        <v>23.2</v>
      </c>
      <c r="AS1852" s="43" t="str">
        <f t="shared" si="227"/>
        <v>未激活</v>
      </c>
      <c r="AT1852" s="43" t="str">
        <f t="shared" si="228"/>
        <v>连续下降-预警</v>
      </c>
      <c r="AU1852" s="43" t="str">
        <f t="shared" si="229"/>
        <v>唤醒：短信模板+首充补贴</v>
      </c>
    </row>
    <row r="1853" ht="15" customHeight="1" spans="1:47">
      <c r="A1853" s="20" t="s">
        <v>4686</v>
      </c>
      <c r="B1853" s="22" t="s">
        <v>4687</v>
      </c>
      <c r="C1853" s="22" t="s">
        <v>189</v>
      </c>
      <c r="D1853" s="22" t="s">
        <v>196</v>
      </c>
      <c r="E1853" s="22" t="s">
        <v>181</v>
      </c>
      <c r="F1853" s="20" t="s">
        <v>271</v>
      </c>
      <c r="G1853" s="22">
        <v>20</v>
      </c>
      <c r="H1853" s="22" t="s">
        <v>3535</v>
      </c>
      <c r="I1853" s="22" t="s">
        <v>302</v>
      </c>
      <c r="J1853" s="36">
        <v>0</v>
      </c>
      <c r="K1853" s="36">
        <v>0</v>
      </c>
      <c r="L1853" s="36">
        <v>0</v>
      </c>
      <c r="M1853" s="36">
        <f t="shared" si="224"/>
        <v>0</v>
      </c>
      <c r="N1853" s="34">
        <f t="shared" si="230"/>
        <v>0</v>
      </c>
      <c r="O1853" s="35">
        <f>SUM($M$2:M1853)</f>
        <v>190743600</v>
      </c>
      <c r="P1853" s="34">
        <f t="shared" si="231"/>
        <v>1</v>
      </c>
      <c r="Q1853" s="39">
        <v>0</v>
      </c>
      <c r="R1853" s="22">
        <v>0</v>
      </c>
      <c r="S1853" s="22">
        <v>0</v>
      </c>
      <c r="T1853" s="22">
        <v>0</v>
      </c>
      <c r="U1853" s="39">
        <v>29.5</v>
      </c>
      <c r="V1853" s="22">
        <v>3</v>
      </c>
      <c r="W1853" s="22">
        <v>1</v>
      </c>
      <c r="X1853" s="40">
        <v>74</v>
      </c>
      <c r="Y1853" s="22">
        <v>0</v>
      </c>
      <c r="Z1853" s="22">
        <v>0</v>
      </c>
      <c r="AA1853" s="22" t="s">
        <v>212</v>
      </c>
      <c r="AB1853" s="22" t="s">
        <v>220</v>
      </c>
      <c r="AC1853" s="42">
        <f>IFERROR(LOOKUP(M1853,打分卡!$F$7:$J$7,打分卡!$K$7:$O$7),1)</f>
        <v>1</v>
      </c>
      <c r="AD1853" s="42">
        <f>IFERROR(LOOKUP(S1853,打分卡!$F$8:$J$8,打分卡!$K$8:$O$8),1)</f>
        <v>1</v>
      </c>
      <c r="AE1853" s="42">
        <f>IFERROR(LOOKUP(T1853,打分卡!$F$9:$I$9,打分卡!$K$9:$N$9),1)</f>
        <v>1</v>
      </c>
      <c r="AF1853" s="42">
        <f>IFERROR(LOOKUP(Q1853,打分卡!$F$10:$J$10,打分卡!$K$10:$O$10),1)</f>
        <v>1</v>
      </c>
      <c r="AG1853" s="42">
        <f>IFERROR(LOOKUP(R1853,打分卡!$F$11:$J$11,打分卡!$K$11:$O$11),1)</f>
        <v>1</v>
      </c>
      <c r="AH1853" s="42">
        <f>IFERROR(LOOKUP(U1853,打分卡!$F$12:$J$12,打分卡!$K$12:$O$12),1)</f>
        <v>3</v>
      </c>
      <c r="AI1853" s="42">
        <f>IFERROR(LOOKUP(X1853,打分卡!$F$13:$J$13,打分卡!$K$13:$O$13),1)</f>
        <v>3</v>
      </c>
      <c r="AJ1853" s="42">
        <f>IFERROR(LOOKUP(Y1853,打分卡!$F$14:$J$14,打分卡!$K$14:$O$14),1)</f>
        <v>1</v>
      </c>
      <c r="AK1853" s="42">
        <f>IFERROR(LOOKUP(W1853,打分卡!$F$15:$J$15,打分卡!$K$15:$O$15),1)</f>
        <v>2</v>
      </c>
      <c r="AL1853" s="45">
        <f t="shared" si="225"/>
        <v>1</v>
      </c>
      <c r="AM1853" s="42">
        <f>IFERROR(LOOKUP(Z1853,打分卡!$F$17:$H$17,打分卡!$K$17:$M$17),1)</f>
        <v>1</v>
      </c>
      <c r="AN1853" s="46">
        <f>(打分卡!$D$7*AC1853+打分卡!$D$8*AD1853+打分卡!$D$9*AE1853)/5</f>
        <v>8</v>
      </c>
      <c r="AO1853" s="46">
        <f>(打分卡!$D$10*AF1853+打分卡!$D$11*AG1853)/5</f>
        <v>4</v>
      </c>
      <c r="AP1853" s="46">
        <f>(打分卡!$D$12*AH1853+打分卡!$D$13*AI1853+打分卡!$D$14*AJ1853+打分卡!$D$15*AK1853)/5</f>
        <v>14.8</v>
      </c>
      <c r="AQ1853" s="46">
        <f>(打分卡!$D$16*AL1853+打分卡!$D$17*AM1853)/5</f>
        <v>2</v>
      </c>
      <c r="AR1853" s="48">
        <f t="shared" si="226"/>
        <v>28.8</v>
      </c>
      <c r="AS1853" s="45" t="str">
        <f t="shared" si="227"/>
        <v>未激活</v>
      </c>
      <c r="AT1853" s="45" t="str">
        <f t="shared" si="228"/>
        <v>连续下降-预警</v>
      </c>
      <c r="AU1853" s="45" t="str">
        <f t="shared" si="229"/>
        <v>唤醒：短信模板+首充补贴</v>
      </c>
    </row>
    <row r="1854" ht="15" customHeight="1" spans="1:47">
      <c r="A1854" s="30" t="s">
        <v>4688</v>
      </c>
      <c r="B1854" s="31" t="s">
        <v>4689</v>
      </c>
      <c r="C1854" s="31" t="s">
        <v>223</v>
      </c>
      <c r="D1854" s="31" t="s">
        <v>196</v>
      </c>
      <c r="E1854" s="31" t="s">
        <v>181</v>
      </c>
      <c r="F1854" s="30" t="s">
        <v>1666</v>
      </c>
      <c r="G1854" s="31">
        <v>14</v>
      </c>
      <c r="H1854" s="31" t="s">
        <v>3535</v>
      </c>
      <c r="I1854" s="31" t="s">
        <v>302</v>
      </c>
      <c r="J1854" s="33">
        <v>0</v>
      </c>
      <c r="K1854" s="33">
        <v>0</v>
      </c>
      <c r="L1854" s="33">
        <v>0</v>
      </c>
      <c r="M1854" s="33">
        <f t="shared" si="224"/>
        <v>0</v>
      </c>
      <c r="N1854" s="34">
        <f t="shared" si="230"/>
        <v>0</v>
      </c>
      <c r="O1854" s="35">
        <f>SUM($M$2:M1854)</f>
        <v>190743600</v>
      </c>
      <c r="P1854" s="34">
        <f t="shared" si="231"/>
        <v>1</v>
      </c>
      <c r="Q1854" s="37">
        <v>0</v>
      </c>
      <c r="R1854" s="31">
        <v>0</v>
      </c>
      <c r="S1854" s="31">
        <v>0</v>
      </c>
      <c r="T1854" s="31">
        <v>0</v>
      </c>
      <c r="U1854" s="37">
        <v>1.3</v>
      </c>
      <c r="V1854" s="31">
        <v>8</v>
      </c>
      <c r="W1854" s="31">
        <v>2</v>
      </c>
      <c r="X1854" s="38">
        <v>42</v>
      </c>
      <c r="Y1854" s="31">
        <v>0</v>
      </c>
      <c r="Z1854" s="31">
        <v>0</v>
      </c>
      <c r="AA1854" s="31" t="s">
        <v>212</v>
      </c>
      <c r="AB1854" s="31" t="s">
        <v>220</v>
      </c>
      <c r="AC1854" s="41">
        <f>IFERROR(LOOKUP(M1854,打分卡!$F$7:$J$7,打分卡!$K$7:$O$7),1)</f>
        <v>1</v>
      </c>
      <c r="AD1854" s="41">
        <f>IFERROR(LOOKUP(S1854,打分卡!$F$8:$J$8,打分卡!$K$8:$O$8),1)</f>
        <v>1</v>
      </c>
      <c r="AE1854" s="41">
        <f>IFERROR(LOOKUP(T1854,打分卡!$F$9:$I$9,打分卡!$K$9:$N$9),1)</f>
        <v>1</v>
      </c>
      <c r="AF1854" s="41">
        <f>IFERROR(LOOKUP(Q1854,打分卡!$F$10:$J$10,打分卡!$K$10:$O$10),1)</f>
        <v>1</v>
      </c>
      <c r="AG1854" s="41">
        <f>IFERROR(LOOKUP(R1854,打分卡!$F$11:$J$11,打分卡!$K$11:$O$11),1)</f>
        <v>1</v>
      </c>
      <c r="AH1854" s="41">
        <f>IFERROR(LOOKUP(U1854,打分卡!$F$12:$J$12,打分卡!$K$12:$O$12),1)</f>
        <v>1</v>
      </c>
      <c r="AI1854" s="41">
        <f>IFERROR(LOOKUP(X1854,打分卡!$F$13:$J$13,打分卡!$K$13:$O$13),1)</f>
        <v>3</v>
      </c>
      <c r="AJ1854" s="41">
        <f>IFERROR(LOOKUP(Y1854,打分卡!$F$14:$J$14,打分卡!$K$14:$O$14),1)</f>
        <v>1</v>
      </c>
      <c r="AK1854" s="41">
        <f>IFERROR(LOOKUP(W1854,打分卡!$F$15:$J$15,打分卡!$K$15:$O$15),1)</f>
        <v>2</v>
      </c>
      <c r="AL1854" s="43">
        <f t="shared" si="225"/>
        <v>1</v>
      </c>
      <c r="AM1854" s="41">
        <f>IFERROR(LOOKUP(Z1854,打分卡!$F$17:$H$17,打分卡!$K$17:$M$17),1)</f>
        <v>1</v>
      </c>
      <c r="AN1854" s="44">
        <f>(打分卡!$D$7*AC1854+打分卡!$D$8*AD1854+打分卡!$D$9*AE1854)/5</f>
        <v>8</v>
      </c>
      <c r="AO1854" s="44">
        <f>(打分卡!$D$10*AF1854+打分卡!$D$11*AG1854)/5</f>
        <v>4</v>
      </c>
      <c r="AP1854" s="44">
        <f>(打分卡!$D$12*AH1854+打分卡!$D$13*AI1854+打分卡!$D$14*AJ1854+打分卡!$D$15*AK1854)/5</f>
        <v>10</v>
      </c>
      <c r="AQ1854" s="44">
        <f>(打分卡!$D$16*AL1854+打分卡!$D$17*AM1854)/5</f>
        <v>2</v>
      </c>
      <c r="AR1854" s="47">
        <f t="shared" si="226"/>
        <v>24</v>
      </c>
      <c r="AS1854" s="43" t="str">
        <f t="shared" si="227"/>
        <v>未激活</v>
      </c>
      <c r="AT1854" s="43" t="str">
        <f t="shared" si="228"/>
        <v>连续下降-预警</v>
      </c>
      <c r="AU1854" s="43" t="str">
        <f t="shared" si="229"/>
        <v>唤醒：短信模板+首充补贴</v>
      </c>
    </row>
    <row r="1855" ht="15" customHeight="1" spans="1:47">
      <c r="A1855" s="20" t="s">
        <v>4690</v>
      </c>
      <c r="B1855" s="22" t="s">
        <v>4691</v>
      </c>
      <c r="C1855" s="22" t="s">
        <v>189</v>
      </c>
      <c r="D1855" s="22" t="s">
        <v>190</v>
      </c>
      <c r="E1855" s="22" t="s">
        <v>197</v>
      </c>
      <c r="F1855" s="20" t="s">
        <v>4563</v>
      </c>
      <c r="G1855" s="22">
        <v>14</v>
      </c>
      <c r="H1855" s="22" t="s">
        <v>3535</v>
      </c>
      <c r="I1855" s="22" t="s">
        <v>302</v>
      </c>
      <c r="J1855" s="36">
        <v>0</v>
      </c>
      <c r="K1855" s="36">
        <v>0</v>
      </c>
      <c r="L1855" s="36">
        <v>0</v>
      </c>
      <c r="M1855" s="36">
        <f t="shared" si="224"/>
        <v>0</v>
      </c>
      <c r="N1855" s="34">
        <f t="shared" si="230"/>
        <v>0</v>
      </c>
      <c r="O1855" s="35">
        <f>SUM($M$2:M1855)</f>
        <v>190743600</v>
      </c>
      <c r="P1855" s="34">
        <f t="shared" si="231"/>
        <v>1</v>
      </c>
      <c r="Q1855" s="39">
        <v>0</v>
      </c>
      <c r="R1855" s="22">
        <v>0</v>
      </c>
      <c r="S1855" s="22">
        <v>0</v>
      </c>
      <c r="T1855" s="22">
        <v>0</v>
      </c>
      <c r="U1855" s="39">
        <v>22.3</v>
      </c>
      <c r="V1855" s="22">
        <v>3</v>
      </c>
      <c r="W1855" s="22">
        <v>0</v>
      </c>
      <c r="X1855" s="40">
        <v>8</v>
      </c>
      <c r="Y1855" s="22">
        <v>1</v>
      </c>
      <c r="Z1855" s="22">
        <v>0</v>
      </c>
      <c r="AA1855" s="22" t="s">
        <v>212</v>
      </c>
      <c r="AB1855" s="22" t="s">
        <v>220</v>
      </c>
      <c r="AC1855" s="42">
        <f>IFERROR(LOOKUP(M1855,打分卡!$F$7:$J$7,打分卡!$K$7:$O$7),1)</f>
        <v>1</v>
      </c>
      <c r="AD1855" s="42">
        <f>IFERROR(LOOKUP(S1855,打分卡!$F$8:$J$8,打分卡!$K$8:$O$8),1)</f>
        <v>1</v>
      </c>
      <c r="AE1855" s="42">
        <f>IFERROR(LOOKUP(T1855,打分卡!$F$9:$I$9,打分卡!$K$9:$N$9),1)</f>
        <v>1</v>
      </c>
      <c r="AF1855" s="42">
        <f>IFERROR(LOOKUP(Q1855,打分卡!$F$10:$J$10,打分卡!$K$10:$O$10),1)</f>
        <v>1</v>
      </c>
      <c r="AG1855" s="42">
        <f>IFERROR(LOOKUP(R1855,打分卡!$F$11:$J$11,打分卡!$K$11:$O$11),1)</f>
        <v>1</v>
      </c>
      <c r="AH1855" s="42">
        <f>IFERROR(LOOKUP(U1855,打分卡!$F$12:$J$12,打分卡!$K$12:$O$12),1)</f>
        <v>3</v>
      </c>
      <c r="AI1855" s="42">
        <f>IFERROR(LOOKUP(X1855,打分卡!$F$13:$J$13,打分卡!$K$13:$O$13),1)</f>
        <v>1</v>
      </c>
      <c r="AJ1855" s="42">
        <f>IFERROR(LOOKUP(Y1855,打分卡!$F$14:$J$14,打分卡!$K$14:$O$14),1)</f>
        <v>2</v>
      </c>
      <c r="AK1855" s="42">
        <f>IFERROR(LOOKUP(W1855,打分卡!$F$15:$J$15,打分卡!$K$15:$O$15),1)</f>
        <v>1</v>
      </c>
      <c r="AL1855" s="45">
        <f t="shared" si="225"/>
        <v>1</v>
      </c>
      <c r="AM1855" s="42">
        <f>IFERROR(LOOKUP(Z1855,打分卡!$F$17:$H$17,打分卡!$K$17:$M$17),1)</f>
        <v>1</v>
      </c>
      <c r="AN1855" s="46">
        <f>(打分卡!$D$7*AC1855+打分卡!$D$8*AD1855+打分卡!$D$9*AE1855)/5</f>
        <v>8</v>
      </c>
      <c r="AO1855" s="46">
        <f>(打分卡!$D$10*AF1855+打分卡!$D$11*AG1855)/5</f>
        <v>4</v>
      </c>
      <c r="AP1855" s="46">
        <f>(打分卡!$D$12*AH1855+打分卡!$D$13*AI1855+打分卡!$D$14*AJ1855+打分卡!$D$15*AK1855)/5</f>
        <v>12</v>
      </c>
      <c r="AQ1855" s="46">
        <f>(打分卡!$D$16*AL1855+打分卡!$D$17*AM1855)/5</f>
        <v>2</v>
      </c>
      <c r="AR1855" s="48">
        <f t="shared" si="226"/>
        <v>26</v>
      </c>
      <c r="AS1855" s="45" t="str">
        <f t="shared" si="227"/>
        <v>未激活</v>
      </c>
      <c r="AT1855" s="45" t="str">
        <f t="shared" si="228"/>
        <v>连续下降-预警</v>
      </c>
      <c r="AU1855" s="45" t="str">
        <f t="shared" si="229"/>
        <v>唤醒：短信模板+首充补贴</v>
      </c>
    </row>
    <row r="1856" ht="15" customHeight="1" spans="1:47">
      <c r="A1856" s="30" t="s">
        <v>4692</v>
      </c>
      <c r="B1856" s="31" t="s">
        <v>4693</v>
      </c>
      <c r="C1856" s="31" t="s">
        <v>189</v>
      </c>
      <c r="D1856" s="31" t="s">
        <v>227</v>
      </c>
      <c r="E1856" s="31" t="s">
        <v>181</v>
      </c>
      <c r="F1856" s="30" t="s">
        <v>947</v>
      </c>
      <c r="G1856" s="31">
        <v>12</v>
      </c>
      <c r="H1856" s="31" t="s">
        <v>3535</v>
      </c>
      <c r="I1856" s="31" t="s">
        <v>302</v>
      </c>
      <c r="J1856" s="33">
        <v>0</v>
      </c>
      <c r="K1856" s="33">
        <v>0</v>
      </c>
      <c r="L1856" s="33">
        <v>0</v>
      </c>
      <c r="M1856" s="33">
        <f t="shared" si="224"/>
        <v>0</v>
      </c>
      <c r="N1856" s="34">
        <f t="shared" si="230"/>
        <v>0</v>
      </c>
      <c r="O1856" s="35">
        <f>SUM($M$2:M1856)</f>
        <v>190743600</v>
      </c>
      <c r="P1856" s="34">
        <f t="shared" si="231"/>
        <v>1</v>
      </c>
      <c r="Q1856" s="37">
        <v>0</v>
      </c>
      <c r="R1856" s="31">
        <v>0</v>
      </c>
      <c r="S1856" s="31">
        <v>0</v>
      </c>
      <c r="T1856" s="31">
        <v>0</v>
      </c>
      <c r="U1856" s="37">
        <v>16.1</v>
      </c>
      <c r="V1856" s="31">
        <v>2</v>
      </c>
      <c r="W1856" s="31">
        <v>2</v>
      </c>
      <c r="X1856" s="38">
        <v>8</v>
      </c>
      <c r="Y1856" s="31">
        <v>1</v>
      </c>
      <c r="Z1856" s="31">
        <v>0</v>
      </c>
      <c r="AA1856" s="31" t="s">
        <v>212</v>
      </c>
      <c r="AB1856" s="31" t="s">
        <v>220</v>
      </c>
      <c r="AC1856" s="41">
        <f>IFERROR(LOOKUP(M1856,打分卡!$F$7:$J$7,打分卡!$K$7:$O$7),1)</f>
        <v>1</v>
      </c>
      <c r="AD1856" s="41">
        <f>IFERROR(LOOKUP(S1856,打分卡!$F$8:$J$8,打分卡!$K$8:$O$8),1)</f>
        <v>1</v>
      </c>
      <c r="AE1856" s="41">
        <f>IFERROR(LOOKUP(T1856,打分卡!$F$9:$I$9,打分卡!$K$9:$N$9),1)</f>
        <v>1</v>
      </c>
      <c r="AF1856" s="41">
        <f>IFERROR(LOOKUP(Q1856,打分卡!$F$10:$J$10,打分卡!$K$10:$O$10),1)</f>
        <v>1</v>
      </c>
      <c r="AG1856" s="41">
        <f>IFERROR(LOOKUP(R1856,打分卡!$F$11:$J$11,打分卡!$K$11:$O$11),1)</f>
        <v>1</v>
      </c>
      <c r="AH1856" s="41">
        <f>IFERROR(LOOKUP(U1856,打分卡!$F$12:$J$12,打分卡!$K$12:$O$12),1)</f>
        <v>3</v>
      </c>
      <c r="AI1856" s="41">
        <f>IFERROR(LOOKUP(X1856,打分卡!$F$13:$J$13,打分卡!$K$13:$O$13),1)</f>
        <v>1</v>
      </c>
      <c r="AJ1856" s="41">
        <f>IFERROR(LOOKUP(Y1856,打分卡!$F$14:$J$14,打分卡!$K$14:$O$14),1)</f>
        <v>2</v>
      </c>
      <c r="AK1856" s="41">
        <f>IFERROR(LOOKUP(W1856,打分卡!$F$15:$J$15,打分卡!$K$15:$O$15),1)</f>
        <v>2</v>
      </c>
      <c r="AL1856" s="43">
        <f t="shared" si="225"/>
        <v>1</v>
      </c>
      <c r="AM1856" s="41">
        <f>IFERROR(LOOKUP(Z1856,打分卡!$F$17:$H$17,打分卡!$K$17:$M$17),1)</f>
        <v>1</v>
      </c>
      <c r="AN1856" s="44">
        <f>(打分卡!$D$7*AC1856+打分卡!$D$8*AD1856+打分卡!$D$9*AE1856)/5</f>
        <v>8</v>
      </c>
      <c r="AO1856" s="44">
        <f>(打分卡!$D$10*AF1856+打分卡!$D$11*AG1856)/5</f>
        <v>4</v>
      </c>
      <c r="AP1856" s="44">
        <f>(打分卡!$D$12*AH1856+打分卡!$D$13*AI1856+打分卡!$D$14*AJ1856+打分卡!$D$15*AK1856)/5</f>
        <v>12.8</v>
      </c>
      <c r="AQ1856" s="44">
        <f>(打分卡!$D$16*AL1856+打分卡!$D$17*AM1856)/5</f>
        <v>2</v>
      </c>
      <c r="AR1856" s="47">
        <f t="shared" si="226"/>
        <v>26.8</v>
      </c>
      <c r="AS1856" s="43" t="str">
        <f t="shared" si="227"/>
        <v>未激活</v>
      </c>
      <c r="AT1856" s="43" t="str">
        <f t="shared" si="228"/>
        <v>连续下降-预警</v>
      </c>
      <c r="AU1856" s="43" t="str">
        <f t="shared" si="229"/>
        <v>唤醒：短信模板+首充补贴</v>
      </c>
    </row>
    <row r="1857" ht="15" customHeight="1" spans="1:47">
      <c r="A1857" s="20" t="s">
        <v>4694</v>
      </c>
      <c r="B1857" s="22" t="s">
        <v>4695</v>
      </c>
      <c r="C1857" s="22" t="s">
        <v>218</v>
      </c>
      <c r="D1857" s="22" t="s">
        <v>202</v>
      </c>
      <c r="E1857" s="22" t="s">
        <v>181</v>
      </c>
      <c r="F1857" s="20" t="s">
        <v>2132</v>
      </c>
      <c r="G1857" s="22">
        <v>15</v>
      </c>
      <c r="H1857" s="22" t="s">
        <v>3535</v>
      </c>
      <c r="I1857" s="22" t="s">
        <v>302</v>
      </c>
      <c r="J1857" s="36">
        <v>0</v>
      </c>
      <c r="K1857" s="36">
        <v>0</v>
      </c>
      <c r="L1857" s="36">
        <v>0</v>
      </c>
      <c r="M1857" s="36">
        <f t="shared" si="224"/>
        <v>0</v>
      </c>
      <c r="N1857" s="34">
        <f t="shared" si="230"/>
        <v>0</v>
      </c>
      <c r="O1857" s="35">
        <f>SUM($M$2:M1857)</f>
        <v>190743600</v>
      </c>
      <c r="P1857" s="34">
        <f t="shared" si="231"/>
        <v>1</v>
      </c>
      <c r="Q1857" s="39">
        <v>0</v>
      </c>
      <c r="R1857" s="22">
        <v>0</v>
      </c>
      <c r="S1857" s="22">
        <v>0</v>
      </c>
      <c r="T1857" s="22">
        <v>0</v>
      </c>
      <c r="U1857" s="39">
        <v>48.8</v>
      </c>
      <c r="V1857" s="22">
        <v>15</v>
      </c>
      <c r="W1857" s="22">
        <v>0</v>
      </c>
      <c r="X1857" s="40">
        <v>55</v>
      </c>
      <c r="Y1857" s="22">
        <v>0</v>
      </c>
      <c r="Z1857" s="22">
        <v>0</v>
      </c>
      <c r="AA1857" s="22" t="s">
        <v>212</v>
      </c>
      <c r="AB1857" s="22" t="s">
        <v>220</v>
      </c>
      <c r="AC1857" s="42">
        <f>IFERROR(LOOKUP(M1857,打分卡!$F$7:$J$7,打分卡!$K$7:$O$7),1)</f>
        <v>1</v>
      </c>
      <c r="AD1857" s="42">
        <f>IFERROR(LOOKUP(S1857,打分卡!$F$8:$J$8,打分卡!$K$8:$O$8),1)</f>
        <v>1</v>
      </c>
      <c r="AE1857" s="42">
        <f>IFERROR(LOOKUP(T1857,打分卡!$F$9:$I$9,打分卡!$K$9:$N$9),1)</f>
        <v>1</v>
      </c>
      <c r="AF1857" s="42">
        <f>IFERROR(LOOKUP(Q1857,打分卡!$F$10:$J$10,打分卡!$K$10:$O$10),1)</f>
        <v>1</v>
      </c>
      <c r="AG1857" s="42">
        <f>IFERROR(LOOKUP(R1857,打分卡!$F$11:$J$11,打分卡!$K$11:$O$11),1)</f>
        <v>1</v>
      </c>
      <c r="AH1857" s="42">
        <f>IFERROR(LOOKUP(U1857,打分卡!$F$12:$J$12,打分卡!$K$12:$O$12),1)</f>
        <v>4</v>
      </c>
      <c r="AI1857" s="42">
        <f>IFERROR(LOOKUP(X1857,打分卡!$F$13:$J$13,打分卡!$K$13:$O$13),1)</f>
        <v>3</v>
      </c>
      <c r="AJ1857" s="42">
        <f>IFERROR(LOOKUP(Y1857,打分卡!$F$14:$J$14,打分卡!$K$14:$O$14),1)</f>
        <v>1</v>
      </c>
      <c r="AK1857" s="42">
        <f>IFERROR(LOOKUP(W1857,打分卡!$F$15:$J$15,打分卡!$K$15:$O$15),1)</f>
        <v>1</v>
      </c>
      <c r="AL1857" s="45">
        <f t="shared" si="225"/>
        <v>1</v>
      </c>
      <c r="AM1857" s="42">
        <f>IFERROR(LOOKUP(Z1857,打分卡!$F$17:$H$17,打分卡!$K$17:$M$17),1)</f>
        <v>1</v>
      </c>
      <c r="AN1857" s="46">
        <f>(打分卡!$D$7*AC1857+打分卡!$D$8*AD1857+打分卡!$D$9*AE1857)/5</f>
        <v>8</v>
      </c>
      <c r="AO1857" s="46">
        <f>(打分卡!$D$10*AF1857+打分卡!$D$11*AG1857)/5</f>
        <v>4</v>
      </c>
      <c r="AP1857" s="46">
        <f>(打分卡!$D$12*AH1857+打分卡!$D$13*AI1857+打分卡!$D$14*AJ1857+打分卡!$D$15*AK1857)/5</f>
        <v>16.4</v>
      </c>
      <c r="AQ1857" s="46">
        <f>(打分卡!$D$16*AL1857+打分卡!$D$17*AM1857)/5</f>
        <v>2</v>
      </c>
      <c r="AR1857" s="48">
        <f t="shared" si="226"/>
        <v>30.4</v>
      </c>
      <c r="AS1857" s="45" t="str">
        <f t="shared" si="227"/>
        <v>未激活</v>
      </c>
      <c r="AT1857" s="45" t="str">
        <f t="shared" si="228"/>
        <v>连续下降-预警</v>
      </c>
      <c r="AU1857" s="45" t="str">
        <f t="shared" si="229"/>
        <v>唤醒：短信模板+首充补贴</v>
      </c>
    </row>
    <row r="1858" ht="15" customHeight="1" spans="1:47">
      <c r="A1858" s="30" t="s">
        <v>4696</v>
      </c>
      <c r="B1858" s="31" t="s">
        <v>4697</v>
      </c>
      <c r="C1858" s="31" t="s">
        <v>179</v>
      </c>
      <c r="D1858" s="31" t="s">
        <v>227</v>
      </c>
      <c r="E1858" s="31" t="s">
        <v>181</v>
      </c>
      <c r="F1858" s="30" t="s">
        <v>4698</v>
      </c>
      <c r="G1858" s="31">
        <v>21</v>
      </c>
      <c r="H1858" s="31" t="s">
        <v>3535</v>
      </c>
      <c r="I1858" s="31" t="s">
        <v>302</v>
      </c>
      <c r="J1858" s="33">
        <v>0</v>
      </c>
      <c r="K1858" s="33">
        <v>0</v>
      </c>
      <c r="L1858" s="33">
        <v>0</v>
      </c>
      <c r="M1858" s="33">
        <f t="shared" ref="M1858:M1921" si="232">SUM(J1858:L1858)</f>
        <v>0</v>
      </c>
      <c r="N1858" s="34">
        <f t="shared" si="230"/>
        <v>0</v>
      </c>
      <c r="O1858" s="35">
        <f>SUM($M$2:M1858)</f>
        <v>190743600</v>
      </c>
      <c r="P1858" s="34">
        <f t="shared" si="231"/>
        <v>1</v>
      </c>
      <c r="Q1858" s="37">
        <v>0</v>
      </c>
      <c r="R1858" s="31">
        <v>0</v>
      </c>
      <c r="S1858" s="31">
        <v>0</v>
      </c>
      <c r="T1858" s="31">
        <v>0</v>
      </c>
      <c r="U1858" s="37">
        <v>1.3</v>
      </c>
      <c r="V1858" s="31">
        <v>8</v>
      </c>
      <c r="W1858" s="31">
        <v>2</v>
      </c>
      <c r="X1858" s="38">
        <v>65</v>
      </c>
      <c r="Y1858" s="31">
        <v>1</v>
      </c>
      <c r="Z1858" s="31">
        <v>0</v>
      </c>
      <c r="AA1858" s="31" t="s">
        <v>212</v>
      </c>
      <c r="AB1858" s="31" t="s">
        <v>220</v>
      </c>
      <c r="AC1858" s="41">
        <f>IFERROR(LOOKUP(M1858,打分卡!$F$7:$J$7,打分卡!$K$7:$O$7),1)</f>
        <v>1</v>
      </c>
      <c r="AD1858" s="41">
        <f>IFERROR(LOOKUP(S1858,打分卡!$F$8:$J$8,打分卡!$K$8:$O$8),1)</f>
        <v>1</v>
      </c>
      <c r="AE1858" s="41">
        <f>IFERROR(LOOKUP(T1858,打分卡!$F$9:$I$9,打分卡!$K$9:$N$9),1)</f>
        <v>1</v>
      </c>
      <c r="AF1858" s="41">
        <f>IFERROR(LOOKUP(Q1858,打分卡!$F$10:$J$10,打分卡!$K$10:$O$10),1)</f>
        <v>1</v>
      </c>
      <c r="AG1858" s="41">
        <f>IFERROR(LOOKUP(R1858,打分卡!$F$11:$J$11,打分卡!$K$11:$O$11),1)</f>
        <v>1</v>
      </c>
      <c r="AH1858" s="41">
        <f>IFERROR(LOOKUP(U1858,打分卡!$F$12:$J$12,打分卡!$K$12:$O$12),1)</f>
        <v>1</v>
      </c>
      <c r="AI1858" s="41">
        <f>IFERROR(LOOKUP(X1858,打分卡!$F$13:$J$13,打分卡!$K$13:$O$13),1)</f>
        <v>3</v>
      </c>
      <c r="AJ1858" s="41">
        <f>IFERROR(LOOKUP(Y1858,打分卡!$F$14:$J$14,打分卡!$K$14:$O$14),1)</f>
        <v>2</v>
      </c>
      <c r="AK1858" s="41">
        <f>IFERROR(LOOKUP(W1858,打分卡!$F$15:$J$15,打分卡!$K$15:$O$15),1)</f>
        <v>2</v>
      </c>
      <c r="AL1858" s="43">
        <f t="shared" ref="AL1858:AL1921" si="233">IF(AA1858="连续下降",1,IF(AA1858="下降",2,IF(AA1858="上升",5,3)))</f>
        <v>1</v>
      </c>
      <c r="AM1858" s="41">
        <f>IFERROR(LOOKUP(Z1858,打分卡!$F$17:$H$17,打分卡!$K$17:$M$17),1)</f>
        <v>1</v>
      </c>
      <c r="AN1858" s="44">
        <f>(打分卡!$D$7*AC1858+打分卡!$D$8*AD1858+打分卡!$D$9*AE1858)/5</f>
        <v>8</v>
      </c>
      <c r="AO1858" s="44">
        <f>(打分卡!$D$10*AF1858+打分卡!$D$11*AG1858)/5</f>
        <v>4</v>
      </c>
      <c r="AP1858" s="44">
        <f>(打分卡!$D$12*AH1858+打分卡!$D$13*AI1858+打分卡!$D$14*AJ1858+打分卡!$D$15*AK1858)/5</f>
        <v>11.2</v>
      </c>
      <c r="AQ1858" s="44">
        <f>(打分卡!$D$16*AL1858+打分卡!$D$17*AM1858)/5</f>
        <v>2</v>
      </c>
      <c r="AR1858" s="47">
        <f t="shared" ref="AR1858:AR1921" si="234">IF(G1858&lt;3,AP1858/30*40+AO1858+AP1858+AQ1858,AN1858+AO1858+AP1858+AQ1858)</f>
        <v>25.2</v>
      </c>
      <c r="AS1858" s="43" t="str">
        <f t="shared" ref="AS1858:AS1921" si="235">IF(M1858=0,IF(G1858&lt;3,"新客观察期","未激活"),IF(AR1858&gt;=90,"SKA",IF(AR1858&gt;=75,"KA",IF(AR1858&gt;=40,"腰部","基础长尾"))))</f>
        <v>未激活</v>
      </c>
      <c r="AT1858" s="43" t="str">
        <f t="shared" ref="AT1858:AT1921" si="236">IF(AA1858="连续下降","连续下降-预警","")</f>
        <v>连续下降-预警</v>
      </c>
      <c r="AU1858" s="43" t="str">
        <f t="shared" ref="AU1858:AU1921" si="237">IF(AS1858="SKA","守·共创：卡片短信/AI外呼新场景POC",IF(AS1858="KA","扩·深化：AI外呼场景深化+Push/企微补全",IF(AS1858="腰部","拉·主攻：主推AI外呼+大促作战包",IF(AS1858="新客观察期","培育：入门包+1v1场景教育",IF(AS1858="基础长尾","激活：企微+Push低成本先跑","唤醒：短信模板+首充补贴")))))</f>
        <v>唤醒：短信模板+首充补贴</v>
      </c>
    </row>
    <row r="1859" ht="15" customHeight="1" spans="1:47">
      <c r="A1859" s="20" t="s">
        <v>4699</v>
      </c>
      <c r="B1859" s="22" t="s">
        <v>4700</v>
      </c>
      <c r="C1859" s="22" t="s">
        <v>223</v>
      </c>
      <c r="D1859" s="22" t="s">
        <v>202</v>
      </c>
      <c r="E1859" s="22" t="s">
        <v>197</v>
      </c>
      <c r="F1859" s="20" t="s">
        <v>4698</v>
      </c>
      <c r="G1859" s="22">
        <v>21</v>
      </c>
      <c r="H1859" s="22" t="s">
        <v>3535</v>
      </c>
      <c r="I1859" s="22" t="s">
        <v>302</v>
      </c>
      <c r="J1859" s="36">
        <v>0</v>
      </c>
      <c r="K1859" s="36">
        <v>0</v>
      </c>
      <c r="L1859" s="36">
        <v>0</v>
      </c>
      <c r="M1859" s="36">
        <f t="shared" si="232"/>
        <v>0</v>
      </c>
      <c r="N1859" s="34">
        <f t="shared" ref="N1859:N1922" si="238">M1859/$M$2002</f>
        <v>0</v>
      </c>
      <c r="O1859" s="35">
        <f>SUM($M$2:M1859)</f>
        <v>190743600</v>
      </c>
      <c r="P1859" s="34">
        <f t="shared" ref="P1859:P1922" si="239">O1859/$M$2002</f>
        <v>1</v>
      </c>
      <c r="Q1859" s="39">
        <v>0</v>
      </c>
      <c r="R1859" s="22">
        <v>0</v>
      </c>
      <c r="S1859" s="22">
        <v>0</v>
      </c>
      <c r="T1859" s="22">
        <v>0</v>
      </c>
      <c r="U1859" s="39">
        <v>0.8</v>
      </c>
      <c r="V1859" s="22">
        <v>2</v>
      </c>
      <c r="W1859" s="22">
        <v>2</v>
      </c>
      <c r="X1859" s="40">
        <v>39</v>
      </c>
      <c r="Y1859" s="22">
        <v>1</v>
      </c>
      <c r="Z1859" s="22">
        <v>0</v>
      </c>
      <c r="AA1859" s="22" t="s">
        <v>212</v>
      </c>
      <c r="AB1859" s="22" t="s">
        <v>220</v>
      </c>
      <c r="AC1859" s="42">
        <f>IFERROR(LOOKUP(M1859,打分卡!$F$7:$J$7,打分卡!$K$7:$O$7),1)</f>
        <v>1</v>
      </c>
      <c r="AD1859" s="42">
        <f>IFERROR(LOOKUP(S1859,打分卡!$F$8:$J$8,打分卡!$K$8:$O$8),1)</f>
        <v>1</v>
      </c>
      <c r="AE1859" s="42">
        <f>IFERROR(LOOKUP(T1859,打分卡!$F$9:$I$9,打分卡!$K$9:$N$9),1)</f>
        <v>1</v>
      </c>
      <c r="AF1859" s="42">
        <f>IFERROR(LOOKUP(Q1859,打分卡!$F$10:$J$10,打分卡!$K$10:$O$10),1)</f>
        <v>1</v>
      </c>
      <c r="AG1859" s="42">
        <f>IFERROR(LOOKUP(R1859,打分卡!$F$11:$J$11,打分卡!$K$11:$O$11),1)</f>
        <v>1</v>
      </c>
      <c r="AH1859" s="42">
        <f>IFERROR(LOOKUP(U1859,打分卡!$F$12:$J$12,打分卡!$K$12:$O$12),1)</f>
        <v>1</v>
      </c>
      <c r="AI1859" s="42">
        <f>IFERROR(LOOKUP(X1859,打分卡!$F$13:$J$13,打分卡!$K$13:$O$13),1)</f>
        <v>3</v>
      </c>
      <c r="AJ1859" s="42">
        <f>IFERROR(LOOKUP(Y1859,打分卡!$F$14:$J$14,打分卡!$K$14:$O$14),1)</f>
        <v>2</v>
      </c>
      <c r="AK1859" s="42">
        <f>IFERROR(LOOKUP(W1859,打分卡!$F$15:$J$15,打分卡!$K$15:$O$15),1)</f>
        <v>2</v>
      </c>
      <c r="AL1859" s="45">
        <f t="shared" si="233"/>
        <v>1</v>
      </c>
      <c r="AM1859" s="42">
        <f>IFERROR(LOOKUP(Z1859,打分卡!$F$17:$H$17,打分卡!$K$17:$M$17),1)</f>
        <v>1</v>
      </c>
      <c r="AN1859" s="46">
        <f>(打分卡!$D$7*AC1859+打分卡!$D$8*AD1859+打分卡!$D$9*AE1859)/5</f>
        <v>8</v>
      </c>
      <c r="AO1859" s="46">
        <f>(打分卡!$D$10*AF1859+打分卡!$D$11*AG1859)/5</f>
        <v>4</v>
      </c>
      <c r="AP1859" s="46">
        <f>(打分卡!$D$12*AH1859+打分卡!$D$13*AI1859+打分卡!$D$14*AJ1859+打分卡!$D$15*AK1859)/5</f>
        <v>11.2</v>
      </c>
      <c r="AQ1859" s="46">
        <f>(打分卡!$D$16*AL1859+打分卡!$D$17*AM1859)/5</f>
        <v>2</v>
      </c>
      <c r="AR1859" s="48">
        <f t="shared" si="234"/>
        <v>25.2</v>
      </c>
      <c r="AS1859" s="45" t="str">
        <f t="shared" si="235"/>
        <v>未激活</v>
      </c>
      <c r="AT1859" s="45" t="str">
        <f t="shared" si="236"/>
        <v>连续下降-预警</v>
      </c>
      <c r="AU1859" s="45" t="str">
        <f t="shared" si="237"/>
        <v>唤醒：短信模板+首充补贴</v>
      </c>
    </row>
    <row r="1860" ht="15" customHeight="1" spans="1:47">
      <c r="A1860" s="30" t="s">
        <v>4701</v>
      </c>
      <c r="B1860" s="31" t="s">
        <v>4702</v>
      </c>
      <c r="C1860" s="31" t="s">
        <v>189</v>
      </c>
      <c r="D1860" s="31" t="s">
        <v>252</v>
      </c>
      <c r="E1860" s="31" t="s">
        <v>181</v>
      </c>
      <c r="F1860" s="30" t="s">
        <v>3927</v>
      </c>
      <c r="G1860" s="31">
        <v>36</v>
      </c>
      <c r="H1860" s="31" t="s">
        <v>3535</v>
      </c>
      <c r="I1860" s="31" t="s">
        <v>302</v>
      </c>
      <c r="J1860" s="33">
        <v>0</v>
      </c>
      <c r="K1860" s="33">
        <v>0</v>
      </c>
      <c r="L1860" s="33">
        <v>0</v>
      </c>
      <c r="M1860" s="33">
        <f t="shared" si="232"/>
        <v>0</v>
      </c>
      <c r="N1860" s="34">
        <f t="shared" si="238"/>
        <v>0</v>
      </c>
      <c r="O1860" s="35">
        <f>SUM($M$2:M1860)</f>
        <v>190743600</v>
      </c>
      <c r="P1860" s="34">
        <f t="shared" si="239"/>
        <v>1</v>
      </c>
      <c r="Q1860" s="37">
        <v>0</v>
      </c>
      <c r="R1860" s="31">
        <v>0</v>
      </c>
      <c r="S1860" s="31">
        <v>0</v>
      </c>
      <c r="T1860" s="31">
        <v>0</v>
      </c>
      <c r="U1860" s="37">
        <v>0.8</v>
      </c>
      <c r="V1860" s="31">
        <v>13</v>
      </c>
      <c r="W1860" s="31">
        <v>0</v>
      </c>
      <c r="X1860" s="38">
        <v>64</v>
      </c>
      <c r="Y1860" s="31">
        <v>0</v>
      </c>
      <c r="Z1860" s="31">
        <v>0</v>
      </c>
      <c r="AA1860" s="31" t="s">
        <v>212</v>
      </c>
      <c r="AB1860" s="31" t="s">
        <v>220</v>
      </c>
      <c r="AC1860" s="41">
        <f>IFERROR(LOOKUP(M1860,打分卡!$F$7:$J$7,打分卡!$K$7:$O$7),1)</f>
        <v>1</v>
      </c>
      <c r="AD1860" s="41">
        <f>IFERROR(LOOKUP(S1860,打分卡!$F$8:$J$8,打分卡!$K$8:$O$8),1)</f>
        <v>1</v>
      </c>
      <c r="AE1860" s="41">
        <f>IFERROR(LOOKUP(T1860,打分卡!$F$9:$I$9,打分卡!$K$9:$N$9),1)</f>
        <v>1</v>
      </c>
      <c r="AF1860" s="41">
        <f>IFERROR(LOOKUP(Q1860,打分卡!$F$10:$J$10,打分卡!$K$10:$O$10),1)</f>
        <v>1</v>
      </c>
      <c r="AG1860" s="41">
        <f>IFERROR(LOOKUP(R1860,打分卡!$F$11:$J$11,打分卡!$K$11:$O$11),1)</f>
        <v>1</v>
      </c>
      <c r="AH1860" s="41">
        <f>IFERROR(LOOKUP(U1860,打分卡!$F$12:$J$12,打分卡!$K$12:$O$12),1)</f>
        <v>1</v>
      </c>
      <c r="AI1860" s="41">
        <f>IFERROR(LOOKUP(X1860,打分卡!$F$13:$J$13,打分卡!$K$13:$O$13),1)</f>
        <v>3</v>
      </c>
      <c r="AJ1860" s="41">
        <f>IFERROR(LOOKUP(Y1860,打分卡!$F$14:$J$14,打分卡!$K$14:$O$14),1)</f>
        <v>1</v>
      </c>
      <c r="AK1860" s="41">
        <f>IFERROR(LOOKUP(W1860,打分卡!$F$15:$J$15,打分卡!$K$15:$O$15),1)</f>
        <v>1</v>
      </c>
      <c r="AL1860" s="43">
        <f t="shared" si="233"/>
        <v>1</v>
      </c>
      <c r="AM1860" s="41">
        <f>IFERROR(LOOKUP(Z1860,打分卡!$F$17:$H$17,打分卡!$K$17:$M$17),1)</f>
        <v>1</v>
      </c>
      <c r="AN1860" s="44">
        <f>(打分卡!$D$7*AC1860+打分卡!$D$8*AD1860+打分卡!$D$9*AE1860)/5</f>
        <v>8</v>
      </c>
      <c r="AO1860" s="44">
        <f>(打分卡!$D$10*AF1860+打分卡!$D$11*AG1860)/5</f>
        <v>4</v>
      </c>
      <c r="AP1860" s="44">
        <f>(打分卡!$D$12*AH1860+打分卡!$D$13*AI1860+打分卡!$D$14*AJ1860+打分卡!$D$15*AK1860)/5</f>
        <v>9.2</v>
      </c>
      <c r="AQ1860" s="44">
        <f>(打分卡!$D$16*AL1860+打分卡!$D$17*AM1860)/5</f>
        <v>2</v>
      </c>
      <c r="AR1860" s="47">
        <f t="shared" si="234"/>
        <v>23.2</v>
      </c>
      <c r="AS1860" s="43" t="str">
        <f t="shared" si="235"/>
        <v>未激活</v>
      </c>
      <c r="AT1860" s="43" t="str">
        <f t="shared" si="236"/>
        <v>连续下降-预警</v>
      </c>
      <c r="AU1860" s="43" t="str">
        <f t="shared" si="237"/>
        <v>唤醒：短信模板+首充补贴</v>
      </c>
    </row>
    <row r="1861" ht="15" customHeight="1" spans="1:47">
      <c r="A1861" s="20" t="s">
        <v>4703</v>
      </c>
      <c r="B1861" s="22" t="s">
        <v>4704</v>
      </c>
      <c r="C1861" s="22" t="s">
        <v>234</v>
      </c>
      <c r="D1861" s="22" t="s">
        <v>196</v>
      </c>
      <c r="E1861" s="22" t="s">
        <v>181</v>
      </c>
      <c r="F1861" s="20" t="s">
        <v>1636</v>
      </c>
      <c r="G1861" s="22">
        <v>17</v>
      </c>
      <c r="H1861" s="22" t="s">
        <v>3535</v>
      </c>
      <c r="I1861" s="22" t="s">
        <v>302</v>
      </c>
      <c r="J1861" s="36">
        <v>0</v>
      </c>
      <c r="K1861" s="36">
        <v>0</v>
      </c>
      <c r="L1861" s="36">
        <v>0</v>
      </c>
      <c r="M1861" s="36">
        <f t="shared" si="232"/>
        <v>0</v>
      </c>
      <c r="N1861" s="34">
        <f t="shared" si="238"/>
        <v>0</v>
      </c>
      <c r="O1861" s="35">
        <f>SUM($M$2:M1861)</f>
        <v>190743600</v>
      </c>
      <c r="P1861" s="34">
        <f t="shared" si="239"/>
        <v>1</v>
      </c>
      <c r="Q1861" s="39">
        <v>0</v>
      </c>
      <c r="R1861" s="22">
        <v>0</v>
      </c>
      <c r="S1861" s="22">
        <v>0</v>
      </c>
      <c r="T1861" s="22">
        <v>0</v>
      </c>
      <c r="U1861" s="39">
        <v>43.5</v>
      </c>
      <c r="V1861" s="22">
        <v>2</v>
      </c>
      <c r="W1861" s="22">
        <v>1</v>
      </c>
      <c r="X1861" s="40">
        <v>45</v>
      </c>
      <c r="Y1861" s="22">
        <v>0</v>
      </c>
      <c r="Z1861" s="22">
        <v>0</v>
      </c>
      <c r="AA1861" s="22" t="s">
        <v>212</v>
      </c>
      <c r="AB1861" s="22" t="s">
        <v>220</v>
      </c>
      <c r="AC1861" s="42">
        <f>IFERROR(LOOKUP(M1861,打分卡!$F$7:$J$7,打分卡!$K$7:$O$7),1)</f>
        <v>1</v>
      </c>
      <c r="AD1861" s="42">
        <f>IFERROR(LOOKUP(S1861,打分卡!$F$8:$J$8,打分卡!$K$8:$O$8),1)</f>
        <v>1</v>
      </c>
      <c r="AE1861" s="42">
        <f>IFERROR(LOOKUP(T1861,打分卡!$F$9:$I$9,打分卡!$K$9:$N$9),1)</f>
        <v>1</v>
      </c>
      <c r="AF1861" s="42">
        <f>IFERROR(LOOKUP(Q1861,打分卡!$F$10:$J$10,打分卡!$K$10:$O$10),1)</f>
        <v>1</v>
      </c>
      <c r="AG1861" s="42">
        <f>IFERROR(LOOKUP(R1861,打分卡!$F$11:$J$11,打分卡!$K$11:$O$11),1)</f>
        <v>1</v>
      </c>
      <c r="AH1861" s="42">
        <f>IFERROR(LOOKUP(U1861,打分卡!$F$12:$J$12,打分卡!$K$12:$O$12),1)</f>
        <v>4</v>
      </c>
      <c r="AI1861" s="42">
        <f>IFERROR(LOOKUP(X1861,打分卡!$F$13:$J$13,打分卡!$K$13:$O$13),1)</f>
        <v>3</v>
      </c>
      <c r="AJ1861" s="42">
        <f>IFERROR(LOOKUP(Y1861,打分卡!$F$14:$J$14,打分卡!$K$14:$O$14),1)</f>
        <v>1</v>
      </c>
      <c r="AK1861" s="42">
        <f>IFERROR(LOOKUP(W1861,打分卡!$F$15:$J$15,打分卡!$K$15:$O$15),1)</f>
        <v>2</v>
      </c>
      <c r="AL1861" s="45">
        <f t="shared" si="233"/>
        <v>1</v>
      </c>
      <c r="AM1861" s="42">
        <f>IFERROR(LOOKUP(Z1861,打分卡!$F$17:$H$17,打分卡!$K$17:$M$17),1)</f>
        <v>1</v>
      </c>
      <c r="AN1861" s="46">
        <f>(打分卡!$D$7*AC1861+打分卡!$D$8*AD1861+打分卡!$D$9*AE1861)/5</f>
        <v>8</v>
      </c>
      <c r="AO1861" s="46">
        <f>(打分卡!$D$10*AF1861+打分卡!$D$11*AG1861)/5</f>
        <v>4</v>
      </c>
      <c r="AP1861" s="46">
        <f>(打分卡!$D$12*AH1861+打分卡!$D$13*AI1861+打分卡!$D$14*AJ1861+打分卡!$D$15*AK1861)/5</f>
        <v>17.2</v>
      </c>
      <c r="AQ1861" s="46">
        <f>(打分卡!$D$16*AL1861+打分卡!$D$17*AM1861)/5</f>
        <v>2</v>
      </c>
      <c r="AR1861" s="48">
        <f t="shared" si="234"/>
        <v>31.2</v>
      </c>
      <c r="AS1861" s="45" t="str">
        <f t="shared" si="235"/>
        <v>未激活</v>
      </c>
      <c r="AT1861" s="45" t="str">
        <f t="shared" si="236"/>
        <v>连续下降-预警</v>
      </c>
      <c r="AU1861" s="45" t="str">
        <f t="shared" si="237"/>
        <v>唤醒：短信模板+首充补贴</v>
      </c>
    </row>
    <row r="1862" ht="15" customHeight="1" spans="1:47">
      <c r="A1862" s="30" t="s">
        <v>4705</v>
      </c>
      <c r="B1862" s="31" t="s">
        <v>4706</v>
      </c>
      <c r="C1862" s="31" t="s">
        <v>179</v>
      </c>
      <c r="D1862" s="31" t="s">
        <v>235</v>
      </c>
      <c r="E1862" s="31" t="s">
        <v>181</v>
      </c>
      <c r="F1862" s="30" t="s">
        <v>4707</v>
      </c>
      <c r="G1862" s="31">
        <v>32</v>
      </c>
      <c r="H1862" s="31" t="s">
        <v>3535</v>
      </c>
      <c r="I1862" s="31" t="s">
        <v>302</v>
      </c>
      <c r="J1862" s="33">
        <v>0</v>
      </c>
      <c r="K1862" s="33">
        <v>0</v>
      </c>
      <c r="L1862" s="33">
        <v>0</v>
      </c>
      <c r="M1862" s="33">
        <f t="shared" si="232"/>
        <v>0</v>
      </c>
      <c r="N1862" s="34">
        <f t="shared" si="238"/>
        <v>0</v>
      </c>
      <c r="O1862" s="35">
        <f>SUM($M$2:M1862)</f>
        <v>190743600</v>
      </c>
      <c r="P1862" s="34">
        <f t="shared" si="239"/>
        <v>1</v>
      </c>
      <c r="Q1862" s="37">
        <v>0</v>
      </c>
      <c r="R1862" s="31">
        <v>0</v>
      </c>
      <c r="S1862" s="31">
        <v>0</v>
      </c>
      <c r="T1862" s="31">
        <v>0</v>
      </c>
      <c r="U1862" s="37">
        <v>48.7</v>
      </c>
      <c r="V1862" s="31">
        <v>11</v>
      </c>
      <c r="W1862" s="31">
        <v>0</v>
      </c>
      <c r="X1862" s="38">
        <v>34</v>
      </c>
      <c r="Y1862" s="31">
        <v>1</v>
      </c>
      <c r="Z1862" s="31">
        <v>0</v>
      </c>
      <c r="AA1862" s="31" t="s">
        <v>212</v>
      </c>
      <c r="AB1862" s="31" t="s">
        <v>220</v>
      </c>
      <c r="AC1862" s="41">
        <f>IFERROR(LOOKUP(M1862,打分卡!$F$7:$J$7,打分卡!$K$7:$O$7),1)</f>
        <v>1</v>
      </c>
      <c r="AD1862" s="41">
        <f>IFERROR(LOOKUP(S1862,打分卡!$F$8:$J$8,打分卡!$K$8:$O$8),1)</f>
        <v>1</v>
      </c>
      <c r="AE1862" s="41">
        <f>IFERROR(LOOKUP(T1862,打分卡!$F$9:$I$9,打分卡!$K$9:$N$9),1)</f>
        <v>1</v>
      </c>
      <c r="AF1862" s="41">
        <f>IFERROR(LOOKUP(Q1862,打分卡!$F$10:$J$10,打分卡!$K$10:$O$10),1)</f>
        <v>1</v>
      </c>
      <c r="AG1862" s="41">
        <f>IFERROR(LOOKUP(R1862,打分卡!$F$11:$J$11,打分卡!$K$11:$O$11),1)</f>
        <v>1</v>
      </c>
      <c r="AH1862" s="41">
        <f>IFERROR(LOOKUP(U1862,打分卡!$F$12:$J$12,打分卡!$K$12:$O$12),1)</f>
        <v>4</v>
      </c>
      <c r="AI1862" s="41">
        <f>IFERROR(LOOKUP(X1862,打分卡!$F$13:$J$13,打分卡!$K$13:$O$13),1)</f>
        <v>2</v>
      </c>
      <c r="AJ1862" s="41">
        <f>IFERROR(LOOKUP(Y1862,打分卡!$F$14:$J$14,打分卡!$K$14:$O$14),1)</f>
        <v>2</v>
      </c>
      <c r="AK1862" s="41">
        <f>IFERROR(LOOKUP(W1862,打分卡!$F$15:$J$15,打分卡!$K$15:$O$15),1)</f>
        <v>1</v>
      </c>
      <c r="AL1862" s="43">
        <f t="shared" si="233"/>
        <v>1</v>
      </c>
      <c r="AM1862" s="41">
        <f>IFERROR(LOOKUP(Z1862,打分卡!$F$17:$H$17,打分卡!$K$17:$M$17),1)</f>
        <v>1</v>
      </c>
      <c r="AN1862" s="44">
        <f>(打分卡!$D$7*AC1862+打分卡!$D$8*AD1862+打分卡!$D$9*AE1862)/5</f>
        <v>8</v>
      </c>
      <c r="AO1862" s="44">
        <f>(打分卡!$D$10*AF1862+打分卡!$D$11*AG1862)/5</f>
        <v>4</v>
      </c>
      <c r="AP1862" s="44">
        <f>(打分卡!$D$12*AH1862+打分卡!$D$13*AI1862+打分卡!$D$14*AJ1862+打分卡!$D$15*AK1862)/5</f>
        <v>16</v>
      </c>
      <c r="AQ1862" s="44">
        <f>(打分卡!$D$16*AL1862+打分卡!$D$17*AM1862)/5</f>
        <v>2</v>
      </c>
      <c r="AR1862" s="47">
        <f t="shared" si="234"/>
        <v>30</v>
      </c>
      <c r="AS1862" s="43" t="str">
        <f t="shared" si="235"/>
        <v>未激活</v>
      </c>
      <c r="AT1862" s="43" t="str">
        <f t="shared" si="236"/>
        <v>连续下降-预警</v>
      </c>
      <c r="AU1862" s="43" t="str">
        <f t="shared" si="237"/>
        <v>唤醒：短信模板+首充补贴</v>
      </c>
    </row>
    <row r="1863" ht="15" customHeight="1" spans="1:47">
      <c r="A1863" s="20" t="s">
        <v>4708</v>
      </c>
      <c r="B1863" s="22" t="s">
        <v>4709</v>
      </c>
      <c r="C1863" s="22" t="s">
        <v>223</v>
      </c>
      <c r="D1863" s="22" t="s">
        <v>196</v>
      </c>
      <c r="E1863" s="22" t="s">
        <v>197</v>
      </c>
      <c r="F1863" s="20" t="s">
        <v>4710</v>
      </c>
      <c r="G1863" s="22">
        <v>36</v>
      </c>
      <c r="H1863" s="22" t="s">
        <v>3535</v>
      </c>
      <c r="I1863" s="22" t="s">
        <v>302</v>
      </c>
      <c r="J1863" s="36">
        <v>0</v>
      </c>
      <c r="K1863" s="36">
        <v>0</v>
      </c>
      <c r="L1863" s="36">
        <v>0</v>
      </c>
      <c r="M1863" s="36">
        <f t="shared" si="232"/>
        <v>0</v>
      </c>
      <c r="N1863" s="34">
        <f t="shared" si="238"/>
        <v>0</v>
      </c>
      <c r="O1863" s="35">
        <f>SUM($M$2:M1863)</f>
        <v>190743600</v>
      </c>
      <c r="P1863" s="34">
        <f t="shared" si="239"/>
        <v>1</v>
      </c>
      <c r="Q1863" s="39">
        <v>0</v>
      </c>
      <c r="R1863" s="22">
        <v>0</v>
      </c>
      <c r="S1863" s="22">
        <v>0</v>
      </c>
      <c r="T1863" s="22">
        <v>0</v>
      </c>
      <c r="U1863" s="39">
        <v>15.4</v>
      </c>
      <c r="V1863" s="22">
        <v>11</v>
      </c>
      <c r="W1863" s="22">
        <v>2</v>
      </c>
      <c r="X1863" s="40">
        <v>20</v>
      </c>
      <c r="Y1863" s="22">
        <v>0</v>
      </c>
      <c r="Z1863" s="22">
        <v>0</v>
      </c>
      <c r="AA1863" s="22" t="s">
        <v>212</v>
      </c>
      <c r="AB1863" s="22" t="s">
        <v>220</v>
      </c>
      <c r="AC1863" s="42">
        <f>IFERROR(LOOKUP(M1863,打分卡!$F$7:$J$7,打分卡!$K$7:$O$7),1)</f>
        <v>1</v>
      </c>
      <c r="AD1863" s="42">
        <f>IFERROR(LOOKUP(S1863,打分卡!$F$8:$J$8,打分卡!$K$8:$O$8),1)</f>
        <v>1</v>
      </c>
      <c r="AE1863" s="42">
        <f>IFERROR(LOOKUP(T1863,打分卡!$F$9:$I$9,打分卡!$K$9:$N$9),1)</f>
        <v>1</v>
      </c>
      <c r="AF1863" s="42">
        <f>IFERROR(LOOKUP(Q1863,打分卡!$F$10:$J$10,打分卡!$K$10:$O$10),1)</f>
        <v>1</v>
      </c>
      <c r="AG1863" s="42">
        <f>IFERROR(LOOKUP(R1863,打分卡!$F$11:$J$11,打分卡!$K$11:$O$11),1)</f>
        <v>1</v>
      </c>
      <c r="AH1863" s="42">
        <f>IFERROR(LOOKUP(U1863,打分卡!$F$12:$J$12,打分卡!$K$12:$O$12),1)</f>
        <v>3</v>
      </c>
      <c r="AI1863" s="42">
        <f>IFERROR(LOOKUP(X1863,打分卡!$F$13:$J$13,打分卡!$K$13:$O$13),1)</f>
        <v>2</v>
      </c>
      <c r="AJ1863" s="42">
        <f>IFERROR(LOOKUP(Y1863,打分卡!$F$14:$J$14,打分卡!$K$14:$O$14),1)</f>
        <v>1</v>
      </c>
      <c r="AK1863" s="42">
        <f>IFERROR(LOOKUP(W1863,打分卡!$F$15:$J$15,打分卡!$K$15:$O$15),1)</f>
        <v>2</v>
      </c>
      <c r="AL1863" s="45">
        <f t="shared" si="233"/>
        <v>1</v>
      </c>
      <c r="AM1863" s="42">
        <f>IFERROR(LOOKUP(Z1863,打分卡!$F$17:$H$17,打分卡!$K$17:$M$17),1)</f>
        <v>1</v>
      </c>
      <c r="AN1863" s="46">
        <f>(打分卡!$D$7*AC1863+打分卡!$D$8*AD1863+打分卡!$D$9*AE1863)/5</f>
        <v>8</v>
      </c>
      <c r="AO1863" s="46">
        <f>(打分卡!$D$10*AF1863+打分卡!$D$11*AG1863)/5</f>
        <v>4</v>
      </c>
      <c r="AP1863" s="46">
        <f>(打分卡!$D$12*AH1863+打分卡!$D$13*AI1863+打分卡!$D$14*AJ1863+打分卡!$D$15*AK1863)/5</f>
        <v>13.2</v>
      </c>
      <c r="AQ1863" s="46">
        <f>(打分卡!$D$16*AL1863+打分卡!$D$17*AM1863)/5</f>
        <v>2</v>
      </c>
      <c r="AR1863" s="48">
        <f t="shared" si="234"/>
        <v>27.2</v>
      </c>
      <c r="AS1863" s="45" t="str">
        <f t="shared" si="235"/>
        <v>未激活</v>
      </c>
      <c r="AT1863" s="45" t="str">
        <f t="shared" si="236"/>
        <v>连续下降-预警</v>
      </c>
      <c r="AU1863" s="45" t="str">
        <f t="shared" si="237"/>
        <v>唤醒：短信模板+首充补贴</v>
      </c>
    </row>
    <row r="1864" ht="15" customHeight="1" spans="1:47">
      <c r="A1864" s="30" t="s">
        <v>4711</v>
      </c>
      <c r="B1864" s="31" t="s">
        <v>4712</v>
      </c>
      <c r="C1864" s="31" t="s">
        <v>189</v>
      </c>
      <c r="D1864" s="31" t="s">
        <v>196</v>
      </c>
      <c r="E1864" s="31" t="s">
        <v>197</v>
      </c>
      <c r="F1864" s="30" t="s">
        <v>926</v>
      </c>
      <c r="G1864" s="31">
        <v>14</v>
      </c>
      <c r="H1864" s="31" t="s">
        <v>3535</v>
      </c>
      <c r="I1864" s="31" t="s">
        <v>302</v>
      </c>
      <c r="J1864" s="33">
        <v>0</v>
      </c>
      <c r="K1864" s="33">
        <v>0</v>
      </c>
      <c r="L1864" s="33">
        <v>0</v>
      </c>
      <c r="M1864" s="33">
        <f t="shared" si="232"/>
        <v>0</v>
      </c>
      <c r="N1864" s="34">
        <f t="shared" si="238"/>
        <v>0</v>
      </c>
      <c r="O1864" s="35">
        <f>SUM($M$2:M1864)</f>
        <v>190743600</v>
      </c>
      <c r="P1864" s="34">
        <f t="shared" si="239"/>
        <v>1</v>
      </c>
      <c r="Q1864" s="37">
        <v>0</v>
      </c>
      <c r="R1864" s="31">
        <v>0</v>
      </c>
      <c r="S1864" s="31">
        <v>0</v>
      </c>
      <c r="T1864" s="31">
        <v>0</v>
      </c>
      <c r="U1864" s="37">
        <v>1.5</v>
      </c>
      <c r="V1864" s="31">
        <v>8</v>
      </c>
      <c r="W1864" s="31">
        <v>1</v>
      </c>
      <c r="X1864" s="38">
        <v>8</v>
      </c>
      <c r="Y1864" s="31">
        <v>0</v>
      </c>
      <c r="Z1864" s="31">
        <v>0</v>
      </c>
      <c r="AA1864" s="31" t="s">
        <v>212</v>
      </c>
      <c r="AB1864" s="31" t="s">
        <v>220</v>
      </c>
      <c r="AC1864" s="41">
        <f>IFERROR(LOOKUP(M1864,打分卡!$F$7:$J$7,打分卡!$K$7:$O$7),1)</f>
        <v>1</v>
      </c>
      <c r="AD1864" s="41">
        <f>IFERROR(LOOKUP(S1864,打分卡!$F$8:$J$8,打分卡!$K$8:$O$8),1)</f>
        <v>1</v>
      </c>
      <c r="AE1864" s="41">
        <f>IFERROR(LOOKUP(T1864,打分卡!$F$9:$I$9,打分卡!$K$9:$N$9),1)</f>
        <v>1</v>
      </c>
      <c r="AF1864" s="41">
        <f>IFERROR(LOOKUP(Q1864,打分卡!$F$10:$J$10,打分卡!$K$10:$O$10),1)</f>
        <v>1</v>
      </c>
      <c r="AG1864" s="41">
        <f>IFERROR(LOOKUP(R1864,打分卡!$F$11:$J$11,打分卡!$K$11:$O$11),1)</f>
        <v>1</v>
      </c>
      <c r="AH1864" s="41">
        <f>IFERROR(LOOKUP(U1864,打分卡!$F$12:$J$12,打分卡!$K$12:$O$12),1)</f>
        <v>1</v>
      </c>
      <c r="AI1864" s="41">
        <f>IFERROR(LOOKUP(X1864,打分卡!$F$13:$J$13,打分卡!$K$13:$O$13),1)</f>
        <v>1</v>
      </c>
      <c r="AJ1864" s="41">
        <f>IFERROR(LOOKUP(Y1864,打分卡!$F$14:$J$14,打分卡!$K$14:$O$14),1)</f>
        <v>1</v>
      </c>
      <c r="AK1864" s="41">
        <f>IFERROR(LOOKUP(W1864,打分卡!$F$15:$J$15,打分卡!$K$15:$O$15),1)</f>
        <v>2</v>
      </c>
      <c r="AL1864" s="43">
        <f t="shared" si="233"/>
        <v>1</v>
      </c>
      <c r="AM1864" s="41">
        <f>IFERROR(LOOKUP(Z1864,打分卡!$F$17:$H$17,打分卡!$K$17:$M$17),1)</f>
        <v>1</v>
      </c>
      <c r="AN1864" s="44">
        <f>(打分卡!$D$7*AC1864+打分卡!$D$8*AD1864+打分卡!$D$9*AE1864)/5</f>
        <v>8</v>
      </c>
      <c r="AO1864" s="44">
        <f>(打分卡!$D$10*AF1864+打分卡!$D$11*AG1864)/5</f>
        <v>4</v>
      </c>
      <c r="AP1864" s="44">
        <f>(打分卡!$D$12*AH1864+打分卡!$D$13*AI1864+打分卡!$D$14*AJ1864+打分卡!$D$15*AK1864)/5</f>
        <v>6.8</v>
      </c>
      <c r="AQ1864" s="44">
        <f>(打分卡!$D$16*AL1864+打分卡!$D$17*AM1864)/5</f>
        <v>2</v>
      </c>
      <c r="AR1864" s="47">
        <f t="shared" si="234"/>
        <v>20.8</v>
      </c>
      <c r="AS1864" s="43" t="str">
        <f t="shared" si="235"/>
        <v>未激活</v>
      </c>
      <c r="AT1864" s="43" t="str">
        <f t="shared" si="236"/>
        <v>连续下降-预警</v>
      </c>
      <c r="AU1864" s="43" t="str">
        <f t="shared" si="237"/>
        <v>唤醒：短信模板+首充补贴</v>
      </c>
    </row>
    <row r="1865" ht="15" customHeight="1" spans="1:47">
      <c r="A1865" s="20" t="s">
        <v>4713</v>
      </c>
      <c r="B1865" s="22" t="s">
        <v>4714</v>
      </c>
      <c r="C1865" s="22" t="s">
        <v>189</v>
      </c>
      <c r="D1865" s="22" t="s">
        <v>235</v>
      </c>
      <c r="E1865" s="22" t="s">
        <v>181</v>
      </c>
      <c r="F1865" s="20" t="s">
        <v>4715</v>
      </c>
      <c r="G1865" s="22">
        <v>17</v>
      </c>
      <c r="H1865" s="22" t="s">
        <v>3535</v>
      </c>
      <c r="I1865" s="22" t="s">
        <v>302</v>
      </c>
      <c r="J1865" s="36">
        <v>0</v>
      </c>
      <c r="K1865" s="36">
        <v>0</v>
      </c>
      <c r="L1865" s="36">
        <v>0</v>
      </c>
      <c r="M1865" s="36">
        <f t="shared" si="232"/>
        <v>0</v>
      </c>
      <c r="N1865" s="34">
        <f t="shared" si="238"/>
        <v>0</v>
      </c>
      <c r="O1865" s="35">
        <f>SUM($M$2:M1865)</f>
        <v>190743600</v>
      </c>
      <c r="P1865" s="34">
        <f t="shared" si="239"/>
        <v>1</v>
      </c>
      <c r="Q1865" s="39">
        <v>0</v>
      </c>
      <c r="R1865" s="22">
        <v>0</v>
      </c>
      <c r="S1865" s="22">
        <v>0</v>
      </c>
      <c r="T1865" s="22">
        <v>0</v>
      </c>
      <c r="U1865" s="39">
        <v>6</v>
      </c>
      <c r="V1865" s="22">
        <v>4</v>
      </c>
      <c r="W1865" s="22">
        <v>1</v>
      </c>
      <c r="X1865" s="40">
        <v>10</v>
      </c>
      <c r="Y1865" s="22">
        <v>1</v>
      </c>
      <c r="Z1865" s="22">
        <v>0</v>
      </c>
      <c r="AA1865" s="22" t="s">
        <v>212</v>
      </c>
      <c r="AB1865" s="22" t="s">
        <v>220</v>
      </c>
      <c r="AC1865" s="42">
        <f>IFERROR(LOOKUP(M1865,打分卡!$F$7:$J$7,打分卡!$K$7:$O$7),1)</f>
        <v>1</v>
      </c>
      <c r="AD1865" s="42">
        <f>IFERROR(LOOKUP(S1865,打分卡!$F$8:$J$8,打分卡!$K$8:$O$8),1)</f>
        <v>1</v>
      </c>
      <c r="AE1865" s="42">
        <f>IFERROR(LOOKUP(T1865,打分卡!$F$9:$I$9,打分卡!$K$9:$N$9),1)</f>
        <v>1</v>
      </c>
      <c r="AF1865" s="42">
        <f>IFERROR(LOOKUP(Q1865,打分卡!$F$10:$J$10,打分卡!$K$10:$O$10),1)</f>
        <v>1</v>
      </c>
      <c r="AG1865" s="42">
        <f>IFERROR(LOOKUP(R1865,打分卡!$F$11:$J$11,打分卡!$K$11:$O$11),1)</f>
        <v>1</v>
      </c>
      <c r="AH1865" s="42">
        <f>IFERROR(LOOKUP(U1865,打分卡!$F$12:$J$12,打分卡!$K$12:$O$12),1)</f>
        <v>2</v>
      </c>
      <c r="AI1865" s="42">
        <f>IFERROR(LOOKUP(X1865,打分卡!$F$13:$J$13,打分卡!$K$13:$O$13),1)</f>
        <v>1</v>
      </c>
      <c r="AJ1865" s="42">
        <f>IFERROR(LOOKUP(Y1865,打分卡!$F$14:$J$14,打分卡!$K$14:$O$14),1)</f>
        <v>2</v>
      </c>
      <c r="AK1865" s="42">
        <f>IFERROR(LOOKUP(W1865,打分卡!$F$15:$J$15,打分卡!$K$15:$O$15),1)</f>
        <v>2</v>
      </c>
      <c r="AL1865" s="45">
        <f t="shared" si="233"/>
        <v>1</v>
      </c>
      <c r="AM1865" s="42">
        <f>IFERROR(LOOKUP(Z1865,打分卡!$F$17:$H$17,打分卡!$K$17:$M$17),1)</f>
        <v>1</v>
      </c>
      <c r="AN1865" s="46">
        <f>(打分卡!$D$7*AC1865+打分卡!$D$8*AD1865+打分卡!$D$9*AE1865)/5</f>
        <v>8</v>
      </c>
      <c r="AO1865" s="46">
        <f>(打分卡!$D$10*AF1865+打分卡!$D$11*AG1865)/5</f>
        <v>4</v>
      </c>
      <c r="AP1865" s="46">
        <f>(打分卡!$D$12*AH1865+打分卡!$D$13*AI1865+打分卡!$D$14*AJ1865+打分卡!$D$15*AK1865)/5</f>
        <v>10.4</v>
      </c>
      <c r="AQ1865" s="46">
        <f>(打分卡!$D$16*AL1865+打分卡!$D$17*AM1865)/5</f>
        <v>2</v>
      </c>
      <c r="AR1865" s="48">
        <f t="shared" si="234"/>
        <v>24.4</v>
      </c>
      <c r="AS1865" s="45" t="str">
        <f t="shared" si="235"/>
        <v>未激活</v>
      </c>
      <c r="AT1865" s="45" t="str">
        <f t="shared" si="236"/>
        <v>连续下降-预警</v>
      </c>
      <c r="AU1865" s="45" t="str">
        <f t="shared" si="237"/>
        <v>唤醒：短信模板+首充补贴</v>
      </c>
    </row>
    <row r="1866" ht="15" customHeight="1" spans="1:47">
      <c r="A1866" s="30" t="s">
        <v>4716</v>
      </c>
      <c r="B1866" s="31" t="s">
        <v>4717</v>
      </c>
      <c r="C1866" s="31" t="s">
        <v>179</v>
      </c>
      <c r="D1866" s="31" t="s">
        <v>252</v>
      </c>
      <c r="E1866" s="31" t="s">
        <v>181</v>
      </c>
      <c r="F1866" s="30" t="s">
        <v>4718</v>
      </c>
      <c r="G1866" s="31">
        <v>30</v>
      </c>
      <c r="H1866" s="31" t="s">
        <v>3535</v>
      </c>
      <c r="I1866" s="31" t="s">
        <v>302</v>
      </c>
      <c r="J1866" s="33">
        <v>0</v>
      </c>
      <c r="K1866" s="33">
        <v>0</v>
      </c>
      <c r="L1866" s="33">
        <v>0</v>
      </c>
      <c r="M1866" s="33">
        <f t="shared" si="232"/>
        <v>0</v>
      </c>
      <c r="N1866" s="34">
        <f t="shared" si="238"/>
        <v>0</v>
      </c>
      <c r="O1866" s="35">
        <f>SUM($M$2:M1866)</f>
        <v>190743600</v>
      </c>
      <c r="P1866" s="34">
        <f t="shared" si="239"/>
        <v>1</v>
      </c>
      <c r="Q1866" s="37">
        <v>0</v>
      </c>
      <c r="R1866" s="31">
        <v>0</v>
      </c>
      <c r="S1866" s="31">
        <v>0</v>
      </c>
      <c r="T1866" s="31">
        <v>0</v>
      </c>
      <c r="U1866" s="37">
        <v>8.8</v>
      </c>
      <c r="V1866" s="31">
        <v>6</v>
      </c>
      <c r="W1866" s="31">
        <v>2</v>
      </c>
      <c r="X1866" s="38">
        <v>32</v>
      </c>
      <c r="Y1866" s="31">
        <v>1</v>
      </c>
      <c r="Z1866" s="31">
        <v>0</v>
      </c>
      <c r="AA1866" s="31" t="s">
        <v>212</v>
      </c>
      <c r="AB1866" s="31" t="s">
        <v>220</v>
      </c>
      <c r="AC1866" s="41">
        <f>IFERROR(LOOKUP(M1866,打分卡!$F$7:$J$7,打分卡!$K$7:$O$7),1)</f>
        <v>1</v>
      </c>
      <c r="AD1866" s="41">
        <f>IFERROR(LOOKUP(S1866,打分卡!$F$8:$J$8,打分卡!$K$8:$O$8),1)</f>
        <v>1</v>
      </c>
      <c r="AE1866" s="41">
        <f>IFERROR(LOOKUP(T1866,打分卡!$F$9:$I$9,打分卡!$K$9:$N$9),1)</f>
        <v>1</v>
      </c>
      <c r="AF1866" s="41">
        <f>IFERROR(LOOKUP(Q1866,打分卡!$F$10:$J$10,打分卡!$K$10:$O$10),1)</f>
        <v>1</v>
      </c>
      <c r="AG1866" s="41">
        <f>IFERROR(LOOKUP(R1866,打分卡!$F$11:$J$11,打分卡!$K$11:$O$11),1)</f>
        <v>1</v>
      </c>
      <c r="AH1866" s="41">
        <f>IFERROR(LOOKUP(U1866,打分卡!$F$12:$J$12,打分卡!$K$12:$O$12),1)</f>
        <v>2</v>
      </c>
      <c r="AI1866" s="41">
        <f>IFERROR(LOOKUP(X1866,打分卡!$F$13:$J$13,打分卡!$K$13:$O$13),1)</f>
        <v>2</v>
      </c>
      <c r="AJ1866" s="41">
        <f>IFERROR(LOOKUP(Y1866,打分卡!$F$14:$J$14,打分卡!$K$14:$O$14),1)</f>
        <v>2</v>
      </c>
      <c r="AK1866" s="41">
        <f>IFERROR(LOOKUP(W1866,打分卡!$F$15:$J$15,打分卡!$K$15:$O$15),1)</f>
        <v>2</v>
      </c>
      <c r="AL1866" s="43">
        <f t="shared" si="233"/>
        <v>1</v>
      </c>
      <c r="AM1866" s="41">
        <f>IFERROR(LOOKUP(Z1866,打分卡!$F$17:$H$17,打分卡!$K$17:$M$17),1)</f>
        <v>1</v>
      </c>
      <c r="AN1866" s="44">
        <f>(打分卡!$D$7*AC1866+打分卡!$D$8*AD1866+打分卡!$D$9*AE1866)/5</f>
        <v>8</v>
      </c>
      <c r="AO1866" s="44">
        <f>(打分卡!$D$10*AF1866+打分卡!$D$11*AG1866)/5</f>
        <v>4</v>
      </c>
      <c r="AP1866" s="44">
        <f>(打分卡!$D$12*AH1866+打分卡!$D$13*AI1866+打分卡!$D$14*AJ1866+打分卡!$D$15*AK1866)/5</f>
        <v>12</v>
      </c>
      <c r="AQ1866" s="44">
        <f>(打分卡!$D$16*AL1866+打分卡!$D$17*AM1866)/5</f>
        <v>2</v>
      </c>
      <c r="AR1866" s="47">
        <f t="shared" si="234"/>
        <v>26</v>
      </c>
      <c r="AS1866" s="43" t="str">
        <f t="shared" si="235"/>
        <v>未激活</v>
      </c>
      <c r="AT1866" s="43" t="str">
        <f t="shared" si="236"/>
        <v>连续下降-预警</v>
      </c>
      <c r="AU1866" s="43" t="str">
        <f t="shared" si="237"/>
        <v>唤醒：短信模板+首充补贴</v>
      </c>
    </row>
    <row r="1867" ht="15" customHeight="1" spans="1:47">
      <c r="A1867" s="20" t="s">
        <v>4719</v>
      </c>
      <c r="B1867" s="22" t="s">
        <v>4720</v>
      </c>
      <c r="C1867" s="22" t="s">
        <v>189</v>
      </c>
      <c r="D1867" s="22" t="s">
        <v>252</v>
      </c>
      <c r="E1867" s="22" t="s">
        <v>181</v>
      </c>
      <c r="F1867" s="20" t="s">
        <v>1636</v>
      </c>
      <c r="G1867" s="22">
        <v>17</v>
      </c>
      <c r="H1867" s="22" t="s">
        <v>3535</v>
      </c>
      <c r="I1867" s="22" t="s">
        <v>302</v>
      </c>
      <c r="J1867" s="36">
        <v>0</v>
      </c>
      <c r="K1867" s="36">
        <v>0</v>
      </c>
      <c r="L1867" s="36">
        <v>0</v>
      </c>
      <c r="M1867" s="36">
        <f t="shared" si="232"/>
        <v>0</v>
      </c>
      <c r="N1867" s="34">
        <f t="shared" si="238"/>
        <v>0</v>
      </c>
      <c r="O1867" s="35">
        <f>SUM($M$2:M1867)</f>
        <v>190743600</v>
      </c>
      <c r="P1867" s="34">
        <f t="shared" si="239"/>
        <v>1</v>
      </c>
      <c r="Q1867" s="39">
        <v>0</v>
      </c>
      <c r="R1867" s="22">
        <v>0</v>
      </c>
      <c r="S1867" s="22">
        <v>0</v>
      </c>
      <c r="T1867" s="22">
        <v>0</v>
      </c>
      <c r="U1867" s="39">
        <v>2.8</v>
      </c>
      <c r="V1867" s="22">
        <v>14</v>
      </c>
      <c r="W1867" s="22">
        <v>0</v>
      </c>
      <c r="X1867" s="40">
        <v>71</v>
      </c>
      <c r="Y1867" s="22">
        <v>0</v>
      </c>
      <c r="Z1867" s="22">
        <v>0</v>
      </c>
      <c r="AA1867" s="22" t="s">
        <v>212</v>
      </c>
      <c r="AB1867" s="22" t="s">
        <v>220</v>
      </c>
      <c r="AC1867" s="42">
        <f>IFERROR(LOOKUP(M1867,打分卡!$F$7:$J$7,打分卡!$K$7:$O$7),1)</f>
        <v>1</v>
      </c>
      <c r="AD1867" s="42">
        <f>IFERROR(LOOKUP(S1867,打分卡!$F$8:$J$8,打分卡!$K$8:$O$8),1)</f>
        <v>1</v>
      </c>
      <c r="AE1867" s="42">
        <f>IFERROR(LOOKUP(T1867,打分卡!$F$9:$I$9,打分卡!$K$9:$N$9),1)</f>
        <v>1</v>
      </c>
      <c r="AF1867" s="42">
        <f>IFERROR(LOOKUP(Q1867,打分卡!$F$10:$J$10,打分卡!$K$10:$O$10),1)</f>
        <v>1</v>
      </c>
      <c r="AG1867" s="42">
        <f>IFERROR(LOOKUP(R1867,打分卡!$F$11:$J$11,打分卡!$K$11:$O$11),1)</f>
        <v>1</v>
      </c>
      <c r="AH1867" s="42">
        <f>IFERROR(LOOKUP(U1867,打分卡!$F$12:$J$12,打分卡!$K$12:$O$12),1)</f>
        <v>2</v>
      </c>
      <c r="AI1867" s="42">
        <f>IFERROR(LOOKUP(X1867,打分卡!$F$13:$J$13,打分卡!$K$13:$O$13),1)</f>
        <v>3</v>
      </c>
      <c r="AJ1867" s="42">
        <f>IFERROR(LOOKUP(Y1867,打分卡!$F$14:$J$14,打分卡!$K$14:$O$14),1)</f>
        <v>1</v>
      </c>
      <c r="AK1867" s="42">
        <f>IFERROR(LOOKUP(W1867,打分卡!$F$15:$J$15,打分卡!$K$15:$O$15),1)</f>
        <v>1</v>
      </c>
      <c r="AL1867" s="45">
        <f t="shared" si="233"/>
        <v>1</v>
      </c>
      <c r="AM1867" s="42">
        <f>IFERROR(LOOKUP(Z1867,打分卡!$F$17:$H$17,打分卡!$K$17:$M$17),1)</f>
        <v>1</v>
      </c>
      <c r="AN1867" s="46">
        <f>(打分卡!$D$7*AC1867+打分卡!$D$8*AD1867+打分卡!$D$9*AE1867)/5</f>
        <v>8</v>
      </c>
      <c r="AO1867" s="46">
        <f>(打分卡!$D$10*AF1867+打分卡!$D$11*AG1867)/5</f>
        <v>4</v>
      </c>
      <c r="AP1867" s="46">
        <f>(打分卡!$D$12*AH1867+打分卡!$D$13*AI1867+打分卡!$D$14*AJ1867+打分卡!$D$15*AK1867)/5</f>
        <v>11.6</v>
      </c>
      <c r="AQ1867" s="46">
        <f>(打分卡!$D$16*AL1867+打分卡!$D$17*AM1867)/5</f>
        <v>2</v>
      </c>
      <c r="AR1867" s="48">
        <f t="shared" si="234"/>
        <v>25.6</v>
      </c>
      <c r="AS1867" s="45" t="str">
        <f t="shared" si="235"/>
        <v>未激活</v>
      </c>
      <c r="AT1867" s="45" t="str">
        <f t="shared" si="236"/>
        <v>连续下降-预警</v>
      </c>
      <c r="AU1867" s="45" t="str">
        <f t="shared" si="237"/>
        <v>唤醒：短信模板+首充补贴</v>
      </c>
    </row>
    <row r="1868" ht="15" customHeight="1" spans="1:47">
      <c r="A1868" s="30" t="s">
        <v>4721</v>
      </c>
      <c r="B1868" s="31" t="s">
        <v>4722</v>
      </c>
      <c r="C1868" s="31" t="s">
        <v>179</v>
      </c>
      <c r="D1868" s="31" t="s">
        <v>202</v>
      </c>
      <c r="E1868" s="31" t="s">
        <v>197</v>
      </c>
      <c r="F1868" s="30" t="s">
        <v>4723</v>
      </c>
      <c r="G1868" s="31">
        <v>29</v>
      </c>
      <c r="H1868" s="31" t="s">
        <v>3535</v>
      </c>
      <c r="I1868" s="31" t="s">
        <v>302</v>
      </c>
      <c r="J1868" s="33">
        <v>0</v>
      </c>
      <c r="K1868" s="33">
        <v>0</v>
      </c>
      <c r="L1868" s="33">
        <v>0</v>
      </c>
      <c r="M1868" s="33">
        <f t="shared" si="232"/>
        <v>0</v>
      </c>
      <c r="N1868" s="34">
        <f t="shared" si="238"/>
        <v>0</v>
      </c>
      <c r="O1868" s="35">
        <f>SUM($M$2:M1868)</f>
        <v>190743600</v>
      </c>
      <c r="P1868" s="34">
        <f t="shared" si="239"/>
        <v>1</v>
      </c>
      <c r="Q1868" s="37">
        <v>0</v>
      </c>
      <c r="R1868" s="31">
        <v>0</v>
      </c>
      <c r="S1868" s="31">
        <v>0</v>
      </c>
      <c r="T1868" s="31">
        <v>0</v>
      </c>
      <c r="U1868" s="37">
        <v>10.7</v>
      </c>
      <c r="V1868" s="31">
        <v>9</v>
      </c>
      <c r="W1868" s="31">
        <v>2</v>
      </c>
      <c r="X1868" s="38">
        <v>67</v>
      </c>
      <c r="Y1868" s="31">
        <v>1</v>
      </c>
      <c r="Z1868" s="31">
        <v>0</v>
      </c>
      <c r="AA1868" s="31" t="s">
        <v>212</v>
      </c>
      <c r="AB1868" s="31" t="s">
        <v>220</v>
      </c>
      <c r="AC1868" s="41">
        <f>IFERROR(LOOKUP(M1868,打分卡!$F$7:$J$7,打分卡!$K$7:$O$7),1)</f>
        <v>1</v>
      </c>
      <c r="AD1868" s="41">
        <f>IFERROR(LOOKUP(S1868,打分卡!$F$8:$J$8,打分卡!$K$8:$O$8),1)</f>
        <v>1</v>
      </c>
      <c r="AE1868" s="41">
        <f>IFERROR(LOOKUP(T1868,打分卡!$F$9:$I$9,打分卡!$K$9:$N$9),1)</f>
        <v>1</v>
      </c>
      <c r="AF1868" s="41">
        <f>IFERROR(LOOKUP(Q1868,打分卡!$F$10:$J$10,打分卡!$K$10:$O$10),1)</f>
        <v>1</v>
      </c>
      <c r="AG1868" s="41">
        <f>IFERROR(LOOKUP(R1868,打分卡!$F$11:$J$11,打分卡!$K$11:$O$11),1)</f>
        <v>1</v>
      </c>
      <c r="AH1868" s="41">
        <f>IFERROR(LOOKUP(U1868,打分卡!$F$12:$J$12,打分卡!$K$12:$O$12),1)</f>
        <v>3</v>
      </c>
      <c r="AI1868" s="41">
        <f>IFERROR(LOOKUP(X1868,打分卡!$F$13:$J$13,打分卡!$K$13:$O$13),1)</f>
        <v>3</v>
      </c>
      <c r="AJ1868" s="41">
        <f>IFERROR(LOOKUP(Y1868,打分卡!$F$14:$J$14,打分卡!$K$14:$O$14),1)</f>
        <v>2</v>
      </c>
      <c r="AK1868" s="41">
        <f>IFERROR(LOOKUP(W1868,打分卡!$F$15:$J$15,打分卡!$K$15:$O$15),1)</f>
        <v>2</v>
      </c>
      <c r="AL1868" s="43">
        <f t="shared" si="233"/>
        <v>1</v>
      </c>
      <c r="AM1868" s="41">
        <f>IFERROR(LOOKUP(Z1868,打分卡!$F$17:$H$17,打分卡!$K$17:$M$17),1)</f>
        <v>1</v>
      </c>
      <c r="AN1868" s="44">
        <f>(打分卡!$D$7*AC1868+打分卡!$D$8*AD1868+打分卡!$D$9*AE1868)/5</f>
        <v>8</v>
      </c>
      <c r="AO1868" s="44">
        <f>(打分卡!$D$10*AF1868+打分卡!$D$11*AG1868)/5</f>
        <v>4</v>
      </c>
      <c r="AP1868" s="44">
        <f>(打分卡!$D$12*AH1868+打分卡!$D$13*AI1868+打分卡!$D$14*AJ1868+打分卡!$D$15*AK1868)/5</f>
        <v>16</v>
      </c>
      <c r="AQ1868" s="44">
        <f>(打分卡!$D$16*AL1868+打分卡!$D$17*AM1868)/5</f>
        <v>2</v>
      </c>
      <c r="AR1868" s="47">
        <f t="shared" si="234"/>
        <v>30</v>
      </c>
      <c r="AS1868" s="43" t="str">
        <f t="shared" si="235"/>
        <v>未激活</v>
      </c>
      <c r="AT1868" s="43" t="str">
        <f t="shared" si="236"/>
        <v>连续下降-预警</v>
      </c>
      <c r="AU1868" s="43" t="str">
        <f t="shared" si="237"/>
        <v>唤醒：短信模板+首充补贴</v>
      </c>
    </row>
    <row r="1869" ht="15" customHeight="1" spans="1:47">
      <c r="A1869" s="20" t="s">
        <v>4724</v>
      </c>
      <c r="B1869" s="22" t="s">
        <v>4725</v>
      </c>
      <c r="C1869" s="22" t="s">
        <v>189</v>
      </c>
      <c r="D1869" s="22" t="s">
        <v>196</v>
      </c>
      <c r="E1869" s="22" t="s">
        <v>197</v>
      </c>
      <c r="F1869" s="20" t="s">
        <v>4726</v>
      </c>
      <c r="G1869" s="22">
        <v>30</v>
      </c>
      <c r="H1869" s="22" t="s">
        <v>3535</v>
      </c>
      <c r="I1869" s="22" t="s">
        <v>302</v>
      </c>
      <c r="J1869" s="36">
        <v>0</v>
      </c>
      <c r="K1869" s="36">
        <v>0</v>
      </c>
      <c r="L1869" s="36">
        <v>0</v>
      </c>
      <c r="M1869" s="36">
        <f t="shared" si="232"/>
        <v>0</v>
      </c>
      <c r="N1869" s="34">
        <f t="shared" si="238"/>
        <v>0</v>
      </c>
      <c r="O1869" s="35">
        <f>SUM($M$2:M1869)</f>
        <v>190743600</v>
      </c>
      <c r="P1869" s="34">
        <f t="shared" si="239"/>
        <v>1</v>
      </c>
      <c r="Q1869" s="39">
        <v>0</v>
      </c>
      <c r="R1869" s="22">
        <v>0</v>
      </c>
      <c r="S1869" s="22">
        <v>0</v>
      </c>
      <c r="T1869" s="22">
        <v>0</v>
      </c>
      <c r="U1869" s="39">
        <v>3.6</v>
      </c>
      <c r="V1869" s="22">
        <v>4</v>
      </c>
      <c r="W1869" s="22">
        <v>2</v>
      </c>
      <c r="X1869" s="40">
        <v>23</v>
      </c>
      <c r="Y1869" s="22">
        <v>0</v>
      </c>
      <c r="Z1869" s="22">
        <v>0</v>
      </c>
      <c r="AA1869" s="22" t="s">
        <v>212</v>
      </c>
      <c r="AB1869" s="22" t="s">
        <v>220</v>
      </c>
      <c r="AC1869" s="42">
        <f>IFERROR(LOOKUP(M1869,打分卡!$F$7:$J$7,打分卡!$K$7:$O$7),1)</f>
        <v>1</v>
      </c>
      <c r="AD1869" s="42">
        <f>IFERROR(LOOKUP(S1869,打分卡!$F$8:$J$8,打分卡!$K$8:$O$8),1)</f>
        <v>1</v>
      </c>
      <c r="AE1869" s="42">
        <f>IFERROR(LOOKUP(T1869,打分卡!$F$9:$I$9,打分卡!$K$9:$N$9),1)</f>
        <v>1</v>
      </c>
      <c r="AF1869" s="42">
        <f>IFERROR(LOOKUP(Q1869,打分卡!$F$10:$J$10,打分卡!$K$10:$O$10),1)</f>
        <v>1</v>
      </c>
      <c r="AG1869" s="42">
        <f>IFERROR(LOOKUP(R1869,打分卡!$F$11:$J$11,打分卡!$K$11:$O$11),1)</f>
        <v>1</v>
      </c>
      <c r="AH1869" s="42">
        <f>IFERROR(LOOKUP(U1869,打分卡!$F$12:$J$12,打分卡!$K$12:$O$12),1)</f>
        <v>2</v>
      </c>
      <c r="AI1869" s="42">
        <f>IFERROR(LOOKUP(X1869,打分卡!$F$13:$J$13,打分卡!$K$13:$O$13),1)</f>
        <v>2</v>
      </c>
      <c r="AJ1869" s="42">
        <f>IFERROR(LOOKUP(Y1869,打分卡!$F$14:$J$14,打分卡!$K$14:$O$14),1)</f>
        <v>1</v>
      </c>
      <c r="AK1869" s="42">
        <f>IFERROR(LOOKUP(W1869,打分卡!$F$15:$J$15,打分卡!$K$15:$O$15),1)</f>
        <v>2</v>
      </c>
      <c r="AL1869" s="45">
        <f t="shared" si="233"/>
        <v>1</v>
      </c>
      <c r="AM1869" s="42">
        <f>IFERROR(LOOKUP(Z1869,打分卡!$F$17:$H$17,打分卡!$K$17:$M$17),1)</f>
        <v>1</v>
      </c>
      <c r="AN1869" s="46">
        <f>(打分卡!$D$7*AC1869+打分卡!$D$8*AD1869+打分卡!$D$9*AE1869)/5</f>
        <v>8</v>
      </c>
      <c r="AO1869" s="46">
        <f>(打分卡!$D$10*AF1869+打分卡!$D$11*AG1869)/5</f>
        <v>4</v>
      </c>
      <c r="AP1869" s="46">
        <f>(打分卡!$D$12*AH1869+打分卡!$D$13*AI1869+打分卡!$D$14*AJ1869+打分卡!$D$15*AK1869)/5</f>
        <v>10.8</v>
      </c>
      <c r="AQ1869" s="46">
        <f>(打分卡!$D$16*AL1869+打分卡!$D$17*AM1869)/5</f>
        <v>2</v>
      </c>
      <c r="AR1869" s="48">
        <f t="shared" si="234"/>
        <v>24.8</v>
      </c>
      <c r="AS1869" s="45" t="str">
        <f t="shared" si="235"/>
        <v>未激活</v>
      </c>
      <c r="AT1869" s="45" t="str">
        <f t="shared" si="236"/>
        <v>连续下降-预警</v>
      </c>
      <c r="AU1869" s="45" t="str">
        <f t="shared" si="237"/>
        <v>唤醒：短信模板+首充补贴</v>
      </c>
    </row>
    <row r="1870" ht="15" customHeight="1" spans="1:47">
      <c r="A1870" s="30" t="s">
        <v>4727</v>
      </c>
      <c r="B1870" s="31" t="s">
        <v>4728</v>
      </c>
      <c r="C1870" s="31" t="s">
        <v>218</v>
      </c>
      <c r="D1870" s="31" t="s">
        <v>202</v>
      </c>
      <c r="E1870" s="31" t="s">
        <v>181</v>
      </c>
      <c r="F1870" s="30" t="s">
        <v>191</v>
      </c>
      <c r="G1870" s="31">
        <v>35</v>
      </c>
      <c r="H1870" s="31" t="s">
        <v>3535</v>
      </c>
      <c r="I1870" s="31" t="s">
        <v>302</v>
      </c>
      <c r="J1870" s="33">
        <v>0</v>
      </c>
      <c r="K1870" s="33">
        <v>0</v>
      </c>
      <c r="L1870" s="33">
        <v>0</v>
      </c>
      <c r="M1870" s="33">
        <f t="shared" si="232"/>
        <v>0</v>
      </c>
      <c r="N1870" s="34">
        <f t="shared" si="238"/>
        <v>0</v>
      </c>
      <c r="O1870" s="35">
        <f>SUM($M$2:M1870)</f>
        <v>190743600</v>
      </c>
      <c r="P1870" s="34">
        <f t="shared" si="239"/>
        <v>1</v>
      </c>
      <c r="Q1870" s="37">
        <v>0</v>
      </c>
      <c r="R1870" s="31">
        <v>0</v>
      </c>
      <c r="S1870" s="31">
        <v>0</v>
      </c>
      <c r="T1870" s="31">
        <v>0</v>
      </c>
      <c r="U1870" s="37">
        <v>23.1</v>
      </c>
      <c r="V1870" s="31">
        <v>5</v>
      </c>
      <c r="W1870" s="31">
        <v>0</v>
      </c>
      <c r="X1870" s="38">
        <v>28</v>
      </c>
      <c r="Y1870" s="31">
        <v>1</v>
      </c>
      <c r="Z1870" s="31">
        <v>0</v>
      </c>
      <c r="AA1870" s="31" t="s">
        <v>212</v>
      </c>
      <c r="AB1870" s="31" t="s">
        <v>220</v>
      </c>
      <c r="AC1870" s="41">
        <f>IFERROR(LOOKUP(M1870,打分卡!$F$7:$J$7,打分卡!$K$7:$O$7),1)</f>
        <v>1</v>
      </c>
      <c r="AD1870" s="41">
        <f>IFERROR(LOOKUP(S1870,打分卡!$F$8:$J$8,打分卡!$K$8:$O$8),1)</f>
        <v>1</v>
      </c>
      <c r="AE1870" s="41">
        <f>IFERROR(LOOKUP(T1870,打分卡!$F$9:$I$9,打分卡!$K$9:$N$9),1)</f>
        <v>1</v>
      </c>
      <c r="AF1870" s="41">
        <f>IFERROR(LOOKUP(Q1870,打分卡!$F$10:$J$10,打分卡!$K$10:$O$10),1)</f>
        <v>1</v>
      </c>
      <c r="AG1870" s="41">
        <f>IFERROR(LOOKUP(R1870,打分卡!$F$11:$J$11,打分卡!$K$11:$O$11),1)</f>
        <v>1</v>
      </c>
      <c r="AH1870" s="41">
        <f>IFERROR(LOOKUP(U1870,打分卡!$F$12:$J$12,打分卡!$K$12:$O$12),1)</f>
        <v>3</v>
      </c>
      <c r="AI1870" s="41">
        <f>IFERROR(LOOKUP(X1870,打分卡!$F$13:$J$13,打分卡!$K$13:$O$13),1)</f>
        <v>2</v>
      </c>
      <c r="AJ1870" s="41">
        <f>IFERROR(LOOKUP(Y1870,打分卡!$F$14:$J$14,打分卡!$K$14:$O$14),1)</f>
        <v>2</v>
      </c>
      <c r="AK1870" s="41">
        <f>IFERROR(LOOKUP(W1870,打分卡!$F$15:$J$15,打分卡!$K$15:$O$15),1)</f>
        <v>1</v>
      </c>
      <c r="AL1870" s="43">
        <f t="shared" si="233"/>
        <v>1</v>
      </c>
      <c r="AM1870" s="41">
        <f>IFERROR(LOOKUP(Z1870,打分卡!$F$17:$H$17,打分卡!$K$17:$M$17),1)</f>
        <v>1</v>
      </c>
      <c r="AN1870" s="44">
        <f>(打分卡!$D$7*AC1870+打分卡!$D$8*AD1870+打分卡!$D$9*AE1870)/5</f>
        <v>8</v>
      </c>
      <c r="AO1870" s="44">
        <f>(打分卡!$D$10*AF1870+打分卡!$D$11*AG1870)/5</f>
        <v>4</v>
      </c>
      <c r="AP1870" s="44">
        <f>(打分卡!$D$12*AH1870+打分卡!$D$13*AI1870+打分卡!$D$14*AJ1870+打分卡!$D$15*AK1870)/5</f>
        <v>13.6</v>
      </c>
      <c r="AQ1870" s="44">
        <f>(打分卡!$D$16*AL1870+打分卡!$D$17*AM1870)/5</f>
        <v>2</v>
      </c>
      <c r="AR1870" s="47">
        <f t="shared" si="234"/>
        <v>27.6</v>
      </c>
      <c r="AS1870" s="43" t="str">
        <f t="shared" si="235"/>
        <v>未激活</v>
      </c>
      <c r="AT1870" s="43" t="str">
        <f t="shared" si="236"/>
        <v>连续下降-预警</v>
      </c>
      <c r="AU1870" s="43" t="str">
        <f t="shared" si="237"/>
        <v>唤醒：短信模板+首充补贴</v>
      </c>
    </row>
    <row r="1871" ht="15" customHeight="1" spans="1:47">
      <c r="A1871" s="20" t="s">
        <v>4729</v>
      </c>
      <c r="B1871" s="22" t="s">
        <v>4730</v>
      </c>
      <c r="C1871" s="22" t="s">
        <v>179</v>
      </c>
      <c r="D1871" s="22" t="s">
        <v>190</v>
      </c>
      <c r="E1871" s="22" t="s">
        <v>181</v>
      </c>
      <c r="F1871" s="20" t="s">
        <v>4190</v>
      </c>
      <c r="G1871" s="22">
        <v>28</v>
      </c>
      <c r="H1871" s="22" t="s">
        <v>3535</v>
      </c>
      <c r="I1871" s="22" t="s">
        <v>302</v>
      </c>
      <c r="J1871" s="36">
        <v>0</v>
      </c>
      <c r="K1871" s="36">
        <v>0</v>
      </c>
      <c r="L1871" s="36">
        <v>0</v>
      </c>
      <c r="M1871" s="36">
        <f t="shared" si="232"/>
        <v>0</v>
      </c>
      <c r="N1871" s="34">
        <f t="shared" si="238"/>
        <v>0</v>
      </c>
      <c r="O1871" s="35">
        <f>SUM($M$2:M1871)</f>
        <v>190743600</v>
      </c>
      <c r="P1871" s="34">
        <f t="shared" si="239"/>
        <v>1</v>
      </c>
      <c r="Q1871" s="39">
        <v>0</v>
      </c>
      <c r="R1871" s="22">
        <v>0</v>
      </c>
      <c r="S1871" s="22">
        <v>0</v>
      </c>
      <c r="T1871" s="22">
        <v>0</v>
      </c>
      <c r="U1871" s="39">
        <v>16.3</v>
      </c>
      <c r="V1871" s="22">
        <v>8</v>
      </c>
      <c r="W1871" s="22">
        <v>2</v>
      </c>
      <c r="X1871" s="40">
        <v>45</v>
      </c>
      <c r="Y1871" s="22">
        <v>1</v>
      </c>
      <c r="Z1871" s="22">
        <v>0</v>
      </c>
      <c r="AA1871" s="22" t="s">
        <v>212</v>
      </c>
      <c r="AB1871" s="22" t="s">
        <v>220</v>
      </c>
      <c r="AC1871" s="42">
        <f>IFERROR(LOOKUP(M1871,打分卡!$F$7:$J$7,打分卡!$K$7:$O$7),1)</f>
        <v>1</v>
      </c>
      <c r="AD1871" s="42">
        <f>IFERROR(LOOKUP(S1871,打分卡!$F$8:$J$8,打分卡!$K$8:$O$8),1)</f>
        <v>1</v>
      </c>
      <c r="AE1871" s="42">
        <f>IFERROR(LOOKUP(T1871,打分卡!$F$9:$I$9,打分卡!$K$9:$N$9),1)</f>
        <v>1</v>
      </c>
      <c r="AF1871" s="42">
        <f>IFERROR(LOOKUP(Q1871,打分卡!$F$10:$J$10,打分卡!$K$10:$O$10),1)</f>
        <v>1</v>
      </c>
      <c r="AG1871" s="42">
        <f>IFERROR(LOOKUP(R1871,打分卡!$F$11:$J$11,打分卡!$K$11:$O$11),1)</f>
        <v>1</v>
      </c>
      <c r="AH1871" s="42">
        <f>IFERROR(LOOKUP(U1871,打分卡!$F$12:$J$12,打分卡!$K$12:$O$12),1)</f>
        <v>3</v>
      </c>
      <c r="AI1871" s="42">
        <f>IFERROR(LOOKUP(X1871,打分卡!$F$13:$J$13,打分卡!$K$13:$O$13),1)</f>
        <v>3</v>
      </c>
      <c r="AJ1871" s="42">
        <f>IFERROR(LOOKUP(Y1871,打分卡!$F$14:$J$14,打分卡!$K$14:$O$14),1)</f>
        <v>2</v>
      </c>
      <c r="AK1871" s="42">
        <f>IFERROR(LOOKUP(W1871,打分卡!$F$15:$J$15,打分卡!$K$15:$O$15),1)</f>
        <v>2</v>
      </c>
      <c r="AL1871" s="45">
        <f t="shared" si="233"/>
        <v>1</v>
      </c>
      <c r="AM1871" s="42">
        <f>IFERROR(LOOKUP(Z1871,打分卡!$F$17:$H$17,打分卡!$K$17:$M$17),1)</f>
        <v>1</v>
      </c>
      <c r="AN1871" s="46">
        <f>(打分卡!$D$7*AC1871+打分卡!$D$8*AD1871+打分卡!$D$9*AE1871)/5</f>
        <v>8</v>
      </c>
      <c r="AO1871" s="46">
        <f>(打分卡!$D$10*AF1871+打分卡!$D$11*AG1871)/5</f>
        <v>4</v>
      </c>
      <c r="AP1871" s="46">
        <f>(打分卡!$D$12*AH1871+打分卡!$D$13*AI1871+打分卡!$D$14*AJ1871+打分卡!$D$15*AK1871)/5</f>
        <v>16</v>
      </c>
      <c r="AQ1871" s="46">
        <f>(打分卡!$D$16*AL1871+打分卡!$D$17*AM1871)/5</f>
        <v>2</v>
      </c>
      <c r="AR1871" s="48">
        <f t="shared" si="234"/>
        <v>30</v>
      </c>
      <c r="AS1871" s="45" t="str">
        <f t="shared" si="235"/>
        <v>未激活</v>
      </c>
      <c r="AT1871" s="45" t="str">
        <f t="shared" si="236"/>
        <v>连续下降-预警</v>
      </c>
      <c r="AU1871" s="45" t="str">
        <f t="shared" si="237"/>
        <v>唤醒：短信模板+首充补贴</v>
      </c>
    </row>
    <row r="1872" ht="15" customHeight="1" spans="1:47">
      <c r="A1872" s="30" t="s">
        <v>4731</v>
      </c>
      <c r="B1872" s="31" t="s">
        <v>4732</v>
      </c>
      <c r="C1872" s="31" t="s">
        <v>239</v>
      </c>
      <c r="D1872" s="31" t="s">
        <v>227</v>
      </c>
      <c r="E1872" s="31" t="s">
        <v>181</v>
      </c>
      <c r="F1872" s="30" t="s">
        <v>4063</v>
      </c>
      <c r="G1872" s="31">
        <v>34</v>
      </c>
      <c r="H1872" s="31" t="s">
        <v>3535</v>
      </c>
      <c r="I1872" s="31" t="s">
        <v>302</v>
      </c>
      <c r="J1872" s="33">
        <v>0</v>
      </c>
      <c r="K1872" s="33">
        <v>0</v>
      </c>
      <c r="L1872" s="33">
        <v>0</v>
      </c>
      <c r="M1872" s="33">
        <f t="shared" si="232"/>
        <v>0</v>
      </c>
      <c r="N1872" s="34">
        <f t="shared" si="238"/>
        <v>0</v>
      </c>
      <c r="O1872" s="35">
        <f>SUM($M$2:M1872)</f>
        <v>190743600</v>
      </c>
      <c r="P1872" s="34">
        <f t="shared" si="239"/>
        <v>1</v>
      </c>
      <c r="Q1872" s="37">
        <v>0</v>
      </c>
      <c r="R1872" s="31">
        <v>0</v>
      </c>
      <c r="S1872" s="31">
        <v>0</v>
      </c>
      <c r="T1872" s="31">
        <v>0</v>
      </c>
      <c r="U1872" s="37">
        <v>1.5</v>
      </c>
      <c r="V1872" s="31">
        <v>3</v>
      </c>
      <c r="W1872" s="31">
        <v>2</v>
      </c>
      <c r="X1872" s="38">
        <v>54</v>
      </c>
      <c r="Y1872" s="31">
        <v>0</v>
      </c>
      <c r="Z1872" s="31">
        <v>0</v>
      </c>
      <c r="AA1872" s="31" t="s">
        <v>212</v>
      </c>
      <c r="AB1872" s="31" t="s">
        <v>220</v>
      </c>
      <c r="AC1872" s="41">
        <f>IFERROR(LOOKUP(M1872,打分卡!$F$7:$J$7,打分卡!$K$7:$O$7),1)</f>
        <v>1</v>
      </c>
      <c r="AD1872" s="41">
        <f>IFERROR(LOOKUP(S1872,打分卡!$F$8:$J$8,打分卡!$K$8:$O$8),1)</f>
        <v>1</v>
      </c>
      <c r="AE1872" s="41">
        <f>IFERROR(LOOKUP(T1872,打分卡!$F$9:$I$9,打分卡!$K$9:$N$9),1)</f>
        <v>1</v>
      </c>
      <c r="AF1872" s="41">
        <f>IFERROR(LOOKUP(Q1872,打分卡!$F$10:$J$10,打分卡!$K$10:$O$10),1)</f>
        <v>1</v>
      </c>
      <c r="AG1872" s="41">
        <f>IFERROR(LOOKUP(R1872,打分卡!$F$11:$J$11,打分卡!$K$11:$O$11),1)</f>
        <v>1</v>
      </c>
      <c r="AH1872" s="41">
        <f>IFERROR(LOOKUP(U1872,打分卡!$F$12:$J$12,打分卡!$K$12:$O$12),1)</f>
        <v>1</v>
      </c>
      <c r="AI1872" s="41">
        <f>IFERROR(LOOKUP(X1872,打分卡!$F$13:$J$13,打分卡!$K$13:$O$13),1)</f>
        <v>3</v>
      </c>
      <c r="AJ1872" s="41">
        <f>IFERROR(LOOKUP(Y1872,打分卡!$F$14:$J$14,打分卡!$K$14:$O$14),1)</f>
        <v>1</v>
      </c>
      <c r="AK1872" s="41">
        <f>IFERROR(LOOKUP(W1872,打分卡!$F$15:$J$15,打分卡!$K$15:$O$15),1)</f>
        <v>2</v>
      </c>
      <c r="AL1872" s="43">
        <f t="shared" si="233"/>
        <v>1</v>
      </c>
      <c r="AM1872" s="41">
        <f>IFERROR(LOOKUP(Z1872,打分卡!$F$17:$H$17,打分卡!$K$17:$M$17),1)</f>
        <v>1</v>
      </c>
      <c r="AN1872" s="44">
        <f>(打分卡!$D$7*AC1872+打分卡!$D$8*AD1872+打分卡!$D$9*AE1872)/5</f>
        <v>8</v>
      </c>
      <c r="AO1872" s="44">
        <f>(打分卡!$D$10*AF1872+打分卡!$D$11*AG1872)/5</f>
        <v>4</v>
      </c>
      <c r="AP1872" s="44">
        <f>(打分卡!$D$12*AH1872+打分卡!$D$13*AI1872+打分卡!$D$14*AJ1872+打分卡!$D$15*AK1872)/5</f>
        <v>10</v>
      </c>
      <c r="AQ1872" s="44">
        <f>(打分卡!$D$16*AL1872+打分卡!$D$17*AM1872)/5</f>
        <v>2</v>
      </c>
      <c r="AR1872" s="47">
        <f t="shared" si="234"/>
        <v>24</v>
      </c>
      <c r="AS1872" s="43" t="str">
        <f t="shared" si="235"/>
        <v>未激活</v>
      </c>
      <c r="AT1872" s="43" t="str">
        <f t="shared" si="236"/>
        <v>连续下降-预警</v>
      </c>
      <c r="AU1872" s="43" t="str">
        <f t="shared" si="237"/>
        <v>唤醒：短信模板+首充补贴</v>
      </c>
    </row>
    <row r="1873" ht="15" customHeight="1" spans="1:47">
      <c r="A1873" s="20" t="s">
        <v>4733</v>
      </c>
      <c r="B1873" s="22" t="s">
        <v>4734</v>
      </c>
      <c r="C1873" s="22" t="s">
        <v>189</v>
      </c>
      <c r="D1873" s="22" t="s">
        <v>196</v>
      </c>
      <c r="E1873" s="22" t="s">
        <v>181</v>
      </c>
      <c r="F1873" s="20" t="s">
        <v>4735</v>
      </c>
      <c r="G1873" s="22">
        <v>25</v>
      </c>
      <c r="H1873" s="22" t="s">
        <v>3535</v>
      </c>
      <c r="I1873" s="22" t="s">
        <v>302</v>
      </c>
      <c r="J1873" s="36">
        <v>0</v>
      </c>
      <c r="K1873" s="36">
        <v>0</v>
      </c>
      <c r="L1873" s="36">
        <v>0</v>
      </c>
      <c r="M1873" s="36">
        <f t="shared" si="232"/>
        <v>0</v>
      </c>
      <c r="N1873" s="34">
        <f t="shared" si="238"/>
        <v>0</v>
      </c>
      <c r="O1873" s="35">
        <f>SUM($M$2:M1873)</f>
        <v>190743600</v>
      </c>
      <c r="P1873" s="34">
        <f t="shared" si="239"/>
        <v>1</v>
      </c>
      <c r="Q1873" s="39">
        <v>0</v>
      </c>
      <c r="R1873" s="22">
        <v>0</v>
      </c>
      <c r="S1873" s="22">
        <v>0</v>
      </c>
      <c r="T1873" s="22">
        <v>0</v>
      </c>
      <c r="U1873" s="39">
        <v>5.6</v>
      </c>
      <c r="V1873" s="22">
        <v>9</v>
      </c>
      <c r="W1873" s="22">
        <v>0</v>
      </c>
      <c r="X1873" s="40">
        <v>56</v>
      </c>
      <c r="Y1873" s="22">
        <v>0</v>
      </c>
      <c r="Z1873" s="22">
        <v>0</v>
      </c>
      <c r="AA1873" s="22" t="s">
        <v>212</v>
      </c>
      <c r="AB1873" s="22" t="s">
        <v>220</v>
      </c>
      <c r="AC1873" s="42">
        <f>IFERROR(LOOKUP(M1873,打分卡!$F$7:$J$7,打分卡!$K$7:$O$7),1)</f>
        <v>1</v>
      </c>
      <c r="AD1873" s="42">
        <f>IFERROR(LOOKUP(S1873,打分卡!$F$8:$J$8,打分卡!$K$8:$O$8),1)</f>
        <v>1</v>
      </c>
      <c r="AE1873" s="42">
        <f>IFERROR(LOOKUP(T1873,打分卡!$F$9:$I$9,打分卡!$K$9:$N$9),1)</f>
        <v>1</v>
      </c>
      <c r="AF1873" s="42">
        <f>IFERROR(LOOKUP(Q1873,打分卡!$F$10:$J$10,打分卡!$K$10:$O$10),1)</f>
        <v>1</v>
      </c>
      <c r="AG1873" s="42">
        <f>IFERROR(LOOKUP(R1873,打分卡!$F$11:$J$11,打分卡!$K$11:$O$11),1)</f>
        <v>1</v>
      </c>
      <c r="AH1873" s="42">
        <f>IFERROR(LOOKUP(U1873,打分卡!$F$12:$J$12,打分卡!$K$12:$O$12),1)</f>
        <v>2</v>
      </c>
      <c r="AI1873" s="42">
        <f>IFERROR(LOOKUP(X1873,打分卡!$F$13:$J$13,打分卡!$K$13:$O$13),1)</f>
        <v>3</v>
      </c>
      <c r="AJ1873" s="42">
        <f>IFERROR(LOOKUP(Y1873,打分卡!$F$14:$J$14,打分卡!$K$14:$O$14),1)</f>
        <v>1</v>
      </c>
      <c r="AK1873" s="42">
        <f>IFERROR(LOOKUP(W1873,打分卡!$F$15:$J$15,打分卡!$K$15:$O$15),1)</f>
        <v>1</v>
      </c>
      <c r="AL1873" s="45">
        <f t="shared" si="233"/>
        <v>1</v>
      </c>
      <c r="AM1873" s="42">
        <f>IFERROR(LOOKUP(Z1873,打分卡!$F$17:$H$17,打分卡!$K$17:$M$17),1)</f>
        <v>1</v>
      </c>
      <c r="AN1873" s="46">
        <f>(打分卡!$D$7*AC1873+打分卡!$D$8*AD1873+打分卡!$D$9*AE1873)/5</f>
        <v>8</v>
      </c>
      <c r="AO1873" s="46">
        <f>(打分卡!$D$10*AF1873+打分卡!$D$11*AG1873)/5</f>
        <v>4</v>
      </c>
      <c r="AP1873" s="46">
        <f>(打分卡!$D$12*AH1873+打分卡!$D$13*AI1873+打分卡!$D$14*AJ1873+打分卡!$D$15*AK1873)/5</f>
        <v>11.6</v>
      </c>
      <c r="AQ1873" s="46">
        <f>(打分卡!$D$16*AL1873+打分卡!$D$17*AM1873)/5</f>
        <v>2</v>
      </c>
      <c r="AR1873" s="48">
        <f t="shared" si="234"/>
        <v>25.6</v>
      </c>
      <c r="AS1873" s="45" t="str">
        <f t="shared" si="235"/>
        <v>未激活</v>
      </c>
      <c r="AT1873" s="45" t="str">
        <f t="shared" si="236"/>
        <v>连续下降-预警</v>
      </c>
      <c r="AU1873" s="45" t="str">
        <f t="shared" si="237"/>
        <v>唤醒：短信模板+首充补贴</v>
      </c>
    </row>
    <row r="1874" ht="15" customHeight="1" spans="1:47">
      <c r="A1874" s="30" t="s">
        <v>4736</v>
      </c>
      <c r="B1874" s="31" t="s">
        <v>4737</v>
      </c>
      <c r="C1874" s="31" t="s">
        <v>234</v>
      </c>
      <c r="D1874" s="31" t="s">
        <v>196</v>
      </c>
      <c r="E1874" s="31" t="s">
        <v>197</v>
      </c>
      <c r="F1874" s="30" t="s">
        <v>4738</v>
      </c>
      <c r="G1874" s="31">
        <v>25</v>
      </c>
      <c r="H1874" s="31" t="s">
        <v>3535</v>
      </c>
      <c r="I1874" s="31" t="s">
        <v>302</v>
      </c>
      <c r="J1874" s="33">
        <v>0</v>
      </c>
      <c r="K1874" s="33">
        <v>0</v>
      </c>
      <c r="L1874" s="33">
        <v>0</v>
      </c>
      <c r="M1874" s="33">
        <f t="shared" si="232"/>
        <v>0</v>
      </c>
      <c r="N1874" s="34">
        <f t="shared" si="238"/>
        <v>0</v>
      </c>
      <c r="O1874" s="35">
        <f>SUM($M$2:M1874)</f>
        <v>190743600</v>
      </c>
      <c r="P1874" s="34">
        <f t="shared" si="239"/>
        <v>1</v>
      </c>
      <c r="Q1874" s="37">
        <v>0</v>
      </c>
      <c r="R1874" s="31">
        <v>0</v>
      </c>
      <c r="S1874" s="31">
        <v>0</v>
      </c>
      <c r="T1874" s="31">
        <v>0</v>
      </c>
      <c r="U1874" s="37">
        <v>3.2</v>
      </c>
      <c r="V1874" s="31">
        <v>12</v>
      </c>
      <c r="W1874" s="31">
        <v>2</v>
      </c>
      <c r="X1874" s="38">
        <v>6</v>
      </c>
      <c r="Y1874" s="31">
        <v>1</v>
      </c>
      <c r="Z1874" s="31">
        <v>0</v>
      </c>
      <c r="AA1874" s="31" t="s">
        <v>212</v>
      </c>
      <c r="AB1874" s="31" t="s">
        <v>220</v>
      </c>
      <c r="AC1874" s="41">
        <f>IFERROR(LOOKUP(M1874,打分卡!$F$7:$J$7,打分卡!$K$7:$O$7),1)</f>
        <v>1</v>
      </c>
      <c r="AD1874" s="41">
        <f>IFERROR(LOOKUP(S1874,打分卡!$F$8:$J$8,打分卡!$K$8:$O$8),1)</f>
        <v>1</v>
      </c>
      <c r="AE1874" s="41">
        <f>IFERROR(LOOKUP(T1874,打分卡!$F$9:$I$9,打分卡!$K$9:$N$9),1)</f>
        <v>1</v>
      </c>
      <c r="AF1874" s="41">
        <f>IFERROR(LOOKUP(Q1874,打分卡!$F$10:$J$10,打分卡!$K$10:$O$10),1)</f>
        <v>1</v>
      </c>
      <c r="AG1874" s="41">
        <f>IFERROR(LOOKUP(R1874,打分卡!$F$11:$J$11,打分卡!$K$11:$O$11),1)</f>
        <v>1</v>
      </c>
      <c r="AH1874" s="41">
        <f>IFERROR(LOOKUP(U1874,打分卡!$F$12:$J$12,打分卡!$K$12:$O$12),1)</f>
        <v>2</v>
      </c>
      <c r="AI1874" s="41">
        <f>IFERROR(LOOKUP(X1874,打分卡!$F$13:$J$13,打分卡!$K$13:$O$13),1)</f>
        <v>1</v>
      </c>
      <c r="AJ1874" s="41">
        <f>IFERROR(LOOKUP(Y1874,打分卡!$F$14:$J$14,打分卡!$K$14:$O$14),1)</f>
        <v>2</v>
      </c>
      <c r="AK1874" s="41">
        <f>IFERROR(LOOKUP(W1874,打分卡!$F$15:$J$15,打分卡!$K$15:$O$15),1)</f>
        <v>2</v>
      </c>
      <c r="AL1874" s="43">
        <f t="shared" si="233"/>
        <v>1</v>
      </c>
      <c r="AM1874" s="41">
        <f>IFERROR(LOOKUP(Z1874,打分卡!$F$17:$H$17,打分卡!$K$17:$M$17),1)</f>
        <v>1</v>
      </c>
      <c r="AN1874" s="44">
        <f>(打分卡!$D$7*AC1874+打分卡!$D$8*AD1874+打分卡!$D$9*AE1874)/5</f>
        <v>8</v>
      </c>
      <c r="AO1874" s="44">
        <f>(打分卡!$D$10*AF1874+打分卡!$D$11*AG1874)/5</f>
        <v>4</v>
      </c>
      <c r="AP1874" s="44">
        <f>(打分卡!$D$12*AH1874+打分卡!$D$13*AI1874+打分卡!$D$14*AJ1874+打分卡!$D$15*AK1874)/5</f>
        <v>10.4</v>
      </c>
      <c r="AQ1874" s="44">
        <f>(打分卡!$D$16*AL1874+打分卡!$D$17*AM1874)/5</f>
        <v>2</v>
      </c>
      <c r="AR1874" s="47">
        <f t="shared" si="234"/>
        <v>24.4</v>
      </c>
      <c r="AS1874" s="43" t="str">
        <f t="shared" si="235"/>
        <v>未激活</v>
      </c>
      <c r="AT1874" s="43" t="str">
        <f t="shared" si="236"/>
        <v>连续下降-预警</v>
      </c>
      <c r="AU1874" s="43" t="str">
        <f t="shared" si="237"/>
        <v>唤醒：短信模板+首充补贴</v>
      </c>
    </row>
    <row r="1875" ht="15" customHeight="1" spans="1:47">
      <c r="A1875" s="20" t="s">
        <v>4739</v>
      </c>
      <c r="B1875" s="22" t="s">
        <v>4740</v>
      </c>
      <c r="C1875" s="22" t="s">
        <v>223</v>
      </c>
      <c r="D1875" s="22" t="s">
        <v>202</v>
      </c>
      <c r="E1875" s="22" t="s">
        <v>197</v>
      </c>
      <c r="F1875" s="20" t="s">
        <v>4382</v>
      </c>
      <c r="G1875" s="22">
        <v>32</v>
      </c>
      <c r="H1875" s="22" t="s">
        <v>3535</v>
      </c>
      <c r="I1875" s="22" t="s">
        <v>302</v>
      </c>
      <c r="J1875" s="36">
        <v>0</v>
      </c>
      <c r="K1875" s="36">
        <v>0</v>
      </c>
      <c r="L1875" s="36">
        <v>0</v>
      </c>
      <c r="M1875" s="36">
        <f t="shared" si="232"/>
        <v>0</v>
      </c>
      <c r="N1875" s="34">
        <f t="shared" si="238"/>
        <v>0</v>
      </c>
      <c r="O1875" s="35">
        <f>SUM($M$2:M1875)</f>
        <v>190743600</v>
      </c>
      <c r="P1875" s="34">
        <f t="shared" si="239"/>
        <v>1</v>
      </c>
      <c r="Q1875" s="39">
        <v>0</v>
      </c>
      <c r="R1875" s="22">
        <v>0</v>
      </c>
      <c r="S1875" s="22">
        <v>0</v>
      </c>
      <c r="T1875" s="22">
        <v>0</v>
      </c>
      <c r="U1875" s="39">
        <v>4.8</v>
      </c>
      <c r="V1875" s="22">
        <v>14</v>
      </c>
      <c r="W1875" s="22">
        <v>1</v>
      </c>
      <c r="X1875" s="40">
        <v>14</v>
      </c>
      <c r="Y1875" s="22">
        <v>1</v>
      </c>
      <c r="Z1875" s="22">
        <v>0</v>
      </c>
      <c r="AA1875" s="22" t="s">
        <v>212</v>
      </c>
      <c r="AB1875" s="22" t="s">
        <v>220</v>
      </c>
      <c r="AC1875" s="42">
        <f>IFERROR(LOOKUP(M1875,打分卡!$F$7:$J$7,打分卡!$K$7:$O$7),1)</f>
        <v>1</v>
      </c>
      <c r="AD1875" s="42">
        <f>IFERROR(LOOKUP(S1875,打分卡!$F$8:$J$8,打分卡!$K$8:$O$8),1)</f>
        <v>1</v>
      </c>
      <c r="AE1875" s="42">
        <f>IFERROR(LOOKUP(T1875,打分卡!$F$9:$I$9,打分卡!$K$9:$N$9),1)</f>
        <v>1</v>
      </c>
      <c r="AF1875" s="42">
        <f>IFERROR(LOOKUP(Q1875,打分卡!$F$10:$J$10,打分卡!$K$10:$O$10),1)</f>
        <v>1</v>
      </c>
      <c r="AG1875" s="42">
        <f>IFERROR(LOOKUP(R1875,打分卡!$F$11:$J$11,打分卡!$K$11:$O$11),1)</f>
        <v>1</v>
      </c>
      <c r="AH1875" s="42">
        <f>IFERROR(LOOKUP(U1875,打分卡!$F$12:$J$12,打分卡!$K$12:$O$12),1)</f>
        <v>2</v>
      </c>
      <c r="AI1875" s="42">
        <f>IFERROR(LOOKUP(X1875,打分卡!$F$13:$J$13,打分卡!$K$13:$O$13),1)</f>
        <v>1</v>
      </c>
      <c r="AJ1875" s="42">
        <f>IFERROR(LOOKUP(Y1875,打分卡!$F$14:$J$14,打分卡!$K$14:$O$14),1)</f>
        <v>2</v>
      </c>
      <c r="AK1875" s="42">
        <f>IFERROR(LOOKUP(W1875,打分卡!$F$15:$J$15,打分卡!$K$15:$O$15),1)</f>
        <v>2</v>
      </c>
      <c r="AL1875" s="45">
        <f t="shared" si="233"/>
        <v>1</v>
      </c>
      <c r="AM1875" s="42">
        <f>IFERROR(LOOKUP(Z1875,打分卡!$F$17:$H$17,打分卡!$K$17:$M$17),1)</f>
        <v>1</v>
      </c>
      <c r="AN1875" s="46">
        <f>(打分卡!$D$7*AC1875+打分卡!$D$8*AD1875+打分卡!$D$9*AE1875)/5</f>
        <v>8</v>
      </c>
      <c r="AO1875" s="46">
        <f>(打分卡!$D$10*AF1875+打分卡!$D$11*AG1875)/5</f>
        <v>4</v>
      </c>
      <c r="AP1875" s="46">
        <f>(打分卡!$D$12*AH1875+打分卡!$D$13*AI1875+打分卡!$D$14*AJ1875+打分卡!$D$15*AK1875)/5</f>
        <v>10.4</v>
      </c>
      <c r="AQ1875" s="46">
        <f>(打分卡!$D$16*AL1875+打分卡!$D$17*AM1875)/5</f>
        <v>2</v>
      </c>
      <c r="AR1875" s="48">
        <f t="shared" si="234"/>
        <v>24.4</v>
      </c>
      <c r="AS1875" s="45" t="str">
        <f t="shared" si="235"/>
        <v>未激活</v>
      </c>
      <c r="AT1875" s="45" t="str">
        <f t="shared" si="236"/>
        <v>连续下降-预警</v>
      </c>
      <c r="AU1875" s="45" t="str">
        <f t="shared" si="237"/>
        <v>唤醒：短信模板+首充补贴</v>
      </c>
    </row>
    <row r="1876" ht="15" customHeight="1" spans="1:47">
      <c r="A1876" s="30" t="s">
        <v>4741</v>
      </c>
      <c r="B1876" s="31" t="s">
        <v>4742</v>
      </c>
      <c r="C1876" s="31" t="s">
        <v>223</v>
      </c>
      <c r="D1876" s="31" t="s">
        <v>202</v>
      </c>
      <c r="E1876" s="31" t="s">
        <v>197</v>
      </c>
      <c r="F1876" s="30" t="s">
        <v>240</v>
      </c>
      <c r="G1876" s="31">
        <v>36</v>
      </c>
      <c r="H1876" s="31" t="s">
        <v>3535</v>
      </c>
      <c r="I1876" s="31" t="s">
        <v>302</v>
      </c>
      <c r="J1876" s="33">
        <v>0</v>
      </c>
      <c r="K1876" s="33">
        <v>0</v>
      </c>
      <c r="L1876" s="33">
        <v>0</v>
      </c>
      <c r="M1876" s="33">
        <f t="shared" si="232"/>
        <v>0</v>
      </c>
      <c r="N1876" s="34">
        <f t="shared" si="238"/>
        <v>0</v>
      </c>
      <c r="O1876" s="35">
        <f>SUM($M$2:M1876)</f>
        <v>190743600</v>
      </c>
      <c r="P1876" s="34">
        <f t="shared" si="239"/>
        <v>1</v>
      </c>
      <c r="Q1876" s="37">
        <v>0</v>
      </c>
      <c r="R1876" s="31">
        <v>0</v>
      </c>
      <c r="S1876" s="31">
        <v>0</v>
      </c>
      <c r="T1876" s="31">
        <v>0</v>
      </c>
      <c r="U1876" s="37">
        <v>0.7</v>
      </c>
      <c r="V1876" s="31">
        <v>14</v>
      </c>
      <c r="W1876" s="31">
        <v>2</v>
      </c>
      <c r="X1876" s="38">
        <v>44</v>
      </c>
      <c r="Y1876" s="31">
        <v>0</v>
      </c>
      <c r="Z1876" s="31">
        <v>0</v>
      </c>
      <c r="AA1876" s="31" t="s">
        <v>212</v>
      </c>
      <c r="AB1876" s="31" t="s">
        <v>220</v>
      </c>
      <c r="AC1876" s="41">
        <f>IFERROR(LOOKUP(M1876,打分卡!$F$7:$J$7,打分卡!$K$7:$O$7),1)</f>
        <v>1</v>
      </c>
      <c r="AD1876" s="41">
        <f>IFERROR(LOOKUP(S1876,打分卡!$F$8:$J$8,打分卡!$K$8:$O$8),1)</f>
        <v>1</v>
      </c>
      <c r="AE1876" s="41">
        <f>IFERROR(LOOKUP(T1876,打分卡!$F$9:$I$9,打分卡!$K$9:$N$9),1)</f>
        <v>1</v>
      </c>
      <c r="AF1876" s="41">
        <f>IFERROR(LOOKUP(Q1876,打分卡!$F$10:$J$10,打分卡!$K$10:$O$10),1)</f>
        <v>1</v>
      </c>
      <c r="AG1876" s="41">
        <f>IFERROR(LOOKUP(R1876,打分卡!$F$11:$J$11,打分卡!$K$11:$O$11),1)</f>
        <v>1</v>
      </c>
      <c r="AH1876" s="41">
        <f>IFERROR(LOOKUP(U1876,打分卡!$F$12:$J$12,打分卡!$K$12:$O$12),1)</f>
        <v>1</v>
      </c>
      <c r="AI1876" s="41">
        <f>IFERROR(LOOKUP(X1876,打分卡!$F$13:$J$13,打分卡!$K$13:$O$13),1)</f>
        <v>3</v>
      </c>
      <c r="AJ1876" s="41">
        <f>IFERROR(LOOKUP(Y1876,打分卡!$F$14:$J$14,打分卡!$K$14:$O$14),1)</f>
        <v>1</v>
      </c>
      <c r="AK1876" s="41">
        <f>IFERROR(LOOKUP(W1876,打分卡!$F$15:$J$15,打分卡!$K$15:$O$15),1)</f>
        <v>2</v>
      </c>
      <c r="AL1876" s="43">
        <f t="shared" si="233"/>
        <v>1</v>
      </c>
      <c r="AM1876" s="41">
        <f>IFERROR(LOOKUP(Z1876,打分卡!$F$17:$H$17,打分卡!$K$17:$M$17),1)</f>
        <v>1</v>
      </c>
      <c r="AN1876" s="44">
        <f>(打分卡!$D$7*AC1876+打分卡!$D$8*AD1876+打分卡!$D$9*AE1876)/5</f>
        <v>8</v>
      </c>
      <c r="AO1876" s="44">
        <f>(打分卡!$D$10*AF1876+打分卡!$D$11*AG1876)/5</f>
        <v>4</v>
      </c>
      <c r="AP1876" s="44">
        <f>(打分卡!$D$12*AH1876+打分卡!$D$13*AI1876+打分卡!$D$14*AJ1876+打分卡!$D$15*AK1876)/5</f>
        <v>10</v>
      </c>
      <c r="AQ1876" s="44">
        <f>(打分卡!$D$16*AL1876+打分卡!$D$17*AM1876)/5</f>
        <v>2</v>
      </c>
      <c r="AR1876" s="47">
        <f t="shared" si="234"/>
        <v>24</v>
      </c>
      <c r="AS1876" s="43" t="str">
        <f t="shared" si="235"/>
        <v>未激活</v>
      </c>
      <c r="AT1876" s="43" t="str">
        <f t="shared" si="236"/>
        <v>连续下降-预警</v>
      </c>
      <c r="AU1876" s="43" t="str">
        <f t="shared" si="237"/>
        <v>唤醒：短信模板+首充补贴</v>
      </c>
    </row>
    <row r="1877" ht="15" customHeight="1" spans="1:47">
      <c r="A1877" s="20" t="s">
        <v>4743</v>
      </c>
      <c r="B1877" s="22" t="s">
        <v>4744</v>
      </c>
      <c r="C1877" s="22" t="s">
        <v>223</v>
      </c>
      <c r="D1877" s="22" t="s">
        <v>190</v>
      </c>
      <c r="E1877" s="22" t="s">
        <v>197</v>
      </c>
      <c r="F1877" s="20" t="s">
        <v>3603</v>
      </c>
      <c r="G1877" s="22">
        <v>33</v>
      </c>
      <c r="H1877" s="22" t="s">
        <v>3535</v>
      </c>
      <c r="I1877" s="22" t="s">
        <v>302</v>
      </c>
      <c r="J1877" s="36">
        <v>0</v>
      </c>
      <c r="K1877" s="36">
        <v>0</v>
      </c>
      <c r="L1877" s="36">
        <v>0</v>
      </c>
      <c r="M1877" s="36">
        <f t="shared" si="232"/>
        <v>0</v>
      </c>
      <c r="N1877" s="34">
        <f t="shared" si="238"/>
        <v>0</v>
      </c>
      <c r="O1877" s="35">
        <f>SUM($M$2:M1877)</f>
        <v>190743600</v>
      </c>
      <c r="P1877" s="34">
        <f t="shared" si="239"/>
        <v>1</v>
      </c>
      <c r="Q1877" s="39">
        <v>0</v>
      </c>
      <c r="R1877" s="22">
        <v>0</v>
      </c>
      <c r="S1877" s="22">
        <v>0</v>
      </c>
      <c r="T1877" s="22">
        <v>0</v>
      </c>
      <c r="U1877" s="39">
        <v>3.5</v>
      </c>
      <c r="V1877" s="22">
        <v>0</v>
      </c>
      <c r="W1877" s="22">
        <v>0</v>
      </c>
      <c r="X1877" s="40">
        <v>9</v>
      </c>
      <c r="Y1877" s="22">
        <v>1</v>
      </c>
      <c r="Z1877" s="22">
        <v>0</v>
      </c>
      <c r="AA1877" s="22" t="s">
        <v>212</v>
      </c>
      <c r="AB1877" s="22" t="s">
        <v>220</v>
      </c>
      <c r="AC1877" s="42">
        <f>IFERROR(LOOKUP(M1877,打分卡!$F$7:$J$7,打分卡!$K$7:$O$7),1)</f>
        <v>1</v>
      </c>
      <c r="AD1877" s="42">
        <f>IFERROR(LOOKUP(S1877,打分卡!$F$8:$J$8,打分卡!$K$8:$O$8),1)</f>
        <v>1</v>
      </c>
      <c r="AE1877" s="42">
        <f>IFERROR(LOOKUP(T1877,打分卡!$F$9:$I$9,打分卡!$K$9:$N$9),1)</f>
        <v>1</v>
      </c>
      <c r="AF1877" s="42">
        <f>IFERROR(LOOKUP(Q1877,打分卡!$F$10:$J$10,打分卡!$K$10:$O$10),1)</f>
        <v>1</v>
      </c>
      <c r="AG1877" s="42">
        <f>IFERROR(LOOKUP(R1877,打分卡!$F$11:$J$11,打分卡!$K$11:$O$11),1)</f>
        <v>1</v>
      </c>
      <c r="AH1877" s="42">
        <f>IFERROR(LOOKUP(U1877,打分卡!$F$12:$J$12,打分卡!$K$12:$O$12),1)</f>
        <v>2</v>
      </c>
      <c r="AI1877" s="42">
        <f>IFERROR(LOOKUP(X1877,打分卡!$F$13:$J$13,打分卡!$K$13:$O$13),1)</f>
        <v>1</v>
      </c>
      <c r="AJ1877" s="42">
        <f>IFERROR(LOOKUP(Y1877,打分卡!$F$14:$J$14,打分卡!$K$14:$O$14),1)</f>
        <v>2</v>
      </c>
      <c r="AK1877" s="42">
        <f>IFERROR(LOOKUP(W1877,打分卡!$F$15:$J$15,打分卡!$K$15:$O$15),1)</f>
        <v>1</v>
      </c>
      <c r="AL1877" s="45">
        <f t="shared" si="233"/>
        <v>1</v>
      </c>
      <c r="AM1877" s="42">
        <f>IFERROR(LOOKUP(Z1877,打分卡!$F$17:$H$17,打分卡!$K$17:$M$17),1)</f>
        <v>1</v>
      </c>
      <c r="AN1877" s="46">
        <f>(打分卡!$D$7*AC1877+打分卡!$D$8*AD1877+打分卡!$D$9*AE1877)/5</f>
        <v>8</v>
      </c>
      <c r="AO1877" s="46">
        <f>(打分卡!$D$10*AF1877+打分卡!$D$11*AG1877)/5</f>
        <v>4</v>
      </c>
      <c r="AP1877" s="46">
        <f>(打分卡!$D$12*AH1877+打分卡!$D$13*AI1877+打分卡!$D$14*AJ1877+打分卡!$D$15*AK1877)/5</f>
        <v>9.6</v>
      </c>
      <c r="AQ1877" s="46">
        <f>(打分卡!$D$16*AL1877+打分卡!$D$17*AM1877)/5</f>
        <v>2</v>
      </c>
      <c r="AR1877" s="48">
        <f t="shared" si="234"/>
        <v>23.6</v>
      </c>
      <c r="AS1877" s="45" t="str">
        <f t="shared" si="235"/>
        <v>未激活</v>
      </c>
      <c r="AT1877" s="45" t="str">
        <f t="shared" si="236"/>
        <v>连续下降-预警</v>
      </c>
      <c r="AU1877" s="45" t="str">
        <f t="shared" si="237"/>
        <v>唤醒：短信模板+首充补贴</v>
      </c>
    </row>
    <row r="1878" ht="15" customHeight="1" spans="1:47">
      <c r="A1878" s="30" t="s">
        <v>4745</v>
      </c>
      <c r="B1878" s="31" t="s">
        <v>4746</v>
      </c>
      <c r="C1878" s="31" t="s">
        <v>223</v>
      </c>
      <c r="D1878" s="31" t="s">
        <v>252</v>
      </c>
      <c r="E1878" s="31" t="s">
        <v>197</v>
      </c>
      <c r="F1878" s="30" t="s">
        <v>2269</v>
      </c>
      <c r="G1878" s="31">
        <v>15</v>
      </c>
      <c r="H1878" s="31" t="s">
        <v>3535</v>
      </c>
      <c r="I1878" s="31" t="s">
        <v>302</v>
      </c>
      <c r="J1878" s="33">
        <v>0</v>
      </c>
      <c r="K1878" s="33">
        <v>0</v>
      </c>
      <c r="L1878" s="33">
        <v>0</v>
      </c>
      <c r="M1878" s="33">
        <f t="shared" si="232"/>
        <v>0</v>
      </c>
      <c r="N1878" s="34">
        <f t="shared" si="238"/>
        <v>0</v>
      </c>
      <c r="O1878" s="35">
        <f>SUM($M$2:M1878)</f>
        <v>190743600</v>
      </c>
      <c r="P1878" s="34">
        <f t="shared" si="239"/>
        <v>1</v>
      </c>
      <c r="Q1878" s="37">
        <v>0</v>
      </c>
      <c r="R1878" s="31">
        <v>0</v>
      </c>
      <c r="S1878" s="31">
        <v>0</v>
      </c>
      <c r="T1878" s="31">
        <v>0</v>
      </c>
      <c r="U1878" s="37">
        <v>39.1</v>
      </c>
      <c r="V1878" s="31">
        <v>15</v>
      </c>
      <c r="W1878" s="31">
        <v>1</v>
      </c>
      <c r="X1878" s="38">
        <v>62</v>
      </c>
      <c r="Y1878" s="31">
        <v>0</v>
      </c>
      <c r="Z1878" s="31">
        <v>0</v>
      </c>
      <c r="AA1878" s="31" t="s">
        <v>212</v>
      </c>
      <c r="AB1878" s="31" t="s">
        <v>220</v>
      </c>
      <c r="AC1878" s="41">
        <f>IFERROR(LOOKUP(M1878,打分卡!$F$7:$J$7,打分卡!$K$7:$O$7),1)</f>
        <v>1</v>
      </c>
      <c r="AD1878" s="41">
        <f>IFERROR(LOOKUP(S1878,打分卡!$F$8:$J$8,打分卡!$K$8:$O$8),1)</f>
        <v>1</v>
      </c>
      <c r="AE1878" s="41">
        <f>IFERROR(LOOKUP(T1878,打分卡!$F$9:$I$9,打分卡!$K$9:$N$9),1)</f>
        <v>1</v>
      </c>
      <c r="AF1878" s="41">
        <f>IFERROR(LOOKUP(Q1878,打分卡!$F$10:$J$10,打分卡!$K$10:$O$10),1)</f>
        <v>1</v>
      </c>
      <c r="AG1878" s="41">
        <f>IFERROR(LOOKUP(R1878,打分卡!$F$11:$J$11,打分卡!$K$11:$O$11),1)</f>
        <v>1</v>
      </c>
      <c r="AH1878" s="41">
        <f>IFERROR(LOOKUP(U1878,打分卡!$F$12:$J$12,打分卡!$K$12:$O$12),1)</f>
        <v>4</v>
      </c>
      <c r="AI1878" s="41">
        <f>IFERROR(LOOKUP(X1878,打分卡!$F$13:$J$13,打分卡!$K$13:$O$13),1)</f>
        <v>3</v>
      </c>
      <c r="AJ1878" s="41">
        <f>IFERROR(LOOKUP(Y1878,打分卡!$F$14:$J$14,打分卡!$K$14:$O$14),1)</f>
        <v>1</v>
      </c>
      <c r="AK1878" s="41">
        <f>IFERROR(LOOKUP(W1878,打分卡!$F$15:$J$15,打分卡!$K$15:$O$15),1)</f>
        <v>2</v>
      </c>
      <c r="AL1878" s="43">
        <f t="shared" si="233"/>
        <v>1</v>
      </c>
      <c r="AM1878" s="41">
        <f>IFERROR(LOOKUP(Z1878,打分卡!$F$17:$H$17,打分卡!$K$17:$M$17),1)</f>
        <v>1</v>
      </c>
      <c r="AN1878" s="44">
        <f>(打分卡!$D$7*AC1878+打分卡!$D$8*AD1878+打分卡!$D$9*AE1878)/5</f>
        <v>8</v>
      </c>
      <c r="AO1878" s="44">
        <f>(打分卡!$D$10*AF1878+打分卡!$D$11*AG1878)/5</f>
        <v>4</v>
      </c>
      <c r="AP1878" s="44">
        <f>(打分卡!$D$12*AH1878+打分卡!$D$13*AI1878+打分卡!$D$14*AJ1878+打分卡!$D$15*AK1878)/5</f>
        <v>17.2</v>
      </c>
      <c r="AQ1878" s="44">
        <f>(打分卡!$D$16*AL1878+打分卡!$D$17*AM1878)/5</f>
        <v>2</v>
      </c>
      <c r="AR1878" s="47">
        <f t="shared" si="234"/>
        <v>31.2</v>
      </c>
      <c r="AS1878" s="43" t="str">
        <f t="shared" si="235"/>
        <v>未激活</v>
      </c>
      <c r="AT1878" s="43" t="str">
        <f t="shared" si="236"/>
        <v>连续下降-预警</v>
      </c>
      <c r="AU1878" s="43" t="str">
        <f t="shared" si="237"/>
        <v>唤醒：短信模板+首充补贴</v>
      </c>
    </row>
    <row r="1879" ht="15" customHeight="1" spans="1:47">
      <c r="A1879" s="20" t="s">
        <v>4747</v>
      </c>
      <c r="B1879" s="22" t="s">
        <v>4748</v>
      </c>
      <c r="C1879" s="22" t="s">
        <v>218</v>
      </c>
      <c r="D1879" s="22" t="s">
        <v>202</v>
      </c>
      <c r="E1879" s="22" t="s">
        <v>181</v>
      </c>
      <c r="F1879" s="20" t="s">
        <v>3652</v>
      </c>
      <c r="G1879" s="22">
        <v>12</v>
      </c>
      <c r="H1879" s="22" t="s">
        <v>3535</v>
      </c>
      <c r="I1879" s="22" t="s">
        <v>302</v>
      </c>
      <c r="J1879" s="36">
        <v>0</v>
      </c>
      <c r="K1879" s="36">
        <v>0</v>
      </c>
      <c r="L1879" s="36">
        <v>0</v>
      </c>
      <c r="M1879" s="36">
        <f t="shared" si="232"/>
        <v>0</v>
      </c>
      <c r="N1879" s="34">
        <f t="shared" si="238"/>
        <v>0</v>
      </c>
      <c r="O1879" s="35">
        <f>SUM($M$2:M1879)</f>
        <v>190743600</v>
      </c>
      <c r="P1879" s="34">
        <f t="shared" si="239"/>
        <v>1</v>
      </c>
      <c r="Q1879" s="39">
        <v>0</v>
      </c>
      <c r="R1879" s="22">
        <v>0</v>
      </c>
      <c r="S1879" s="22">
        <v>0</v>
      </c>
      <c r="T1879" s="22">
        <v>0</v>
      </c>
      <c r="U1879" s="39">
        <v>41.1</v>
      </c>
      <c r="V1879" s="22">
        <v>2</v>
      </c>
      <c r="W1879" s="22">
        <v>1</v>
      </c>
      <c r="X1879" s="40">
        <v>38</v>
      </c>
      <c r="Y1879" s="22">
        <v>0</v>
      </c>
      <c r="Z1879" s="22">
        <v>0</v>
      </c>
      <c r="AA1879" s="22" t="s">
        <v>212</v>
      </c>
      <c r="AB1879" s="22" t="s">
        <v>220</v>
      </c>
      <c r="AC1879" s="42">
        <f>IFERROR(LOOKUP(M1879,打分卡!$F$7:$J$7,打分卡!$K$7:$O$7),1)</f>
        <v>1</v>
      </c>
      <c r="AD1879" s="42">
        <f>IFERROR(LOOKUP(S1879,打分卡!$F$8:$J$8,打分卡!$K$8:$O$8),1)</f>
        <v>1</v>
      </c>
      <c r="AE1879" s="42">
        <f>IFERROR(LOOKUP(T1879,打分卡!$F$9:$I$9,打分卡!$K$9:$N$9),1)</f>
        <v>1</v>
      </c>
      <c r="AF1879" s="42">
        <f>IFERROR(LOOKUP(Q1879,打分卡!$F$10:$J$10,打分卡!$K$10:$O$10),1)</f>
        <v>1</v>
      </c>
      <c r="AG1879" s="42">
        <f>IFERROR(LOOKUP(R1879,打分卡!$F$11:$J$11,打分卡!$K$11:$O$11),1)</f>
        <v>1</v>
      </c>
      <c r="AH1879" s="42">
        <f>IFERROR(LOOKUP(U1879,打分卡!$F$12:$J$12,打分卡!$K$12:$O$12),1)</f>
        <v>4</v>
      </c>
      <c r="AI1879" s="42">
        <f>IFERROR(LOOKUP(X1879,打分卡!$F$13:$J$13,打分卡!$K$13:$O$13),1)</f>
        <v>2</v>
      </c>
      <c r="AJ1879" s="42">
        <f>IFERROR(LOOKUP(Y1879,打分卡!$F$14:$J$14,打分卡!$K$14:$O$14),1)</f>
        <v>1</v>
      </c>
      <c r="AK1879" s="42">
        <f>IFERROR(LOOKUP(W1879,打分卡!$F$15:$J$15,打分卡!$K$15:$O$15),1)</f>
        <v>2</v>
      </c>
      <c r="AL1879" s="45">
        <f t="shared" si="233"/>
        <v>1</v>
      </c>
      <c r="AM1879" s="42">
        <f>IFERROR(LOOKUP(Z1879,打分卡!$F$17:$H$17,打分卡!$K$17:$M$17),1)</f>
        <v>1</v>
      </c>
      <c r="AN1879" s="46">
        <f>(打分卡!$D$7*AC1879+打分卡!$D$8*AD1879+打分卡!$D$9*AE1879)/5</f>
        <v>8</v>
      </c>
      <c r="AO1879" s="46">
        <f>(打分卡!$D$10*AF1879+打分卡!$D$11*AG1879)/5</f>
        <v>4</v>
      </c>
      <c r="AP1879" s="46">
        <f>(打分卡!$D$12*AH1879+打分卡!$D$13*AI1879+打分卡!$D$14*AJ1879+打分卡!$D$15*AK1879)/5</f>
        <v>15.6</v>
      </c>
      <c r="AQ1879" s="46">
        <f>(打分卡!$D$16*AL1879+打分卡!$D$17*AM1879)/5</f>
        <v>2</v>
      </c>
      <c r="AR1879" s="48">
        <f t="shared" si="234"/>
        <v>29.6</v>
      </c>
      <c r="AS1879" s="45" t="str">
        <f t="shared" si="235"/>
        <v>未激活</v>
      </c>
      <c r="AT1879" s="45" t="str">
        <f t="shared" si="236"/>
        <v>连续下降-预警</v>
      </c>
      <c r="AU1879" s="45" t="str">
        <f t="shared" si="237"/>
        <v>唤醒：短信模板+首充补贴</v>
      </c>
    </row>
    <row r="1880" ht="15" customHeight="1" spans="1:47">
      <c r="A1880" s="30" t="s">
        <v>4749</v>
      </c>
      <c r="B1880" s="31" t="s">
        <v>4750</v>
      </c>
      <c r="C1880" s="31" t="s">
        <v>209</v>
      </c>
      <c r="D1880" s="31" t="s">
        <v>190</v>
      </c>
      <c r="E1880" s="31" t="s">
        <v>181</v>
      </c>
      <c r="F1880" s="30" t="s">
        <v>4751</v>
      </c>
      <c r="G1880" s="31">
        <v>13</v>
      </c>
      <c r="H1880" s="31" t="s">
        <v>3535</v>
      </c>
      <c r="I1880" s="31" t="s">
        <v>302</v>
      </c>
      <c r="J1880" s="33">
        <v>0</v>
      </c>
      <c r="K1880" s="33">
        <v>0</v>
      </c>
      <c r="L1880" s="33">
        <v>0</v>
      </c>
      <c r="M1880" s="33">
        <f t="shared" si="232"/>
        <v>0</v>
      </c>
      <c r="N1880" s="34">
        <f t="shared" si="238"/>
        <v>0</v>
      </c>
      <c r="O1880" s="35">
        <f>SUM($M$2:M1880)</f>
        <v>190743600</v>
      </c>
      <c r="P1880" s="34">
        <f t="shared" si="239"/>
        <v>1</v>
      </c>
      <c r="Q1880" s="37">
        <v>0</v>
      </c>
      <c r="R1880" s="31">
        <v>0</v>
      </c>
      <c r="S1880" s="31">
        <v>0</v>
      </c>
      <c r="T1880" s="31">
        <v>0</v>
      </c>
      <c r="U1880" s="37">
        <v>8.6</v>
      </c>
      <c r="V1880" s="31">
        <v>4</v>
      </c>
      <c r="W1880" s="31">
        <v>1</v>
      </c>
      <c r="X1880" s="38">
        <v>12</v>
      </c>
      <c r="Y1880" s="31">
        <v>0</v>
      </c>
      <c r="Z1880" s="31">
        <v>0</v>
      </c>
      <c r="AA1880" s="31" t="s">
        <v>212</v>
      </c>
      <c r="AB1880" s="31" t="s">
        <v>220</v>
      </c>
      <c r="AC1880" s="41">
        <f>IFERROR(LOOKUP(M1880,打分卡!$F$7:$J$7,打分卡!$K$7:$O$7),1)</f>
        <v>1</v>
      </c>
      <c r="AD1880" s="41">
        <f>IFERROR(LOOKUP(S1880,打分卡!$F$8:$J$8,打分卡!$K$8:$O$8),1)</f>
        <v>1</v>
      </c>
      <c r="AE1880" s="41">
        <f>IFERROR(LOOKUP(T1880,打分卡!$F$9:$I$9,打分卡!$K$9:$N$9),1)</f>
        <v>1</v>
      </c>
      <c r="AF1880" s="41">
        <f>IFERROR(LOOKUP(Q1880,打分卡!$F$10:$J$10,打分卡!$K$10:$O$10),1)</f>
        <v>1</v>
      </c>
      <c r="AG1880" s="41">
        <f>IFERROR(LOOKUP(R1880,打分卡!$F$11:$J$11,打分卡!$K$11:$O$11),1)</f>
        <v>1</v>
      </c>
      <c r="AH1880" s="41">
        <f>IFERROR(LOOKUP(U1880,打分卡!$F$12:$J$12,打分卡!$K$12:$O$12),1)</f>
        <v>2</v>
      </c>
      <c r="AI1880" s="41">
        <f>IFERROR(LOOKUP(X1880,打分卡!$F$13:$J$13,打分卡!$K$13:$O$13),1)</f>
        <v>1</v>
      </c>
      <c r="AJ1880" s="41">
        <f>IFERROR(LOOKUP(Y1880,打分卡!$F$14:$J$14,打分卡!$K$14:$O$14),1)</f>
        <v>1</v>
      </c>
      <c r="AK1880" s="41">
        <f>IFERROR(LOOKUP(W1880,打分卡!$F$15:$J$15,打分卡!$K$15:$O$15),1)</f>
        <v>2</v>
      </c>
      <c r="AL1880" s="43">
        <f t="shared" si="233"/>
        <v>1</v>
      </c>
      <c r="AM1880" s="41">
        <f>IFERROR(LOOKUP(Z1880,打分卡!$F$17:$H$17,打分卡!$K$17:$M$17),1)</f>
        <v>1</v>
      </c>
      <c r="AN1880" s="44">
        <f>(打分卡!$D$7*AC1880+打分卡!$D$8*AD1880+打分卡!$D$9*AE1880)/5</f>
        <v>8</v>
      </c>
      <c r="AO1880" s="44">
        <f>(打分卡!$D$10*AF1880+打分卡!$D$11*AG1880)/5</f>
        <v>4</v>
      </c>
      <c r="AP1880" s="44">
        <f>(打分卡!$D$12*AH1880+打分卡!$D$13*AI1880+打分卡!$D$14*AJ1880+打分卡!$D$15*AK1880)/5</f>
        <v>9.2</v>
      </c>
      <c r="AQ1880" s="44">
        <f>(打分卡!$D$16*AL1880+打分卡!$D$17*AM1880)/5</f>
        <v>2</v>
      </c>
      <c r="AR1880" s="47">
        <f t="shared" si="234"/>
        <v>23.2</v>
      </c>
      <c r="AS1880" s="43" t="str">
        <f t="shared" si="235"/>
        <v>未激活</v>
      </c>
      <c r="AT1880" s="43" t="str">
        <f t="shared" si="236"/>
        <v>连续下降-预警</v>
      </c>
      <c r="AU1880" s="43" t="str">
        <f t="shared" si="237"/>
        <v>唤醒：短信模板+首充补贴</v>
      </c>
    </row>
    <row r="1881" ht="15" customHeight="1" spans="1:47">
      <c r="A1881" s="20" t="s">
        <v>4752</v>
      </c>
      <c r="B1881" s="22" t="s">
        <v>4753</v>
      </c>
      <c r="C1881" s="22" t="s">
        <v>223</v>
      </c>
      <c r="D1881" s="22" t="s">
        <v>235</v>
      </c>
      <c r="E1881" s="22" t="s">
        <v>181</v>
      </c>
      <c r="F1881" s="20" t="s">
        <v>4754</v>
      </c>
      <c r="G1881" s="22">
        <v>35</v>
      </c>
      <c r="H1881" s="22" t="s">
        <v>3535</v>
      </c>
      <c r="I1881" s="22" t="s">
        <v>302</v>
      </c>
      <c r="J1881" s="36">
        <v>0</v>
      </c>
      <c r="K1881" s="36">
        <v>0</v>
      </c>
      <c r="L1881" s="36">
        <v>0</v>
      </c>
      <c r="M1881" s="36">
        <f t="shared" si="232"/>
        <v>0</v>
      </c>
      <c r="N1881" s="34">
        <f t="shared" si="238"/>
        <v>0</v>
      </c>
      <c r="O1881" s="35">
        <f>SUM($M$2:M1881)</f>
        <v>190743600</v>
      </c>
      <c r="P1881" s="34">
        <f t="shared" si="239"/>
        <v>1</v>
      </c>
      <c r="Q1881" s="39">
        <v>0</v>
      </c>
      <c r="R1881" s="22">
        <v>0</v>
      </c>
      <c r="S1881" s="22">
        <v>0</v>
      </c>
      <c r="T1881" s="22">
        <v>0</v>
      </c>
      <c r="U1881" s="39">
        <v>8.9</v>
      </c>
      <c r="V1881" s="22">
        <v>6</v>
      </c>
      <c r="W1881" s="22">
        <v>0</v>
      </c>
      <c r="X1881" s="40">
        <v>6</v>
      </c>
      <c r="Y1881" s="22">
        <v>0</v>
      </c>
      <c r="Z1881" s="22">
        <v>0</v>
      </c>
      <c r="AA1881" s="22" t="s">
        <v>212</v>
      </c>
      <c r="AB1881" s="22" t="s">
        <v>220</v>
      </c>
      <c r="AC1881" s="42">
        <f>IFERROR(LOOKUP(M1881,打分卡!$F$7:$J$7,打分卡!$K$7:$O$7),1)</f>
        <v>1</v>
      </c>
      <c r="AD1881" s="42">
        <f>IFERROR(LOOKUP(S1881,打分卡!$F$8:$J$8,打分卡!$K$8:$O$8),1)</f>
        <v>1</v>
      </c>
      <c r="AE1881" s="42">
        <f>IFERROR(LOOKUP(T1881,打分卡!$F$9:$I$9,打分卡!$K$9:$N$9),1)</f>
        <v>1</v>
      </c>
      <c r="AF1881" s="42">
        <f>IFERROR(LOOKUP(Q1881,打分卡!$F$10:$J$10,打分卡!$K$10:$O$10),1)</f>
        <v>1</v>
      </c>
      <c r="AG1881" s="42">
        <f>IFERROR(LOOKUP(R1881,打分卡!$F$11:$J$11,打分卡!$K$11:$O$11),1)</f>
        <v>1</v>
      </c>
      <c r="AH1881" s="42">
        <f>IFERROR(LOOKUP(U1881,打分卡!$F$12:$J$12,打分卡!$K$12:$O$12),1)</f>
        <v>2</v>
      </c>
      <c r="AI1881" s="42">
        <f>IFERROR(LOOKUP(X1881,打分卡!$F$13:$J$13,打分卡!$K$13:$O$13),1)</f>
        <v>1</v>
      </c>
      <c r="AJ1881" s="42">
        <f>IFERROR(LOOKUP(Y1881,打分卡!$F$14:$J$14,打分卡!$K$14:$O$14),1)</f>
        <v>1</v>
      </c>
      <c r="AK1881" s="42">
        <f>IFERROR(LOOKUP(W1881,打分卡!$F$15:$J$15,打分卡!$K$15:$O$15),1)</f>
        <v>1</v>
      </c>
      <c r="AL1881" s="45">
        <f t="shared" si="233"/>
        <v>1</v>
      </c>
      <c r="AM1881" s="42">
        <f>IFERROR(LOOKUP(Z1881,打分卡!$F$17:$H$17,打分卡!$K$17:$M$17),1)</f>
        <v>1</v>
      </c>
      <c r="AN1881" s="46">
        <f>(打分卡!$D$7*AC1881+打分卡!$D$8*AD1881+打分卡!$D$9*AE1881)/5</f>
        <v>8</v>
      </c>
      <c r="AO1881" s="46">
        <f>(打分卡!$D$10*AF1881+打分卡!$D$11*AG1881)/5</f>
        <v>4</v>
      </c>
      <c r="AP1881" s="46">
        <f>(打分卡!$D$12*AH1881+打分卡!$D$13*AI1881+打分卡!$D$14*AJ1881+打分卡!$D$15*AK1881)/5</f>
        <v>8.4</v>
      </c>
      <c r="AQ1881" s="46">
        <f>(打分卡!$D$16*AL1881+打分卡!$D$17*AM1881)/5</f>
        <v>2</v>
      </c>
      <c r="AR1881" s="48">
        <f t="shared" si="234"/>
        <v>22.4</v>
      </c>
      <c r="AS1881" s="45" t="str">
        <f t="shared" si="235"/>
        <v>未激活</v>
      </c>
      <c r="AT1881" s="45" t="str">
        <f t="shared" si="236"/>
        <v>连续下降-预警</v>
      </c>
      <c r="AU1881" s="45" t="str">
        <f t="shared" si="237"/>
        <v>唤醒：短信模板+首充补贴</v>
      </c>
    </row>
    <row r="1882" ht="15" customHeight="1" spans="1:47">
      <c r="A1882" s="30" t="s">
        <v>4755</v>
      </c>
      <c r="B1882" s="31" t="s">
        <v>4756</v>
      </c>
      <c r="C1882" s="31" t="s">
        <v>218</v>
      </c>
      <c r="D1882" s="31" t="s">
        <v>190</v>
      </c>
      <c r="E1882" s="31" t="s">
        <v>181</v>
      </c>
      <c r="F1882" s="30" t="s">
        <v>2428</v>
      </c>
      <c r="G1882" s="31">
        <v>14</v>
      </c>
      <c r="H1882" s="31" t="s">
        <v>3535</v>
      </c>
      <c r="I1882" s="31" t="s">
        <v>302</v>
      </c>
      <c r="J1882" s="33">
        <v>0</v>
      </c>
      <c r="K1882" s="33">
        <v>0</v>
      </c>
      <c r="L1882" s="33">
        <v>0</v>
      </c>
      <c r="M1882" s="33">
        <f t="shared" si="232"/>
        <v>0</v>
      </c>
      <c r="N1882" s="34">
        <f t="shared" si="238"/>
        <v>0</v>
      </c>
      <c r="O1882" s="35">
        <f>SUM($M$2:M1882)</f>
        <v>190743600</v>
      </c>
      <c r="P1882" s="34">
        <f t="shared" si="239"/>
        <v>1</v>
      </c>
      <c r="Q1882" s="37">
        <v>0</v>
      </c>
      <c r="R1882" s="31">
        <v>0</v>
      </c>
      <c r="S1882" s="31">
        <v>0</v>
      </c>
      <c r="T1882" s="31">
        <v>0</v>
      </c>
      <c r="U1882" s="37">
        <v>14.8</v>
      </c>
      <c r="V1882" s="31">
        <v>2</v>
      </c>
      <c r="W1882" s="31">
        <v>0</v>
      </c>
      <c r="X1882" s="38">
        <v>20</v>
      </c>
      <c r="Y1882" s="31">
        <v>1</v>
      </c>
      <c r="Z1882" s="31">
        <v>0</v>
      </c>
      <c r="AA1882" s="31" t="s">
        <v>212</v>
      </c>
      <c r="AB1882" s="31" t="s">
        <v>220</v>
      </c>
      <c r="AC1882" s="41">
        <f>IFERROR(LOOKUP(M1882,打分卡!$F$7:$J$7,打分卡!$K$7:$O$7),1)</f>
        <v>1</v>
      </c>
      <c r="AD1882" s="41">
        <f>IFERROR(LOOKUP(S1882,打分卡!$F$8:$J$8,打分卡!$K$8:$O$8),1)</f>
        <v>1</v>
      </c>
      <c r="AE1882" s="41">
        <f>IFERROR(LOOKUP(T1882,打分卡!$F$9:$I$9,打分卡!$K$9:$N$9),1)</f>
        <v>1</v>
      </c>
      <c r="AF1882" s="41">
        <f>IFERROR(LOOKUP(Q1882,打分卡!$F$10:$J$10,打分卡!$K$10:$O$10),1)</f>
        <v>1</v>
      </c>
      <c r="AG1882" s="41">
        <f>IFERROR(LOOKUP(R1882,打分卡!$F$11:$J$11,打分卡!$K$11:$O$11),1)</f>
        <v>1</v>
      </c>
      <c r="AH1882" s="41">
        <f>IFERROR(LOOKUP(U1882,打分卡!$F$12:$J$12,打分卡!$K$12:$O$12),1)</f>
        <v>3</v>
      </c>
      <c r="AI1882" s="41">
        <f>IFERROR(LOOKUP(X1882,打分卡!$F$13:$J$13,打分卡!$K$13:$O$13),1)</f>
        <v>2</v>
      </c>
      <c r="AJ1882" s="41">
        <f>IFERROR(LOOKUP(Y1882,打分卡!$F$14:$J$14,打分卡!$K$14:$O$14),1)</f>
        <v>2</v>
      </c>
      <c r="AK1882" s="41">
        <f>IFERROR(LOOKUP(W1882,打分卡!$F$15:$J$15,打分卡!$K$15:$O$15),1)</f>
        <v>1</v>
      </c>
      <c r="AL1882" s="43">
        <f t="shared" si="233"/>
        <v>1</v>
      </c>
      <c r="AM1882" s="41">
        <f>IFERROR(LOOKUP(Z1882,打分卡!$F$17:$H$17,打分卡!$K$17:$M$17),1)</f>
        <v>1</v>
      </c>
      <c r="AN1882" s="44">
        <f>(打分卡!$D$7*AC1882+打分卡!$D$8*AD1882+打分卡!$D$9*AE1882)/5</f>
        <v>8</v>
      </c>
      <c r="AO1882" s="44">
        <f>(打分卡!$D$10*AF1882+打分卡!$D$11*AG1882)/5</f>
        <v>4</v>
      </c>
      <c r="AP1882" s="44">
        <f>(打分卡!$D$12*AH1882+打分卡!$D$13*AI1882+打分卡!$D$14*AJ1882+打分卡!$D$15*AK1882)/5</f>
        <v>13.6</v>
      </c>
      <c r="AQ1882" s="44">
        <f>(打分卡!$D$16*AL1882+打分卡!$D$17*AM1882)/5</f>
        <v>2</v>
      </c>
      <c r="AR1882" s="47">
        <f t="shared" si="234"/>
        <v>27.6</v>
      </c>
      <c r="AS1882" s="43" t="str">
        <f t="shared" si="235"/>
        <v>未激活</v>
      </c>
      <c r="AT1882" s="43" t="str">
        <f t="shared" si="236"/>
        <v>连续下降-预警</v>
      </c>
      <c r="AU1882" s="43" t="str">
        <f t="shared" si="237"/>
        <v>唤醒：短信模板+首充补贴</v>
      </c>
    </row>
    <row r="1883" ht="15" customHeight="1" spans="1:47">
      <c r="A1883" s="20" t="s">
        <v>4757</v>
      </c>
      <c r="B1883" s="22" t="s">
        <v>4758</v>
      </c>
      <c r="C1883" s="22" t="s">
        <v>195</v>
      </c>
      <c r="D1883" s="22" t="s">
        <v>202</v>
      </c>
      <c r="E1883" s="22" t="s">
        <v>197</v>
      </c>
      <c r="F1883" s="20" t="s">
        <v>2266</v>
      </c>
      <c r="G1883" s="22">
        <v>14</v>
      </c>
      <c r="H1883" s="22" t="s">
        <v>3535</v>
      </c>
      <c r="I1883" s="22" t="s">
        <v>302</v>
      </c>
      <c r="J1883" s="36">
        <v>0</v>
      </c>
      <c r="K1883" s="36">
        <v>0</v>
      </c>
      <c r="L1883" s="36">
        <v>0</v>
      </c>
      <c r="M1883" s="36">
        <f t="shared" si="232"/>
        <v>0</v>
      </c>
      <c r="N1883" s="34">
        <f t="shared" si="238"/>
        <v>0</v>
      </c>
      <c r="O1883" s="35">
        <f>SUM($M$2:M1883)</f>
        <v>190743600</v>
      </c>
      <c r="P1883" s="34">
        <f t="shared" si="239"/>
        <v>1</v>
      </c>
      <c r="Q1883" s="39">
        <v>0</v>
      </c>
      <c r="R1883" s="22">
        <v>0</v>
      </c>
      <c r="S1883" s="22">
        <v>0</v>
      </c>
      <c r="T1883" s="22">
        <v>0</v>
      </c>
      <c r="U1883" s="39">
        <v>3.5</v>
      </c>
      <c r="V1883" s="22">
        <v>4</v>
      </c>
      <c r="W1883" s="22">
        <v>1</v>
      </c>
      <c r="X1883" s="40">
        <v>26</v>
      </c>
      <c r="Y1883" s="22">
        <v>0</v>
      </c>
      <c r="Z1883" s="22">
        <v>0</v>
      </c>
      <c r="AA1883" s="22" t="s">
        <v>212</v>
      </c>
      <c r="AB1883" s="22" t="s">
        <v>220</v>
      </c>
      <c r="AC1883" s="42">
        <f>IFERROR(LOOKUP(M1883,打分卡!$F$7:$J$7,打分卡!$K$7:$O$7),1)</f>
        <v>1</v>
      </c>
      <c r="AD1883" s="42">
        <f>IFERROR(LOOKUP(S1883,打分卡!$F$8:$J$8,打分卡!$K$8:$O$8),1)</f>
        <v>1</v>
      </c>
      <c r="AE1883" s="42">
        <f>IFERROR(LOOKUP(T1883,打分卡!$F$9:$I$9,打分卡!$K$9:$N$9),1)</f>
        <v>1</v>
      </c>
      <c r="AF1883" s="42">
        <f>IFERROR(LOOKUP(Q1883,打分卡!$F$10:$J$10,打分卡!$K$10:$O$10),1)</f>
        <v>1</v>
      </c>
      <c r="AG1883" s="42">
        <f>IFERROR(LOOKUP(R1883,打分卡!$F$11:$J$11,打分卡!$K$11:$O$11),1)</f>
        <v>1</v>
      </c>
      <c r="AH1883" s="42">
        <f>IFERROR(LOOKUP(U1883,打分卡!$F$12:$J$12,打分卡!$K$12:$O$12),1)</f>
        <v>2</v>
      </c>
      <c r="AI1883" s="42">
        <f>IFERROR(LOOKUP(X1883,打分卡!$F$13:$J$13,打分卡!$K$13:$O$13),1)</f>
        <v>2</v>
      </c>
      <c r="AJ1883" s="42">
        <f>IFERROR(LOOKUP(Y1883,打分卡!$F$14:$J$14,打分卡!$K$14:$O$14),1)</f>
        <v>1</v>
      </c>
      <c r="AK1883" s="42">
        <f>IFERROR(LOOKUP(W1883,打分卡!$F$15:$J$15,打分卡!$K$15:$O$15),1)</f>
        <v>2</v>
      </c>
      <c r="AL1883" s="45">
        <f t="shared" si="233"/>
        <v>1</v>
      </c>
      <c r="AM1883" s="42">
        <f>IFERROR(LOOKUP(Z1883,打分卡!$F$17:$H$17,打分卡!$K$17:$M$17),1)</f>
        <v>1</v>
      </c>
      <c r="AN1883" s="46">
        <f>(打分卡!$D$7*AC1883+打分卡!$D$8*AD1883+打分卡!$D$9*AE1883)/5</f>
        <v>8</v>
      </c>
      <c r="AO1883" s="46">
        <f>(打分卡!$D$10*AF1883+打分卡!$D$11*AG1883)/5</f>
        <v>4</v>
      </c>
      <c r="AP1883" s="46">
        <f>(打分卡!$D$12*AH1883+打分卡!$D$13*AI1883+打分卡!$D$14*AJ1883+打分卡!$D$15*AK1883)/5</f>
        <v>10.8</v>
      </c>
      <c r="AQ1883" s="46">
        <f>(打分卡!$D$16*AL1883+打分卡!$D$17*AM1883)/5</f>
        <v>2</v>
      </c>
      <c r="AR1883" s="48">
        <f t="shared" si="234"/>
        <v>24.8</v>
      </c>
      <c r="AS1883" s="45" t="str">
        <f t="shared" si="235"/>
        <v>未激活</v>
      </c>
      <c r="AT1883" s="45" t="str">
        <f t="shared" si="236"/>
        <v>连续下降-预警</v>
      </c>
      <c r="AU1883" s="45" t="str">
        <f t="shared" si="237"/>
        <v>唤醒：短信模板+首充补贴</v>
      </c>
    </row>
    <row r="1884" ht="15" customHeight="1" spans="1:47">
      <c r="A1884" s="30" t="s">
        <v>4759</v>
      </c>
      <c r="B1884" s="31" t="s">
        <v>4760</v>
      </c>
      <c r="C1884" s="31" t="s">
        <v>223</v>
      </c>
      <c r="D1884" s="31" t="s">
        <v>227</v>
      </c>
      <c r="E1884" s="31" t="s">
        <v>197</v>
      </c>
      <c r="F1884" s="30" t="s">
        <v>4761</v>
      </c>
      <c r="G1884" s="31">
        <v>32</v>
      </c>
      <c r="H1884" s="31" t="s">
        <v>3535</v>
      </c>
      <c r="I1884" s="31" t="s">
        <v>302</v>
      </c>
      <c r="J1884" s="33">
        <v>0</v>
      </c>
      <c r="K1884" s="33">
        <v>0</v>
      </c>
      <c r="L1884" s="33">
        <v>0</v>
      </c>
      <c r="M1884" s="33">
        <f t="shared" si="232"/>
        <v>0</v>
      </c>
      <c r="N1884" s="34">
        <f t="shared" si="238"/>
        <v>0</v>
      </c>
      <c r="O1884" s="35">
        <f>SUM($M$2:M1884)</f>
        <v>190743600</v>
      </c>
      <c r="P1884" s="34">
        <f t="shared" si="239"/>
        <v>1</v>
      </c>
      <c r="Q1884" s="37">
        <v>0</v>
      </c>
      <c r="R1884" s="31">
        <v>0</v>
      </c>
      <c r="S1884" s="31">
        <v>0</v>
      </c>
      <c r="T1884" s="31">
        <v>0</v>
      </c>
      <c r="U1884" s="37">
        <v>2.5</v>
      </c>
      <c r="V1884" s="31">
        <v>14</v>
      </c>
      <c r="W1884" s="31">
        <v>0</v>
      </c>
      <c r="X1884" s="38">
        <v>11</v>
      </c>
      <c r="Y1884" s="31">
        <v>1</v>
      </c>
      <c r="Z1884" s="31">
        <v>0</v>
      </c>
      <c r="AA1884" s="31" t="s">
        <v>212</v>
      </c>
      <c r="AB1884" s="31" t="s">
        <v>220</v>
      </c>
      <c r="AC1884" s="41">
        <f>IFERROR(LOOKUP(M1884,打分卡!$F$7:$J$7,打分卡!$K$7:$O$7),1)</f>
        <v>1</v>
      </c>
      <c r="AD1884" s="41">
        <f>IFERROR(LOOKUP(S1884,打分卡!$F$8:$J$8,打分卡!$K$8:$O$8),1)</f>
        <v>1</v>
      </c>
      <c r="AE1884" s="41">
        <f>IFERROR(LOOKUP(T1884,打分卡!$F$9:$I$9,打分卡!$K$9:$N$9),1)</f>
        <v>1</v>
      </c>
      <c r="AF1884" s="41">
        <f>IFERROR(LOOKUP(Q1884,打分卡!$F$10:$J$10,打分卡!$K$10:$O$10),1)</f>
        <v>1</v>
      </c>
      <c r="AG1884" s="41">
        <f>IFERROR(LOOKUP(R1884,打分卡!$F$11:$J$11,打分卡!$K$11:$O$11),1)</f>
        <v>1</v>
      </c>
      <c r="AH1884" s="41">
        <f>IFERROR(LOOKUP(U1884,打分卡!$F$12:$J$12,打分卡!$K$12:$O$12),1)</f>
        <v>1</v>
      </c>
      <c r="AI1884" s="41">
        <f>IFERROR(LOOKUP(X1884,打分卡!$F$13:$J$13,打分卡!$K$13:$O$13),1)</f>
        <v>1</v>
      </c>
      <c r="AJ1884" s="41">
        <f>IFERROR(LOOKUP(Y1884,打分卡!$F$14:$J$14,打分卡!$K$14:$O$14),1)</f>
        <v>2</v>
      </c>
      <c r="AK1884" s="41">
        <f>IFERROR(LOOKUP(W1884,打分卡!$F$15:$J$15,打分卡!$K$15:$O$15),1)</f>
        <v>1</v>
      </c>
      <c r="AL1884" s="43">
        <f t="shared" si="233"/>
        <v>1</v>
      </c>
      <c r="AM1884" s="41">
        <f>IFERROR(LOOKUP(Z1884,打分卡!$F$17:$H$17,打分卡!$K$17:$M$17),1)</f>
        <v>1</v>
      </c>
      <c r="AN1884" s="44">
        <f>(打分卡!$D$7*AC1884+打分卡!$D$8*AD1884+打分卡!$D$9*AE1884)/5</f>
        <v>8</v>
      </c>
      <c r="AO1884" s="44">
        <f>(打分卡!$D$10*AF1884+打分卡!$D$11*AG1884)/5</f>
        <v>4</v>
      </c>
      <c r="AP1884" s="44">
        <f>(打分卡!$D$12*AH1884+打分卡!$D$13*AI1884+打分卡!$D$14*AJ1884+打分卡!$D$15*AK1884)/5</f>
        <v>7.2</v>
      </c>
      <c r="AQ1884" s="44">
        <f>(打分卡!$D$16*AL1884+打分卡!$D$17*AM1884)/5</f>
        <v>2</v>
      </c>
      <c r="AR1884" s="47">
        <f t="shared" si="234"/>
        <v>21.2</v>
      </c>
      <c r="AS1884" s="43" t="str">
        <f t="shared" si="235"/>
        <v>未激活</v>
      </c>
      <c r="AT1884" s="43" t="str">
        <f t="shared" si="236"/>
        <v>连续下降-预警</v>
      </c>
      <c r="AU1884" s="43" t="str">
        <f t="shared" si="237"/>
        <v>唤醒：短信模板+首充补贴</v>
      </c>
    </row>
    <row r="1885" ht="15" customHeight="1" spans="1:47">
      <c r="A1885" s="20" t="s">
        <v>4762</v>
      </c>
      <c r="B1885" s="22" t="s">
        <v>4763</v>
      </c>
      <c r="C1885" s="22" t="s">
        <v>179</v>
      </c>
      <c r="D1885" s="22" t="s">
        <v>196</v>
      </c>
      <c r="E1885" s="22" t="s">
        <v>197</v>
      </c>
      <c r="F1885" s="20" t="s">
        <v>454</v>
      </c>
      <c r="G1885" s="22">
        <v>23</v>
      </c>
      <c r="H1885" s="22" t="s">
        <v>3535</v>
      </c>
      <c r="I1885" s="22" t="s">
        <v>302</v>
      </c>
      <c r="J1885" s="36">
        <v>0</v>
      </c>
      <c r="K1885" s="36">
        <v>0</v>
      </c>
      <c r="L1885" s="36">
        <v>0</v>
      </c>
      <c r="M1885" s="36">
        <f t="shared" si="232"/>
        <v>0</v>
      </c>
      <c r="N1885" s="34">
        <f t="shared" si="238"/>
        <v>0</v>
      </c>
      <c r="O1885" s="35">
        <f>SUM($M$2:M1885)</f>
        <v>190743600</v>
      </c>
      <c r="P1885" s="34">
        <f t="shared" si="239"/>
        <v>1</v>
      </c>
      <c r="Q1885" s="39">
        <v>0</v>
      </c>
      <c r="R1885" s="22">
        <v>0</v>
      </c>
      <c r="S1885" s="22">
        <v>0</v>
      </c>
      <c r="T1885" s="22">
        <v>0</v>
      </c>
      <c r="U1885" s="39">
        <v>3.8</v>
      </c>
      <c r="V1885" s="22">
        <v>4</v>
      </c>
      <c r="W1885" s="22">
        <v>2</v>
      </c>
      <c r="X1885" s="40">
        <v>26</v>
      </c>
      <c r="Y1885" s="22">
        <v>1</v>
      </c>
      <c r="Z1885" s="22">
        <v>0</v>
      </c>
      <c r="AA1885" s="22" t="s">
        <v>212</v>
      </c>
      <c r="AB1885" s="22" t="s">
        <v>220</v>
      </c>
      <c r="AC1885" s="42">
        <f>IFERROR(LOOKUP(M1885,打分卡!$F$7:$J$7,打分卡!$K$7:$O$7),1)</f>
        <v>1</v>
      </c>
      <c r="AD1885" s="42">
        <f>IFERROR(LOOKUP(S1885,打分卡!$F$8:$J$8,打分卡!$K$8:$O$8),1)</f>
        <v>1</v>
      </c>
      <c r="AE1885" s="42">
        <f>IFERROR(LOOKUP(T1885,打分卡!$F$9:$I$9,打分卡!$K$9:$N$9),1)</f>
        <v>1</v>
      </c>
      <c r="AF1885" s="42">
        <f>IFERROR(LOOKUP(Q1885,打分卡!$F$10:$J$10,打分卡!$K$10:$O$10),1)</f>
        <v>1</v>
      </c>
      <c r="AG1885" s="42">
        <f>IFERROR(LOOKUP(R1885,打分卡!$F$11:$J$11,打分卡!$K$11:$O$11),1)</f>
        <v>1</v>
      </c>
      <c r="AH1885" s="42">
        <f>IFERROR(LOOKUP(U1885,打分卡!$F$12:$J$12,打分卡!$K$12:$O$12),1)</f>
        <v>2</v>
      </c>
      <c r="AI1885" s="42">
        <f>IFERROR(LOOKUP(X1885,打分卡!$F$13:$J$13,打分卡!$K$13:$O$13),1)</f>
        <v>2</v>
      </c>
      <c r="AJ1885" s="42">
        <f>IFERROR(LOOKUP(Y1885,打分卡!$F$14:$J$14,打分卡!$K$14:$O$14),1)</f>
        <v>2</v>
      </c>
      <c r="AK1885" s="42">
        <f>IFERROR(LOOKUP(W1885,打分卡!$F$15:$J$15,打分卡!$K$15:$O$15),1)</f>
        <v>2</v>
      </c>
      <c r="AL1885" s="45">
        <f t="shared" si="233"/>
        <v>1</v>
      </c>
      <c r="AM1885" s="42">
        <f>IFERROR(LOOKUP(Z1885,打分卡!$F$17:$H$17,打分卡!$K$17:$M$17),1)</f>
        <v>1</v>
      </c>
      <c r="AN1885" s="46">
        <f>(打分卡!$D$7*AC1885+打分卡!$D$8*AD1885+打分卡!$D$9*AE1885)/5</f>
        <v>8</v>
      </c>
      <c r="AO1885" s="46">
        <f>(打分卡!$D$10*AF1885+打分卡!$D$11*AG1885)/5</f>
        <v>4</v>
      </c>
      <c r="AP1885" s="46">
        <f>(打分卡!$D$12*AH1885+打分卡!$D$13*AI1885+打分卡!$D$14*AJ1885+打分卡!$D$15*AK1885)/5</f>
        <v>12</v>
      </c>
      <c r="AQ1885" s="46">
        <f>(打分卡!$D$16*AL1885+打分卡!$D$17*AM1885)/5</f>
        <v>2</v>
      </c>
      <c r="AR1885" s="48">
        <f t="shared" si="234"/>
        <v>26</v>
      </c>
      <c r="AS1885" s="45" t="str">
        <f t="shared" si="235"/>
        <v>未激活</v>
      </c>
      <c r="AT1885" s="45" t="str">
        <f t="shared" si="236"/>
        <v>连续下降-预警</v>
      </c>
      <c r="AU1885" s="45" t="str">
        <f t="shared" si="237"/>
        <v>唤醒：短信模板+首充补贴</v>
      </c>
    </row>
    <row r="1886" ht="15" customHeight="1" spans="1:47">
      <c r="A1886" s="30" t="s">
        <v>4764</v>
      </c>
      <c r="B1886" s="31" t="s">
        <v>4765</v>
      </c>
      <c r="C1886" s="31" t="s">
        <v>179</v>
      </c>
      <c r="D1886" s="31" t="s">
        <v>202</v>
      </c>
      <c r="E1886" s="31" t="s">
        <v>181</v>
      </c>
      <c r="F1886" s="30" t="s">
        <v>1088</v>
      </c>
      <c r="G1886" s="31">
        <v>24</v>
      </c>
      <c r="H1886" s="31" t="s">
        <v>3535</v>
      </c>
      <c r="I1886" s="31" t="s">
        <v>302</v>
      </c>
      <c r="J1886" s="33">
        <v>0</v>
      </c>
      <c r="K1886" s="33">
        <v>0</v>
      </c>
      <c r="L1886" s="33">
        <v>0</v>
      </c>
      <c r="M1886" s="33">
        <f t="shared" si="232"/>
        <v>0</v>
      </c>
      <c r="N1886" s="34">
        <f t="shared" si="238"/>
        <v>0</v>
      </c>
      <c r="O1886" s="35">
        <f>SUM($M$2:M1886)</f>
        <v>190743600</v>
      </c>
      <c r="P1886" s="34">
        <f t="shared" si="239"/>
        <v>1</v>
      </c>
      <c r="Q1886" s="37">
        <v>0</v>
      </c>
      <c r="R1886" s="31">
        <v>0</v>
      </c>
      <c r="S1886" s="31">
        <v>0</v>
      </c>
      <c r="T1886" s="31">
        <v>0</v>
      </c>
      <c r="U1886" s="37">
        <v>45.6</v>
      </c>
      <c r="V1886" s="31">
        <v>15</v>
      </c>
      <c r="W1886" s="31">
        <v>2</v>
      </c>
      <c r="X1886" s="38">
        <v>19</v>
      </c>
      <c r="Y1886" s="31">
        <v>0</v>
      </c>
      <c r="Z1886" s="31">
        <v>0</v>
      </c>
      <c r="AA1886" s="31" t="s">
        <v>212</v>
      </c>
      <c r="AB1886" s="31" t="s">
        <v>220</v>
      </c>
      <c r="AC1886" s="41">
        <f>IFERROR(LOOKUP(M1886,打分卡!$F$7:$J$7,打分卡!$K$7:$O$7),1)</f>
        <v>1</v>
      </c>
      <c r="AD1886" s="41">
        <f>IFERROR(LOOKUP(S1886,打分卡!$F$8:$J$8,打分卡!$K$8:$O$8),1)</f>
        <v>1</v>
      </c>
      <c r="AE1886" s="41">
        <f>IFERROR(LOOKUP(T1886,打分卡!$F$9:$I$9,打分卡!$K$9:$N$9),1)</f>
        <v>1</v>
      </c>
      <c r="AF1886" s="41">
        <f>IFERROR(LOOKUP(Q1886,打分卡!$F$10:$J$10,打分卡!$K$10:$O$10),1)</f>
        <v>1</v>
      </c>
      <c r="AG1886" s="41">
        <f>IFERROR(LOOKUP(R1886,打分卡!$F$11:$J$11,打分卡!$K$11:$O$11),1)</f>
        <v>1</v>
      </c>
      <c r="AH1886" s="41">
        <f>IFERROR(LOOKUP(U1886,打分卡!$F$12:$J$12,打分卡!$K$12:$O$12),1)</f>
        <v>4</v>
      </c>
      <c r="AI1886" s="41">
        <f>IFERROR(LOOKUP(X1886,打分卡!$F$13:$J$13,打分卡!$K$13:$O$13),1)</f>
        <v>2</v>
      </c>
      <c r="AJ1886" s="41">
        <f>IFERROR(LOOKUP(Y1886,打分卡!$F$14:$J$14,打分卡!$K$14:$O$14),1)</f>
        <v>1</v>
      </c>
      <c r="AK1886" s="41">
        <f>IFERROR(LOOKUP(W1886,打分卡!$F$15:$J$15,打分卡!$K$15:$O$15),1)</f>
        <v>2</v>
      </c>
      <c r="AL1886" s="43">
        <f t="shared" si="233"/>
        <v>1</v>
      </c>
      <c r="AM1886" s="41">
        <f>IFERROR(LOOKUP(Z1886,打分卡!$F$17:$H$17,打分卡!$K$17:$M$17),1)</f>
        <v>1</v>
      </c>
      <c r="AN1886" s="44">
        <f>(打分卡!$D$7*AC1886+打分卡!$D$8*AD1886+打分卡!$D$9*AE1886)/5</f>
        <v>8</v>
      </c>
      <c r="AO1886" s="44">
        <f>(打分卡!$D$10*AF1886+打分卡!$D$11*AG1886)/5</f>
        <v>4</v>
      </c>
      <c r="AP1886" s="44">
        <f>(打分卡!$D$12*AH1886+打分卡!$D$13*AI1886+打分卡!$D$14*AJ1886+打分卡!$D$15*AK1886)/5</f>
        <v>15.6</v>
      </c>
      <c r="AQ1886" s="44">
        <f>(打分卡!$D$16*AL1886+打分卡!$D$17*AM1886)/5</f>
        <v>2</v>
      </c>
      <c r="AR1886" s="47">
        <f t="shared" si="234"/>
        <v>29.6</v>
      </c>
      <c r="AS1886" s="43" t="str">
        <f t="shared" si="235"/>
        <v>未激活</v>
      </c>
      <c r="AT1886" s="43" t="str">
        <f t="shared" si="236"/>
        <v>连续下降-预警</v>
      </c>
      <c r="AU1886" s="43" t="str">
        <f t="shared" si="237"/>
        <v>唤醒：短信模板+首充补贴</v>
      </c>
    </row>
    <row r="1887" ht="15" customHeight="1" spans="1:47">
      <c r="A1887" s="20" t="s">
        <v>4766</v>
      </c>
      <c r="B1887" s="22" t="s">
        <v>4767</v>
      </c>
      <c r="C1887" s="22" t="s">
        <v>239</v>
      </c>
      <c r="D1887" s="22" t="s">
        <v>202</v>
      </c>
      <c r="E1887" s="22" t="s">
        <v>181</v>
      </c>
      <c r="F1887" s="20" t="s">
        <v>4015</v>
      </c>
      <c r="G1887" s="22">
        <v>32</v>
      </c>
      <c r="H1887" s="22" t="s">
        <v>3535</v>
      </c>
      <c r="I1887" s="22" t="s">
        <v>302</v>
      </c>
      <c r="J1887" s="36">
        <v>0</v>
      </c>
      <c r="K1887" s="36">
        <v>0</v>
      </c>
      <c r="L1887" s="36">
        <v>0</v>
      </c>
      <c r="M1887" s="36">
        <f t="shared" si="232"/>
        <v>0</v>
      </c>
      <c r="N1887" s="34">
        <f t="shared" si="238"/>
        <v>0</v>
      </c>
      <c r="O1887" s="35">
        <f>SUM($M$2:M1887)</f>
        <v>190743600</v>
      </c>
      <c r="P1887" s="34">
        <f t="shared" si="239"/>
        <v>1</v>
      </c>
      <c r="Q1887" s="39">
        <v>0</v>
      </c>
      <c r="R1887" s="22">
        <v>0</v>
      </c>
      <c r="S1887" s="22">
        <v>0</v>
      </c>
      <c r="T1887" s="22">
        <v>0</v>
      </c>
      <c r="U1887" s="39">
        <v>1.4</v>
      </c>
      <c r="V1887" s="22">
        <v>0</v>
      </c>
      <c r="W1887" s="22">
        <v>0</v>
      </c>
      <c r="X1887" s="40">
        <v>7</v>
      </c>
      <c r="Y1887" s="22">
        <v>0</v>
      </c>
      <c r="Z1887" s="22">
        <v>0</v>
      </c>
      <c r="AA1887" s="22" t="s">
        <v>212</v>
      </c>
      <c r="AB1887" s="22" t="s">
        <v>220</v>
      </c>
      <c r="AC1887" s="42">
        <f>IFERROR(LOOKUP(M1887,打分卡!$F$7:$J$7,打分卡!$K$7:$O$7),1)</f>
        <v>1</v>
      </c>
      <c r="AD1887" s="42">
        <f>IFERROR(LOOKUP(S1887,打分卡!$F$8:$J$8,打分卡!$K$8:$O$8),1)</f>
        <v>1</v>
      </c>
      <c r="AE1887" s="42">
        <f>IFERROR(LOOKUP(T1887,打分卡!$F$9:$I$9,打分卡!$K$9:$N$9),1)</f>
        <v>1</v>
      </c>
      <c r="AF1887" s="42">
        <f>IFERROR(LOOKUP(Q1887,打分卡!$F$10:$J$10,打分卡!$K$10:$O$10),1)</f>
        <v>1</v>
      </c>
      <c r="AG1887" s="42">
        <f>IFERROR(LOOKUP(R1887,打分卡!$F$11:$J$11,打分卡!$K$11:$O$11),1)</f>
        <v>1</v>
      </c>
      <c r="AH1887" s="42">
        <f>IFERROR(LOOKUP(U1887,打分卡!$F$12:$J$12,打分卡!$K$12:$O$12),1)</f>
        <v>1</v>
      </c>
      <c r="AI1887" s="42">
        <f>IFERROR(LOOKUP(X1887,打分卡!$F$13:$J$13,打分卡!$K$13:$O$13),1)</f>
        <v>1</v>
      </c>
      <c r="AJ1887" s="42">
        <f>IFERROR(LOOKUP(Y1887,打分卡!$F$14:$J$14,打分卡!$K$14:$O$14),1)</f>
        <v>1</v>
      </c>
      <c r="AK1887" s="42">
        <f>IFERROR(LOOKUP(W1887,打分卡!$F$15:$J$15,打分卡!$K$15:$O$15),1)</f>
        <v>1</v>
      </c>
      <c r="AL1887" s="45">
        <f t="shared" si="233"/>
        <v>1</v>
      </c>
      <c r="AM1887" s="42">
        <f>IFERROR(LOOKUP(Z1887,打分卡!$F$17:$H$17,打分卡!$K$17:$M$17),1)</f>
        <v>1</v>
      </c>
      <c r="AN1887" s="46">
        <f>(打分卡!$D$7*AC1887+打分卡!$D$8*AD1887+打分卡!$D$9*AE1887)/5</f>
        <v>8</v>
      </c>
      <c r="AO1887" s="46">
        <f>(打分卡!$D$10*AF1887+打分卡!$D$11*AG1887)/5</f>
        <v>4</v>
      </c>
      <c r="AP1887" s="46">
        <f>(打分卡!$D$12*AH1887+打分卡!$D$13*AI1887+打分卡!$D$14*AJ1887+打分卡!$D$15*AK1887)/5</f>
        <v>6</v>
      </c>
      <c r="AQ1887" s="46">
        <f>(打分卡!$D$16*AL1887+打分卡!$D$17*AM1887)/5</f>
        <v>2</v>
      </c>
      <c r="AR1887" s="48">
        <f t="shared" si="234"/>
        <v>20</v>
      </c>
      <c r="AS1887" s="45" t="str">
        <f t="shared" si="235"/>
        <v>未激活</v>
      </c>
      <c r="AT1887" s="45" t="str">
        <f t="shared" si="236"/>
        <v>连续下降-预警</v>
      </c>
      <c r="AU1887" s="45" t="str">
        <f t="shared" si="237"/>
        <v>唤醒：短信模板+首充补贴</v>
      </c>
    </row>
    <row r="1888" ht="15" customHeight="1" spans="1:47">
      <c r="A1888" s="30" t="s">
        <v>4768</v>
      </c>
      <c r="B1888" s="31" t="s">
        <v>4769</v>
      </c>
      <c r="C1888" s="31" t="s">
        <v>189</v>
      </c>
      <c r="D1888" s="31" t="s">
        <v>190</v>
      </c>
      <c r="E1888" s="31" t="s">
        <v>197</v>
      </c>
      <c r="F1888" s="30" t="s">
        <v>2415</v>
      </c>
      <c r="G1888" s="31">
        <v>14</v>
      </c>
      <c r="H1888" s="31" t="s">
        <v>3535</v>
      </c>
      <c r="I1888" s="31" t="s">
        <v>302</v>
      </c>
      <c r="J1888" s="33">
        <v>0</v>
      </c>
      <c r="K1888" s="33">
        <v>0</v>
      </c>
      <c r="L1888" s="33">
        <v>0</v>
      </c>
      <c r="M1888" s="33">
        <f t="shared" si="232"/>
        <v>0</v>
      </c>
      <c r="N1888" s="34">
        <f t="shared" si="238"/>
        <v>0</v>
      </c>
      <c r="O1888" s="35">
        <f>SUM($M$2:M1888)</f>
        <v>190743600</v>
      </c>
      <c r="P1888" s="34">
        <f t="shared" si="239"/>
        <v>1</v>
      </c>
      <c r="Q1888" s="37">
        <v>0</v>
      </c>
      <c r="R1888" s="31">
        <v>0</v>
      </c>
      <c r="S1888" s="31">
        <v>0</v>
      </c>
      <c r="T1888" s="31">
        <v>0</v>
      </c>
      <c r="U1888" s="37">
        <v>1.2</v>
      </c>
      <c r="V1888" s="31">
        <v>10</v>
      </c>
      <c r="W1888" s="31">
        <v>1</v>
      </c>
      <c r="X1888" s="38">
        <v>10</v>
      </c>
      <c r="Y1888" s="31">
        <v>0</v>
      </c>
      <c r="Z1888" s="31">
        <v>0</v>
      </c>
      <c r="AA1888" s="31" t="s">
        <v>212</v>
      </c>
      <c r="AB1888" s="31" t="s">
        <v>220</v>
      </c>
      <c r="AC1888" s="41">
        <f>IFERROR(LOOKUP(M1888,打分卡!$F$7:$J$7,打分卡!$K$7:$O$7),1)</f>
        <v>1</v>
      </c>
      <c r="AD1888" s="41">
        <f>IFERROR(LOOKUP(S1888,打分卡!$F$8:$J$8,打分卡!$K$8:$O$8),1)</f>
        <v>1</v>
      </c>
      <c r="AE1888" s="41">
        <f>IFERROR(LOOKUP(T1888,打分卡!$F$9:$I$9,打分卡!$K$9:$N$9),1)</f>
        <v>1</v>
      </c>
      <c r="AF1888" s="41">
        <f>IFERROR(LOOKUP(Q1888,打分卡!$F$10:$J$10,打分卡!$K$10:$O$10),1)</f>
        <v>1</v>
      </c>
      <c r="AG1888" s="41">
        <f>IFERROR(LOOKUP(R1888,打分卡!$F$11:$J$11,打分卡!$K$11:$O$11),1)</f>
        <v>1</v>
      </c>
      <c r="AH1888" s="41">
        <f>IFERROR(LOOKUP(U1888,打分卡!$F$12:$J$12,打分卡!$K$12:$O$12),1)</f>
        <v>1</v>
      </c>
      <c r="AI1888" s="41">
        <f>IFERROR(LOOKUP(X1888,打分卡!$F$13:$J$13,打分卡!$K$13:$O$13),1)</f>
        <v>1</v>
      </c>
      <c r="AJ1888" s="41">
        <f>IFERROR(LOOKUP(Y1888,打分卡!$F$14:$J$14,打分卡!$K$14:$O$14),1)</f>
        <v>1</v>
      </c>
      <c r="AK1888" s="41">
        <f>IFERROR(LOOKUP(W1888,打分卡!$F$15:$J$15,打分卡!$K$15:$O$15),1)</f>
        <v>2</v>
      </c>
      <c r="AL1888" s="43">
        <f t="shared" si="233"/>
        <v>1</v>
      </c>
      <c r="AM1888" s="41">
        <f>IFERROR(LOOKUP(Z1888,打分卡!$F$17:$H$17,打分卡!$K$17:$M$17),1)</f>
        <v>1</v>
      </c>
      <c r="AN1888" s="44">
        <f>(打分卡!$D$7*AC1888+打分卡!$D$8*AD1888+打分卡!$D$9*AE1888)/5</f>
        <v>8</v>
      </c>
      <c r="AO1888" s="44">
        <f>(打分卡!$D$10*AF1888+打分卡!$D$11*AG1888)/5</f>
        <v>4</v>
      </c>
      <c r="AP1888" s="44">
        <f>(打分卡!$D$12*AH1888+打分卡!$D$13*AI1888+打分卡!$D$14*AJ1888+打分卡!$D$15*AK1888)/5</f>
        <v>6.8</v>
      </c>
      <c r="AQ1888" s="44">
        <f>(打分卡!$D$16*AL1888+打分卡!$D$17*AM1888)/5</f>
        <v>2</v>
      </c>
      <c r="AR1888" s="47">
        <f t="shared" si="234"/>
        <v>20.8</v>
      </c>
      <c r="AS1888" s="43" t="str">
        <f t="shared" si="235"/>
        <v>未激活</v>
      </c>
      <c r="AT1888" s="43" t="str">
        <f t="shared" si="236"/>
        <v>连续下降-预警</v>
      </c>
      <c r="AU1888" s="43" t="str">
        <f t="shared" si="237"/>
        <v>唤醒：短信模板+首充补贴</v>
      </c>
    </row>
    <row r="1889" ht="15" customHeight="1" spans="1:47">
      <c r="A1889" s="20" t="s">
        <v>4770</v>
      </c>
      <c r="B1889" s="22" t="s">
        <v>4771</v>
      </c>
      <c r="C1889" s="22" t="s">
        <v>179</v>
      </c>
      <c r="D1889" s="22" t="s">
        <v>196</v>
      </c>
      <c r="E1889" s="22" t="s">
        <v>197</v>
      </c>
      <c r="F1889" s="20" t="s">
        <v>4772</v>
      </c>
      <c r="G1889" s="22">
        <v>32</v>
      </c>
      <c r="H1889" s="22" t="s">
        <v>3535</v>
      </c>
      <c r="I1889" s="22" t="s">
        <v>302</v>
      </c>
      <c r="J1889" s="36">
        <v>0</v>
      </c>
      <c r="K1889" s="36">
        <v>0</v>
      </c>
      <c r="L1889" s="36">
        <v>0</v>
      </c>
      <c r="M1889" s="36">
        <f t="shared" si="232"/>
        <v>0</v>
      </c>
      <c r="N1889" s="34">
        <f t="shared" si="238"/>
        <v>0</v>
      </c>
      <c r="O1889" s="35">
        <f>SUM($M$2:M1889)</f>
        <v>190743600</v>
      </c>
      <c r="P1889" s="34">
        <f t="shared" si="239"/>
        <v>1</v>
      </c>
      <c r="Q1889" s="39">
        <v>0</v>
      </c>
      <c r="R1889" s="22">
        <v>0</v>
      </c>
      <c r="S1889" s="22">
        <v>0</v>
      </c>
      <c r="T1889" s="22">
        <v>0</v>
      </c>
      <c r="U1889" s="39">
        <v>48.5</v>
      </c>
      <c r="V1889" s="22">
        <v>3</v>
      </c>
      <c r="W1889" s="22">
        <v>1</v>
      </c>
      <c r="X1889" s="40">
        <v>71</v>
      </c>
      <c r="Y1889" s="22">
        <v>0</v>
      </c>
      <c r="Z1889" s="22">
        <v>0</v>
      </c>
      <c r="AA1889" s="22" t="s">
        <v>212</v>
      </c>
      <c r="AB1889" s="22" t="s">
        <v>220</v>
      </c>
      <c r="AC1889" s="42">
        <f>IFERROR(LOOKUP(M1889,打分卡!$F$7:$J$7,打分卡!$K$7:$O$7),1)</f>
        <v>1</v>
      </c>
      <c r="AD1889" s="42">
        <f>IFERROR(LOOKUP(S1889,打分卡!$F$8:$J$8,打分卡!$K$8:$O$8),1)</f>
        <v>1</v>
      </c>
      <c r="AE1889" s="42">
        <f>IFERROR(LOOKUP(T1889,打分卡!$F$9:$I$9,打分卡!$K$9:$N$9),1)</f>
        <v>1</v>
      </c>
      <c r="AF1889" s="42">
        <f>IFERROR(LOOKUP(Q1889,打分卡!$F$10:$J$10,打分卡!$K$10:$O$10),1)</f>
        <v>1</v>
      </c>
      <c r="AG1889" s="42">
        <f>IFERROR(LOOKUP(R1889,打分卡!$F$11:$J$11,打分卡!$K$11:$O$11),1)</f>
        <v>1</v>
      </c>
      <c r="AH1889" s="42">
        <f>IFERROR(LOOKUP(U1889,打分卡!$F$12:$J$12,打分卡!$K$12:$O$12),1)</f>
        <v>4</v>
      </c>
      <c r="AI1889" s="42">
        <f>IFERROR(LOOKUP(X1889,打分卡!$F$13:$J$13,打分卡!$K$13:$O$13),1)</f>
        <v>3</v>
      </c>
      <c r="AJ1889" s="42">
        <f>IFERROR(LOOKUP(Y1889,打分卡!$F$14:$J$14,打分卡!$K$14:$O$14),1)</f>
        <v>1</v>
      </c>
      <c r="AK1889" s="42">
        <f>IFERROR(LOOKUP(W1889,打分卡!$F$15:$J$15,打分卡!$K$15:$O$15),1)</f>
        <v>2</v>
      </c>
      <c r="AL1889" s="45">
        <f t="shared" si="233"/>
        <v>1</v>
      </c>
      <c r="AM1889" s="42">
        <f>IFERROR(LOOKUP(Z1889,打分卡!$F$17:$H$17,打分卡!$K$17:$M$17),1)</f>
        <v>1</v>
      </c>
      <c r="AN1889" s="46">
        <f>(打分卡!$D$7*AC1889+打分卡!$D$8*AD1889+打分卡!$D$9*AE1889)/5</f>
        <v>8</v>
      </c>
      <c r="AO1889" s="46">
        <f>(打分卡!$D$10*AF1889+打分卡!$D$11*AG1889)/5</f>
        <v>4</v>
      </c>
      <c r="AP1889" s="46">
        <f>(打分卡!$D$12*AH1889+打分卡!$D$13*AI1889+打分卡!$D$14*AJ1889+打分卡!$D$15*AK1889)/5</f>
        <v>17.2</v>
      </c>
      <c r="AQ1889" s="46">
        <f>(打分卡!$D$16*AL1889+打分卡!$D$17*AM1889)/5</f>
        <v>2</v>
      </c>
      <c r="AR1889" s="48">
        <f t="shared" si="234"/>
        <v>31.2</v>
      </c>
      <c r="AS1889" s="45" t="str">
        <f t="shared" si="235"/>
        <v>未激活</v>
      </c>
      <c r="AT1889" s="45" t="str">
        <f t="shared" si="236"/>
        <v>连续下降-预警</v>
      </c>
      <c r="AU1889" s="45" t="str">
        <f t="shared" si="237"/>
        <v>唤醒：短信模板+首充补贴</v>
      </c>
    </row>
    <row r="1890" ht="15" customHeight="1" spans="1:47">
      <c r="A1890" s="30" t="s">
        <v>4773</v>
      </c>
      <c r="B1890" s="31" t="s">
        <v>4774</v>
      </c>
      <c r="C1890" s="31" t="s">
        <v>195</v>
      </c>
      <c r="D1890" s="31" t="s">
        <v>190</v>
      </c>
      <c r="E1890" s="31" t="s">
        <v>181</v>
      </c>
      <c r="F1890" s="30" t="s">
        <v>265</v>
      </c>
      <c r="G1890" s="31">
        <v>20</v>
      </c>
      <c r="H1890" s="31" t="s">
        <v>3535</v>
      </c>
      <c r="I1890" s="31" t="s">
        <v>302</v>
      </c>
      <c r="J1890" s="33">
        <v>0</v>
      </c>
      <c r="K1890" s="33">
        <v>0</v>
      </c>
      <c r="L1890" s="33">
        <v>0</v>
      </c>
      <c r="M1890" s="33">
        <f t="shared" si="232"/>
        <v>0</v>
      </c>
      <c r="N1890" s="34">
        <f t="shared" si="238"/>
        <v>0</v>
      </c>
      <c r="O1890" s="35">
        <f>SUM($M$2:M1890)</f>
        <v>190743600</v>
      </c>
      <c r="P1890" s="34">
        <f t="shared" si="239"/>
        <v>1</v>
      </c>
      <c r="Q1890" s="37">
        <v>0</v>
      </c>
      <c r="R1890" s="31">
        <v>0</v>
      </c>
      <c r="S1890" s="31">
        <v>0</v>
      </c>
      <c r="T1890" s="31">
        <v>0</v>
      </c>
      <c r="U1890" s="37">
        <v>0.5</v>
      </c>
      <c r="V1890" s="31">
        <v>5</v>
      </c>
      <c r="W1890" s="31">
        <v>1</v>
      </c>
      <c r="X1890" s="38">
        <v>27</v>
      </c>
      <c r="Y1890" s="31">
        <v>1</v>
      </c>
      <c r="Z1890" s="31">
        <v>0</v>
      </c>
      <c r="AA1890" s="31" t="s">
        <v>212</v>
      </c>
      <c r="AB1890" s="31" t="s">
        <v>220</v>
      </c>
      <c r="AC1890" s="41">
        <f>IFERROR(LOOKUP(M1890,打分卡!$F$7:$J$7,打分卡!$K$7:$O$7),1)</f>
        <v>1</v>
      </c>
      <c r="AD1890" s="41">
        <f>IFERROR(LOOKUP(S1890,打分卡!$F$8:$J$8,打分卡!$K$8:$O$8),1)</f>
        <v>1</v>
      </c>
      <c r="AE1890" s="41">
        <f>IFERROR(LOOKUP(T1890,打分卡!$F$9:$I$9,打分卡!$K$9:$N$9),1)</f>
        <v>1</v>
      </c>
      <c r="AF1890" s="41">
        <f>IFERROR(LOOKUP(Q1890,打分卡!$F$10:$J$10,打分卡!$K$10:$O$10),1)</f>
        <v>1</v>
      </c>
      <c r="AG1890" s="41">
        <f>IFERROR(LOOKUP(R1890,打分卡!$F$11:$J$11,打分卡!$K$11:$O$11),1)</f>
        <v>1</v>
      </c>
      <c r="AH1890" s="41">
        <f>IFERROR(LOOKUP(U1890,打分卡!$F$12:$J$12,打分卡!$K$12:$O$12),1)</f>
        <v>1</v>
      </c>
      <c r="AI1890" s="41">
        <f>IFERROR(LOOKUP(X1890,打分卡!$F$13:$J$13,打分卡!$K$13:$O$13),1)</f>
        <v>2</v>
      </c>
      <c r="AJ1890" s="41">
        <f>IFERROR(LOOKUP(Y1890,打分卡!$F$14:$J$14,打分卡!$K$14:$O$14),1)</f>
        <v>2</v>
      </c>
      <c r="AK1890" s="41">
        <f>IFERROR(LOOKUP(W1890,打分卡!$F$15:$J$15,打分卡!$K$15:$O$15),1)</f>
        <v>2</v>
      </c>
      <c r="AL1890" s="43">
        <f t="shared" si="233"/>
        <v>1</v>
      </c>
      <c r="AM1890" s="41">
        <f>IFERROR(LOOKUP(Z1890,打分卡!$F$17:$H$17,打分卡!$K$17:$M$17),1)</f>
        <v>1</v>
      </c>
      <c r="AN1890" s="44">
        <f>(打分卡!$D$7*AC1890+打分卡!$D$8*AD1890+打分卡!$D$9*AE1890)/5</f>
        <v>8</v>
      </c>
      <c r="AO1890" s="44">
        <f>(打分卡!$D$10*AF1890+打分卡!$D$11*AG1890)/5</f>
        <v>4</v>
      </c>
      <c r="AP1890" s="44">
        <f>(打分卡!$D$12*AH1890+打分卡!$D$13*AI1890+打分卡!$D$14*AJ1890+打分卡!$D$15*AK1890)/5</f>
        <v>9.6</v>
      </c>
      <c r="AQ1890" s="44">
        <f>(打分卡!$D$16*AL1890+打分卡!$D$17*AM1890)/5</f>
        <v>2</v>
      </c>
      <c r="AR1890" s="47">
        <f t="shared" si="234"/>
        <v>23.6</v>
      </c>
      <c r="AS1890" s="43" t="str">
        <f t="shared" si="235"/>
        <v>未激活</v>
      </c>
      <c r="AT1890" s="43" t="str">
        <f t="shared" si="236"/>
        <v>连续下降-预警</v>
      </c>
      <c r="AU1890" s="43" t="str">
        <f t="shared" si="237"/>
        <v>唤醒：短信模板+首充补贴</v>
      </c>
    </row>
    <row r="1891" ht="15" customHeight="1" spans="1:47">
      <c r="A1891" s="20" t="s">
        <v>4775</v>
      </c>
      <c r="B1891" s="22" t="s">
        <v>4776</v>
      </c>
      <c r="C1891" s="22" t="s">
        <v>223</v>
      </c>
      <c r="D1891" s="22" t="s">
        <v>196</v>
      </c>
      <c r="E1891" s="22" t="s">
        <v>197</v>
      </c>
      <c r="F1891" s="20" t="s">
        <v>1666</v>
      </c>
      <c r="G1891" s="22">
        <v>14</v>
      </c>
      <c r="H1891" s="22" t="s">
        <v>3535</v>
      </c>
      <c r="I1891" s="22" t="s">
        <v>302</v>
      </c>
      <c r="J1891" s="36">
        <v>0</v>
      </c>
      <c r="K1891" s="36">
        <v>0</v>
      </c>
      <c r="L1891" s="36">
        <v>0</v>
      </c>
      <c r="M1891" s="36">
        <f t="shared" si="232"/>
        <v>0</v>
      </c>
      <c r="N1891" s="34">
        <f t="shared" si="238"/>
        <v>0</v>
      </c>
      <c r="O1891" s="35">
        <f>SUM($M$2:M1891)</f>
        <v>190743600</v>
      </c>
      <c r="P1891" s="34">
        <f t="shared" si="239"/>
        <v>1</v>
      </c>
      <c r="Q1891" s="39">
        <v>0</v>
      </c>
      <c r="R1891" s="22">
        <v>0</v>
      </c>
      <c r="S1891" s="22">
        <v>0</v>
      </c>
      <c r="T1891" s="22">
        <v>0</v>
      </c>
      <c r="U1891" s="39">
        <v>12.8</v>
      </c>
      <c r="V1891" s="22">
        <v>4</v>
      </c>
      <c r="W1891" s="22">
        <v>2</v>
      </c>
      <c r="X1891" s="40">
        <v>18</v>
      </c>
      <c r="Y1891" s="22">
        <v>1</v>
      </c>
      <c r="Z1891" s="22">
        <v>0</v>
      </c>
      <c r="AA1891" s="22" t="s">
        <v>212</v>
      </c>
      <c r="AB1891" s="22" t="s">
        <v>220</v>
      </c>
      <c r="AC1891" s="42">
        <f>IFERROR(LOOKUP(M1891,打分卡!$F$7:$J$7,打分卡!$K$7:$O$7),1)</f>
        <v>1</v>
      </c>
      <c r="AD1891" s="42">
        <f>IFERROR(LOOKUP(S1891,打分卡!$F$8:$J$8,打分卡!$K$8:$O$8),1)</f>
        <v>1</v>
      </c>
      <c r="AE1891" s="42">
        <f>IFERROR(LOOKUP(T1891,打分卡!$F$9:$I$9,打分卡!$K$9:$N$9),1)</f>
        <v>1</v>
      </c>
      <c r="AF1891" s="42">
        <f>IFERROR(LOOKUP(Q1891,打分卡!$F$10:$J$10,打分卡!$K$10:$O$10),1)</f>
        <v>1</v>
      </c>
      <c r="AG1891" s="42">
        <f>IFERROR(LOOKUP(R1891,打分卡!$F$11:$J$11,打分卡!$K$11:$O$11),1)</f>
        <v>1</v>
      </c>
      <c r="AH1891" s="42">
        <f>IFERROR(LOOKUP(U1891,打分卡!$F$12:$J$12,打分卡!$K$12:$O$12),1)</f>
        <v>3</v>
      </c>
      <c r="AI1891" s="42">
        <f>IFERROR(LOOKUP(X1891,打分卡!$F$13:$J$13,打分卡!$K$13:$O$13),1)</f>
        <v>2</v>
      </c>
      <c r="AJ1891" s="42">
        <f>IFERROR(LOOKUP(Y1891,打分卡!$F$14:$J$14,打分卡!$K$14:$O$14),1)</f>
        <v>2</v>
      </c>
      <c r="AK1891" s="42">
        <f>IFERROR(LOOKUP(W1891,打分卡!$F$15:$J$15,打分卡!$K$15:$O$15),1)</f>
        <v>2</v>
      </c>
      <c r="AL1891" s="45">
        <f t="shared" si="233"/>
        <v>1</v>
      </c>
      <c r="AM1891" s="42">
        <f>IFERROR(LOOKUP(Z1891,打分卡!$F$17:$H$17,打分卡!$K$17:$M$17),1)</f>
        <v>1</v>
      </c>
      <c r="AN1891" s="46">
        <f>(打分卡!$D$7*AC1891+打分卡!$D$8*AD1891+打分卡!$D$9*AE1891)/5</f>
        <v>8</v>
      </c>
      <c r="AO1891" s="46">
        <f>(打分卡!$D$10*AF1891+打分卡!$D$11*AG1891)/5</f>
        <v>4</v>
      </c>
      <c r="AP1891" s="46">
        <f>(打分卡!$D$12*AH1891+打分卡!$D$13*AI1891+打分卡!$D$14*AJ1891+打分卡!$D$15*AK1891)/5</f>
        <v>14.4</v>
      </c>
      <c r="AQ1891" s="46">
        <f>(打分卡!$D$16*AL1891+打分卡!$D$17*AM1891)/5</f>
        <v>2</v>
      </c>
      <c r="AR1891" s="48">
        <f t="shared" si="234"/>
        <v>28.4</v>
      </c>
      <c r="AS1891" s="45" t="str">
        <f t="shared" si="235"/>
        <v>未激活</v>
      </c>
      <c r="AT1891" s="45" t="str">
        <f t="shared" si="236"/>
        <v>连续下降-预警</v>
      </c>
      <c r="AU1891" s="45" t="str">
        <f t="shared" si="237"/>
        <v>唤醒：短信模板+首充补贴</v>
      </c>
    </row>
    <row r="1892" ht="15" customHeight="1" spans="1:47">
      <c r="A1892" s="30" t="s">
        <v>4777</v>
      </c>
      <c r="B1892" s="31" t="s">
        <v>4778</v>
      </c>
      <c r="C1892" s="31" t="s">
        <v>195</v>
      </c>
      <c r="D1892" s="31" t="s">
        <v>202</v>
      </c>
      <c r="E1892" s="31" t="s">
        <v>181</v>
      </c>
      <c r="F1892" s="30" t="s">
        <v>941</v>
      </c>
      <c r="G1892" s="31">
        <v>16</v>
      </c>
      <c r="H1892" s="31" t="s">
        <v>3535</v>
      </c>
      <c r="I1892" s="31" t="s">
        <v>302</v>
      </c>
      <c r="J1892" s="33">
        <v>0</v>
      </c>
      <c r="K1892" s="33">
        <v>0</v>
      </c>
      <c r="L1892" s="33">
        <v>0</v>
      </c>
      <c r="M1892" s="33">
        <f t="shared" si="232"/>
        <v>0</v>
      </c>
      <c r="N1892" s="34">
        <f t="shared" si="238"/>
        <v>0</v>
      </c>
      <c r="O1892" s="35">
        <f>SUM($M$2:M1892)</f>
        <v>190743600</v>
      </c>
      <c r="P1892" s="34">
        <f t="shared" si="239"/>
        <v>1</v>
      </c>
      <c r="Q1892" s="37">
        <v>0</v>
      </c>
      <c r="R1892" s="31">
        <v>0</v>
      </c>
      <c r="S1892" s="31">
        <v>0</v>
      </c>
      <c r="T1892" s="31">
        <v>0</v>
      </c>
      <c r="U1892" s="37">
        <v>7.4</v>
      </c>
      <c r="V1892" s="31">
        <v>5</v>
      </c>
      <c r="W1892" s="31">
        <v>2</v>
      </c>
      <c r="X1892" s="38">
        <v>12</v>
      </c>
      <c r="Y1892" s="31">
        <v>1</v>
      </c>
      <c r="Z1892" s="31">
        <v>0</v>
      </c>
      <c r="AA1892" s="31" t="s">
        <v>212</v>
      </c>
      <c r="AB1892" s="31" t="s">
        <v>220</v>
      </c>
      <c r="AC1892" s="41">
        <f>IFERROR(LOOKUP(M1892,打分卡!$F$7:$J$7,打分卡!$K$7:$O$7),1)</f>
        <v>1</v>
      </c>
      <c r="AD1892" s="41">
        <f>IFERROR(LOOKUP(S1892,打分卡!$F$8:$J$8,打分卡!$K$8:$O$8),1)</f>
        <v>1</v>
      </c>
      <c r="AE1892" s="41">
        <f>IFERROR(LOOKUP(T1892,打分卡!$F$9:$I$9,打分卡!$K$9:$N$9),1)</f>
        <v>1</v>
      </c>
      <c r="AF1892" s="41">
        <f>IFERROR(LOOKUP(Q1892,打分卡!$F$10:$J$10,打分卡!$K$10:$O$10),1)</f>
        <v>1</v>
      </c>
      <c r="AG1892" s="41">
        <f>IFERROR(LOOKUP(R1892,打分卡!$F$11:$J$11,打分卡!$K$11:$O$11),1)</f>
        <v>1</v>
      </c>
      <c r="AH1892" s="41">
        <f>IFERROR(LOOKUP(U1892,打分卡!$F$12:$J$12,打分卡!$K$12:$O$12),1)</f>
        <v>2</v>
      </c>
      <c r="AI1892" s="41">
        <f>IFERROR(LOOKUP(X1892,打分卡!$F$13:$J$13,打分卡!$K$13:$O$13),1)</f>
        <v>1</v>
      </c>
      <c r="AJ1892" s="41">
        <f>IFERROR(LOOKUP(Y1892,打分卡!$F$14:$J$14,打分卡!$K$14:$O$14),1)</f>
        <v>2</v>
      </c>
      <c r="AK1892" s="41">
        <f>IFERROR(LOOKUP(W1892,打分卡!$F$15:$J$15,打分卡!$K$15:$O$15),1)</f>
        <v>2</v>
      </c>
      <c r="AL1892" s="43">
        <f t="shared" si="233"/>
        <v>1</v>
      </c>
      <c r="AM1892" s="41">
        <f>IFERROR(LOOKUP(Z1892,打分卡!$F$17:$H$17,打分卡!$K$17:$M$17),1)</f>
        <v>1</v>
      </c>
      <c r="AN1892" s="44">
        <f>(打分卡!$D$7*AC1892+打分卡!$D$8*AD1892+打分卡!$D$9*AE1892)/5</f>
        <v>8</v>
      </c>
      <c r="AO1892" s="44">
        <f>(打分卡!$D$10*AF1892+打分卡!$D$11*AG1892)/5</f>
        <v>4</v>
      </c>
      <c r="AP1892" s="44">
        <f>(打分卡!$D$12*AH1892+打分卡!$D$13*AI1892+打分卡!$D$14*AJ1892+打分卡!$D$15*AK1892)/5</f>
        <v>10.4</v>
      </c>
      <c r="AQ1892" s="44">
        <f>(打分卡!$D$16*AL1892+打分卡!$D$17*AM1892)/5</f>
        <v>2</v>
      </c>
      <c r="AR1892" s="47">
        <f t="shared" si="234"/>
        <v>24.4</v>
      </c>
      <c r="AS1892" s="43" t="str">
        <f t="shared" si="235"/>
        <v>未激活</v>
      </c>
      <c r="AT1892" s="43" t="str">
        <f t="shared" si="236"/>
        <v>连续下降-预警</v>
      </c>
      <c r="AU1892" s="43" t="str">
        <f t="shared" si="237"/>
        <v>唤醒：短信模板+首充补贴</v>
      </c>
    </row>
    <row r="1893" ht="15" customHeight="1" spans="1:47">
      <c r="A1893" s="20" t="s">
        <v>4779</v>
      </c>
      <c r="B1893" s="22" t="s">
        <v>4780</v>
      </c>
      <c r="C1893" s="22" t="s">
        <v>223</v>
      </c>
      <c r="D1893" s="22" t="s">
        <v>202</v>
      </c>
      <c r="E1893" s="22" t="s">
        <v>181</v>
      </c>
      <c r="F1893" s="20" t="s">
        <v>4270</v>
      </c>
      <c r="G1893" s="22">
        <v>18</v>
      </c>
      <c r="H1893" s="22" t="s">
        <v>3535</v>
      </c>
      <c r="I1893" s="22" t="s">
        <v>302</v>
      </c>
      <c r="J1893" s="36">
        <v>0</v>
      </c>
      <c r="K1893" s="36">
        <v>0</v>
      </c>
      <c r="L1893" s="36">
        <v>0</v>
      </c>
      <c r="M1893" s="36">
        <f t="shared" si="232"/>
        <v>0</v>
      </c>
      <c r="N1893" s="34">
        <f t="shared" si="238"/>
        <v>0</v>
      </c>
      <c r="O1893" s="35">
        <f>SUM($M$2:M1893)</f>
        <v>190743600</v>
      </c>
      <c r="P1893" s="34">
        <f t="shared" si="239"/>
        <v>1</v>
      </c>
      <c r="Q1893" s="39">
        <v>0</v>
      </c>
      <c r="R1893" s="22">
        <v>0</v>
      </c>
      <c r="S1893" s="22">
        <v>0</v>
      </c>
      <c r="T1893" s="22">
        <v>0</v>
      </c>
      <c r="U1893" s="39">
        <v>0.6</v>
      </c>
      <c r="V1893" s="22">
        <v>7</v>
      </c>
      <c r="W1893" s="22">
        <v>2</v>
      </c>
      <c r="X1893" s="40">
        <v>13</v>
      </c>
      <c r="Y1893" s="22">
        <v>0</v>
      </c>
      <c r="Z1893" s="22">
        <v>0</v>
      </c>
      <c r="AA1893" s="22" t="s">
        <v>212</v>
      </c>
      <c r="AB1893" s="22" t="s">
        <v>220</v>
      </c>
      <c r="AC1893" s="42">
        <f>IFERROR(LOOKUP(M1893,打分卡!$F$7:$J$7,打分卡!$K$7:$O$7),1)</f>
        <v>1</v>
      </c>
      <c r="AD1893" s="42">
        <f>IFERROR(LOOKUP(S1893,打分卡!$F$8:$J$8,打分卡!$K$8:$O$8),1)</f>
        <v>1</v>
      </c>
      <c r="AE1893" s="42">
        <f>IFERROR(LOOKUP(T1893,打分卡!$F$9:$I$9,打分卡!$K$9:$N$9),1)</f>
        <v>1</v>
      </c>
      <c r="AF1893" s="42">
        <f>IFERROR(LOOKUP(Q1893,打分卡!$F$10:$J$10,打分卡!$K$10:$O$10),1)</f>
        <v>1</v>
      </c>
      <c r="AG1893" s="42">
        <f>IFERROR(LOOKUP(R1893,打分卡!$F$11:$J$11,打分卡!$K$11:$O$11),1)</f>
        <v>1</v>
      </c>
      <c r="AH1893" s="42">
        <f>IFERROR(LOOKUP(U1893,打分卡!$F$12:$J$12,打分卡!$K$12:$O$12),1)</f>
        <v>1</v>
      </c>
      <c r="AI1893" s="42">
        <f>IFERROR(LOOKUP(X1893,打分卡!$F$13:$J$13,打分卡!$K$13:$O$13),1)</f>
        <v>1</v>
      </c>
      <c r="AJ1893" s="42">
        <f>IFERROR(LOOKUP(Y1893,打分卡!$F$14:$J$14,打分卡!$K$14:$O$14),1)</f>
        <v>1</v>
      </c>
      <c r="AK1893" s="42">
        <f>IFERROR(LOOKUP(W1893,打分卡!$F$15:$J$15,打分卡!$K$15:$O$15),1)</f>
        <v>2</v>
      </c>
      <c r="AL1893" s="45">
        <f t="shared" si="233"/>
        <v>1</v>
      </c>
      <c r="AM1893" s="42">
        <f>IFERROR(LOOKUP(Z1893,打分卡!$F$17:$H$17,打分卡!$K$17:$M$17),1)</f>
        <v>1</v>
      </c>
      <c r="AN1893" s="46">
        <f>(打分卡!$D$7*AC1893+打分卡!$D$8*AD1893+打分卡!$D$9*AE1893)/5</f>
        <v>8</v>
      </c>
      <c r="AO1893" s="46">
        <f>(打分卡!$D$10*AF1893+打分卡!$D$11*AG1893)/5</f>
        <v>4</v>
      </c>
      <c r="AP1893" s="46">
        <f>(打分卡!$D$12*AH1893+打分卡!$D$13*AI1893+打分卡!$D$14*AJ1893+打分卡!$D$15*AK1893)/5</f>
        <v>6.8</v>
      </c>
      <c r="AQ1893" s="46">
        <f>(打分卡!$D$16*AL1893+打分卡!$D$17*AM1893)/5</f>
        <v>2</v>
      </c>
      <c r="AR1893" s="48">
        <f t="shared" si="234"/>
        <v>20.8</v>
      </c>
      <c r="AS1893" s="45" t="str">
        <f t="shared" si="235"/>
        <v>未激活</v>
      </c>
      <c r="AT1893" s="45" t="str">
        <f t="shared" si="236"/>
        <v>连续下降-预警</v>
      </c>
      <c r="AU1893" s="45" t="str">
        <f t="shared" si="237"/>
        <v>唤醒：短信模板+首充补贴</v>
      </c>
    </row>
    <row r="1894" ht="15" customHeight="1" spans="1:47">
      <c r="A1894" s="30" t="s">
        <v>4781</v>
      </c>
      <c r="B1894" s="31" t="s">
        <v>4782</v>
      </c>
      <c r="C1894" s="31" t="s">
        <v>189</v>
      </c>
      <c r="D1894" s="31" t="s">
        <v>235</v>
      </c>
      <c r="E1894" s="31" t="s">
        <v>181</v>
      </c>
      <c r="F1894" s="30" t="s">
        <v>1043</v>
      </c>
      <c r="G1894" s="31">
        <v>23</v>
      </c>
      <c r="H1894" s="31" t="s">
        <v>3535</v>
      </c>
      <c r="I1894" s="31" t="s">
        <v>302</v>
      </c>
      <c r="J1894" s="33">
        <v>0</v>
      </c>
      <c r="K1894" s="33">
        <v>0</v>
      </c>
      <c r="L1894" s="33">
        <v>0</v>
      </c>
      <c r="M1894" s="33">
        <f t="shared" si="232"/>
        <v>0</v>
      </c>
      <c r="N1894" s="34">
        <f t="shared" si="238"/>
        <v>0</v>
      </c>
      <c r="O1894" s="35">
        <f>SUM($M$2:M1894)</f>
        <v>190743600</v>
      </c>
      <c r="P1894" s="34">
        <f t="shared" si="239"/>
        <v>1</v>
      </c>
      <c r="Q1894" s="37">
        <v>0</v>
      </c>
      <c r="R1894" s="31">
        <v>0</v>
      </c>
      <c r="S1894" s="31">
        <v>0</v>
      </c>
      <c r="T1894" s="31">
        <v>0</v>
      </c>
      <c r="U1894" s="37">
        <v>0.9</v>
      </c>
      <c r="V1894" s="31">
        <v>5</v>
      </c>
      <c r="W1894" s="31">
        <v>1</v>
      </c>
      <c r="X1894" s="38">
        <v>17</v>
      </c>
      <c r="Y1894" s="31">
        <v>1</v>
      </c>
      <c r="Z1894" s="31">
        <v>0</v>
      </c>
      <c r="AA1894" s="31" t="s">
        <v>212</v>
      </c>
      <c r="AB1894" s="31" t="s">
        <v>220</v>
      </c>
      <c r="AC1894" s="41">
        <f>IFERROR(LOOKUP(M1894,打分卡!$F$7:$J$7,打分卡!$K$7:$O$7),1)</f>
        <v>1</v>
      </c>
      <c r="AD1894" s="41">
        <f>IFERROR(LOOKUP(S1894,打分卡!$F$8:$J$8,打分卡!$K$8:$O$8),1)</f>
        <v>1</v>
      </c>
      <c r="AE1894" s="41">
        <f>IFERROR(LOOKUP(T1894,打分卡!$F$9:$I$9,打分卡!$K$9:$N$9),1)</f>
        <v>1</v>
      </c>
      <c r="AF1894" s="41">
        <f>IFERROR(LOOKUP(Q1894,打分卡!$F$10:$J$10,打分卡!$K$10:$O$10),1)</f>
        <v>1</v>
      </c>
      <c r="AG1894" s="41">
        <f>IFERROR(LOOKUP(R1894,打分卡!$F$11:$J$11,打分卡!$K$11:$O$11),1)</f>
        <v>1</v>
      </c>
      <c r="AH1894" s="41">
        <f>IFERROR(LOOKUP(U1894,打分卡!$F$12:$J$12,打分卡!$K$12:$O$12),1)</f>
        <v>1</v>
      </c>
      <c r="AI1894" s="41">
        <f>IFERROR(LOOKUP(X1894,打分卡!$F$13:$J$13,打分卡!$K$13:$O$13),1)</f>
        <v>1</v>
      </c>
      <c r="AJ1894" s="41">
        <f>IFERROR(LOOKUP(Y1894,打分卡!$F$14:$J$14,打分卡!$K$14:$O$14),1)</f>
        <v>2</v>
      </c>
      <c r="AK1894" s="41">
        <f>IFERROR(LOOKUP(W1894,打分卡!$F$15:$J$15,打分卡!$K$15:$O$15),1)</f>
        <v>2</v>
      </c>
      <c r="AL1894" s="43">
        <f t="shared" si="233"/>
        <v>1</v>
      </c>
      <c r="AM1894" s="41">
        <f>IFERROR(LOOKUP(Z1894,打分卡!$F$17:$H$17,打分卡!$K$17:$M$17),1)</f>
        <v>1</v>
      </c>
      <c r="AN1894" s="44">
        <f>(打分卡!$D$7*AC1894+打分卡!$D$8*AD1894+打分卡!$D$9*AE1894)/5</f>
        <v>8</v>
      </c>
      <c r="AO1894" s="44">
        <f>(打分卡!$D$10*AF1894+打分卡!$D$11*AG1894)/5</f>
        <v>4</v>
      </c>
      <c r="AP1894" s="44">
        <f>(打分卡!$D$12*AH1894+打分卡!$D$13*AI1894+打分卡!$D$14*AJ1894+打分卡!$D$15*AK1894)/5</f>
        <v>8</v>
      </c>
      <c r="AQ1894" s="44">
        <f>(打分卡!$D$16*AL1894+打分卡!$D$17*AM1894)/5</f>
        <v>2</v>
      </c>
      <c r="AR1894" s="47">
        <f t="shared" si="234"/>
        <v>22</v>
      </c>
      <c r="AS1894" s="43" t="str">
        <f t="shared" si="235"/>
        <v>未激活</v>
      </c>
      <c r="AT1894" s="43" t="str">
        <f t="shared" si="236"/>
        <v>连续下降-预警</v>
      </c>
      <c r="AU1894" s="43" t="str">
        <f t="shared" si="237"/>
        <v>唤醒：短信模板+首充补贴</v>
      </c>
    </row>
    <row r="1895" ht="15" customHeight="1" spans="1:47">
      <c r="A1895" s="20" t="s">
        <v>4783</v>
      </c>
      <c r="B1895" s="22" t="s">
        <v>4784</v>
      </c>
      <c r="C1895" s="22" t="s">
        <v>239</v>
      </c>
      <c r="D1895" s="22" t="s">
        <v>227</v>
      </c>
      <c r="E1895" s="22" t="s">
        <v>197</v>
      </c>
      <c r="F1895" s="20" t="s">
        <v>1502</v>
      </c>
      <c r="G1895" s="22">
        <v>12</v>
      </c>
      <c r="H1895" s="22" t="s">
        <v>3535</v>
      </c>
      <c r="I1895" s="22" t="s">
        <v>302</v>
      </c>
      <c r="J1895" s="36">
        <v>0</v>
      </c>
      <c r="K1895" s="36">
        <v>0</v>
      </c>
      <c r="L1895" s="36">
        <v>0</v>
      </c>
      <c r="M1895" s="36">
        <f t="shared" si="232"/>
        <v>0</v>
      </c>
      <c r="N1895" s="34">
        <f t="shared" si="238"/>
        <v>0</v>
      </c>
      <c r="O1895" s="35">
        <f>SUM($M$2:M1895)</f>
        <v>190743600</v>
      </c>
      <c r="P1895" s="34">
        <f t="shared" si="239"/>
        <v>1</v>
      </c>
      <c r="Q1895" s="39">
        <v>0</v>
      </c>
      <c r="R1895" s="22">
        <v>0</v>
      </c>
      <c r="S1895" s="22">
        <v>0</v>
      </c>
      <c r="T1895" s="22">
        <v>0</v>
      </c>
      <c r="U1895" s="39">
        <v>9.8</v>
      </c>
      <c r="V1895" s="22">
        <v>8</v>
      </c>
      <c r="W1895" s="22">
        <v>0</v>
      </c>
      <c r="X1895" s="40">
        <v>17</v>
      </c>
      <c r="Y1895" s="22">
        <v>1</v>
      </c>
      <c r="Z1895" s="22">
        <v>0</v>
      </c>
      <c r="AA1895" s="22" t="s">
        <v>212</v>
      </c>
      <c r="AB1895" s="22" t="s">
        <v>220</v>
      </c>
      <c r="AC1895" s="42">
        <f>IFERROR(LOOKUP(M1895,打分卡!$F$7:$J$7,打分卡!$K$7:$O$7),1)</f>
        <v>1</v>
      </c>
      <c r="AD1895" s="42">
        <f>IFERROR(LOOKUP(S1895,打分卡!$F$8:$J$8,打分卡!$K$8:$O$8),1)</f>
        <v>1</v>
      </c>
      <c r="AE1895" s="42">
        <f>IFERROR(LOOKUP(T1895,打分卡!$F$9:$I$9,打分卡!$K$9:$N$9),1)</f>
        <v>1</v>
      </c>
      <c r="AF1895" s="42">
        <f>IFERROR(LOOKUP(Q1895,打分卡!$F$10:$J$10,打分卡!$K$10:$O$10),1)</f>
        <v>1</v>
      </c>
      <c r="AG1895" s="42">
        <f>IFERROR(LOOKUP(R1895,打分卡!$F$11:$J$11,打分卡!$K$11:$O$11),1)</f>
        <v>1</v>
      </c>
      <c r="AH1895" s="42">
        <f>IFERROR(LOOKUP(U1895,打分卡!$F$12:$J$12,打分卡!$K$12:$O$12),1)</f>
        <v>2</v>
      </c>
      <c r="AI1895" s="42">
        <f>IFERROR(LOOKUP(X1895,打分卡!$F$13:$J$13,打分卡!$K$13:$O$13),1)</f>
        <v>1</v>
      </c>
      <c r="AJ1895" s="42">
        <f>IFERROR(LOOKUP(Y1895,打分卡!$F$14:$J$14,打分卡!$K$14:$O$14),1)</f>
        <v>2</v>
      </c>
      <c r="AK1895" s="42">
        <f>IFERROR(LOOKUP(W1895,打分卡!$F$15:$J$15,打分卡!$K$15:$O$15),1)</f>
        <v>1</v>
      </c>
      <c r="AL1895" s="45">
        <f t="shared" si="233"/>
        <v>1</v>
      </c>
      <c r="AM1895" s="42">
        <f>IFERROR(LOOKUP(Z1895,打分卡!$F$17:$H$17,打分卡!$K$17:$M$17),1)</f>
        <v>1</v>
      </c>
      <c r="AN1895" s="46">
        <f>(打分卡!$D$7*AC1895+打分卡!$D$8*AD1895+打分卡!$D$9*AE1895)/5</f>
        <v>8</v>
      </c>
      <c r="AO1895" s="46">
        <f>(打分卡!$D$10*AF1895+打分卡!$D$11*AG1895)/5</f>
        <v>4</v>
      </c>
      <c r="AP1895" s="46">
        <f>(打分卡!$D$12*AH1895+打分卡!$D$13*AI1895+打分卡!$D$14*AJ1895+打分卡!$D$15*AK1895)/5</f>
        <v>9.6</v>
      </c>
      <c r="AQ1895" s="46">
        <f>(打分卡!$D$16*AL1895+打分卡!$D$17*AM1895)/5</f>
        <v>2</v>
      </c>
      <c r="AR1895" s="48">
        <f t="shared" si="234"/>
        <v>23.6</v>
      </c>
      <c r="AS1895" s="45" t="str">
        <f t="shared" si="235"/>
        <v>未激活</v>
      </c>
      <c r="AT1895" s="45" t="str">
        <f t="shared" si="236"/>
        <v>连续下降-预警</v>
      </c>
      <c r="AU1895" s="45" t="str">
        <f t="shared" si="237"/>
        <v>唤醒：短信模板+首充补贴</v>
      </c>
    </row>
    <row r="1896" ht="15" customHeight="1" spans="1:47">
      <c r="A1896" s="30" t="s">
        <v>4785</v>
      </c>
      <c r="B1896" s="31" t="s">
        <v>4786</v>
      </c>
      <c r="C1896" s="31" t="s">
        <v>195</v>
      </c>
      <c r="D1896" s="31" t="s">
        <v>202</v>
      </c>
      <c r="E1896" s="31" t="s">
        <v>197</v>
      </c>
      <c r="F1896" s="30" t="s">
        <v>3600</v>
      </c>
      <c r="G1896" s="31">
        <v>27</v>
      </c>
      <c r="H1896" s="31" t="s">
        <v>3535</v>
      </c>
      <c r="I1896" s="31" t="s">
        <v>302</v>
      </c>
      <c r="J1896" s="33">
        <v>0</v>
      </c>
      <c r="K1896" s="33">
        <v>0</v>
      </c>
      <c r="L1896" s="33">
        <v>0</v>
      </c>
      <c r="M1896" s="33">
        <f t="shared" si="232"/>
        <v>0</v>
      </c>
      <c r="N1896" s="34">
        <f t="shared" si="238"/>
        <v>0</v>
      </c>
      <c r="O1896" s="35">
        <f>SUM($M$2:M1896)</f>
        <v>190743600</v>
      </c>
      <c r="P1896" s="34">
        <f t="shared" si="239"/>
        <v>1</v>
      </c>
      <c r="Q1896" s="37">
        <v>0</v>
      </c>
      <c r="R1896" s="31">
        <v>0</v>
      </c>
      <c r="S1896" s="31">
        <v>0</v>
      </c>
      <c r="T1896" s="31">
        <v>0</v>
      </c>
      <c r="U1896" s="37">
        <v>42.7</v>
      </c>
      <c r="V1896" s="31">
        <v>15</v>
      </c>
      <c r="W1896" s="31">
        <v>1</v>
      </c>
      <c r="X1896" s="38">
        <v>42</v>
      </c>
      <c r="Y1896" s="31">
        <v>0</v>
      </c>
      <c r="Z1896" s="31">
        <v>0</v>
      </c>
      <c r="AA1896" s="31" t="s">
        <v>212</v>
      </c>
      <c r="AB1896" s="31" t="s">
        <v>220</v>
      </c>
      <c r="AC1896" s="41">
        <f>IFERROR(LOOKUP(M1896,打分卡!$F$7:$J$7,打分卡!$K$7:$O$7),1)</f>
        <v>1</v>
      </c>
      <c r="AD1896" s="41">
        <f>IFERROR(LOOKUP(S1896,打分卡!$F$8:$J$8,打分卡!$K$8:$O$8),1)</f>
        <v>1</v>
      </c>
      <c r="AE1896" s="41">
        <f>IFERROR(LOOKUP(T1896,打分卡!$F$9:$I$9,打分卡!$K$9:$N$9),1)</f>
        <v>1</v>
      </c>
      <c r="AF1896" s="41">
        <f>IFERROR(LOOKUP(Q1896,打分卡!$F$10:$J$10,打分卡!$K$10:$O$10),1)</f>
        <v>1</v>
      </c>
      <c r="AG1896" s="41">
        <f>IFERROR(LOOKUP(R1896,打分卡!$F$11:$J$11,打分卡!$K$11:$O$11),1)</f>
        <v>1</v>
      </c>
      <c r="AH1896" s="41">
        <f>IFERROR(LOOKUP(U1896,打分卡!$F$12:$J$12,打分卡!$K$12:$O$12),1)</f>
        <v>4</v>
      </c>
      <c r="AI1896" s="41">
        <f>IFERROR(LOOKUP(X1896,打分卡!$F$13:$J$13,打分卡!$K$13:$O$13),1)</f>
        <v>3</v>
      </c>
      <c r="AJ1896" s="41">
        <f>IFERROR(LOOKUP(Y1896,打分卡!$F$14:$J$14,打分卡!$K$14:$O$14),1)</f>
        <v>1</v>
      </c>
      <c r="AK1896" s="41">
        <f>IFERROR(LOOKUP(W1896,打分卡!$F$15:$J$15,打分卡!$K$15:$O$15),1)</f>
        <v>2</v>
      </c>
      <c r="AL1896" s="43">
        <f t="shared" si="233"/>
        <v>1</v>
      </c>
      <c r="AM1896" s="41">
        <f>IFERROR(LOOKUP(Z1896,打分卡!$F$17:$H$17,打分卡!$K$17:$M$17),1)</f>
        <v>1</v>
      </c>
      <c r="AN1896" s="44">
        <f>(打分卡!$D$7*AC1896+打分卡!$D$8*AD1896+打分卡!$D$9*AE1896)/5</f>
        <v>8</v>
      </c>
      <c r="AO1896" s="44">
        <f>(打分卡!$D$10*AF1896+打分卡!$D$11*AG1896)/5</f>
        <v>4</v>
      </c>
      <c r="AP1896" s="44">
        <f>(打分卡!$D$12*AH1896+打分卡!$D$13*AI1896+打分卡!$D$14*AJ1896+打分卡!$D$15*AK1896)/5</f>
        <v>17.2</v>
      </c>
      <c r="AQ1896" s="44">
        <f>(打分卡!$D$16*AL1896+打分卡!$D$17*AM1896)/5</f>
        <v>2</v>
      </c>
      <c r="AR1896" s="47">
        <f t="shared" si="234"/>
        <v>31.2</v>
      </c>
      <c r="AS1896" s="43" t="str">
        <f t="shared" si="235"/>
        <v>未激活</v>
      </c>
      <c r="AT1896" s="43" t="str">
        <f t="shared" si="236"/>
        <v>连续下降-预警</v>
      </c>
      <c r="AU1896" s="43" t="str">
        <f t="shared" si="237"/>
        <v>唤醒：短信模板+首充补贴</v>
      </c>
    </row>
    <row r="1897" ht="15" customHeight="1" spans="1:47">
      <c r="A1897" s="20" t="s">
        <v>4787</v>
      </c>
      <c r="B1897" s="22" t="s">
        <v>4788</v>
      </c>
      <c r="C1897" s="22" t="s">
        <v>179</v>
      </c>
      <c r="D1897" s="22" t="s">
        <v>196</v>
      </c>
      <c r="E1897" s="22" t="s">
        <v>197</v>
      </c>
      <c r="F1897" s="20" t="s">
        <v>547</v>
      </c>
      <c r="G1897" s="22">
        <v>20</v>
      </c>
      <c r="H1897" s="22" t="s">
        <v>3535</v>
      </c>
      <c r="I1897" s="22" t="s">
        <v>302</v>
      </c>
      <c r="J1897" s="36">
        <v>0</v>
      </c>
      <c r="K1897" s="36">
        <v>0</v>
      </c>
      <c r="L1897" s="36">
        <v>0</v>
      </c>
      <c r="M1897" s="36">
        <f t="shared" si="232"/>
        <v>0</v>
      </c>
      <c r="N1897" s="34">
        <f t="shared" si="238"/>
        <v>0</v>
      </c>
      <c r="O1897" s="35">
        <f>SUM($M$2:M1897)</f>
        <v>190743600</v>
      </c>
      <c r="P1897" s="34">
        <f t="shared" si="239"/>
        <v>1</v>
      </c>
      <c r="Q1897" s="39">
        <v>0</v>
      </c>
      <c r="R1897" s="22">
        <v>0</v>
      </c>
      <c r="S1897" s="22">
        <v>0</v>
      </c>
      <c r="T1897" s="22">
        <v>0</v>
      </c>
      <c r="U1897" s="39">
        <v>0.9</v>
      </c>
      <c r="V1897" s="22">
        <v>10</v>
      </c>
      <c r="W1897" s="22">
        <v>0</v>
      </c>
      <c r="X1897" s="40">
        <v>7</v>
      </c>
      <c r="Y1897" s="22">
        <v>0</v>
      </c>
      <c r="Z1897" s="22">
        <v>0</v>
      </c>
      <c r="AA1897" s="22" t="s">
        <v>212</v>
      </c>
      <c r="AB1897" s="22" t="s">
        <v>220</v>
      </c>
      <c r="AC1897" s="42">
        <f>IFERROR(LOOKUP(M1897,打分卡!$F$7:$J$7,打分卡!$K$7:$O$7),1)</f>
        <v>1</v>
      </c>
      <c r="AD1897" s="42">
        <f>IFERROR(LOOKUP(S1897,打分卡!$F$8:$J$8,打分卡!$K$8:$O$8),1)</f>
        <v>1</v>
      </c>
      <c r="AE1897" s="42">
        <f>IFERROR(LOOKUP(T1897,打分卡!$F$9:$I$9,打分卡!$K$9:$N$9),1)</f>
        <v>1</v>
      </c>
      <c r="AF1897" s="42">
        <f>IFERROR(LOOKUP(Q1897,打分卡!$F$10:$J$10,打分卡!$K$10:$O$10),1)</f>
        <v>1</v>
      </c>
      <c r="AG1897" s="42">
        <f>IFERROR(LOOKUP(R1897,打分卡!$F$11:$J$11,打分卡!$K$11:$O$11),1)</f>
        <v>1</v>
      </c>
      <c r="AH1897" s="42">
        <f>IFERROR(LOOKUP(U1897,打分卡!$F$12:$J$12,打分卡!$K$12:$O$12),1)</f>
        <v>1</v>
      </c>
      <c r="AI1897" s="42">
        <f>IFERROR(LOOKUP(X1897,打分卡!$F$13:$J$13,打分卡!$K$13:$O$13),1)</f>
        <v>1</v>
      </c>
      <c r="AJ1897" s="42">
        <f>IFERROR(LOOKUP(Y1897,打分卡!$F$14:$J$14,打分卡!$K$14:$O$14),1)</f>
        <v>1</v>
      </c>
      <c r="AK1897" s="42">
        <f>IFERROR(LOOKUP(W1897,打分卡!$F$15:$J$15,打分卡!$K$15:$O$15),1)</f>
        <v>1</v>
      </c>
      <c r="AL1897" s="45">
        <f t="shared" si="233"/>
        <v>1</v>
      </c>
      <c r="AM1897" s="42">
        <f>IFERROR(LOOKUP(Z1897,打分卡!$F$17:$H$17,打分卡!$K$17:$M$17),1)</f>
        <v>1</v>
      </c>
      <c r="AN1897" s="46">
        <f>(打分卡!$D$7*AC1897+打分卡!$D$8*AD1897+打分卡!$D$9*AE1897)/5</f>
        <v>8</v>
      </c>
      <c r="AO1897" s="46">
        <f>(打分卡!$D$10*AF1897+打分卡!$D$11*AG1897)/5</f>
        <v>4</v>
      </c>
      <c r="AP1897" s="46">
        <f>(打分卡!$D$12*AH1897+打分卡!$D$13*AI1897+打分卡!$D$14*AJ1897+打分卡!$D$15*AK1897)/5</f>
        <v>6</v>
      </c>
      <c r="AQ1897" s="46">
        <f>(打分卡!$D$16*AL1897+打分卡!$D$17*AM1897)/5</f>
        <v>2</v>
      </c>
      <c r="AR1897" s="48">
        <f t="shared" si="234"/>
        <v>20</v>
      </c>
      <c r="AS1897" s="45" t="str">
        <f t="shared" si="235"/>
        <v>未激活</v>
      </c>
      <c r="AT1897" s="45" t="str">
        <f t="shared" si="236"/>
        <v>连续下降-预警</v>
      </c>
      <c r="AU1897" s="45" t="str">
        <f t="shared" si="237"/>
        <v>唤醒：短信模板+首充补贴</v>
      </c>
    </row>
    <row r="1898" ht="15" customHeight="1" spans="1:47">
      <c r="A1898" s="30" t="s">
        <v>4789</v>
      </c>
      <c r="B1898" s="31" t="s">
        <v>4790</v>
      </c>
      <c r="C1898" s="31" t="s">
        <v>218</v>
      </c>
      <c r="D1898" s="31" t="s">
        <v>196</v>
      </c>
      <c r="E1898" s="31" t="s">
        <v>181</v>
      </c>
      <c r="F1898" s="30" t="s">
        <v>4791</v>
      </c>
      <c r="G1898" s="31">
        <v>14</v>
      </c>
      <c r="H1898" s="31" t="s">
        <v>3535</v>
      </c>
      <c r="I1898" s="31" t="s">
        <v>302</v>
      </c>
      <c r="J1898" s="33">
        <v>0</v>
      </c>
      <c r="K1898" s="33">
        <v>0</v>
      </c>
      <c r="L1898" s="33">
        <v>0</v>
      </c>
      <c r="M1898" s="33">
        <f t="shared" si="232"/>
        <v>0</v>
      </c>
      <c r="N1898" s="34">
        <f t="shared" si="238"/>
        <v>0</v>
      </c>
      <c r="O1898" s="35">
        <f>SUM($M$2:M1898)</f>
        <v>190743600</v>
      </c>
      <c r="P1898" s="34">
        <f t="shared" si="239"/>
        <v>1</v>
      </c>
      <c r="Q1898" s="37">
        <v>0</v>
      </c>
      <c r="R1898" s="31">
        <v>0</v>
      </c>
      <c r="S1898" s="31">
        <v>0</v>
      </c>
      <c r="T1898" s="31">
        <v>0</v>
      </c>
      <c r="U1898" s="37">
        <v>1</v>
      </c>
      <c r="V1898" s="31">
        <v>0</v>
      </c>
      <c r="W1898" s="31">
        <v>0</v>
      </c>
      <c r="X1898" s="38">
        <v>7</v>
      </c>
      <c r="Y1898" s="31">
        <v>0</v>
      </c>
      <c r="Z1898" s="31">
        <v>0</v>
      </c>
      <c r="AA1898" s="31" t="s">
        <v>212</v>
      </c>
      <c r="AB1898" s="31" t="s">
        <v>220</v>
      </c>
      <c r="AC1898" s="41">
        <f>IFERROR(LOOKUP(M1898,打分卡!$F$7:$J$7,打分卡!$K$7:$O$7),1)</f>
        <v>1</v>
      </c>
      <c r="AD1898" s="41">
        <f>IFERROR(LOOKUP(S1898,打分卡!$F$8:$J$8,打分卡!$K$8:$O$8),1)</f>
        <v>1</v>
      </c>
      <c r="AE1898" s="41">
        <f>IFERROR(LOOKUP(T1898,打分卡!$F$9:$I$9,打分卡!$K$9:$N$9),1)</f>
        <v>1</v>
      </c>
      <c r="AF1898" s="41">
        <f>IFERROR(LOOKUP(Q1898,打分卡!$F$10:$J$10,打分卡!$K$10:$O$10),1)</f>
        <v>1</v>
      </c>
      <c r="AG1898" s="41">
        <f>IFERROR(LOOKUP(R1898,打分卡!$F$11:$J$11,打分卡!$K$11:$O$11),1)</f>
        <v>1</v>
      </c>
      <c r="AH1898" s="41">
        <f>IFERROR(LOOKUP(U1898,打分卡!$F$12:$J$12,打分卡!$K$12:$O$12),1)</f>
        <v>1</v>
      </c>
      <c r="AI1898" s="41">
        <f>IFERROR(LOOKUP(X1898,打分卡!$F$13:$J$13,打分卡!$K$13:$O$13),1)</f>
        <v>1</v>
      </c>
      <c r="AJ1898" s="41">
        <f>IFERROR(LOOKUP(Y1898,打分卡!$F$14:$J$14,打分卡!$K$14:$O$14),1)</f>
        <v>1</v>
      </c>
      <c r="AK1898" s="41">
        <f>IFERROR(LOOKUP(W1898,打分卡!$F$15:$J$15,打分卡!$K$15:$O$15),1)</f>
        <v>1</v>
      </c>
      <c r="AL1898" s="43">
        <f t="shared" si="233"/>
        <v>1</v>
      </c>
      <c r="AM1898" s="41">
        <f>IFERROR(LOOKUP(Z1898,打分卡!$F$17:$H$17,打分卡!$K$17:$M$17),1)</f>
        <v>1</v>
      </c>
      <c r="AN1898" s="44">
        <f>(打分卡!$D$7*AC1898+打分卡!$D$8*AD1898+打分卡!$D$9*AE1898)/5</f>
        <v>8</v>
      </c>
      <c r="AO1898" s="44">
        <f>(打分卡!$D$10*AF1898+打分卡!$D$11*AG1898)/5</f>
        <v>4</v>
      </c>
      <c r="AP1898" s="44">
        <f>(打分卡!$D$12*AH1898+打分卡!$D$13*AI1898+打分卡!$D$14*AJ1898+打分卡!$D$15*AK1898)/5</f>
        <v>6</v>
      </c>
      <c r="AQ1898" s="44">
        <f>(打分卡!$D$16*AL1898+打分卡!$D$17*AM1898)/5</f>
        <v>2</v>
      </c>
      <c r="AR1898" s="47">
        <f t="shared" si="234"/>
        <v>20</v>
      </c>
      <c r="AS1898" s="43" t="str">
        <f t="shared" si="235"/>
        <v>未激活</v>
      </c>
      <c r="AT1898" s="43" t="str">
        <f t="shared" si="236"/>
        <v>连续下降-预警</v>
      </c>
      <c r="AU1898" s="43" t="str">
        <f t="shared" si="237"/>
        <v>唤醒：短信模板+首充补贴</v>
      </c>
    </row>
    <row r="1899" ht="15" customHeight="1" spans="1:47">
      <c r="A1899" s="20" t="s">
        <v>4792</v>
      </c>
      <c r="B1899" s="22" t="s">
        <v>4793</v>
      </c>
      <c r="C1899" s="22" t="s">
        <v>209</v>
      </c>
      <c r="D1899" s="22" t="s">
        <v>196</v>
      </c>
      <c r="E1899" s="22" t="s">
        <v>181</v>
      </c>
      <c r="F1899" s="20" t="s">
        <v>369</v>
      </c>
      <c r="G1899" s="22">
        <v>14</v>
      </c>
      <c r="H1899" s="22" t="s">
        <v>3535</v>
      </c>
      <c r="I1899" s="22" t="s">
        <v>302</v>
      </c>
      <c r="J1899" s="36">
        <v>0</v>
      </c>
      <c r="K1899" s="36">
        <v>0</v>
      </c>
      <c r="L1899" s="36">
        <v>0</v>
      </c>
      <c r="M1899" s="36">
        <f t="shared" si="232"/>
        <v>0</v>
      </c>
      <c r="N1899" s="34">
        <f t="shared" si="238"/>
        <v>0</v>
      </c>
      <c r="O1899" s="35">
        <f>SUM($M$2:M1899)</f>
        <v>190743600</v>
      </c>
      <c r="P1899" s="34">
        <f t="shared" si="239"/>
        <v>1</v>
      </c>
      <c r="Q1899" s="39">
        <v>0</v>
      </c>
      <c r="R1899" s="22">
        <v>0</v>
      </c>
      <c r="S1899" s="22">
        <v>0</v>
      </c>
      <c r="T1899" s="22">
        <v>0</v>
      </c>
      <c r="U1899" s="39">
        <v>21.4</v>
      </c>
      <c r="V1899" s="22">
        <v>4</v>
      </c>
      <c r="W1899" s="22">
        <v>2</v>
      </c>
      <c r="X1899" s="40">
        <v>19</v>
      </c>
      <c r="Y1899" s="22">
        <v>0</v>
      </c>
      <c r="Z1899" s="22">
        <v>0</v>
      </c>
      <c r="AA1899" s="22" t="s">
        <v>212</v>
      </c>
      <c r="AB1899" s="22" t="s">
        <v>220</v>
      </c>
      <c r="AC1899" s="42">
        <f>IFERROR(LOOKUP(M1899,打分卡!$F$7:$J$7,打分卡!$K$7:$O$7),1)</f>
        <v>1</v>
      </c>
      <c r="AD1899" s="42">
        <f>IFERROR(LOOKUP(S1899,打分卡!$F$8:$J$8,打分卡!$K$8:$O$8),1)</f>
        <v>1</v>
      </c>
      <c r="AE1899" s="42">
        <f>IFERROR(LOOKUP(T1899,打分卡!$F$9:$I$9,打分卡!$K$9:$N$9),1)</f>
        <v>1</v>
      </c>
      <c r="AF1899" s="42">
        <f>IFERROR(LOOKUP(Q1899,打分卡!$F$10:$J$10,打分卡!$K$10:$O$10),1)</f>
        <v>1</v>
      </c>
      <c r="AG1899" s="42">
        <f>IFERROR(LOOKUP(R1899,打分卡!$F$11:$J$11,打分卡!$K$11:$O$11),1)</f>
        <v>1</v>
      </c>
      <c r="AH1899" s="42">
        <f>IFERROR(LOOKUP(U1899,打分卡!$F$12:$J$12,打分卡!$K$12:$O$12),1)</f>
        <v>3</v>
      </c>
      <c r="AI1899" s="42">
        <f>IFERROR(LOOKUP(X1899,打分卡!$F$13:$J$13,打分卡!$K$13:$O$13),1)</f>
        <v>2</v>
      </c>
      <c r="AJ1899" s="42">
        <f>IFERROR(LOOKUP(Y1899,打分卡!$F$14:$J$14,打分卡!$K$14:$O$14),1)</f>
        <v>1</v>
      </c>
      <c r="AK1899" s="42">
        <f>IFERROR(LOOKUP(W1899,打分卡!$F$15:$J$15,打分卡!$K$15:$O$15),1)</f>
        <v>2</v>
      </c>
      <c r="AL1899" s="45">
        <f t="shared" si="233"/>
        <v>1</v>
      </c>
      <c r="AM1899" s="42">
        <f>IFERROR(LOOKUP(Z1899,打分卡!$F$17:$H$17,打分卡!$K$17:$M$17),1)</f>
        <v>1</v>
      </c>
      <c r="AN1899" s="46">
        <f>(打分卡!$D$7*AC1899+打分卡!$D$8*AD1899+打分卡!$D$9*AE1899)/5</f>
        <v>8</v>
      </c>
      <c r="AO1899" s="46">
        <f>(打分卡!$D$10*AF1899+打分卡!$D$11*AG1899)/5</f>
        <v>4</v>
      </c>
      <c r="AP1899" s="46">
        <f>(打分卡!$D$12*AH1899+打分卡!$D$13*AI1899+打分卡!$D$14*AJ1899+打分卡!$D$15*AK1899)/5</f>
        <v>13.2</v>
      </c>
      <c r="AQ1899" s="46">
        <f>(打分卡!$D$16*AL1899+打分卡!$D$17*AM1899)/5</f>
        <v>2</v>
      </c>
      <c r="AR1899" s="48">
        <f t="shared" si="234"/>
        <v>27.2</v>
      </c>
      <c r="AS1899" s="45" t="str">
        <f t="shared" si="235"/>
        <v>未激活</v>
      </c>
      <c r="AT1899" s="45" t="str">
        <f t="shared" si="236"/>
        <v>连续下降-预警</v>
      </c>
      <c r="AU1899" s="45" t="str">
        <f t="shared" si="237"/>
        <v>唤醒：短信模板+首充补贴</v>
      </c>
    </row>
    <row r="1900" ht="15" customHeight="1" spans="1:47">
      <c r="A1900" s="30" t="s">
        <v>4794</v>
      </c>
      <c r="B1900" s="31" t="s">
        <v>4795</v>
      </c>
      <c r="C1900" s="31" t="s">
        <v>239</v>
      </c>
      <c r="D1900" s="31" t="s">
        <v>196</v>
      </c>
      <c r="E1900" s="31" t="s">
        <v>181</v>
      </c>
      <c r="F1900" s="30" t="s">
        <v>4417</v>
      </c>
      <c r="G1900" s="31">
        <v>30</v>
      </c>
      <c r="H1900" s="31" t="s">
        <v>3535</v>
      </c>
      <c r="I1900" s="31" t="s">
        <v>302</v>
      </c>
      <c r="J1900" s="33">
        <v>0</v>
      </c>
      <c r="K1900" s="33">
        <v>0</v>
      </c>
      <c r="L1900" s="33">
        <v>0</v>
      </c>
      <c r="M1900" s="33">
        <f t="shared" si="232"/>
        <v>0</v>
      </c>
      <c r="N1900" s="34">
        <f t="shared" si="238"/>
        <v>0</v>
      </c>
      <c r="O1900" s="35">
        <f>SUM($M$2:M1900)</f>
        <v>190743600</v>
      </c>
      <c r="P1900" s="34">
        <f t="shared" si="239"/>
        <v>1</v>
      </c>
      <c r="Q1900" s="37">
        <v>0</v>
      </c>
      <c r="R1900" s="31">
        <v>0</v>
      </c>
      <c r="S1900" s="31">
        <v>0</v>
      </c>
      <c r="T1900" s="31">
        <v>0</v>
      </c>
      <c r="U1900" s="37">
        <v>5.8</v>
      </c>
      <c r="V1900" s="31">
        <v>7</v>
      </c>
      <c r="W1900" s="31">
        <v>1</v>
      </c>
      <c r="X1900" s="38">
        <v>8</v>
      </c>
      <c r="Y1900" s="31">
        <v>0</v>
      </c>
      <c r="Z1900" s="31">
        <v>0</v>
      </c>
      <c r="AA1900" s="31" t="s">
        <v>212</v>
      </c>
      <c r="AB1900" s="31" t="s">
        <v>220</v>
      </c>
      <c r="AC1900" s="41">
        <f>IFERROR(LOOKUP(M1900,打分卡!$F$7:$J$7,打分卡!$K$7:$O$7),1)</f>
        <v>1</v>
      </c>
      <c r="AD1900" s="41">
        <f>IFERROR(LOOKUP(S1900,打分卡!$F$8:$J$8,打分卡!$K$8:$O$8),1)</f>
        <v>1</v>
      </c>
      <c r="AE1900" s="41">
        <f>IFERROR(LOOKUP(T1900,打分卡!$F$9:$I$9,打分卡!$K$9:$N$9),1)</f>
        <v>1</v>
      </c>
      <c r="AF1900" s="41">
        <f>IFERROR(LOOKUP(Q1900,打分卡!$F$10:$J$10,打分卡!$K$10:$O$10),1)</f>
        <v>1</v>
      </c>
      <c r="AG1900" s="41">
        <f>IFERROR(LOOKUP(R1900,打分卡!$F$11:$J$11,打分卡!$K$11:$O$11),1)</f>
        <v>1</v>
      </c>
      <c r="AH1900" s="41">
        <f>IFERROR(LOOKUP(U1900,打分卡!$F$12:$J$12,打分卡!$K$12:$O$12),1)</f>
        <v>2</v>
      </c>
      <c r="AI1900" s="41">
        <f>IFERROR(LOOKUP(X1900,打分卡!$F$13:$J$13,打分卡!$K$13:$O$13),1)</f>
        <v>1</v>
      </c>
      <c r="AJ1900" s="41">
        <f>IFERROR(LOOKUP(Y1900,打分卡!$F$14:$J$14,打分卡!$K$14:$O$14),1)</f>
        <v>1</v>
      </c>
      <c r="AK1900" s="41">
        <f>IFERROR(LOOKUP(W1900,打分卡!$F$15:$J$15,打分卡!$K$15:$O$15),1)</f>
        <v>2</v>
      </c>
      <c r="AL1900" s="43">
        <f t="shared" si="233"/>
        <v>1</v>
      </c>
      <c r="AM1900" s="41">
        <f>IFERROR(LOOKUP(Z1900,打分卡!$F$17:$H$17,打分卡!$K$17:$M$17),1)</f>
        <v>1</v>
      </c>
      <c r="AN1900" s="44">
        <f>(打分卡!$D$7*AC1900+打分卡!$D$8*AD1900+打分卡!$D$9*AE1900)/5</f>
        <v>8</v>
      </c>
      <c r="AO1900" s="44">
        <f>(打分卡!$D$10*AF1900+打分卡!$D$11*AG1900)/5</f>
        <v>4</v>
      </c>
      <c r="AP1900" s="44">
        <f>(打分卡!$D$12*AH1900+打分卡!$D$13*AI1900+打分卡!$D$14*AJ1900+打分卡!$D$15*AK1900)/5</f>
        <v>9.2</v>
      </c>
      <c r="AQ1900" s="44">
        <f>(打分卡!$D$16*AL1900+打分卡!$D$17*AM1900)/5</f>
        <v>2</v>
      </c>
      <c r="AR1900" s="47">
        <f t="shared" si="234"/>
        <v>23.2</v>
      </c>
      <c r="AS1900" s="43" t="str">
        <f t="shared" si="235"/>
        <v>未激活</v>
      </c>
      <c r="AT1900" s="43" t="str">
        <f t="shared" si="236"/>
        <v>连续下降-预警</v>
      </c>
      <c r="AU1900" s="43" t="str">
        <f t="shared" si="237"/>
        <v>唤醒：短信模板+首充补贴</v>
      </c>
    </row>
    <row r="1901" ht="15" customHeight="1" spans="1:47">
      <c r="A1901" s="20" t="s">
        <v>4796</v>
      </c>
      <c r="B1901" s="22" t="s">
        <v>4797</v>
      </c>
      <c r="C1901" s="22" t="s">
        <v>189</v>
      </c>
      <c r="D1901" s="22" t="s">
        <v>227</v>
      </c>
      <c r="E1901" s="22" t="s">
        <v>197</v>
      </c>
      <c r="F1901" s="20" t="s">
        <v>4798</v>
      </c>
      <c r="G1901" s="22">
        <v>31</v>
      </c>
      <c r="H1901" s="22" t="s">
        <v>3535</v>
      </c>
      <c r="I1901" s="22" t="s">
        <v>302</v>
      </c>
      <c r="J1901" s="36">
        <v>0</v>
      </c>
      <c r="K1901" s="36">
        <v>0</v>
      </c>
      <c r="L1901" s="36">
        <v>0</v>
      </c>
      <c r="M1901" s="36">
        <f t="shared" si="232"/>
        <v>0</v>
      </c>
      <c r="N1901" s="34">
        <f t="shared" si="238"/>
        <v>0</v>
      </c>
      <c r="O1901" s="35">
        <f>SUM($M$2:M1901)</f>
        <v>190743600</v>
      </c>
      <c r="P1901" s="34">
        <f t="shared" si="239"/>
        <v>1</v>
      </c>
      <c r="Q1901" s="39">
        <v>0</v>
      </c>
      <c r="R1901" s="22">
        <v>0</v>
      </c>
      <c r="S1901" s="22">
        <v>0</v>
      </c>
      <c r="T1901" s="22">
        <v>0</v>
      </c>
      <c r="U1901" s="39">
        <v>4.7</v>
      </c>
      <c r="V1901" s="22">
        <v>5</v>
      </c>
      <c r="W1901" s="22">
        <v>1</v>
      </c>
      <c r="X1901" s="40">
        <v>47</v>
      </c>
      <c r="Y1901" s="22">
        <v>0</v>
      </c>
      <c r="Z1901" s="22">
        <v>0</v>
      </c>
      <c r="AA1901" s="22" t="s">
        <v>212</v>
      </c>
      <c r="AB1901" s="22" t="s">
        <v>220</v>
      </c>
      <c r="AC1901" s="42">
        <f>IFERROR(LOOKUP(M1901,打分卡!$F$7:$J$7,打分卡!$K$7:$O$7),1)</f>
        <v>1</v>
      </c>
      <c r="AD1901" s="42">
        <f>IFERROR(LOOKUP(S1901,打分卡!$F$8:$J$8,打分卡!$K$8:$O$8),1)</f>
        <v>1</v>
      </c>
      <c r="AE1901" s="42">
        <f>IFERROR(LOOKUP(T1901,打分卡!$F$9:$I$9,打分卡!$K$9:$N$9),1)</f>
        <v>1</v>
      </c>
      <c r="AF1901" s="42">
        <f>IFERROR(LOOKUP(Q1901,打分卡!$F$10:$J$10,打分卡!$K$10:$O$10),1)</f>
        <v>1</v>
      </c>
      <c r="AG1901" s="42">
        <f>IFERROR(LOOKUP(R1901,打分卡!$F$11:$J$11,打分卡!$K$11:$O$11),1)</f>
        <v>1</v>
      </c>
      <c r="AH1901" s="42">
        <f>IFERROR(LOOKUP(U1901,打分卡!$F$12:$J$12,打分卡!$K$12:$O$12),1)</f>
        <v>2</v>
      </c>
      <c r="AI1901" s="42">
        <f>IFERROR(LOOKUP(X1901,打分卡!$F$13:$J$13,打分卡!$K$13:$O$13),1)</f>
        <v>3</v>
      </c>
      <c r="AJ1901" s="42">
        <f>IFERROR(LOOKUP(Y1901,打分卡!$F$14:$J$14,打分卡!$K$14:$O$14),1)</f>
        <v>1</v>
      </c>
      <c r="AK1901" s="42">
        <f>IFERROR(LOOKUP(W1901,打分卡!$F$15:$J$15,打分卡!$K$15:$O$15),1)</f>
        <v>2</v>
      </c>
      <c r="AL1901" s="45">
        <f t="shared" si="233"/>
        <v>1</v>
      </c>
      <c r="AM1901" s="42">
        <f>IFERROR(LOOKUP(Z1901,打分卡!$F$17:$H$17,打分卡!$K$17:$M$17),1)</f>
        <v>1</v>
      </c>
      <c r="AN1901" s="46">
        <f>(打分卡!$D$7*AC1901+打分卡!$D$8*AD1901+打分卡!$D$9*AE1901)/5</f>
        <v>8</v>
      </c>
      <c r="AO1901" s="46">
        <f>(打分卡!$D$10*AF1901+打分卡!$D$11*AG1901)/5</f>
        <v>4</v>
      </c>
      <c r="AP1901" s="46">
        <f>(打分卡!$D$12*AH1901+打分卡!$D$13*AI1901+打分卡!$D$14*AJ1901+打分卡!$D$15*AK1901)/5</f>
        <v>12.4</v>
      </c>
      <c r="AQ1901" s="46">
        <f>(打分卡!$D$16*AL1901+打分卡!$D$17*AM1901)/5</f>
        <v>2</v>
      </c>
      <c r="AR1901" s="48">
        <f t="shared" si="234"/>
        <v>26.4</v>
      </c>
      <c r="AS1901" s="45" t="str">
        <f t="shared" si="235"/>
        <v>未激活</v>
      </c>
      <c r="AT1901" s="45" t="str">
        <f t="shared" si="236"/>
        <v>连续下降-预警</v>
      </c>
      <c r="AU1901" s="45" t="str">
        <f t="shared" si="237"/>
        <v>唤醒：短信模板+首充补贴</v>
      </c>
    </row>
    <row r="1902" ht="15" customHeight="1" spans="1:47">
      <c r="A1902" s="30" t="s">
        <v>4799</v>
      </c>
      <c r="B1902" s="31" t="s">
        <v>4800</v>
      </c>
      <c r="C1902" s="31" t="s">
        <v>189</v>
      </c>
      <c r="D1902" s="31" t="s">
        <v>190</v>
      </c>
      <c r="E1902" s="31" t="s">
        <v>181</v>
      </c>
      <c r="F1902" s="30" t="s">
        <v>1776</v>
      </c>
      <c r="G1902" s="31">
        <v>20</v>
      </c>
      <c r="H1902" s="31" t="s">
        <v>3535</v>
      </c>
      <c r="I1902" s="31" t="s">
        <v>302</v>
      </c>
      <c r="J1902" s="33">
        <v>0</v>
      </c>
      <c r="K1902" s="33">
        <v>0</v>
      </c>
      <c r="L1902" s="33">
        <v>0</v>
      </c>
      <c r="M1902" s="33">
        <f t="shared" si="232"/>
        <v>0</v>
      </c>
      <c r="N1902" s="34">
        <f t="shared" si="238"/>
        <v>0</v>
      </c>
      <c r="O1902" s="35">
        <f>SUM($M$2:M1902)</f>
        <v>190743600</v>
      </c>
      <c r="P1902" s="34">
        <f t="shared" si="239"/>
        <v>1</v>
      </c>
      <c r="Q1902" s="37">
        <v>0</v>
      </c>
      <c r="R1902" s="31">
        <v>0</v>
      </c>
      <c r="S1902" s="31">
        <v>0</v>
      </c>
      <c r="T1902" s="31">
        <v>0</v>
      </c>
      <c r="U1902" s="37">
        <v>2.2</v>
      </c>
      <c r="V1902" s="31">
        <v>7</v>
      </c>
      <c r="W1902" s="31">
        <v>2</v>
      </c>
      <c r="X1902" s="38">
        <v>24</v>
      </c>
      <c r="Y1902" s="31">
        <v>0</v>
      </c>
      <c r="Z1902" s="31">
        <v>0</v>
      </c>
      <c r="AA1902" s="31" t="s">
        <v>212</v>
      </c>
      <c r="AB1902" s="31" t="s">
        <v>220</v>
      </c>
      <c r="AC1902" s="41">
        <f>IFERROR(LOOKUP(M1902,打分卡!$F$7:$J$7,打分卡!$K$7:$O$7),1)</f>
        <v>1</v>
      </c>
      <c r="AD1902" s="41">
        <f>IFERROR(LOOKUP(S1902,打分卡!$F$8:$J$8,打分卡!$K$8:$O$8),1)</f>
        <v>1</v>
      </c>
      <c r="AE1902" s="41">
        <f>IFERROR(LOOKUP(T1902,打分卡!$F$9:$I$9,打分卡!$K$9:$N$9),1)</f>
        <v>1</v>
      </c>
      <c r="AF1902" s="41">
        <f>IFERROR(LOOKUP(Q1902,打分卡!$F$10:$J$10,打分卡!$K$10:$O$10),1)</f>
        <v>1</v>
      </c>
      <c r="AG1902" s="41">
        <f>IFERROR(LOOKUP(R1902,打分卡!$F$11:$J$11,打分卡!$K$11:$O$11),1)</f>
        <v>1</v>
      </c>
      <c r="AH1902" s="41">
        <f>IFERROR(LOOKUP(U1902,打分卡!$F$12:$J$12,打分卡!$K$12:$O$12),1)</f>
        <v>1</v>
      </c>
      <c r="AI1902" s="41">
        <f>IFERROR(LOOKUP(X1902,打分卡!$F$13:$J$13,打分卡!$K$13:$O$13),1)</f>
        <v>2</v>
      </c>
      <c r="AJ1902" s="41">
        <f>IFERROR(LOOKUP(Y1902,打分卡!$F$14:$J$14,打分卡!$K$14:$O$14),1)</f>
        <v>1</v>
      </c>
      <c r="AK1902" s="41">
        <f>IFERROR(LOOKUP(W1902,打分卡!$F$15:$J$15,打分卡!$K$15:$O$15),1)</f>
        <v>2</v>
      </c>
      <c r="AL1902" s="43">
        <f t="shared" si="233"/>
        <v>1</v>
      </c>
      <c r="AM1902" s="41">
        <f>IFERROR(LOOKUP(Z1902,打分卡!$F$17:$H$17,打分卡!$K$17:$M$17),1)</f>
        <v>1</v>
      </c>
      <c r="AN1902" s="44">
        <f>(打分卡!$D$7*AC1902+打分卡!$D$8*AD1902+打分卡!$D$9*AE1902)/5</f>
        <v>8</v>
      </c>
      <c r="AO1902" s="44">
        <f>(打分卡!$D$10*AF1902+打分卡!$D$11*AG1902)/5</f>
        <v>4</v>
      </c>
      <c r="AP1902" s="44">
        <f>(打分卡!$D$12*AH1902+打分卡!$D$13*AI1902+打分卡!$D$14*AJ1902+打分卡!$D$15*AK1902)/5</f>
        <v>8.4</v>
      </c>
      <c r="AQ1902" s="44">
        <f>(打分卡!$D$16*AL1902+打分卡!$D$17*AM1902)/5</f>
        <v>2</v>
      </c>
      <c r="AR1902" s="47">
        <f t="shared" si="234"/>
        <v>22.4</v>
      </c>
      <c r="AS1902" s="43" t="str">
        <f t="shared" si="235"/>
        <v>未激活</v>
      </c>
      <c r="AT1902" s="43" t="str">
        <f t="shared" si="236"/>
        <v>连续下降-预警</v>
      </c>
      <c r="AU1902" s="43" t="str">
        <f t="shared" si="237"/>
        <v>唤醒：短信模板+首充补贴</v>
      </c>
    </row>
    <row r="1903" ht="15" customHeight="1" spans="1:47">
      <c r="A1903" s="20" t="s">
        <v>4801</v>
      </c>
      <c r="B1903" s="22" t="s">
        <v>4802</v>
      </c>
      <c r="C1903" s="22" t="s">
        <v>189</v>
      </c>
      <c r="D1903" s="22" t="s">
        <v>196</v>
      </c>
      <c r="E1903" s="22" t="s">
        <v>197</v>
      </c>
      <c r="F1903" s="20" t="s">
        <v>491</v>
      </c>
      <c r="G1903" s="22">
        <v>25</v>
      </c>
      <c r="H1903" s="22" t="s">
        <v>3535</v>
      </c>
      <c r="I1903" s="22" t="s">
        <v>302</v>
      </c>
      <c r="J1903" s="36">
        <v>0</v>
      </c>
      <c r="K1903" s="36">
        <v>0</v>
      </c>
      <c r="L1903" s="36">
        <v>0</v>
      </c>
      <c r="M1903" s="36">
        <f t="shared" si="232"/>
        <v>0</v>
      </c>
      <c r="N1903" s="34">
        <f t="shared" si="238"/>
        <v>0</v>
      </c>
      <c r="O1903" s="35">
        <f>SUM($M$2:M1903)</f>
        <v>190743600</v>
      </c>
      <c r="P1903" s="34">
        <f t="shared" si="239"/>
        <v>1</v>
      </c>
      <c r="Q1903" s="39">
        <v>0</v>
      </c>
      <c r="R1903" s="22">
        <v>0</v>
      </c>
      <c r="S1903" s="22">
        <v>0</v>
      </c>
      <c r="T1903" s="22">
        <v>0</v>
      </c>
      <c r="U1903" s="39">
        <v>6.1</v>
      </c>
      <c r="V1903" s="22">
        <v>7</v>
      </c>
      <c r="W1903" s="22">
        <v>1</v>
      </c>
      <c r="X1903" s="40">
        <v>42</v>
      </c>
      <c r="Y1903" s="22">
        <v>1</v>
      </c>
      <c r="Z1903" s="22">
        <v>0</v>
      </c>
      <c r="AA1903" s="22" t="s">
        <v>212</v>
      </c>
      <c r="AB1903" s="22" t="s">
        <v>220</v>
      </c>
      <c r="AC1903" s="42">
        <f>IFERROR(LOOKUP(M1903,打分卡!$F$7:$J$7,打分卡!$K$7:$O$7),1)</f>
        <v>1</v>
      </c>
      <c r="AD1903" s="42">
        <f>IFERROR(LOOKUP(S1903,打分卡!$F$8:$J$8,打分卡!$K$8:$O$8),1)</f>
        <v>1</v>
      </c>
      <c r="AE1903" s="42">
        <f>IFERROR(LOOKUP(T1903,打分卡!$F$9:$I$9,打分卡!$K$9:$N$9),1)</f>
        <v>1</v>
      </c>
      <c r="AF1903" s="42">
        <f>IFERROR(LOOKUP(Q1903,打分卡!$F$10:$J$10,打分卡!$K$10:$O$10),1)</f>
        <v>1</v>
      </c>
      <c r="AG1903" s="42">
        <f>IFERROR(LOOKUP(R1903,打分卡!$F$11:$J$11,打分卡!$K$11:$O$11),1)</f>
        <v>1</v>
      </c>
      <c r="AH1903" s="42">
        <f>IFERROR(LOOKUP(U1903,打分卡!$F$12:$J$12,打分卡!$K$12:$O$12),1)</f>
        <v>2</v>
      </c>
      <c r="AI1903" s="42">
        <f>IFERROR(LOOKUP(X1903,打分卡!$F$13:$J$13,打分卡!$K$13:$O$13),1)</f>
        <v>3</v>
      </c>
      <c r="AJ1903" s="42">
        <f>IFERROR(LOOKUP(Y1903,打分卡!$F$14:$J$14,打分卡!$K$14:$O$14),1)</f>
        <v>2</v>
      </c>
      <c r="AK1903" s="42">
        <f>IFERROR(LOOKUP(W1903,打分卡!$F$15:$J$15,打分卡!$K$15:$O$15),1)</f>
        <v>2</v>
      </c>
      <c r="AL1903" s="45">
        <f t="shared" si="233"/>
        <v>1</v>
      </c>
      <c r="AM1903" s="42">
        <f>IFERROR(LOOKUP(Z1903,打分卡!$F$17:$H$17,打分卡!$K$17:$M$17),1)</f>
        <v>1</v>
      </c>
      <c r="AN1903" s="46">
        <f>(打分卡!$D$7*AC1903+打分卡!$D$8*AD1903+打分卡!$D$9*AE1903)/5</f>
        <v>8</v>
      </c>
      <c r="AO1903" s="46">
        <f>(打分卡!$D$10*AF1903+打分卡!$D$11*AG1903)/5</f>
        <v>4</v>
      </c>
      <c r="AP1903" s="46">
        <f>(打分卡!$D$12*AH1903+打分卡!$D$13*AI1903+打分卡!$D$14*AJ1903+打分卡!$D$15*AK1903)/5</f>
        <v>13.6</v>
      </c>
      <c r="AQ1903" s="46">
        <f>(打分卡!$D$16*AL1903+打分卡!$D$17*AM1903)/5</f>
        <v>2</v>
      </c>
      <c r="AR1903" s="48">
        <f t="shared" si="234"/>
        <v>27.6</v>
      </c>
      <c r="AS1903" s="45" t="str">
        <f t="shared" si="235"/>
        <v>未激活</v>
      </c>
      <c r="AT1903" s="45" t="str">
        <f t="shared" si="236"/>
        <v>连续下降-预警</v>
      </c>
      <c r="AU1903" s="45" t="str">
        <f t="shared" si="237"/>
        <v>唤醒：短信模板+首充补贴</v>
      </c>
    </row>
    <row r="1904" ht="15" customHeight="1" spans="1:47">
      <c r="A1904" s="30" t="s">
        <v>4803</v>
      </c>
      <c r="B1904" s="31" t="s">
        <v>4804</v>
      </c>
      <c r="C1904" s="31" t="s">
        <v>189</v>
      </c>
      <c r="D1904" s="31" t="s">
        <v>190</v>
      </c>
      <c r="E1904" s="31" t="s">
        <v>181</v>
      </c>
      <c r="F1904" s="30" t="s">
        <v>4718</v>
      </c>
      <c r="G1904" s="31">
        <v>30</v>
      </c>
      <c r="H1904" s="31" t="s">
        <v>3535</v>
      </c>
      <c r="I1904" s="31" t="s">
        <v>302</v>
      </c>
      <c r="J1904" s="33">
        <v>0</v>
      </c>
      <c r="K1904" s="33">
        <v>0</v>
      </c>
      <c r="L1904" s="33">
        <v>0</v>
      </c>
      <c r="M1904" s="33">
        <f t="shared" si="232"/>
        <v>0</v>
      </c>
      <c r="N1904" s="34">
        <f t="shared" si="238"/>
        <v>0</v>
      </c>
      <c r="O1904" s="35">
        <f>SUM($M$2:M1904)</f>
        <v>190743600</v>
      </c>
      <c r="P1904" s="34">
        <f t="shared" si="239"/>
        <v>1</v>
      </c>
      <c r="Q1904" s="37">
        <v>0</v>
      </c>
      <c r="R1904" s="31">
        <v>0</v>
      </c>
      <c r="S1904" s="31">
        <v>0</v>
      </c>
      <c r="T1904" s="31">
        <v>0</v>
      </c>
      <c r="U1904" s="37">
        <v>27.8</v>
      </c>
      <c r="V1904" s="31">
        <v>1</v>
      </c>
      <c r="W1904" s="31">
        <v>0</v>
      </c>
      <c r="X1904" s="38">
        <v>46</v>
      </c>
      <c r="Y1904" s="31">
        <v>1</v>
      </c>
      <c r="Z1904" s="31">
        <v>0</v>
      </c>
      <c r="AA1904" s="31" t="s">
        <v>212</v>
      </c>
      <c r="AB1904" s="31" t="s">
        <v>220</v>
      </c>
      <c r="AC1904" s="41">
        <f>IFERROR(LOOKUP(M1904,打分卡!$F$7:$J$7,打分卡!$K$7:$O$7),1)</f>
        <v>1</v>
      </c>
      <c r="AD1904" s="41">
        <f>IFERROR(LOOKUP(S1904,打分卡!$F$8:$J$8,打分卡!$K$8:$O$8),1)</f>
        <v>1</v>
      </c>
      <c r="AE1904" s="41">
        <f>IFERROR(LOOKUP(T1904,打分卡!$F$9:$I$9,打分卡!$K$9:$N$9),1)</f>
        <v>1</v>
      </c>
      <c r="AF1904" s="41">
        <f>IFERROR(LOOKUP(Q1904,打分卡!$F$10:$J$10,打分卡!$K$10:$O$10),1)</f>
        <v>1</v>
      </c>
      <c r="AG1904" s="41">
        <f>IFERROR(LOOKUP(R1904,打分卡!$F$11:$J$11,打分卡!$K$11:$O$11),1)</f>
        <v>1</v>
      </c>
      <c r="AH1904" s="41">
        <f>IFERROR(LOOKUP(U1904,打分卡!$F$12:$J$12,打分卡!$K$12:$O$12),1)</f>
        <v>3</v>
      </c>
      <c r="AI1904" s="41">
        <f>IFERROR(LOOKUP(X1904,打分卡!$F$13:$J$13,打分卡!$K$13:$O$13),1)</f>
        <v>3</v>
      </c>
      <c r="AJ1904" s="41">
        <f>IFERROR(LOOKUP(Y1904,打分卡!$F$14:$J$14,打分卡!$K$14:$O$14),1)</f>
        <v>2</v>
      </c>
      <c r="AK1904" s="41">
        <f>IFERROR(LOOKUP(W1904,打分卡!$F$15:$J$15,打分卡!$K$15:$O$15),1)</f>
        <v>1</v>
      </c>
      <c r="AL1904" s="43">
        <f t="shared" si="233"/>
        <v>1</v>
      </c>
      <c r="AM1904" s="41">
        <f>IFERROR(LOOKUP(Z1904,打分卡!$F$17:$H$17,打分卡!$K$17:$M$17),1)</f>
        <v>1</v>
      </c>
      <c r="AN1904" s="44">
        <f>(打分卡!$D$7*AC1904+打分卡!$D$8*AD1904+打分卡!$D$9*AE1904)/5</f>
        <v>8</v>
      </c>
      <c r="AO1904" s="44">
        <f>(打分卡!$D$10*AF1904+打分卡!$D$11*AG1904)/5</f>
        <v>4</v>
      </c>
      <c r="AP1904" s="44">
        <f>(打分卡!$D$12*AH1904+打分卡!$D$13*AI1904+打分卡!$D$14*AJ1904+打分卡!$D$15*AK1904)/5</f>
        <v>15.2</v>
      </c>
      <c r="AQ1904" s="44">
        <f>(打分卡!$D$16*AL1904+打分卡!$D$17*AM1904)/5</f>
        <v>2</v>
      </c>
      <c r="AR1904" s="47">
        <f t="shared" si="234"/>
        <v>29.2</v>
      </c>
      <c r="AS1904" s="43" t="str">
        <f t="shared" si="235"/>
        <v>未激活</v>
      </c>
      <c r="AT1904" s="43" t="str">
        <f t="shared" si="236"/>
        <v>连续下降-预警</v>
      </c>
      <c r="AU1904" s="43" t="str">
        <f t="shared" si="237"/>
        <v>唤醒：短信模板+首充补贴</v>
      </c>
    </row>
    <row r="1905" ht="15" customHeight="1" spans="1:47">
      <c r="A1905" s="20" t="s">
        <v>4805</v>
      </c>
      <c r="B1905" s="22" t="s">
        <v>4806</v>
      </c>
      <c r="C1905" s="22" t="s">
        <v>189</v>
      </c>
      <c r="D1905" s="22" t="s">
        <v>227</v>
      </c>
      <c r="E1905" s="22" t="s">
        <v>181</v>
      </c>
      <c r="F1905" s="20" t="s">
        <v>3939</v>
      </c>
      <c r="G1905" s="22">
        <v>34</v>
      </c>
      <c r="H1905" s="22" t="s">
        <v>3535</v>
      </c>
      <c r="I1905" s="22" t="s">
        <v>302</v>
      </c>
      <c r="J1905" s="36">
        <v>0</v>
      </c>
      <c r="K1905" s="36">
        <v>0</v>
      </c>
      <c r="L1905" s="36">
        <v>0</v>
      </c>
      <c r="M1905" s="36">
        <f t="shared" si="232"/>
        <v>0</v>
      </c>
      <c r="N1905" s="34">
        <f t="shared" si="238"/>
        <v>0</v>
      </c>
      <c r="O1905" s="35">
        <f>SUM($M$2:M1905)</f>
        <v>190743600</v>
      </c>
      <c r="P1905" s="34">
        <f t="shared" si="239"/>
        <v>1</v>
      </c>
      <c r="Q1905" s="39">
        <v>0</v>
      </c>
      <c r="R1905" s="22">
        <v>0</v>
      </c>
      <c r="S1905" s="22">
        <v>0</v>
      </c>
      <c r="T1905" s="22">
        <v>0</v>
      </c>
      <c r="U1905" s="39">
        <v>30.9</v>
      </c>
      <c r="V1905" s="22">
        <v>2</v>
      </c>
      <c r="W1905" s="22">
        <v>0</v>
      </c>
      <c r="X1905" s="40">
        <v>6</v>
      </c>
      <c r="Y1905" s="22">
        <v>0</v>
      </c>
      <c r="Z1905" s="22">
        <v>0</v>
      </c>
      <c r="AA1905" s="22" t="s">
        <v>212</v>
      </c>
      <c r="AB1905" s="22" t="s">
        <v>220</v>
      </c>
      <c r="AC1905" s="42">
        <f>IFERROR(LOOKUP(M1905,打分卡!$F$7:$J$7,打分卡!$K$7:$O$7),1)</f>
        <v>1</v>
      </c>
      <c r="AD1905" s="42">
        <f>IFERROR(LOOKUP(S1905,打分卡!$F$8:$J$8,打分卡!$K$8:$O$8),1)</f>
        <v>1</v>
      </c>
      <c r="AE1905" s="42">
        <f>IFERROR(LOOKUP(T1905,打分卡!$F$9:$I$9,打分卡!$K$9:$N$9),1)</f>
        <v>1</v>
      </c>
      <c r="AF1905" s="42">
        <f>IFERROR(LOOKUP(Q1905,打分卡!$F$10:$J$10,打分卡!$K$10:$O$10),1)</f>
        <v>1</v>
      </c>
      <c r="AG1905" s="42">
        <f>IFERROR(LOOKUP(R1905,打分卡!$F$11:$J$11,打分卡!$K$11:$O$11),1)</f>
        <v>1</v>
      </c>
      <c r="AH1905" s="42">
        <f>IFERROR(LOOKUP(U1905,打分卡!$F$12:$J$12,打分卡!$K$12:$O$12),1)</f>
        <v>3</v>
      </c>
      <c r="AI1905" s="42">
        <f>IFERROR(LOOKUP(X1905,打分卡!$F$13:$J$13,打分卡!$K$13:$O$13),1)</f>
        <v>1</v>
      </c>
      <c r="AJ1905" s="42">
        <f>IFERROR(LOOKUP(Y1905,打分卡!$F$14:$J$14,打分卡!$K$14:$O$14),1)</f>
        <v>1</v>
      </c>
      <c r="AK1905" s="42">
        <f>IFERROR(LOOKUP(W1905,打分卡!$F$15:$J$15,打分卡!$K$15:$O$15),1)</f>
        <v>1</v>
      </c>
      <c r="AL1905" s="45">
        <f t="shared" si="233"/>
        <v>1</v>
      </c>
      <c r="AM1905" s="42">
        <f>IFERROR(LOOKUP(Z1905,打分卡!$F$17:$H$17,打分卡!$K$17:$M$17),1)</f>
        <v>1</v>
      </c>
      <c r="AN1905" s="46">
        <f>(打分卡!$D$7*AC1905+打分卡!$D$8*AD1905+打分卡!$D$9*AE1905)/5</f>
        <v>8</v>
      </c>
      <c r="AO1905" s="46">
        <f>(打分卡!$D$10*AF1905+打分卡!$D$11*AG1905)/5</f>
        <v>4</v>
      </c>
      <c r="AP1905" s="46">
        <f>(打分卡!$D$12*AH1905+打分卡!$D$13*AI1905+打分卡!$D$14*AJ1905+打分卡!$D$15*AK1905)/5</f>
        <v>10.8</v>
      </c>
      <c r="AQ1905" s="46">
        <f>(打分卡!$D$16*AL1905+打分卡!$D$17*AM1905)/5</f>
        <v>2</v>
      </c>
      <c r="AR1905" s="48">
        <f t="shared" si="234"/>
        <v>24.8</v>
      </c>
      <c r="AS1905" s="45" t="str">
        <f t="shared" si="235"/>
        <v>未激活</v>
      </c>
      <c r="AT1905" s="45" t="str">
        <f t="shared" si="236"/>
        <v>连续下降-预警</v>
      </c>
      <c r="AU1905" s="45" t="str">
        <f t="shared" si="237"/>
        <v>唤醒：短信模板+首充补贴</v>
      </c>
    </row>
    <row r="1906" ht="15" customHeight="1" spans="1:47">
      <c r="A1906" s="30" t="s">
        <v>4807</v>
      </c>
      <c r="B1906" s="31" t="s">
        <v>4808</v>
      </c>
      <c r="C1906" s="31" t="s">
        <v>209</v>
      </c>
      <c r="D1906" s="31" t="s">
        <v>196</v>
      </c>
      <c r="E1906" s="31" t="s">
        <v>197</v>
      </c>
      <c r="F1906" s="30" t="s">
        <v>4637</v>
      </c>
      <c r="G1906" s="31">
        <v>28</v>
      </c>
      <c r="H1906" s="31" t="s">
        <v>3535</v>
      </c>
      <c r="I1906" s="31" t="s">
        <v>302</v>
      </c>
      <c r="J1906" s="33">
        <v>0</v>
      </c>
      <c r="K1906" s="33">
        <v>0</v>
      </c>
      <c r="L1906" s="33">
        <v>0</v>
      </c>
      <c r="M1906" s="33">
        <f t="shared" si="232"/>
        <v>0</v>
      </c>
      <c r="N1906" s="34">
        <f t="shared" si="238"/>
        <v>0</v>
      </c>
      <c r="O1906" s="35">
        <f>SUM($M$2:M1906)</f>
        <v>190743600</v>
      </c>
      <c r="P1906" s="34">
        <f t="shared" si="239"/>
        <v>1</v>
      </c>
      <c r="Q1906" s="37">
        <v>0</v>
      </c>
      <c r="R1906" s="31">
        <v>0</v>
      </c>
      <c r="S1906" s="31">
        <v>0</v>
      </c>
      <c r="T1906" s="31">
        <v>0</v>
      </c>
      <c r="U1906" s="37">
        <v>4.5</v>
      </c>
      <c r="V1906" s="31">
        <v>8</v>
      </c>
      <c r="W1906" s="31">
        <v>1</v>
      </c>
      <c r="X1906" s="38">
        <v>9</v>
      </c>
      <c r="Y1906" s="31">
        <v>1</v>
      </c>
      <c r="Z1906" s="31">
        <v>0</v>
      </c>
      <c r="AA1906" s="31" t="s">
        <v>212</v>
      </c>
      <c r="AB1906" s="31" t="s">
        <v>220</v>
      </c>
      <c r="AC1906" s="41">
        <f>IFERROR(LOOKUP(M1906,打分卡!$F$7:$J$7,打分卡!$K$7:$O$7),1)</f>
        <v>1</v>
      </c>
      <c r="AD1906" s="41">
        <f>IFERROR(LOOKUP(S1906,打分卡!$F$8:$J$8,打分卡!$K$8:$O$8),1)</f>
        <v>1</v>
      </c>
      <c r="AE1906" s="41">
        <f>IFERROR(LOOKUP(T1906,打分卡!$F$9:$I$9,打分卡!$K$9:$N$9),1)</f>
        <v>1</v>
      </c>
      <c r="AF1906" s="41">
        <f>IFERROR(LOOKUP(Q1906,打分卡!$F$10:$J$10,打分卡!$K$10:$O$10),1)</f>
        <v>1</v>
      </c>
      <c r="AG1906" s="41">
        <f>IFERROR(LOOKUP(R1906,打分卡!$F$11:$J$11,打分卡!$K$11:$O$11),1)</f>
        <v>1</v>
      </c>
      <c r="AH1906" s="41">
        <f>IFERROR(LOOKUP(U1906,打分卡!$F$12:$J$12,打分卡!$K$12:$O$12),1)</f>
        <v>2</v>
      </c>
      <c r="AI1906" s="41">
        <f>IFERROR(LOOKUP(X1906,打分卡!$F$13:$J$13,打分卡!$K$13:$O$13),1)</f>
        <v>1</v>
      </c>
      <c r="AJ1906" s="41">
        <f>IFERROR(LOOKUP(Y1906,打分卡!$F$14:$J$14,打分卡!$K$14:$O$14),1)</f>
        <v>2</v>
      </c>
      <c r="AK1906" s="41">
        <f>IFERROR(LOOKUP(W1906,打分卡!$F$15:$J$15,打分卡!$K$15:$O$15),1)</f>
        <v>2</v>
      </c>
      <c r="AL1906" s="43">
        <f t="shared" si="233"/>
        <v>1</v>
      </c>
      <c r="AM1906" s="41">
        <f>IFERROR(LOOKUP(Z1906,打分卡!$F$17:$H$17,打分卡!$K$17:$M$17),1)</f>
        <v>1</v>
      </c>
      <c r="AN1906" s="44">
        <f>(打分卡!$D$7*AC1906+打分卡!$D$8*AD1906+打分卡!$D$9*AE1906)/5</f>
        <v>8</v>
      </c>
      <c r="AO1906" s="44">
        <f>(打分卡!$D$10*AF1906+打分卡!$D$11*AG1906)/5</f>
        <v>4</v>
      </c>
      <c r="AP1906" s="44">
        <f>(打分卡!$D$12*AH1906+打分卡!$D$13*AI1906+打分卡!$D$14*AJ1906+打分卡!$D$15*AK1906)/5</f>
        <v>10.4</v>
      </c>
      <c r="AQ1906" s="44">
        <f>(打分卡!$D$16*AL1906+打分卡!$D$17*AM1906)/5</f>
        <v>2</v>
      </c>
      <c r="AR1906" s="47">
        <f t="shared" si="234"/>
        <v>24.4</v>
      </c>
      <c r="AS1906" s="43" t="str">
        <f t="shared" si="235"/>
        <v>未激活</v>
      </c>
      <c r="AT1906" s="43" t="str">
        <f t="shared" si="236"/>
        <v>连续下降-预警</v>
      </c>
      <c r="AU1906" s="43" t="str">
        <f t="shared" si="237"/>
        <v>唤醒：短信模板+首充补贴</v>
      </c>
    </row>
    <row r="1907" ht="15" customHeight="1" spans="1:47">
      <c r="A1907" s="20" t="s">
        <v>4809</v>
      </c>
      <c r="B1907" s="22" t="s">
        <v>4810</v>
      </c>
      <c r="C1907" s="22" t="s">
        <v>218</v>
      </c>
      <c r="D1907" s="22" t="s">
        <v>235</v>
      </c>
      <c r="E1907" s="22" t="s">
        <v>197</v>
      </c>
      <c r="F1907" s="20" t="s">
        <v>363</v>
      </c>
      <c r="G1907" s="22">
        <v>28</v>
      </c>
      <c r="H1907" s="22" t="s">
        <v>3535</v>
      </c>
      <c r="I1907" s="22" t="s">
        <v>302</v>
      </c>
      <c r="J1907" s="36">
        <v>0</v>
      </c>
      <c r="K1907" s="36">
        <v>0</v>
      </c>
      <c r="L1907" s="36">
        <v>0</v>
      </c>
      <c r="M1907" s="36">
        <f t="shared" si="232"/>
        <v>0</v>
      </c>
      <c r="N1907" s="34">
        <f t="shared" si="238"/>
        <v>0</v>
      </c>
      <c r="O1907" s="35">
        <f>SUM($M$2:M1907)</f>
        <v>190743600</v>
      </c>
      <c r="P1907" s="34">
        <f t="shared" si="239"/>
        <v>1</v>
      </c>
      <c r="Q1907" s="39">
        <v>0</v>
      </c>
      <c r="R1907" s="22">
        <v>0</v>
      </c>
      <c r="S1907" s="22">
        <v>0</v>
      </c>
      <c r="T1907" s="22">
        <v>0</v>
      </c>
      <c r="U1907" s="39">
        <v>50</v>
      </c>
      <c r="V1907" s="22">
        <v>5</v>
      </c>
      <c r="W1907" s="22">
        <v>0</v>
      </c>
      <c r="X1907" s="40">
        <v>22</v>
      </c>
      <c r="Y1907" s="22">
        <v>1</v>
      </c>
      <c r="Z1907" s="22">
        <v>0</v>
      </c>
      <c r="AA1907" s="22" t="s">
        <v>212</v>
      </c>
      <c r="AB1907" s="22" t="s">
        <v>220</v>
      </c>
      <c r="AC1907" s="42">
        <f>IFERROR(LOOKUP(M1907,打分卡!$F$7:$J$7,打分卡!$K$7:$O$7),1)</f>
        <v>1</v>
      </c>
      <c r="AD1907" s="42">
        <f>IFERROR(LOOKUP(S1907,打分卡!$F$8:$J$8,打分卡!$K$8:$O$8),1)</f>
        <v>1</v>
      </c>
      <c r="AE1907" s="42">
        <f>IFERROR(LOOKUP(T1907,打分卡!$F$9:$I$9,打分卡!$K$9:$N$9),1)</f>
        <v>1</v>
      </c>
      <c r="AF1907" s="42">
        <f>IFERROR(LOOKUP(Q1907,打分卡!$F$10:$J$10,打分卡!$K$10:$O$10),1)</f>
        <v>1</v>
      </c>
      <c r="AG1907" s="42">
        <f>IFERROR(LOOKUP(R1907,打分卡!$F$11:$J$11,打分卡!$K$11:$O$11),1)</f>
        <v>1</v>
      </c>
      <c r="AH1907" s="42">
        <f>IFERROR(LOOKUP(U1907,打分卡!$F$12:$J$12,打分卡!$K$12:$O$12),1)</f>
        <v>4</v>
      </c>
      <c r="AI1907" s="42">
        <f>IFERROR(LOOKUP(X1907,打分卡!$F$13:$J$13,打分卡!$K$13:$O$13),1)</f>
        <v>2</v>
      </c>
      <c r="AJ1907" s="42">
        <f>IFERROR(LOOKUP(Y1907,打分卡!$F$14:$J$14,打分卡!$K$14:$O$14),1)</f>
        <v>2</v>
      </c>
      <c r="AK1907" s="42">
        <f>IFERROR(LOOKUP(W1907,打分卡!$F$15:$J$15,打分卡!$K$15:$O$15),1)</f>
        <v>1</v>
      </c>
      <c r="AL1907" s="45">
        <f t="shared" si="233"/>
        <v>1</v>
      </c>
      <c r="AM1907" s="42">
        <f>IFERROR(LOOKUP(Z1907,打分卡!$F$17:$H$17,打分卡!$K$17:$M$17),1)</f>
        <v>1</v>
      </c>
      <c r="AN1907" s="46">
        <f>(打分卡!$D$7*AC1907+打分卡!$D$8*AD1907+打分卡!$D$9*AE1907)/5</f>
        <v>8</v>
      </c>
      <c r="AO1907" s="46">
        <f>(打分卡!$D$10*AF1907+打分卡!$D$11*AG1907)/5</f>
        <v>4</v>
      </c>
      <c r="AP1907" s="46">
        <f>(打分卡!$D$12*AH1907+打分卡!$D$13*AI1907+打分卡!$D$14*AJ1907+打分卡!$D$15*AK1907)/5</f>
        <v>16</v>
      </c>
      <c r="AQ1907" s="46">
        <f>(打分卡!$D$16*AL1907+打分卡!$D$17*AM1907)/5</f>
        <v>2</v>
      </c>
      <c r="AR1907" s="48">
        <f t="shared" si="234"/>
        <v>30</v>
      </c>
      <c r="AS1907" s="45" t="str">
        <f t="shared" si="235"/>
        <v>未激活</v>
      </c>
      <c r="AT1907" s="45" t="str">
        <f t="shared" si="236"/>
        <v>连续下降-预警</v>
      </c>
      <c r="AU1907" s="45" t="str">
        <f t="shared" si="237"/>
        <v>唤醒：短信模板+首充补贴</v>
      </c>
    </row>
    <row r="1908" ht="15" customHeight="1" spans="1:47">
      <c r="A1908" s="30" t="s">
        <v>4811</v>
      </c>
      <c r="B1908" s="31" t="s">
        <v>4812</v>
      </c>
      <c r="C1908" s="31" t="s">
        <v>179</v>
      </c>
      <c r="D1908" s="31" t="s">
        <v>235</v>
      </c>
      <c r="E1908" s="31" t="s">
        <v>197</v>
      </c>
      <c r="F1908" s="30" t="s">
        <v>2382</v>
      </c>
      <c r="G1908" s="31">
        <v>24</v>
      </c>
      <c r="H1908" s="31" t="s">
        <v>3535</v>
      </c>
      <c r="I1908" s="31" t="s">
        <v>302</v>
      </c>
      <c r="J1908" s="33">
        <v>0</v>
      </c>
      <c r="K1908" s="33">
        <v>0</v>
      </c>
      <c r="L1908" s="33">
        <v>0</v>
      </c>
      <c r="M1908" s="33">
        <f t="shared" si="232"/>
        <v>0</v>
      </c>
      <c r="N1908" s="34">
        <f t="shared" si="238"/>
        <v>0</v>
      </c>
      <c r="O1908" s="35">
        <f>SUM($M$2:M1908)</f>
        <v>190743600</v>
      </c>
      <c r="P1908" s="34">
        <f t="shared" si="239"/>
        <v>1</v>
      </c>
      <c r="Q1908" s="37">
        <v>0</v>
      </c>
      <c r="R1908" s="31">
        <v>0</v>
      </c>
      <c r="S1908" s="31">
        <v>0</v>
      </c>
      <c r="T1908" s="31">
        <v>0</v>
      </c>
      <c r="U1908" s="37">
        <v>10.8</v>
      </c>
      <c r="V1908" s="31">
        <v>6</v>
      </c>
      <c r="W1908" s="31">
        <v>1</v>
      </c>
      <c r="X1908" s="38">
        <v>15</v>
      </c>
      <c r="Y1908" s="31">
        <v>1</v>
      </c>
      <c r="Z1908" s="31">
        <v>0</v>
      </c>
      <c r="AA1908" s="31" t="s">
        <v>212</v>
      </c>
      <c r="AB1908" s="31" t="s">
        <v>220</v>
      </c>
      <c r="AC1908" s="41">
        <f>IFERROR(LOOKUP(M1908,打分卡!$F$7:$J$7,打分卡!$K$7:$O$7),1)</f>
        <v>1</v>
      </c>
      <c r="AD1908" s="41">
        <f>IFERROR(LOOKUP(S1908,打分卡!$F$8:$J$8,打分卡!$K$8:$O$8),1)</f>
        <v>1</v>
      </c>
      <c r="AE1908" s="41">
        <f>IFERROR(LOOKUP(T1908,打分卡!$F$9:$I$9,打分卡!$K$9:$N$9),1)</f>
        <v>1</v>
      </c>
      <c r="AF1908" s="41">
        <f>IFERROR(LOOKUP(Q1908,打分卡!$F$10:$J$10,打分卡!$K$10:$O$10),1)</f>
        <v>1</v>
      </c>
      <c r="AG1908" s="41">
        <f>IFERROR(LOOKUP(R1908,打分卡!$F$11:$J$11,打分卡!$K$11:$O$11),1)</f>
        <v>1</v>
      </c>
      <c r="AH1908" s="41">
        <f>IFERROR(LOOKUP(U1908,打分卡!$F$12:$J$12,打分卡!$K$12:$O$12),1)</f>
        <v>3</v>
      </c>
      <c r="AI1908" s="41">
        <f>IFERROR(LOOKUP(X1908,打分卡!$F$13:$J$13,打分卡!$K$13:$O$13),1)</f>
        <v>1</v>
      </c>
      <c r="AJ1908" s="41">
        <f>IFERROR(LOOKUP(Y1908,打分卡!$F$14:$J$14,打分卡!$K$14:$O$14),1)</f>
        <v>2</v>
      </c>
      <c r="AK1908" s="41">
        <f>IFERROR(LOOKUP(W1908,打分卡!$F$15:$J$15,打分卡!$K$15:$O$15),1)</f>
        <v>2</v>
      </c>
      <c r="AL1908" s="43">
        <f t="shared" si="233"/>
        <v>1</v>
      </c>
      <c r="AM1908" s="41">
        <f>IFERROR(LOOKUP(Z1908,打分卡!$F$17:$H$17,打分卡!$K$17:$M$17),1)</f>
        <v>1</v>
      </c>
      <c r="AN1908" s="44">
        <f>(打分卡!$D$7*AC1908+打分卡!$D$8*AD1908+打分卡!$D$9*AE1908)/5</f>
        <v>8</v>
      </c>
      <c r="AO1908" s="44">
        <f>(打分卡!$D$10*AF1908+打分卡!$D$11*AG1908)/5</f>
        <v>4</v>
      </c>
      <c r="AP1908" s="44">
        <f>(打分卡!$D$12*AH1908+打分卡!$D$13*AI1908+打分卡!$D$14*AJ1908+打分卡!$D$15*AK1908)/5</f>
        <v>12.8</v>
      </c>
      <c r="AQ1908" s="44">
        <f>(打分卡!$D$16*AL1908+打分卡!$D$17*AM1908)/5</f>
        <v>2</v>
      </c>
      <c r="AR1908" s="47">
        <f t="shared" si="234"/>
        <v>26.8</v>
      </c>
      <c r="AS1908" s="43" t="str">
        <f t="shared" si="235"/>
        <v>未激活</v>
      </c>
      <c r="AT1908" s="43" t="str">
        <f t="shared" si="236"/>
        <v>连续下降-预警</v>
      </c>
      <c r="AU1908" s="43" t="str">
        <f t="shared" si="237"/>
        <v>唤醒：短信模板+首充补贴</v>
      </c>
    </row>
    <row r="1909" ht="15" customHeight="1" spans="1:47">
      <c r="A1909" s="20" t="s">
        <v>4813</v>
      </c>
      <c r="B1909" s="22" t="s">
        <v>4814</v>
      </c>
      <c r="C1909" s="22" t="s">
        <v>239</v>
      </c>
      <c r="D1909" s="22" t="s">
        <v>202</v>
      </c>
      <c r="E1909" s="22" t="s">
        <v>181</v>
      </c>
      <c r="F1909" s="20" t="s">
        <v>4815</v>
      </c>
      <c r="G1909" s="22">
        <v>34</v>
      </c>
      <c r="H1909" s="22" t="s">
        <v>3535</v>
      </c>
      <c r="I1909" s="22" t="s">
        <v>302</v>
      </c>
      <c r="J1909" s="36">
        <v>0</v>
      </c>
      <c r="K1909" s="36">
        <v>0</v>
      </c>
      <c r="L1909" s="36">
        <v>0</v>
      </c>
      <c r="M1909" s="36">
        <f t="shared" si="232"/>
        <v>0</v>
      </c>
      <c r="N1909" s="34">
        <f t="shared" si="238"/>
        <v>0</v>
      </c>
      <c r="O1909" s="35">
        <f>SUM($M$2:M1909)</f>
        <v>190743600</v>
      </c>
      <c r="P1909" s="34">
        <f t="shared" si="239"/>
        <v>1</v>
      </c>
      <c r="Q1909" s="39">
        <v>0</v>
      </c>
      <c r="R1909" s="22">
        <v>0</v>
      </c>
      <c r="S1909" s="22">
        <v>0</v>
      </c>
      <c r="T1909" s="22">
        <v>0</v>
      </c>
      <c r="U1909" s="39">
        <v>39.6</v>
      </c>
      <c r="V1909" s="22">
        <v>8</v>
      </c>
      <c r="W1909" s="22">
        <v>1</v>
      </c>
      <c r="X1909" s="40">
        <v>14</v>
      </c>
      <c r="Y1909" s="22">
        <v>0</v>
      </c>
      <c r="Z1909" s="22">
        <v>0</v>
      </c>
      <c r="AA1909" s="22" t="s">
        <v>212</v>
      </c>
      <c r="AB1909" s="22" t="s">
        <v>220</v>
      </c>
      <c r="AC1909" s="42">
        <f>IFERROR(LOOKUP(M1909,打分卡!$F$7:$J$7,打分卡!$K$7:$O$7),1)</f>
        <v>1</v>
      </c>
      <c r="AD1909" s="42">
        <f>IFERROR(LOOKUP(S1909,打分卡!$F$8:$J$8,打分卡!$K$8:$O$8),1)</f>
        <v>1</v>
      </c>
      <c r="AE1909" s="42">
        <f>IFERROR(LOOKUP(T1909,打分卡!$F$9:$I$9,打分卡!$K$9:$N$9),1)</f>
        <v>1</v>
      </c>
      <c r="AF1909" s="42">
        <f>IFERROR(LOOKUP(Q1909,打分卡!$F$10:$J$10,打分卡!$K$10:$O$10),1)</f>
        <v>1</v>
      </c>
      <c r="AG1909" s="42">
        <f>IFERROR(LOOKUP(R1909,打分卡!$F$11:$J$11,打分卡!$K$11:$O$11),1)</f>
        <v>1</v>
      </c>
      <c r="AH1909" s="42">
        <f>IFERROR(LOOKUP(U1909,打分卡!$F$12:$J$12,打分卡!$K$12:$O$12),1)</f>
        <v>4</v>
      </c>
      <c r="AI1909" s="42">
        <f>IFERROR(LOOKUP(X1909,打分卡!$F$13:$J$13,打分卡!$K$13:$O$13),1)</f>
        <v>1</v>
      </c>
      <c r="AJ1909" s="42">
        <f>IFERROR(LOOKUP(Y1909,打分卡!$F$14:$J$14,打分卡!$K$14:$O$14),1)</f>
        <v>1</v>
      </c>
      <c r="AK1909" s="42">
        <f>IFERROR(LOOKUP(W1909,打分卡!$F$15:$J$15,打分卡!$K$15:$O$15),1)</f>
        <v>2</v>
      </c>
      <c r="AL1909" s="45">
        <f t="shared" si="233"/>
        <v>1</v>
      </c>
      <c r="AM1909" s="42">
        <f>IFERROR(LOOKUP(Z1909,打分卡!$F$17:$H$17,打分卡!$K$17:$M$17),1)</f>
        <v>1</v>
      </c>
      <c r="AN1909" s="46">
        <f>(打分卡!$D$7*AC1909+打分卡!$D$8*AD1909+打分卡!$D$9*AE1909)/5</f>
        <v>8</v>
      </c>
      <c r="AO1909" s="46">
        <f>(打分卡!$D$10*AF1909+打分卡!$D$11*AG1909)/5</f>
        <v>4</v>
      </c>
      <c r="AP1909" s="46">
        <f>(打分卡!$D$12*AH1909+打分卡!$D$13*AI1909+打分卡!$D$14*AJ1909+打分卡!$D$15*AK1909)/5</f>
        <v>14</v>
      </c>
      <c r="AQ1909" s="46">
        <f>(打分卡!$D$16*AL1909+打分卡!$D$17*AM1909)/5</f>
        <v>2</v>
      </c>
      <c r="AR1909" s="48">
        <f t="shared" si="234"/>
        <v>28</v>
      </c>
      <c r="AS1909" s="45" t="str">
        <f t="shared" si="235"/>
        <v>未激活</v>
      </c>
      <c r="AT1909" s="45" t="str">
        <f t="shared" si="236"/>
        <v>连续下降-预警</v>
      </c>
      <c r="AU1909" s="45" t="str">
        <f t="shared" si="237"/>
        <v>唤醒：短信模板+首充补贴</v>
      </c>
    </row>
    <row r="1910" ht="15" customHeight="1" spans="1:47">
      <c r="A1910" s="30" t="s">
        <v>4816</v>
      </c>
      <c r="B1910" s="31" t="s">
        <v>4817</v>
      </c>
      <c r="C1910" s="31" t="s">
        <v>218</v>
      </c>
      <c r="D1910" s="31" t="s">
        <v>190</v>
      </c>
      <c r="E1910" s="31" t="s">
        <v>181</v>
      </c>
      <c r="F1910" s="30" t="s">
        <v>491</v>
      </c>
      <c r="G1910" s="31">
        <v>25</v>
      </c>
      <c r="H1910" s="31" t="s">
        <v>3535</v>
      </c>
      <c r="I1910" s="31" t="s">
        <v>302</v>
      </c>
      <c r="J1910" s="33">
        <v>0</v>
      </c>
      <c r="K1910" s="33">
        <v>0</v>
      </c>
      <c r="L1910" s="33">
        <v>0</v>
      </c>
      <c r="M1910" s="33">
        <f t="shared" si="232"/>
        <v>0</v>
      </c>
      <c r="N1910" s="34">
        <f t="shared" si="238"/>
        <v>0</v>
      </c>
      <c r="O1910" s="35">
        <f>SUM($M$2:M1910)</f>
        <v>190743600</v>
      </c>
      <c r="P1910" s="34">
        <f t="shared" si="239"/>
        <v>1</v>
      </c>
      <c r="Q1910" s="37">
        <v>0</v>
      </c>
      <c r="R1910" s="31">
        <v>0</v>
      </c>
      <c r="S1910" s="31">
        <v>0</v>
      </c>
      <c r="T1910" s="31">
        <v>0</v>
      </c>
      <c r="U1910" s="37">
        <v>3.5</v>
      </c>
      <c r="V1910" s="31">
        <v>2</v>
      </c>
      <c r="W1910" s="31">
        <v>2</v>
      </c>
      <c r="X1910" s="38">
        <v>31</v>
      </c>
      <c r="Y1910" s="31">
        <v>1</v>
      </c>
      <c r="Z1910" s="31">
        <v>0</v>
      </c>
      <c r="AA1910" s="31" t="s">
        <v>212</v>
      </c>
      <c r="AB1910" s="31" t="s">
        <v>220</v>
      </c>
      <c r="AC1910" s="41">
        <f>IFERROR(LOOKUP(M1910,打分卡!$F$7:$J$7,打分卡!$K$7:$O$7),1)</f>
        <v>1</v>
      </c>
      <c r="AD1910" s="41">
        <f>IFERROR(LOOKUP(S1910,打分卡!$F$8:$J$8,打分卡!$K$8:$O$8),1)</f>
        <v>1</v>
      </c>
      <c r="AE1910" s="41">
        <f>IFERROR(LOOKUP(T1910,打分卡!$F$9:$I$9,打分卡!$K$9:$N$9),1)</f>
        <v>1</v>
      </c>
      <c r="AF1910" s="41">
        <f>IFERROR(LOOKUP(Q1910,打分卡!$F$10:$J$10,打分卡!$K$10:$O$10),1)</f>
        <v>1</v>
      </c>
      <c r="AG1910" s="41">
        <f>IFERROR(LOOKUP(R1910,打分卡!$F$11:$J$11,打分卡!$K$11:$O$11),1)</f>
        <v>1</v>
      </c>
      <c r="AH1910" s="41">
        <f>IFERROR(LOOKUP(U1910,打分卡!$F$12:$J$12,打分卡!$K$12:$O$12),1)</f>
        <v>2</v>
      </c>
      <c r="AI1910" s="41">
        <f>IFERROR(LOOKUP(X1910,打分卡!$F$13:$J$13,打分卡!$K$13:$O$13),1)</f>
        <v>2</v>
      </c>
      <c r="AJ1910" s="41">
        <f>IFERROR(LOOKUP(Y1910,打分卡!$F$14:$J$14,打分卡!$K$14:$O$14),1)</f>
        <v>2</v>
      </c>
      <c r="AK1910" s="41">
        <f>IFERROR(LOOKUP(W1910,打分卡!$F$15:$J$15,打分卡!$K$15:$O$15),1)</f>
        <v>2</v>
      </c>
      <c r="AL1910" s="43">
        <f t="shared" si="233"/>
        <v>1</v>
      </c>
      <c r="AM1910" s="41">
        <f>IFERROR(LOOKUP(Z1910,打分卡!$F$17:$H$17,打分卡!$K$17:$M$17),1)</f>
        <v>1</v>
      </c>
      <c r="AN1910" s="44">
        <f>(打分卡!$D$7*AC1910+打分卡!$D$8*AD1910+打分卡!$D$9*AE1910)/5</f>
        <v>8</v>
      </c>
      <c r="AO1910" s="44">
        <f>(打分卡!$D$10*AF1910+打分卡!$D$11*AG1910)/5</f>
        <v>4</v>
      </c>
      <c r="AP1910" s="44">
        <f>(打分卡!$D$12*AH1910+打分卡!$D$13*AI1910+打分卡!$D$14*AJ1910+打分卡!$D$15*AK1910)/5</f>
        <v>12</v>
      </c>
      <c r="AQ1910" s="44">
        <f>(打分卡!$D$16*AL1910+打分卡!$D$17*AM1910)/5</f>
        <v>2</v>
      </c>
      <c r="AR1910" s="47">
        <f t="shared" si="234"/>
        <v>26</v>
      </c>
      <c r="AS1910" s="43" t="str">
        <f t="shared" si="235"/>
        <v>未激活</v>
      </c>
      <c r="AT1910" s="43" t="str">
        <f t="shared" si="236"/>
        <v>连续下降-预警</v>
      </c>
      <c r="AU1910" s="43" t="str">
        <f t="shared" si="237"/>
        <v>唤醒：短信模板+首充补贴</v>
      </c>
    </row>
    <row r="1911" ht="15" customHeight="1" spans="1:47">
      <c r="A1911" s="20" t="s">
        <v>4818</v>
      </c>
      <c r="B1911" s="22" t="s">
        <v>4819</v>
      </c>
      <c r="C1911" s="22" t="s">
        <v>218</v>
      </c>
      <c r="D1911" s="22" t="s">
        <v>196</v>
      </c>
      <c r="E1911" s="22" t="s">
        <v>181</v>
      </c>
      <c r="F1911" s="20" t="s">
        <v>4198</v>
      </c>
      <c r="G1911" s="22">
        <v>35</v>
      </c>
      <c r="H1911" s="22" t="s">
        <v>3535</v>
      </c>
      <c r="I1911" s="22" t="s">
        <v>302</v>
      </c>
      <c r="J1911" s="36">
        <v>0</v>
      </c>
      <c r="K1911" s="36">
        <v>0</v>
      </c>
      <c r="L1911" s="36">
        <v>0</v>
      </c>
      <c r="M1911" s="36">
        <f t="shared" si="232"/>
        <v>0</v>
      </c>
      <c r="N1911" s="34">
        <f t="shared" si="238"/>
        <v>0</v>
      </c>
      <c r="O1911" s="35">
        <f>SUM($M$2:M1911)</f>
        <v>190743600</v>
      </c>
      <c r="P1911" s="34">
        <f t="shared" si="239"/>
        <v>1</v>
      </c>
      <c r="Q1911" s="39">
        <v>0</v>
      </c>
      <c r="R1911" s="22">
        <v>0</v>
      </c>
      <c r="S1911" s="22">
        <v>0</v>
      </c>
      <c r="T1911" s="22">
        <v>0</v>
      </c>
      <c r="U1911" s="39">
        <v>48.2</v>
      </c>
      <c r="V1911" s="22">
        <v>4</v>
      </c>
      <c r="W1911" s="22">
        <v>0</v>
      </c>
      <c r="X1911" s="40">
        <v>67</v>
      </c>
      <c r="Y1911" s="22">
        <v>1</v>
      </c>
      <c r="Z1911" s="22">
        <v>0</v>
      </c>
      <c r="AA1911" s="22" t="s">
        <v>212</v>
      </c>
      <c r="AB1911" s="22" t="s">
        <v>220</v>
      </c>
      <c r="AC1911" s="42">
        <f>IFERROR(LOOKUP(M1911,打分卡!$F$7:$J$7,打分卡!$K$7:$O$7),1)</f>
        <v>1</v>
      </c>
      <c r="AD1911" s="42">
        <f>IFERROR(LOOKUP(S1911,打分卡!$F$8:$J$8,打分卡!$K$8:$O$8),1)</f>
        <v>1</v>
      </c>
      <c r="AE1911" s="42">
        <f>IFERROR(LOOKUP(T1911,打分卡!$F$9:$I$9,打分卡!$K$9:$N$9),1)</f>
        <v>1</v>
      </c>
      <c r="AF1911" s="42">
        <f>IFERROR(LOOKUP(Q1911,打分卡!$F$10:$J$10,打分卡!$K$10:$O$10),1)</f>
        <v>1</v>
      </c>
      <c r="AG1911" s="42">
        <f>IFERROR(LOOKUP(R1911,打分卡!$F$11:$J$11,打分卡!$K$11:$O$11),1)</f>
        <v>1</v>
      </c>
      <c r="AH1911" s="42">
        <f>IFERROR(LOOKUP(U1911,打分卡!$F$12:$J$12,打分卡!$K$12:$O$12),1)</f>
        <v>4</v>
      </c>
      <c r="AI1911" s="42">
        <f>IFERROR(LOOKUP(X1911,打分卡!$F$13:$J$13,打分卡!$K$13:$O$13),1)</f>
        <v>3</v>
      </c>
      <c r="AJ1911" s="42">
        <f>IFERROR(LOOKUP(Y1911,打分卡!$F$14:$J$14,打分卡!$K$14:$O$14),1)</f>
        <v>2</v>
      </c>
      <c r="AK1911" s="42">
        <f>IFERROR(LOOKUP(W1911,打分卡!$F$15:$J$15,打分卡!$K$15:$O$15),1)</f>
        <v>1</v>
      </c>
      <c r="AL1911" s="45">
        <f t="shared" si="233"/>
        <v>1</v>
      </c>
      <c r="AM1911" s="42">
        <f>IFERROR(LOOKUP(Z1911,打分卡!$F$17:$H$17,打分卡!$K$17:$M$17),1)</f>
        <v>1</v>
      </c>
      <c r="AN1911" s="46">
        <f>(打分卡!$D$7*AC1911+打分卡!$D$8*AD1911+打分卡!$D$9*AE1911)/5</f>
        <v>8</v>
      </c>
      <c r="AO1911" s="46">
        <f>(打分卡!$D$10*AF1911+打分卡!$D$11*AG1911)/5</f>
        <v>4</v>
      </c>
      <c r="AP1911" s="46">
        <f>(打分卡!$D$12*AH1911+打分卡!$D$13*AI1911+打分卡!$D$14*AJ1911+打分卡!$D$15*AK1911)/5</f>
        <v>17.6</v>
      </c>
      <c r="AQ1911" s="46">
        <f>(打分卡!$D$16*AL1911+打分卡!$D$17*AM1911)/5</f>
        <v>2</v>
      </c>
      <c r="AR1911" s="48">
        <f t="shared" si="234"/>
        <v>31.6</v>
      </c>
      <c r="AS1911" s="45" t="str">
        <f t="shared" si="235"/>
        <v>未激活</v>
      </c>
      <c r="AT1911" s="45" t="str">
        <f t="shared" si="236"/>
        <v>连续下降-预警</v>
      </c>
      <c r="AU1911" s="45" t="str">
        <f t="shared" si="237"/>
        <v>唤醒：短信模板+首充补贴</v>
      </c>
    </row>
    <row r="1912" ht="15" customHeight="1" spans="1:47">
      <c r="A1912" s="30" t="s">
        <v>4820</v>
      </c>
      <c r="B1912" s="31" t="s">
        <v>4821</v>
      </c>
      <c r="C1912" s="31" t="s">
        <v>179</v>
      </c>
      <c r="D1912" s="31" t="s">
        <v>180</v>
      </c>
      <c r="E1912" s="31" t="s">
        <v>197</v>
      </c>
      <c r="F1912" s="30" t="s">
        <v>4822</v>
      </c>
      <c r="G1912" s="31">
        <v>22</v>
      </c>
      <c r="H1912" s="31" t="s">
        <v>3535</v>
      </c>
      <c r="I1912" s="31" t="s">
        <v>302</v>
      </c>
      <c r="J1912" s="33">
        <v>0</v>
      </c>
      <c r="K1912" s="33">
        <v>0</v>
      </c>
      <c r="L1912" s="33">
        <v>0</v>
      </c>
      <c r="M1912" s="33">
        <f t="shared" si="232"/>
        <v>0</v>
      </c>
      <c r="N1912" s="34">
        <f t="shared" si="238"/>
        <v>0</v>
      </c>
      <c r="O1912" s="35">
        <f>SUM($M$2:M1912)</f>
        <v>190743600</v>
      </c>
      <c r="P1912" s="34">
        <f t="shared" si="239"/>
        <v>1</v>
      </c>
      <c r="Q1912" s="37">
        <v>0</v>
      </c>
      <c r="R1912" s="31">
        <v>0</v>
      </c>
      <c r="S1912" s="31">
        <v>0</v>
      </c>
      <c r="T1912" s="31">
        <v>0</v>
      </c>
      <c r="U1912" s="37">
        <v>49.3</v>
      </c>
      <c r="V1912" s="31">
        <v>10</v>
      </c>
      <c r="W1912" s="31">
        <v>2</v>
      </c>
      <c r="X1912" s="38">
        <v>17</v>
      </c>
      <c r="Y1912" s="31">
        <v>1</v>
      </c>
      <c r="Z1912" s="31">
        <v>0</v>
      </c>
      <c r="AA1912" s="31" t="s">
        <v>212</v>
      </c>
      <c r="AB1912" s="31" t="s">
        <v>220</v>
      </c>
      <c r="AC1912" s="41">
        <f>IFERROR(LOOKUP(M1912,打分卡!$F$7:$J$7,打分卡!$K$7:$O$7),1)</f>
        <v>1</v>
      </c>
      <c r="AD1912" s="41">
        <f>IFERROR(LOOKUP(S1912,打分卡!$F$8:$J$8,打分卡!$K$8:$O$8),1)</f>
        <v>1</v>
      </c>
      <c r="AE1912" s="41">
        <f>IFERROR(LOOKUP(T1912,打分卡!$F$9:$I$9,打分卡!$K$9:$N$9),1)</f>
        <v>1</v>
      </c>
      <c r="AF1912" s="41">
        <f>IFERROR(LOOKUP(Q1912,打分卡!$F$10:$J$10,打分卡!$K$10:$O$10),1)</f>
        <v>1</v>
      </c>
      <c r="AG1912" s="41">
        <f>IFERROR(LOOKUP(R1912,打分卡!$F$11:$J$11,打分卡!$K$11:$O$11),1)</f>
        <v>1</v>
      </c>
      <c r="AH1912" s="41">
        <f>IFERROR(LOOKUP(U1912,打分卡!$F$12:$J$12,打分卡!$K$12:$O$12),1)</f>
        <v>4</v>
      </c>
      <c r="AI1912" s="41">
        <f>IFERROR(LOOKUP(X1912,打分卡!$F$13:$J$13,打分卡!$K$13:$O$13),1)</f>
        <v>1</v>
      </c>
      <c r="AJ1912" s="41">
        <f>IFERROR(LOOKUP(Y1912,打分卡!$F$14:$J$14,打分卡!$K$14:$O$14),1)</f>
        <v>2</v>
      </c>
      <c r="AK1912" s="41">
        <f>IFERROR(LOOKUP(W1912,打分卡!$F$15:$J$15,打分卡!$K$15:$O$15),1)</f>
        <v>2</v>
      </c>
      <c r="AL1912" s="43">
        <f t="shared" si="233"/>
        <v>1</v>
      </c>
      <c r="AM1912" s="41">
        <f>IFERROR(LOOKUP(Z1912,打分卡!$F$17:$H$17,打分卡!$K$17:$M$17),1)</f>
        <v>1</v>
      </c>
      <c r="AN1912" s="44">
        <f>(打分卡!$D$7*AC1912+打分卡!$D$8*AD1912+打分卡!$D$9*AE1912)/5</f>
        <v>8</v>
      </c>
      <c r="AO1912" s="44">
        <f>(打分卡!$D$10*AF1912+打分卡!$D$11*AG1912)/5</f>
        <v>4</v>
      </c>
      <c r="AP1912" s="44">
        <f>(打分卡!$D$12*AH1912+打分卡!$D$13*AI1912+打分卡!$D$14*AJ1912+打分卡!$D$15*AK1912)/5</f>
        <v>15.2</v>
      </c>
      <c r="AQ1912" s="44">
        <f>(打分卡!$D$16*AL1912+打分卡!$D$17*AM1912)/5</f>
        <v>2</v>
      </c>
      <c r="AR1912" s="47">
        <f t="shared" si="234"/>
        <v>29.2</v>
      </c>
      <c r="AS1912" s="43" t="str">
        <f t="shared" si="235"/>
        <v>未激活</v>
      </c>
      <c r="AT1912" s="43" t="str">
        <f t="shared" si="236"/>
        <v>连续下降-预警</v>
      </c>
      <c r="AU1912" s="43" t="str">
        <f t="shared" si="237"/>
        <v>唤醒：短信模板+首充补贴</v>
      </c>
    </row>
    <row r="1913" ht="15" customHeight="1" spans="1:47">
      <c r="A1913" s="20" t="s">
        <v>4823</v>
      </c>
      <c r="B1913" s="22" t="s">
        <v>4824</v>
      </c>
      <c r="C1913" s="22" t="s">
        <v>239</v>
      </c>
      <c r="D1913" s="22" t="s">
        <v>227</v>
      </c>
      <c r="E1913" s="22" t="s">
        <v>181</v>
      </c>
      <c r="F1913" s="20" t="s">
        <v>3847</v>
      </c>
      <c r="G1913" s="22">
        <v>26</v>
      </c>
      <c r="H1913" s="22" t="s">
        <v>3535</v>
      </c>
      <c r="I1913" s="22" t="s">
        <v>302</v>
      </c>
      <c r="J1913" s="36">
        <v>0</v>
      </c>
      <c r="K1913" s="36">
        <v>0</v>
      </c>
      <c r="L1913" s="36">
        <v>0</v>
      </c>
      <c r="M1913" s="36">
        <f t="shared" si="232"/>
        <v>0</v>
      </c>
      <c r="N1913" s="34">
        <f t="shared" si="238"/>
        <v>0</v>
      </c>
      <c r="O1913" s="35">
        <f>SUM($M$2:M1913)</f>
        <v>190743600</v>
      </c>
      <c r="P1913" s="34">
        <f t="shared" si="239"/>
        <v>1</v>
      </c>
      <c r="Q1913" s="39">
        <v>0</v>
      </c>
      <c r="R1913" s="22">
        <v>0</v>
      </c>
      <c r="S1913" s="22">
        <v>0</v>
      </c>
      <c r="T1913" s="22">
        <v>0</v>
      </c>
      <c r="U1913" s="39">
        <v>5.2</v>
      </c>
      <c r="V1913" s="22">
        <v>3</v>
      </c>
      <c r="W1913" s="22">
        <v>0</v>
      </c>
      <c r="X1913" s="40">
        <v>18</v>
      </c>
      <c r="Y1913" s="22">
        <v>1</v>
      </c>
      <c r="Z1913" s="22">
        <v>0</v>
      </c>
      <c r="AA1913" s="22" t="s">
        <v>212</v>
      </c>
      <c r="AB1913" s="22" t="s">
        <v>220</v>
      </c>
      <c r="AC1913" s="42">
        <f>IFERROR(LOOKUP(M1913,打分卡!$F$7:$J$7,打分卡!$K$7:$O$7),1)</f>
        <v>1</v>
      </c>
      <c r="AD1913" s="42">
        <f>IFERROR(LOOKUP(S1913,打分卡!$F$8:$J$8,打分卡!$K$8:$O$8),1)</f>
        <v>1</v>
      </c>
      <c r="AE1913" s="42">
        <f>IFERROR(LOOKUP(T1913,打分卡!$F$9:$I$9,打分卡!$K$9:$N$9),1)</f>
        <v>1</v>
      </c>
      <c r="AF1913" s="42">
        <f>IFERROR(LOOKUP(Q1913,打分卡!$F$10:$J$10,打分卡!$K$10:$O$10),1)</f>
        <v>1</v>
      </c>
      <c r="AG1913" s="42">
        <f>IFERROR(LOOKUP(R1913,打分卡!$F$11:$J$11,打分卡!$K$11:$O$11),1)</f>
        <v>1</v>
      </c>
      <c r="AH1913" s="42">
        <f>IFERROR(LOOKUP(U1913,打分卡!$F$12:$J$12,打分卡!$K$12:$O$12),1)</f>
        <v>2</v>
      </c>
      <c r="AI1913" s="42">
        <f>IFERROR(LOOKUP(X1913,打分卡!$F$13:$J$13,打分卡!$K$13:$O$13),1)</f>
        <v>2</v>
      </c>
      <c r="AJ1913" s="42">
        <f>IFERROR(LOOKUP(Y1913,打分卡!$F$14:$J$14,打分卡!$K$14:$O$14),1)</f>
        <v>2</v>
      </c>
      <c r="AK1913" s="42">
        <f>IFERROR(LOOKUP(W1913,打分卡!$F$15:$J$15,打分卡!$K$15:$O$15),1)</f>
        <v>1</v>
      </c>
      <c r="AL1913" s="45">
        <f t="shared" si="233"/>
        <v>1</v>
      </c>
      <c r="AM1913" s="42">
        <f>IFERROR(LOOKUP(Z1913,打分卡!$F$17:$H$17,打分卡!$K$17:$M$17),1)</f>
        <v>1</v>
      </c>
      <c r="AN1913" s="46">
        <f>(打分卡!$D$7*AC1913+打分卡!$D$8*AD1913+打分卡!$D$9*AE1913)/5</f>
        <v>8</v>
      </c>
      <c r="AO1913" s="46">
        <f>(打分卡!$D$10*AF1913+打分卡!$D$11*AG1913)/5</f>
        <v>4</v>
      </c>
      <c r="AP1913" s="46">
        <f>(打分卡!$D$12*AH1913+打分卡!$D$13*AI1913+打分卡!$D$14*AJ1913+打分卡!$D$15*AK1913)/5</f>
        <v>11.2</v>
      </c>
      <c r="AQ1913" s="46">
        <f>(打分卡!$D$16*AL1913+打分卡!$D$17*AM1913)/5</f>
        <v>2</v>
      </c>
      <c r="AR1913" s="48">
        <f t="shared" si="234"/>
        <v>25.2</v>
      </c>
      <c r="AS1913" s="45" t="str">
        <f t="shared" si="235"/>
        <v>未激活</v>
      </c>
      <c r="AT1913" s="45" t="str">
        <f t="shared" si="236"/>
        <v>连续下降-预警</v>
      </c>
      <c r="AU1913" s="45" t="str">
        <f t="shared" si="237"/>
        <v>唤醒：短信模板+首充补贴</v>
      </c>
    </row>
    <row r="1914" ht="15" customHeight="1" spans="1:47">
      <c r="A1914" s="30" t="s">
        <v>4825</v>
      </c>
      <c r="B1914" s="31" t="s">
        <v>4826</v>
      </c>
      <c r="C1914" s="31" t="s">
        <v>179</v>
      </c>
      <c r="D1914" s="31" t="s">
        <v>196</v>
      </c>
      <c r="E1914" s="31" t="s">
        <v>181</v>
      </c>
      <c r="F1914" s="30" t="s">
        <v>330</v>
      </c>
      <c r="G1914" s="31">
        <v>21</v>
      </c>
      <c r="H1914" s="31" t="s">
        <v>3535</v>
      </c>
      <c r="I1914" s="31" t="s">
        <v>302</v>
      </c>
      <c r="J1914" s="33">
        <v>0</v>
      </c>
      <c r="K1914" s="33">
        <v>0</v>
      </c>
      <c r="L1914" s="33">
        <v>0</v>
      </c>
      <c r="M1914" s="33">
        <f t="shared" si="232"/>
        <v>0</v>
      </c>
      <c r="N1914" s="34">
        <f t="shared" si="238"/>
        <v>0</v>
      </c>
      <c r="O1914" s="35">
        <f>SUM($M$2:M1914)</f>
        <v>190743600</v>
      </c>
      <c r="P1914" s="34">
        <f t="shared" si="239"/>
        <v>1</v>
      </c>
      <c r="Q1914" s="37">
        <v>0</v>
      </c>
      <c r="R1914" s="31">
        <v>0</v>
      </c>
      <c r="S1914" s="31">
        <v>0</v>
      </c>
      <c r="T1914" s="31">
        <v>0</v>
      </c>
      <c r="U1914" s="37">
        <v>33.2</v>
      </c>
      <c r="V1914" s="31">
        <v>3</v>
      </c>
      <c r="W1914" s="31">
        <v>2</v>
      </c>
      <c r="X1914" s="38">
        <v>25</v>
      </c>
      <c r="Y1914" s="31">
        <v>0</v>
      </c>
      <c r="Z1914" s="31">
        <v>0</v>
      </c>
      <c r="AA1914" s="31" t="s">
        <v>212</v>
      </c>
      <c r="AB1914" s="31" t="s">
        <v>220</v>
      </c>
      <c r="AC1914" s="41">
        <f>IFERROR(LOOKUP(M1914,打分卡!$F$7:$J$7,打分卡!$K$7:$O$7),1)</f>
        <v>1</v>
      </c>
      <c r="AD1914" s="41">
        <f>IFERROR(LOOKUP(S1914,打分卡!$F$8:$J$8,打分卡!$K$8:$O$8),1)</f>
        <v>1</v>
      </c>
      <c r="AE1914" s="41">
        <f>IFERROR(LOOKUP(T1914,打分卡!$F$9:$I$9,打分卡!$K$9:$N$9),1)</f>
        <v>1</v>
      </c>
      <c r="AF1914" s="41">
        <f>IFERROR(LOOKUP(Q1914,打分卡!$F$10:$J$10,打分卡!$K$10:$O$10),1)</f>
        <v>1</v>
      </c>
      <c r="AG1914" s="41">
        <f>IFERROR(LOOKUP(R1914,打分卡!$F$11:$J$11,打分卡!$K$11:$O$11),1)</f>
        <v>1</v>
      </c>
      <c r="AH1914" s="41">
        <f>IFERROR(LOOKUP(U1914,打分卡!$F$12:$J$12,打分卡!$K$12:$O$12),1)</f>
        <v>4</v>
      </c>
      <c r="AI1914" s="41">
        <f>IFERROR(LOOKUP(X1914,打分卡!$F$13:$J$13,打分卡!$K$13:$O$13),1)</f>
        <v>2</v>
      </c>
      <c r="AJ1914" s="41">
        <f>IFERROR(LOOKUP(Y1914,打分卡!$F$14:$J$14,打分卡!$K$14:$O$14),1)</f>
        <v>1</v>
      </c>
      <c r="AK1914" s="41">
        <f>IFERROR(LOOKUP(W1914,打分卡!$F$15:$J$15,打分卡!$K$15:$O$15),1)</f>
        <v>2</v>
      </c>
      <c r="AL1914" s="43">
        <f t="shared" si="233"/>
        <v>1</v>
      </c>
      <c r="AM1914" s="41">
        <f>IFERROR(LOOKUP(Z1914,打分卡!$F$17:$H$17,打分卡!$K$17:$M$17),1)</f>
        <v>1</v>
      </c>
      <c r="AN1914" s="44">
        <f>(打分卡!$D$7*AC1914+打分卡!$D$8*AD1914+打分卡!$D$9*AE1914)/5</f>
        <v>8</v>
      </c>
      <c r="AO1914" s="44">
        <f>(打分卡!$D$10*AF1914+打分卡!$D$11*AG1914)/5</f>
        <v>4</v>
      </c>
      <c r="AP1914" s="44">
        <f>(打分卡!$D$12*AH1914+打分卡!$D$13*AI1914+打分卡!$D$14*AJ1914+打分卡!$D$15*AK1914)/5</f>
        <v>15.6</v>
      </c>
      <c r="AQ1914" s="44">
        <f>(打分卡!$D$16*AL1914+打分卡!$D$17*AM1914)/5</f>
        <v>2</v>
      </c>
      <c r="AR1914" s="47">
        <f t="shared" si="234"/>
        <v>29.6</v>
      </c>
      <c r="AS1914" s="43" t="str">
        <f t="shared" si="235"/>
        <v>未激活</v>
      </c>
      <c r="AT1914" s="43" t="str">
        <f t="shared" si="236"/>
        <v>连续下降-预警</v>
      </c>
      <c r="AU1914" s="43" t="str">
        <f t="shared" si="237"/>
        <v>唤醒：短信模板+首充补贴</v>
      </c>
    </row>
    <row r="1915" ht="15" customHeight="1" spans="1:47">
      <c r="A1915" s="20" t="s">
        <v>4827</v>
      </c>
      <c r="B1915" s="22" t="s">
        <v>4828</v>
      </c>
      <c r="C1915" s="22" t="s">
        <v>179</v>
      </c>
      <c r="D1915" s="22" t="s">
        <v>202</v>
      </c>
      <c r="E1915" s="22" t="s">
        <v>197</v>
      </c>
      <c r="F1915" s="20" t="s">
        <v>982</v>
      </c>
      <c r="G1915" s="22">
        <v>22</v>
      </c>
      <c r="H1915" s="22" t="s">
        <v>3535</v>
      </c>
      <c r="I1915" s="22" t="s">
        <v>302</v>
      </c>
      <c r="J1915" s="36">
        <v>0</v>
      </c>
      <c r="K1915" s="36">
        <v>0</v>
      </c>
      <c r="L1915" s="36">
        <v>0</v>
      </c>
      <c r="M1915" s="36">
        <f t="shared" si="232"/>
        <v>0</v>
      </c>
      <c r="N1915" s="34">
        <f t="shared" si="238"/>
        <v>0</v>
      </c>
      <c r="O1915" s="35">
        <f>SUM($M$2:M1915)</f>
        <v>190743600</v>
      </c>
      <c r="P1915" s="34">
        <f t="shared" si="239"/>
        <v>1</v>
      </c>
      <c r="Q1915" s="39">
        <v>0</v>
      </c>
      <c r="R1915" s="22">
        <v>0</v>
      </c>
      <c r="S1915" s="22">
        <v>0</v>
      </c>
      <c r="T1915" s="22">
        <v>0</v>
      </c>
      <c r="U1915" s="39">
        <v>1.1</v>
      </c>
      <c r="V1915" s="22">
        <v>12</v>
      </c>
      <c r="W1915" s="22">
        <v>0</v>
      </c>
      <c r="X1915" s="40">
        <v>5</v>
      </c>
      <c r="Y1915" s="22">
        <v>0</v>
      </c>
      <c r="Z1915" s="22">
        <v>0</v>
      </c>
      <c r="AA1915" s="22" t="s">
        <v>212</v>
      </c>
      <c r="AB1915" s="22" t="s">
        <v>220</v>
      </c>
      <c r="AC1915" s="42">
        <f>IFERROR(LOOKUP(M1915,打分卡!$F$7:$J$7,打分卡!$K$7:$O$7),1)</f>
        <v>1</v>
      </c>
      <c r="AD1915" s="42">
        <f>IFERROR(LOOKUP(S1915,打分卡!$F$8:$J$8,打分卡!$K$8:$O$8),1)</f>
        <v>1</v>
      </c>
      <c r="AE1915" s="42">
        <f>IFERROR(LOOKUP(T1915,打分卡!$F$9:$I$9,打分卡!$K$9:$N$9),1)</f>
        <v>1</v>
      </c>
      <c r="AF1915" s="42">
        <f>IFERROR(LOOKUP(Q1915,打分卡!$F$10:$J$10,打分卡!$K$10:$O$10),1)</f>
        <v>1</v>
      </c>
      <c r="AG1915" s="42">
        <f>IFERROR(LOOKUP(R1915,打分卡!$F$11:$J$11,打分卡!$K$11:$O$11),1)</f>
        <v>1</v>
      </c>
      <c r="AH1915" s="42">
        <f>IFERROR(LOOKUP(U1915,打分卡!$F$12:$J$12,打分卡!$K$12:$O$12),1)</f>
        <v>1</v>
      </c>
      <c r="AI1915" s="42">
        <f>IFERROR(LOOKUP(X1915,打分卡!$F$13:$J$13,打分卡!$K$13:$O$13),1)</f>
        <v>1</v>
      </c>
      <c r="AJ1915" s="42">
        <f>IFERROR(LOOKUP(Y1915,打分卡!$F$14:$J$14,打分卡!$K$14:$O$14),1)</f>
        <v>1</v>
      </c>
      <c r="AK1915" s="42">
        <f>IFERROR(LOOKUP(W1915,打分卡!$F$15:$J$15,打分卡!$K$15:$O$15),1)</f>
        <v>1</v>
      </c>
      <c r="AL1915" s="45">
        <f t="shared" si="233"/>
        <v>1</v>
      </c>
      <c r="AM1915" s="42">
        <f>IFERROR(LOOKUP(Z1915,打分卡!$F$17:$H$17,打分卡!$K$17:$M$17),1)</f>
        <v>1</v>
      </c>
      <c r="AN1915" s="46">
        <f>(打分卡!$D$7*AC1915+打分卡!$D$8*AD1915+打分卡!$D$9*AE1915)/5</f>
        <v>8</v>
      </c>
      <c r="AO1915" s="46">
        <f>(打分卡!$D$10*AF1915+打分卡!$D$11*AG1915)/5</f>
        <v>4</v>
      </c>
      <c r="AP1915" s="46">
        <f>(打分卡!$D$12*AH1915+打分卡!$D$13*AI1915+打分卡!$D$14*AJ1915+打分卡!$D$15*AK1915)/5</f>
        <v>6</v>
      </c>
      <c r="AQ1915" s="46">
        <f>(打分卡!$D$16*AL1915+打分卡!$D$17*AM1915)/5</f>
        <v>2</v>
      </c>
      <c r="AR1915" s="48">
        <f t="shared" si="234"/>
        <v>20</v>
      </c>
      <c r="AS1915" s="45" t="str">
        <f t="shared" si="235"/>
        <v>未激活</v>
      </c>
      <c r="AT1915" s="45" t="str">
        <f t="shared" si="236"/>
        <v>连续下降-预警</v>
      </c>
      <c r="AU1915" s="45" t="str">
        <f t="shared" si="237"/>
        <v>唤醒：短信模板+首充补贴</v>
      </c>
    </row>
    <row r="1916" ht="15" customHeight="1" spans="1:47">
      <c r="A1916" s="30" t="s">
        <v>4829</v>
      </c>
      <c r="B1916" s="31" t="s">
        <v>4830</v>
      </c>
      <c r="C1916" s="31" t="s">
        <v>239</v>
      </c>
      <c r="D1916" s="31" t="s">
        <v>196</v>
      </c>
      <c r="E1916" s="31" t="s">
        <v>181</v>
      </c>
      <c r="F1916" s="30" t="s">
        <v>389</v>
      </c>
      <c r="G1916" s="31">
        <v>14</v>
      </c>
      <c r="H1916" s="31" t="s">
        <v>3535</v>
      </c>
      <c r="I1916" s="31" t="s">
        <v>302</v>
      </c>
      <c r="J1916" s="33">
        <v>0</v>
      </c>
      <c r="K1916" s="33">
        <v>0</v>
      </c>
      <c r="L1916" s="33">
        <v>0</v>
      </c>
      <c r="M1916" s="33">
        <f t="shared" si="232"/>
        <v>0</v>
      </c>
      <c r="N1916" s="34">
        <f t="shared" si="238"/>
        <v>0</v>
      </c>
      <c r="O1916" s="35">
        <f>SUM($M$2:M1916)</f>
        <v>190743600</v>
      </c>
      <c r="P1916" s="34">
        <f t="shared" si="239"/>
        <v>1</v>
      </c>
      <c r="Q1916" s="37">
        <v>0</v>
      </c>
      <c r="R1916" s="31">
        <v>0</v>
      </c>
      <c r="S1916" s="31">
        <v>0</v>
      </c>
      <c r="T1916" s="31">
        <v>0</v>
      </c>
      <c r="U1916" s="37">
        <v>2.4</v>
      </c>
      <c r="V1916" s="31">
        <v>1</v>
      </c>
      <c r="W1916" s="31">
        <v>0</v>
      </c>
      <c r="X1916" s="38">
        <v>5</v>
      </c>
      <c r="Y1916" s="31">
        <v>0</v>
      </c>
      <c r="Z1916" s="31">
        <v>0</v>
      </c>
      <c r="AA1916" s="31" t="s">
        <v>212</v>
      </c>
      <c r="AB1916" s="31" t="s">
        <v>220</v>
      </c>
      <c r="AC1916" s="41">
        <f>IFERROR(LOOKUP(M1916,打分卡!$F$7:$J$7,打分卡!$K$7:$O$7),1)</f>
        <v>1</v>
      </c>
      <c r="AD1916" s="41">
        <f>IFERROR(LOOKUP(S1916,打分卡!$F$8:$J$8,打分卡!$K$8:$O$8),1)</f>
        <v>1</v>
      </c>
      <c r="AE1916" s="41">
        <f>IFERROR(LOOKUP(T1916,打分卡!$F$9:$I$9,打分卡!$K$9:$N$9),1)</f>
        <v>1</v>
      </c>
      <c r="AF1916" s="41">
        <f>IFERROR(LOOKUP(Q1916,打分卡!$F$10:$J$10,打分卡!$K$10:$O$10),1)</f>
        <v>1</v>
      </c>
      <c r="AG1916" s="41">
        <f>IFERROR(LOOKUP(R1916,打分卡!$F$11:$J$11,打分卡!$K$11:$O$11),1)</f>
        <v>1</v>
      </c>
      <c r="AH1916" s="41">
        <f>IFERROR(LOOKUP(U1916,打分卡!$F$12:$J$12,打分卡!$K$12:$O$12),1)</f>
        <v>1</v>
      </c>
      <c r="AI1916" s="41">
        <f>IFERROR(LOOKUP(X1916,打分卡!$F$13:$J$13,打分卡!$K$13:$O$13),1)</f>
        <v>1</v>
      </c>
      <c r="AJ1916" s="41">
        <f>IFERROR(LOOKUP(Y1916,打分卡!$F$14:$J$14,打分卡!$K$14:$O$14),1)</f>
        <v>1</v>
      </c>
      <c r="AK1916" s="41">
        <f>IFERROR(LOOKUP(W1916,打分卡!$F$15:$J$15,打分卡!$K$15:$O$15),1)</f>
        <v>1</v>
      </c>
      <c r="AL1916" s="43">
        <f t="shared" si="233"/>
        <v>1</v>
      </c>
      <c r="AM1916" s="41">
        <f>IFERROR(LOOKUP(Z1916,打分卡!$F$17:$H$17,打分卡!$K$17:$M$17),1)</f>
        <v>1</v>
      </c>
      <c r="AN1916" s="44">
        <f>(打分卡!$D$7*AC1916+打分卡!$D$8*AD1916+打分卡!$D$9*AE1916)/5</f>
        <v>8</v>
      </c>
      <c r="AO1916" s="44">
        <f>(打分卡!$D$10*AF1916+打分卡!$D$11*AG1916)/5</f>
        <v>4</v>
      </c>
      <c r="AP1916" s="44">
        <f>(打分卡!$D$12*AH1916+打分卡!$D$13*AI1916+打分卡!$D$14*AJ1916+打分卡!$D$15*AK1916)/5</f>
        <v>6</v>
      </c>
      <c r="AQ1916" s="44">
        <f>(打分卡!$D$16*AL1916+打分卡!$D$17*AM1916)/5</f>
        <v>2</v>
      </c>
      <c r="AR1916" s="47">
        <f t="shared" si="234"/>
        <v>20</v>
      </c>
      <c r="AS1916" s="43" t="str">
        <f t="shared" si="235"/>
        <v>未激活</v>
      </c>
      <c r="AT1916" s="43" t="str">
        <f t="shared" si="236"/>
        <v>连续下降-预警</v>
      </c>
      <c r="AU1916" s="43" t="str">
        <f t="shared" si="237"/>
        <v>唤醒：短信模板+首充补贴</v>
      </c>
    </row>
    <row r="1917" ht="15" customHeight="1" spans="1:47">
      <c r="A1917" s="20" t="s">
        <v>4831</v>
      </c>
      <c r="B1917" s="22" t="s">
        <v>4832</v>
      </c>
      <c r="C1917" s="22" t="s">
        <v>218</v>
      </c>
      <c r="D1917" s="22" t="s">
        <v>202</v>
      </c>
      <c r="E1917" s="22" t="s">
        <v>181</v>
      </c>
      <c r="F1917" s="20" t="s">
        <v>4833</v>
      </c>
      <c r="G1917" s="22">
        <v>25</v>
      </c>
      <c r="H1917" s="22" t="s">
        <v>3535</v>
      </c>
      <c r="I1917" s="22" t="s">
        <v>302</v>
      </c>
      <c r="J1917" s="36">
        <v>0</v>
      </c>
      <c r="K1917" s="36">
        <v>0</v>
      </c>
      <c r="L1917" s="36">
        <v>0</v>
      </c>
      <c r="M1917" s="36">
        <f t="shared" si="232"/>
        <v>0</v>
      </c>
      <c r="N1917" s="34">
        <f t="shared" si="238"/>
        <v>0</v>
      </c>
      <c r="O1917" s="35">
        <f>SUM($M$2:M1917)</f>
        <v>190743600</v>
      </c>
      <c r="P1917" s="34">
        <f t="shared" si="239"/>
        <v>1</v>
      </c>
      <c r="Q1917" s="39">
        <v>0</v>
      </c>
      <c r="R1917" s="22">
        <v>0</v>
      </c>
      <c r="S1917" s="22">
        <v>0</v>
      </c>
      <c r="T1917" s="22">
        <v>0</v>
      </c>
      <c r="U1917" s="39">
        <v>1.2</v>
      </c>
      <c r="V1917" s="22">
        <v>2</v>
      </c>
      <c r="W1917" s="22">
        <v>0</v>
      </c>
      <c r="X1917" s="40">
        <v>23</v>
      </c>
      <c r="Y1917" s="22">
        <v>0</v>
      </c>
      <c r="Z1917" s="22">
        <v>0</v>
      </c>
      <c r="AA1917" s="22" t="s">
        <v>212</v>
      </c>
      <c r="AB1917" s="22" t="s">
        <v>220</v>
      </c>
      <c r="AC1917" s="42">
        <f>IFERROR(LOOKUP(M1917,打分卡!$F$7:$J$7,打分卡!$K$7:$O$7),1)</f>
        <v>1</v>
      </c>
      <c r="AD1917" s="42">
        <f>IFERROR(LOOKUP(S1917,打分卡!$F$8:$J$8,打分卡!$K$8:$O$8),1)</f>
        <v>1</v>
      </c>
      <c r="AE1917" s="42">
        <f>IFERROR(LOOKUP(T1917,打分卡!$F$9:$I$9,打分卡!$K$9:$N$9),1)</f>
        <v>1</v>
      </c>
      <c r="AF1917" s="42">
        <f>IFERROR(LOOKUP(Q1917,打分卡!$F$10:$J$10,打分卡!$K$10:$O$10),1)</f>
        <v>1</v>
      </c>
      <c r="AG1917" s="42">
        <f>IFERROR(LOOKUP(R1917,打分卡!$F$11:$J$11,打分卡!$K$11:$O$11),1)</f>
        <v>1</v>
      </c>
      <c r="AH1917" s="42">
        <f>IFERROR(LOOKUP(U1917,打分卡!$F$12:$J$12,打分卡!$K$12:$O$12),1)</f>
        <v>1</v>
      </c>
      <c r="AI1917" s="42">
        <f>IFERROR(LOOKUP(X1917,打分卡!$F$13:$J$13,打分卡!$K$13:$O$13),1)</f>
        <v>2</v>
      </c>
      <c r="AJ1917" s="42">
        <f>IFERROR(LOOKUP(Y1917,打分卡!$F$14:$J$14,打分卡!$K$14:$O$14),1)</f>
        <v>1</v>
      </c>
      <c r="AK1917" s="42">
        <f>IFERROR(LOOKUP(W1917,打分卡!$F$15:$J$15,打分卡!$K$15:$O$15),1)</f>
        <v>1</v>
      </c>
      <c r="AL1917" s="45">
        <f t="shared" si="233"/>
        <v>1</v>
      </c>
      <c r="AM1917" s="42">
        <f>IFERROR(LOOKUP(Z1917,打分卡!$F$17:$H$17,打分卡!$K$17:$M$17),1)</f>
        <v>1</v>
      </c>
      <c r="AN1917" s="46">
        <f>(打分卡!$D$7*AC1917+打分卡!$D$8*AD1917+打分卡!$D$9*AE1917)/5</f>
        <v>8</v>
      </c>
      <c r="AO1917" s="46">
        <f>(打分卡!$D$10*AF1917+打分卡!$D$11*AG1917)/5</f>
        <v>4</v>
      </c>
      <c r="AP1917" s="46">
        <f>(打分卡!$D$12*AH1917+打分卡!$D$13*AI1917+打分卡!$D$14*AJ1917+打分卡!$D$15*AK1917)/5</f>
        <v>7.6</v>
      </c>
      <c r="AQ1917" s="46">
        <f>(打分卡!$D$16*AL1917+打分卡!$D$17*AM1917)/5</f>
        <v>2</v>
      </c>
      <c r="AR1917" s="48">
        <f t="shared" si="234"/>
        <v>21.6</v>
      </c>
      <c r="AS1917" s="45" t="str">
        <f t="shared" si="235"/>
        <v>未激活</v>
      </c>
      <c r="AT1917" s="45" t="str">
        <f t="shared" si="236"/>
        <v>连续下降-预警</v>
      </c>
      <c r="AU1917" s="45" t="str">
        <f t="shared" si="237"/>
        <v>唤醒：短信模板+首充补贴</v>
      </c>
    </row>
    <row r="1918" ht="15" customHeight="1" spans="1:47">
      <c r="A1918" s="30" t="s">
        <v>4834</v>
      </c>
      <c r="B1918" s="31" t="s">
        <v>4835</v>
      </c>
      <c r="C1918" s="31" t="s">
        <v>189</v>
      </c>
      <c r="D1918" s="31" t="s">
        <v>202</v>
      </c>
      <c r="E1918" s="31" t="s">
        <v>181</v>
      </c>
      <c r="F1918" s="30" t="s">
        <v>2634</v>
      </c>
      <c r="G1918" s="31">
        <v>19</v>
      </c>
      <c r="H1918" s="31" t="s">
        <v>3535</v>
      </c>
      <c r="I1918" s="31" t="s">
        <v>302</v>
      </c>
      <c r="J1918" s="33">
        <v>0</v>
      </c>
      <c r="K1918" s="33">
        <v>0</v>
      </c>
      <c r="L1918" s="33">
        <v>0</v>
      </c>
      <c r="M1918" s="33">
        <f t="shared" si="232"/>
        <v>0</v>
      </c>
      <c r="N1918" s="34">
        <f t="shared" si="238"/>
        <v>0</v>
      </c>
      <c r="O1918" s="35">
        <f>SUM($M$2:M1918)</f>
        <v>190743600</v>
      </c>
      <c r="P1918" s="34">
        <f t="shared" si="239"/>
        <v>1</v>
      </c>
      <c r="Q1918" s="37">
        <v>0</v>
      </c>
      <c r="R1918" s="31">
        <v>0</v>
      </c>
      <c r="S1918" s="31">
        <v>0</v>
      </c>
      <c r="T1918" s="31">
        <v>0</v>
      </c>
      <c r="U1918" s="37">
        <v>20</v>
      </c>
      <c r="V1918" s="31">
        <v>10</v>
      </c>
      <c r="W1918" s="31">
        <v>1</v>
      </c>
      <c r="X1918" s="38">
        <v>13</v>
      </c>
      <c r="Y1918" s="31">
        <v>0</v>
      </c>
      <c r="Z1918" s="31">
        <v>0</v>
      </c>
      <c r="AA1918" s="31" t="s">
        <v>212</v>
      </c>
      <c r="AB1918" s="31" t="s">
        <v>220</v>
      </c>
      <c r="AC1918" s="41">
        <f>IFERROR(LOOKUP(M1918,打分卡!$F$7:$J$7,打分卡!$K$7:$O$7),1)</f>
        <v>1</v>
      </c>
      <c r="AD1918" s="41">
        <f>IFERROR(LOOKUP(S1918,打分卡!$F$8:$J$8,打分卡!$K$8:$O$8),1)</f>
        <v>1</v>
      </c>
      <c r="AE1918" s="41">
        <f>IFERROR(LOOKUP(T1918,打分卡!$F$9:$I$9,打分卡!$K$9:$N$9),1)</f>
        <v>1</v>
      </c>
      <c r="AF1918" s="41">
        <f>IFERROR(LOOKUP(Q1918,打分卡!$F$10:$J$10,打分卡!$K$10:$O$10),1)</f>
        <v>1</v>
      </c>
      <c r="AG1918" s="41">
        <f>IFERROR(LOOKUP(R1918,打分卡!$F$11:$J$11,打分卡!$K$11:$O$11),1)</f>
        <v>1</v>
      </c>
      <c r="AH1918" s="41">
        <f>IFERROR(LOOKUP(U1918,打分卡!$F$12:$J$12,打分卡!$K$12:$O$12),1)</f>
        <v>3</v>
      </c>
      <c r="AI1918" s="41">
        <f>IFERROR(LOOKUP(X1918,打分卡!$F$13:$J$13,打分卡!$K$13:$O$13),1)</f>
        <v>1</v>
      </c>
      <c r="AJ1918" s="41">
        <f>IFERROR(LOOKUP(Y1918,打分卡!$F$14:$J$14,打分卡!$K$14:$O$14),1)</f>
        <v>1</v>
      </c>
      <c r="AK1918" s="41">
        <f>IFERROR(LOOKUP(W1918,打分卡!$F$15:$J$15,打分卡!$K$15:$O$15),1)</f>
        <v>2</v>
      </c>
      <c r="AL1918" s="43">
        <f t="shared" si="233"/>
        <v>1</v>
      </c>
      <c r="AM1918" s="41">
        <f>IFERROR(LOOKUP(Z1918,打分卡!$F$17:$H$17,打分卡!$K$17:$M$17),1)</f>
        <v>1</v>
      </c>
      <c r="AN1918" s="44">
        <f>(打分卡!$D$7*AC1918+打分卡!$D$8*AD1918+打分卡!$D$9*AE1918)/5</f>
        <v>8</v>
      </c>
      <c r="AO1918" s="44">
        <f>(打分卡!$D$10*AF1918+打分卡!$D$11*AG1918)/5</f>
        <v>4</v>
      </c>
      <c r="AP1918" s="44">
        <f>(打分卡!$D$12*AH1918+打分卡!$D$13*AI1918+打分卡!$D$14*AJ1918+打分卡!$D$15*AK1918)/5</f>
        <v>11.6</v>
      </c>
      <c r="AQ1918" s="44">
        <f>(打分卡!$D$16*AL1918+打分卡!$D$17*AM1918)/5</f>
        <v>2</v>
      </c>
      <c r="AR1918" s="47">
        <f t="shared" si="234"/>
        <v>25.6</v>
      </c>
      <c r="AS1918" s="43" t="str">
        <f t="shared" si="235"/>
        <v>未激活</v>
      </c>
      <c r="AT1918" s="43" t="str">
        <f t="shared" si="236"/>
        <v>连续下降-预警</v>
      </c>
      <c r="AU1918" s="43" t="str">
        <f t="shared" si="237"/>
        <v>唤醒：短信模板+首充补贴</v>
      </c>
    </row>
    <row r="1919" ht="15" customHeight="1" spans="1:47">
      <c r="A1919" s="20" t="s">
        <v>4836</v>
      </c>
      <c r="B1919" s="22" t="s">
        <v>4837</v>
      </c>
      <c r="C1919" s="22" t="s">
        <v>195</v>
      </c>
      <c r="D1919" s="22" t="s">
        <v>196</v>
      </c>
      <c r="E1919" s="22" t="s">
        <v>197</v>
      </c>
      <c r="F1919" s="20" t="s">
        <v>4645</v>
      </c>
      <c r="G1919" s="22">
        <v>18</v>
      </c>
      <c r="H1919" s="22" t="s">
        <v>3535</v>
      </c>
      <c r="I1919" s="22" t="s">
        <v>302</v>
      </c>
      <c r="J1919" s="36">
        <v>0</v>
      </c>
      <c r="K1919" s="36">
        <v>0</v>
      </c>
      <c r="L1919" s="36">
        <v>0</v>
      </c>
      <c r="M1919" s="36">
        <f t="shared" si="232"/>
        <v>0</v>
      </c>
      <c r="N1919" s="34">
        <f t="shared" si="238"/>
        <v>0</v>
      </c>
      <c r="O1919" s="35">
        <f>SUM($M$2:M1919)</f>
        <v>190743600</v>
      </c>
      <c r="P1919" s="34">
        <f t="shared" si="239"/>
        <v>1</v>
      </c>
      <c r="Q1919" s="39">
        <v>0</v>
      </c>
      <c r="R1919" s="22">
        <v>0</v>
      </c>
      <c r="S1919" s="22">
        <v>0</v>
      </c>
      <c r="T1919" s="22">
        <v>0</v>
      </c>
      <c r="U1919" s="39">
        <v>2.7</v>
      </c>
      <c r="V1919" s="22">
        <v>6</v>
      </c>
      <c r="W1919" s="22">
        <v>2</v>
      </c>
      <c r="X1919" s="40">
        <v>41</v>
      </c>
      <c r="Y1919" s="22">
        <v>1</v>
      </c>
      <c r="Z1919" s="22">
        <v>0</v>
      </c>
      <c r="AA1919" s="22" t="s">
        <v>212</v>
      </c>
      <c r="AB1919" s="22" t="s">
        <v>220</v>
      </c>
      <c r="AC1919" s="42">
        <f>IFERROR(LOOKUP(M1919,打分卡!$F$7:$J$7,打分卡!$K$7:$O$7),1)</f>
        <v>1</v>
      </c>
      <c r="AD1919" s="42">
        <f>IFERROR(LOOKUP(S1919,打分卡!$F$8:$J$8,打分卡!$K$8:$O$8),1)</f>
        <v>1</v>
      </c>
      <c r="AE1919" s="42">
        <f>IFERROR(LOOKUP(T1919,打分卡!$F$9:$I$9,打分卡!$K$9:$N$9),1)</f>
        <v>1</v>
      </c>
      <c r="AF1919" s="42">
        <f>IFERROR(LOOKUP(Q1919,打分卡!$F$10:$J$10,打分卡!$K$10:$O$10),1)</f>
        <v>1</v>
      </c>
      <c r="AG1919" s="42">
        <f>IFERROR(LOOKUP(R1919,打分卡!$F$11:$J$11,打分卡!$K$11:$O$11),1)</f>
        <v>1</v>
      </c>
      <c r="AH1919" s="42">
        <f>IFERROR(LOOKUP(U1919,打分卡!$F$12:$J$12,打分卡!$K$12:$O$12),1)</f>
        <v>1</v>
      </c>
      <c r="AI1919" s="42">
        <f>IFERROR(LOOKUP(X1919,打分卡!$F$13:$J$13,打分卡!$K$13:$O$13),1)</f>
        <v>3</v>
      </c>
      <c r="AJ1919" s="42">
        <f>IFERROR(LOOKUP(Y1919,打分卡!$F$14:$J$14,打分卡!$K$14:$O$14),1)</f>
        <v>2</v>
      </c>
      <c r="AK1919" s="42">
        <f>IFERROR(LOOKUP(W1919,打分卡!$F$15:$J$15,打分卡!$K$15:$O$15),1)</f>
        <v>2</v>
      </c>
      <c r="AL1919" s="45">
        <f t="shared" si="233"/>
        <v>1</v>
      </c>
      <c r="AM1919" s="42">
        <f>IFERROR(LOOKUP(Z1919,打分卡!$F$17:$H$17,打分卡!$K$17:$M$17),1)</f>
        <v>1</v>
      </c>
      <c r="AN1919" s="46">
        <f>(打分卡!$D$7*AC1919+打分卡!$D$8*AD1919+打分卡!$D$9*AE1919)/5</f>
        <v>8</v>
      </c>
      <c r="AO1919" s="46">
        <f>(打分卡!$D$10*AF1919+打分卡!$D$11*AG1919)/5</f>
        <v>4</v>
      </c>
      <c r="AP1919" s="46">
        <f>(打分卡!$D$12*AH1919+打分卡!$D$13*AI1919+打分卡!$D$14*AJ1919+打分卡!$D$15*AK1919)/5</f>
        <v>11.2</v>
      </c>
      <c r="AQ1919" s="46">
        <f>(打分卡!$D$16*AL1919+打分卡!$D$17*AM1919)/5</f>
        <v>2</v>
      </c>
      <c r="AR1919" s="48">
        <f t="shared" si="234"/>
        <v>25.2</v>
      </c>
      <c r="AS1919" s="45" t="str">
        <f t="shared" si="235"/>
        <v>未激活</v>
      </c>
      <c r="AT1919" s="45" t="str">
        <f t="shared" si="236"/>
        <v>连续下降-预警</v>
      </c>
      <c r="AU1919" s="45" t="str">
        <f t="shared" si="237"/>
        <v>唤醒：短信模板+首充补贴</v>
      </c>
    </row>
    <row r="1920" ht="15" customHeight="1" spans="1:47">
      <c r="A1920" s="30" t="s">
        <v>4838</v>
      </c>
      <c r="B1920" s="31" t="s">
        <v>4839</v>
      </c>
      <c r="C1920" s="31" t="s">
        <v>223</v>
      </c>
      <c r="D1920" s="31" t="s">
        <v>196</v>
      </c>
      <c r="E1920" s="31" t="s">
        <v>181</v>
      </c>
      <c r="F1920" s="30" t="s">
        <v>4840</v>
      </c>
      <c r="G1920" s="31">
        <v>30</v>
      </c>
      <c r="H1920" s="31" t="s">
        <v>3535</v>
      </c>
      <c r="I1920" s="31" t="s">
        <v>302</v>
      </c>
      <c r="J1920" s="33">
        <v>0</v>
      </c>
      <c r="K1920" s="33">
        <v>0</v>
      </c>
      <c r="L1920" s="33">
        <v>0</v>
      </c>
      <c r="M1920" s="33">
        <f t="shared" si="232"/>
        <v>0</v>
      </c>
      <c r="N1920" s="34">
        <f t="shared" si="238"/>
        <v>0</v>
      </c>
      <c r="O1920" s="35">
        <f>SUM($M$2:M1920)</f>
        <v>190743600</v>
      </c>
      <c r="P1920" s="34">
        <f t="shared" si="239"/>
        <v>1</v>
      </c>
      <c r="Q1920" s="37">
        <v>0</v>
      </c>
      <c r="R1920" s="31">
        <v>0</v>
      </c>
      <c r="S1920" s="31">
        <v>0</v>
      </c>
      <c r="T1920" s="31">
        <v>0</v>
      </c>
      <c r="U1920" s="37">
        <v>11.1</v>
      </c>
      <c r="V1920" s="31">
        <v>2</v>
      </c>
      <c r="W1920" s="31">
        <v>2</v>
      </c>
      <c r="X1920" s="38">
        <v>8</v>
      </c>
      <c r="Y1920" s="31">
        <v>0</v>
      </c>
      <c r="Z1920" s="31">
        <v>0</v>
      </c>
      <c r="AA1920" s="31" t="s">
        <v>212</v>
      </c>
      <c r="AB1920" s="31" t="s">
        <v>220</v>
      </c>
      <c r="AC1920" s="41">
        <f>IFERROR(LOOKUP(M1920,打分卡!$F$7:$J$7,打分卡!$K$7:$O$7),1)</f>
        <v>1</v>
      </c>
      <c r="AD1920" s="41">
        <f>IFERROR(LOOKUP(S1920,打分卡!$F$8:$J$8,打分卡!$K$8:$O$8),1)</f>
        <v>1</v>
      </c>
      <c r="AE1920" s="41">
        <f>IFERROR(LOOKUP(T1920,打分卡!$F$9:$I$9,打分卡!$K$9:$N$9),1)</f>
        <v>1</v>
      </c>
      <c r="AF1920" s="41">
        <f>IFERROR(LOOKUP(Q1920,打分卡!$F$10:$J$10,打分卡!$K$10:$O$10),1)</f>
        <v>1</v>
      </c>
      <c r="AG1920" s="41">
        <f>IFERROR(LOOKUP(R1920,打分卡!$F$11:$J$11,打分卡!$K$11:$O$11),1)</f>
        <v>1</v>
      </c>
      <c r="AH1920" s="41">
        <f>IFERROR(LOOKUP(U1920,打分卡!$F$12:$J$12,打分卡!$K$12:$O$12),1)</f>
        <v>3</v>
      </c>
      <c r="AI1920" s="41">
        <f>IFERROR(LOOKUP(X1920,打分卡!$F$13:$J$13,打分卡!$K$13:$O$13),1)</f>
        <v>1</v>
      </c>
      <c r="AJ1920" s="41">
        <f>IFERROR(LOOKUP(Y1920,打分卡!$F$14:$J$14,打分卡!$K$14:$O$14),1)</f>
        <v>1</v>
      </c>
      <c r="AK1920" s="41">
        <f>IFERROR(LOOKUP(W1920,打分卡!$F$15:$J$15,打分卡!$K$15:$O$15),1)</f>
        <v>2</v>
      </c>
      <c r="AL1920" s="43">
        <f t="shared" si="233"/>
        <v>1</v>
      </c>
      <c r="AM1920" s="41">
        <f>IFERROR(LOOKUP(Z1920,打分卡!$F$17:$H$17,打分卡!$K$17:$M$17),1)</f>
        <v>1</v>
      </c>
      <c r="AN1920" s="44">
        <f>(打分卡!$D$7*AC1920+打分卡!$D$8*AD1920+打分卡!$D$9*AE1920)/5</f>
        <v>8</v>
      </c>
      <c r="AO1920" s="44">
        <f>(打分卡!$D$10*AF1920+打分卡!$D$11*AG1920)/5</f>
        <v>4</v>
      </c>
      <c r="AP1920" s="44">
        <f>(打分卡!$D$12*AH1920+打分卡!$D$13*AI1920+打分卡!$D$14*AJ1920+打分卡!$D$15*AK1920)/5</f>
        <v>11.6</v>
      </c>
      <c r="AQ1920" s="44">
        <f>(打分卡!$D$16*AL1920+打分卡!$D$17*AM1920)/5</f>
        <v>2</v>
      </c>
      <c r="AR1920" s="47">
        <f t="shared" si="234"/>
        <v>25.6</v>
      </c>
      <c r="AS1920" s="43" t="str">
        <f t="shared" si="235"/>
        <v>未激活</v>
      </c>
      <c r="AT1920" s="43" t="str">
        <f t="shared" si="236"/>
        <v>连续下降-预警</v>
      </c>
      <c r="AU1920" s="43" t="str">
        <f t="shared" si="237"/>
        <v>唤醒：短信模板+首充补贴</v>
      </c>
    </row>
    <row r="1921" ht="15" customHeight="1" spans="1:47">
      <c r="A1921" s="20" t="s">
        <v>4841</v>
      </c>
      <c r="B1921" s="22" t="s">
        <v>4842</v>
      </c>
      <c r="C1921" s="22" t="s">
        <v>189</v>
      </c>
      <c r="D1921" s="22" t="s">
        <v>227</v>
      </c>
      <c r="E1921" s="22" t="s">
        <v>181</v>
      </c>
      <c r="F1921" s="20" t="s">
        <v>963</v>
      </c>
      <c r="G1921" s="22">
        <v>17</v>
      </c>
      <c r="H1921" s="22" t="s">
        <v>3535</v>
      </c>
      <c r="I1921" s="22" t="s">
        <v>302</v>
      </c>
      <c r="J1921" s="36">
        <v>0</v>
      </c>
      <c r="K1921" s="36">
        <v>0</v>
      </c>
      <c r="L1921" s="36">
        <v>0</v>
      </c>
      <c r="M1921" s="36">
        <f t="shared" si="232"/>
        <v>0</v>
      </c>
      <c r="N1921" s="34">
        <f t="shared" si="238"/>
        <v>0</v>
      </c>
      <c r="O1921" s="35">
        <f>SUM($M$2:M1921)</f>
        <v>190743600</v>
      </c>
      <c r="P1921" s="34">
        <f t="shared" si="239"/>
        <v>1</v>
      </c>
      <c r="Q1921" s="39">
        <v>0</v>
      </c>
      <c r="R1921" s="22">
        <v>0</v>
      </c>
      <c r="S1921" s="22">
        <v>0</v>
      </c>
      <c r="T1921" s="22">
        <v>0</v>
      </c>
      <c r="U1921" s="39">
        <v>0.8</v>
      </c>
      <c r="V1921" s="22">
        <v>7</v>
      </c>
      <c r="W1921" s="22">
        <v>1</v>
      </c>
      <c r="X1921" s="40">
        <v>62</v>
      </c>
      <c r="Y1921" s="22">
        <v>1</v>
      </c>
      <c r="Z1921" s="22">
        <v>0</v>
      </c>
      <c r="AA1921" s="22" t="s">
        <v>212</v>
      </c>
      <c r="AB1921" s="22" t="s">
        <v>220</v>
      </c>
      <c r="AC1921" s="42">
        <f>IFERROR(LOOKUP(M1921,打分卡!$F$7:$J$7,打分卡!$K$7:$O$7),1)</f>
        <v>1</v>
      </c>
      <c r="AD1921" s="42">
        <f>IFERROR(LOOKUP(S1921,打分卡!$F$8:$J$8,打分卡!$K$8:$O$8),1)</f>
        <v>1</v>
      </c>
      <c r="AE1921" s="42">
        <f>IFERROR(LOOKUP(T1921,打分卡!$F$9:$I$9,打分卡!$K$9:$N$9),1)</f>
        <v>1</v>
      </c>
      <c r="AF1921" s="42">
        <f>IFERROR(LOOKUP(Q1921,打分卡!$F$10:$J$10,打分卡!$K$10:$O$10),1)</f>
        <v>1</v>
      </c>
      <c r="AG1921" s="42">
        <f>IFERROR(LOOKUP(R1921,打分卡!$F$11:$J$11,打分卡!$K$11:$O$11),1)</f>
        <v>1</v>
      </c>
      <c r="AH1921" s="42">
        <f>IFERROR(LOOKUP(U1921,打分卡!$F$12:$J$12,打分卡!$K$12:$O$12),1)</f>
        <v>1</v>
      </c>
      <c r="AI1921" s="42">
        <f>IFERROR(LOOKUP(X1921,打分卡!$F$13:$J$13,打分卡!$K$13:$O$13),1)</f>
        <v>3</v>
      </c>
      <c r="AJ1921" s="42">
        <f>IFERROR(LOOKUP(Y1921,打分卡!$F$14:$J$14,打分卡!$K$14:$O$14),1)</f>
        <v>2</v>
      </c>
      <c r="AK1921" s="42">
        <f>IFERROR(LOOKUP(W1921,打分卡!$F$15:$J$15,打分卡!$K$15:$O$15),1)</f>
        <v>2</v>
      </c>
      <c r="AL1921" s="45">
        <f t="shared" si="233"/>
        <v>1</v>
      </c>
      <c r="AM1921" s="42">
        <f>IFERROR(LOOKUP(Z1921,打分卡!$F$17:$H$17,打分卡!$K$17:$M$17),1)</f>
        <v>1</v>
      </c>
      <c r="AN1921" s="46">
        <f>(打分卡!$D$7*AC1921+打分卡!$D$8*AD1921+打分卡!$D$9*AE1921)/5</f>
        <v>8</v>
      </c>
      <c r="AO1921" s="46">
        <f>(打分卡!$D$10*AF1921+打分卡!$D$11*AG1921)/5</f>
        <v>4</v>
      </c>
      <c r="AP1921" s="46">
        <f>(打分卡!$D$12*AH1921+打分卡!$D$13*AI1921+打分卡!$D$14*AJ1921+打分卡!$D$15*AK1921)/5</f>
        <v>11.2</v>
      </c>
      <c r="AQ1921" s="46">
        <f>(打分卡!$D$16*AL1921+打分卡!$D$17*AM1921)/5</f>
        <v>2</v>
      </c>
      <c r="AR1921" s="48">
        <f t="shared" si="234"/>
        <v>25.2</v>
      </c>
      <c r="AS1921" s="45" t="str">
        <f t="shared" si="235"/>
        <v>未激活</v>
      </c>
      <c r="AT1921" s="45" t="str">
        <f t="shared" si="236"/>
        <v>连续下降-预警</v>
      </c>
      <c r="AU1921" s="45" t="str">
        <f t="shared" si="237"/>
        <v>唤醒：短信模板+首充补贴</v>
      </c>
    </row>
    <row r="1922" ht="15" customHeight="1" spans="1:47">
      <c r="A1922" s="30" t="s">
        <v>4843</v>
      </c>
      <c r="B1922" s="31" t="s">
        <v>4844</v>
      </c>
      <c r="C1922" s="31" t="s">
        <v>179</v>
      </c>
      <c r="D1922" s="31" t="s">
        <v>227</v>
      </c>
      <c r="E1922" s="31" t="s">
        <v>181</v>
      </c>
      <c r="F1922" s="30" t="s">
        <v>4845</v>
      </c>
      <c r="G1922" s="31">
        <v>13</v>
      </c>
      <c r="H1922" s="31" t="s">
        <v>3535</v>
      </c>
      <c r="I1922" s="31" t="s">
        <v>302</v>
      </c>
      <c r="J1922" s="33">
        <v>0</v>
      </c>
      <c r="K1922" s="33">
        <v>0</v>
      </c>
      <c r="L1922" s="33">
        <v>0</v>
      </c>
      <c r="M1922" s="33">
        <f t="shared" ref="M1922:M1985" si="240">SUM(J1922:L1922)</f>
        <v>0</v>
      </c>
      <c r="N1922" s="34">
        <f t="shared" si="238"/>
        <v>0</v>
      </c>
      <c r="O1922" s="35">
        <f>SUM($M$2:M1922)</f>
        <v>190743600</v>
      </c>
      <c r="P1922" s="34">
        <f t="shared" si="239"/>
        <v>1</v>
      </c>
      <c r="Q1922" s="37">
        <v>0</v>
      </c>
      <c r="R1922" s="31">
        <v>0</v>
      </c>
      <c r="S1922" s="31">
        <v>0</v>
      </c>
      <c r="T1922" s="31">
        <v>0</v>
      </c>
      <c r="U1922" s="37">
        <v>1.5</v>
      </c>
      <c r="V1922" s="31">
        <v>14</v>
      </c>
      <c r="W1922" s="31">
        <v>2</v>
      </c>
      <c r="X1922" s="38">
        <v>9</v>
      </c>
      <c r="Y1922" s="31">
        <v>1</v>
      </c>
      <c r="Z1922" s="31">
        <v>0</v>
      </c>
      <c r="AA1922" s="31" t="s">
        <v>212</v>
      </c>
      <c r="AB1922" s="31" t="s">
        <v>220</v>
      </c>
      <c r="AC1922" s="41">
        <f>IFERROR(LOOKUP(M1922,打分卡!$F$7:$J$7,打分卡!$K$7:$O$7),1)</f>
        <v>1</v>
      </c>
      <c r="AD1922" s="41">
        <f>IFERROR(LOOKUP(S1922,打分卡!$F$8:$J$8,打分卡!$K$8:$O$8),1)</f>
        <v>1</v>
      </c>
      <c r="AE1922" s="41">
        <f>IFERROR(LOOKUP(T1922,打分卡!$F$9:$I$9,打分卡!$K$9:$N$9),1)</f>
        <v>1</v>
      </c>
      <c r="AF1922" s="41">
        <f>IFERROR(LOOKUP(Q1922,打分卡!$F$10:$J$10,打分卡!$K$10:$O$10),1)</f>
        <v>1</v>
      </c>
      <c r="AG1922" s="41">
        <f>IFERROR(LOOKUP(R1922,打分卡!$F$11:$J$11,打分卡!$K$11:$O$11),1)</f>
        <v>1</v>
      </c>
      <c r="AH1922" s="41">
        <f>IFERROR(LOOKUP(U1922,打分卡!$F$12:$J$12,打分卡!$K$12:$O$12),1)</f>
        <v>1</v>
      </c>
      <c r="AI1922" s="41">
        <f>IFERROR(LOOKUP(X1922,打分卡!$F$13:$J$13,打分卡!$K$13:$O$13),1)</f>
        <v>1</v>
      </c>
      <c r="AJ1922" s="41">
        <f>IFERROR(LOOKUP(Y1922,打分卡!$F$14:$J$14,打分卡!$K$14:$O$14),1)</f>
        <v>2</v>
      </c>
      <c r="AK1922" s="41">
        <f>IFERROR(LOOKUP(W1922,打分卡!$F$15:$J$15,打分卡!$K$15:$O$15),1)</f>
        <v>2</v>
      </c>
      <c r="AL1922" s="43">
        <f t="shared" ref="AL1922:AL1985" si="241">IF(AA1922="连续下降",1,IF(AA1922="下降",2,IF(AA1922="上升",5,3)))</f>
        <v>1</v>
      </c>
      <c r="AM1922" s="41">
        <f>IFERROR(LOOKUP(Z1922,打分卡!$F$17:$H$17,打分卡!$K$17:$M$17),1)</f>
        <v>1</v>
      </c>
      <c r="AN1922" s="44">
        <f>(打分卡!$D$7*AC1922+打分卡!$D$8*AD1922+打分卡!$D$9*AE1922)/5</f>
        <v>8</v>
      </c>
      <c r="AO1922" s="44">
        <f>(打分卡!$D$10*AF1922+打分卡!$D$11*AG1922)/5</f>
        <v>4</v>
      </c>
      <c r="AP1922" s="44">
        <f>(打分卡!$D$12*AH1922+打分卡!$D$13*AI1922+打分卡!$D$14*AJ1922+打分卡!$D$15*AK1922)/5</f>
        <v>8</v>
      </c>
      <c r="AQ1922" s="44">
        <f>(打分卡!$D$16*AL1922+打分卡!$D$17*AM1922)/5</f>
        <v>2</v>
      </c>
      <c r="AR1922" s="47">
        <f t="shared" ref="AR1922:AR1985" si="242">IF(G1922&lt;3,AP1922/30*40+AO1922+AP1922+AQ1922,AN1922+AO1922+AP1922+AQ1922)</f>
        <v>22</v>
      </c>
      <c r="AS1922" s="43" t="str">
        <f t="shared" ref="AS1922:AS1985" si="243">IF(M1922=0,IF(G1922&lt;3,"新客观察期","未激活"),IF(AR1922&gt;=90,"SKA",IF(AR1922&gt;=75,"KA",IF(AR1922&gt;=40,"腰部","基础长尾"))))</f>
        <v>未激活</v>
      </c>
      <c r="AT1922" s="43" t="str">
        <f t="shared" ref="AT1922:AT1985" si="244">IF(AA1922="连续下降","连续下降-预警","")</f>
        <v>连续下降-预警</v>
      </c>
      <c r="AU1922" s="43" t="str">
        <f t="shared" ref="AU1922:AU1985" si="245">IF(AS1922="SKA","守·共创：卡片短信/AI外呼新场景POC",IF(AS1922="KA","扩·深化：AI外呼场景深化+Push/企微补全",IF(AS1922="腰部","拉·主攻：主推AI外呼+大促作战包",IF(AS1922="新客观察期","培育：入门包+1v1场景教育",IF(AS1922="基础长尾","激活：企微+Push低成本先跑","唤醒：短信模板+首充补贴")))))</f>
        <v>唤醒：短信模板+首充补贴</v>
      </c>
    </row>
    <row r="1923" ht="15" customHeight="1" spans="1:47">
      <c r="A1923" s="20" t="s">
        <v>4846</v>
      </c>
      <c r="B1923" s="22" t="s">
        <v>4847</v>
      </c>
      <c r="C1923" s="22" t="s">
        <v>239</v>
      </c>
      <c r="D1923" s="22" t="s">
        <v>196</v>
      </c>
      <c r="E1923" s="22" t="s">
        <v>181</v>
      </c>
      <c r="F1923" s="20" t="s">
        <v>1465</v>
      </c>
      <c r="G1923" s="22">
        <v>22</v>
      </c>
      <c r="H1923" s="22" t="s">
        <v>3535</v>
      </c>
      <c r="I1923" s="22" t="s">
        <v>302</v>
      </c>
      <c r="J1923" s="36">
        <v>0</v>
      </c>
      <c r="K1923" s="36">
        <v>0</v>
      </c>
      <c r="L1923" s="36">
        <v>0</v>
      </c>
      <c r="M1923" s="36">
        <f t="shared" si="240"/>
        <v>0</v>
      </c>
      <c r="N1923" s="34">
        <f t="shared" ref="N1923:N1986" si="246">M1923/$M$2002</f>
        <v>0</v>
      </c>
      <c r="O1923" s="35">
        <f>SUM($M$2:M1923)</f>
        <v>190743600</v>
      </c>
      <c r="P1923" s="34">
        <f t="shared" ref="P1923:P1986" si="247">O1923/$M$2002</f>
        <v>1</v>
      </c>
      <c r="Q1923" s="39">
        <v>0</v>
      </c>
      <c r="R1923" s="22">
        <v>0</v>
      </c>
      <c r="S1923" s="22">
        <v>0</v>
      </c>
      <c r="T1923" s="22">
        <v>0</v>
      </c>
      <c r="U1923" s="39">
        <v>3.1</v>
      </c>
      <c r="V1923" s="22">
        <v>7</v>
      </c>
      <c r="W1923" s="22">
        <v>2</v>
      </c>
      <c r="X1923" s="40">
        <v>36</v>
      </c>
      <c r="Y1923" s="22">
        <v>0</v>
      </c>
      <c r="Z1923" s="22">
        <v>0</v>
      </c>
      <c r="AA1923" s="22" t="s">
        <v>212</v>
      </c>
      <c r="AB1923" s="22" t="s">
        <v>220</v>
      </c>
      <c r="AC1923" s="42">
        <f>IFERROR(LOOKUP(M1923,打分卡!$F$7:$J$7,打分卡!$K$7:$O$7),1)</f>
        <v>1</v>
      </c>
      <c r="AD1923" s="42">
        <f>IFERROR(LOOKUP(S1923,打分卡!$F$8:$J$8,打分卡!$K$8:$O$8),1)</f>
        <v>1</v>
      </c>
      <c r="AE1923" s="42">
        <f>IFERROR(LOOKUP(T1923,打分卡!$F$9:$I$9,打分卡!$K$9:$N$9),1)</f>
        <v>1</v>
      </c>
      <c r="AF1923" s="42">
        <f>IFERROR(LOOKUP(Q1923,打分卡!$F$10:$J$10,打分卡!$K$10:$O$10),1)</f>
        <v>1</v>
      </c>
      <c r="AG1923" s="42">
        <f>IFERROR(LOOKUP(R1923,打分卡!$F$11:$J$11,打分卡!$K$11:$O$11),1)</f>
        <v>1</v>
      </c>
      <c r="AH1923" s="42">
        <f>IFERROR(LOOKUP(U1923,打分卡!$F$12:$J$12,打分卡!$K$12:$O$12),1)</f>
        <v>2</v>
      </c>
      <c r="AI1923" s="42">
        <f>IFERROR(LOOKUP(X1923,打分卡!$F$13:$J$13,打分卡!$K$13:$O$13),1)</f>
        <v>2</v>
      </c>
      <c r="AJ1923" s="42">
        <f>IFERROR(LOOKUP(Y1923,打分卡!$F$14:$J$14,打分卡!$K$14:$O$14),1)</f>
        <v>1</v>
      </c>
      <c r="AK1923" s="42">
        <f>IFERROR(LOOKUP(W1923,打分卡!$F$15:$J$15,打分卡!$K$15:$O$15),1)</f>
        <v>2</v>
      </c>
      <c r="AL1923" s="45">
        <f t="shared" si="241"/>
        <v>1</v>
      </c>
      <c r="AM1923" s="42">
        <f>IFERROR(LOOKUP(Z1923,打分卡!$F$17:$H$17,打分卡!$K$17:$M$17),1)</f>
        <v>1</v>
      </c>
      <c r="AN1923" s="46">
        <f>(打分卡!$D$7*AC1923+打分卡!$D$8*AD1923+打分卡!$D$9*AE1923)/5</f>
        <v>8</v>
      </c>
      <c r="AO1923" s="46">
        <f>(打分卡!$D$10*AF1923+打分卡!$D$11*AG1923)/5</f>
        <v>4</v>
      </c>
      <c r="AP1923" s="46">
        <f>(打分卡!$D$12*AH1923+打分卡!$D$13*AI1923+打分卡!$D$14*AJ1923+打分卡!$D$15*AK1923)/5</f>
        <v>10.8</v>
      </c>
      <c r="AQ1923" s="46">
        <f>(打分卡!$D$16*AL1923+打分卡!$D$17*AM1923)/5</f>
        <v>2</v>
      </c>
      <c r="AR1923" s="48">
        <f t="shared" si="242"/>
        <v>24.8</v>
      </c>
      <c r="AS1923" s="45" t="str">
        <f t="shared" si="243"/>
        <v>未激活</v>
      </c>
      <c r="AT1923" s="45" t="str">
        <f t="shared" si="244"/>
        <v>连续下降-预警</v>
      </c>
      <c r="AU1923" s="45" t="str">
        <f t="shared" si="245"/>
        <v>唤醒：短信模板+首充补贴</v>
      </c>
    </row>
    <row r="1924" ht="15" customHeight="1" spans="1:47">
      <c r="A1924" s="30" t="s">
        <v>4848</v>
      </c>
      <c r="B1924" s="31" t="s">
        <v>4849</v>
      </c>
      <c r="C1924" s="31" t="s">
        <v>179</v>
      </c>
      <c r="D1924" s="31" t="s">
        <v>202</v>
      </c>
      <c r="E1924" s="31" t="s">
        <v>181</v>
      </c>
      <c r="F1924" s="30" t="s">
        <v>274</v>
      </c>
      <c r="G1924" s="31">
        <v>12</v>
      </c>
      <c r="H1924" s="31" t="s">
        <v>3535</v>
      </c>
      <c r="I1924" s="31" t="s">
        <v>302</v>
      </c>
      <c r="J1924" s="33">
        <v>0</v>
      </c>
      <c r="K1924" s="33">
        <v>0</v>
      </c>
      <c r="L1924" s="33">
        <v>0</v>
      </c>
      <c r="M1924" s="33">
        <f t="shared" si="240"/>
        <v>0</v>
      </c>
      <c r="N1924" s="34">
        <f t="shared" si="246"/>
        <v>0</v>
      </c>
      <c r="O1924" s="35">
        <f>SUM($M$2:M1924)</f>
        <v>190743600</v>
      </c>
      <c r="P1924" s="34">
        <f t="shared" si="247"/>
        <v>1</v>
      </c>
      <c r="Q1924" s="37">
        <v>0</v>
      </c>
      <c r="R1924" s="31">
        <v>0</v>
      </c>
      <c r="S1924" s="31">
        <v>0</v>
      </c>
      <c r="T1924" s="31">
        <v>0</v>
      </c>
      <c r="U1924" s="37">
        <v>7.3</v>
      </c>
      <c r="V1924" s="31">
        <v>15</v>
      </c>
      <c r="W1924" s="31">
        <v>0</v>
      </c>
      <c r="X1924" s="38">
        <v>23</v>
      </c>
      <c r="Y1924" s="31">
        <v>1</v>
      </c>
      <c r="Z1924" s="31">
        <v>0</v>
      </c>
      <c r="AA1924" s="31" t="s">
        <v>212</v>
      </c>
      <c r="AB1924" s="31" t="s">
        <v>220</v>
      </c>
      <c r="AC1924" s="41">
        <f>IFERROR(LOOKUP(M1924,打分卡!$F$7:$J$7,打分卡!$K$7:$O$7),1)</f>
        <v>1</v>
      </c>
      <c r="AD1924" s="41">
        <f>IFERROR(LOOKUP(S1924,打分卡!$F$8:$J$8,打分卡!$K$8:$O$8),1)</f>
        <v>1</v>
      </c>
      <c r="AE1924" s="41">
        <f>IFERROR(LOOKUP(T1924,打分卡!$F$9:$I$9,打分卡!$K$9:$N$9),1)</f>
        <v>1</v>
      </c>
      <c r="AF1924" s="41">
        <f>IFERROR(LOOKUP(Q1924,打分卡!$F$10:$J$10,打分卡!$K$10:$O$10),1)</f>
        <v>1</v>
      </c>
      <c r="AG1924" s="41">
        <f>IFERROR(LOOKUP(R1924,打分卡!$F$11:$J$11,打分卡!$K$11:$O$11),1)</f>
        <v>1</v>
      </c>
      <c r="AH1924" s="41">
        <f>IFERROR(LOOKUP(U1924,打分卡!$F$12:$J$12,打分卡!$K$12:$O$12),1)</f>
        <v>2</v>
      </c>
      <c r="AI1924" s="41">
        <f>IFERROR(LOOKUP(X1924,打分卡!$F$13:$J$13,打分卡!$K$13:$O$13),1)</f>
        <v>2</v>
      </c>
      <c r="AJ1924" s="41">
        <f>IFERROR(LOOKUP(Y1924,打分卡!$F$14:$J$14,打分卡!$K$14:$O$14),1)</f>
        <v>2</v>
      </c>
      <c r="AK1924" s="41">
        <f>IFERROR(LOOKUP(W1924,打分卡!$F$15:$J$15,打分卡!$K$15:$O$15),1)</f>
        <v>1</v>
      </c>
      <c r="AL1924" s="43">
        <f t="shared" si="241"/>
        <v>1</v>
      </c>
      <c r="AM1924" s="41">
        <f>IFERROR(LOOKUP(Z1924,打分卡!$F$17:$H$17,打分卡!$K$17:$M$17),1)</f>
        <v>1</v>
      </c>
      <c r="AN1924" s="44">
        <f>(打分卡!$D$7*AC1924+打分卡!$D$8*AD1924+打分卡!$D$9*AE1924)/5</f>
        <v>8</v>
      </c>
      <c r="AO1924" s="44">
        <f>(打分卡!$D$10*AF1924+打分卡!$D$11*AG1924)/5</f>
        <v>4</v>
      </c>
      <c r="AP1924" s="44">
        <f>(打分卡!$D$12*AH1924+打分卡!$D$13*AI1924+打分卡!$D$14*AJ1924+打分卡!$D$15*AK1924)/5</f>
        <v>11.2</v>
      </c>
      <c r="AQ1924" s="44">
        <f>(打分卡!$D$16*AL1924+打分卡!$D$17*AM1924)/5</f>
        <v>2</v>
      </c>
      <c r="AR1924" s="47">
        <f t="shared" si="242"/>
        <v>25.2</v>
      </c>
      <c r="AS1924" s="43" t="str">
        <f t="shared" si="243"/>
        <v>未激活</v>
      </c>
      <c r="AT1924" s="43" t="str">
        <f t="shared" si="244"/>
        <v>连续下降-预警</v>
      </c>
      <c r="AU1924" s="43" t="str">
        <f t="shared" si="245"/>
        <v>唤醒：短信模板+首充补贴</v>
      </c>
    </row>
    <row r="1925" ht="15" customHeight="1" spans="1:47">
      <c r="A1925" s="20" t="s">
        <v>4850</v>
      </c>
      <c r="B1925" s="22" t="s">
        <v>4851</v>
      </c>
      <c r="C1925" s="22" t="s">
        <v>239</v>
      </c>
      <c r="D1925" s="22" t="s">
        <v>227</v>
      </c>
      <c r="E1925" s="22" t="s">
        <v>181</v>
      </c>
      <c r="F1925" s="20" t="s">
        <v>285</v>
      </c>
      <c r="G1925" s="22">
        <v>15</v>
      </c>
      <c r="H1925" s="22" t="s">
        <v>3535</v>
      </c>
      <c r="I1925" s="22" t="s">
        <v>302</v>
      </c>
      <c r="J1925" s="36">
        <v>0</v>
      </c>
      <c r="K1925" s="36">
        <v>0</v>
      </c>
      <c r="L1925" s="36">
        <v>0</v>
      </c>
      <c r="M1925" s="36">
        <f t="shared" si="240"/>
        <v>0</v>
      </c>
      <c r="N1925" s="34">
        <f t="shared" si="246"/>
        <v>0</v>
      </c>
      <c r="O1925" s="35">
        <f>SUM($M$2:M1925)</f>
        <v>190743600</v>
      </c>
      <c r="P1925" s="34">
        <f t="shared" si="247"/>
        <v>1</v>
      </c>
      <c r="Q1925" s="39">
        <v>0</v>
      </c>
      <c r="R1925" s="22">
        <v>0</v>
      </c>
      <c r="S1925" s="22">
        <v>0</v>
      </c>
      <c r="T1925" s="22">
        <v>0</v>
      </c>
      <c r="U1925" s="39">
        <v>37.7</v>
      </c>
      <c r="V1925" s="22">
        <v>0</v>
      </c>
      <c r="W1925" s="22">
        <v>0</v>
      </c>
      <c r="X1925" s="40">
        <v>64</v>
      </c>
      <c r="Y1925" s="22">
        <v>0</v>
      </c>
      <c r="Z1925" s="22">
        <v>0</v>
      </c>
      <c r="AA1925" s="22" t="s">
        <v>212</v>
      </c>
      <c r="AB1925" s="22" t="s">
        <v>220</v>
      </c>
      <c r="AC1925" s="42">
        <f>IFERROR(LOOKUP(M1925,打分卡!$F$7:$J$7,打分卡!$K$7:$O$7),1)</f>
        <v>1</v>
      </c>
      <c r="AD1925" s="42">
        <f>IFERROR(LOOKUP(S1925,打分卡!$F$8:$J$8,打分卡!$K$8:$O$8),1)</f>
        <v>1</v>
      </c>
      <c r="AE1925" s="42">
        <f>IFERROR(LOOKUP(T1925,打分卡!$F$9:$I$9,打分卡!$K$9:$N$9),1)</f>
        <v>1</v>
      </c>
      <c r="AF1925" s="42">
        <f>IFERROR(LOOKUP(Q1925,打分卡!$F$10:$J$10,打分卡!$K$10:$O$10),1)</f>
        <v>1</v>
      </c>
      <c r="AG1925" s="42">
        <f>IFERROR(LOOKUP(R1925,打分卡!$F$11:$J$11,打分卡!$K$11:$O$11),1)</f>
        <v>1</v>
      </c>
      <c r="AH1925" s="42">
        <f>IFERROR(LOOKUP(U1925,打分卡!$F$12:$J$12,打分卡!$K$12:$O$12),1)</f>
        <v>4</v>
      </c>
      <c r="AI1925" s="42">
        <f>IFERROR(LOOKUP(X1925,打分卡!$F$13:$J$13,打分卡!$K$13:$O$13),1)</f>
        <v>3</v>
      </c>
      <c r="AJ1925" s="42">
        <f>IFERROR(LOOKUP(Y1925,打分卡!$F$14:$J$14,打分卡!$K$14:$O$14),1)</f>
        <v>1</v>
      </c>
      <c r="AK1925" s="42">
        <f>IFERROR(LOOKUP(W1925,打分卡!$F$15:$J$15,打分卡!$K$15:$O$15),1)</f>
        <v>1</v>
      </c>
      <c r="AL1925" s="45">
        <f t="shared" si="241"/>
        <v>1</v>
      </c>
      <c r="AM1925" s="42">
        <f>IFERROR(LOOKUP(Z1925,打分卡!$F$17:$H$17,打分卡!$K$17:$M$17),1)</f>
        <v>1</v>
      </c>
      <c r="AN1925" s="46">
        <f>(打分卡!$D$7*AC1925+打分卡!$D$8*AD1925+打分卡!$D$9*AE1925)/5</f>
        <v>8</v>
      </c>
      <c r="AO1925" s="46">
        <f>(打分卡!$D$10*AF1925+打分卡!$D$11*AG1925)/5</f>
        <v>4</v>
      </c>
      <c r="AP1925" s="46">
        <f>(打分卡!$D$12*AH1925+打分卡!$D$13*AI1925+打分卡!$D$14*AJ1925+打分卡!$D$15*AK1925)/5</f>
        <v>16.4</v>
      </c>
      <c r="AQ1925" s="46">
        <f>(打分卡!$D$16*AL1925+打分卡!$D$17*AM1925)/5</f>
        <v>2</v>
      </c>
      <c r="AR1925" s="48">
        <f t="shared" si="242"/>
        <v>30.4</v>
      </c>
      <c r="AS1925" s="45" t="str">
        <f t="shared" si="243"/>
        <v>未激活</v>
      </c>
      <c r="AT1925" s="45" t="str">
        <f t="shared" si="244"/>
        <v>连续下降-预警</v>
      </c>
      <c r="AU1925" s="45" t="str">
        <f t="shared" si="245"/>
        <v>唤醒：短信模板+首充补贴</v>
      </c>
    </row>
    <row r="1926" ht="15" customHeight="1" spans="1:47">
      <c r="A1926" s="30" t="s">
        <v>4852</v>
      </c>
      <c r="B1926" s="31" t="s">
        <v>4853</v>
      </c>
      <c r="C1926" s="31" t="s">
        <v>218</v>
      </c>
      <c r="D1926" s="31" t="s">
        <v>202</v>
      </c>
      <c r="E1926" s="31" t="s">
        <v>181</v>
      </c>
      <c r="F1926" s="30" t="s">
        <v>1566</v>
      </c>
      <c r="G1926" s="31">
        <v>16</v>
      </c>
      <c r="H1926" s="31" t="s">
        <v>3535</v>
      </c>
      <c r="I1926" s="31" t="s">
        <v>302</v>
      </c>
      <c r="J1926" s="33">
        <v>0</v>
      </c>
      <c r="K1926" s="33">
        <v>0</v>
      </c>
      <c r="L1926" s="33">
        <v>0</v>
      </c>
      <c r="M1926" s="33">
        <f t="shared" si="240"/>
        <v>0</v>
      </c>
      <c r="N1926" s="34">
        <f t="shared" si="246"/>
        <v>0</v>
      </c>
      <c r="O1926" s="35">
        <f>SUM($M$2:M1926)</f>
        <v>190743600</v>
      </c>
      <c r="P1926" s="34">
        <f t="shared" si="247"/>
        <v>1</v>
      </c>
      <c r="Q1926" s="37">
        <v>0</v>
      </c>
      <c r="R1926" s="31">
        <v>0</v>
      </c>
      <c r="S1926" s="31">
        <v>0</v>
      </c>
      <c r="T1926" s="31">
        <v>0</v>
      </c>
      <c r="U1926" s="37">
        <v>1.4</v>
      </c>
      <c r="V1926" s="31">
        <v>8</v>
      </c>
      <c r="W1926" s="31">
        <v>1</v>
      </c>
      <c r="X1926" s="38">
        <v>6</v>
      </c>
      <c r="Y1926" s="31">
        <v>1</v>
      </c>
      <c r="Z1926" s="31">
        <v>0</v>
      </c>
      <c r="AA1926" s="31" t="s">
        <v>212</v>
      </c>
      <c r="AB1926" s="31" t="s">
        <v>220</v>
      </c>
      <c r="AC1926" s="41">
        <f>IFERROR(LOOKUP(M1926,打分卡!$F$7:$J$7,打分卡!$K$7:$O$7),1)</f>
        <v>1</v>
      </c>
      <c r="AD1926" s="41">
        <f>IFERROR(LOOKUP(S1926,打分卡!$F$8:$J$8,打分卡!$K$8:$O$8),1)</f>
        <v>1</v>
      </c>
      <c r="AE1926" s="41">
        <f>IFERROR(LOOKUP(T1926,打分卡!$F$9:$I$9,打分卡!$K$9:$N$9),1)</f>
        <v>1</v>
      </c>
      <c r="AF1926" s="41">
        <f>IFERROR(LOOKUP(Q1926,打分卡!$F$10:$J$10,打分卡!$K$10:$O$10),1)</f>
        <v>1</v>
      </c>
      <c r="AG1926" s="41">
        <f>IFERROR(LOOKUP(R1926,打分卡!$F$11:$J$11,打分卡!$K$11:$O$11),1)</f>
        <v>1</v>
      </c>
      <c r="AH1926" s="41">
        <f>IFERROR(LOOKUP(U1926,打分卡!$F$12:$J$12,打分卡!$K$12:$O$12),1)</f>
        <v>1</v>
      </c>
      <c r="AI1926" s="41">
        <f>IFERROR(LOOKUP(X1926,打分卡!$F$13:$J$13,打分卡!$K$13:$O$13),1)</f>
        <v>1</v>
      </c>
      <c r="AJ1926" s="41">
        <f>IFERROR(LOOKUP(Y1926,打分卡!$F$14:$J$14,打分卡!$K$14:$O$14),1)</f>
        <v>2</v>
      </c>
      <c r="AK1926" s="41">
        <f>IFERROR(LOOKUP(W1926,打分卡!$F$15:$J$15,打分卡!$K$15:$O$15),1)</f>
        <v>2</v>
      </c>
      <c r="AL1926" s="43">
        <f t="shared" si="241"/>
        <v>1</v>
      </c>
      <c r="AM1926" s="41">
        <f>IFERROR(LOOKUP(Z1926,打分卡!$F$17:$H$17,打分卡!$K$17:$M$17),1)</f>
        <v>1</v>
      </c>
      <c r="AN1926" s="44">
        <f>(打分卡!$D$7*AC1926+打分卡!$D$8*AD1926+打分卡!$D$9*AE1926)/5</f>
        <v>8</v>
      </c>
      <c r="AO1926" s="44">
        <f>(打分卡!$D$10*AF1926+打分卡!$D$11*AG1926)/5</f>
        <v>4</v>
      </c>
      <c r="AP1926" s="44">
        <f>(打分卡!$D$12*AH1926+打分卡!$D$13*AI1926+打分卡!$D$14*AJ1926+打分卡!$D$15*AK1926)/5</f>
        <v>8</v>
      </c>
      <c r="AQ1926" s="44">
        <f>(打分卡!$D$16*AL1926+打分卡!$D$17*AM1926)/5</f>
        <v>2</v>
      </c>
      <c r="AR1926" s="47">
        <f t="shared" si="242"/>
        <v>22</v>
      </c>
      <c r="AS1926" s="43" t="str">
        <f t="shared" si="243"/>
        <v>未激活</v>
      </c>
      <c r="AT1926" s="43" t="str">
        <f t="shared" si="244"/>
        <v>连续下降-预警</v>
      </c>
      <c r="AU1926" s="43" t="str">
        <f t="shared" si="245"/>
        <v>唤醒：短信模板+首充补贴</v>
      </c>
    </row>
    <row r="1927" ht="15" customHeight="1" spans="1:47">
      <c r="A1927" s="20" t="s">
        <v>4854</v>
      </c>
      <c r="B1927" s="22" t="s">
        <v>4855</v>
      </c>
      <c r="C1927" s="22" t="s">
        <v>179</v>
      </c>
      <c r="D1927" s="22" t="s">
        <v>196</v>
      </c>
      <c r="E1927" s="22" t="s">
        <v>181</v>
      </c>
      <c r="F1927" s="20" t="s">
        <v>4145</v>
      </c>
      <c r="G1927" s="22">
        <v>34</v>
      </c>
      <c r="H1927" s="22" t="s">
        <v>3535</v>
      </c>
      <c r="I1927" s="22" t="s">
        <v>302</v>
      </c>
      <c r="J1927" s="36">
        <v>0</v>
      </c>
      <c r="K1927" s="36">
        <v>0</v>
      </c>
      <c r="L1927" s="36">
        <v>0</v>
      </c>
      <c r="M1927" s="36">
        <f t="shared" si="240"/>
        <v>0</v>
      </c>
      <c r="N1927" s="34">
        <f t="shared" si="246"/>
        <v>0</v>
      </c>
      <c r="O1927" s="35">
        <f>SUM($M$2:M1927)</f>
        <v>190743600</v>
      </c>
      <c r="P1927" s="34">
        <f t="shared" si="247"/>
        <v>1</v>
      </c>
      <c r="Q1927" s="39">
        <v>0</v>
      </c>
      <c r="R1927" s="22">
        <v>0</v>
      </c>
      <c r="S1927" s="22">
        <v>0</v>
      </c>
      <c r="T1927" s="22">
        <v>0</v>
      </c>
      <c r="U1927" s="39">
        <v>16.6</v>
      </c>
      <c r="V1927" s="22">
        <v>6</v>
      </c>
      <c r="W1927" s="22">
        <v>2</v>
      </c>
      <c r="X1927" s="40">
        <v>59</v>
      </c>
      <c r="Y1927" s="22">
        <v>0</v>
      </c>
      <c r="Z1927" s="22">
        <v>0</v>
      </c>
      <c r="AA1927" s="22" t="s">
        <v>212</v>
      </c>
      <c r="AB1927" s="22" t="s">
        <v>220</v>
      </c>
      <c r="AC1927" s="42">
        <f>IFERROR(LOOKUP(M1927,打分卡!$F$7:$J$7,打分卡!$K$7:$O$7),1)</f>
        <v>1</v>
      </c>
      <c r="AD1927" s="42">
        <f>IFERROR(LOOKUP(S1927,打分卡!$F$8:$J$8,打分卡!$K$8:$O$8),1)</f>
        <v>1</v>
      </c>
      <c r="AE1927" s="42">
        <f>IFERROR(LOOKUP(T1927,打分卡!$F$9:$I$9,打分卡!$K$9:$N$9),1)</f>
        <v>1</v>
      </c>
      <c r="AF1927" s="42">
        <f>IFERROR(LOOKUP(Q1927,打分卡!$F$10:$J$10,打分卡!$K$10:$O$10),1)</f>
        <v>1</v>
      </c>
      <c r="AG1927" s="42">
        <f>IFERROR(LOOKUP(R1927,打分卡!$F$11:$J$11,打分卡!$K$11:$O$11),1)</f>
        <v>1</v>
      </c>
      <c r="AH1927" s="42">
        <f>IFERROR(LOOKUP(U1927,打分卡!$F$12:$J$12,打分卡!$K$12:$O$12),1)</f>
        <v>3</v>
      </c>
      <c r="AI1927" s="42">
        <f>IFERROR(LOOKUP(X1927,打分卡!$F$13:$J$13,打分卡!$K$13:$O$13),1)</f>
        <v>3</v>
      </c>
      <c r="AJ1927" s="42">
        <f>IFERROR(LOOKUP(Y1927,打分卡!$F$14:$J$14,打分卡!$K$14:$O$14),1)</f>
        <v>1</v>
      </c>
      <c r="AK1927" s="42">
        <f>IFERROR(LOOKUP(W1927,打分卡!$F$15:$J$15,打分卡!$K$15:$O$15),1)</f>
        <v>2</v>
      </c>
      <c r="AL1927" s="45">
        <f t="shared" si="241"/>
        <v>1</v>
      </c>
      <c r="AM1927" s="42">
        <f>IFERROR(LOOKUP(Z1927,打分卡!$F$17:$H$17,打分卡!$K$17:$M$17),1)</f>
        <v>1</v>
      </c>
      <c r="AN1927" s="46">
        <f>(打分卡!$D$7*AC1927+打分卡!$D$8*AD1927+打分卡!$D$9*AE1927)/5</f>
        <v>8</v>
      </c>
      <c r="AO1927" s="46">
        <f>(打分卡!$D$10*AF1927+打分卡!$D$11*AG1927)/5</f>
        <v>4</v>
      </c>
      <c r="AP1927" s="46">
        <f>(打分卡!$D$12*AH1927+打分卡!$D$13*AI1927+打分卡!$D$14*AJ1927+打分卡!$D$15*AK1927)/5</f>
        <v>14.8</v>
      </c>
      <c r="AQ1927" s="46">
        <f>(打分卡!$D$16*AL1927+打分卡!$D$17*AM1927)/5</f>
        <v>2</v>
      </c>
      <c r="AR1927" s="48">
        <f t="shared" si="242"/>
        <v>28.8</v>
      </c>
      <c r="AS1927" s="45" t="str">
        <f t="shared" si="243"/>
        <v>未激活</v>
      </c>
      <c r="AT1927" s="45" t="str">
        <f t="shared" si="244"/>
        <v>连续下降-预警</v>
      </c>
      <c r="AU1927" s="45" t="str">
        <f t="shared" si="245"/>
        <v>唤醒：短信模板+首充补贴</v>
      </c>
    </row>
    <row r="1928" ht="15" customHeight="1" spans="1:47">
      <c r="A1928" s="30" t="s">
        <v>4856</v>
      </c>
      <c r="B1928" s="31" t="s">
        <v>4857</v>
      </c>
      <c r="C1928" s="31" t="s">
        <v>223</v>
      </c>
      <c r="D1928" s="31" t="s">
        <v>202</v>
      </c>
      <c r="E1928" s="31" t="s">
        <v>181</v>
      </c>
      <c r="F1928" s="30" t="s">
        <v>4858</v>
      </c>
      <c r="G1928" s="31">
        <v>23</v>
      </c>
      <c r="H1928" s="31" t="s">
        <v>3535</v>
      </c>
      <c r="I1928" s="31" t="s">
        <v>302</v>
      </c>
      <c r="J1928" s="33">
        <v>0</v>
      </c>
      <c r="K1928" s="33">
        <v>0</v>
      </c>
      <c r="L1928" s="33">
        <v>0</v>
      </c>
      <c r="M1928" s="33">
        <f t="shared" si="240"/>
        <v>0</v>
      </c>
      <c r="N1928" s="34">
        <f t="shared" si="246"/>
        <v>0</v>
      </c>
      <c r="O1928" s="35">
        <f>SUM($M$2:M1928)</f>
        <v>190743600</v>
      </c>
      <c r="P1928" s="34">
        <f t="shared" si="247"/>
        <v>1</v>
      </c>
      <c r="Q1928" s="37">
        <v>0</v>
      </c>
      <c r="R1928" s="31">
        <v>0</v>
      </c>
      <c r="S1928" s="31">
        <v>0</v>
      </c>
      <c r="T1928" s="31">
        <v>0</v>
      </c>
      <c r="U1928" s="37">
        <v>1.3</v>
      </c>
      <c r="V1928" s="31">
        <v>7</v>
      </c>
      <c r="W1928" s="31">
        <v>0</v>
      </c>
      <c r="X1928" s="38">
        <v>10</v>
      </c>
      <c r="Y1928" s="31">
        <v>1</v>
      </c>
      <c r="Z1928" s="31">
        <v>0</v>
      </c>
      <c r="AA1928" s="31" t="s">
        <v>212</v>
      </c>
      <c r="AB1928" s="31" t="s">
        <v>220</v>
      </c>
      <c r="AC1928" s="41">
        <f>IFERROR(LOOKUP(M1928,打分卡!$F$7:$J$7,打分卡!$K$7:$O$7),1)</f>
        <v>1</v>
      </c>
      <c r="AD1928" s="41">
        <f>IFERROR(LOOKUP(S1928,打分卡!$F$8:$J$8,打分卡!$K$8:$O$8),1)</f>
        <v>1</v>
      </c>
      <c r="AE1928" s="41">
        <f>IFERROR(LOOKUP(T1928,打分卡!$F$9:$I$9,打分卡!$K$9:$N$9),1)</f>
        <v>1</v>
      </c>
      <c r="AF1928" s="41">
        <f>IFERROR(LOOKUP(Q1928,打分卡!$F$10:$J$10,打分卡!$K$10:$O$10),1)</f>
        <v>1</v>
      </c>
      <c r="AG1928" s="41">
        <f>IFERROR(LOOKUP(R1928,打分卡!$F$11:$J$11,打分卡!$K$11:$O$11),1)</f>
        <v>1</v>
      </c>
      <c r="AH1928" s="41">
        <f>IFERROR(LOOKUP(U1928,打分卡!$F$12:$J$12,打分卡!$K$12:$O$12),1)</f>
        <v>1</v>
      </c>
      <c r="AI1928" s="41">
        <f>IFERROR(LOOKUP(X1928,打分卡!$F$13:$J$13,打分卡!$K$13:$O$13),1)</f>
        <v>1</v>
      </c>
      <c r="AJ1928" s="41">
        <f>IFERROR(LOOKUP(Y1928,打分卡!$F$14:$J$14,打分卡!$K$14:$O$14),1)</f>
        <v>2</v>
      </c>
      <c r="AK1928" s="41">
        <f>IFERROR(LOOKUP(W1928,打分卡!$F$15:$J$15,打分卡!$K$15:$O$15),1)</f>
        <v>1</v>
      </c>
      <c r="AL1928" s="43">
        <f t="shared" si="241"/>
        <v>1</v>
      </c>
      <c r="AM1928" s="41">
        <f>IFERROR(LOOKUP(Z1928,打分卡!$F$17:$H$17,打分卡!$K$17:$M$17),1)</f>
        <v>1</v>
      </c>
      <c r="AN1928" s="44">
        <f>(打分卡!$D$7*AC1928+打分卡!$D$8*AD1928+打分卡!$D$9*AE1928)/5</f>
        <v>8</v>
      </c>
      <c r="AO1928" s="44">
        <f>(打分卡!$D$10*AF1928+打分卡!$D$11*AG1928)/5</f>
        <v>4</v>
      </c>
      <c r="AP1928" s="44">
        <f>(打分卡!$D$12*AH1928+打分卡!$D$13*AI1928+打分卡!$D$14*AJ1928+打分卡!$D$15*AK1928)/5</f>
        <v>7.2</v>
      </c>
      <c r="AQ1928" s="44">
        <f>(打分卡!$D$16*AL1928+打分卡!$D$17*AM1928)/5</f>
        <v>2</v>
      </c>
      <c r="AR1928" s="47">
        <f t="shared" si="242"/>
        <v>21.2</v>
      </c>
      <c r="AS1928" s="43" t="str">
        <f t="shared" si="243"/>
        <v>未激活</v>
      </c>
      <c r="AT1928" s="43" t="str">
        <f t="shared" si="244"/>
        <v>连续下降-预警</v>
      </c>
      <c r="AU1928" s="43" t="str">
        <f t="shared" si="245"/>
        <v>唤醒：短信模板+首充补贴</v>
      </c>
    </row>
    <row r="1929" ht="15" customHeight="1" spans="1:47">
      <c r="A1929" s="20" t="s">
        <v>4859</v>
      </c>
      <c r="B1929" s="22" t="s">
        <v>4860</v>
      </c>
      <c r="C1929" s="22" t="s">
        <v>189</v>
      </c>
      <c r="D1929" s="22" t="s">
        <v>190</v>
      </c>
      <c r="E1929" s="22" t="s">
        <v>181</v>
      </c>
      <c r="F1929" s="20" t="s">
        <v>4861</v>
      </c>
      <c r="G1929" s="22">
        <v>17</v>
      </c>
      <c r="H1929" s="22" t="s">
        <v>3535</v>
      </c>
      <c r="I1929" s="22" t="s">
        <v>302</v>
      </c>
      <c r="J1929" s="36">
        <v>0</v>
      </c>
      <c r="K1929" s="36">
        <v>0</v>
      </c>
      <c r="L1929" s="36">
        <v>0</v>
      </c>
      <c r="M1929" s="36">
        <f t="shared" si="240"/>
        <v>0</v>
      </c>
      <c r="N1929" s="34">
        <f t="shared" si="246"/>
        <v>0</v>
      </c>
      <c r="O1929" s="35">
        <f>SUM($M$2:M1929)</f>
        <v>190743600</v>
      </c>
      <c r="P1929" s="34">
        <f t="shared" si="247"/>
        <v>1</v>
      </c>
      <c r="Q1929" s="39">
        <v>0</v>
      </c>
      <c r="R1929" s="22">
        <v>0</v>
      </c>
      <c r="S1929" s="22">
        <v>0</v>
      </c>
      <c r="T1929" s="22">
        <v>0</v>
      </c>
      <c r="U1929" s="39">
        <v>1.1</v>
      </c>
      <c r="V1929" s="22">
        <v>13</v>
      </c>
      <c r="W1929" s="22">
        <v>0</v>
      </c>
      <c r="X1929" s="40">
        <v>24</v>
      </c>
      <c r="Y1929" s="22">
        <v>0</v>
      </c>
      <c r="Z1929" s="22">
        <v>0</v>
      </c>
      <c r="AA1929" s="22" t="s">
        <v>212</v>
      </c>
      <c r="AB1929" s="22" t="s">
        <v>220</v>
      </c>
      <c r="AC1929" s="42">
        <f>IFERROR(LOOKUP(M1929,打分卡!$F$7:$J$7,打分卡!$K$7:$O$7),1)</f>
        <v>1</v>
      </c>
      <c r="AD1929" s="42">
        <f>IFERROR(LOOKUP(S1929,打分卡!$F$8:$J$8,打分卡!$K$8:$O$8),1)</f>
        <v>1</v>
      </c>
      <c r="AE1929" s="42">
        <f>IFERROR(LOOKUP(T1929,打分卡!$F$9:$I$9,打分卡!$K$9:$N$9),1)</f>
        <v>1</v>
      </c>
      <c r="AF1929" s="42">
        <f>IFERROR(LOOKUP(Q1929,打分卡!$F$10:$J$10,打分卡!$K$10:$O$10),1)</f>
        <v>1</v>
      </c>
      <c r="AG1929" s="42">
        <f>IFERROR(LOOKUP(R1929,打分卡!$F$11:$J$11,打分卡!$K$11:$O$11),1)</f>
        <v>1</v>
      </c>
      <c r="AH1929" s="42">
        <f>IFERROR(LOOKUP(U1929,打分卡!$F$12:$J$12,打分卡!$K$12:$O$12),1)</f>
        <v>1</v>
      </c>
      <c r="AI1929" s="42">
        <f>IFERROR(LOOKUP(X1929,打分卡!$F$13:$J$13,打分卡!$K$13:$O$13),1)</f>
        <v>2</v>
      </c>
      <c r="AJ1929" s="42">
        <f>IFERROR(LOOKUP(Y1929,打分卡!$F$14:$J$14,打分卡!$K$14:$O$14),1)</f>
        <v>1</v>
      </c>
      <c r="AK1929" s="42">
        <f>IFERROR(LOOKUP(W1929,打分卡!$F$15:$J$15,打分卡!$K$15:$O$15),1)</f>
        <v>1</v>
      </c>
      <c r="AL1929" s="45">
        <f t="shared" si="241"/>
        <v>1</v>
      </c>
      <c r="AM1929" s="42">
        <f>IFERROR(LOOKUP(Z1929,打分卡!$F$17:$H$17,打分卡!$K$17:$M$17),1)</f>
        <v>1</v>
      </c>
      <c r="AN1929" s="46">
        <f>(打分卡!$D$7*AC1929+打分卡!$D$8*AD1929+打分卡!$D$9*AE1929)/5</f>
        <v>8</v>
      </c>
      <c r="AO1929" s="46">
        <f>(打分卡!$D$10*AF1929+打分卡!$D$11*AG1929)/5</f>
        <v>4</v>
      </c>
      <c r="AP1929" s="46">
        <f>(打分卡!$D$12*AH1929+打分卡!$D$13*AI1929+打分卡!$D$14*AJ1929+打分卡!$D$15*AK1929)/5</f>
        <v>7.6</v>
      </c>
      <c r="AQ1929" s="46">
        <f>(打分卡!$D$16*AL1929+打分卡!$D$17*AM1929)/5</f>
        <v>2</v>
      </c>
      <c r="AR1929" s="48">
        <f t="shared" si="242"/>
        <v>21.6</v>
      </c>
      <c r="AS1929" s="45" t="str">
        <f t="shared" si="243"/>
        <v>未激活</v>
      </c>
      <c r="AT1929" s="45" t="str">
        <f t="shared" si="244"/>
        <v>连续下降-预警</v>
      </c>
      <c r="AU1929" s="45" t="str">
        <f t="shared" si="245"/>
        <v>唤醒：短信模板+首充补贴</v>
      </c>
    </row>
    <row r="1930" ht="15" customHeight="1" spans="1:47">
      <c r="A1930" s="30" t="s">
        <v>4862</v>
      </c>
      <c r="B1930" s="31" t="s">
        <v>4863</v>
      </c>
      <c r="C1930" s="31" t="s">
        <v>239</v>
      </c>
      <c r="D1930" s="31" t="s">
        <v>196</v>
      </c>
      <c r="E1930" s="31" t="s">
        <v>181</v>
      </c>
      <c r="F1930" s="30" t="s">
        <v>499</v>
      </c>
      <c r="G1930" s="31">
        <v>22</v>
      </c>
      <c r="H1930" s="31" t="s">
        <v>3535</v>
      </c>
      <c r="I1930" s="31" t="s">
        <v>302</v>
      </c>
      <c r="J1930" s="33">
        <v>0</v>
      </c>
      <c r="K1930" s="33">
        <v>0</v>
      </c>
      <c r="L1930" s="33">
        <v>0</v>
      </c>
      <c r="M1930" s="33">
        <f t="shared" si="240"/>
        <v>0</v>
      </c>
      <c r="N1930" s="34">
        <f t="shared" si="246"/>
        <v>0</v>
      </c>
      <c r="O1930" s="35">
        <f>SUM($M$2:M1930)</f>
        <v>190743600</v>
      </c>
      <c r="P1930" s="34">
        <f t="shared" si="247"/>
        <v>1</v>
      </c>
      <c r="Q1930" s="37">
        <v>0</v>
      </c>
      <c r="R1930" s="31">
        <v>0</v>
      </c>
      <c r="S1930" s="31">
        <v>0</v>
      </c>
      <c r="T1930" s="31">
        <v>0</v>
      </c>
      <c r="U1930" s="37">
        <v>37.3</v>
      </c>
      <c r="V1930" s="31">
        <v>14</v>
      </c>
      <c r="W1930" s="31">
        <v>1</v>
      </c>
      <c r="X1930" s="38">
        <v>6</v>
      </c>
      <c r="Y1930" s="31">
        <v>0</v>
      </c>
      <c r="Z1930" s="31">
        <v>0</v>
      </c>
      <c r="AA1930" s="31" t="s">
        <v>212</v>
      </c>
      <c r="AB1930" s="31" t="s">
        <v>220</v>
      </c>
      <c r="AC1930" s="41">
        <f>IFERROR(LOOKUP(M1930,打分卡!$F$7:$J$7,打分卡!$K$7:$O$7),1)</f>
        <v>1</v>
      </c>
      <c r="AD1930" s="41">
        <f>IFERROR(LOOKUP(S1930,打分卡!$F$8:$J$8,打分卡!$K$8:$O$8),1)</f>
        <v>1</v>
      </c>
      <c r="AE1930" s="41">
        <f>IFERROR(LOOKUP(T1930,打分卡!$F$9:$I$9,打分卡!$K$9:$N$9),1)</f>
        <v>1</v>
      </c>
      <c r="AF1930" s="41">
        <f>IFERROR(LOOKUP(Q1930,打分卡!$F$10:$J$10,打分卡!$K$10:$O$10),1)</f>
        <v>1</v>
      </c>
      <c r="AG1930" s="41">
        <f>IFERROR(LOOKUP(R1930,打分卡!$F$11:$J$11,打分卡!$K$11:$O$11),1)</f>
        <v>1</v>
      </c>
      <c r="AH1930" s="41">
        <f>IFERROR(LOOKUP(U1930,打分卡!$F$12:$J$12,打分卡!$K$12:$O$12),1)</f>
        <v>4</v>
      </c>
      <c r="AI1930" s="41">
        <f>IFERROR(LOOKUP(X1930,打分卡!$F$13:$J$13,打分卡!$K$13:$O$13),1)</f>
        <v>1</v>
      </c>
      <c r="AJ1930" s="41">
        <f>IFERROR(LOOKUP(Y1930,打分卡!$F$14:$J$14,打分卡!$K$14:$O$14),1)</f>
        <v>1</v>
      </c>
      <c r="AK1930" s="41">
        <f>IFERROR(LOOKUP(W1930,打分卡!$F$15:$J$15,打分卡!$K$15:$O$15),1)</f>
        <v>2</v>
      </c>
      <c r="AL1930" s="43">
        <f t="shared" si="241"/>
        <v>1</v>
      </c>
      <c r="AM1930" s="41">
        <f>IFERROR(LOOKUP(Z1930,打分卡!$F$17:$H$17,打分卡!$K$17:$M$17),1)</f>
        <v>1</v>
      </c>
      <c r="AN1930" s="44">
        <f>(打分卡!$D$7*AC1930+打分卡!$D$8*AD1930+打分卡!$D$9*AE1930)/5</f>
        <v>8</v>
      </c>
      <c r="AO1930" s="44">
        <f>(打分卡!$D$10*AF1930+打分卡!$D$11*AG1930)/5</f>
        <v>4</v>
      </c>
      <c r="AP1930" s="44">
        <f>(打分卡!$D$12*AH1930+打分卡!$D$13*AI1930+打分卡!$D$14*AJ1930+打分卡!$D$15*AK1930)/5</f>
        <v>14</v>
      </c>
      <c r="AQ1930" s="44">
        <f>(打分卡!$D$16*AL1930+打分卡!$D$17*AM1930)/5</f>
        <v>2</v>
      </c>
      <c r="AR1930" s="47">
        <f t="shared" si="242"/>
        <v>28</v>
      </c>
      <c r="AS1930" s="43" t="str">
        <f t="shared" si="243"/>
        <v>未激活</v>
      </c>
      <c r="AT1930" s="43" t="str">
        <f t="shared" si="244"/>
        <v>连续下降-预警</v>
      </c>
      <c r="AU1930" s="43" t="str">
        <f t="shared" si="245"/>
        <v>唤醒：短信模板+首充补贴</v>
      </c>
    </row>
    <row r="1931" ht="15" customHeight="1" spans="1:47">
      <c r="A1931" s="20" t="s">
        <v>4864</v>
      </c>
      <c r="B1931" s="22" t="s">
        <v>4865</v>
      </c>
      <c r="C1931" s="22" t="s">
        <v>189</v>
      </c>
      <c r="D1931" s="22" t="s">
        <v>235</v>
      </c>
      <c r="E1931" s="22" t="s">
        <v>181</v>
      </c>
      <c r="F1931" s="20" t="s">
        <v>4866</v>
      </c>
      <c r="G1931" s="22">
        <v>15</v>
      </c>
      <c r="H1931" s="22" t="s">
        <v>3535</v>
      </c>
      <c r="I1931" s="22" t="s">
        <v>302</v>
      </c>
      <c r="J1931" s="36">
        <v>0</v>
      </c>
      <c r="K1931" s="36">
        <v>0</v>
      </c>
      <c r="L1931" s="36">
        <v>0</v>
      </c>
      <c r="M1931" s="36">
        <f t="shared" si="240"/>
        <v>0</v>
      </c>
      <c r="N1931" s="34">
        <f t="shared" si="246"/>
        <v>0</v>
      </c>
      <c r="O1931" s="35">
        <f>SUM($M$2:M1931)</f>
        <v>190743600</v>
      </c>
      <c r="P1931" s="34">
        <f t="shared" si="247"/>
        <v>1</v>
      </c>
      <c r="Q1931" s="39">
        <v>0</v>
      </c>
      <c r="R1931" s="22">
        <v>0</v>
      </c>
      <c r="S1931" s="22">
        <v>0</v>
      </c>
      <c r="T1931" s="22">
        <v>0</v>
      </c>
      <c r="U1931" s="39">
        <v>12.1</v>
      </c>
      <c r="V1931" s="22">
        <v>11</v>
      </c>
      <c r="W1931" s="22">
        <v>0</v>
      </c>
      <c r="X1931" s="40">
        <v>29</v>
      </c>
      <c r="Y1931" s="22">
        <v>1</v>
      </c>
      <c r="Z1931" s="22">
        <v>0</v>
      </c>
      <c r="AA1931" s="22" t="s">
        <v>212</v>
      </c>
      <c r="AB1931" s="22" t="s">
        <v>220</v>
      </c>
      <c r="AC1931" s="42">
        <f>IFERROR(LOOKUP(M1931,打分卡!$F$7:$J$7,打分卡!$K$7:$O$7),1)</f>
        <v>1</v>
      </c>
      <c r="AD1931" s="42">
        <f>IFERROR(LOOKUP(S1931,打分卡!$F$8:$J$8,打分卡!$K$8:$O$8),1)</f>
        <v>1</v>
      </c>
      <c r="AE1931" s="42">
        <f>IFERROR(LOOKUP(T1931,打分卡!$F$9:$I$9,打分卡!$K$9:$N$9),1)</f>
        <v>1</v>
      </c>
      <c r="AF1931" s="42">
        <f>IFERROR(LOOKUP(Q1931,打分卡!$F$10:$J$10,打分卡!$K$10:$O$10),1)</f>
        <v>1</v>
      </c>
      <c r="AG1931" s="42">
        <f>IFERROR(LOOKUP(R1931,打分卡!$F$11:$J$11,打分卡!$K$11:$O$11),1)</f>
        <v>1</v>
      </c>
      <c r="AH1931" s="42">
        <f>IFERROR(LOOKUP(U1931,打分卡!$F$12:$J$12,打分卡!$K$12:$O$12),1)</f>
        <v>3</v>
      </c>
      <c r="AI1931" s="42">
        <f>IFERROR(LOOKUP(X1931,打分卡!$F$13:$J$13,打分卡!$K$13:$O$13),1)</f>
        <v>2</v>
      </c>
      <c r="AJ1931" s="42">
        <f>IFERROR(LOOKUP(Y1931,打分卡!$F$14:$J$14,打分卡!$K$14:$O$14),1)</f>
        <v>2</v>
      </c>
      <c r="AK1931" s="42">
        <f>IFERROR(LOOKUP(W1931,打分卡!$F$15:$J$15,打分卡!$K$15:$O$15),1)</f>
        <v>1</v>
      </c>
      <c r="AL1931" s="45">
        <f t="shared" si="241"/>
        <v>1</v>
      </c>
      <c r="AM1931" s="42">
        <f>IFERROR(LOOKUP(Z1931,打分卡!$F$17:$H$17,打分卡!$K$17:$M$17),1)</f>
        <v>1</v>
      </c>
      <c r="AN1931" s="46">
        <f>(打分卡!$D$7*AC1931+打分卡!$D$8*AD1931+打分卡!$D$9*AE1931)/5</f>
        <v>8</v>
      </c>
      <c r="AO1931" s="46">
        <f>(打分卡!$D$10*AF1931+打分卡!$D$11*AG1931)/5</f>
        <v>4</v>
      </c>
      <c r="AP1931" s="46">
        <f>(打分卡!$D$12*AH1931+打分卡!$D$13*AI1931+打分卡!$D$14*AJ1931+打分卡!$D$15*AK1931)/5</f>
        <v>13.6</v>
      </c>
      <c r="AQ1931" s="46">
        <f>(打分卡!$D$16*AL1931+打分卡!$D$17*AM1931)/5</f>
        <v>2</v>
      </c>
      <c r="AR1931" s="48">
        <f t="shared" si="242"/>
        <v>27.6</v>
      </c>
      <c r="AS1931" s="45" t="str">
        <f t="shared" si="243"/>
        <v>未激活</v>
      </c>
      <c r="AT1931" s="45" t="str">
        <f t="shared" si="244"/>
        <v>连续下降-预警</v>
      </c>
      <c r="AU1931" s="45" t="str">
        <f t="shared" si="245"/>
        <v>唤醒：短信模板+首充补贴</v>
      </c>
    </row>
    <row r="1932" ht="15" customHeight="1" spans="1:47">
      <c r="A1932" s="30" t="s">
        <v>4867</v>
      </c>
      <c r="B1932" s="31" t="s">
        <v>4868</v>
      </c>
      <c r="C1932" s="31" t="s">
        <v>209</v>
      </c>
      <c r="D1932" s="31" t="s">
        <v>196</v>
      </c>
      <c r="E1932" s="31" t="s">
        <v>197</v>
      </c>
      <c r="F1932" s="30" t="s">
        <v>1465</v>
      </c>
      <c r="G1932" s="31">
        <v>22</v>
      </c>
      <c r="H1932" s="31" t="s">
        <v>3535</v>
      </c>
      <c r="I1932" s="31" t="s">
        <v>302</v>
      </c>
      <c r="J1932" s="33">
        <v>0</v>
      </c>
      <c r="K1932" s="33">
        <v>0</v>
      </c>
      <c r="L1932" s="33">
        <v>0</v>
      </c>
      <c r="M1932" s="33">
        <f t="shared" si="240"/>
        <v>0</v>
      </c>
      <c r="N1932" s="34">
        <f t="shared" si="246"/>
        <v>0</v>
      </c>
      <c r="O1932" s="35">
        <f>SUM($M$2:M1932)</f>
        <v>190743600</v>
      </c>
      <c r="P1932" s="34">
        <f t="shared" si="247"/>
        <v>1</v>
      </c>
      <c r="Q1932" s="37">
        <v>0</v>
      </c>
      <c r="R1932" s="31">
        <v>0</v>
      </c>
      <c r="S1932" s="31">
        <v>0</v>
      </c>
      <c r="T1932" s="31">
        <v>0</v>
      </c>
      <c r="U1932" s="37">
        <v>0.7</v>
      </c>
      <c r="V1932" s="31">
        <v>9</v>
      </c>
      <c r="W1932" s="31">
        <v>0</v>
      </c>
      <c r="X1932" s="38">
        <v>6</v>
      </c>
      <c r="Y1932" s="31">
        <v>0</v>
      </c>
      <c r="Z1932" s="31">
        <v>0</v>
      </c>
      <c r="AA1932" s="31" t="s">
        <v>212</v>
      </c>
      <c r="AB1932" s="31" t="s">
        <v>220</v>
      </c>
      <c r="AC1932" s="41">
        <f>IFERROR(LOOKUP(M1932,打分卡!$F$7:$J$7,打分卡!$K$7:$O$7),1)</f>
        <v>1</v>
      </c>
      <c r="AD1932" s="41">
        <f>IFERROR(LOOKUP(S1932,打分卡!$F$8:$J$8,打分卡!$K$8:$O$8),1)</f>
        <v>1</v>
      </c>
      <c r="AE1932" s="41">
        <f>IFERROR(LOOKUP(T1932,打分卡!$F$9:$I$9,打分卡!$K$9:$N$9),1)</f>
        <v>1</v>
      </c>
      <c r="AF1932" s="41">
        <f>IFERROR(LOOKUP(Q1932,打分卡!$F$10:$J$10,打分卡!$K$10:$O$10),1)</f>
        <v>1</v>
      </c>
      <c r="AG1932" s="41">
        <f>IFERROR(LOOKUP(R1932,打分卡!$F$11:$J$11,打分卡!$K$11:$O$11),1)</f>
        <v>1</v>
      </c>
      <c r="AH1932" s="41">
        <f>IFERROR(LOOKUP(U1932,打分卡!$F$12:$J$12,打分卡!$K$12:$O$12),1)</f>
        <v>1</v>
      </c>
      <c r="AI1932" s="41">
        <f>IFERROR(LOOKUP(X1932,打分卡!$F$13:$J$13,打分卡!$K$13:$O$13),1)</f>
        <v>1</v>
      </c>
      <c r="AJ1932" s="41">
        <f>IFERROR(LOOKUP(Y1932,打分卡!$F$14:$J$14,打分卡!$K$14:$O$14),1)</f>
        <v>1</v>
      </c>
      <c r="AK1932" s="41">
        <f>IFERROR(LOOKUP(W1932,打分卡!$F$15:$J$15,打分卡!$K$15:$O$15),1)</f>
        <v>1</v>
      </c>
      <c r="AL1932" s="43">
        <f t="shared" si="241"/>
        <v>1</v>
      </c>
      <c r="AM1932" s="41">
        <f>IFERROR(LOOKUP(Z1932,打分卡!$F$17:$H$17,打分卡!$K$17:$M$17),1)</f>
        <v>1</v>
      </c>
      <c r="AN1932" s="44">
        <f>(打分卡!$D$7*AC1932+打分卡!$D$8*AD1932+打分卡!$D$9*AE1932)/5</f>
        <v>8</v>
      </c>
      <c r="AO1932" s="44">
        <f>(打分卡!$D$10*AF1932+打分卡!$D$11*AG1932)/5</f>
        <v>4</v>
      </c>
      <c r="AP1932" s="44">
        <f>(打分卡!$D$12*AH1932+打分卡!$D$13*AI1932+打分卡!$D$14*AJ1932+打分卡!$D$15*AK1932)/5</f>
        <v>6</v>
      </c>
      <c r="AQ1932" s="44">
        <f>(打分卡!$D$16*AL1932+打分卡!$D$17*AM1932)/5</f>
        <v>2</v>
      </c>
      <c r="AR1932" s="47">
        <f t="shared" si="242"/>
        <v>20</v>
      </c>
      <c r="AS1932" s="43" t="str">
        <f t="shared" si="243"/>
        <v>未激活</v>
      </c>
      <c r="AT1932" s="43" t="str">
        <f t="shared" si="244"/>
        <v>连续下降-预警</v>
      </c>
      <c r="AU1932" s="43" t="str">
        <f t="shared" si="245"/>
        <v>唤醒：短信模板+首充补贴</v>
      </c>
    </row>
    <row r="1933" ht="15" customHeight="1" spans="1:47">
      <c r="A1933" s="20" t="s">
        <v>4869</v>
      </c>
      <c r="B1933" s="22" t="s">
        <v>4870</v>
      </c>
      <c r="C1933" s="22" t="s">
        <v>189</v>
      </c>
      <c r="D1933" s="22" t="s">
        <v>227</v>
      </c>
      <c r="E1933" s="22" t="s">
        <v>181</v>
      </c>
      <c r="F1933" s="20" t="s">
        <v>1761</v>
      </c>
      <c r="G1933" s="22">
        <v>17</v>
      </c>
      <c r="H1933" s="22" t="s">
        <v>3535</v>
      </c>
      <c r="I1933" s="22" t="s">
        <v>302</v>
      </c>
      <c r="J1933" s="36">
        <v>0</v>
      </c>
      <c r="K1933" s="36">
        <v>0</v>
      </c>
      <c r="L1933" s="36">
        <v>0</v>
      </c>
      <c r="M1933" s="36">
        <f t="shared" si="240"/>
        <v>0</v>
      </c>
      <c r="N1933" s="34">
        <f t="shared" si="246"/>
        <v>0</v>
      </c>
      <c r="O1933" s="35">
        <f>SUM($M$2:M1933)</f>
        <v>190743600</v>
      </c>
      <c r="P1933" s="34">
        <f t="shared" si="247"/>
        <v>1</v>
      </c>
      <c r="Q1933" s="39">
        <v>0</v>
      </c>
      <c r="R1933" s="22">
        <v>0</v>
      </c>
      <c r="S1933" s="22">
        <v>0</v>
      </c>
      <c r="T1933" s="22">
        <v>0</v>
      </c>
      <c r="U1933" s="39">
        <v>7.2</v>
      </c>
      <c r="V1933" s="22">
        <v>3</v>
      </c>
      <c r="W1933" s="22">
        <v>2</v>
      </c>
      <c r="X1933" s="40">
        <v>24</v>
      </c>
      <c r="Y1933" s="22">
        <v>1</v>
      </c>
      <c r="Z1933" s="22">
        <v>0</v>
      </c>
      <c r="AA1933" s="22" t="s">
        <v>212</v>
      </c>
      <c r="AB1933" s="22" t="s">
        <v>220</v>
      </c>
      <c r="AC1933" s="42">
        <f>IFERROR(LOOKUP(M1933,打分卡!$F$7:$J$7,打分卡!$K$7:$O$7),1)</f>
        <v>1</v>
      </c>
      <c r="AD1933" s="42">
        <f>IFERROR(LOOKUP(S1933,打分卡!$F$8:$J$8,打分卡!$K$8:$O$8),1)</f>
        <v>1</v>
      </c>
      <c r="AE1933" s="42">
        <f>IFERROR(LOOKUP(T1933,打分卡!$F$9:$I$9,打分卡!$K$9:$N$9),1)</f>
        <v>1</v>
      </c>
      <c r="AF1933" s="42">
        <f>IFERROR(LOOKUP(Q1933,打分卡!$F$10:$J$10,打分卡!$K$10:$O$10),1)</f>
        <v>1</v>
      </c>
      <c r="AG1933" s="42">
        <f>IFERROR(LOOKUP(R1933,打分卡!$F$11:$J$11,打分卡!$K$11:$O$11),1)</f>
        <v>1</v>
      </c>
      <c r="AH1933" s="42">
        <f>IFERROR(LOOKUP(U1933,打分卡!$F$12:$J$12,打分卡!$K$12:$O$12),1)</f>
        <v>2</v>
      </c>
      <c r="AI1933" s="42">
        <f>IFERROR(LOOKUP(X1933,打分卡!$F$13:$J$13,打分卡!$K$13:$O$13),1)</f>
        <v>2</v>
      </c>
      <c r="AJ1933" s="42">
        <f>IFERROR(LOOKUP(Y1933,打分卡!$F$14:$J$14,打分卡!$K$14:$O$14),1)</f>
        <v>2</v>
      </c>
      <c r="AK1933" s="42">
        <f>IFERROR(LOOKUP(W1933,打分卡!$F$15:$J$15,打分卡!$K$15:$O$15),1)</f>
        <v>2</v>
      </c>
      <c r="AL1933" s="45">
        <f t="shared" si="241"/>
        <v>1</v>
      </c>
      <c r="AM1933" s="42">
        <f>IFERROR(LOOKUP(Z1933,打分卡!$F$17:$H$17,打分卡!$K$17:$M$17),1)</f>
        <v>1</v>
      </c>
      <c r="AN1933" s="46">
        <f>(打分卡!$D$7*AC1933+打分卡!$D$8*AD1933+打分卡!$D$9*AE1933)/5</f>
        <v>8</v>
      </c>
      <c r="AO1933" s="46">
        <f>(打分卡!$D$10*AF1933+打分卡!$D$11*AG1933)/5</f>
        <v>4</v>
      </c>
      <c r="AP1933" s="46">
        <f>(打分卡!$D$12*AH1933+打分卡!$D$13*AI1933+打分卡!$D$14*AJ1933+打分卡!$D$15*AK1933)/5</f>
        <v>12</v>
      </c>
      <c r="AQ1933" s="46">
        <f>(打分卡!$D$16*AL1933+打分卡!$D$17*AM1933)/5</f>
        <v>2</v>
      </c>
      <c r="AR1933" s="48">
        <f t="shared" si="242"/>
        <v>26</v>
      </c>
      <c r="AS1933" s="45" t="str">
        <f t="shared" si="243"/>
        <v>未激活</v>
      </c>
      <c r="AT1933" s="45" t="str">
        <f t="shared" si="244"/>
        <v>连续下降-预警</v>
      </c>
      <c r="AU1933" s="45" t="str">
        <f t="shared" si="245"/>
        <v>唤醒：短信模板+首充补贴</v>
      </c>
    </row>
    <row r="1934" ht="15" customHeight="1" spans="1:47">
      <c r="A1934" s="30" t="s">
        <v>4871</v>
      </c>
      <c r="B1934" s="31" t="s">
        <v>4872</v>
      </c>
      <c r="C1934" s="31" t="s">
        <v>189</v>
      </c>
      <c r="D1934" s="31" t="s">
        <v>235</v>
      </c>
      <c r="E1934" s="31" t="s">
        <v>197</v>
      </c>
      <c r="F1934" s="30" t="s">
        <v>2274</v>
      </c>
      <c r="G1934" s="31">
        <v>12</v>
      </c>
      <c r="H1934" s="31" t="s">
        <v>3535</v>
      </c>
      <c r="I1934" s="31" t="s">
        <v>302</v>
      </c>
      <c r="J1934" s="33">
        <v>0</v>
      </c>
      <c r="K1934" s="33">
        <v>0</v>
      </c>
      <c r="L1934" s="33">
        <v>0</v>
      </c>
      <c r="M1934" s="33">
        <f t="shared" si="240"/>
        <v>0</v>
      </c>
      <c r="N1934" s="34">
        <f t="shared" si="246"/>
        <v>0</v>
      </c>
      <c r="O1934" s="35">
        <f>SUM($M$2:M1934)</f>
        <v>190743600</v>
      </c>
      <c r="P1934" s="34">
        <f t="shared" si="247"/>
        <v>1</v>
      </c>
      <c r="Q1934" s="37">
        <v>0</v>
      </c>
      <c r="R1934" s="31">
        <v>0</v>
      </c>
      <c r="S1934" s="31">
        <v>0</v>
      </c>
      <c r="T1934" s="31">
        <v>0</v>
      </c>
      <c r="U1934" s="37">
        <v>5.7</v>
      </c>
      <c r="V1934" s="31">
        <v>5</v>
      </c>
      <c r="W1934" s="31">
        <v>2</v>
      </c>
      <c r="X1934" s="38">
        <v>7</v>
      </c>
      <c r="Y1934" s="31">
        <v>1</v>
      </c>
      <c r="Z1934" s="31">
        <v>0</v>
      </c>
      <c r="AA1934" s="31" t="s">
        <v>212</v>
      </c>
      <c r="AB1934" s="31" t="s">
        <v>220</v>
      </c>
      <c r="AC1934" s="41">
        <f>IFERROR(LOOKUP(M1934,打分卡!$F$7:$J$7,打分卡!$K$7:$O$7),1)</f>
        <v>1</v>
      </c>
      <c r="AD1934" s="41">
        <f>IFERROR(LOOKUP(S1934,打分卡!$F$8:$J$8,打分卡!$K$8:$O$8),1)</f>
        <v>1</v>
      </c>
      <c r="AE1934" s="41">
        <f>IFERROR(LOOKUP(T1934,打分卡!$F$9:$I$9,打分卡!$K$9:$N$9),1)</f>
        <v>1</v>
      </c>
      <c r="AF1934" s="41">
        <f>IFERROR(LOOKUP(Q1934,打分卡!$F$10:$J$10,打分卡!$K$10:$O$10),1)</f>
        <v>1</v>
      </c>
      <c r="AG1934" s="41">
        <f>IFERROR(LOOKUP(R1934,打分卡!$F$11:$J$11,打分卡!$K$11:$O$11),1)</f>
        <v>1</v>
      </c>
      <c r="AH1934" s="41">
        <f>IFERROR(LOOKUP(U1934,打分卡!$F$12:$J$12,打分卡!$K$12:$O$12),1)</f>
        <v>2</v>
      </c>
      <c r="AI1934" s="41">
        <f>IFERROR(LOOKUP(X1934,打分卡!$F$13:$J$13,打分卡!$K$13:$O$13),1)</f>
        <v>1</v>
      </c>
      <c r="AJ1934" s="41">
        <f>IFERROR(LOOKUP(Y1934,打分卡!$F$14:$J$14,打分卡!$K$14:$O$14),1)</f>
        <v>2</v>
      </c>
      <c r="AK1934" s="41">
        <f>IFERROR(LOOKUP(W1934,打分卡!$F$15:$J$15,打分卡!$K$15:$O$15),1)</f>
        <v>2</v>
      </c>
      <c r="AL1934" s="43">
        <f t="shared" si="241"/>
        <v>1</v>
      </c>
      <c r="AM1934" s="41">
        <f>IFERROR(LOOKUP(Z1934,打分卡!$F$17:$H$17,打分卡!$K$17:$M$17),1)</f>
        <v>1</v>
      </c>
      <c r="AN1934" s="44">
        <f>(打分卡!$D$7*AC1934+打分卡!$D$8*AD1934+打分卡!$D$9*AE1934)/5</f>
        <v>8</v>
      </c>
      <c r="AO1934" s="44">
        <f>(打分卡!$D$10*AF1934+打分卡!$D$11*AG1934)/5</f>
        <v>4</v>
      </c>
      <c r="AP1934" s="44">
        <f>(打分卡!$D$12*AH1934+打分卡!$D$13*AI1934+打分卡!$D$14*AJ1934+打分卡!$D$15*AK1934)/5</f>
        <v>10.4</v>
      </c>
      <c r="AQ1934" s="44">
        <f>(打分卡!$D$16*AL1934+打分卡!$D$17*AM1934)/5</f>
        <v>2</v>
      </c>
      <c r="AR1934" s="47">
        <f t="shared" si="242"/>
        <v>24.4</v>
      </c>
      <c r="AS1934" s="43" t="str">
        <f t="shared" si="243"/>
        <v>未激活</v>
      </c>
      <c r="AT1934" s="43" t="str">
        <f t="shared" si="244"/>
        <v>连续下降-预警</v>
      </c>
      <c r="AU1934" s="43" t="str">
        <f t="shared" si="245"/>
        <v>唤醒：短信模板+首充补贴</v>
      </c>
    </row>
    <row r="1935" ht="15" customHeight="1" spans="1:47">
      <c r="A1935" s="20" t="s">
        <v>4873</v>
      </c>
      <c r="B1935" s="22" t="s">
        <v>4874</v>
      </c>
      <c r="C1935" s="22" t="s">
        <v>209</v>
      </c>
      <c r="D1935" s="22" t="s">
        <v>227</v>
      </c>
      <c r="E1935" s="22" t="s">
        <v>181</v>
      </c>
      <c r="F1935" s="20" t="s">
        <v>4457</v>
      </c>
      <c r="G1935" s="22">
        <v>17</v>
      </c>
      <c r="H1935" s="22" t="s">
        <v>3535</v>
      </c>
      <c r="I1935" s="22" t="s">
        <v>302</v>
      </c>
      <c r="J1935" s="36">
        <v>0</v>
      </c>
      <c r="K1935" s="36">
        <v>0</v>
      </c>
      <c r="L1935" s="36">
        <v>0</v>
      </c>
      <c r="M1935" s="36">
        <f t="shared" si="240"/>
        <v>0</v>
      </c>
      <c r="N1935" s="34">
        <f t="shared" si="246"/>
        <v>0</v>
      </c>
      <c r="O1935" s="35">
        <f>SUM($M$2:M1935)</f>
        <v>190743600</v>
      </c>
      <c r="P1935" s="34">
        <f t="shared" si="247"/>
        <v>1</v>
      </c>
      <c r="Q1935" s="39">
        <v>0</v>
      </c>
      <c r="R1935" s="22">
        <v>0</v>
      </c>
      <c r="S1935" s="22">
        <v>0</v>
      </c>
      <c r="T1935" s="22">
        <v>0</v>
      </c>
      <c r="U1935" s="39">
        <v>2.5</v>
      </c>
      <c r="V1935" s="22">
        <v>2</v>
      </c>
      <c r="W1935" s="22">
        <v>2</v>
      </c>
      <c r="X1935" s="40">
        <v>22</v>
      </c>
      <c r="Y1935" s="22">
        <v>1</v>
      </c>
      <c r="Z1935" s="22">
        <v>0</v>
      </c>
      <c r="AA1935" s="22" t="s">
        <v>212</v>
      </c>
      <c r="AB1935" s="22" t="s">
        <v>220</v>
      </c>
      <c r="AC1935" s="42">
        <f>IFERROR(LOOKUP(M1935,打分卡!$F$7:$J$7,打分卡!$K$7:$O$7),1)</f>
        <v>1</v>
      </c>
      <c r="AD1935" s="42">
        <f>IFERROR(LOOKUP(S1935,打分卡!$F$8:$J$8,打分卡!$K$8:$O$8),1)</f>
        <v>1</v>
      </c>
      <c r="AE1935" s="42">
        <f>IFERROR(LOOKUP(T1935,打分卡!$F$9:$I$9,打分卡!$K$9:$N$9),1)</f>
        <v>1</v>
      </c>
      <c r="AF1935" s="42">
        <f>IFERROR(LOOKUP(Q1935,打分卡!$F$10:$J$10,打分卡!$K$10:$O$10),1)</f>
        <v>1</v>
      </c>
      <c r="AG1935" s="42">
        <f>IFERROR(LOOKUP(R1935,打分卡!$F$11:$J$11,打分卡!$K$11:$O$11),1)</f>
        <v>1</v>
      </c>
      <c r="AH1935" s="42">
        <f>IFERROR(LOOKUP(U1935,打分卡!$F$12:$J$12,打分卡!$K$12:$O$12),1)</f>
        <v>1</v>
      </c>
      <c r="AI1935" s="42">
        <f>IFERROR(LOOKUP(X1935,打分卡!$F$13:$J$13,打分卡!$K$13:$O$13),1)</f>
        <v>2</v>
      </c>
      <c r="AJ1935" s="42">
        <f>IFERROR(LOOKUP(Y1935,打分卡!$F$14:$J$14,打分卡!$K$14:$O$14),1)</f>
        <v>2</v>
      </c>
      <c r="AK1935" s="42">
        <f>IFERROR(LOOKUP(W1935,打分卡!$F$15:$J$15,打分卡!$K$15:$O$15),1)</f>
        <v>2</v>
      </c>
      <c r="AL1935" s="45">
        <f t="shared" si="241"/>
        <v>1</v>
      </c>
      <c r="AM1935" s="42">
        <f>IFERROR(LOOKUP(Z1935,打分卡!$F$17:$H$17,打分卡!$K$17:$M$17),1)</f>
        <v>1</v>
      </c>
      <c r="AN1935" s="46">
        <f>(打分卡!$D$7*AC1935+打分卡!$D$8*AD1935+打分卡!$D$9*AE1935)/5</f>
        <v>8</v>
      </c>
      <c r="AO1935" s="46">
        <f>(打分卡!$D$10*AF1935+打分卡!$D$11*AG1935)/5</f>
        <v>4</v>
      </c>
      <c r="AP1935" s="46">
        <f>(打分卡!$D$12*AH1935+打分卡!$D$13*AI1935+打分卡!$D$14*AJ1935+打分卡!$D$15*AK1935)/5</f>
        <v>9.6</v>
      </c>
      <c r="AQ1935" s="46">
        <f>(打分卡!$D$16*AL1935+打分卡!$D$17*AM1935)/5</f>
        <v>2</v>
      </c>
      <c r="AR1935" s="48">
        <f t="shared" si="242"/>
        <v>23.6</v>
      </c>
      <c r="AS1935" s="45" t="str">
        <f t="shared" si="243"/>
        <v>未激活</v>
      </c>
      <c r="AT1935" s="45" t="str">
        <f t="shared" si="244"/>
        <v>连续下降-预警</v>
      </c>
      <c r="AU1935" s="45" t="str">
        <f t="shared" si="245"/>
        <v>唤醒：短信模板+首充补贴</v>
      </c>
    </row>
    <row r="1936" ht="15" customHeight="1" spans="1:47">
      <c r="A1936" s="30" t="s">
        <v>4875</v>
      </c>
      <c r="B1936" s="31" t="s">
        <v>4876</v>
      </c>
      <c r="C1936" s="31" t="s">
        <v>218</v>
      </c>
      <c r="D1936" s="31" t="s">
        <v>202</v>
      </c>
      <c r="E1936" s="31" t="s">
        <v>181</v>
      </c>
      <c r="F1936" s="30" t="s">
        <v>4877</v>
      </c>
      <c r="G1936" s="31">
        <v>29</v>
      </c>
      <c r="H1936" s="31" t="s">
        <v>3535</v>
      </c>
      <c r="I1936" s="31" t="s">
        <v>302</v>
      </c>
      <c r="J1936" s="33">
        <v>0</v>
      </c>
      <c r="K1936" s="33">
        <v>0</v>
      </c>
      <c r="L1936" s="33">
        <v>0</v>
      </c>
      <c r="M1936" s="33">
        <f t="shared" si="240"/>
        <v>0</v>
      </c>
      <c r="N1936" s="34">
        <f t="shared" si="246"/>
        <v>0</v>
      </c>
      <c r="O1936" s="35">
        <f>SUM($M$2:M1936)</f>
        <v>190743600</v>
      </c>
      <c r="P1936" s="34">
        <f t="shared" si="247"/>
        <v>1</v>
      </c>
      <c r="Q1936" s="37">
        <v>0</v>
      </c>
      <c r="R1936" s="31">
        <v>0</v>
      </c>
      <c r="S1936" s="31">
        <v>0</v>
      </c>
      <c r="T1936" s="31">
        <v>0</v>
      </c>
      <c r="U1936" s="37">
        <v>12.2</v>
      </c>
      <c r="V1936" s="31">
        <v>5</v>
      </c>
      <c r="W1936" s="31">
        <v>2</v>
      </c>
      <c r="X1936" s="38">
        <v>8</v>
      </c>
      <c r="Y1936" s="31">
        <v>1</v>
      </c>
      <c r="Z1936" s="31">
        <v>0</v>
      </c>
      <c r="AA1936" s="31" t="s">
        <v>212</v>
      </c>
      <c r="AB1936" s="31" t="s">
        <v>220</v>
      </c>
      <c r="AC1936" s="41">
        <f>IFERROR(LOOKUP(M1936,打分卡!$F$7:$J$7,打分卡!$K$7:$O$7),1)</f>
        <v>1</v>
      </c>
      <c r="AD1936" s="41">
        <f>IFERROR(LOOKUP(S1936,打分卡!$F$8:$J$8,打分卡!$K$8:$O$8),1)</f>
        <v>1</v>
      </c>
      <c r="AE1936" s="41">
        <f>IFERROR(LOOKUP(T1936,打分卡!$F$9:$I$9,打分卡!$K$9:$N$9),1)</f>
        <v>1</v>
      </c>
      <c r="AF1936" s="41">
        <f>IFERROR(LOOKUP(Q1936,打分卡!$F$10:$J$10,打分卡!$K$10:$O$10),1)</f>
        <v>1</v>
      </c>
      <c r="AG1936" s="41">
        <f>IFERROR(LOOKUP(R1936,打分卡!$F$11:$J$11,打分卡!$K$11:$O$11),1)</f>
        <v>1</v>
      </c>
      <c r="AH1936" s="41">
        <f>IFERROR(LOOKUP(U1936,打分卡!$F$12:$J$12,打分卡!$K$12:$O$12),1)</f>
        <v>3</v>
      </c>
      <c r="AI1936" s="41">
        <f>IFERROR(LOOKUP(X1936,打分卡!$F$13:$J$13,打分卡!$K$13:$O$13),1)</f>
        <v>1</v>
      </c>
      <c r="AJ1936" s="41">
        <f>IFERROR(LOOKUP(Y1936,打分卡!$F$14:$J$14,打分卡!$K$14:$O$14),1)</f>
        <v>2</v>
      </c>
      <c r="AK1936" s="41">
        <f>IFERROR(LOOKUP(W1936,打分卡!$F$15:$J$15,打分卡!$K$15:$O$15),1)</f>
        <v>2</v>
      </c>
      <c r="AL1936" s="43">
        <f t="shared" si="241"/>
        <v>1</v>
      </c>
      <c r="AM1936" s="41">
        <f>IFERROR(LOOKUP(Z1936,打分卡!$F$17:$H$17,打分卡!$K$17:$M$17),1)</f>
        <v>1</v>
      </c>
      <c r="AN1936" s="44">
        <f>(打分卡!$D$7*AC1936+打分卡!$D$8*AD1936+打分卡!$D$9*AE1936)/5</f>
        <v>8</v>
      </c>
      <c r="AO1936" s="44">
        <f>(打分卡!$D$10*AF1936+打分卡!$D$11*AG1936)/5</f>
        <v>4</v>
      </c>
      <c r="AP1936" s="44">
        <f>(打分卡!$D$12*AH1936+打分卡!$D$13*AI1936+打分卡!$D$14*AJ1936+打分卡!$D$15*AK1936)/5</f>
        <v>12.8</v>
      </c>
      <c r="AQ1936" s="44">
        <f>(打分卡!$D$16*AL1936+打分卡!$D$17*AM1936)/5</f>
        <v>2</v>
      </c>
      <c r="AR1936" s="47">
        <f t="shared" si="242"/>
        <v>26.8</v>
      </c>
      <c r="AS1936" s="43" t="str">
        <f t="shared" si="243"/>
        <v>未激活</v>
      </c>
      <c r="AT1936" s="43" t="str">
        <f t="shared" si="244"/>
        <v>连续下降-预警</v>
      </c>
      <c r="AU1936" s="43" t="str">
        <f t="shared" si="245"/>
        <v>唤醒：短信模板+首充补贴</v>
      </c>
    </row>
    <row r="1937" ht="15" customHeight="1" spans="1:47">
      <c r="A1937" s="20" t="s">
        <v>4878</v>
      </c>
      <c r="B1937" s="22" t="s">
        <v>4879</v>
      </c>
      <c r="C1937" s="22" t="s">
        <v>223</v>
      </c>
      <c r="D1937" s="22" t="s">
        <v>196</v>
      </c>
      <c r="E1937" s="22" t="s">
        <v>197</v>
      </c>
      <c r="F1937" s="20" t="s">
        <v>1194</v>
      </c>
      <c r="G1937" s="22">
        <v>23</v>
      </c>
      <c r="H1937" s="22" t="s">
        <v>3535</v>
      </c>
      <c r="I1937" s="22" t="s">
        <v>302</v>
      </c>
      <c r="J1937" s="36">
        <v>0</v>
      </c>
      <c r="K1937" s="36">
        <v>0</v>
      </c>
      <c r="L1937" s="36">
        <v>0</v>
      </c>
      <c r="M1937" s="36">
        <f t="shared" si="240"/>
        <v>0</v>
      </c>
      <c r="N1937" s="34">
        <f t="shared" si="246"/>
        <v>0</v>
      </c>
      <c r="O1937" s="35">
        <f>SUM($M$2:M1937)</f>
        <v>190743600</v>
      </c>
      <c r="P1937" s="34">
        <f t="shared" si="247"/>
        <v>1</v>
      </c>
      <c r="Q1937" s="39">
        <v>0</v>
      </c>
      <c r="R1937" s="22">
        <v>0</v>
      </c>
      <c r="S1937" s="22">
        <v>0</v>
      </c>
      <c r="T1937" s="22">
        <v>0</v>
      </c>
      <c r="U1937" s="39">
        <v>2</v>
      </c>
      <c r="V1937" s="22">
        <v>4</v>
      </c>
      <c r="W1937" s="22">
        <v>2</v>
      </c>
      <c r="X1937" s="40">
        <v>62</v>
      </c>
      <c r="Y1937" s="22">
        <v>0</v>
      </c>
      <c r="Z1937" s="22">
        <v>0</v>
      </c>
      <c r="AA1937" s="22" t="s">
        <v>212</v>
      </c>
      <c r="AB1937" s="22" t="s">
        <v>220</v>
      </c>
      <c r="AC1937" s="42">
        <f>IFERROR(LOOKUP(M1937,打分卡!$F$7:$J$7,打分卡!$K$7:$O$7),1)</f>
        <v>1</v>
      </c>
      <c r="AD1937" s="42">
        <f>IFERROR(LOOKUP(S1937,打分卡!$F$8:$J$8,打分卡!$K$8:$O$8),1)</f>
        <v>1</v>
      </c>
      <c r="AE1937" s="42">
        <f>IFERROR(LOOKUP(T1937,打分卡!$F$9:$I$9,打分卡!$K$9:$N$9),1)</f>
        <v>1</v>
      </c>
      <c r="AF1937" s="42">
        <f>IFERROR(LOOKUP(Q1937,打分卡!$F$10:$J$10,打分卡!$K$10:$O$10),1)</f>
        <v>1</v>
      </c>
      <c r="AG1937" s="42">
        <f>IFERROR(LOOKUP(R1937,打分卡!$F$11:$J$11,打分卡!$K$11:$O$11),1)</f>
        <v>1</v>
      </c>
      <c r="AH1937" s="42">
        <f>IFERROR(LOOKUP(U1937,打分卡!$F$12:$J$12,打分卡!$K$12:$O$12),1)</f>
        <v>1</v>
      </c>
      <c r="AI1937" s="42">
        <f>IFERROR(LOOKUP(X1937,打分卡!$F$13:$J$13,打分卡!$K$13:$O$13),1)</f>
        <v>3</v>
      </c>
      <c r="AJ1937" s="42">
        <f>IFERROR(LOOKUP(Y1937,打分卡!$F$14:$J$14,打分卡!$K$14:$O$14),1)</f>
        <v>1</v>
      </c>
      <c r="AK1937" s="42">
        <f>IFERROR(LOOKUP(W1937,打分卡!$F$15:$J$15,打分卡!$K$15:$O$15),1)</f>
        <v>2</v>
      </c>
      <c r="AL1937" s="45">
        <f t="shared" si="241"/>
        <v>1</v>
      </c>
      <c r="AM1937" s="42">
        <f>IFERROR(LOOKUP(Z1937,打分卡!$F$17:$H$17,打分卡!$K$17:$M$17),1)</f>
        <v>1</v>
      </c>
      <c r="AN1937" s="46">
        <f>(打分卡!$D$7*AC1937+打分卡!$D$8*AD1937+打分卡!$D$9*AE1937)/5</f>
        <v>8</v>
      </c>
      <c r="AO1937" s="46">
        <f>(打分卡!$D$10*AF1937+打分卡!$D$11*AG1937)/5</f>
        <v>4</v>
      </c>
      <c r="AP1937" s="46">
        <f>(打分卡!$D$12*AH1937+打分卡!$D$13*AI1937+打分卡!$D$14*AJ1937+打分卡!$D$15*AK1937)/5</f>
        <v>10</v>
      </c>
      <c r="AQ1937" s="46">
        <f>(打分卡!$D$16*AL1937+打分卡!$D$17*AM1937)/5</f>
        <v>2</v>
      </c>
      <c r="AR1937" s="48">
        <f t="shared" si="242"/>
        <v>24</v>
      </c>
      <c r="AS1937" s="45" t="str">
        <f t="shared" si="243"/>
        <v>未激活</v>
      </c>
      <c r="AT1937" s="45" t="str">
        <f t="shared" si="244"/>
        <v>连续下降-预警</v>
      </c>
      <c r="AU1937" s="45" t="str">
        <f t="shared" si="245"/>
        <v>唤醒：短信模板+首充补贴</v>
      </c>
    </row>
    <row r="1938" ht="15" customHeight="1" spans="1:47">
      <c r="A1938" s="30" t="s">
        <v>4880</v>
      </c>
      <c r="B1938" s="31" t="s">
        <v>4881</v>
      </c>
      <c r="C1938" s="31" t="s">
        <v>189</v>
      </c>
      <c r="D1938" s="31" t="s">
        <v>180</v>
      </c>
      <c r="E1938" s="31" t="s">
        <v>197</v>
      </c>
      <c r="F1938" s="30" t="s">
        <v>4533</v>
      </c>
      <c r="G1938" s="31">
        <v>28</v>
      </c>
      <c r="H1938" s="31" t="s">
        <v>3535</v>
      </c>
      <c r="I1938" s="31" t="s">
        <v>302</v>
      </c>
      <c r="J1938" s="33">
        <v>0</v>
      </c>
      <c r="K1938" s="33">
        <v>0</v>
      </c>
      <c r="L1938" s="33">
        <v>0</v>
      </c>
      <c r="M1938" s="33">
        <f t="shared" si="240"/>
        <v>0</v>
      </c>
      <c r="N1938" s="34">
        <f t="shared" si="246"/>
        <v>0</v>
      </c>
      <c r="O1938" s="35">
        <f>SUM($M$2:M1938)</f>
        <v>190743600</v>
      </c>
      <c r="P1938" s="34">
        <f t="shared" si="247"/>
        <v>1</v>
      </c>
      <c r="Q1938" s="37">
        <v>0</v>
      </c>
      <c r="R1938" s="31">
        <v>0</v>
      </c>
      <c r="S1938" s="31">
        <v>0</v>
      </c>
      <c r="T1938" s="31">
        <v>0</v>
      </c>
      <c r="U1938" s="37">
        <v>0.8</v>
      </c>
      <c r="V1938" s="31">
        <v>12</v>
      </c>
      <c r="W1938" s="31">
        <v>0</v>
      </c>
      <c r="X1938" s="38">
        <v>23</v>
      </c>
      <c r="Y1938" s="31">
        <v>1</v>
      </c>
      <c r="Z1938" s="31">
        <v>0</v>
      </c>
      <c r="AA1938" s="31" t="s">
        <v>212</v>
      </c>
      <c r="AB1938" s="31" t="s">
        <v>220</v>
      </c>
      <c r="AC1938" s="41">
        <f>IFERROR(LOOKUP(M1938,打分卡!$F$7:$J$7,打分卡!$K$7:$O$7),1)</f>
        <v>1</v>
      </c>
      <c r="AD1938" s="41">
        <f>IFERROR(LOOKUP(S1938,打分卡!$F$8:$J$8,打分卡!$K$8:$O$8),1)</f>
        <v>1</v>
      </c>
      <c r="AE1938" s="41">
        <f>IFERROR(LOOKUP(T1938,打分卡!$F$9:$I$9,打分卡!$K$9:$N$9),1)</f>
        <v>1</v>
      </c>
      <c r="AF1938" s="41">
        <f>IFERROR(LOOKUP(Q1938,打分卡!$F$10:$J$10,打分卡!$K$10:$O$10),1)</f>
        <v>1</v>
      </c>
      <c r="AG1938" s="41">
        <f>IFERROR(LOOKUP(R1938,打分卡!$F$11:$J$11,打分卡!$K$11:$O$11),1)</f>
        <v>1</v>
      </c>
      <c r="AH1938" s="41">
        <f>IFERROR(LOOKUP(U1938,打分卡!$F$12:$J$12,打分卡!$K$12:$O$12),1)</f>
        <v>1</v>
      </c>
      <c r="AI1938" s="41">
        <f>IFERROR(LOOKUP(X1938,打分卡!$F$13:$J$13,打分卡!$K$13:$O$13),1)</f>
        <v>2</v>
      </c>
      <c r="AJ1938" s="41">
        <f>IFERROR(LOOKUP(Y1938,打分卡!$F$14:$J$14,打分卡!$K$14:$O$14),1)</f>
        <v>2</v>
      </c>
      <c r="AK1938" s="41">
        <f>IFERROR(LOOKUP(W1938,打分卡!$F$15:$J$15,打分卡!$K$15:$O$15),1)</f>
        <v>1</v>
      </c>
      <c r="AL1938" s="43">
        <f t="shared" si="241"/>
        <v>1</v>
      </c>
      <c r="AM1938" s="41">
        <f>IFERROR(LOOKUP(Z1938,打分卡!$F$17:$H$17,打分卡!$K$17:$M$17),1)</f>
        <v>1</v>
      </c>
      <c r="AN1938" s="44">
        <f>(打分卡!$D$7*AC1938+打分卡!$D$8*AD1938+打分卡!$D$9*AE1938)/5</f>
        <v>8</v>
      </c>
      <c r="AO1938" s="44">
        <f>(打分卡!$D$10*AF1938+打分卡!$D$11*AG1938)/5</f>
        <v>4</v>
      </c>
      <c r="AP1938" s="44">
        <f>(打分卡!$D$12*AH1938+打分卡!$D$13*AI1938+打分卡!$D$14*AJ1938+打分卡!$D$15*AK1938)/5</f>
        <v>8.8</v>
      </c>
      <c r="AQ1938" s="44">
        <f>(打分卡!$D$16*AL1938+打分卡!$D$17*AM1938)/5</f>
        <v>2</v>
      </c>
      <c r="AR1938" s="47">
        <f t="shared" si="242"/>
        <v>22.8</v>
      </c>
      <c r="AS1938" s="43" t="str">
        <f t="shared" si="243"/>
        <v>未激活</v>
      </c>
      <c r="AT1938" s="43" t="str">
        <f t="shared" si="244"/>
        <v>连续下降-预警</v>
      </c>
      <c r="AU1938" s="43" t="str">
        <f t="shared" si="245"/>
        <v>唤醒：短信模板+首充补贴</v>
      </c>
    </row>
    <row r="1939" ht="15" customHeight="1" spans="1:47">
      <c r="A1939" s="20" t="s">
        <v>4882</v>
      </c>
      <c r="B1939" s="22" t="s">
        <v>4883</v>
      </c>
      <c r="C1939" s="22" t="s">
        <v>218</v>
      </c>
      <c r="D1939" s="22" t="s">
        <v>202</v>
      </c>
      <c r="E1939" s="22" t="s">
        <v>181</v>
      </c>
      <c r="F1939" s="20" t="s">
        <v>1019</v>
      </c>
      <c r="G1939" s="22">
        <v>12</v>
      </c>
      <c r="H1939" s="22" t="s">
        <v>3535</v>
      </c>
      <c r="I1939" s="22" t="s">
        <v>302</v>
      </c>
      <c r="J1939" s="36">
        <v>0</v>
      </c>
      <c r="K1939" s="36">
        <v>0</v>
      </c>
      <c r="L1939" s="36">
        <v>0</v>
      </c>
      <c r="M1939" s="36">
        <f t="shared" si="240"/>
        <v>0</v>
      </c>
      <c r="N1939" s="34">
        <f t="shared" si="246"/>
        <v>0</v>
      </c>
      <c r="O1939" s="35">
        <f>SUM($M$2:M1939)</f>
        <v>190743600</v>
      </c>
      <c r="P1939" s="34">
        <f t="shared" si="247"/>
        <v>1</v>
      </c>
      <c r="Q1939" s="39">
        <v>0</v>
      </c>
      <c r="R1939" s="22">
        <v>0</v>
      </c>
      <c r="S1939" s="22">
        <v>0</v>
      </c>
      <c r="T1939" s="22">
        <v>0</v>
      </c>
      <c r="U1939" s="39">
        <v>2.2</v>
      </c>
      <c r="V1939" s="22">
        <v>15</v>
      </c>
      <c r="W1939" s="22">
        <v>2</v>
      </c>
      <c r="X1939" s="40">
        <v>13</v>
      </c>
      <c r="Y1939" s="22">
        <v>1</v>
      </c>
      <c r="Z1939" s="22">
        <v>0</v>
      </c>
      <c r="AA1939" s="22" t="s">
        <v>212</v>
      </c>
      <c r="AB1939" s="22" t="s">
        <v>220</v>
      </c>
      <c r="AC1939" s="42">
        <f>IFERROR(LOOKUP(M1939,打分卡!$F$7:$J$7,打分卡!$K$7:$O$7),1)</f>
        <v>1</v>
      </c>
      <c r="AD1939" s="42">
        <f>IFERROR(LOOKUP(S1939,打分卡!$F$8:$J$8,打分卡!$K$8:$O$8),1)</f>
        <v>1</v>
      </c>
      <c r="AE1939" s="42">
        <f>IFERROR(LOOKUP(T1939,打分卡!$F$9:$I$9,打分卡!$K$9:$N$9),1)</f>
        <v>1</v>
      </c>
      <c r="AF1939" s="42">
        <f>IFERROR(LOOKUP(Q1939,打分卡!$F$10:$J$10,打分卡!$K$10:$O$10),1)</f>
        <v>1</v>
      </c>
      <c r="AG1939" s="42">
        <f>IFERROR(LOOKUP(R1939,打分卡!$F$11:$J$11,打分卡!$K$11:$O$11),1)</f>
        <v>1</v>
      </c>
      <c r="AH1939" s="42">
        <f>IFERROR(LOOKUP(U1939,打分卡!$F$12:$J$12,打分卡!$K$12:$O$12),1)</f>
        <v>1</v>
      </c>
      <c r="AI1939" s="42">
        <f>IFERROR(LOOKUP(X1939,打分卡!$F$13:$J$13,打分卡!$K$13:$O$13),1)</f>
        <v>1</v>
      </c>
      <c r="AJ1939" s="42">
        <f>IFERROR(LOOKUP(Y1939,打分卡!$F$14:$J$14,打分卡!$K$14:$O$14),1)</f>
        <v>2</v>
      </c>
      <c r="AK1939" s="42">
        <f>IFERROR(LOOKUP(W1939,打分卡!$F$15:$J$15,打分卡!$K$15:$O$15),1)</f>
        <v>2</v>
      </c>
      <c r="AL1939" s="45">
        <f t="shared" si="241"/>
        <v>1</v>
      </c>
      <c r="AM1939" s="42">
        <f>IFERROR(LOOKUP(Z1939,打分卡!$F$17:$H$17,打分卡!$K$17:$M$17),1)</f>
        <v>1</v>
      </c>
      <c r="AN1939" s="46">
        <f>(打分卡!$D$7*AC1939+打分卡!$D$8*AD1939+打分卡!$D$9*AE1939)/5</f>
        <v>8</v>
      </c>
      <c r="AO1939" s="46">
        <f>(打分卡!$D$10*AF1939+打分卡!$D$11*AG1939)/5</f>
        <v>4</v>
      </c>
      <c r="AP1939" s="46">
        <f>(打分卡!$D$12*AH1939+打分卡!$D$13*AI1939+打分卡!$D$14*AJ1939+打分卡!$D$15*AK1939)/5</f>
        <v>8</v>
      </c>
      <c r="AQ1939" s="46">
        <f>(打分卡!$D$16*AL1939+打分卡!$D$17*AM1939)/5</f>
        <v>2</v>
      </c>
      <c r="AR1939" s="48">
        <f t="shared" si="242"/>
        <v>22</v>
      </c>
      <c r="AS1939" s="45" t="str">
        <f t="shared" si="243"/>
        <v>未激活</v>
      </c>
      <c r="AT1939" s="45" t="str">
        <f t="shared" si="244"/>
        <v>连续下降-预警</v>
      </c>
      <c r="AU1939" s="45" t="str">
        <f t="shared" si="245"/>
        <v>唤醒：短信模板+首充补贴</v>
      </c>
    </row>
    <row r="1940" ht="15" customHeight="1" spans="1:47">
      <c r="A1940" s="30" t="s">
        <v>4884</v>
      </c>
      <c r="B1940" s="31" t="s">
        <v>4885</v>
      </c>
      <c r="C1940" s="31" t="s">
        <v>223</v>
      </c>
      <c r="D1940" s="31" t="s">
        <v>202</v>
      </c>
      <c r="E1940" s="31" t="s">
        <v>197</v>
      </c>
      <c r="F1940" s="30" t="s">
        <v>4886</v>
      </c>
      <c r="G1940" s="31">
        <v>28</v>
      </c>
      <c r="H1940" s="31" t="s">
        <v>3535</v>
      </c>
      <c r="I1940" s="31" t="s">
        <v>302</v>
      </c>
      <c r="J1940" s="33">
        <v>0</v>
      </c>
      <c r="K1940" s="33">
        <v>0</v>
      </c>
      <c r="L1940" s="33">
        <v>0</v>
      </c>
      <c r="M1940" s="33">
        <f t="shared" si="240"/>
        <v>0</v>
      </c>
      <c r="N1940" s="34">
        <f t="shared" si="246"/>
        <v>0</v>
      </c>
      <c r="O1940" s="35">
        <f>SUM($M$2:M1940)</f>
        <v>190743600</v>
      </c>
      <c r="P1940" s="34">
        <f t="shared" si="247"/>
        <v>1</v>
      </c>
      <c r="Q1940" s="37">
        <v>0</v>
      </c>
      <c r="R1940" s="31">
        <v>0</v>
      </c>
      <c r="S1940" s="31">
        <v>0</v>
      </c>
      <c r="T1940" s="31">
        <v>0</v>
      </c>
      <c r="U1940" s="37">
        <v>0.6</v>
      </c>
      <c r="V1940" s="31">
        <v>0</v>
      </c>
      <c r="W1940" s="31">
        <v>0</v>
      </c>
      <c r="X1940" s="38">
        <v>26</v>
      </c>
      <c r="Y1940" s="31">
        <v>1</v>
      </c>
      <c r="Z1940" s="31">
        <v>0</v>
      </c>
      <c r="AA1940" s="31" t="s">
        <v>212</v>
      </c>
      <c r="AB1940" s="31" t="s">
        <v>220</v>
      </c>
      <c r="AC1940" s="41">
        <f>IFERROR(LOOKUP(M1940,打分卡!$F$7:$J$7,打分卡!$K$7:$O$7),1)</f>
        <v>1</v>
      </c>
      <c r="AD1940" s="41">
        <f>IFERROR(LOOKUP(S1940,打分卡!$F$8:$J$8,打分卡!$K$8:$O$8),1)</f>
        <v>1</v>
      </c>
      <c r="AE1940" s="41">
        <f>IFERROR(LOOKUP(T1940,打分卡!$F$9:$I$9,打分卡!$K$9:$N$9),1)</f>
        <v>1</v>
      </c>
      <c r="AF1940" s="41">
        <f>IFERROR(LOOKUP(Q1940,打分卡!$F$10:$J$10,打分卡!$K$10:$O$10),1)</f>
        <v>1</v>
      </c>
      <c r="AG1940" s="41">
        <f>IFERROR(LOOKUP(R1940,打分卡!$F$11:$J$11,打分卡!$K$11:$O$11),1)</f>
        <v>1</v>
      </c>
      <c r="AH1940" s="41">
        <f>IFERROR(LOOKUP(U1940,打分卡!$F$12:$J$12,打分卡!$K$12:$O$12),1)</f>
        <v>1</v>
      </c>
      <c r="AI1940" s="41">
        <f>IFERROR(LOOKUP(X1940,打分卡!$F$13:$J$13,打分卡!$K$13:$O$13),1)</f>
        <v>2</v>
      </c>
      <c r="AJ1940" s="41">
        <f>IFERROR(LOOKUP(Y1940,打分卡!$F$14:$J$14,打分卡!$K$14:$O$14),1)</f>
        <v>2</v>
      </c>
      <c r="AK1940" s="41">
        <f>IFERROR(LOOKUP(W1940,打分卡!$F$15:$J$15,打分卡!$K$15:$O$15),1)</f>
        <v>1</v>
      </c>
      <c r="AL1940" s="43">
        <f t="shared" si="241"/>
        <v>1</v>
      </c>
      <c r="AM1940" s="41">
        <f>IFERROR(LOOKUP(Z1940,打分卡!$F$17:$H$17,打分卡!$K$17:$M$17),1)</f>
        <v>1</v>
      </c>
      <c r="AN1940" s="44">
        <f>(打分卡!$D$7*AC1940+打分卡!$D$8*AD1940+打分卡!$D$9*AE1940)/5</f>
        <v>8</v>
      </c>
      <c r="AO1940" s="44">
        <f>(打分卡!$D$10*AF1940+打分卡!$D$11*AG1940)/5</f>
        <v>4</v>
      </c>
      <c r="AP1940" s="44">
        <f>(打分卡!$D$12*AH1940+打分卡!$D$13*AI1940+打分卡!$D$14*AJ1940+打分卡!$D$15*AK1940)/5</f>
        <v>8.8</v>
      </c>
      <c r="AQ1940" s="44">
        <f>(打分卡!$D$16*AL1940+打分卡!$D$17*AM1940)/5</f>
        <v>2</v>
      </c>
      <c r="AR1940" s="47">
        <f t="shared" si="242"/>
        <v>22.8</v>
      </c>
      <c r="AS1940" s="43" t="str">
        <f t="shared" si="243"/>
        <v>未激活</v>
      </c>
      <c r="AT1940" s="43" t="str">
        <f t="shared" si="244"/>
        <v>连续下降-预警</v>
      </c>
      <c r="AU1940" s="43" t="str">
        <f t="shared" si="245"/>
        <v>唤醒：短信模板+首充补贴</v>
      </c>
    </row>
    <row r="1941" ht="15" customHeight="1" spans="1:47">
      <c r="A1941" s="20" t="s">
        <v>4887</v>
      </c>
      <c r="B1941" s="22" t="s">
        <v>4888</v>
      </c>
      <c r="C1941" s="22" t="s">
        <v>189</v>
      </c>
      <c r="D1941" s="22" t="s">
        <v>235</v>
      </c>
      <c r="E1941" s="22" t="s">
        <v>181</v>
      </c>
      <c r="F1941" s="20" t="s">
        <v>1175</v>
      </c>
      <c r="G1941" s="22">
        <v>15</v>
      </c>
      <c r="H1941" s="22" t="s">
        <v>3535</v>
      </c>
      <c r="I1941" s="22" t="s">
        <v>302</v>
      </c>
      <c r="J1941" s="36">
        <v>0</v>
      </c>
      <c r="K1941" s="36">
        <v>0</v>
      </c>
      <c r="L1941" s="36">
        <v>0</v>
      </c>
      <c r="M1941" s="36">
        <f t="shared" si="240"/>
        <v>0</v>
      </c>
      <c r="N1941" s="34">
        <f t="shared" si="246"/>
        <v>0</v>
      </c>
      <c r="O1941" s="35">
        <f>SUM($M$2:M1941)</f>
        <v>190743600</v>
      </c>
      <c r="P1941" s="34">
        <f t="shared" si="247"/>
        <v>1</v>
      </c>
      <c r="Q1941" s="39">
        <v>0</v>
      </c>
      <c r="R1941" s="22">
        <v>0</v>
      </c>
      <c r="S1941" s="22">
        <v>0</v>
      </c>
      <c r="T1941" s="22">
        <v>0</v>
      </c>
      <c r="U1941" s="39">
        <v>44.7</v>
      </c>
      <c r="V1941" s="22">
        <v>1</v>
      </c>
      <c r="W1941" s="22">
        <v>2</v>
      </c>
      <c r="X1941" s="40">
        <v>77</v>
      </c>
      <c r="Y1941" s="22">
        <v>1</v>
      </c>
      <c r="Z1941" s="22">
        <v>0</v>
      </c>
      <c r="AA1941" s="22" t="s">
        <v>212</v>
      </c>
      <c r="AB1941" s="22" t="s">
        <v>220</v>
      </c>
      <c r="AC1941" s="42">
        <f>IFERROR(LOOKUP(M1941,打分卡!$F$7:$J$7,打分卡!$K$7:$O$7),1)</f>
        <v>1</v>
      </c>
      <c r="AD1941" s="42">
        <f>IFERROR(LOOKUP(S1941,打分卡!$F$8:$J$8,打分卡!$K$8:$O$8),1)</f>
        <v>1</v>
      </c>
      <c r="AE1941" s="42">
        <f>IFERROR(LOOKUP(T1941,打分卡!$F$9:$I$9,打分卡!$K$9:$N$9),1)</f>
        <v>1</v>
      </c>
      <c r="AF1941" s="42">
        <f>IFERROR(LOOKUP(Q1941,打分卡!$F$10:$J$10,打分卡!$K$10:$O$10),1)</f>
        <v>1</v>
      </c>
      <c r="AG1941" s="42">
        <f>IFERROR(LOOKUP(R1941,打分卡!$F$11:$J$11,打分卡!$K$11:$O$11),1)</f>
        <v>1</v>
      </c>
      <c r="AH1941" s="42">
        <f>IFERROR(LOOKUP(U1941,打分卡!$F$12:$J$12,打分卡!$K$12:$O$12),1)</f>
        <v>4</v>
      </c>
      <c r="AI1941" s="42">
        <f>IFERROR(LOOKUP(X1941,打分卡!$F$13:$J$13,打分卡!$K$13:$O$13),1)</f>
        <v>3</v>
      </c>
      <c r="AJ1941" s="42">
        <f>IFERROR(LOOKUP(Y1941,打分卡!$F$14:$J$14,打分卡!$K$14:$O$14),1)</f>
        <v>2</v>
      </c>
      <c r="AK1941" s="42">
        <f>IFERROR(LOOKUP(W1941,打分卡!$F$15:$J$15,打分卡!$K$15:$O$15),1)</f>
        <v>2</v>
      </c>
      <c r="AL1941" s="45">
        <f t="shared" si="241"/>
        <v>1</v>
      </c>
      <c r="AM1941" s="42">
        <f>IFERROR(LOOKUP(Z1941,打分卡!$F$17:$H$17,打分卡!$K$17:$M$17),1)</f>
        <v>1</v>
      </c>
      <c r="AN1941" s="46">
        <f>(打分卡!$D$7*AC1941+打分卡!$D$8*AD1941+打分卡!$D$9*AE1941)/5</f>
        <v>8</v>
      </c>
      <c r="AO1941" s="46">
        <f>(打分卡!$D$10*AF1941+打分卡!$D$11*AG1941)/5</f>
        <v>4</v>
      </c>
      <c r="AP1941" s="46">
        <f>(打分卡!$D$12*AH1941+打分卡!$D$13*AI1941+打分卡!$D$14*AJ1941+打分卡!$D$15*AK1941)/5</f>
        <v>18.4</v>
      </c>
      <c r="AQ1941" s="46">
        <f>(打分卡!$D$16*AL1941+打分卡!$D$17*AM1941)/5</f>
        <v>2</v>
      </c>
      <c r="AR1941" s="48">
        <f t="shared" si="242"/>
        <v>32.4</v>
      </c>
      <c r="AS1941" s="45" t="str">
        <f t="shared" si="243"/>
        <v>未激活</v>
      </c>
      <c r="AT1941" s="45" t="str">
        <f t="shared" si="244"/>
        <v>连续下降-预警</v>
      </c>
      <c r="AU1941" s="45" t="str">
        <f t="shared" si="245"/>
        <v>唤醒：短信模板+首充补贴</v>
      </c>
    </row>
    <row r="1942" ht="15" customHeight="1" spans="1:47">
      <c r="A1942" s="30" t="s">
        <v>4889</v>
      </c>
      <c r="B1942" s="31" t="s">
        <v>4890</v>
      </c>
      <c r="C1942" s="31" t="s">
        <v>189</v>
      </c>
      <c r="D1942" s="31" t="s">
        <v>196</v>
      </c>
      <c r="E1942" s="31" t="s">
        <v>181</v>
      </c>
      <c r="F1942" s="30" t="s">
        <v>4426</v>
      </c>
      <c r="G1942" s="31">
        <v>32</v>
      </c>
      <c r="H1942" s="31" t="s">
        <v>3535</v>
      </c>
      <c r="I1942" s="31" t="s">
        <v>302</v>
      </c>
      <c r="J1942" s="33">
        <v>0</v>
      </c>
      <c r="K1942" s="33">
        <v>0</v>
      </c>
      <c r="L1942" s="33">
        <v>0</v>
      </c>
      <c r="M1942" s="33">
        <f t="shared" si="240"/>
        <v>0</v>
      </c>
      <c r="N1942" s="34">
        <f t="shared" si="246"/>
        <v>0</v>
      </c>
      <c r="O1942" s="35">
        <f>SUM($M$2:M1942)</f>
        <v>190743600</v>
      </c>
      <c r="P1942" s="34">
        <f t="shared" si="247"/>
        <v>1</v>
      </c>
      <c r="Q1942" s="37">
        <v>0</v>
      </c>
      <c r="R1942" s="31">
        <v>0</v>
      </c>
      <c r="S1942" s="31">
        <v>0</v>
      </c>
      <c r="T1942" s="31">
        <v>0</v>
      </c>
      <c r="U1942" s="37">
        <v>11.3</v>
      </c>
      <c r="V1942" s="31">
        <v>11</v>
      </c>
      <c r="W1942" s="31">
        <v>1</v>
      </c>
      <c r="X1942" s="38">
        <v>6</v>
      </c>
      <c r="Y1942" s="31">
        <v>1</v>
      </c>
      <c r="Z1942" s="31">
        <v>0</v>
      </c>
      <c r="AA1942" s="31" t="s">
        <v>212</v>
      </c>
      <c r="AB1942" s="31" t="s">
        <v>220</v>
      </c>
      <c r="AC1942" s="41">
        <f>IFERROR(LOOKUP(M1942,打分卡!$F$7:$J$7,打分卡!$K$7:$O$7),1)</f>
        <v>1</v>
      </c>
      <c r="AD1942" s="41">
        <f>IFERROR(LOOKUP(S1942,打分卡!$F$8:$J$8,打分卡!$K$8:$O$8),1)</f>
        <v>1</v>
      </c>
      <c r="AE1942" s="41">
        <f>IFERROR(LOOKUP(T1942,打分卡!$F$9:$I$9,打分卡!$K$9:$N$9),1)</f>
        <v>1</v>
      </c>
      <c r="AF1942" s="41">
        <f>IFERROR(LOOKUP(Q1942,打分卡!$F$10:$J$10,打分卡!$K$10:$O$10),1)</f>
        <v>1</v>
      </c>
      <c r="AG1942" s="41">
        <f>IFERROR(LOOKUP(R1942,打分卡!$F$11:$J$11,打分卡!$K$11:$O$11),1)</f>
        <v>1</v>
      </c>
      <c r="AH1942" s="41">
        <f>IFERROR(LOOKUP(U1942,打分卡!$F$12:$J$12,打分卡!$K$12:$O$12),1)</f>
        <v>3</v>
      </c>
      <c r="AI1942" s="41">
        <f>IFERROR(LOOKUP(X1942,打分卡!$F$13:$J$13,打分卡!$K$13:$O$13),1)</f>
        <v>1</v>
      </c>
      <c r="AJ1942" s="41">
        <f>IFERROR(LOOKUP(Y1942,打分卡!$F$14:$J$14,打分卡!$K$14:$O$14),1)</f>
        <v>2</v>
      </c>
      <c r="AK1942" s="41">
        <f>IFERROR(LOOKUP(W1942,打分卡!$F$15:$J$15,打分卡!$K$15:$O$15),1)</f>
        <v>2</v>
      </c>
      <c r="AL1942" s="43">
        <f t="shared" si="241"/>
        <v>1</v>
      </c>
      <c r="AM1942" s="41">
        <f>IFERROR(LOOKUP(Z1942,打分卡!$F$17:$H$17,打分卡!$K$17:$M$17),1)</f>
        <v>1</v>
      </c>
      <c r="AN1942" s="44">
        <f>(打分卡!$D$7*AC1942+打分卡!$D$8*AD1942+打分卡!$D$9*AE1942)/5</f>
        <v>8</v>
      </c>
      <c r="AO1942" s="44">
        <f>(打分卡!$D$10*AF1942+打分卡!$D$11*AG1942)/5</f>
        <v>4</v>
      </c>
      <c r="AP1942" s="44">
        <f>(打分卡!$D$12*AH1942+打分卡!$D$13*AI1942+打分卡!$D$14*AJ1942+打分卡!$D$15*AK1942)/5</f>
        <v>12.8</v>
      </c>
      <c r="AQ1942" s="44">
        <f>(打分卡!$D$16*AL1942+打分卡!$D$17*AM1942)/5</f>
        <v>2</v>
      </c>
      <c r="AR1942" s="47">
        <f t="shared" si="242"/>
        <v>26.8</v>
      </c>
      <c r="AS1942" s="43" t="str">
        <f t="shared" si="243"/>
        <v>未激活</v>
      </c>
      <c r="AT1942" s="43" t="str">
        <f t="shared" si="244"/>
        <v>连续下降-预警</v>
      </c>
      <c r="AU1942" s="43" t="str">
        <f t="shared" si="245"/>
        <v>唤醒：短信模板+首充补贴</v>
      </c>
    </row>
    <row r="1943" ht="15" customHeight="1" spans="1:47">
      <c r="A1943" s="20" t="s">
        <v>4891</v>
      </c>
      <c r="B1943" s="22" t="s">
        <v>4892</v>
      </c>
      <c r="C1943" s="22" t="s">
        <v>189</v>
      </c>
      <c r="D1943" s="22" t="s">
        <v>196</v>
      </c>
      <c r="E1943" s="22" t="s">
        <v>181</v>
      </c>
      <c r="F1943" s="20" t="s">
        <v>4893</v>
      </c>
      <c r="G1943" s="22">
        <v>35</v>
      </c>
      <c r="H1943" s="22" t="s">
        <v>3535</v>
      </c>
      <c r="I1943" s="22" t="s">
        <v>302</v>
      </c>
      <c r="J1943" s="36">
        <v>0</v>
      </c>
      <c r="K1943" s="36">
        <v>0</v>
      </c>
      <c r="L1943" s="36">
        <v>0</v>
      </c>
      <c r="M1943" s="36">
        <f t="shared" si="240"/>
        <v>0</v>
      </c>
      <c r="N1943" s="34">
        <f t="shared" si="246"/>
        <v>0</v>
      </c>
      <c r="O1943" s="35">
        <f>SUM($M$2:M1943)</f>
        <v>190743600</v>
      </c>
      <c r="P1943" s="34">
        <f t="shared" si="247"/>
        <v>1</v>
      </c>
      <c r="Q1943" s="39">
        <v>0</v>
      </c>
      <c r="R1943" s="22">
        <v>0</v>
      </c>
      <c r="S1943" s="22">
        <v>0</v>
      </c>
      <c r="T1943" s="22">
        <v>0</v>
      </c>
      <c r="U1943" s="39">
        <v>1.6</v>
      </c>
      <c r="V1943" s="22">
        <v>12</v>
      </c>
      <c r="W1943" s="22">
        <v>2</v>
      </c>
      <c r="X1943" s="40">
        <v>9</v>
      </c>
      <c r="Y1943" s="22">
        <v>0</v>
      </c>
      <c r="Z1943" s="22">
        <v>0</v>
      </c>
      <c r="AA1943" s="22" t="s">
        <v>212</v>
      </c>
      <c r="AB1943" s="22" t="s">
        <v>220</v>
      </c>
      <c r="AC1943" s="42">
        <f>IFERROR(LOOKUP(M1943,打分卡!$F$7:$J$7,打分卡!$K$7:$O$7),1)</f>
        <v>1</v>
      </c>
      <c r="AD1943" s="42">
        <f>IFERROR(LOOKUP(S1943,打分卡!$F$8:$J$8,打分卡!$K$8:$O$8),1)</f>
        <v>1</v>
      </c>
      <c r="AE1943" s="42">
        <f>IFERROR(LOOKUP(T1943,打分卡!$F$9:$I$9,打分卡!$K$9:$N$9),1)</f>
        <v>1</v>
      </c>
      <c r="AF1943" s="42">
        <f>IFERROR(LOOKUP(Q1943,打分卡!$F$10:$J$10,打分卡!$K$10:$O$10),1)</f>
        <v>1</v>
      </c>
      <c r="AG1943" s="42">
        <f>IFERROR(LOOKUP(R1943,打分卡!$F$11:$J$11,打分卡!$K$11:$O$11),1)</f>
        <v>1</v>
      </c>
      <c r="AH1943" s="42">
        <f>IFERROR(LOOKUP(U1943,打分卡!$F$12:$J$12,打分卡!$K$12:$O$12),1)</f>
        <v>1</v>
      </c>
      <c r="AI1943" s="42">
        <f>IFERROR(LOOKUP(X1943,打分卡!$F$13:$J$13,打分卡!$K$13:$O$13),1)</f>
        <v>1</v>
      </c>
      <c r="AJ1943" s="42">
        <f>IFERROR(LOOKUP(Y1943,打分卡!$F$14:$J$14,打分卡!$K$14:$O$14),1)</f>
        <v>1</v>
      </c>
      <c r="AK1943" s="42">
        <f>IFERROR(LOOKUP(W1943,打分卡!$F$15:$J$15,打分卡!$K$15:$O$15),1)</f>
        <v>2</v>
      </c>
      <c r="AL1943" s="45">
        <f t="shared" si="241"/>
        <v>1</v>
      </c>
      <c r="AM1943" s="42">
        <f>IFERROR(LOOKUP(Z1943,打分卡!$F$17:$H$17,打分卡!$K$17:$M$17),1)</f>
        <v>1</v>
      </c>
      <c r="AN1943" s="46">
        <f>(打分卡!$D$7*AC1943+打分卡!$D$8*AD1943+打分卡!$D$9*AE1943)/5</f>
        <v>8</v>
      </c>
      <c r="AO1943" s="46">
        <f>(打分卡!$D$10*AF1943+打分卡!$D$11*AG1943)/5</f>
        <v>4</v>
      </c>
      <c r="AP1943" s="46">
        <f>(打分卡!$D$12*AH1943+打分卡!$D$13*AI1943+打分卡!$D$14*AJ1943+打分卡!$D$15*AK1943)/5</f>
        <v>6.8</v>
      </c>
      <c r="AQ1943" s="46">
        <f>(打分卡!$D$16*AL1943+打分卡!$D$17*AM1943)/5</f>
        <v>2</v>
      </c>
      <c r="AR1943" s="48">
        <f t="shared" si="242"/>
        <v>20.8</v>
      </c>
      <c r="AS1943" s="45" t="str">
        <f t="shared" si="243"/>
        <v>未激活</v>
      </c>
      <c r="AT1943" s="45" t="str">
        <f t="shared" si="244"/>
        <v>连续下降-预警</v>
      </c>
      <c r="AU1943" s="45" t="str">
        <f t="shared" si="245"/>
        <v>唤醒：短信模板+首充补贴</v>
      </c>
    </row>
    <row r="1944" ht="15" customHeight="1" spans="1:47">
      <c r="A1944" s="30" t="s">
        <v>4894</v>
      </c>
      <c r="B1944" s="31" t="s">
        <v>4895</v>
      </c>
      <c r="C1944" s="31" t="s">
        <v>239</v>
      </c>
      <c r="D1944" s="31" t="s">
        <v>202</v>
      </c>
      <c r="E1944" s="31" t="s">
        <v>181</v>
      </c>
      <c r="F1944" s="30" t="s">
        <v>2431</v>
      </c>
      <c r="G1944" s="31">
        <v>12</v>
      </c>
      <c r="H1944" s="31" t="s">
        <v>3535</v>
      </c>
      <c r="I1944" s="31" t="s">
        <v>302</v>
      </c>
      <c r="J1944" s="33">
        <v>0</v>
      </c>
      <c r="K1944" s="33">
        <v>0</v>
      </c>
      <c r="L1944" s="33">
        <v>0</v>
      </c>
      <c r="M1944" s="33">
        <f t="shared" si="240"/>
        <v>0</v>
      </c>
      <c r="N1944" s="34">
        <f t="shared" si="246"/>
        <v>0</v>
      </c>
      <c r="O1944" s="35">
        <f>SUM($M$2:M1944)</f>
        <v>190743600</v>
      </c>
      <c r="P1944" s="34">
        <f t="shared" si="247"/>
        <v>1</v>
      </c>
      <c r="Q1944" s="37">
        <v>0</v>
      </c>
      <c r="R1944" s="31">
        <v>0</v>
      </c>
      <c r="S1944" s="31">
        <v>0</v>
      </c>
      <c r="T1944" s="31">
        <v>0</v>
      </c>
      <c r="U1944" s="37">
        <v>21.6</v>
      </c>
      <c r="V1944" s="31">
        <v>15</v>
      </c>
      <c r="W1944" s="31">
        <v>0</v>
      </c>
      <c r="X1944" s="38">
        <v>39</v>
      </c>
      <c r="Y1944" s="31">
        <v>0</v>
      </c>
      <c r="Z1944" s="31">
        <v>0</v>
      </c>
      <c r="AA1944" s="31" t="s">
        <v>212</v>
      </c>
      <c r="AB1944" s="31" t="s">
        <v>220</v>
      </c>
      <c r="AC1944" s="41">
        <f>IFERROR(LOOKUP(M1944,打分卡!$F$7:$J$7,打分卡!$K$7:$O$7),1)</f>
        <v>1</v>
      </c>
      <c r="AD1944" s="41">
        <f>IFERROR(LOOKUP(S1944,打分卡!$F$8:$J$8,打分卡!$K$8:$O$8),1)</f>
        <v>1</v>
      </c>
      <c r="AE1944" s="41">
        <f>IFERROR(LOOKUP(T1944,打分卡!$F$9:$I$9,打分卡!$K$9:$N$9),1)</f>
        <v>1</v>
      </c>
      <c r="AF1944" s="41">
        <f>IFERROR(LOOKUP(Q1944,打分卡!$F$10:$J$10,打分卡!$K$10:$O$10),1)</f>
        <v>1</v>
      </c>
      <c r="AG1944" s="41">
        <f>IFERROR(LOOKUP(R1944,打分卡!$F$11:$J$11,打分卡!$K$11:$O$11),1)</f>
        <v>1</v>
      </c>
      <c r="AH1944" s="41">
        <f>IFERROR(LOOKUP(U1944,打分卡!$F$12:$J$12,打分卡!$K$12:$O$12),1)</f>
        <v>3</v>
      </c>
      <c r="AI1944" s="41">
        <f>IFERROR(LOOKUP(X1944,打分卡!$F$13:$J$13,打分卡!$K$13:$O$13),1)</f>
        <v>3</v>
      </c>
      <c r="AJ1944" s="41">
        <f>IFERROR(LOOKUP(Y1944,打分卡!$F$14:$J$14,打分卡!$K$14:$O$14),1)</f>
        <v>1</v>
      </c>
      <c r="AK1944" s="41">
        <f>IFERROR(LOOKUP(W1944,打分卡!$F$15:$J$15,打分卡!$K$15:$O$15),1)</f>
        <v>1</v>
      </c>
      <c r="AL1944" s="43">
        <f t="shared" si="241"/>
        <v>1</v>
      </c>
      <c r="AM1944" s="41">
        <f>IFERROR(LOOKUP(Z1944,打分卡!$F$17:$H$17,打分卡!$K$17:$M$17),1)</f>
        <v>1</v>
      </c>
      <c r="AN1944" s="44">
        <f>(打分卡!$D$7*AC1944+打分卡!$D$8*AD1944+打分卡!$D$9*AE1944)/5</f>
        <v>8</v>
      </c>
      <c r="AO1944" s="44">
        <f>(打分卡!$D$10*AF1944+打分卡!$D$11*AG1944)/5</f>
        <v>4</v>
      </c>
      <c r="AP1944" s="44">
        <f>(打分卡!$D$12*AH1944+打分卡!$D$13*AI1944+打分卡!$D$14*AJ1944+打分卡!$D$15*AK1944)/5</f>
        <v>14</v>
      </c>
      <c r="AQ1944" s="44">
        <f>(打分卡!$D$16*AL1944+打分卡!$D$17*AM1944)/5</f>
        <v>2</v>
      </c>
      <c r="AR1944" s="47">
        <f t="shared" si="242"/>
        <v>28</v>
      </c>
      <c r="AS1944" s="43" t="str">
        <f t="shared" si="243"/>
        <v>未激活</v>
      </c>
      <c r="AT1944" s="43" t="str">
        <f t="shared" si="244"/>
        <v>连续下降-预警</v>
      </c>
      <c r="AU1944" s="43" t="str">
        <f t="shared" si="245"/>
        <v>唤醒：短信模板+首充补贴</v>
      </c>
    </row>
    <row r="1945" ht="15" customHeight="1" spans="1:47">
      <c r="A1945" s="20" t="s">
        <v>4896</v>
      </c>
      <c r="B1945" s="22" t="s">
        <v>4897</v>
      </c>
      <c r="C1945" s="22" t="s">
        <v>239</v>
      </c>
      <c r="D1945" s="22" t="s">
        <v>202</v>
      </c>
      <c r="E1945" s="22" t="s">
        <v>181</v>
      </c>
      <c r="F1945" s="20" t="s">
        <v>3686</v>
      </c>
      <c r="G1945" s="22">
        <v>33</v>
      </c>
      <c r="H1945" s="22" t="s">
        <v>3535</v>
      </c>
      <c r="I1945" s="22" t="s">
        <v>302</v>
      </c>
      <c r="J1945" s="36">
        <v>0</v>
      </c>
      <c r="K1945" s="36">
        <v>0</v>
      </c>
      <c r="L1945" s="36">
        <v>0</v>
      </c>
      <c r="M1945" s="36">
        <f t="shared" si="240"/>
        <v>0</v>
      </c>
      <c r="N1945" s="34">
        <f t="shared" si="246"/>
        <v>0</v>
      </c>
      <c r="O1945" s="35">
        <f>SUM($M$2:M1945)</f>
        <v>190743600</v>
      </c>
      <c r="P1945" s="34">
        <f t="shared" si="247"/>
        <v>1</v>
      </c>
      <c r="Q1945" s="39">
        <v>0</v>
      </c>
      <c r="R1945" s="22">
        <v>0</v>
      </c>
      <c r="S1945" s="22">
        <v>0</v>
      </c>
      <c r="T1945" s="22">
        <v>0</v>
      </c>
      <c r="U1945" s="39">
        <v>12</v>
      </c>
      <c r="V1945" s="22">
        <v>13</v>
      </c>
      <c r="W1945" s="22">
        <v>0</v>
      </c>
      <c r="X1945" s="40">
        <v>64</v>
      </c>
      <c r="Y1945" s="22">
        <v>0</v>
      </c>
      <c r="Z1945" s="22">
        <v>0</v>
      </c>
      <c r="AA1945" s="22" t="s">
        <v>212</v>
      </c>
      <c r="AB1945" s="22" t="s">
        <v>220</v>
      </c>
      <c r="AC1945" s="42">
        <f>IFERROR(LOOKUP(M1945,打分卡!$F$7:$J$7,打分卡!$K$7:$O$7),1)</f>
        <v>1</v>
      </c>
      <c r="AD1945" s="42">
        <f>IFERROR(LOOKUP(S1945,打分卡!$F$8:$J$8,打分卡!$K$8:$O$8),1)</f>
        <v>1</v>
      </c>
      <c r="AE1945" s="42">
        <f>IFERROR(LOOKUP(T1945,打分卡!$F$9:$I$9,打分卡!$K$9:$N$9),1)</f>
        <v>1</v>
      </c>
      <c r="AF1945" s="42">
        <f>IFERROR(LOOKUP(Q1945,打分卡!$F$10:$J$10,打分卡!$K$10:$O$10),1)</f>
        <v>1</v>
      </c>
      <c r="AG1945" s="42">
        <f>IFERROR(LOOKUP(R1945,打分卡!$F$11:$J$11,打分卡!$K$11:$O$11),1)</f>
        <v>1</v>
      </c>
      <c r="AH1945" s="42">
        <f>IFERROR(LOOKUP(U1945,打分卡!$F$12:$J$12,打分卡!$K$12:$O$12),1)</f>
        <v>3</v>
      </c>
      <c r="AI1945" s="42">
        <f>IFERROR(LOOKUP(X1945,打分卡!$F$13:$J$13,打分卡!$K$13:$O$13),1)</f>
        <v>3</v>
      </c>
      <c r="AJ1945" s="42">
        <f>IFERROR(LOOKUP(Y1945,打分卡!$F$14:$J$14,打分卡!$K$14:$O$14),1)</f>
        <v>1</v>
      </c>
      <c r="AK1945" s="42">
        <f>IFERROR(LOOKUP(W1945,打分卡!$F$15:$J$15,打分卡!$K$15:$O$15),1)</f>
        <v>1</v>
      </c>
      <c r="AL1945" s="45">
        <f t="shared" si="241"/>
        <v>1</v>
      </c>
      <c r="AM1945" s="42">
        <f>IFERROR(LOOKUP(Z1945,打分卡!$F$17:$H$17,打分卡!$K$17:$M$17),1)</f>
        <v>1</v>
      </c>
      <c r="AN1945" s="46">
        <f>(打分卡!$D$7*AC1945+打分卡!$D$8*AD1945+打分卡!$D$9*AE1945)/5</f>
        <v>8</v>
      </c>
      <c r="AO1945" s="46">
        <f>(打分卡!$D$10*AF1945+打分卡!$D$11*AG1945)/5</f>
        <v>4</v>
      </c>
      <c r="AP1945" s="46">
        <f>(打分卡!$D$12*AH1945+打分卡!$D$13*AI1945+打分卡!$D$14*AJ1945+打分卡!$D$15*AK1945)/5</f>
        <v>14</v>
      </c>
      <c r="AQ1945" s="46">
        <f>(打分卡!$D$16*AL1945+打分卡!$D$17*AM1945)/5</f>
        <v>2</v>
      </c>
      <c r="AR1945" s="48">
        <f t="shared" si="242"/>
        <v>28</v>
      </c>
      <c r="AS1945" s="45" t="str">
        <f t="shared" si="243"/>
        <v>未激活</v>
      </c>
      <c r="AT1945" s="45" t="str">
        <f t="shared" si="244"/>
        <v>连续下降-预警</v>
      </c>
      <c r="AU1945" s="45" t="str">
        <f t="shared" si="245"/>
        <v>唤醒：短信模板+首充补贴</v>
      </c>
    </row>
    <row r="1946" ht="15" customHeight="1" spans="1:47">
      <c r="A1946" s="30" t="s">
        <v>4898</v>
      </c>
      <c r="B1946" s="31" t="s">
        <v>4899</v>
      </c>
      <c r="C1946" s="31" t="s">
        <v>189</v>
      </c>
      <c r="D1946" s="31" t="s">
        <v>235</v>
      </c>
      <c r="E1946" s="31" t="s">
        <v>181</v>
      </c>
      <c r="F1946" s="30" t="s">
        <v>4900</v>
      </c>
      <c r="G1946" s="31">
        <v>31</v>
      </c>
      <c r="H1946" s="31" t="s">
        <v>3535</v>
      </c>
      <c r="I1946" s="31" t="s">
        <v>302</v>
      </c>
      <c r="J1946" s="33">
        <v>0</v>
      </c>
      <c r="K1946" s="33">
        <v>0</v>
      </c>
      <c r="L1946" s="33">
        <v>0</v>
      </c>
      <c r="M1946" s="33">
        <f t="shared" si="240"/>
        <v>0</v>
      </c>
      <c r="N1946" s="34">
        <f t="shared" si="246"/>
        <v>0</v>
      </c>
      <c r="O1946" s="35">
        <f>SUM($M$2:M1946)</f>
        <v>190743600</v>
      </c>
      <c r="P1946" s="34">
        <f t="shared" si="247"/>
        <v>1</v>
      </c>
      <c r="Q1946" s="37">
        <v>0</v>
      </c>
      <c r="R1946" s="31">
        <v>0</v>
      </c>
      <c r="S1946" s="31">
        <v>0</v>
      </c>
      <c r="T1946" s="31">
        <v>0</v>
      </c>
      <c r="U1946" s="37">
        <v>1.6</v>
      </c>
      <c r="V1946" s="31">
        <v>13</v>
      </c>
      <c r="W1946" s="31">
        <v>1</v>
      </c>
      <c r="X1946" s="38">
        <v>18</v>
      </c>
      <c r="Y1946" s="31">
        <v>0</v>
      </c>
      <c r="Z1946" s="31">
        <v>0</v>
      </c>
      <c r="AA1946" s="31" t="s">
        <v>212</v>
      </c>
      <c r="AB1946" s="31" t="s">
        <v>220</v>
      </c>
      <c r="AC1946" s="41">
        <f>IFERROR(LOOKUP(M1946,打分卡!$F$7:$J$7,打分卡!$K$7:$O$7),1)</f>
        <v>1</v>
      </c>
      <c r="AD1946" s="41">
        <f>IFERROR(LOOKUP(S1946,打分卡!$F$8:$J$8,打分卡!$K$8:$O$8),1)</f>
        <v>1</v>
      </c>
      <c r="AE1946" s="41">
        <f>IFERROR(LOOKUP(T1946,打分卡!$F$9:$I$9,打分卡!$K$9:$N$9),1)</f>
        <v>1</v>
      </c>
      <c r="AF1946" s="41">
        <f>IFERROR(LOOKUP(Q1946,打分卡!$F$10:$J$10,打分卡!$K$10:$O$10),1)</f>
        <v>1</v>
      </c>
      <c r="AG1946" s="41">
        <f>IFERROR(LOOKUP(R1946,打分卡!$F$11:$J$11,打分卡!$K$11:$O$11),1)</f>
        <v>1</v>
      </c>
      <c r="AH1946" s="41">
        <f>IFERROR(LOOKUP(U1946,打分卡!$F$12:$J$12,打分卡!$K$12:$O$12),1)</f>
        <v>1</v>
      </c>
      <c r="AI1946" s="41">
        <f>IFERROR(LOOKUP(X1946,打分卡!$F$13:$J$13,打分卡!$K$13:$O$13),1)</f>
        <v>2</v>
      </c>
      <c r="AJ1946" s="41">
        <f>IFERROR(LOOKUP(Y1946,打分卡!$F$14:$J$14,打分卡!$K$14:$O$14),1)</f>
        <v>1</v>
      </c>
      <c r="AK1946" s="41">
        <f>IFERROR(LOOKUP(W1946,打分卡!$F$15:$J$15,打分卡!$K$15:$O$15),1)</f>
        <v>2</v>
      </c>
      <c r="AL1946" s="43">
        <f t="shared" si="241"/>
        <v>1</v>
      </c>
      <c r="AM1946" s="41">
        <f>IFERROR(LOOKUP(Z1946,打分卡!$F$17:$H$17,打分卡!$K$17:$M$17),1)</f>
        <v>1</v>
      </c>
      <c r="AN1946" s="44">
        <f>(打分卡!$D$7*AC1946+打分卡!$D$8*AD1946+打分卡!$D$9*AE1946)/5</f>
        <v>8</v>
      </c>
      <c r="AO1946" s="44">
        <f>(打分卡!$D$10*AF1946+打分卡!$D$11*AG1946)/5</f>
        <v>4</v>
      </c>
      <c r="AP1946" s="44">
        <f>(打分卡!$D$12*AH1946+打分卡!$D$13*AI1946+打分卡!$D$14*AJ1946+打分卡!$D$15*AK1946)/5</f>
        <v>8.4</v>
      </c>
      <c r="AQ1946" s="44">
        <f>(打分卡!$D$16*AL1946+打分卡!$D$17*AM1946)/5</f>
        <v>2</v>
      </c>
      <c r="AR1946" s="47">
        <f t="shared" si="242"/>
        <v>22.4</v>
      </c>
      <c r="AS1946" s="43" t="str">
        <f t="shared" si="243"/>
        <v>未激活</v>
      </c>
      <c r="AT1946" s="43" t="str">
        <f t="shared" si="244"/>
        <v>连续下降-预警</v>
      </c>
      <c r="AU1946" s="43" t="str">
        <f t="shared" si="245"/>
        <v>唤醒：短信模板+首充补贴</v>
      </c>
    </row>
    <row r="1947" ht="15" customHeight="1" spans="1:47">
      <c r="A1947" s="20" t="s">
        <v>4901</v>
      </c>
      <c r="B1947" s="22" t="s">
        <v>4902</v>
      </c>
      <c r="C1947" s="22" t="s">
        <v>189</v>
      </c>
      <c r="D1947" s="22" t="s">
        <v>202</v>
      </c>
      <c r="E1947" s="22" t="s">
        <v>197</v>
      </c>
      <c r="F1947" s="20" t="s">
        <v>4903</v>
      </c>
      <c r="G1947" s="22">
        <v>29</v>
      </c>
      <c r="H1947" s="22" t="s">
        <v>3535</v>
      </c>
      <c r="I1947" s="22" t="s">
        <v>302</v>
      </c>
      <c r="J1947" s="36">
        <v>0</v>
      </c>
      <c r="K1947" s="36">
        <v>0</v>
      </c>
      <c r="L1947" s="36">
        <v>0</v>
      </c>
      <c r="M1947" s="36">
        <f t="shared" si="240"/>
        <v>0</v>
      </c>
      <c r="N1947" s="34">
        <f t="shared" si="246"/>
        <v>0</v>
      </c>
      <c r="O1947" s="35">
        <f>SUM($M$2:M1947)</f>
        <v>190743600</v>
      </c>
      <c r="P1947" s="34">
        <f t="shared" si="247"/>
        <v>1</v>
      </c>
      <c r="Q1947" s="39">
        <v>0</v>
      </c>
      <c r="R1947" s="22">
        <v>0</v>
      </c>
      <c r="S1947" s="22">
        <v>0</v>
      </c>
      <c r="T1947" s="22">
        <v>0</v>
      </c>
      <c r="U1947" s="39">
        <v>0.5</v>
      </c>
      <c r="V1947" s="22">
        <v>4</v>
      </c>
      <c r="W1947" s="22">
        <v>0</v>
      </c>
      <c r="X1947" s="40">
        <v>43</v>
      </c>
      <c r="Y1947" s="22">
        <v>0</v>
      </c>
      <c r="Z1947" s="22">
        <v>0</v>
      </c>
      <c r="AA1947" s="22" t="s">
        <v>212</v>
      </c>
      <c r="AB1947" s="22" t="s">
        <v>220</v>
      </c>
      <c r="AC1947" s="42">
        <f>IFERROR(LOOKUP(M1947,打分卡!$F$7:$J$7,打分卡!$K$7:$O$7),1)</f>
        <v>1</v>
      </c>
      <c r="AD1947" s="42">
        <f>IFERROR(LOOKUP(S1947,打分卡!$F$8:$J$8,打分卡!$K$8:$O$8),1)</f>
        <v>1</v>
      </c>
      <c r="AE1947" s="42">
        <f>IFERROR(LOOKUP(T1947,打分卡!$F$9:$I$9,打分卡!$K$9:$N$9),1)</f>
        <v>1</v>
      </c>
      <c r="AF1947" s="42">
        <f>IFERROR(LOOKUP(Q1947,打分卡!$F$10:$J$10,打分卡!$K$10:$O$10),1)</f>
        <v>1</v>
      </c>
      <c r="AG1947" s="42">
        <f>IFERROR(LOOKUP(R1947,打分卡!$F$11:$J$11,打分卡!$K$11:$O$11),1)</f>
        <v>1</v>
      </c>
      <c r="AH1947" s="42">
        <f>IFERROR(LOOKUP(U1947,打分卡!$F$12:$J$12,打分卡!$K$12:$O$12),1)</f>
        <v>1</v>
      </c>
      <c r="AI1947" s="42">
        <f>IFERROR(LOOKUP(X1947,打分卡!$F$13:$J$13,打分卡!$K$13:$O$13),1)</f>
        <v>3</v>
      </c>
      <c r="AJ1947" s="42">
        <f>IFERROR(LOOKUP(Y1947,打分卡!$F$14:$J$14,打分卡!$K$14:$O$14),1)</f>
        <v>1</v>
      </c>
      <c r="AK1947" s="42">
        <f>IFERROR(LOOKUP(W1947,打分卡!$F$15:$J$15,打分卡!$K$15:$O$15),1)</f>
        <v>1</v>
      </c>
      <c r="AL1947" s="45">
        <f t="shared" si="241"/>
        <v>1</v>
      </c>
      <c r="AM1947" s="42">
        <f>IFERROR(LOOKUP(Z1947,打分卡!$F$17:$H$17,打分卡!$K$17:$M$17),1)</f>
        <v>1</v>
      </c>
      <c r="AN1947" s="46">
        <f>(打分卡!$D$7*AC1947+打分卡!$D$8*AD1947+打分卡!$D$9*AE1947)/5</f>
        <v>8</v>
      </c>
      <c r="AO1947" s="46">
        <f>(打分卡!$D$10*AF1947+打分卡!$D$11*AG1947)/5</f>
        <v>4</v>
      </c>
      <c r="AP1947" s="46">
        <f>(打分卡!$D$12*AH1947+打分卡!$D$13*AI1947+打分卡!$D$14*AJ1947+打分卡!$D$15*AK1947)/5</f>
        <v>9.2</v>
      </c>
      <c r="AQ1947" s="46">
        <f>(打分卡!$D$16*AL1947+打分卡!$D$17*AM1947)/5</f>
        <v>2</v>
      </c>
      <c r="AR1947" s="48">
        <f t="shared" si="242"/>
        <v>23.2</v>
      </c>
      <c r="AS1947" s="45" t="str">
        <f t="shared" si="243"/>
        <v>未激活</v>
      </c>
      <c r="AT1947" s="45" t="str">
        <f t="shared" si="244"/>
        <v>连续下降-预警</v>
      </c>
      <c r="AU1947" s="45" t="str">
        <f t="shared" si="245"/>
        <v>唤醒：短信模板+首充补贴</v>
      </c>
    </row>
    <row r="1948" ht="15" customHeight="1" spans="1:47">
      <c r="A1948" s="30" t="s">
        <v>4904</v>
      </c>
      <c r="B1948" s="31" t="s">
        <v>4905</v>
      </c>
      <c r="C1948" s="31" t="s">
        <v>234</v>
      </c>
      <c r="D1948" s="31" t="s">
        <v>227</v>
      </c>
      <c r="E1948" s="31" t="s">
        <v>181</v>
      </c>
      <c r="F1948" s="30" t="s">
        <v>491</v>
      </c>
      <c r="G1948" s="31">
        <v>25</v>
      </c>
      <c r="H1948" s="31" t="s">
        <v>3535</v>
      </c>
      <c r="I1948" s="31" t="s">
        <v>302</v>
      </c>
      <c r="J1948" s="33">
        <v>0</v>
      </c>
      <c r="K1948" s="33">
        <v>0</v>
      </c>
      <c r="L1948" s="33">
        <v>0</v>
      </c>
      <c r="M1948" s="33">
        <f t="shared" si="240"/>
        <v>0</v>
      </c>
      <c r="N1948" s="34">
        <f t="shared" si="246"/>
        <v>0</v>
      </c>
      <c r="O1948" s="35">
        <f>SUM($M$2:M1948)</f>
        <v>190743600</v>
      </c>
      <c r="P1948" s="34">
        <f t="shared" si="247"/>
        <v>1</v>
      </c>
      <c r="Q1948" s="37">
        <v>0</v>
      </c>
      <c r="R1948" s="31">
        <v>0</v>
      </c>
      <c r="S1948" s="31">
        <v>0</v>
      </c>
      <c r="T1948" s="31">
        <v>0</v>
      </c>
      <c r="U1948" s="37">
        <v>28.7</v>
      </c>
      <c r="V1948" s="31">
        <v>8</v>
      </c>
      <c r="W1948" s="31">
        <v>2</v>
      </c>
      <c r="X1948" s="38">
        <v>6</v>
      </c>
      <c r="Y1948" s="31">
        <v>0</v>
      </c>
      <c r="Z1948" s="31">
        <v>0</v>
      </c>
      <c r="AA1948" s="31" t="s">
        <v>212</v>
      </c>
      <c r="AB1948" s="31" t="s">
        <v>220</v>
      </c>
      <c r="AC1948" s="41">
        <f>IFERROR(LOOKUP(M1948,打分卡!$F$7:$J$7,打分卡!$K$7:$O$7),1)</f>
        <v>1</v>
      </c>
      <c r="AD1948" s="41">
        <f>IFERROR(LOOKUP(S1948,打分卡!$F$8:$J$8,打分卡!$K$8:$O$8),1)</f>
        <v>1</v>
      </c>
      <c r="AE1948" s="41">
        <f>IFERROR(LOOKUP(T1948,打分卡!$F$9:$I$9,打分卡!$K$9:$N$9),1)</f>
        <v>1</v>
      </c>
      <c r="AF1948" s="41">
        <f>IFERROR(LOOKUP(Q1948,打分卡!$F$10:$J$10,打分卡!$K$10:$O$10),1)</f>
        <v>1</v>
      </c>
      <c r="AG1948" s="41">
        <f>IFERROR(LOOKUP(R1948,打分卡!$F$11:$J$11,打分卡!$K$11:$O$11),1)</f>
        <v>1</v>
      </c>
      <c r="AH1948" s="41">
        <f>IFERROR(LOOKUP(U1948,打分卡!$F$12:$J$12,打分卡!$K$12:$O$12),1)</f>
        <v>3</v>
      </c>
      <c r="AI1948" s="41">
        <f>IFERROR(LOOKUP(X1948,打分卡!$F$13:$J$13,打分卡!$K$13:$O$13),1)</f>
        <v>1</v>
      </c>
      <c r="AJ1948" s="41">
        <f>IFERROR(LOOKUP(Y1948,打分卡!$F$14:$J$14,打分卡!$K$14:$O$14),1)</f>
        <v>1</v>
      </c>
      <c r="AK1948" s="41">
        <f>IFERROR(LOOKUP(W1948,打分卡!$F$15:$J$15,打分卡!$K$15:$O$15),1)</f>
        <v>2</v>
      </c>
      <c r="AL1948" s="43">
        <f t="shared" si="241"/>
        <v>1</v>
      </c>
      <c r="AM1948" s="41">
        <f>IFERROR(LOOKUP(Z1948,打分卡!$F$17:$H$17,打分卡!$K$17:$M$17),1)</f>
        <v>1</v>
      </c>
      <c r="AN1948" s="44">
        <f>(打分卡!$D$7*AC1948+打分卡!$D$8*AD1948+打分卡!$D$9*AE1948)/5</f>
        <v>8</v>
      </c>
      <c r="AO1948" s="44">
        <f>(打分卡!$D$10*AF1948+打分卡!$D$11*AG1948)/5</f>
        <v>4</v>
      </c>
      <c r="AP1948" s="44">
        <f>(打分卡!$D$12*AH1948+打分卡!$D$13*AI1948+打分卡!$D$14*AJ1948+打分卡!$D$15*AK1948)/5</f>
        <v>11.6</v>
      </c>
      <c r="AQ1948" s="44">
        <f>(打分卡!$D$16*AL1948+打分卡!$D$17*AM1948)/5</f>
        <v>2</v>
      </c>
      <c r="AR1948" s="47">
        <f t="shared" si="242"/>
        <v>25.6</v>
      </c>
      <c r="AS1948" s="43" t="str">
        <f t="shared" si="243"/>
        <v>未激活</v>
      </c>
      <c r="AT1948" s="43" t="str">
        <f t="shared" si="244"/>
        <v>连续下降-预警</v>
      </c>
      <c r="AU1948" s="43" t="str">
        <f t="shared" si="245"/>
        <v>唤醒：短信模板+首充补贴</v>
      </c>
    </row>
    <row r="1949" ht="15" customHeight="1" spans="1:47">
      <c r="A1949" s="20" t="s">
        <v>4906</v>
      </c>
      <c r="B1949" s="22" t="s">
        <v>4907</v>
      </c>
      <c r="C1949" s="22" t="s">
        <v>209</v>
      </c>
      <c r="D1949" s="22" t="s">
        <v>202</v>
      </c>
      <c r="E1949" s="22" t="s">
        <v>197</v>
      </c>
      <c r="F1949" s="20" t="s">
        <v>3660</v>
      </c>
      <c r="G1949" s="22">
        <v>26</v>
      </c>
      <c r="H1949" s="22" t="s">
        <v>3535</v>
      </c>
      <c r="I1949" s="22" t="s">
        <v>302</v>
      </c>
      <c r="J1949" s="36">
        <v>0</v>
      </c>
      <c r="K1949" s="36">
        <v>0</v>
      </c>
      <c r="L1949" s="36">
        <v>0</v>
      </c>
      <c r="M1949" s="36">
        <f t="shared" si="240"/>
        <v>0</v>
      </c>
      <c r="N1949" s="34">
        <f t="shared" si="246"/>
        <v>0</v>
      </c>
      <c r="O1949" s="35">
        <f>SUM($M$2:M1949)</f>
        <v>190743600</v>
      </c>
      <c r="P1949" s="34">
        <f t="shared" si="247"/>
        <v>1</v>
      </c>
      <c r="Q1949" s="39">
        <v>0</v>
      </c>
      <c r="R1949" s="22">
        <v>0</v>
      </c>
      <c r="S1949" s="22">
        <v>0</v>
      </c>
      <c r="T1949" s="22">
        <v>0</v>
      </c>
      <c r="U1949" s="39">
        <v>1.8</v>
      </c>
      <c r="V1949" s="22">
        <v>13</v>
      </c>
      <c r="W1949" s="22">
        <v>1</v>
      </c>
      <c r="X1949" s="40">
        <v>23</v>
      </c>
      <c r="Y1949" s="22">
        <v>1</v>
      </c>
      <c r="Z1949" s="22">
        <v>0</v>
      </c>
      <c r="AA1949" s="22" t="s">
        <v>212</v>
      </c>
      <c r="AB1949" s="22" t="s">
        <v>220</v>
      </c>
      <c r="AC1949" s="42">
        <f>IFERROR(LOOKUP(M1949,打分卡!$F$7:$J$7,打分卡!$K$7:$O$7),1)</f>
        <v>1</v>
      </c>
      <c r="AD1949" s="42">
        <f>IFERROR(LOOKUP(S1949,打分卡!$F$8:$J$8,打分卡!$K$8:$O$8),1)</f>
        <v>1</v>
      </c>
      <c r="AE1949" s="42">
        <f>IFERROR(LOOKUP(T1949,打分卡!$F$9:$I$9,打分卡!$K$9:$N$9),1)</f>
        <v>1</v>
      </c>
      <c r="AF1949" s="42">
        <f>IFERROR(LOOKUP(Q1949,打分卡!$F$10:$J$10,打分卡!$K$10:$O$10),1)</f>
        <v>1</v>
      </c>
      <c r="AG1949" s="42">
        <f>IFERROR(LOOKUP(R1949,打分卡!$F$11:$J$11,打分卡!$K$11:$O$11),1)</f>
        <v>1</v>
      </c>
      <c r="AH1949" s="42">
        <f>IFERROR(LOOKUP(U1949,打分卡!$F$12:$J$12,打分卡!$K$12:$O$12),1)</f>
        <v>1</v>
      </c>
      <c r="AI1949" s="42">
        <f>IFERROR(LOOKUP(X1949,打分卡!$F$13:$J$13,打分卡!$K$13:$O$13),1)</f>
        <v>2</v>
      </c>
      <c r="AJ1949" s="42">
        <f>IFERROR(LOOKUP(Y1949,打分卡!$F$14:$J$14,打分卡!$K$14:$O$14),1)</f>
        <v>2</v>
      </c>
      <c r="AK1949" s="42">
        <f>IFERROR(LOOKUP(W1949,打分卡!$F$15:$J$15,打分卡!$K$15:$O$15),1)</f>
        <v>2</v>
      </c>
      <c r="AL1949" s="45">
        <f t="shared" si="241"/>
        <v>1</v>
      </c>
      <c r="AM1949" s="42">
        <f>IFERROR(LOOKUP(Z1949,打分卡!$F$17:$H$17,打分卡!$K$17:$M$17),1)</f>
        <v>1</v>
      </c>
      <c r="AN1949" s="46">
        <f>(打分卡!$D$7*AC1949+打分卡!$D$8*AD1949+打分卡!$D$9*AE1949)/5</f>
        <v>8</v>
      </c>
      <c r="AO1949" s="46">
        <f>(打分卡!$D$10*AF1949+打分卡!$D$11*AG1949)/5</f>
        <v>4</v>
      </c>
      <c r="AP1949" s="46">
        <f>(打分卡!$D$12*AH1949+打分卡!$D$13*AI1949+打分卡!$D$14*AJ1949+打分卡!$D$15*AK1949)/5</f>
        <v>9.6</v>
      </c>
      <c r="AQ1949" s="46">
        <f>(打分卡!$D$16*AL1949+打分卡!$D$17*AM1949)/5</f>
        <v>2</v>
      </c>
      <c r="AR1949" s="48">
        <f t="shared" si="242"/>
        <v>23.6</v>
      </c>
      <c r="AS1949" s="45" t="str">
        <f t="shared" si="243"/>
        <v>未激活</v>
      </c>
      <c r="AT1949" s="45" t="str">
        <f t="shared" si="244"/>
        <v>连续下降-预警</v>
      </c>
      <c r="AU1949" s="45" t="str">
        <f t="shared" si="245"/>
        <v>唤醒：短信模板+首充补贴</v>
      </c>
    </row>
    <row r="1950" ht="15" customHeight="1" spans="1:47">
      <c r="A1950" s="30" t="s">
        <v>4908</v>
      </c>
      <c r="B1950" s="31" t="s">
        <v>4909</v>
      </c>
      <c r="C1950" s="31" t="s">
        <v>189</v>
      </c>
      <c r="D1950" s="31" t="s">
        <v>252</v>
      </c>
      <c r="E1950" s="31" t="s">
        <v>181</v>
      </c>
      <c r="F1950" s="30" t="s">
        <v>4910</v>
      </c>
      <c r="G1950" s="31">
        <v>26</v>
      </c>
      <c r="H1950" s="31" t="s">
        <v>3535</v>
      </c>
      <c r="I1950" s="31" t="s">
        <v>302</v>
      </c>
      <c r="J1950" s="33">
        <v>0</v>
      </c>
      <c r="K1950" s="33">
        <v>0</v>
      </c>
      <c r="L1950" s="33">
        <v>0</v>
      </c>
      <c r="M1950" s="33">
        <f t="shared" si="240"/>
        <v>0</v>
      </c>
      <c r="N1950" s="34">
        <f t="shared" si="246"/>
        <v>0</v>
      </c>
      <c r="O1950" s="35">
        <f>SUM($M$2:M1950)</f>
        <v>190743600</v>
      </c>
      <c r="P1950" s="34">
        <f t="shared" si="247"/>
        <v>1</v>
      </c>
      <c r="Q1950" s="37">
        <v>0</v>
      </c>
      <c r="R1950" s="31">
        <v>0</v>
      </c>
      <c r="S1950" s="31">
        <v>0</v>
      </c>
      <c r="T1950" s="31">
        <v>0</v>
      </c>
      <c r="U1950" s="37">
        <v>0.7</v>
      </c>
      <c r="V1950" s="31">
        <v>0</v>
      </c>
      <c r="W1950" s="31">
        <v>1</v>
      </c>
      <c r="X1950" s="38">
        <v>23</v>
      </c>
      <c r="Y1950" s="31">
        <v>1</v>
      </c>
      <c r="Z1950" s="31">
        <v>0</v>
      </c>
      <c r="AA1950" s="31" t="s">
        <v>212</v>
      </c>
      <c r="AB1950" s="31" t="s">
        <v>220</v>
      </c>
      <c r="AC1950" s="41">
        <f>IFERROR(LOOKUP(M1950,打分卡!$F$7:$J$7,打分卡!$K$7:$O$7),1)</f>
        <v>1</v>
      </c>
      <c r="AD1950" s="41">
        <f>IFERROR(LOOKUP(S1950,打分卡!$F$8:$J$8,打分卡!$K$8:$O$8),1)</f>
        <v>1</v>
      </c>
      <c r="AE1950" s="41">
        <f>IFERROR(LOOKUP(T1950,打分卡!$F$9:$I$9,打分卡!$K$9:$N$9),1)</f>
        <v>1</v>
      </c>
      <c r="AF1950" s="41">
        <f>IFERROR(LOOKUP(Q1950,打分卡!$F$10:$J$10,打分卡!$K$10:$O$10),1)</f>
        <v>1</v>
      </c>
      <c r="AG1950" s="41">
        <f>IFERROR(LOOKUP(R1950,打分卡!$F$11:$J$11,打分卡!$K$11:$O$11),1)</f>
        <v>1</v>
      </c>
      <c r="AH1950" s="41">
        <f>IFERROR(LOOKUP(U1950,打分卡!$F$12:$J$12,打分卡!$K$12:$O$12),1)</f>
        <v>1</v>
      </c>
      <c r="AI1950" s="41">
        <f>IFERROR(LOOKUP(X1950,打分卡!$F$13:$J$13,打分卡!$K$13:$O$13),1)</f>
        <v>2</v>
      </c>
      <c r="AJ1950" s="41">
        <f>IFERROR(LOOKUP(Y1950,打分卡!$F$14:$J$14,打分卡!$K$14:$O$14),1)</f>
        <v>2</v>
      </c>
      <c r="AK1950" s="41">
        <f>IFERROR(LOOKUP(W1950,打分卡!$F$15:$J$15,打分卡!$K$15:$O$15),1)</f>
        <v>2</v>
      </c>
      <c r="AL1950" s="43">
        <f t="shared" si="241"/>
        <v>1</v>
      </c>
      <c r="AM1950" s="41">
        <f>IFERROR(LOOKUP(Z1950,打分卡!$F$17:$H$17,打分卡!$K$17:$M$17),1)</f>
        <v>1</v>
      </c>
      <c r="AN1950" s="44">
        <f>(打分卡!$D$7*AC1950+打分卡!$D$8*AD1950+打分卡!$D$9*AE1950)/5</f>
        <v>8</v>
      </c>
      <c r="AO1950" s="44">
        <f>(打分卡!$D$10*AF1950+打分卡!$D$11*AG1950)/5</f>
        <v>4</v>
      </c>
      <c r="AP1950" s="44">
        <f>(打分卡!$D$12*AH1950+打分卡!$D$13*AI1950+打分卡!$D$14*AJ1950+打分卡!$D$15*AK1950)/5</f>
        <v>9.6</v>
      </c>
      <c r="AQ1950" s="44">
        <f>(打分卡!$D$16*AL1950+打分卡!$D$17*AM1950)/5</f>
        <v>2</v>
      </c>
      <c r="AR1950" s="47">
        <f t="shared" si="242"/>
        <v>23.6</v>
      </c>
      <c r="AS1950" s="43" t="str">
        <f t="shared" si="243"/>
        <v>未激活</v>
      </c>
      <c r="AT1950" s="43" t="str">
        <f t="shared" si="244"/>
        <v>连续下降-预警</v>
      </c>
      <c r="AU1950" s="43" t="str">
        <f t="shared" si="245"/>
        <v>唤醒：短信模板+首充补贴</v>
      </c>
    </row>
    <row r="1951" ht="15" customHeight="1" spans="1:47">
      <c r="A1951" s="20" t="s">
        <v>4911</v>
      </c>
      <c r="B1951" s="22" t="s">
        <v>4912</v>
      </c>
      <c r="C1951" s="22" t="s">
        <v>179</v>
      </c>
      <c r="D1951" s="22" t="s">
        <v>196</v>
      </c>
      <c r="E1951" s="22" t="s">
        <v>181</v>
      </c>
      <c r="F1951" s="20" t="s">
        <v>3891</v>
      </c>
      <c r="G1951" s="22">
        <v>36</v>
      </c>
      <c r="H1951" s="22" t="s">
        <v>3535</v>
      </c>
      <c r="I1951" s="22" t="s">
        <v>302</v>
      </c>
      <c r="J1951" s="36">
        <v>0</v>
      </c>
      <c r="K1951" s="36">
        <v>0</v>
      </c>
      <c r="L1951" s="36">
        <v>0</v>
      </c>
      <c r="M1951" s="36">
        <f t="shared" si="240"/>
        <v>0</v>
      </c>
      <c r="N1951" s="34">
        <f t="shared" si="246"/>
        <v>0</v>
      </c>
      <c r="O1951" s="35">
        <f>SUM($M$2:M1951)</f>
        <v>190743600</v>
      </c>
      <c r="P1951" s="34">
        <f t="shared" si="247"/>
        <v>1</v>
      </c>
      <c r="Q1951" s="39">
        <v>0</v>
      </c>
      <c r="R1951" s="22">
        <v>0</v>
      </c>
      <c r="S1951" s="22">
        <v>0</v>
      </c>
      <c r="T1951" s="22">
        <v>0</v>
      </c>
      <c r="U1951" s="39">
        <v>0.9</v>
      </c>
      <c r="V1951" s="22">
        <v>6</v>
      </c>
      <c r="W1951" s="22">
        <v>1</v>
      </c>
      <c r="X1951" s="40">
        <v>22</v>
      </c>
      <c r="Y1951" s="22">
        <v>0</v>
      </c>
      <c r="Z1951" s="22">
        <v>0</v>
      </c>
      <c r="AA1951" s="22" t="s">
        <v>212</v>
      </c>
      <c r="AB1951" s="22" t="s">
        <v>220</v>
      </c>
      <c r="AC1951" s="42">
        <f>IFERROR(LOOKUP(M1951,打分卡!$F$7:$J$7,打分卡!$K$7:$O$7),1)</f>
        <v>1</v>
      </c>
      <c r="AD1951" s="42">
        <f>IFERROR(LOOKUP(S1951,打分卡!$F$8:$J$8,打分卡!$K$8:$O$8),1)</f>
        <v>1</v>
      </c>
      <c r="AE1951" s="42">
        <f>IFERROR(LOOKUP(T1951,打分卡!$F$9:$I$9,打分卡!$K$9:$N$9),1)</f>
        <v>1</v>
      </c>
      <c r="AF1951" s="42">
        <f>IFERROR(LOOKUP(Q1951,打分卡!$F$10:$J$10,打分卡!$K$10:$O$10),1)</f>
        <v>1</v>
      </c>
      <c r="AG1951" s="42">
        <f>IFERROR(LOOKUP(R1951,打分卡!$F$11:$J$11,打分卡!$K$11:$O$11),1)</f>
        <v>1</v>
      </c>
      <c r="AH1951" s="42">
        <f>IFERROR(LOOKUP(U1951,打分卡!$F$12:$J$12,打分卡!$K$12:$O$12),1)</f>
        <v>1</v>
      </c>
      <c r="AI1951" s="42">
        <f>IFERROR(LOOKUP(X1951,打分卡!$F$13:$J$13,打分卡!$K$13:$O$13),1)</f>
        <v>2</v>
      </c>
      <c r="AJ1951" s="42">
        <f>IFERROR(LOOKUP(Y1951,打分卡!$F$14:$J$14,打分卡!$K$14:$O$14),1)</f>
        <v>1</v>
      </c>
      <c r="AK1951" s="42">
        <f>IFERROR(LOOKUP(W1951,打分卡!$F$15:$J$15,打分卡!$K$15:$O$15),1)</f>
        <v>2</v>
      </c>
      <c r="AL1951" s="45">
        <f t="shared" si="241"/>
        <v>1</v>
      </c>
      <c r="AM1951" s="42">
        <f>IFERROR(LOOKUP(Z1951,打分卡!$F$17:$H$17,打分卡!$K$17:$M$17),1)</f>
        <v>1</v>
      </c>
      <c r="AN1951" s="46">
        <f>(打分卡!$D$7*AC1951+打分卡!$D$8*AD1951+打分卡!$D$9*AE1951)/5</f>
        <v>8</v>
      </c>
      <c r="AO1951" s="46">
        <f>(打分卡!$D$10*AF1951+打分卡!$D$11*AG1951)/5</f>
        <v>4</v>
      </c>
      <c r="AP1951" s="46">
        <f>(打分卡!$D$12*AH1951+打分卡!$D$13*AI1951+打分卡!$D$14*AJ1951+打分卡!$D$15*AK1951)/5</f>
        <v>8.4</v>
      </c>
      <c r="AQ1951" s="46">
        <f>(打分卡!$D$16*AL1951+打分卡!$D$17*AM1951)/5</f>
        <v>2</v>
      </c>
      <c r="AR1951" s="48">
        <f t="shared" si="242"/>
        <v>22.4</v>
      </c>
      <c r="AS1951" s="45" t="str">
        <f t="shared" si="243"/>
        <v>未激活</v>
      </c>
      <c r="AT1951" s="45" t="str">
        <f t="shared" si="244"/>
        <v>连续下降-预警</v>
      </c>
      <c r="AU1951" s="45" t="str">
        <f t="shared" si="245"/>
        <v>唤醒：短信模板+首充补贴</v>
      </c>
    </row>
    <row r="1952" ht="15" customHeight="1" spans="1:47">
      <c r="A1952" s="30" t="s">
        <v>4913</v>
      </c>
      <c r="B1952" s="31" t="s">
        <v>4914</v>
      </c>
      <c r="C1952" s="31" t="s">
        <v>179</v>
      </c>
      <c r="D1952" s="31" t="s">
        <v>196</v>
      </c>
      <c r="E1952" s="31" t="s">
        <v>197</v>
      </c>
      <c r="F1952" s="30" t="s">
        <v>3612</v>
      </c>
      <c r="G1952" s="31">
        <v>15</v>
      </c>
      <c r="H1952" s="31" t="s">
        <v>3535</v>
      </c>
      <c r="I1952" s="31" t="s">
        <v>302</v>
      </c>
      <c r="J1952" s="33">
        <v>0</v>
      </c>
      <c r="K1952" s="33">
        <v>0</v>
      </c>
      <c r="L1952" s="33">
        <v>0</v>
      </c>
      <c r="M1952" s="33">
        <f t="shared" si="240"/>
        <v>0</v>
      </c>
      <c r="N1952" s="34">
        <f t="shared" si="246"/>
        <v>0</v>
      </c>
      <c r="O1952" s="35">
        <f>SUM($M$2:M1952)</f>
        <v>190743600</v>
      </c>
      <c r="P1952" s="34">
        <f t="shared" si="247"/>
        <v>1</v>
      </c>
      <c r="Q1952" s="37">
        <v>0</v>
      </c>
      <c r="R1952" s="31">
        <v>0</v>
      </c>
      <c r="S1952" s="31">
        <v>0</v>
      </c>
      <c r="T1952" s="31">
        <v>0</v>
      </c>
      <c r="U1952" s="37">
        <v>8.4</v>
      </c>
      <c r="V1952" s="31">
        <v>2</v>
      </c>
      <c r="W1952" s="31">
        <v>0</v>
      </c>
      <c r="X1952" s="38">
        <v>42</v>
      </c>
      <c r="Y1952" s="31">
        <v>1</v>
      </c>
      <c r="Z1952" s="31">
        <v>0</v>
      </c>
      <c r="AA1952" s="31" t="s">
        <v>212</v>
      </c>
      <c r="AB1952" s="31" t="s">
        <v>220</v>
      </c>
      <c r="AC1952" s="41">
        <f>IFERROR(LOOKUP(M1952,打分卡!$F$7:$J$7,打分卡!$K$7:$O$7),1)</f>
        <v>1</v>
      </c>
      <c r="AD1952" s="41">
        <f>IFERROR(LOOKUP(S1952,打分卡!$F$8:$J$8,打分卡!$K$8:$O$8),1)</f>
        <v>1</v>
      </c>
      <c r="AE1952" s="41">
        <f>IFERROR(LOOKUP(T1952,打分卡!$F$9:$I$9,打分卡!$K$9:$N$9),1)</f>
        <v>1</v>
      </c>
      <c r="AF1952" s="41">
        <f>IFERROR(LOOKUP(Q1952,打分卡!$F$10:$J$10,打分卡!$K$10:$O$10),1)</f>
        <v>1</v>
      </c>
      <c r="AG1952" s="41">
        <f>IFERROR(LOOKUP(R1952,打分卡!$F$11:$J$11,打分卡!$K$11:$O$11),1)</f>
        <v>1</v>
      </c>
      <c r="AH1952" s="41">
        <f>IFERROR(LOOKUP(U1952,打分卡!$F$12:$J$12,打分卡!$K$12:$O$12),1)</f>
        <v>2</v>
      </c>
      <c r="AI1952" s="41">
        <f>IFERROR(LOOKUP(X1952,打分卡!$F$13:$J$13,打分卡!$K$13:$O$13),1)</f>
        <v>3</v>
      </c>
      <c r="AJ1952" s="41">
        <f>IFERROR(LOOKUP(Y1952,打分卡!$F$14:$J$14,打分卡!$K$14:$O$14),1)</f>
        <v>2</v>
      </c>
      <c r="AK1952" s="41">
        <f>IFERROR(LOOKUP(W1952,打分卡!$F$15:$J$15,打分卡!$K$15:$O$15),1)</f>
        <v>1</v>
      </c>
      <c r="AL1952" s="43">
        <f t="shared" si="241"/>
        <v>1</v>
      </c>
      <c r="AM1952" s="41">
        <f>IFERROR(LOOKUP(Z1952,打分卡!$F$17:$H$17,打分卡!$K$17:$M$17),1)</f>
        <v>1</v>
      </c>
      <c r="AN1952" s="44">
        <f>(打分卡!$D$7*AC1952+打分卡!$D$8*AD1952+打分卡!$D$9*AE1952)/5</f>
        <v>8</v>
      </c>
      <c r="AO1952" s="44">
        <f>(打分卡!$D$10*AF1952+打分卡!$D$11*AG1952)/5</f>
        <v>4</v>
      </c>
      <c r="AP1952" s="44">
        <f>(打分卡!$D$12*AH1952+打分卡!$D$13*AI1952+打分卡!$D$14*AJ1952+打分卡!$D$15*AK1952)/5</f>
        <v>12.8</v>
      </c>
      <c r="AQ1952" s="44">
        <f>(打分卡!$D$16*AL1952+打分卡!$D$17*AM1952)/5</f>
        <v>2</v>
      </c>
      <c r="AR1952" s="47">
        <f t="shared" si="242"/>
        <v>26.8</v>
      </c>
      <c r="AS1952" s="43" t="str">
        <f t="shared" si="243"/>
        <v>未激活</v>
      </c>
      <c r="AT1952" s="43" t="str">
        <f t="shared" si="244"/>
        <v>连续下降-预警</v>
      </c>
      <c r="AU1952" s="43" t="str">
        <f t="shared" si="245"/>
        <v>唤醒：短信模板+首充补贴</v>
      </c>
    </row>
    <row r="1953" ht="15" customHeight="1" spans="1:47">
      <c r="A1953" s="20" t="s">
        <v>4915</v>
      </c>
      <c r="B1953" s="22" t="s">
        <v>4916</v>
      </c>
      <c r="C1953" s="22" t="s">
        <v>189</v>
      </c>
      <c r="D1953" s="22" t="s">
        <v>190</v>
      </c>
      <c r="E1953" s="22" t="s">
        <v>181</v>
      </c>
      <c r="F1953" s="20" t="s">
        <v>291</v>
      </c>
      <c r="G1953" s="22">
        <v>20</v>
      </c>
      <c r="H1953" s="22" t="s">
        <v>3535</v>
      </c>
      <c r="I1953" s="22" t="s">
        <v>302</v>
      </c>
      <c r="J1953" s="36">
        <v>0</v>
      </c>
      <c r="K1953" s="36">
        <v>0</v>
      </c>
      <c r="L1953" s="36">
        <v>0</v>
      </c>
      <c r="M1953" s="36">
        <f t="shared" si="240"/>
        <v>0</v>
      </c>
      <c r="N1953" s="34">
        <f t="shared" si="246"/>
        <v>0</v>
      </c>
      <c r="O1953" s="35">
        <f>SUM($M$2:M1953)</f>
        <v>190743600</v>
      </c>
      <c r="P1953" s="34">
        <f t="shared" si="247"/>
        <v>1</v>
      </c>
      <c r="Q1953" s="39">
        <v>0</v>
      </c>
      <c r="R1953" s="22">
        <v>0</v>
      </c>
      <c r="S1953" s="22">
        <v>0</v>
      </c>
      <c r="T1953" s="22">
        <v>0</v>
      </c>
      <c r="U1953" s="39">
        <v>33.2</v>
      </c>
      <c r="V1953" s="22">
        <v>11</v>
      </c>
      <c r="W1953" s="22">
        <v>2</v>
      </c>
      <c r="X1953" s="40">
        <v>28</v>
      </c>
      <c r="Y1953" s="22">
        <v>0</v>
      </c>
      <c r="Z1953" s="22">
        <v>0</v>
      </c>
      <c r="AA1953" s="22" t="s">
        <v>212</v>
      </c>
      <c r="AB1953" s="22" t="s">
        <v>220</v>
      </c>
      <c r="AC1953" s="42">
        <f>IFERROR(LOOKUP(M1953,打分卡!$F$7:$J$7,打分卡!$K$7:$O$7),1)</f>
        <v>1</v>
      </c>
      <c r="AD1953" s="42">
        <f>IFERROR(LOOKUP(S1953,打分卡!$F$8:$J$8,打分卡!$K$8:$O$8),1)</f>
        <v>1</v>
      </c>
      <c r="AE1953" s="42">
        <f>IFERROR(LOOKUP(T1953,打分卡!$F$9:$I$9,打分卡!$K$9:$N$9),1)</f>
        <v>1</v>
      </c>
      <c r="AF1953" s="42">
        <f>IFERROR(LOOKUP(Q1953,打分卡!$F$10:$J$10,打分卡!$K$10:$O$10),1)</f>
        <v>1</v>
      </c>
      <c r="AG1953" s="42">
        <f>IFERROR(LOOKUP(R1953,打分卡!$F$11:$J$11,打分卡!$K$11:$O$11),1)</f>
        <v>1</v>
      </c>
      <c r="AH1953" s="42">
        <f>IFERROR(LOOKUP(U1953,打分卡!$F$12:$J$12,打分卡!$K$12:$O$12),1)</f>
        <v>4</v>
      </c>
      <c r="AI1953" s="42">
        <f>IFERROR(LOOKUP(X1953,打分卡!$F$13:$J$13,打分卡!$K$13:$O$13),1)</f>
        <v>2</v>
      </c>
      <c r="AJ1953" s="42">
        <f>IFERROR(LOOKUP(Y1953,打分卡!$F$14:$J$14,打分卡!$K$14:$O$14),1)</f>
        <v>1</v>
      </c>
      <c r="AK1953" s="42">
        <f>IFERROR(LOOKUP(W1953,打分卡!$F$15:$J$15,打分卡!$K$15:$O$15),1)</f>
        <v>2</v>
      </c>
      <c r="AL1953" s="45">
        <f t="shared" si="241"/>
        <v>1</v>
      </c>
      <c r="AM1953" s="42">
        <f>IFERROR(LOOKUP(Z1953,打分卡!$F$17:$H$17,打分卡!$K$17:$M$17),1)</f>
        <v>1</v>
      </c>
      <c r="AN1953" s="46">
        <f>(打分卡!$D$7*AC1953+打分卡!$D$8*AD1953+打分卡!$D$9*AE1953)/5</f>
        <v>8</v>
      </c>
      <c r="AO1953" s="46">
        <f>(打分卡!$D$10*AF1953+打分卡!$D$11*AG1953)/5</f>
        <v>4</v>
      </c>
      <c r="AP1953" s="46">
        <f>(打分卡!$D$12*AH1953+打分卡!$D$13*AI1953+打分卡!$D$14*AJ1953+打分卡!$D$15*AK1953)/5</f>
        <v>15.6</v>
      </c>
      <c r="AQ1953" s="46">
        <f>(打分卡!$D$16*AL1953+打分卡!$D$17*AM1953)/5</f>
        <v>2</v>
      </c>
      <c r="AR1953" s="48">
        <f t="shared" si="242"/>
        <v>29.6</v>
      </c>
      <c r="AS1953" s="45" t="str">
        <f t="shared" si="243"/>
        <v>未激活</v>
      </c>
      <c r="AT1953" s="45" t="str">
        <f t="shared" si="244"/>
        <v>连续下降-预警</v>
      </c>
      <c r="AU1953" s="45" t="str">
        <f t="shared" si="245"/>
        <v>唤醒：短信模板+首充补贴</v>
      </c>
    </row>
    <row r="1954" ht="15" customHeight="1" spans="1:47">
      <c r="A1954" s="30" t="s">
        <v>4917</v>
      </c>
      <c r="B1954" s="31" t="s">
        <v>4918</v>
      </c>
      <c r="C1954" s="31" t="s">
        <v>239</v>
      </c>
      <c r="D1954" s="31" t="s">
        <v>196</v>
      </c>
      <c r="E1954" s="31" t="s">
        <v>197</v>
      </c>
      <c r="F1954" s="30" t="s">
        <v>3860</v>
      </c>
      <c r="G1954" s="31">
        <v>32</v>
      </c>
      <c r="H1954" s="31" t="s">
        <v>3535</v>
      </c>
      <c r="I1954" s="31" t="s">
        <v>302</v>
      </c>
      <c r="J1954" s="33">
        <v>0</v>
      </c>
      <c r="K1954" s="33">
        <v>0</v>
      </c>
      <c r="L1954" s="33">
        <v>0</v>
      </c>
      <c r="M1954" s="33">
        <f t="shared" si="240"/>
        <v>0</v>
      </c>
      <c r="N1954" s="34">
        <f t="shared" si="246"/>
        <v>0</v>
      </c>
      <c r="O1954" s="35">
        <f>SUM($M$2:M1954)</f>
        <v>190743600</v>
      </c>
      <c r="P1954" s="34">
        <f t="shared" si="247"/>
        <v>1</v>
      </c>
      <c r="Q1954" s="37">
        <v>0</v>
      </c>
      <c r="R1954" s="31">
        <v>0</v>
      </c>
      <c r="S1954" s="31">
        <v>0</v>
      </c>
      <c r="T1954" s="31">
        <v>0</v>
      </c>
      <c r="U1954" s="37">
        <v>8.1</v>
      </c>
      <c r="V1954" s="31">
        <v>7</v>
      </c>
      <c r="W1954" s="31">
        <v>2</v>
      </c>
      <c r="X1954" s="38">
        <v>10</v>
      </c>
      <c r="Y1954" s="31">
        <v>1</v>
      </c>
      <c r="Z1954" s="31">
        <v>0</v>
      </c>
      <c r="AA1954" s="31" t="s">
        <v>212</v>
      </c>
      <c r="AB1954" s="31" t="s">
        <v>220</v>
      </c>
      <c r="AC1954" s="41">
        <f>IFERROR(LOOKUP(M1954,打分卡!$F$7:$J$7,打分卡!$K$7:$O$7),1)</f>
        <v>1</v>
      </c>
      <c r="AD1954" s="41">
        <f>IFERROR(LOOKUP(S1954,打分卡!$F$8:$J$8,打分卡!$K$8:$O$8),1)</f>
        <v>1</v>
      </c>
      <c r="AE1954" s="41">
        <f>IFERROR(LOOKUP(T1954,打分卡!$F$9:$I$9,打分卡!$K$9:$N$9),1)</f>
        <v>1</v>
      </c>
      <c r="AF1954" s="41">
        <f>IFERROR(LOOKUP(Q1954,打分卡!$F$10:$J$10,打分卡!$K$10:$O$10),1)</f>
        <v>1</v>
      </c>
      <c r="AG1954" s="41">
        <f>IFERROR(LOOKUP(R1954,打分卡!$F$11:$J$11,打分卡!$K$11:$O$11),1)</f>
        <v>1</v>
      </c>
      <c r="AH1954" s="41">
        <f>IFERROR(LOOKUP(U1954,打分卡!$F$12:$J$12,打分卡!$K$12:$O$12),1)</f>
        <v>2</v>
      </c>
      <c r="AI1954" s="41">
        <f>IFERROR(LOOKUP(X1954,打分卡!$F$13:$J$13,打分卡!$K$13:$O$13),1)</f>
        <v>1</v>
      </c>
      <c r="AJ1954" s="41">
        <f>IFERROR(LOOKUP(Y1954,打分卡!$F$14:$J$14,打分卡!$K$14:$O$14),1)</f>
        <v>2</v>
      </c>
      <c r="AK1954" s="41">
        <f>IFERROR(LOOKUP(W1954,打分卡!$F$15:$J$15,打分卡!$K$15:$O$15),1)</f>
        <v>2</v>
      </c>
      <c r="AL1954" s="43">
        <f t="shared" si="241"/>
        <v>1</v>
      </c>
      <c r="AM1954" s="41">
        <f>IFERROR(LOOKUP(Z1954,打分卡!$F$17:$H$17,打分卡!$K$17:$M$17),1)</f>
        <v>1</v>
      </c>
      <c r="AN1954" s="44">
        <f>(打分卡!$D$7*AC1954+打分卡!$D$8*AD1954+打分卡!$D$9*AE1954)/5</f>
        <v>8</v>
      </c>
      <c r="AO1954" s="44">
        <f>(打分卡!$D$10*AF1954+打分卡!$D$11*AG1954)/5</f>
        <v>4</v>
      </c>
      <c r="AP1954" s="44">
        <f>(打分卡!$D$12*AH1954+打分卡!$D$13*AI1954+打分卡!$D$14*AJ1954+打分卡!$D$15*AK1954)/5</f>
        <v>10.4</v>
      </c>
      <c r="AQ1954" s="44">
        <f>(打分卡!$D$16*AL1954+打分卡!$D$17*AM1954)/5</f>
        <v>2</v>
      </c>
      <c r="AR1954" s="47">
        <f t="shared" si="242"/>
        <v>24.4</v>
      </c>
      <c r="AS1954" s="43" t="str">
        <f t="shared" si="243"/>
        <v>未激活</v>
      </c>
      <c r="AT1954" s="43" t="str">
        <f t="shared" si="244"/>
        <v>连续下降-预警</v>
      </c>
      <c r="AU1954" s="43" t="str">
        <f t="shared" si="245"/>
        <v>唤醒：短信模板+首充补贴</v>
      </c>
    </row>
    <row r="1955" ht="15" customHeight="1" spans="1:47">
      <c r="A1955" s="20" t="s">
        <v>4919</v>
      </c>
      <c r="B1955" s="22" t="s">
        <v>4920</v>
      </c>
      <c r="C1955" s="22" t="s">
        <v>234</v>
      </c>
      <c r="D1955" s="22" t="s">
        <v>190</v>
      </c>
      <c r="E1955" s="22" t="s">
        <v>181</v>
      </c>
      <c r="F1955" s="20" t="s">
        <v>3927</v>
      </c>
      <c r="G1955" s="22">
        <v>36</v>
      </c>
      <c r="H1955" s="22" t="s">
        <v>3535</v>
      </c>
      <c r="I1955" s="22" t="s">
        <v>302</v>
      </c>
      <c r="J1955" s="36">
        <v>0</v>
      </c>
      <c r="K1955" s="36">
        <v>0</v>
      </c>
      <c r="L1955" s="36">
        <v>0</v>
      </c>
      <c r="M1955" s="36">
        <f t="shared" si="240"/>
        <v>0</v>
      </c>
      <c r="N1955" s="34">
        <f t="shared" si="246"/>
        <v>0</v>
      </c>
      <c r="O1955" s="35">
        <f>SUM($M$2:M1955)</f>
        <v>190743600</v>
      </c>
      <c r="P1955" s="34">
        <f t="shared" si="247"/>
        <v>1</v>
      </c>
      <c r="Q1955" s="39">
        <v>0</v>
      </c>
      <c r="R1955" s="22">
        <v>0</v>
      </c>
      <c r="S1955" s="22">
        <v>0</v>
      </c>
      <c r="T1955" s="22">
        <v>0</v>
      </c>
      <c r="U1955" s="39">
        <v>45.2</v>
      </c>
      <c r="V1955" s="22">
        <v>5</v>
      </c>
      <c r="W1955" s="22">
        <v>0</v>
      </c>
      <c r="X1955" s="40">
        <v>8</v>
      </c>
      <c r="Y1955" s="22">
        <v>0</v>
      </c>
      <c r="Z1955" s="22">
        <v>0</v>
      </c>
      <c r="AA1955" s="22" t="s">
        <v>212</v>
      </c>
      <c r="AB1955" s="22" t="s">
        <v>220</v>
      </c>
      <c r="AC1955" s="42">
        <f>IFERROR(LOOKUP(M1955,打分卡!$F$7:$J$7,打分卡!$K$7:$O$7),1)</f>
        <v>1</v>
      </c>
      <c r="AD1955" s="42">
        <f>IFERROR(LOOKUP(S1955,打分卡!$F$8:$J$8,打分卡!$K$8:$O$8),1)</f>
        <v>1</v>
      </c>
      <c r="AE1955" s="42">
        <f>IFERROR(LOOKUP(T1955,打分卡!$F$9:$I$9,打分卡!$K$9:$N$9),1)</f>
        <v>1</v>
      </c>
      <c r="AF1955" s="42">
        <f>IFERROR(LOOKUP(Q1955,打分卡!$F$10:$J$10,打分卡!$K$10:$O$10),1)</f>
        <v>1</v>
      </c>
      <c r="AG1955" s="42">
        <f>IFERROR(LOOKUP(R1955,打分卡!$F$11:$J$11,打分卡!$K$11:$O$11),1)</f>
        <v>1</v>
      </c>
      <c r="AH1955" s="42">
        <f>IFERROR(LOOKUP(U1955,打分卡!$F$12:$J$12,打分卡!$K$12:$O$12),1)</f>
        <v>4</v>
      </c>
      <c r="AI1955" s="42">
        <f>IFERROR(LOOKUP(X1955,打分卡!$F$13:$J$13,打分卡!$K$13:$O$13),1)</f>
        <v>1</v>
      </c>
      <c r="AJ1955" s="42">
        <f>IFERROR(LOOKUP(Y1955,打分卡!$F$14:$J$14,打分卡!$K$14:$O$14),1)</f>
        <v>1</v>
      </c>
      <c r="AK1955" s="42">
        <f>IFERROR(LOOKUP(W1955,打分卡!$F$15:$J$15,打分卡!$K$15:$O$15),1)</f>
        <v>1</v>
      </c>
      <c r="AL1955" s="45">
        <f t="shared" si="241"/>
        <v>1</v>
      </c>
      <c r="AM1955" s="42">
        <f>IFERROR(LOOKUP(Z1955,打分卡!$F$17:$H$17,打分卡!$K$17:$M$17),1)</f>
        <v>1</v>
      </c>
      <c r="AN1955" s="46">
        <f>(打分卡!$D$7*AC1955+打分卡!$D$8*AD1955+打分卡!$D$9*AE1955)/5</f>
        <v>8</v>
      </c>
      <c r="AO1955" s="46">
        <f>(打分卡!$D$10*AF1955+打分卡!$D$11*AG1955)/5</f>
        <v>4</v>
      </c>
      <c r="AP1955" s="46">
        <f>(打分卡!$D$12*AH1955+打分卡!$D$13*AI1955+打分卡!$D$14*AJ1955+打分卡!$D$15*AK1955)/5</f>
        <v>13.2</v>
      </c>
      <c r="AQ1955" s="46">
        <f>(打分卡!$D$16*AL1955+打分卡!$D$17*AM1955)/5</f>
        <v>2</v>
      </c>
      <c r="AR1955" s="48">
        <f t="shared" si="242"/>
        <v>27.2</v>
      </c>
      <c r="AS1955" s="45" t="str">
        <f t="shared" si="243"/>
        <v>未激活</v>
      </c>
      <c r="AT1955" s="45" t="str">
        <f t="shared" si="244"/>
        <v>连续下降-预警</v>
      </c>
      <c r="AU1955" s="45" t="str">
        <f t="shared" si="245"/>
        <v>唤醒：短信模板+首充补贴</v>
      </c>
    </row>
    <row r="1956" ht="15" customHeight="1" spans="1:47">
      <c r="A1956" s="30" t="s">
        <v>4921</v>
      </c>
      <c r="B1956" s="31" t="s">
        <v>4922</v>
      </c>
      <c r="C1956" s="31" t="s">
        <v>179</v>
      </c>
      <c r="D1956" s="31" t="s">
        <v>202</v>
      </c>
      <c r="E1956" s="31" t="s">
        <v>181</v>
      </c>
      <c r="F1956" s="30" t="s">
        <v>4382</v>
      </c>
      <c r="G1956" s="31">
        <v>32</v>
      </c>
      <c r="H1956" s="31" t="s">
        <v>3535</v>
      </c>
      <c r="I1956" s="31" t="s">
        <v>302</v>
      </c>
      <c r="J1956" s="33">
        <v>0</v>
      </c>
      <c r="K1956" s="33">
        <v>0</v>
      </c>
      <c r="L1956" s="33">
        <v>0</v>
      </c>
      <c r="M1956" s="33">
        <f t="shared" si="240"/>
        <v>0</v>
      </c>
      <c r="N1956" s="34">
        <f t="shared" si="246"/>
        <v>0</v>
      </c>
      <c r="O1956" s="35">
        <f>SUM($M$2:M1956)</f>
        <v>190743600</v>
      </c>
      <c r="P1956" s="34">
        <f t="shared" si="247"/>
        <v>1</v>
      </c>
      <c r="Q1956" s="37">
        <v>0</v>
      </c>
      <c r="R1956" s="31">
        <v>0</v>
      </c>
      <c r="S1956" s="31">
        <v>0</v>
      </c>
      <c r="T1956" s="31">
        <v>0</v>
      </c>
      <c r="U1956" s="37">
        <v>3.2</v>
      </c>
      <c r="V1956" s="31">
        <v>1</v>
      </c>
      <c r="W1956" s="31">
        <v>1</v>
      </c>
      <c r="X1956" s="38">
        <v>12</v>
      </c>
      <c r="Y1956" s="31">
        <v>1</v>
      </c>
      <c r="Z1956" s="31">
        <v>0</v>
      </c>
      <c r="AA1956" s="31" t="s">
        <v>212</v>
      </c>
      <c r="AB1956" s="31" t="s">
        <v>220</v>
      </c>
      <c r="AC1956" s="41">
        <f>IFERROR(LOOKUP(M1956,打分卡!$F$7:$J$7,打分卡!$K$7:$O$7),1)</f>
        <v>1</v>
      </c>
      <c r="AD1956" s="41">
        <f>IFERROR(LOOKUP(S1956,打分卡!$F$8:$J$8,打分卡!$K$8:$O$8),1)</f>
        <v>1</v>
      </c>
      <c r="AE1956" s="41">
        <f>IFERROR(LOOKUP(T1956,打分卡!$F$9:$I$9,打分卡!$K$9:$N$9),1)</f>
        <v>1</v>
      </c>
      <c r="AF1956" s="41">
        <f>IFERROR(LOOKUP(Q1956,打分卡!$F$10:$J$10,打分卡!$K$10:$O$10),1)</f>
        <v>1</v>
      </c>
      <c r="AG1956" s="41">
        <f>IFERROR(LOOKUP(R1956,打分卡!$F$11:$J$11,打分卡!$K$11:$O$11),1)</f>
        <v>1</v>
      </c>
      <c r="AH1956" s="41">
        <f>IFERROR(LOOKUP(U1956,打分卡!$F$12:$J$12,打分卡!$K$12:$O$12),1)</f>
        <v>2</v>
      </c>
      <c r="AI1956" s="41">
        <f>IFERROR(LOOKUP(X1956,打分卡!$F$13:$J$13,打分卡!$K$13:$O$13),1)</f>
        <v>1</v>
      </c>
      <c r="AJ1956" s="41">
        <f>IFERROR(LOOKUP(Y1956,打分卡!$F$14:$J$14,打分卡!$K$14:$O$14),1)</f>
        <v>2</v>
      </c>
      <c r="AK1956" s="41">
        <f>IFERROR(LOOKUP(W1956,打分卡!$F$15:$J$15,打分卡!$K$15:$O$15),1)</f>
        <v>2</v>
      </c>
      <c r="AL1956" s="43">
        <f t="shared" si="241"/>
        <v>1</v>
      </c>
      <c r="AM1956" s="41">
        <f>IFERROR(LOOKUP(Z1956,打分卡!$F$17:$H$17,打分卡!$K$17:$M$17),1)</f>
        <v>1</v>
      </c>
      <c r="AN1956" s="44">
        <f>(打分卡!$D$7*AC1956+打分卡!$D$8*AD1956+打分卡!$D$9*AE1956)/5</f>
        <v>8</v>
      </c>
      <c r="AO1956" s="44">
        <f>(打分卡!$D$10*AF1956+打分卡!$D$11*AG1956)/5</f>
        <v>4</v>
      </c>
      <c r="AP1956" s="44">
        <f>(打分卡!$D$12*AH1956+打分卡!$D$13*AI1956+打分卡!$D$14*AJ1956+打分卡!$D$15*AK1956)/5</f>
        <v>10.4</v>
      </c>
      <c r="AQ1956" s="44">
        <f>(打分卡!$D$16*AL1956+打分卡!$D$17*AM1956)/5</f>
        <v>2</v>
      </c>
      <c r="AR1956" s="47">
        <f t="shared" si="242"/>
        <v>24.4</v>
      </c>
      <c r="AS1956" s="43" t="str">
        <f t="shared" si="243"/>
        <v>未激活</v>
      </c>
      <c r="AT1956" s="43" t="str">
        <f t="shared" si="244"/>
        <v>连续下降-预警</v>
      </c>
      <c r="AU1956" s="43" t="str">
        <f t="shared" si="245"/>
        <v>唤醒：短信模板+首充补贴</v>
      </c>
    </row>
    <row r="1957" ht="15" customHeight="1" spans="1:47">
      <c r="A1957" s="20" t="s">
        <v>4923</v>
      </c>
      <c r="B1957" s="22" t="s">
        <v>4924</v>
      </c>
      <c r="C1957" s="22" t="s">
        <v>179</v>
      </c>
      <c r="D1957" s="22" t="s">
        <v>202</v>
      </c>
      <c r="E1957" s="22" t="s">
        <v>197</v>
      </c>
      <c r="F1957" s="20" t="s">
        <v>4925</v>
      </c>
      <c r="G1957" s="22">
        <v>35</v>
      </c>
      <c r="H1957" s="22" t="s">
        <v>3535</v>
      </c>
      <c r="I1957" s="22" t="s">
        <v>302</v>
      </c>
      <c r="J1957" s="36">
        <v>0</v>
      </c>
      <c r="K1957" s="36">
        <v>0</v>
      </c>
      <c r="L1957" s="36">
        <v>0</v>
      </c>
      <c r="M1957" s="36">
        <f t="shared" si="240"/>
        <v>0</v>
      </c>
      <c r="N1957" s="34">
        <f t="shared" si="246"/>
        <v>0</v>
      </c>
      <c r="O1957" s="35">
        <f>SUM($M$2:M1957)</f>
        <v>190743600</v>
      </c>
      <c r="P1957" s="34">
        <f t="shared" si="247"/>
        <v>1</v>
      </c>
      <c r="Q1957" s="39">
        <v>0</v>
      </c>
      <c r="R1957" s="22">
        <v>0</v>
      </c>
      <c r="S1957" s="22">
        <v>0</v>
      </c>
      <c r="T1957" s="22">
        <v>0</v>
      </c>
      <c r="U1957" s="39">
        <v>0.7</v>
      </c>
      <c r="V1957" s="22">
        <v>2</v>
      </c>
      <c r="W1957" s="22">
        <v>1</v>
      </c>
      <c r="X1957" s="40">
        <v>31</v>
      </c>
      <c r="Y1957" s="22">
        <v>1</v>
      </c>
      <c r="Z1957" s="22">
        <v>0</v>
      </c>
      <c r="AA1957" s="22" t="s">
        <v>212</v>
      </c>
      <c r="AB1957" s="22" t="s">
        <v>220</v>
      </c>
      <c r="AC1957" s="42">
        <f>IFERROR(LOOKUP(M1957,打分卡!$F$7:$J$7,打分卡!$K$7:$O$7),1)</f>
        <v>1</v>
      </c>
      <c r="AD1957" s="42">
        <f>IFERROR(LOOKUP(S1957,打分卡!$F$8:$J$8,打分卡!$K$8:$O$8),1)</f>
        <v>1</v>
      </c>
      <c r="AE1957" s="42">
        <f>IFERROR(LOOKUP(T1957,打分卡!$F$9:$I$9,打分卡!$K$9:$N$9),1)</f>
        <v>1</v>
      </c>
      <c r="AF1957" s="42">
        <f>IFERROR(LOOKUP(Q1957,打分卡!$F$10:$J$10,打分卡!$K$10:$O$10),1)</f>
        <v>1</v>
      </c>
      <c r="AG1957" s="42">
        <f>IFERROR(LOOKUP(R1957,打分卡!$F$11:$J$11,打分卡!$K$11:$O$11),1)</f>
        <v>1</v>
      </c>
      <c r="AH1957" s="42">
        <f>IFERROR(LOOKUP(U1957,打分卡!$F$12:$J$12,打分卡!$K$12:$O$12),1)</f>
        <v>1</v>
      </c>
      <c r="AI1957" s="42">
        <f>IFERROR(LOOKUP(X1957,打分卡!$F$13:$J$13,打分卡!$K$13:$O$13),1)</f>
        <v>2</v>
      </c>
      <c r="AJ1957" s="42">
        <f>IFERROR(LOOKUP(Y1957,打分卡!$F$14:$J$14,打分卡!$K$14:$O$14),1)</f>
        <v>2</v>
      </c>
      <c r="AK1957" s="42">
        <f>IFERROR(LOOKUP(W1957,打分卡!$F$15:$J$15,打分卡!$K$15:$O$15),1)</f>
        <v>2</v>
      </c>
      <c r="AL1957" s="45">
        <f t="shared" si="241"/>
        <v>1</v>
      </c>
      <c r="AM1957" s="42">
        <f>IFERROR(LOOKUP(Z1957,打分卡!$F$17:$H$17,打分卡!$K$17:$M$17),1)</f>
        <v>1</v>
      </c>
      <c r="AN1957" s="46">
        <f>(打分卡!$D$7*AC1957+打分卡!$D$8*AD1957+打分卡!$D$9*AE1957)/5</f>
        <v>8</v>
      </c>
      <c r="AO1957" s="46">
        <f>(打分卡!$D$10*AF1957+打分卡!$D$11*AG1957)/5</f>
        <v>4</v>
      </c>
      <c r="AP1957" s="46">
        <f>(打分卡!$D$12*AH1957+打分卡!$D$13*AI1957+打分卡!$D$14*AJ1957+打分卡!$D$15*AK1957)/5</f>
        <v>9.6</v>
      </c>
      <c r="AQ1957" s="46">
        <f>(打分卡!$D$16*AL1957+打分卡!$D$17*AM1957)/5</f>
        <v>2</v>
      </c>
      <c r="AR1957" s="48">
        <f t="shared" si="242"/>
        <v>23.6</v>
      </c>
      <c r="AS1957" s="45" t="str">
        <f t="shared" si="243"/>
        <v>未激活</v>
      </c>
      <c r="AT1957" s="45" t="str">
        <f t="shared" si="244"/>
        <v>连续下降-预警</v>
      </c>
      <c r="AU1957" s="45" t="str">
        <f t="shared" si="245"/>
        <v>唤醒：短信模板+首充补贴</v>
      </c>
    </row>
    <row r="1958" ht="15" customHeight="1" spans="1:47">
      <c r="A1958" s="30" t="s">
        <v>4926</v>
      </c>
      <c r="B1958" s="31" t="s">
        <v>4927</v>
      </c>
      <c r="C1958" s="31" t="s">
        <v>195</v>
      </c>
      <c r="D1958" s="31" t="s">
        <v>196</v>
      </c>
      <c r="E1958" s="31" t="s">
        <v>181</v>
      </c>
      <c r="F1958" s="30" t="s">
        <v>4928</v>
      </c>
      <c r="G1958" s="31">
        <v>27</v>
      </c>
      <c r="H1958" s="31" t="s">
        <v>3535</v>
      </c>
      <c r="I1958" s="31" t="s">
        <v>302</v>
      </c>
      <c r="J1958" s="33">
        <v>0</v>
      </c>
      <c r="K1958" s="33">
        <v>0</v>
      </c>
      <c r="L1958" s="33">
        <v>0</v>
      </c>
      <c r="M1958" s="33">
        <f t="shared" si="240"/>
        <v>0</v>
      </c>
      <c r="N1958" s="34">
        <f t="shared" si="246"/>
        <v>0</v>
      </c>
      <c r="O1958" s="35">
        <f>SUM($M$2:M1958)</f>
        <v>190743600</v>
      </c>
      <c r="P1958" s="34">
        <f t="shared" si="247"/>
        <v>1</v>
      </c>
      <c r="Q1958" s="37">
        <v>0</v>
      </c>
      <c r="R1958" s="31">
        <v>0</v>
      </c>
      <c r="S1958" s="31">
        <v>0</v>
      </c>
      <c r="T1958" s="31">
        <v>0</v>
      </c>
      <c r="U1958" s="37">
        <v>16.6</v>
      </c>
      <c r="V1958" s="31">
        <v>8</v>
      </c>
      <c r="W1958" s="31">
        <v>1</v>
      </c>
      <c r="X1958" s="38">
        <v>22</v>
      </c>
      <c r="Y1958" s="31">
        <v>0</v>
      </c>
      <c r="Z1958" s="31">
        <v>0</v>
      </c>
      <c r="AA1958" s="31" t="s">
        <v>212</v>
      </c>
      <c r="AB1958" s="31" t="s">
        <v>220</v>
      </c>
      <c r="AC1958" s="41">
        <f>IFERROR(LOOKUP(M1958,打分卡!$F$7:$J$7,打分卡!$K$7:$O$7),1)</f>
        <v>1</v>
      </c>
      <c r="AD1958" s="41">
        <f>IFERROR(LOOKUP(S1958,打分卡!$F$8:$J$8,打分卡!$K$8:$O$8),1)</f>
        <v>1</v>
      </c>
      <c r="AE1958" s="41">
        <f>IFERROR(LOOKUP(T1958,打分卡!$F$9:$I$9,打分卡!$K$9:$N$9),1)</f>
        <v>1</v>
      </c>
      <c r="AF1958" s="41">
        <f>IFERROR(LOOKUP(Q1958,打分卡!$F$10:$J$10,打分卡!$K$10:$O$10),1)</f>
        <v>1</v>
      </c>
      <c r="AG1958" s="41">
        <f>IFERROR(LOOKUP(R1958,打分卡!$F$11:$J$11,打分卡!$K$11:$O$11),1)</f>
        <v>1</v>
      </c>
      <c r="AH1958" s="41">
        <f>IFERROR(LOOKUP(U1958,打分卡!$F$12:$J$12,打分卡!$K$12:$O$12),1)</f>
        <v>3</v>
      </c>
      <c r="AI1958" s="41">
        <f>IFERROR(LOOKUP(X1958,打分卡!$F$13:$J$13,打分卡!$K$13:$O$13),1)</f>
        <v>2</v>
      </c>
      <c r="AJ1958" s="41">
        <f>IFERROR(LOOKUP(Y1958,打分卡!$F$14:$J$14,打分卡!$K$14:$O$14),1)</f>
        <v>1</v>
      </c>
      <c r="AK1958" s="41">
        <f>IFERROR(LOOKUP(W1958,打分卡!$F$15:$J$15,打分卡!$K$15:$O$15),1)</f>
        <v>2</v>
      </c>
      <c r="AL1958" s="43">
        <f t="shared" si="241"/>
        <v>1</v>
      </c>
      <c r="AM1958" s="41">
        <f>IFERROR(LOOKUP(Z1958,打分卡!$F$17:$H$17,打分卡!$K$17:$M$17),1)</f>
        <v>1</v>
      </c>
      <c r="AN1958" s="44">
        <f>(打分卡!$D$7*AC1958+打分卡!$D$8*AD1958+打分卡!$D$9*AE1958)/5</f>
        <v>8</v>
      </c>
      <c r="AO1958" s="44">
        <f>(打分卡!$D$10*AF1958+打分卡!$D$11*AG1958)/5</f>
        <v>4</v>
      </c>
      <c r="AP1958" s="44">
        <f>(打分卡!$D$12*AH1958+打分卡!$D$13*AI1958+打分卡!$D$14*AJ1958+打分卡!$D$15*AK1958)/5</f>
        <v>13.2</v>
      </c>
      <c r="AQ1958" s="44">
        <f>(打分卡!$D$16*AL1958+打分卡!$D$17*AM1958)/5</f>
        <v>2</v>
      </c>
      <c r="AR1958" s="47">
        <f t="shared" si="242"/>
        <v>27.2</v>
      </c>
      <c r="AS1958" s="43" t="str">
        <f t="shared" si="243"/>
        <v>未激活</v>
      </c>
      <c r="AT1958" s="43" t="str">
        <f t="shared" si="244"/>
        <v>连续下降-预警</v>
      </c>
      <c r="AU1958" s="43" t="str">
        <f t="shared" si="245"/>
        <v>唤醒：短信模板+首充补贴</v>
      </c>
    </row>
    <row r="1959" ht="15" customHeight="1" spans="1:47">
      <c r="A1959" s="20" t="s">
        <v>4929</v>
      </c>
      <c r="B1959" s="22" t="s">
        <v>4930</v>
      </c>
      <c r="C1959" s="22" t="s">
        <v>189</v>
      </c>
      <c r="D1959" s="22" t="s">
        <v>202</v>
      </c>
      <c r="E1959" s="22" t="s">
        <v>181</v>
      </c>
      <c r="F1959" s="20" t="s">
        <v>1846</v>
      </c>
      <c r="G1959" s="22">
        <v>22</v>
      </c>
      <c r="H1959" s="22" t="s">
        <v>3535</v>
      </c>
      <c r="I1959" s="22" t="s">
        <v>302</v>
      </c>
      <c r="J1959" s="36">
        <v>0</v>
      </c>
      <c r="K1959" s="36">
        <v>0</v>
      </c>
      <c r="L1959" s="36">
        <v>0</v>
      </c>
      <c r="M1959" s="36">
        <f t="shared" si="240"/>
        <v>0</v>
      </c>
      <c r="N1959" s="34">
        <f t="shared" si="246"/>
        <v>0</v>
      </c>
      <c r="O1959" s="35">
        <f>SUM($M$2:M1959)</f>
        <v>190743600</v>
      </c>
      <c r="P1959" s="34">
        <f t="shared" si="247"/>
        <v>1</v>
      </c>
      <c r="Q1959" s="39">
        <v>0</v>
      </c>
      <c r="R1959" s="22">
        <v>0</v>
      </c>
      <c r="S1959" s="22">
        <v>0</v>
      </c>
      <c r="T1959" s="22">
        <v>0</v>
      </c>
      <c r="U1959" s="39">
        <v>0.6</v>
      </c>
      <c r="V1959" s="22">
        <v>12</v>
      </c>
      <c r="W1959" s="22">
        <v>2</v>
      </c>
      <c r="X1959" s="40">
        <v>36</v>
      </c>
      <c r="Y1959" s="22">
        <v>1</v>
      </c>
      <c r="Z1959" s="22">
        <v>0</v>
      </c>
      <c r="AA1959" s="22" t="s">
        <v>212</v>
      </c>
      <c r="AB1959" s="22" t="s">
        <v>220</v>
      </c>
      <c r="AC1959" s="42">
        <f>IFERROR(LOOKUP(M1959,打分卡!$F$7:$J$7,打分卡!$K$7:$O$7),1)</f>
        <v>1</v>
      </c>
      <c r="AD1959" s="42">
        <f>IFERROR(LOOKUP(S1959,打分卡!$F$8:$J$8,打分卡!$K$8:$O$8),1)</f>
        <v>1</v>
      </c>
      <c r="AE1959" s="42">
        <f>IFERROR(LOOKUP(T1959,打分卡!$F$9:$I$9,打分卡!$K$9:$N$9),1)</f>
        <v>1</v>
      </c>
      <c r="AF1959" s="42">
        <f>IFERROR(LOOKUP(Q1959,打分卡!$F$10:$J$10,打分卡!$K$10:$O$10),1)</f>
        <v>1</v>
      </c>
      <c r="AG1959" s="42">
        <f>IFERROR(LOOKUP(R1959,打分卡!$F$11:$J$11,打分卡!$K$11:$O$11),1)</f>
        <v>1</v>
      </c>
      <c r="AH1959" s="42">
        <f>IFERROR(LOOKUP(U1959,打分卡!$F$12:$J$12,打分卡!$K$12:$O$12),1)</f>
        <v>1</v>
      </c>
      <c r="AI1959" s="42">
        <f>IFERROR(LOOKUP(X1959,打分卡!$F$13:$J$13,打分卡!$K$13:$O$13),1)</f>
        <v>2</v>
      </c>
      <c r="AJ1959" s="42">
        <f>IFERROR(LOOKUP(Y1959,打分卡!$F$14:$J$14,打分卡!$K$14:$O$14),1)</f>
        <v>2</v>
      </c>
      <c r="AK1959" s="42">
        <f>IFERROR(LOOKUP(W1959,打分卡!$F$15:$J$15,打分卡!$K$15:$O$15),1)</f>
        <v>2</v>
      </c>
      <c r="AL1959" s="45">
        <f t="shared" si="241"/>
        <v>1</v>
      </c>
      <c r="AM1959" s="42">
        <f>IFERROR(LOOKUP(Z1959,打分卡!$F$17:$H$17,打分卡!$K$17:$M$17),1)</f>
        <v>1</v>
      </c>
      <c r="AN1959" s="46">
        <f>(打分卡!$D$7*AC1959+打分卡!$D$8*AD1959+打分卡!$D$9*AE1959)/5</f>
        <v>8</v>
      </c>
      <c r="AO1959" s="46">
        <f>(打分卡!$D$10*AF1959+打分卡!$D$11*AG1959)/5</f>
        <v>4</v>
      </c>
      <c r="AP1959" s="46">
        <f>(打分卡!$D$12*AH1959+打分卡!$D$13*AI1959+打分卡!$D$14*AJ1959+打分卡!$D$15*AK1959)/5</f>
        <v>9.6</v>
      </c>
      <c r="AQ1959" s="46">
        <f>(打分卡!$D$16*AL1959+打分卡!$D$17*AM1959)/5</f>
        <v>2</v>
      </c>
      <c r="AR1959" s="48">
        <f t="shared" si="242"/>
        <v>23.6</v>
      </c>
      <c r="AS1959" s="45" t="str">
        <f t="shared" si="243"/>
        <v>未激活</v>
      </c>
      <c r="AT1959" s="45" t="str">
        <f t="shared" si="244"/>
        <v>连续下降-预警</v>
      </c>
      <c r="AU1959" s="45" t="str">
        <f t="shared" si="245"/>
        <v>唤醒：短信模板+首充补贴</v>
      </c>
    </row>
    <row r="1960" ht="15" customHeight="1" spans="1:47">
      <c r="A1960" s="30" t="s">
        <v>4931</v>
      </c>
      <c r="B1960" s="31" t="s">
        <v>4932</v>
      </c>
      <c r="C1960" s="31" t="s">
        <v>195</v>
      </c>
      <c r="D1960" s="31" t="s">
        <v>190</v>
      </c>
      <c r="E1960" s="31" t="s">
        <v>181</v>
      </c>
      <c r="F1960" s="30" t="s">
        <v>1812</v>
      </c>
      <c r="G1960" s="31">
        <v>18</v>
      </c>
      <c r="H1960" s="31" t="s">
        <v>3535</v>
      </c>
      <c r="I1960" s="31" t="s">
        <v>302</v>
      </c>
      <c r="J1960" s="33">
        <v>0</v>
      </c>
      <c r="K1960" s="33">
        <v>0</v>
      </c>
      <c r="L1960" s="33">
        <v>0</v>
      </c>
      <c r="M1960" s="33">
        <f t="shared" si="240"/>
        <v>0</v>
      </c>
      <c r="N1960" s="34">
        <f t="shared" si="246"/>
        <v>0</v>
      </c>
      <c r="O1960" s="35">
        <f>SUM($M$2:M1960)</f>
        <v>190743600</v>
      </c>
      <c r="P1960" s="34">
        <f t="shared" si="247"/>
        <v>1</v>
      </c>
      <c r="Q1960" s="37">
        <v>0</v>
      </c>
      <c r="R1960" s="31">
        <v>0</v>
      </c>
      <c r="S1960" s="31">
        <v>0</v>
      </c>
      <c r="T1960" s="31">
        <v>0</v>
      </c>
      <c r="U1960" s="37">
        <v>0.5</v>
      </c>
      <c r="V1960" s="31">
        <v>1</v>
      </c>
      <c r="W1960" s="31">
        <v>1</v>
      </c>
      <c r="X1960" s="38">
        <v>17</v>
      </c>
      <c r="Y1960" s="31">
        <v>1</v>
      </c>
      <c r="Z1960" s="31">
        <v>0</v>
      </c>
      <c r="AA1960" s="31" t="s">
        <v>212</v>
      </c>
      <c r="AB1960" s="31" t="s">
        <v>220</v>
      </c>
      <c r="AC1960" s="41">
        <f>IFERROR(LOOKUP(M1960,打分卡!$F$7:$J$7,打分卡!$K$7:$O$7),1)</f>
        <v>1</v>
      </c>
      <c r="AD1960" s="41">
        <f>IFERROR(LOOKUP(S1960,打分卡!$F$8:$J$8,打分卡!$K$8:$O$8),1)</f>
        <v>1</v>
      </c>
      <c r="AE1960" s="41">
        <f>IFERROR(LOOKUP(T1960,打分卡!$F$9:$I$9,打分卡!$K$9:$N$9),1)</f>
        <v>1</v>
      </c>
      <c r="AF1960" s="41">
        <f>IFERROR(LOOKUP(Q1960,打分卡!$F$10:$J$10,打分卡!$K$10:$O$10),1)</f>
        <v>1</v>
      </c>
      <c r="AG1960" s="41">
        <f>IFERROR(LOOKUP(R1960,打分卡!$F$11:$J$11,打分卡!$K$11:$O$11),1)</f>
        <v>1</v>
      </c>
      <c r="AH1960" s="41">
        <f>IFERROR(LOOKUP(U1960,打分卡!$F$12:$J$12,打分卡!$K$12:$O$12),1)</f>
        <v>1</v>
      </c>
      <c r="AI1960" s="41">
        <f>IFERROR(LOOKUP(X1960,打分卡!$F$13:$J$13,打分卡!$K$13:$O$13),1)</f>
        <v>1</v>
      </c>
      <c r="AJ1960" s="41">
        <f>IFERROR(LOOKUP(Y1960,打分卡!$F$14:$J$14,打分卡!$K$14:$O$14),1)</f>
        <v>2</v>
      </c>
      <c r="AK1960" s="41">
        <f>IFERROR(LOOKUP(W1960,打分卡!$F$15:$J$15,打分卡!$K$15:$O$15),1)</f>
        <v>2</v>
      </c>
      <c r="AL1960" s="43">
        <f t="shared" si="241"/>
        <v>1</v>
      </c>
      <c r="AM1960" s="41">
        <f>IFERROR(LOOKUP(Z1960,打分卡!$F$17:$H$17,打分卡!$K$17:$M$17),1)</f>
        <v>1</v>
      </c>
      <c r="AN1960" s="44">
        <f>(打分卡!$D$7*AC1960+打分卡!$D$8*AD1960+打分卡!$D$9*AE1960)/5</f>
        <v>8</v>
      </c>
      <c r="AO1960" s="44">
        <f>(打分卡!$D$10*AF1960+打分卡!$D$11*AG1960)/5</f>
        <v>4</v>
      </c>
      <c r="AP1960" s="44">
        <f>(打分卡!$D$12*AH1960+打分卡!$D$13*AI1960+打分卡!$D$14*AJ1960+打分卡!$D$15*AK1960)/5</f>
        <v>8</v>
      </c>
      <c r="AQ1960" s="44">
        <f>(打分卡!$D$16*AL1960+打分卡!$D$17*AM1960)/5</f>
        <v>2</v>
      </c>
      <c r="AR1960" s="47">
        <f t="shared" si="242"/>
        <v>22</v>
      </c>
      <c r="AS1960" s="43" t="str">
        <f t="shared" si="243"/>
        <v>未激活</v>
      </c>
      <c r="AT1960" s="43" t="str">
        <f t="shared" si="244"/>
        <v>连续下降-预警</v>
      </c>
      <c r="AU1960" s="43" t="str">
        <f t="shared" si="245"/>
        <v>唤醒：短信模板+首充补贴</v>
      </c>
    </row>
    <row r="1961" ht="15" customHeight="1" spans="1:47">
      <c r="A1961" s="20" t="s">
        <v>4933</v>
      </c>
      <c r="B1961" s="22" t="s">
        <v>4934</v>
      </c>
      <c r="C1961" s="22" t="s">
        <v>189</v>
      </c>
      <c r="D1961" s="22" t="s">
        <v>227</v>
      </c>
      <c r="E1961" s="22" t="s">
        <v>181</v>
      </c>
      <c r="F1961" s="20" t="s">
        <v>1159</v>
      </c>
      <c r="G1961" s="22">
        <v>20</v>
      </c>
      <c r="H1961" s="22" t="s">
        <v>3535</v>
      </c>
      <c r="I1961" s="22" t="s">
        <v>302</v>
      </c>
      <c r="J1961" s="36">
        <v>0</v>
      </c>
      <c r="K1961" s="36">
        <v>0</v>
      </c>
      <c r="L1961" s="36">
        <v>0</v>
      </c>
      <c r="M1961" s="36">
        <f t="shared" si="240"/>
        <v>0</v>
      </c>
      <c r="N1961" s="34">
        <f t="shared" si="246"/>
        <v>0</v>
      </c>
      <c r="O1961" s="35">
        <f>SUM($M$2:M1961)</f>
        <v>190743600</v>
      </c>
      <c r="P1961" s="34">
        <f t="shared" si="247"/>
        <v>1</v>
      </c>
      <c r="Q1961" s="39">
        <v>0</v>
      </c>
      <c r="R1961" s="22">
        <v>0</v>
      </c>
      <c r="S1961" s="22">
        <v>0</v>
      </c>
      <c r="T1961" s="22">
        <v>0</v>
      </c>
      <c r="U1961" s="39">
        <v>12.9</v>
      </c>
      <c r="V1961" s="22">
        <v>7</v>
      </c>
      <c r="W1961" s="22">
        <v>1</v>
      </c>
      <c r="X1961" s="40">
        <v>14</v>
      </c>
      <c r="Y1961" s="22">
        <v>0</v>
      </c>
      <c r="Z1961" s="22">
        <v>0</v>
      </c>
      <c r="AA1961" s="22" t="s">
        <v>212</v>
      </c>
      <c r="AB1961" s="22" t="s">
        <v>220</v>
      </c>
      <c r="AC1961" s="42">
        <f>IFERROR(LOOKUP(M1961,打分卡!$F$7:$J$7,打分卡!$K$7:$O$7),1)</f>
        <v>1</v>
      </c>
      <c r="AD1961" s="42">
        <f>IFERROR(LOOKUP(S1961,打分卡!$F$8:$J$8,打分卡!$K$8:$O$8),1)</f>
        <v>1</v>
      </c>
      <c r="AE1961" s="42">
        <f>IFERROR(LOOKUP(T1961,打分卡!$F$9:$I$9,打分卡!$K$9:$N$9),1)</f>
        <v>1</v>
      </c>
      <c r="AF1961" s="42">
        <f>IFERROR(LOOKUP(Q1961,打分卡!$F$10:$J$10,打分卡!$K$10:$O$10),1)</f>
        <v>1</v>
      </c>
      <c r="AG1961" s="42">
        <f>IFERROR(LOOKUP(R1961,打分卡!$F$11:$J$11,打分卡!$K$11:$O$11),1)</f>
        <v>1</v>
      </c>
      <c r="AH1961" s="42">
        <f>IFERROR(LOOKUP(U1961,打分卡!$F$12:$J$12,打分卡!$K$12:$O$12),1)</f>
        <v>3</v>
      </c>
      <c r="AI1961" s="42">
        <f>IFERROR(LOOKUP(X1961,打分卡!$F$13:$J$13,打分卡!$K$13:$O$13),1)</f>
        <v>1</v>
      </c>
      <c r="AJ1961" s="42">
        <f>IFERROR(LOOKUP(Y1961,打分卡!$F$14:$J$14,打分卡!$K$14:$O$14),1)</f>
        <v>1</v>
      </c>
      <c r="AK1961" s="42">
        <f>IFERROR(LOOKUP(W1961,打分卡!$F$15:$J$15,打分卡!$K$15:$O$15),1)</f>
        <v>2</v>
      </c>
      <c r="AL1961" s="45">
        <f t="shared" si="241"/>
        <v>1</v>
      </c>
      <c r="AM1961" s="42">
        <f>IFERROR(LOOKUP(Z1961,打分卡!$F$17:$H$17,打分卡!$K$17:$M$17),1)</f>
        <v>1</v>
      </c>
      <c r="AN1961" s="46">
        <f>(打分卡!$D$7*AC1961+打分卡!$D$8*AD1961+打分卡!$D$9*AE1961)/5</f>
        <v>8</v>
      </c>
      <c r="AO1961" s="46">
        <f>(打分卡!$D$10*AF1961+打分卡!$D$11*AG1961)/5</f>
        <v>4</v>
      </c>
      <c r="AP1961" s="46">
        <f>(打分卡!$D$12*AH1961+打分卡!$D$13*AI1961+打分卡!$D$14*AJ1961+打分卡!$D$15*AK1961)/5</f>
        <v>11.6</v>
      </c>
      <c r="AQ1961" s="46">
        <f>(打分卡!$D$16*AL1961+打分卡!$D$17*AM1961)/5</f>
        <v>2</v>
      </c>
      <c r="AR1961" s="48">
        <f t="shared" si="242"/>
        <v>25.6</v>
      </c>
      <c r="AS1961" s="45" t="str">
        <f t="shared" si="243"/>
        <v>未激活</v>
      </c>
      <c r="AT1961" s="45" t="str">
        <f t="shared" si="244"/>
        <v>连续下降-预警</v>
      </c>
      <c r="AU1961" s="45" t="str">
        <f t="shared" si="245"/>
        <v>唤醒：短信模板+首充补贴</v>
      </c>
    </row>
    <row r="1962" ht="15" customHeight="1" spans="1:47">
      <c r="A1962" s="30" t="s">
        <v>4935</v>
      </c>
      <c r="B1962" s="31" t="s">
        <v>4936</v>
      </c>
      <c r="C1962" s="31" t="s">
        <v>209</v>
      </c>
      <c r="D1962" s="31" t="s">
        <v>196</v>
      </c>
      <c r="E1962" s="31" t="s">
        <v>197</v>
      </c>
      <c r="F1962" s="30" t="s">
        <v>219</v>
      </c>
      <c r="G1962" s="31">
        <v>16</v>
      </c>
      <c r="H1962" s="31" t="s">
        <v>3535</v>
      </c>
      <c r="I1962" s="31" t="s">
        <v>302</v>
      </c>
      <c r="J1962" s="33">
        <v>0</v>
      </c>
      <c r="K1962" s="33">
        <v>0</v>
      </c>
      <c r="L1962" s="33">
        <v>0</v>
      </c>
      <c r="M1962" s="33">
        <f t="shared" si="240"/>
        <v>0</v>
      </c>
      <c r="N1962" s="34">
        <f t="shared" si="246"/>
        <v>0</v>
      </c>
      <c r="O1962" s="35">
        <f>SUM($M$2:M1962)</f>
        <v>190743600</v>
      </c>
      <c r="P1962" s="34">
        <f t="shared" si="247"/>
        <v>1</v>
      </c>
      <c r="Q1962" s="37">
        <v>0</v>
      </c>
      <c r="R1962" s="31">
        <v>0</v>
      </c>
      <c r="S1962" s="31">
        <v>0</v>
      </c>
      <c r="T1962" s="31">
        <v>0</v>
      </c>
      <c r="U1962" s="37">
        <v>22.6</v>
      </c>
      <c r="V1962" s="31">
        <v>13</v>
      </c>
      <c r="W1962" s="31">
        <v>0</v>
      </c>
      <c r="X1962" s="38">
        <v>11</v>
      </c>
      <c r="Y1962" s="31">
        <v>1</v>
      </c>
      <c r="Z1962" s="31">
        <v>0</v>
      </c>
      <c r="AA1962" s="31" t="s">
        <v>212</v>
      </c>
      <c r="AB1962" s="31" t="s">
        <v>220</v>
      </c>
      <c r="AC1962" s="41">
        <f>IFERROR(LOOKUP(M1962,打分卡!$F$7:$J$7,打分卡!$K$7:$O$7),1)</f>
        <v>1</v>
      </c>
      <c r="AD1962" s="41">
        <f>IFERROR(LOOKUP(S1962,打分卡!$F$8:$J$8,打分卡!$K$8:$O$8),1)</f>
        <v>1</v>
      </c>
      <c r="AE1962" s="41">
        <f>IFERROR(LOOKUP(T1962,打分卡!$F$9:$I$9,打分卡!$K$9:$N$9),1)</f>
        <v>1</v>
      </c>
      <c r="AF1962" s="41">
        <f>IFERROR(LOOKUP(Q1962,打分卡!$F$10:$J$10,打分卡!$K$10:$O$10),1)</f>
        <v>1</v>
      </c>
      <c r="AG1962" s="41">
        <f>IFERROR(LOOKUP(R1962,打分卡!$F$11:$J$11,打分卡!$K$11:$O$11),1)</f>
        <v>1</v>
      </c>
      <c r="AH1962" s="41">
        <f>IFERROR(LOOKUP(U1962,打分卡!$F$12:$J$12,打分卡!$K$12:$O$12),1)</f>
        <v>3</v>
      </c>
      <c r="AI1962" s="41">
        <f>IFERROR(LOOKUP(X1962,打分卡!$F$13:$J$13,打分卡!$K$13:$O$13),1)</f>
        <v>1</v>
      </c>
      <c r="AJ1962" s="41">
        <f>IFERROR(LOOKUP(Y1962,打分卡!$F$14:$J$14,打分卡!$K$14:$O$14),1)</f>
        <v>2</v>
      </c>
      <c r="AK1962" s="41">
        <f>IFERROR(LOOKUP(W1962,打分卡!$F$15:$J$15,打分卡!$K$15:$O$15),1)</f>
        <v>1</v>
      </c>
      <c r="AL1962" s="43">
        <f t="shared" si="241"/>
        <v>1</v>
      </c>
      <c r="AM1962" s="41">
        <f>IFERROR(LOOKUP(Z1962,打分卡!$F$17:$H$17,打分卡!$K$17:$M$17),1)</f>
        <v>1</v>
      </c>
      <c r="AN1962" s="44">
        <f>(打分卡!$D$7*AC1962+打分卡!$D$8*AD1962+打分卡!$D$9*AE1962)/5</f>
        <v>8</v>
      </c>
      <c r="AO1962" s="44">
        <f>(打分卡!$D$10*AF1962+打分卡!$D$11*AG1962)/5</f>
        <v>4</v>
      </c>
      <c r="AP1962" s="44">
        <f>(打分卡!$D$12*AH1962+打分卡!$D$13*AI1962+打分卡!$D$14*AJ1962+打分卡!$D$15*AK1962)/5</f>
        <v>12</v>
      </c>
      <c r="AQ1962" s="44">
        <f>(打分卡!$D$16*AL1962+打分卡!$D$17*AM1962)/5</f>
        <v>2</v>
      </c>
      <c r="AR1962" s="47">
        <f t="shared" si="242"/>
        <v>26</v>
      </c>
      <c r="AS1962" s="43" t="str">
        <f t="shared" si="243"/>
        <v>未激活</v>
      </c>
      <c r="AT1962" s="43" t="str">
        <f t="shared" si="244"/>
        <v>连续下降-预警</v>
      </c>
      <c r="AU1962" s="43" t="str">
        <f t="shared" si="245"/>
        <v>唤醒：短信模板+首充补贴</v>
      </c>
    </row>
    <row r="1963" ht="15" customHeight="1" spans="1:47">
      <c r="A1963" s="20" t="s">
        <v>4937</v>
      </c>
      <c r="B1963" s="22" t="s">
        <v>4938</v>
      </c>
      <c r="C1963" s="22" t="s">
        <v>223</v>
      </c>
      <c r="D1963" s="22" t="s">
        <v>227</v>
      </c>
      <c r="E1963" s="22" t="s">
        <v>181</v>
      </c>
      <c r="F1963" s="20" t="s">
        <v>481</v>
      </c>
      <c r="G1963" s="22">
        <v>13</v>
      </c>
      <c r="H1963" s="22" t="s">
        <v>3535</v>
      </c>
      <c r="I1963" s="22" t="s">
        <v>302</v>
      </c>
      <c r="J1963" s="36">
        <v>0</v>
      </c>
      <c r="K1963" s="36">
        <v>0</v>
      </c>
      <c r="L1963" s="36">
        <v>0</v>
      </c>
      <c r="M1963" s="36">
        <f t="shared" si="240"/>
        <v>0</v>
      </c>
      <c r="N1963" s="34">
        <f t="shared" si="246"/>
        <v>0</v>
      </c>
      <c r="O1963" s="35">
        <f>SUM($M$2:M1963)</f>
        <v>190743600</v>
      </c>
      <c r="P1963" s="34">
        <f t="shared" si="247"/>
        <v>1</v>
      </c>
      <c r="Q1963" s="39">
        <v>0</v>
      </c>
      <c r="R1963" s="22">
        <v>0</v>
      </c>
      <c r="S1963" s="22">
        <v>0</v>
      </c>
      <c r="T1963" s="22">
        <v>0</v>
      </c>
      <c r="U1963" s="39">
        <v>9.5</v>
      </c>
      <c r="V1963" s="22">
        <v>15</v>
      </c>
      <c r="W1963" s="22">
        <v>2</v>
      </c>
      <c r="X1963" s="40">
        <v>26</v>
      </c>
      <c r="Y1963" s="22">
        <v>1</v>
      </c>
      <c r="Z1963" s="22">
        <v>0</v>
      </c>
      <c r="AA1963" s="22" t="s">
        <v>212</v>
      </c>
      <c r="AB1963" s="22" t="s">
        <v>220</v>
      </c>
      <c r="AC1963" s="42">
        <f>IFERROR(LOOKUP(M1963,打分卡!$F$7:$J$7,打分卡!$K$7:$O$7),1)</f>
        <v>1</v>
      </c>
      <c r="AD1963" s="42">
        <f>IFERROR(LOOKUP(S1963,打分卡!$F$8:$J$8,打分卡!$K$8:$O$8),1)</f>
        <v>1</v>
      </c>
      <c r="AE1963" s="42">
        <f>IFERROR(LOOKUP(T1963,打分卡!$F$9:$I$9,打分卡!$K$9:$N$9),1)</f>
        <v>1</v>
      </c>
      <c r="AF1963" s="42">
        <f>IFERROR(LOOKUP(Q1963,打分卡!$F$10:$J$10,打分卡!$K$10:$O$10),1)</f>
        <v>1</v>
      </c>
      <c r="AG1963" s="42">
        <f>IFERROR(LOOKUP(R1963,打分卡!$F$11:$J$11,打分卡!$K$11:$O$11),1)</f>
        <v>1</v>
      </c>
      <c r="AH1963" s="42">
        <f>IFERROR(LOOKUP(U1963,打分卡!$F$12:$J$12,打分卡!$K$12:$O$12),1)</f>
        <v>2</v>
      </c>
      <c r="AI1963" s="42">
        <f>IFERROR(LOOKUP(X1963,打分卡!$F$13:$J$13,打分卡!$K$13:$O$13),1)</f>
        <v>2</v>
      </c>
      <c r="AJ1963" s="42">
        <f>IFERROR(LOOKUP(Y1963,打分卡!$F$14:$J$14,打分卡!$K$14:$O$14),1)</f>
        <v>2</v>
      </c>
      <c r="AK1963" s="42">
        <f>IFERROR(LOOKUP(W1963,打分卡!$F$15:$J$15,打分卡!$K$15:$O$15),1)</f>
        <v>2</v>
      </c>
      <c r="AL1963" s="45">
        <f t="shared" si="241"/>
        <v>1</v>
      </c>
      <c r="AM1963" s="42">
        <f>IFERROR(LOOKUP(Z1963,打分卡!$F$17:$H$17,打分卡!$K$17:$M$17),1)</f>
        <v>1</v>
      </c>
      <c r="AN1963" s="46">
        <f>(打分卡!$D$7*AC1963+打分卡!$D$8*AD1963+打分卡!$D$9*AE1963)/5</f>
        <v>8</v>
      </c>
      <c r="AO1963" s="46">
        <f>(打分卡!$D$10*AF1963+打分卡!$D$11*AG1963)/5</f>
        <v>4</v>
      </c>
      <c r="AP1963" s="46">
        <f>(打分卡!$D$12*AH1963+打分卡!$D$13*AI1963+打分卡!$D$14*AJ1963+打分卡!$D$15*AK1963)/5</f>
        <v>12</v>
      </c>
      <c r="AQ1963" s="46">
        <f>(打分卡!$D$16*AL1963+打分卡!$D$17*AM1963)/5</f>
        <v>2</v>
      </c>
      <c r="AR1963" s="48">
        <f t="shared" si="242"/>
        <v>26</v>
      </c>
      <c r="AS1963" s="45" t="str">
        <f t="shared" si="243"/>
        <v>未激活</v>
      </c>
      <c r="AT1963" s="45" t="str">
        <f t="shared" si="244"/>
        <v>连续下降-预警</v>
      </c>
      <c r="AU1963" s="45" t="str">
        <f t="shared" si="245"/>
        <v>唤醒：短信模板+首充补贴</v>
      </c>
    </row>
    <row r="1964" ht="15" customHeight="1" spans="1:47">
      <c r="A1964" s="30" t="s">
        <v>4939</v>
      </c>
      <c r="B1964" s="31" t="s">
        <v>4940</v>
      </c>
      <c r="C1964" s="31" t="s">
        <v>195</v>
      </c>
      <c r="D1964" s="31" t="s">
        <v>235</v>
      </c>
      <c r="E1964" s="31" t="s">
        <v>181</v>
      </c>
      <c r="F1964" s="30" t="s">
        <v>4941</v>
      </c>
      <c r="G1964" s="31">
        <v>22</v>
      </c>
      <c r="H1964" s="31" t="s">
        <v>3535</v>
      </c>
      <c r="I1964" s="31" t="s">
        <v>302</v>
      </c>
      <c r="J1964" s="33">
        <v>0</v>
      </c>
      <c r="K1964" s="33">
        <v>0</v>
      </c>
      <c r="L1964" s="33">
        <v>0</v>
      </c>
      <c r="M1964" s="33">
        <f t="shared" si="240"/>
        <v>0</v>
      </c>
      <c r="N1964" s="34">
        <f t="shared" si="246"/>
        <v>0</v>
      </c>
      <c r="O1964" s="35">
        <f>SUM($M$2:M1964)</f>
        <v>190743600</v>
      </c>
      <c r="P1964" s="34">
        <f t="shared" si="247"/>
        <v>1</v>
      </c>
      <c r="Q1964" s="37">
        <v>0</v>
      </c>
      <c r="R1964" s="31">
        <v>0</v>
      </c>
      <c r="S1964" s="31">
        <v>0</v>
      </c>
      <c r="T1964" s="31">
        <v>0</v>
      </c>
      <c r="U1964" s="37">
        <v>11.6</v>
      </c>
      <c r="V1964" s="31">
        <v>8</v>
      </c>
      <c r="W1964" s="31">
        <v>1</v>
      </c>
      <c r="X1964" s="38">
        <v>43</v>
      </c>
      <c r="Y1964" s="31">
        <v>0</v>
      </c>
      <c r="Z1964" s="31">
        <v>0</v>
      </c>
      <c r="AA1964" s="31" t="s">
        <v>212</v>
      </c>
      <c r="AB1964" s="31" t="s">
        <v>220</v>
      </c>
      <c r="AC1964" s="41">
        <f>IFERROR(LOOKUP(M1964,打分卡!$F$7:$J$7,打分卡!$K$7:$O$7),1)</f>
        <v>1</v>
      </c>
      <c r="AD1964" s="41">
        <f>IFERROR(LOOKUP(S1964,打分卡!$F$8:$J$8,打分卡!$K$8:$O$8),1)</f>
        <v>1</v>
      </c>
      <c r="AE1964" s="41">
        <f>IFERROR(LOOKUP(T1964,打分卡!$F$9:$I$9,打分卡!$K$9:$N$9),1)</f>
        <v>1</v>
      </c>
      <c r="AF1964" s="41">
        <f>IFERROR(LOOKUP(Q1964,打分卡!$F$10:$J$10,打分卡!$K$10:$O$10),1)</f>
        <v>1</v>
      </c>
      <c r="AG1964" s="41">
        <f>IFERROR(LOOKUP(R1964,打分卡!$F$11:$J$11,打分卡!$K$11:$O$11),1)</f>
        <v>1</v>
      </c>
      <c r="AH1964" s="41">
        <f>IFERROR(LOOKUP(U1964,打分卡!$F$12:$J$12,打分卡!$K$12:$O$12),1)</f>
        <v>3</v>
      </c>
      <c r="AI1964" s="41">
        <f>IFERROR(LOOKUP(X1964,打分卡!$F$13:$J$13,打分卡!$K$13:$O$13),1)</f>
        <v>3</v>
      </c>
      <c r="AJ1964" s="41">
        <f>IFERROR(LOOKUP(Y1964,打分卡!$F$14:$J$14,打分卡!$K$14:$O$14),1)</f>
        <v>1</v>
      </c>
      <c r="AK1964" s="41">
        <f>IFERROR(LOOKUP(W1964,打分卡!$F$15:$J$15,打分卡!$K$15:$O$15),1)</f>
        <v>2</v>
      </c>
      <c r="AL1964" s="43">
        <f t="shared" si="241"/>
        <v>1</v>
      </c>
      <c r="AM1964" s="41">
        <f>IFERROR(LOOKUP(Z1964,打分卡!$F$17:$H$17,打分卡!$K$17:$M$17),1)</f>
        <v>1</v>
      </c>
      <c r="AN1964" s="44">
        <f>(打分卡!$D$7*AC1964+打分卡!$D$8*AD1964+打分卡!$D$9*AE1964)/5</f>
        <v>8</v>
      </c>
      <c r="AO1964" s="44">
        <f>(打分卡!$D$10*AF1964+打分卡!$D$11*AG1964)/5</f>
        <v>4</v>
      </c>
      <c r="AP1964" s="44">
        <f>(打分卡!$D$12*AH1964+打分卡!$D$13*AI1964+打分卡!$D$14*AJ1964+打分卡!$D$15*AK1964)/5</f>
        <v>14.8</v>
      </c>
      <c r="AQ1964" s="44">
        <f>(打分卡!$D$16*AL1964+打分卡!$D$17*AM1964)/5</f>
        <v>2</v>
      </c>
      <c r="AR1964" s="47">
        <f t="shared" si="242"/>
        <v>28.8</v>
      </c>
      <c r="AS1964" s="43" t="str">
        <f t="shared" si="243"/>
        <v>未激活</v>
      </c>
      <c r="AT1964" s="43" t="str">
        <f t="shared" si="244"/>
        <v>连续下降-预警</v>
      </c>
      <c r="AU1964" s="43" t="str">
        <f t="shared" si="245"/>
        <v>唤醒：短信模板+首充补贴</v>
      </c>
    </row>
    <row r="1965" ht="15" customHeight="1" spans="1:47">
      <c r="A1965" s="20" t="s">
        <v>4942</v>
      </c>
      <c r="B1965" s="22" t="s">
        <v>4943</v>
      </c>
      <c r="C1965" s="22" t="s">
        <v>189</v>
      </c>
      <c r="D1965" s="22" t="s">
        <v>202</v>
      </c>
      <c r="E1965" s="22" t="s">
        <v>181</v>
      </c>
      <c r="F1965" s="20" t="s">
        <v>2228</v>
      </c>
      <c r="G1965" s="22">
        <v>19</v>
      </c>
      <c r="H1965" s="22" t="s">
        <v>3535</v>
      </c>
      <c r="I1965" s="22" t="s">
        <v>302</v>
      </c>
      <c r="J1965" s="36">
        <v>0</v>
      </c>
      <c r="K1965" s="36">
        <v>0</v>
      </c>
      <c r="L1965" s="36">
        <v>0</v>
      </c>
      <c r="M1965" s="36">
        <f t="shared" si="240"/>
        <v>0</v>
      </c>
      <c r="N1965" s="34">
        <f t="shared" si="246"/>
        <v>0</v>
      </c>
      <c r="O1965" s="35">
        <f>SUM($M$2:M1965)</f>
        <v>190743600</v>
      </c>
      <c r="P1965" s="34">
        <f t="shared" si="247"/>
        <v>1</v>
      </c>
      <c r="Q1965" s="39">
        <v>0</v>
      </c>
      <c r="R1965" s="22">
        <v>0</v>
      </c>
      <c r="S1965" s="22">
        <v>0</v>
      </c>
      <c r="T1965" s="22">
        <v>0</v>
      </c>
      <c r="U1965" s="39">
        <v>1</v>
      </c>
      <c r="V1965" s="22">
        <v>9</v>
      </c>
      <c r="W1965" s="22">
        <v>0</v>
      </c>
      <c r="X1965" s="40">
        <v>34</v>
      </c>
      <c r="Y1965" s="22">
        <v>1</v>
      </c>
      <c r="Z1965" s="22">
        <v>0</v>
      </c>
      <c r="AA1965" s="22" t="s">
        <v>212</v>
      </c>
      <c r="AB1965" s="22" t="s">
        <v>220</v>
      </c>
      <c r="AC1965" s="42">
        <f>IFERROR(LOOKUP(M1965,打分卡!$F$7:$J$7,打分卡!$K$7:$O$7),1)</f>
        <v>1</v>
      </c>
      <c r="AD1965" s="42">
        <f>IFERROR(LOOKUP(S1965,打分卡!$F$8:$J$8,打分卡!$K$8:$O$8),1)</f>
        <v>1</v>
      </c>
      <c r="AE1965" s="42">
        <f>IFERROR(LOOKUP(T1965,打分卡!$F$9:$I$9,打分卡!$K$9:$N$9),1)</f>
        <v>1</v>
      </c>
      <c r="AF1965" s="42">
        <f>IFERROR(LOOKUP(Q1965,打分卡!$F$10:$J$10,打分卡!$K$10:$O$10),1)</f>
        <v>1</v>
      </c>
      <c r="AG1965" s="42">
        <f>IFERROR(LOOKUP(R1965,打分卡!$F$11:$J$11,打分卡!$K$11:$O$11),1)</f>
        <v>1</v>
      </c>
      <c r="AH1965" s="42">
        <f>IFERROR(LOOKUP(U1965,打分卡!$F$12:$J$12,打分卡!$K$12:$O$12),1)</f>
        <v>1</v>
      </c>
      <c r="AI1965" s="42">
        <f>IFERROR(LOOKUP(X1965,打分卡!$F$13:$J$13,打分卡!$K$13:$O$13),1)</f>
        <v>2</v>
      </c>
      <c r="AJ1965" s="42">
        <f>IFERROR(LOOKUP(Y1965,打分卡!$F$14:$J$14,打分卡!$K$14:$O$14),1)</f>
        <v>2</v>
      </c>
      <c r="AK1965" s="42">
        <f>IFERROR(LOOKUP(W1965,打分卡!$F$15:$J$15,打分卡!$K$15:$O$15),1)</f>
        <v>1</v>
      </c>
      <c r="AL1965" s="45">
        <f t="shared" si="241"/>
        <v>1</v>
      </c>
      <c r="AM1965" s="42">
        <f>IFERROR(LOOKUP(Z1965,打分卡!$F$17:$H$17,打分卡!$K$17:$M$17),1)</f>
        <v>1</v>
      </c>
      <c r="AN1965" s="46">
        <f>(打分卡!$D$7*AC1965+打分卡!$D$8*AD1965+打分卡!$D$9*AE1965)/5</f>
        <v>8</v>
      </c>
      <c r="AO1965" s="46">
        <f>(打分卡!$D$10*AF1965+打分卡!$D$11*AG1965)/5</f>
        <v>4</v>
      </c>
      <c r="AP1965" s="46">
        <f>(打分卡!$D$12*AH1965+打分卡!$D$13*AI1965+打分卡!$D$14*AJ1965+打分卡!$D$15*AK1965)/5</f>
        <v>8.8</v>
      </c>
      <c r="AQ1965" s="46">
        <f>(打分卡!$D$16*AL1965+打分卡!$D$17*AM1965)/5</f>
        <v>2</v>
      </c>
      <c r="AR1965" s="48">
        <f t="shared" si="242"/>
        <v>22.8</v>
      </c>
      <c r="AS1965" s="45" t="str">
        <f t="shared" si="243"/>
        <v>未激活</v>
      </c>
      <c r="AT1965" s="45" t="str">
        <f t="shared" si="244"/>
        <v>连续下降-预警</v>
      </c>
      <c r="AU1965" s="45" t="str">
        <f t="shared" si="245"/>
        <v>唤醒：短信模板+首充补贴</v>
      </c>
    </row>
    <row r="1966" ht="15" customHeight="1" spans="1:47">
      <c r="A1966" s="30" t="s">
        <v>4944</v>
      </c>
      <c r="B1966" s="31" t="s">
        <v>4945</v>
      </c>
      <c r="C1966" s="31" t="s">
        <v>223</v>
      </c>
      <c r="D1966" s="31" t="s">
        <v>227</v>
      </c>
      <c r="E1966" s="31" t="s">
        <v>197</v>
      </c>
      <c r="F1966" s="30" t="s">
        <v>457</v>
      </c>
      <c r="G1966" s="31">
        <v>25</v>
      </c>
      <c r="H1966" s="31" t="s">
        <v>3535</v>
      </c>
      <c r="I1966" s="31" t="s">
        <v>302</v>
      </c>
      <c r="J1966" s="33">
        <v>0</v>
      </c>
      <c r="K1966" s="33">
        <v>0</v>
      </c>
      <c r="L1966" s="33">
        <v>0</v>
      </c>
      <c r="M1966" s="33">
        <f t="shared" si="240"/>
        <v>0</v>
      </c>
      <c r="N1966" s="34">
        <f t="shared" si="246"/>
        <v>0</v>
      </c>
      <c r="O1966" s="35">
        <f>SUM($M$2:M1966)</f>
        <v>190743600</v>
      </c>
      <c r="P1966" s="34">
        <f t="shared" si="247"/>
        <v>1</v>
      </c>
      <c r="Q1966" s="37">
        <v>0</v>
      </c>
      <c r="R1966" s="31">
        <v>0</v>
      </c>
      <c r="S1966" s="31">
        <v>0</v>
      </c>
      <c r="T1966" s="31">
        <v>0</v>
      </c>
      <c r="U1966" s="37">
        <v>8.7</v>
      </c>
      <c r="V1966" s="31">
        <v>1</v>
      </c>
      <c r="W1966" s="31">
        <v>1</v>
      </c>
      <c r="X1966" s="38">
        <v>10</v>
      </c>
      <c r="Y1966" s="31">
        <v>0</v>
      </c>
      <c r="Z1966" s="31">
        <v>0</v>
      </c>
      <c r="AA1966" s="31" t="s">
        <v>212</v>
      </c>
      <c r="AB1966" s="31" t="s">
        <v>220</v>
      </c>
      <c r="AC1966" s="41">
        <f>IFERROR(LOOKUP(M1966,打分卡!$F$7:$J$7,打分卡!$K$7:$O$7),1)</f>
        <v>1</v>
      </c>
      <c r="AD1966" s="41">
        <f>IFERROR(LOOKUP(S1966,打分卡!$F$8:$J$8,打分卡!$K$8:$O$8),1)</f>
        <v>1</v>
      </c>
      <c r="AE1966" s="41">
        <f>IFERROR(LOOKUP(T1966,打分卡!$F$9:$I$9,打分卡!$K$9:$N$9),1)</f>
        <v>1</v>
      </c>
      <c r="AF1966" s="41">
        <f>IFERROR(LOOKUP(Q1966,打分卡!$F$10:$J$10,打分卡!$K$10:$O$10),1)</f>
        <v>1</v>
      </c>
      <c r="AG1966" s="41">
        <f>IFERROR(LOOKUP(R1966,打分卡!$F$11:$J$11,打分卡!$K$11:$O$11),1)</f>
        <v>1</v>
      </c>
      <c r="AH1966" s="41">
        <f>IFERROR(LOOKUP(U1966,打分卡!$F$12:$J$12,打分卡!$K$12:$O$12),1)</f>
        <v>2</v>
      </c>
      <c r="AI1966" s="41">
        <f>IFERROR(LOOKUP(X1966,打分卡!$F$13:$J$13,打分卡!$K$13:$O$13),1)</f>
        <v>1</v>
      </c>
      <c r="AJ1966" s="41">
        <f>IFERROR(LOOKUP(Y1966,打分卡!$F$14:$J$14,打分卡!$K$14:$O$14),1)</f>
        <v>1</v>
      </c>
      <c r="AK1966" s="41">
        <f>IFERROR(LOOKUP(W1966,打分卡!$F$15:$J$15,打分卡!$K$15:$O$15),1)</f>
        <v>2</v>
      </c>
      <c r="AL1966" s="43">
        <f t="shared" si="241"/>
        <v>1</v>
      </c>
      <c r="AM1966" s="41">
        <f>IFERROR(LOOKUP(Z1966,打分卡!$F$17:$H$17,打分卡!$K$17:$M$17),1)</f>
        <v>1</v>
      </c>
      <c r="AN1966" s="44">
        <f>(打分卡!$D$7*AC1966+打分卡!$D$8*AD1966+打分卡!$D$9*AE1966)/5</f>
        <v>8</v>
      </c>
      <c r="AO1966" s="44">
        <f>(打分卡!$D$10*AF1966+打分卡!$D$11*AG1966)/5</f>
        <v>4</v>
      </c>
      <c r="AP1966" s="44">
        <f>(打分卡!$D$12*AH1966+打分卡!$D$13*AI1966+打分卡!$D$14*AJ1966+打分卡!$D$15*AK1966)/5</f>
        <v>9.2</v>
      </c>
      <c r="AQ1966" s="44">
        <f>(打分卡!$D$16*AL1966+打分卡!$D$17*AM1966)/5</f>
        <v>2</v>
      </c>
      <c r="AR1966" s="47">
        <f t="shared" si="242"/>
        <v>23.2</v>
      </c>
      <c r="AS1966" s="43" t="str">
        <f t="shared" si="243"/>
        <v>未激活</v>
      </c>
      <c r="AT1966" s="43" t="str">
        <f t="shared" si="244"/>
        <v>连续下降-预警</v>
      </c>
      <c r="AU1966" s="43" t="str">
        <f t="shared" si="245"/>
        <v>唤醒：短信模板+首充补贴</v>
      </c>
    </row>
    <row r="1967" ht="15" customHeight="1" spans="1:47">
      <c r="A1967" s="20" t="s">
        <v>4946</v>
      </c>
      <c r="B1967" s="22" t="s">
        <v>4947</v>
      </c>
      <c r="C1967" s="22" t="s">
        <v>189</v>
      </c>
      <c r="D1967" s="22" t="s">
        <v>202</v>
      </c>
      <c r="E1967" s="22" t="s">
        <v>181</v>
      </c>
      <c r="F1967" s="20" t="s">
        <v>433</v>
      </c>
      <c r="G1967" s="22">
        <v>30</v>
      </c>
      <c r="H1967" s="22" t="s">
        <v>3535</v>
      </c>
      <c r="I1967" s="22" t="s">
        <v>302</v>
      </c>
      <c r="J1967" s="36">
        <v>0</v>
      </c>
      <c r="K1967" s="36">
        <v>0</v>
      </c>
      <c r="L1967" s="36">
        <v>0</v>
      </c>
      <c r="M1967" s="36">
        <f t="shared" si="240"/>
        <v>0</v>
      </c>
      <c r="N1967" s="34">
        <f t="shared" si="246"/>
        <v>0</v>
      </c>
      <c r="O1967" s="35">
        <f>SUM($M$2:M1967)</f>
        <v>190743600</v>
      </c>
      <c r="P1967" s="34">
        <f t="shared" si="247"/>
        <v>1</v>
      </c>
      <c r="Q1967" s="39">
        <v>0</v>
      </c>
      <c r="R1967" s="22">
        <v>0</v>
      </c>
      <c r="S1967" s="22">
        <v>0</v>
      </c>
      <c r="T1967" s="22">
        <v>0</v>
      </c>
      <c r="U1967" s="39">
        <v>0.5</v>
      </c>
      <c r="V1967" s="22">
        <v>15</v>
      </c>
      <c r="W1967" s="22">
        <v>1</v>
      </c>
      <c r="X1967" s="40">
        <v>14</v>
      </c>
      <c r="Y1967" s="22">
        <v>0</v>
      </c>
      <c r="Z1967" s="22">
        <v>0</v>
      </c>
      <c r="AA1967" s="22" t="s">
        <v>212</v>
      </c>
      <c r="AB1967" s="22" t="s">
        <v>220</v>
      </c>
      <c r="AC1967" s="42">
        <f>IFERROR(LOOKUP(M1967,打分卡!$F$7:$J$7,打分卡!$K$7:$O$7),1)</f>
        <v>1</v>
      </c>
      <c r="AD1967" s="42">
        <f>IFERROR(LOOKUP(S1967,打分卡!$F$8:$J$8,打分卡!$K$8:$O$8),1)</f>
        <v>1</v>
      </c>
      <c r="AE1967" s="42">
        <f>IFERROR(LOOKUP(T1967,打分卡!$F$9:$I$9,打分卡!$K$9:$N$9),1)</f>
        <v>1</v>
      </c>
      <c r="AF1967" s="42">
        <f>IFERROR(LOOKUP(Q1967,打分卡!$F$10:$J$10,打分卡!$K$10:$O$10),1)</f>
        <v>1</v>
      </c>
      <c r="AG1967" s="42">
        <f>IFERROR(LOOKUP(R1967,打分卡!$F$11:$J$11,打分卡!$K$11:$O$11),1)</f>
        <v>1</v>
      </c>
      <c r="AH1967" s="42">
        <f>IFERROR(LOOKUP(U1967,打分卡!$F$12:$J$12,打分卡!$K$12:$O$12),1)</f>
        <v>1</v>
      </c>
      <c r="AI1967" s="42">
        <f>IFERROR(LOOKUP(X1967,打分卡!$F$13:$J$13,打分卡!$K$13:$O$13),1)</f>
        <v>1</v>
      </c>
      <c r="AJ1967" s="42">
        <f>IFERROR(LOOKUP(Y1967,打分卡!$F$14:$J$14,打分卡!$K$14:$O$14),1)</f>
        <v>1</v>
      </c>
      <c r="AK1967" s="42">
        <f>IFERROR(LOOKUP(W1967,打分卡!$F$15:$J$15,打分卡!$K$15:$O$15),1)</f>
        <v>2</v>
      </c>
      <c r="AL1967" s="45">
        <f t="shared" si="241"/>
        <v>1</v>
      </c>
      <c r="AM1967" s="42">
        <f>IFERROR(LOOKUP(Z1967,打分卡!$F$17:$H$17,打分卡!$K$17:$M$17),1)</f>
        <v>1</v>
      </c>
      <c r="AN1967" s="46">
        <f>(打分卡!$D$7*AC1967+打分卡!$D$8*AD1967+打分卡!$D$9*AE1967)/5</f>
        <v>8</v>
      </c>
      <c r="AO1967" s="46">
        <f>(打分卡!$D$10*AF1967+打分卡!$D$11*AG1967)/5</f>
        <v>4</v>
      </c>
      <c r="AP1967" s="46">
        <f>(打分卡!$D$12*AH1967+打分卡!$D$13*AI1967+打分卡!$D$14*AJ1967+打分卡!$D$15*AK1967)/5</f>
        <v>6.8</v>
      </c>
      <c r="AQ1967" s="46">
        <f>(打分卡!$D$16*AL1967+打分卡!$D$17*AM1967)/5</f>
        <v>2</v>
      </c>
      <c r="AR1967" s="48">
        <f t="shared" si="242"/>
        <v>20.8</v>
      </c>
      <c r="AS1967" s="45" t="str">
        <f t="shared" si="243"/>
        <v>未激活</v>
      </c>
      <c r="AT1967" s="45" t="str">
        <f t="shared" si="244"/>
        <v>连续下降-预警</v>
      </c>
      <c r="AU1967" s="45" t="str">
        <f t="shared" si="245"/>
        <v>唤醒：短信模板+首充补贴</v>
      </c>
    </row>
    <row r="1968" ht="15" customHeight="1" spans="1:47">
      <c r="A1968" s="30" t="s">
        <v>4948</v>
      </c>
      <c r="B1968" s="31" t="s">
        <v>4949</v>
      </c>
      <c r="C1968" s="31" t="s">
        <v>239</v>
      </c>
      <c r="D1968" s="31" t="s">
        <v>196</v>
      </c>
      <c r="E1968" s="31" t="s">
        <v>181</v>
      </c>
      <c r="F1968" s="30" t="s">
        <v>3568</v>
      </c>
      <c r="G1968" s="31">
        <v>27</v>
      </c>
      <c r="H1968" s="31" t="s">
        <v>3535</v>
      </c>
      <c r="I1968" s="31" t="s">
        <v>302</v>
      </c>
      <c r="J1968" s="33">
        <v>0</v>
      </c>
      <c r="K1968" s="33">
        <v>0</v>
      </c>
      <c r="L1968" s="33">
        <v>0</v>
      </c>
      <c r="M1968" s="33">
        <f t="shared" si="240"/>
        <v>0</v>
      </c>
      <c r="N1968" s="34">
        <f t="shared" si="246"/>
        <v>0</v>
      </c>
      <c r="O1968" s="35">
        <f>SUM($M$2:M1968)</f>
        <v>190743600</v>
      </c>
      <c r="P1968" s="34">
        <f t="shared" si="247"/>
        <v>1</v>
      </c>
      <c r="Q1968" s="37">
        <v>0</v>
      </c>
      <c r="R1968" s="31">
        <v>0</v>
      </c>
      <c r="S1968" s="31">
        <v>0</v>
      </c>
      <c r="T1968" s="31">
        <v>0</v>
      </c>
      <c r="U1968" s="37">
        <v>29.5</v>
      </c>
      <c r="V1968" s="31">
        <v>6</v>
      </c>
      <c r="W1968" s="31">
        <v>2</v>
      </c>
      <c r="X1968" s="38">
        <v>69</v>
      </c>
      <c r="Y1968" s="31">
        <v>1</v>
      </c>
      <c r="Z1968" s="31">
        <v>0</v>
      </c>
      <c r="AA1968" s="31" t="s">
        <v>212</v>
      </c>
      <c r="AB1968" s="31" t="s">
        <v>220</v>
      </c>
      <c r="AC1968" s="41">
        <f>IFERROR(LOOKUP(M1968,打分卡!$F$7:$J$7,打分卡!$K$7:$O$7),1)</f>
        <v>1</v>
      </c>
      <c r="AD1968" s="41">
        <f>IFERROR(LOOKUP(S1968,打分卡!$F$8:$J$8,打分卡!$K$8:$O$8),1)</f>
        <v>1</v>
      </c>
      <c r="AE1968" s="41">
        <f>IFERROR(LOOKUP(T1968,打分卡!$F$9:$I$9,打分卡!$K$9:$N$9),1)</f>
        <v>1</v>
      </c>
      <c r="AF1968" s="41">
        <f>IFERROR(LOOKUP(Q1968,打分卡!$F$10:$J$10,打分卡!$K$10:$O$10),1)</f>
        <v>1</v>
      </c>
      <c r="AG1968" s="41">
        <f>IFERROR(LOOKUP(R1968,打分卡!$F$11:$J$11,打分卡!$K$11:$O$11),1)</f>
        <v>1</v>
      </c>
      <c r="AH1968" s="41">
        <f>IFERROR(LOOKUP(U1968,打分卡!$F$12:$J$12,打分卡!$K$12:$O$12),1)</f>
        <v>3</v>
      </c>
      <c r="AI1968" s="41">
        <f>IFERROR(LOOKUP(X1968,打分卡!$F$13:$J$13,打分卡!$K$13:$O$13),1)</f>
        <v>3</v>
      </c>
      <c r="AJ1968" s="41">
        <f>IFERROR(LOOKUP(Y1968,打分卡!$F$14:$J$14,打分卡!$K$14:$O$14),1)</f>
        <v>2</v>
      </c>
      <c r="AK1968" s="41">
        <f>IFERROR(LOOKUP(W1968,打分卡!$F$15:$J$15,打分卡!$K$15:$O$15),1)</f>
        <v>2</v>
      </c>
      <c r="AL1968" s="43">
        <f t="shared" si="241"/>
        <v>1</v>
      </c>
      <c r="AM1968" s="41">
        <f>IFERROR(LOOKUP(Z1968,打分卡!$F$17:$H$17,打分卡!$K$17:$M$17),1)</f>
        <v>1</v>
      </c>
      <c r="AN1968" s="44">
        <f>(打分卡!$D$7*AC1968+打分卡!$D$8*AD1968+打分卡!$D$9*AE1968)/5</f>
        <v>8</v>
      </c>
      <c r="AO1968" s="44">
        <f>(打分卡!$D$10*AF1968+打分卡!$D$11*AG1968)/5</f>
        <v>4</v>
      </c>
      <c r="AP1968" s="44">
        <f>(打分卡!$D$12*AH1968+打分卡!$D$13*AI1968+打分卡!$D$14*AJ1968+打分卡!$D$15*AK1968)/5</f>
        <v>16</v>
      </c>
      <c r="AQ1968" s="44">
        <f>(打分卡!$D$16*AL1968+打分卡!$D$17*AM1968)/5</f>
        <v>2</v>
      </c>
      <c r="AR1968" s="47">
        <f t="shared" si="242"/>
        <v>30</v>
      </c>
      <c r="AS1968" s="43" t="str">
        <f t="shared" si="243"/>
        <v>未激活</v>
      </c>
      <c r="AT1968" s="43" t="str">
        <f t="shared" si="244"/>
        <v>连续下降-预警</v>
      </c>
      <c r="AU1968" s="43" t="str">
        <f t="shared" si="245"/>
        <v>唤醒：短信模板+首充补贴</v>
      </c>
    </row>
    <row r="1969" ht="15" customHeight="1" spans="1:47">
      <c r="A1969" s="20" t="s">
        <v>4950</v>
      </c>
      <c r="B1969" s="22" t="s">
        <v>4951</v>
      </c>
      <c r="C1969" s="22" t="s">
        <v>195</v>
      </c>
      <c r="D1969" s="22" t="s">
        <v>252</v>
      </c>
      <c r="E1969" s="22" t="s">
        <v>181</v>
      </c>
      <c r="F1969" s="20" t="s">
        <v>615</v>
      </c>
      <c r="G1969" s="22">
        <v>14</v>
      </c>
      <c r="H1969" s="22" t="s">
        <v>3535</v>
      </c>
      <c r="I1969" s="22" t="s">
        <v>302</v>
      </c>
      <c r="J1969" s="36">
        <v>0</v>
      </c>
      <c r="K1969" s="36">
        <v>0</v>
      </c>
      <c r="L1969" s="36">
        <v>0</v>
      </c>
      <c r="M1969" s="36">
        <f t="shared" si="240"/>
        <v>0</v>
      </c>
      <c r="N1969" s="34">
        <f t="shared" si="246"/>
        <v>0</v>
      </c>
      <c r="O1969" s="35">
        <f>SUM($M$2:M1969)</f>
        <v>190743600</v>
      </c>
      <c r="P1969" s="34">
        <f t="shared" si="247"/>
        <v>1</v>
      </c>
      <c r="Q1969" s="39">
        <v>0</v>
      </c>
      <c r="R1969" s="22">
        <v>0</v>
      </c>
      <c r="S1969" s="22">
        <v>0</v>
      </c>
      <c r="T1969" s="22">
        <v>0</v>
      </c>
      <c r="U1969" s="39">
        <v>0.6</v>
      </c>
      <c r="V1969" s="22">
        <v>7</v>
      </c>
      <c r="W1969" s="22">
        <v>2</v>
      </c>
      <c r="X1969" s="40">
        <v>54</v>
      </c>
      <c r="Y1969" s="22">
        <v>1</v>
      </c>
      <c r="Z1969" s="22">
        <v>0</v>
      </c>
      <c r="AA1969" s="22" t="s">
        <v>212</v>
      </c>
      <c r="AB1969" s="22" t="s">
        <v>220</v>
      </c>
      <c r="AC1969" s="42">
        <f>IFERROR(LOOKUP(M1969,打分卡!$F$7:$J$7,打分卡!$K$7:$O$7),1)</f>
        <v>1</v>
      </c>
      <c r="AD1969" s="42">
        <f>IFERROR(LOOKUP(S1969,打分卡!$F$8:$J$8,打分卡!$K$8:$O$8),1)</f>
        <v>1</v>
      </c>
      <c r="AE1969" s="42">
        <f>IFERROR(LOOKUP(T1969,打分卡!$F$9:$I$9,打分卡!$K$9:$N$9),1)</f>
        <v>1</v>
      </c>
      <c r="AF1969" s="42">
        <f>IFERROR(LOOKUP(Q1969,打分卡!$F$10:$J$10,打分卡!$K$10:$O$10),1)</f>
        <v>1</v>
      </c>
      <c r="AG1969" s="42">
        <f>IFERROR(LOOKUP(R1969,打分卡!$F$11:$J$11,打分卡!$K$11:$O$11),1)</f>
        <v>1</v>
      </c>
      <c r="AH1969" s="42">
        <f>IFERROR(LOOKUP(U1969,打分卡!$F$12:$J$12,打分卡!$K$12:$O$12),1)</f>
        <v>1</v>
      </c>
      <c r="AI1969" s="42">
        <f>IFERROR(LOOKUP(X1969,打分卡!$F$13:$J$13,打分卡!$K$13:$O$13),1)</f>
        <v>3</v>
      </c>
      <c r="AJ1969" s="42">
        <f>IFERROR(LOOKUP(Y1969,打分卡!$F$14:$J$14,打分卡!$K$14:$O$14),1)</f>
        <v>2</v>
      </c>
      <c r="AK1969" s="42">
        <f>IFERROR(LOOKUP(W1969,打分卡!$F$15:$J$15,打分卡!$K$15:$O$15),1)</f>
        <v>2</v>
      </c>
      <c r="AL1969" s="45">
        <f t="shared" si="241"/>
        <v>1</v>
      </c>
      <c r="AM1969" s="42">
        <f>IFERROR(LOOKUP(Z1969,打分卡!$F$17:$H$17,打分卡!$K$17:$M$17),1)</f>
        <v>1</v>
      </c>
      <c r="AN1969" s="46">
        <f>(打分卡!$D$7*AC1969+打分卡!$D$8*AD1969+打分卡!$D$9*AE1969)/5</f>
        <v>8</v>
      </c>
      <c r="AO1969" s="46">
        <f>(打分卡!$D$10*AF1969+打分卡!$D$11*AG1969)/5</f>
        <v>4</v>
      </c>
      <c r="AP1969" s="46">
        <f>(打分卡!$D$12*AH1969+打分卡!$D$13*AI1969+打分卡!$D$14*AJ1969+打分卡!$D$15*AK1969)/5</f>
        <v>11.2</v>
      </c>
      <c r="AQ1969" s="46">
        <f>(打分卡!$D$16*AL1969+打分卡!$D$17*AM1969)/5</f>
        <v>2</v>
      </c>
      <c r="AR1969" s="48">
        <f t="shared" si="242"/>
        <v>25.2</v>
      </c>
      <c r="AS1969" s="45" t="str">
        <f t="shared" si="243"/>
        <v>未激活</v>
      </c>
      <c r="AT1969" s="45" t="str">
        <f t="shared" si="244"/>
        <v>连续下降-预警</v>
      </c>
      <c r="AU1969" s="45" t="str">
        <f t="shared" si="245"/>
        <v>唤醒：短信模板+首充补贴</v>
      </c>
    </row>
    <row r="1970" ht="15" customHeight="1" spans="1:47">
      <c r="A1970" s="30" t="s">
        <v>4952</v>
      </c>
      <c r="B1970" s="31" t="s">
        <v>4953</v>
      </c>
      <c r="C1970" s="31" t="s">
        <v>234</v>
      </c>
      <c r="D1970" s="31" t="s">
        <v>202</v>
      </c>
      <c r="E1970" s="31" t="s">
        <v>197</v>
      </c>
      <c r="F1970" s="30" t="s">
        <v>1304</v>
      </c>
      <c r="G1970" s="31">
        <v>19</v>
      </c>
      <c r="H1970" s="31" t="s">
        <v>3535</v>
      </c>
      <c r="I1970" s="31" t="s">
        <v>302</v>
      </c>
      <c r="J1970" s="33">
        <v>0</v>
      </c>
      <c r="K1970" s="33">
        <v>0</v>
      </c>
      <c r="L1970" s="33">
        <v>0</v>
      </c>
      <c r="M1970" s="33">
        <f t="shared" si="240"/>
        <v>0</v>
      </c>
      <c r="N1970" s="34">
        <f t="shared" si="246"/>
        <v>0</v>
      </c>
      <c r="O1970" s="35">
        <f>SUM($M$2:M1970)</f>
        <v>190743600</v>
      </c>
      <c r="P1970" s="34">
        <f t="shared" si="247"/>
        <v>1</v>
      </c>
      <c r="Q1970" s="37">
        <v>0</v>
      </c>
      <c r="R1970" s="31">
        <v>0</v>
      </c>
      <c r="S1970" s="31">
        <v>0</v>
      </c>
      <c r="T1970" s="31">
        <v>0</v>
      </c>
      <c r="U1970" s="37">
        <v>0.9</v>
      </c>
      <c r="V1970" s="31">
        <v>0</v>
      </c>
      <c r="W1970" s="31">
        <v>0</v>
      </c>
      <c r="X1970" s="38">
        <v>20</v>
      </c>
      <c r="Y1970" s="31">
        <v>1</v>
      </c>
      <c r="Z1970" s="31">
        <v>0</v>
      </c>
      <c r="AA1970" s="31" t="s">
        <v>212</v>
      </c>
      <c r="AB1970" s="31" t="s">
        <v>220</v>
      </c>
      <c r="AC1970" s="41">
        <f>IFERROR(LOOKUP(M1970,打分卡!$F$7:$J$7,打分卡!$K$7:$O$7),1)</f>
        <v>1</v>
      </c>
      <c r="AD1970" s="41">
        <f>IFERROR(LOOKUP(S1970,打分卡!$F$8:$J$8,打分卡!$K$8:$O$8),1)</f>
        <v>1</v>
      </c>
      <c r="AE1970" s="41">
        <f>IFERROR(LOOKUP(T1970,打分卡!$F$9:$I$9,打分卡!$K$9:$N$9),1)</f>
        <v>1</v>
      </c>
      <c r="AF1970" s="41">
        <f>IFERROR(LOOKUP(Q1970,打分卡!$F$10:$J$10,打分卡!$K$10:$O$10),1)</f>
        <v>1</v>
      </c>
      <c r="AG1970" s="41">
        <f>IFERROR(LOOKUP(R1970,打分卡!$F$11:$J$11,打分卡!$K$11:$O$11),1)</f>
        <v>1</v>
      </c>
      <c r="AH1970" s="41">
        <f>IFERROR(LOOKUP(U1970,打分卡!$F$12:$J$12,打分卡!$K$12:$O$12),1)</f>
        <v>1</v>
      </c>
      <c r="AI1970" s="41">
        <f>IFERROR(LOOKUP(X1970,打分卡!$F$13:$J$13,打分卡!$K$13:$O$13),1)</f>
        <v>2</v>
      </c>
      <c r="AJ1970" s="41">
        <f>IFERROR(LOOKUP(Y1970,打分卡!$F$14:$J$14,打分卡!$K$14:$O$14),1)</f>
        <v>2</v>
      </c>
      <c r="AK1970" s="41">
        <f>IFERROR(LOOKUP(W1970,打分卡!$F$15:$J$15,打分卡!$K$15:$O$15),1)</f>
        <v>1</v>
      </c>
      <c r="AL1970" s="43">
        <f t="shared" si="241"/>
        <v>1</v>
      </c>
      <c r="AM1970" s="41">
        <f>IFERROR(LOOKUP(Z1970,打分卡!$F$17:$H$17,打分卡!$K$17:$M$17),1)</f>
        <v>1</v>
      </c>
      <c r="AN1970" s="44">
        <f>(打分卡!$D$7*AC1970+打分卡!$D$8*AD1970+打分卡!$D$9*AE1970)/5</f>
        <v>8</v>
      </c>
      <c r="AO1970" s="44">
        <f>(打分卡!$D$10*AF1970+打分卡!$D$11*AG1970)/5</f>
        <v>4</v>
      </c>
      <c r="AP1970" s="44">
        <f>(打分卡!$D$12*AH1970+打分卡!$D$13*AI1970+打分卡!$D$14*AJ1970+打分卡!$D$15*AK1970)/5</f>
        <v>8.8</v>
      </c>
      <c r="AQ1970" s="44">
        <f>(打分卡!$D$16*AL1970+打分卡!$D$17*AM1970)/5</f>
        <v>2</v>
      </c>
      <c r="AR1970" s="47">
        <f t="shared" si="242"/>
        <v>22.8</v>
      </c>
      <c r="AS1970" s="43" t="str">
        <f t="shared" si="243"/>
        <v>未激活</v>
      </c>
      <c r="AT1970" s="43" t="str">
        <f t="shared" si="244"/>
        <v>连续下降-预警</v>
      </c>
      <c r="AU1970" s="43" t="str">
        <f t="shared" si="245"/>
        <v>唤醒：短信模板+首充补贴</v>
      </c>
    </row>
    <row r="1971" ht="15" customHeight="1" spans="1:47">
      <c r="A1971" s="20" t="s">
        <v>4954</v>
      </c>
      <c r="B1971" s="22" t="s">
        <v>4955</v>
      </c>
      <c r="C1971" s="22" t="s">
        <v>179</v>
      </c>
      <c r="D1971" s="22" t="s">
        <v>196</v>
      </c>
      <c r="E1971" s="22" t="s">
        <v>197</v>
      </c>
      <c r="F1971" s="20" t="s">
        <v>3583</v>
      </c>
      <c r="G1971" s="22">
        <v>23</v>
      </c>
      <c r="H1971" s="22" t="s">
        <v>3535</v>
      </c>
      <c r="I1971" s="22" t="s">
        <v>302</v>
      </c>
      <c r="J1971" s="36">
        <v>0</v>
      </c>
      <c r="K1971" s="36">
        <v>0</v>
      </c>
      <c r="L1971" s="36">
        <v>0</v>
      </c>
      <c r="M1971" s="36">
        <f t="shared" si="240"/>
        <v>0</v>
      </c>
      <c r="N1971" s="34">
        <f t="shared" si="246"/>
        <v>0</v>
      </c>
      <c r="O1971" s="35">
        <f>SUM($M$2:M1971)</f>
        <v>190743600</v>
      </c>
      <c r="P1971" s="34">
        <f t="shared" si="247"/>
        <v>1</v>
      </c>
      <c r="Q1971" s="39">
        <v>0</v>
      </c>
      <c r="R1971" s="22">
        <v>0</v>
      </c>
      <c r="S1971" s="22">
        <v>0</v>
      </c>
      <c r="T1971" s="22">
        <v>0</v>
      </c>
      <c r="U1971" s="39">
        <v>3.3</v>
      </c>
      <c r="V1971" s="22">
        <v>0</v>
      </c>
      <c r="W1971" s="22">
        <v>2</v>
      </c>
      <c r="X1971" s="40">
        <v>5</v>
      </c>
      <c r="Y1971" s="22">
        <v>1</v>
      </c>
      <c r="Z1971" s="22">
        <v>0</v>
      </c>
      <c r="AA1971" s="22" t="s">
        <v>212</v>
      </c>
      <c r="AB1971" s="22" t="s">
        <v>220</v>
      </c>
      <c r="AC1971" s="42">
        <f>IFERROR(LOOKUP(M1971,打分卡!$F$7:$J$7,打分卡!$K$7:$O$7),1)</f>
        <v>1</v>
      </c>
      <c r="AD1971" s="42">
        <f>IFERROR(LOOKUP(S1971,打分卡!$F$8:$J$8,打分卡!$K$8:$O$8),1)</f>
        <v>1</v>
      </c>
      <c r="AE1971" s="42">
        <f>IFERROR(LOOKUP(T1971,打分卡!$F$9:$I$9,打分卡!$K$9:$N$9),1)</f>
        <v>1</v>
      </c>
      <c r="AF1971" s="42">
        <f>IFERROR(LOOKUP(Q1971,打分卡!$F$10:$J$10,打分卡!$K$10:$O$10),1)</f>
        <v>1</v>
      </c>
      <c r="AG1971" s="42">
        <f>IFERROR(LOOKUP(R1971,打分卡!$F$11:$J$11,打分卡!$K$11:$O$11),1)</f>
        <v>1</v>
      </c>
      <c r="AH1971" s="42">
        <f>IFERROR(LOOKUP(U1971,打分卡!$F$12:$J$12,打分卡!$K$12:$O$12),1)</f>
        <v>2</v>
      </c>
      <c r="AI1971" s="42">
        <f>IFERROR(LOOKUP(X1971,打分卡!$F$13:$J$13,打分卡!$K$13:$O$13),1)</f>
        <v>1</v>
      </c>
      <c r="AJ1971" s="42">
        <f>IFERROR(LOOKUP(Y1971,打分卡!$F$14:$J$14,打分卡!$K$14:$O$14),1)</f>
        <v>2</v>
      </c>
      <c r="AK1971" s="42">
        <f>IFERROR(LOOKUP(W1971,打分卡!$F$15:$J$15,打分卡!$K$15:$O$15),1)</f>
        <v>2</v>
      </c>
      <c r="AL1971" s="45">
        <f t="shared" si="241"/>
        <v>1</v>
      </c>
      <c r="AM1971" s="42">
        <f>IFERROR(LOOKUP(Z1971,打分卡!$F$17:$H$17,打分卡!$K$17:$M$17),1)</f>
        <v>1</v>
      </c>
      <c r="AN1971" s="46">
        <f>(打分卡!$D$7*AC1971+打分卡!$D$8*AD1971+打分卡!$D$9*AE1971)/5</f>
        <v>8</v>
      </c>
      <c r="AO1971" s="46">
        <f>(打分卡!$D$10*AF1971+打分卡!$D$11*AG1971)/5</f>
        <v>4</v>
      </c>
      <c r="AP1971" s="46">
        <f>(打分卡!$D$12*AH1971+打分卡!$D$13*AI1971+打分卡!$D$14*AJ1971+打分卡!$D$15*AK1971)/5</f>
        <v>10.4</v>
      </c>
      <c r="AQ1971" s="46">
        <f>(打分卡!$D$16*AL1971+打分卡!$D$17*AM1971)/5</f>
        <v>2</v>
      </c>
      <c r="AR1971" s="48">
        <f t="shared" si="242"/>
        <v>24.4</v>
      </c>
      <c r="AS1971" s="45" t="str">
        <f t="shared" si="243"/>
        <v>未激活</v>
      </c>
      <c r="AT1971" s="45" t="str">
        <f t="shared" si="244"/>
        <v>连续下降-预警</v>
      </c>
      <c r="AU1971" s="45" t="str">
        <f t="shared" si="245"/>
        <v>唤醒：短信模板+首充补贴</v>
      </c>
    </row>
    <row r="1972" ht="15" customHeight="1" spans="1:47">
      <c r="A1972" s="30" t="s">
        <v>4956</v>
      </c>
      <c r="B1972" s="31" t="s">
        <v>4957</v>
      </c>
      <c r="C1972" s="31" t="s">
        <v>239</v>
      </c>
      <c r="D1972" s="31" t="s">
        <v>227</v>
      </c>
      <c r="E1972" s="31" t="s">
        <v>181</v>
      </c>
      <c r="F1972" s="30" t="s">
        <v>4080</v>
      </c>
      <c r="G1972" s="31">
        <v>17</v>
      </c>
      <c r="H1972" s="31" t="s">
        <v>3535</v>
      </c>
      <c r="I1972" s="31" t="s">
        <v>302</v>
      </c>
      <c r="J1972" s="33">
        <v>0</v>
      </c>
      <c r="K1972" s="33">
        <v>0</v>
      </c>
      <c r="L1972" s="33">
        <v>0</v>
      </c>
      <c r="M1972" s="33">
        <f t="shared" si="240"/>
        <v>0</v>
      </c>
      <c r="N1972" s="34">
        <f t="shared" si="246"/>
        <v>0</v>
      </c>
      <c r="O1972" s="35">
        <f>SUM($M$2:M1972)</f>
        <v>190743600</v>
      </c>
      <c r="P1972" s="34">
        <f t="shared" si="247"/>
        <v>1</v>
      </c>
      <c r="Q1972" s="37">
        <v>0</v>
      </c>
      <c r="R1972" s="31">
        <v>0</v>
      </c>
      <c r="S1972" s="31">
        <v>0</v>
      </c>
      <c r="T1972" s="31">
        <v>0</v>
      </c>
      <c r="U1972" s="37">
        <v>7.3</v>
      </c>
      <c r="V1972" s="31">
        <v>3</v>
      </c>
      <c r="W1972" s="31">
        <v>0</v>
      </c>
      <c r="X1972" s="38">
        <v>29</v>
      </c>
      <c r="Y1972" s="31">
        <v>0</v>
      </c>
      <c r="Z1972" s="31">
        <v>0</v>
      </c>
      <c r="AA1972" s="31" t="s">
        <v>212</v>
      </c>
      <c r="AB1972" s="31" t="s">
        <v>220</v>
      </c>
      <c r="AC1972" s="41">
        <f>IFERROR(LOOKUP(M1972,打分卡!$F$7:$J$7,打分卡!$K$7:$O$7),1)</f>
        <v>1</v>
      </c>
      <c r="AD1972" s="41">
        <f>IFERROR(LOOKUP(S1972,打分卡!$F$8:$J$8,打分卡!$K$8:$O$8),1)</f>
        <v>1</v>
      </c>
      <c r="AE1972" s="41">
        <f>IFERROR(LOOKUP(T1972,打分卡!$F$9:$I$9,打分卡!$K$9:$N$9),1)</f>
        <v>1</v>
      </c>
      <c r="AF1972" s="41">
        <f>IFERROR(LOOKUP(Q1972,打分卡!$F$10:$J$10,打分卡!$K$10:$O$10),1)</f>
        <v>1</v>
      </c>
      <c r="AG1972" s="41">
        <f>IFERROR(LOOKUP(R1972,打分卡!$F$11:$J$11,打分卡!$K$11:$O$11),1)</f>
        <v>1</v>
      </c>
      <c r="AH1972" s="41">
        <f>IFERROR(LOOKUP(U1972,打分卡!$F$12:$J$12,打分卡!$K$12:$O$12),1)</f>
        <v>2</v>
      </c>
      <c r="AI1972" s="41">
        <f>IFERROR(LOOKUP(X1972,打分卡!$F$13:$J$13,打分卡!$K$13:$O$13),1)</f>
        <v>2</v>
      </c>
      <c r="AJ1972" s="41">
        <f>IFERROR(LOOKUP(Y1972,打分卡!$F$14:$J$14,打分卡!$K$14:$O$14),1)</f>
        <v>1</v>
      </c>
      <c r="AK1972" s="41">
        <f>IFERROR(LOOKUP(W1972,打分卡!$F$15:$J$15,打分卡!$K$15:$O$15),1)</f>
        <v>1</v>
      </c>
      <c r="AL1972" s="43">
        <f t="shared" si="241"/>
        <v>1</v>
      </c>
      <c r="AM1972" s="41">
        <f>IFERROR(LOOKUP(Z1972,打分卡!$F$17:$H$17,打分卡!$K$17:$M$17),1)</f>
        <v>1</v>
      </c>
      <c r="AN1972" s="44">
        <f>(打分卡!$D$7*AC1972+打分卡!$D$8*AD1972+打分卡!$D$9*AE1972)/5</f>
        <v>8</v>
      </c>
      <c r="AO1972" s="44">
        <f>(打分卡!$D$10*AF1972+打分卡!$D$11*AG1972)/5</f>
        <v>4</v>
      </c>
      <c r="AP1972" s="44">
        <f>(打分卡!$D$12*AH1972+打分卡!$D$13*AI1972+打分卡!$D$14*AJ1972+打分卡!$D$15*AK1972)/5</f>
        <v>10</v>
      </c>
      <c r="AQ1972" s="44">
        <f>(打分卡!$D$16*AL1972+打分卡!$D$17*AM1972)/5</f>
        <v>2</v>
      </c>
      <c r="AR1972" s="47">
        <f t="shared" si="242"/>
        <v>24</v>
      </c>
      <c r="AS1972" s="43" t="str">
        <f t="shared" si="243"/>
        <v>未激活</v>
      </c>
      <c r="AT1972" s="43" t="str">
        <f t="shared" si="244"/>
        <v>连续下降-预警</v>
      </c>
      <c r="AU1972" s="43" t="str">
        <f t="shared" si="245"/>
        <v>唤醒：短信模板+首充补贴</v>
      </c>
    </row>
    <row r="1973" ht="15" customHeight="1" spans="1:47">
      <c r="A1973" s="20" t="s">
        <v>4958</v>
      </c>
      <c r="B1973" s="22" t="s">
        <v>4959</v>
      </c>
      <c r="C1973" s="22" t="s">
        <v>218</v>
      </c>
      <c r="D1973" s="22" t="s">
        <v>196</v>
      </c>
      <c r="E1973" s="22" t="s">
        <v>181</v>
      </c>
      <c r="F1973" s="20" t="s">
        <v>1194</v>
      </c>
      <c r="G1973" s="22">
        <v>23</v>
      </c>
      <c r="H1973" s="22" t="s">
        <v>3535</v>
      </c>
      <c r="I1973" s="22" t="s">
        <v>302</v>
      </c>
      <c r="J1973" s="36">
        <v>0</v>
      </c>
      <c r="K1973" s="36">
        <v>0</v>
      </c>
      <c r="L1973" s="36">
        <v>0</v>
      </c>
      <c r="M1973" s="36">
        <f t="shared" si="240"/>
        <v>0</v>
      </c>
      <c r="N1973" s="34">
        <f t="shared" si="246"/>
        <v>0</v>
      </c>
      <c r="O1973" s="35">
        <f>SUM($M$2:M1973)</f>
        <v>190743600</v>
      </c>
      <c r="P1973" s="34">
        <f t="shared" si="247"/>
        <v>1</v>
      </c>
      <c r="Q1973" s="39">
        <v>0</v>
      </c>
      <c r="R1973" s="22">
        <v>0</v>
      </c>
      <c r="S1973" s="22">
        <v>0</v>
      </c>
      <c r="T1973" s="22">
        <v>0</v>
      </c>
      <c r="U1973" s="39">
        <v>15.7</v>
      </c>
      <c r="V1973" s="22">
        <v>10</v>
      </c>
      <c r="W1973" s="22">
        <v>2</v>
      </c>
      <c r="X1973" s="40">
        <v>7</v>
      </c>
      <c r="Y1973" s="22">
        <v>0</v>
      </c>
      <c r="Z1973" s="22">
        <v>0</v>
      </c>
      <c r="AA1973" s="22" t="s">
        <v>212</v>
      </c>
      <c r="AB1973" s="22" t="s">
        <v>220</v>
      </c>
      <c r="AC1973" s="42">
        <f>IFERROR(LOOKUP(M1973,打分卡!$F$7:$J$7,打分卡!$K$7:$O$7),1)</f>
        <v>1</v>
      </c>
      <c r="AD1973" s="42">
        <f>IFERROR(LOOKUP(S1973,打分卡!$F$8:$J$8,打分卡!$K$8:$O$8),1)</f>
        <v>1</v>
      </c>
      <c r="AE1973" s="42">
        <f>IFERROR(LOOKUP(T1973,打分卡!$F$9:$I$9,打分卡!$K$9:$N$9),1)</f>
        <v>1</v>
      </c>
      <c r="AF1973" s="42">
        <f>IFERROR(LOOKUP(Q1973,打分卡!$F$10:$J$10,打分卡!$K$10:$O$10),1)</f>
        <v>1</v>
      </c>
      <c r="AG1973" s="42">
        <f>IFERROR(LOOKUP(R1973,打分卡!$F$11:$J$11,打分卡!$K$11:$O$11),1)</f>
        <v>1</v>
      </c>
      <c r="AH1973" s="42">
        <f>IFERROR(LOOKUP(U1973,打分卡!$F$12:$J$12,打分卡!$K$12:$O$12),1)</f>
        <v>3</v>
      </c>
      <c r="AI1973" s="42">
        <f>IFERROR(LOOKUP(X1973,打分卡!$F$13:$J$13,打分卡!$K$13:$O$13),1)</f>
        <v>1</v>
      </c>
      <c r="AJ1973" s="42">
        <f>IFERROR(LOOKUP(Y1973,打分卡!$F$14:$J$14,打分卡!$K$14:$O$14),1)</f>
        <v>1</v>
      </c>
      <c r="AK1973" s="42">
        <f>IFERROR(LOOKUP(W1973,打分卡!$F$15:$J$15,打分卡!$K$15:$O$15),1)</f>
        <v>2</v>
      </c>
      <c r="AL1973" s="45">
        <f t="shared" si="241"/>
        <v>1</v>
      </c>
      <c r="AM1973" s="42">
        <f>IFERROR(LOOKUP(Z1973,打分卡!$F$17:$H$17,打分卡!$K$17:$M$17),1)</f>
        <v>1</v>
      </c>
      <c r="AN1973" s="46">
        <f>(打分卡!$D$7*AC1973+打分卡!$D$8*AD1973+打分卡!$D$9*AE1973)/5</f>
        <v>8</v>
      </c>
      <c r="AO1973" s="46">
        <f>(打分卡!$D$10*AF1973+打分卡!$D$11*AG1973)/5</f>
        <v>4</v>
      </c>
      <c r="AP1973" s="46">
        <f>(打分卡!$D$12*AH1973+打分卡!$D$13*AI1973+打分卡!$D$14*AJ1973+打分卡!$D$15*AK1973)/5</f>
        <v>11.6</v>
      </c>
      <c r="AQ1973" s="46">
        <f>(打分卡!$D$16*AL1973+打分卡!$D$17*AM1973)/5</f>
        <v>2</v>
      </c>
      <c r="AR1973" s="48">
        <f t="shared" si="242"/>
        <v>25.6</v>
      </c>
      <c r="AS1973" s="45" t="str">
        <f t="shared" si="243"/>
        <v>未激活</v>
      </c>
      <c r="AT1973" s="45" t="str">
        <f t="shared" si="244"/>
        <v>连续下降-预警</v>
      </c>
      <c r="AU1973" s="45" t="str">
        <f t="shared" si="245"/>
        <v>唤醒：短信模板+首充补贴</v>
      </c>
    </row>
    <row r="1974" ht="15" customHeight="1" spans="1:47">
      <c r="A1974" s="30" t="s">
        <v>4960</v>
      </c>
      <c r="B1974" s="31" t="s">
        <v>4961</v>
      </c>
      <c r="C1974" s="31" t="s">
        <v>189</v>
      </c>
      <c r="D1974" s="31" t="s">
        <v>202</v>
      </c>
      <c r="E1974" s="31" t="s">
        <v>181</v>
      </c>
      <c r="F1974" s="30" t="s">
        <v>1067</v>
      </c>
      <c r="G1974" s="31">
        <v>13</v>
      </c>
      <c r="H1974" s="31" t="s">
        <v>3535</v>
      </c>
      <c r="I1974" s="31" t="s">
        <v>302</v>
      </c>
      <c r="J1974" s="33">
        <v>0</v>
      </c>
      <c r="K1974" s="33">
        <v>0</v>
      </c>
      <c r="L1974" s="33">
        <v>0</v>
      </c>
      <c r="M1974" s="33">
        <f t="shared" si="240"/>
        <v>0</v>
      </c>
      <c r="N1974" s="34">
        <f t="shared" si="246"/>
        <v>0</v>
      </c>
      <c r="O1974" s="35">
        <f>SUM($M$2:M1974)</f>
        <v>190743600</v>
      </c>
      <c r="P1974" s="34">
        <f t="shared" si="247"/>
        <v>1</v>
      </c>
      <c r="Q1974" s="37">
        <v>0</v>
      </c>
      <c r="R1974" s="31">
        <v>0</v>
      </c>
      <c r="S1974" s="31">
        <v>0</v>
      </c>
      <c r="T1974" s="31">
        <v>0</v>
      </c>
      <c r="U1974" s="37">
        <v>2</v>
      </c>
      <c r="V1974" s="31">
        <v>2</v>
      </c>
      <c r="W1974" s="31">
        <v>1</v>
      </c>
      <c r="X1974" s="38">
        <v>72</v>
      </c>
      <c r="Y1974" s="31">
        <v>1</v>
      </c>
      <c r="Z1974" s="31">
        <v>0</v>
      </c>
      <c r="AA1974" s="31" t="s">
        <v>212</v>
      </c>
      <c r="AB1974" s="31" t="s">
        <v>220</v>
      </c>
      <c r="AC1974" s="41">
        <f>IFERROR(LOOKUP(M1974,打分卡!$F$7:$J$7,打分卡!$K$7:$O$7),1)</f>
        <v>1</v>
      </c>
      <c r="AD1974" s="41">
        <f>IFERROR(LOOKUP(S1974,打分卡!$F$8:$J$8,打分卡!$K$8:$O$8),1)</f>
        <v>1</v>
      </c>
      <c r="AE1974" s="41">
        <f>IFERROR(LOOKUP(T1974,打分卡!$F$9:$I$9,打分卡!$K$9:$N$9),1)</f>
        <v>1</v>
      </c>
      <c r="AF1974" s="41">
        <f>IFERROR(LOOKUP(Q1974,打分卡!$F$10:$J$10,打分卡!$K$10:$O$10),1)</f>
        <v>1</v>
      </c>
      <c r="AG1974" s="41">
        <f>IFERROR(LOOKUP(R1974,打分卡!$F$11:$J$11,打分卡!$K$11:$O$11),1)</f>
        <v>1</v>
      </c>
      <c r="AH1974" s="41">
        <f>IFERROR(LOOKUP(U1974,打分卡!$F$12:$J$12,打分卡!$K$12:$O$12),1)</f>
        <v>1</v>
      </c>
      <c r="AI1974" s="41">
        <f>IFERROR(LOOKUP(X1974,打分卡!$F$13:$J$13,打分卡!$K$13:$O$13),1)</f>
        <v>3</v>
      </c>
      <c r="AJ1974" s="41">
        <f>IFERROR(LOOKUP(Y1974,打分卡!$F$14:$J$14,打分卡!$K$14:$O$14),1)</f>
        <v>2</v>
      </c>
      <c r="AK1974" s="41">
        <f>IFERROR(LOOKUP(W1974,打分卡!$F$15:$J$15,打分卡!$K$15:$O$15),1)</f>
        <v>2</v>
      </c>
      <c r="AL1974" s="43">
        <f t="shared" si="241"/>
        <v>1</v>
      </c>
      <c r="AM1974" s="41">
        <f>IFERROR(LOOKUP(Z1974,打分卡!$F$17:$H$17,打分卡!$K$17:$M$17),1)</f>
        <v>1</v>
      </c>
      <c r="AN1974" s="44">
        <f>(打分卡!$D$7*AC1974+打分卡!$D$8*AD1974+打分卡!$D$9*AE1974)/5</f>
        <v>8</v>
      </c>
      <c r="AO1974" s="44">
        <f>(打分卡!$D$10*AF1974+打分卡!$D$11*AG1974)/5</f>
        <v>4</v>
      </c>
      <c r="AP1974" s="44">
        <f>(打分卡!$D$12*AH1974+打分卡!$D$13*AI1974+打分卡!$D$14*AJ1974+打分卡!$D$15*AK1974)/5</f>
        <v>11.2</v>
      </c>
      <c r="AQ1974" s="44">
        <f>(打分卡!$D$16*AL1974+打分卡!$D$17*AM1974)/5</f>
        <v>2</v>
      </c>
      <c r="AR1974" s="47">
        <f t="shared" si="242"/>
        <v>25.2</v>
      </c>
      <c r="AS1974" s="43" t="str">
        <f t="shared" si="243"/>
        <v>未激活</v>
      </c>
      <c r="AT1974" s="43" t="str">
        <f t="shared" si="244"/>
        <v>连续下降-预警</v>
      </c>
      <c r="AU1974" s="43" t="str">
        <f t="shared" si="245"/>
        <v>唤醒：短信模板+首充补贴</v>
      </c>
    </row>
    <row r="1975" ht="15" customHeight="1" spans="1:47">
      <c r="A1975" s="20" t="s">
        <v>4962</v>
      </c>
      <c r="B1975" s="22" t="s">
        <v>4963</v>
      </c>
      <c r="C1975" s="22" t="s">
        <v>189</v>
      </c>
      <c r="D1975" s="22" t="s">
        <v>196</v>
      </c>
      <c r="E1975" s="22" t="s">
        <v>181</v>
      </c>
      <c r="F1975" s="20" t="s">
        <v>1138</v>
      </c>
      <c r="G1975" s="22">
        <v>15</v>
      </c>
      <c r="H1975" s="22" t="s">
        <v>3535</v>
      </c>
      <c r="I1975" s="22" t="s">
        <v>302</v>
      </c>
      <c r="J1975" s="36">
        <v>0</v>
      </c>
      <c r="K1975" s="36">
        <v>0</v>
      </c>
      <c r="L1975" s="36">
        <v>0</v>
      </c>
      <c r="M1975" s="36">
        <f t="shared" si="240"/>
        <v>0</v>
      </c>
      <c r="N1975" s="34">
        <f t="shared" si="246"/>
        <v>0</v>
      </c>
      <c r="O1975" s="35">
        <f>SUM($M$2:M1975)</f>
        <v>190743600</v>
      </c>
      <c r="P1975" s="34">
        <f t="shared" si="247"/>
        <v>1</v>
      </c>
      <c r="Q1975" s="39">
        <v>0</v>
      </c>
      <c r="R1975" s="22">
        <v>0</v>
      </c>
      <c r="S1975" s="22">
        <v>0</v>
      </c>
      <c r="T1975" s="22">
        <v>0</v>
      </c>
      <c r="U1975" s="39">
        <v>18.3</v>
      </c>
      <c r="V1975" s="22">
        <v>6</v>
      </c>
      <c r="W1975" s="22">
        <v>2</v>
      </c>
      <c r="X1975" s="40">
        <v>28</v>
      </c>
      <c r="Y1975" s="22">
        <v>0</v>
      </c>
      <c r="Z1975" s="22">
        <v>0</v>
      </c>
      <c r="AA1975" s="22" t="s">
        <v>212</v>
      </c>
      <c r="AB1975" s="22" t="s">
        <v>220</v>
      </c>
      <c r="AC1975" s="42">
        <f>IFERROR(LOOKUP(M1975,打分卡!$F$7:$J$7,打分卡!$K$7:$O$7),1)</f>
        <v>1</v>
      </c>
      <c r="AD1975" s="42">
        <f>IFERROR(LOOKUP(S1975,打分卡!$F$8:$J$8,打分卡!$K$8:$O$8),1)</f>
        <v>1</v>
      </c>
      <c r="AE1975" s="42">
        <f>IFERROR(LOOKUP(T1975,打分卡!$F$9:$I$9,打分卡!$K$9:$N$9),1)</f>
        <v>1</v>
      </c>
      <c r="AF1975" s="42">
        <f>IFERROR(LOOKUP(Q1975,打分卡!$F$10:$J$10,打分卡!$K$10:$O$10),1)</f>
        <v>1</v>
      </c>
      <c r="AG1975" s="42">
        <f>IFERROR(LOOKUP(R1975,打分卡!$F$11:$J$11,打分卡!$K$11:$O$11),1)</f>
        <v>1</v>
      </c>
      <c r="AH1975" s="42">
        <f>IFERROR(LOOKUP(U1975,打分卡!$F$12:$J$12,打分卡!$K$12:$O$12),1)</f>
        <v>3</v>
      </c>
      <c r="AI1975" s="42">
        <f>IFERROR(LOOKUP(X1975,打分卡!$F$13:$J$13,打分卡!$K$13:$O$13),1)</f>
        <v>2</v>
      </c>
      <c r="AJ1975" s="42">
        <f>IFERROR(LOOKUP(Y1975,打分卡!$F$14:$J$14,打分卡!$K$14:$O$14),1)</f>
        <v>1</v>
      </c>
      <c r="AK1975" s="42">
        <f>IFERROR(LOOKUP(W1975,打分卡!$F$15:$J$15,打分卡!$K$15:$O$15),1)</f>
        <v>2</v>
      </c>
      <c r="AL1975" s="45">
        <f t="shared" si="241"/>
        <v>1</v>
      </c>
      <c r="AM1975" s="42">
        <f>IFERROR(LOOKUP(Z1975,打分卡!$F$17:$H$17,打分卡!$K$17:$M$17),1)</f>
        <v>1</v>
      </c>
      <c r="AN1975" s="46">
        <f>(打分卡!$D$7*AC1975+打分卡!$D$8*AD1975+打分卡!$D$9*AE1975)/5</f>
        <v>8</v>
      </c>
      <c r="AO1975" s="46">
        <f>(打分卡!$D$10*AF1975+打分卡!$D$11*AG1975)/5</f>
        <v>4</v>
      </c>
      <c r="AP1975" s="46">
        <f>(打分卡!$D$12*AH1975+打分卡!$D$13*AI1975+打分卡!$D$14*AJ1975+打分卡!$D$15*AK1975)/5</f>
        <v>13.2</v>
      </c>
      <c r="AQ1975" s="46">
        <f>(打分卡!$D$16*AL1975+打分卡!$D$17*AM1975)/5</f>
        <v>2</v>
      </c>
      <c r="AR1975" s="48">
        <f t="shared" si="242"/>
        <v>27.2</v>
      </c>
      <c r="AS1975" s="45" t="str">
        <f t="shared" si="243"/>
        <v>未激活</v>
      </c>
      <c r="AT1975" s="45" t="str">
        <f t="shared" si="244"/>
        <v>连续下降-预警</v>
      </c>
      <c r="AU1975" s="45" t="str">
        <f t="shared" si="245"/>
        <v>唤醒：短信模板+首充补贴</v>
      </c>
    </row>
    <row r="1976" ht="15" customHeight="1" spans="1:47">
      <c r="A1976" s="30" t="s">
        <v>4964</v>
      </c>
      <c r="B1976" s="31" t="s">
        <v>4965</v>
      </c>
      <c r="C1976" s="31" t="s">
        <v>234</v>
      </c>
      <c r="D1976" s="31" t="s">
        <v>190</v>
      </c>
      <c r="E1976" s="31" t="s">
        <v>181</v>
      </c>
      <c r="F1976" s="30" t="s">
        <v>2806</v>
      </c>
      <c r="G1976" s="31">
        <v>3</v>
      </c>
      <c r="H1976" s="31" t="s">
        <v>642</v>
      </c>
      <c r="I1976" s="31" t="s">
        <v>302</v>
      </c>
      <c r="J1976" s="33">
        <v>0</v>
      </c>
      <c r="K1976" s="33">
        <v>0</v>
      </c>
      <c r="L1976" s="33">
        <v>0</v>
      </c>
      <c r="M1976" s="33">
        <f t="shared" si="240"/>
        <v>0</v>
      </c>
      <c r="N1976" s="34">
        <f t="shared" si="246"/>
        <v>0</v>
      </c>
      <c r="O1976" s="35">
        <f>SUM($M$2:M1976)</f>
        <v>190743600</v>
      </c>
      <c r="P1976" s="34">
        <f t="shared" si="247"/>
        <v>1</v>
      </c>
      <c r="Q1976" s="37">
        <v>0</v>
      </c>
      <c r="R1976" s="31">
        <v>0</v>
      </c>
      <c r="S1976" s="31">
        <v>0</v>
      </c>
      <c r="T1976" s="31">
        <v>0</v>
      </c>
      <c r="U1976" s="37">
        <v>226</v>
      </c>
      <c r="V1976" s="31">
        <v>3</v>
      </c>
      <c r="W1976" s="31">
        <v>20</v>
      </c>
      <c r="X1976" s="38">
        <v>1118</v>
      </c>
      <c r="Y1976" s="31">
        <v>2</v>
      </c>
      <c r="Z1976" s="31">
        <v>0</v>
      </c>
      <c r="AA1976" s="31" t="s">
        <v>199</v>
      </c>
      <c r="AB1976" s="31" t="s">
        <v>220</v>
      </c>
      <c r="AC1976" s="41">
        <f>IFERROR(LOOKUP(M1976,打分卡!$F$7:$J$7,打分卡!$K$7:$O$7),1)</f>
        <v>1</v>
      </c>
      <c r="AD1976" s="41">
        <f>IFERROR(LOOKUP(S1976,打分卡!$F$8:$J$8,打分卡!$K$8:$O$8),1)</f>
        <v>1</v>
      </c>
      <c r="AE1976" s="41">
        <f>IFERROR(LOOKUP(T1976,打分卡!$F$9:$I$9,打分卡!$K$9:$N$9),1)</f>
        <v>1</v>
      </c>
      <c r="AF1976" s="41">
        <f>IFERROR(LOOKUP(Q1976,打分卡!$F$10:$J$10,打分卡!$K$10:$O$10),1)</f>
        <v>1</v>
      </c>
      <c r="AG1976" s="41">
        <f>IFERROR(LOOKUP(R1976,打分卡!$F$11:$J$11,打分卡!$K$11:$O$11),1)</f>
        <v>1</v>
      </c>
      <c r="AH1976" s="41">
        <f>IFERROR(LOOKUP(U1976,打分卡!$F$12:$J$12,打分卡!$K$12:$O$12),1)</f>
        <v>5</v>
      </c>
      <c r="AI1976" s="41">
        <f>IFERROR(LOOKUP(X1976,打分卡!$F$13:$J$13,打分卡!$K$13:$O$13),1)</f>
        <v>5</v>
      </c>
      <c r="AJ1976" s="41">
        <f>IFERROR(LOOKUP(Y1976,打分卡!$F$14:$J$14,打分卡!$K$14:$O$14),1)</f>
        <v>3</v>
      </c>
      <c r="AK1976" s="41">
        <f>IFERROR(LOOKUP(W1976,打分卡!$F$15:$J$15,打分卡!$K$15:$O$15),1)</f>
        <v>5</v>
      </c>
      <c r="AL1976" s="43">
        <f t="shared" si="241"/>
        <v>5</v>
      </c>
      <c r="AM1976" s="41">
        <f>IFERROR(LOOKUP(Z1976,打分卡!$F$17:$H$17,打分卡!$K$17:$M$17),1)</f>
        <v>1</v>
      </c>
      <c r="AN1976" s="44">
        <f>(打分卡!$D$7*AC1976+打分卡!$D$8*AD1976+打分卡!$D$9*AE1976)/5</f>
        <v>8</v>
      </c>
      <c r="AO1976" s="44">
        <f>(打分卡!$D$10*AF1976+打分卡!$D$11*AG1976)/5</f>
        <v>4</v>
      </c>
      <c r="AP1976" s="44">
        <f>(打分卡!$D$12*AH1976+打分卡!$D$13*AI1976+打分卡!$D$14*AJ1976+打分卡!$D$15*AK1976)/5</f>
        <v>27.6</v>
      </c>
      <c r="AQ1976" s="44">
        <f>(打分卡!$D$16*AL1976+打分卡!$D$17*AM1976)/5</f>
        <v>6.8</v>
      </c>
      <c r="AR1976" s="47">
        <f t="shared" si="242"/>
        <v>46.4</v>
      </c>
      <c r="AS1976" s="43" t="str">
        <f t="shared" si="243"/>
        <v>未激活</v>
      </c>
      <c r="AT1976" s="43" t="str">
        <f t="shared" si="244"/>
        <v/>
      </c>
      <c r="AU1976" s="43" t="str">
        <f t="shared" si="245"/>
        <v>唤醒：短信模板+首充补贴</v>
      </c>
    </row>
    <row r="1977" ht="15" customHeight="1" spans="1:47">
      <c r="A1977" s="20" t="s">
        <v>4966</v>
      </c>
      <c r="B1977" s="22" t="s">
        <v>4967</v>
      </c>
      <c r="C1977" s="22" t="s">
        <v>239</v>
      </c>
      <c r="D1977" s="22" t="s">
        <v>180</v>
      </c>
      <c r="E1977" s="22" t="s">
        <v>181</v>
      </c>
      <c r="F1977" s="20" t="s">
        <v>4522</v>
      </c>
      <c r="G1977" s="22">
        <v>25</v>
      </c>
      <c r="H1977" s="22" t="s">
        <v>3535</v>
      </c>
      <c r="I1977" s="22" t="s">
        <v>302</v>
      </c>
      <c r="J1977" s="36">
        <v>0</v>
      </c>
      <c r="K1977" s="36">
        <v>0</v>
      </c>
      <c r="L1977" s="36">
        <v>0</v>
      </c>
      <c r="M1977" s="36">
        <f t="shared" si="240"/>
        <v>0</v>
      </c>
      <c r="N1977" s="34">
        <f t="shared" si="246"/>
        <v>0</v>
      </c>
      <c r="O1977" s="35">
        <f>SUM($M$2:M1977)</f>
        <v>190743600</v>
      </c>
      <c r="P1977" s="34">
        <f t="shared" si="247"/>
        <v>1</v>
      </c>
      <c r="Q1977" s="39">
        <v>0</v>
      </c>
      <c r="R1977" s="22">
        <v>0</v>
      </c>
      <c r="S1977" s="22">
        <v>0</v>
      </c>
      <c r="T1977" s="22">
        <v>0</v>
      </c>
      <c r="U1977" s="39">
        <v>3.2</v>
      </c>
      <c r="V1977" s="22">
        <v>13</v>
      </c>
      <c r="W1977" s="22">
        <v>0</v>
      </c>
      <c r="X1977" s="40">
        <v>17</v>
      </c>
      <c r="Y1977" s="22">
        <v>1</v>
      </c>
      <c r="Z1977" s="22">
        <v>0</v>
      </c>
      <c r="AA1977" s="22" t="s">
        <v>212</v>
      </c>
      <c r="AB1977" s="22" t="s">
        <v>220</v>
      </c>
      <c r="AC1977" s="42">
        <f>IFERROR(LOOKUP(M1977,打分卡!$F$7:$J$7,打分卡!$K$7:$O$7),1)</f>
        <v>1</v>
      </c>
      <c r="AD1977" s="42">
        <f>IFERROR(LOOKUP(S1977,打分卡!$F$8:$J$8,打分卡!$K$8:$O$8),1)</f>
        <v>1</v>
      </c>
      <c r="AE1977" s="42">
        <f>IFERROR(LOOKUP(T1977,打分卡!$F$9:$I$9,打分卡!$K$9:$N$9),1)</f>
        <v>1</v>
      </c>
      <c r="AF1977" s="42">
        <f>IFERROR(LOOKUP(Q1977,打分卡!$F$10:$J$10,打分卡!$K$10:$O$10),1)</f>
        <v>1</v>
      </c>
      <c r="AG1977" s="42">
        <f>IFERROR(LOOKUP(R1977,打分卡!$F$11:$J$11,打分卡!$K$11:$O$11),1)</f>
        <v>1</v>
      </c>
      <c r="AH1977" s="42">
        <f>IFERROR(LOOKUP(U1977,打分卡!$F$12:$J$12,打分卡!$K$12:$O$12),1)</f>
        <v>2</v>
      </c>
      <c r="AI1977" s="42">
        <f>IFERROR(LOOKUP(X1977,打分卡!$F$13:$J$13,打分卡!$K$13:$O$13),1)</f>
        <v>1</v>
      </c>
      <c r="AJ1977" s="42">
        <f>IFERROR(LOOKUP(Y1977,打分卡!$F$14:$J$14,打分卡!$K$14:$O$14),1)</f>
        <v>2</v>
      </c>
      <c r="AK1977" s="42">
        <f>IFERROR(LOOKUP(W1977,打分卡!$F$15:$J$15,打分卡!$K$15:$O$15),1)</f>
        <v>1</v>
      </c>
      <c r="AL1977" s="45">
        <f t="shared" si="241"/>
        <v>1</v>
      </c>
      <c r="AM1977" s="42">
        <f>IFERROR(LOOKUP(Z1977,打分卡!$F$17:$H$17,打分卡!$K$17:$M$17),1)</f>
        <v>1</v>
      </c>
      <c r="AN1977" s="46">
        <f>(打分卡!$D$7*AC1977+打分卡!$D$8*AD1977+打分卡!$D$9*AE1977)/5</f>
        <v>8</v>
      </c>
      <c r="AO1977" s="46">
        <f>(打分卡!$D$10*AF1977+打分卡!$D$11*AG1977)/5</f>
        <v>4</v>
      </c>
      <c r="AP1977" s="46">
        <f>(打分卡!$D$12*AH1977+打分卡!$D$13*AI1977+打分卡!$D$14*AJ1977+打分卡!$D$15*AK1977)/5</f>
        <v>9.6</v>
      </c>
      <c r="AQ1977" s="46">
        <f>(打分卡!$D$16*AL1977+打分卡!$D$17*AM1977)/5</f>
        <v>2</v>
      </c>
      <c r="AR1977" s="48">
        <f t="shared" si="242"/>
        <v>23.6</v>
      </c>
      <c r="AS1977" s="45" t="str">
        <f t="shared" si="243"/>
        <v>未激活</v>
      </c>
      <c r="AT1977" s="45" t="str">
        <f t="shared" si="244"/>
        <v>连续下降-预警</v>
      </c>
      <c r="AU1977" s="45" t="str">
        <f t="shared" si="245"/>
        <v>唤醒：短信模板+首充补贴</v>
      </c>
    </row>
    <row r="1978" ht="15" customHeight="1" spans="1:47">
      <c r="A1978" s="30" t="s">
        <v>4968</v>
      </c>
      <c r="B1978" s="31" t="s">
        <v>4969</v>
      </c>
      <c r="C1978" s="31" t="s">
        <v>218</v>
      </c>
      <c r="D1978" s="31" t="s">
        <v>196</v>
      </c>
      <c r="E1978" s="31" t="s">
        <v>181</v>
      </c>
      <c r="F1978" s="30" t="s">
        <v>3538</v>
      </c>
      <c r="G1978" s="31">
        <v>36</v>
      </c>
      <c r="H1978" s="31" t="s">
        <v>3535</v>
      </c>
      <c r="I1978" s="31" t="s">
        <v>302</v>
      </c>
      <c r="J1978" s="33">
        <v>0</v>
      </c>
      <c r="K1978" s="33">
        <v>0</v>
      </c>
      <c r="L1978" s="33">
        <v>0</v>
      </c>
      <c r="M1978" s="33">
        <f t="shared" si="240"/>
        <v>0</v>
      </c>
      <c r="N1978" s="34">
        <f t="shared" si="246"/>
        <v>0</v>
      </c>
      <c r="O1978" s="35">
        <f>SUM($M$2:M1978)</f>
        <v>190743600</v>
      </c>
      <c r="P1978" s="34">
        <f t="shared" si="247"/>
        <v>1</v>
      </c>
      <c r="Q1978" s="37">
        <v>0</v>
      </c>
      <c r="R1978" s="31">
        <v>0</v>
      </c>
      <c r="S1978" s="31">
        <v>0</v>
      </c>
      <c r="T1978" s="31">
        <v>0</v>
      </c>
      <c r="U1978" s="37">
        <v>2.3</v>
      </c>
      <c r="V1978" s="31">
        <v>13</v>
      </c>
      <c r="W1978" s="31">
        <v>0</v>
      </c>
      <c r="X1978" s="38">
        <v>71</v>
      </c>
      <c r="Y1978" s="31">
        <v>0</v>
      </c>
      <c r="Z1978" s="31">
        <v>0</v>
      </c>
      <c r="AA1978" s="31" t="s">
        <v>212</v>
      </c>
      <c r="AB1978" s="31" t="s">
        <v>220</v>
      </c>
      <c r="AC1978" s="41">
        <f>IFERROR(LOOKUP(M1978,打分卡!$F$7:$J$7,打分卡!$K$7:$O$7),1)</f>
        <v>1</v>
      </c>
      <c r="AD1978" s="41">
        <f>IFERROR(LOOKUP(S1978,打分卡!$F$8:$J$8,打分卡!$K$8:$O$8),1)</f>
        <v>1</v>
      </c>
      <c r="AE1978" s="41">
        <f>IFERROR(LOOKUP(T1978,打分卡!$F$9:$I$9,打分卡!$K$9:$N$9),1)</f>
        <v>1</v>
      </c>
      <c r="AF1978" s="41">
        <f>IFERROR(LOOKUP(Q1978,打分卡!$F$10:$J$10,打分卡!$K$10:$O$10),1)</f>
        <v>1</v>
      </c>
      <c r="AG1978" s="41">
        <f>IFERROR(LOOKUP(R1978,打分卡!$F$11:$J$11,打分卡!$K$11:$O$11),1)</f>
        <v>1</v>
      </c>
      <c r="AH1978" s="41">
        <f>IFERROR(LOOKUP(U1978,打分卡!$F$12:$J$12,打分卡!$K$12:$O$12),1)</f>
        <v>1</v>
      </c>
      <c r="AI1978" s="41">
        <f>IFERROR(LOOKUP(X1978,打分卡!$F$13:$J$13,打分卡!$K$13:$O$13),1)</f>
        <v>3</v>
      </c>
      <c r="AJ1978" s="41">
        <f>IFERROR(LOOKUP(Y1978,打分卡!$F$14:$J$14,打分卡!$K$14:$O$14),1)</f>
        <v>1</v>
      </c>
      <c r="AK1978" s="41">
        <f>IFERROR(LOOKUP(W1978,打分卡!$F$15:$J$15,打分卡!$K$15:$O$15),1)</f>
        <v>1</v>
      </c>
      <c r="AL1978" s="43">
        <f t="shared" si="241"/>
        <v>1</v>
      </c>
      <c r="AM1978" s="41">
        <f>IFERROR(LOOKUP(Z1978,打分卡!$F$17:$H$17,打分卡!$K$17:$M$17),1)</f>
        <v>1</v>
      </c>
      <c r="AN1978" s="44">
        <f>(打分卡!$D$7*AC1978+打分卡!$D$8*AD1978+打分卡!$D$9*AE1978)/5</f>
        <v>8</v>
      </c>
      <c r="AO1978" s="44">
        <f>(打分卡!$D$10*AF1978+打分卡!$D$11*AG1978)/5</f>
        <v>4</v>
      </c>
      <c r="AP1978" s="44">
        <f>(打分卡!$D$12*AH1978+打分卡!$D$13*AI1978+打分卡!$D$14*AJ1978+打分卡!$D$15*AK1978)/5</f>
        <v>9.2</v>
      </c>
      <c r="AQ1978" s="44">
        <f>(打分卡!$D$16*AL1978+打分卡!$D$17*AM1978)/5</f>
        <v>2</v>
      </c>
      <c r="AR1978" s="47">
        <f t="shared" si="242"/>
        <v>23.2</v>
      </c>
      <c r="AS1978" s="43" t="str">
        <f t="shared" si="243"/>
        <v>未激活</v>
      </c>
      <c r="AT1978" s="43" t="str">
        <f t="shared" si="244"/>
        <v>连续下降-预警</v>
      </c>
      <c r="AU1978" s="43" t="str">
        <f t="shared" si="245"/>
        <v>唤醒：短信模板+首充补贴</v>
      </c>
    </row>
    <row r="1979" ht="15" customHeight="1" spans="1:47">
      <c r="A1979" s="20" t="s">
        <v>4970</v>
      </c>
      <c r="B1979" s="22" t="s">
        <v>4971</v>
      </c>
      <c r="C1979" s="22" t="s">
        <v>239</v>
      </c>
      <c r="D1979" s="22" t="s">
        <v>202</v>
      </c>
      <c r="E1979" s="22" t="s">
        <v>197</v>
      </c>
      <c r="F1979" s="20" t="s">
        <v>606</v>
      </c>
      <c r="G1979" s="22">
        <v>26</v>
      </c>
      <c r="H1979" s="22" t="s">
        <v>3535</v>
      </c>
      <c r="I1979" s="22" t="s">
        <v>302</v>
      </c>
      <c r="J1979" s="36">
        <v>0</v>
      </c>
      <c r="K1979" s="36">
        <v>0</v>
      </c>
      <c r="L1979" s="36">
        <v>0</v>
      </c>
      <c r="M1979" s="36">
        <f t="shared" si="240"/>
        <v>0</v>
      </c>
      <c r="N1979" s="34">
        <f t="shared" si="246"/>
        <v>0</v>
      </c>
      <c r="O1979" s="35">
        <f>SUM($M$2:M1979)</f>
        <v>190743600</v>
      </c>
      <c r="P1979" s="34">
        <f t="shared" si="247"/>
        <v>1</v>
      </c>
      <c r="Q1979" s="39">
        <v>0</v>
      </c>
      <c r="R1979" s="22">
        <v>0</v>
      </c>
      <c r="S1979" s="22">
        <v>0</v>
      </c>
      <c r="T1979" s="22">
        <v>0</v>
      </c>
      <c r="U1979" s="39">
        <v>24.6</v>
      </c>
      <c r="V1979" s="22">
        <v>9</v>
      </c>
      <c r="W1979" s="22">
        <v>2</v>
      </c>
      <c r="X1979" s="40">
        <v>14</v>
      </c>
      <c r="Y1979" s="22">
        <v>0</v>
      </c>
      <c r="Z1979" s="22">
        <v>0</v>
      </c>
      <c r="AA1979" s="22" t="s">
        <v>212</v>
      </c>
      <c r="AB1979" s="22" t="s">
        <v>220</v>
      </c>
      <c r="AC1979" s="42">
        <f>IFERROR(LOOKUP(M1979,打分卡!$F$7:$J$7,打分卡!$K$7:$O$7),1)</f>
        <v>1</v>
      </c>
      <c r="AD1979" s="42">
        <f>IFERROR(LOOKUP(S1979,打分卡!$F$8:$J$8,打分卡!$K$8:$O$8),1)</f>
        <v>1</v>
      </c>
      <c r="AE1979" s="42">
        <f>IFERROR(LOOKUP(T1979,打分卡!$F$9:$I$9,打分卡!$K$9:$N$9),1)</f>
        <v>1</v>
      </c>
      <c r="AF1979" s="42">
        <f>IFERROR(LOOKUP(Q1979,打分卡!$F$10:$J$10,打分卡!$K$10:$O$10),1)</f>
        <v>1</v>
      </c>
      <c r="AG1979" s="42">
        <f>IFERROR(LOOKUP(R1979,打分卡!$F$11:$J$11,打分卡!$K$11:$O$11),1)</f>
        <v>1</v>
      </c>
      <c r="AH1979" s="42">
        <f>IFERROR(LOOKUP(U1979,打分卡!$F$12:$J$12,打分卡!$K$12:$O$12),1)</f>
        <v>3</v>
      </c>
      <c r="AI1979" s="42">
        <f>IFERROR(LOOKUP(X1979,打分卡!$F$13:$J$13,打分卡!$K$13:$O$13),1)</f>
        <v>1</v>
      </c>
      <c r="AJ1979" s="42">
        <f>IFERROR(LOOKUP(Y1979,打分卡!$F$14:$J$14,打分卡!$K$14:$O$14),1)</f>
        <v>1</v>
      </c>
      <c r="AK1979" s="42">
        <f>IFERROR(LOOKUP(W1979,打分卡!$F$15:$J$15,打分卡!$K$15:$O$15),1)</f>
        <v>2</v>
      </c>
      <c r="AL1979" s="45">
        <f t="shared" si="241"/>
        <v>1</v>
      </c>
      <c r="AM1979" s="42">
        <f>IFERROR(LOOKUP(Z1979,打分卡!$F$17:$H$17,打分卡!$K$17:$M$17),1)</f>
        <v>1</v>
      </c>
      <c r="AN1979" s="46">
        <f>(打分卡!$D$7*AC1979+打分卡!$D$8*AD1979+打分卡!$D$9*AE1979)/5</f>
        <v>8</v>
      </c>
      <c r="AO1979" s="46">
        <f>(打分卡!$D$10*AF1979+打分卡!$D$11*AG1979)/5</f>
        <v>4</v>
      </c>
      <c r="AP1979" s="46">
        <f>(打分卡!$D$12*AH1979+打分卡!$D$13*AI1979+打分卡!$D$14*AJ1979+打分卡!$D$15*AK1979)/5</f>
        <v>11.6</v>
      </c>
      <c r="AQ1979" s="46">
        <f>(打分卡!$D$16*AL1979+打分卡!$D$17*AM1979)/5</f>
        <v>2</v>
      </c>
      <c r="AR1979" s="48">
        <f t="shared" si="242"/>
        <v>25.6</v>
      </c>
      <c r="AS1979" s="45" t="str">
        <f t="shared" si="243"/>
        <v>未激活</v>
      </c>
      <c r="AT1979" s="45" t="str">
        <f t="shared" si="244"/>
        <v>连续下降-预警</v>
      </c>
      <c r="AU1979" s="45" t="str">
        <f t="shared" si="245"/>
        <v>唤醒：短信模板+首充补贴</v>
      </c>
    </row>
    <row r="1980" ht="15" customHeight="1" spans="1:47">
      <c r="A1980" s="30" t="s">
        <v>4972</v>
      </c>
      <c r="B1980" s="31" t="s">
        <v>4973</v>
      </c>
      <c r="C1980" s="31" t="s">
        <v>179</v>
      </c>
      <c r="D1980" s="31" t="s">
        <v>202</v>
      </c>
      <c r="E1980" s="31" t="s">
        <v>181</v>
      </c>
      <c r="F1980" s="30" t="s">
        <v>3788</v>
      </c>
      <c r="G1980" s="31">
        <v>19</v>
      </c>
      <c r="H1980" s="31" t="s">
        <v>3535</v>
      </c>
      <c r="I1980" s="31" t="s">
        <v>302</v>
      </c>
      <c r="J1980" s="33">
        <v>0</v>
      </c>
      <c r="K1980" s="33">
        <v>0</v>
      </c>
      <c r="L1980" s="33">
        <v>0</v>
      </c>
      <c r="M1980" s="33">
        <f t="shared" si="240"/>
        <v>0</v>
      </c>
      <c r="N1980" s="34">
        <f t="shared" si="246"/>
        <v>0</v>
      </c>
      <c r="O1980" s="35">
        <f>SUM($M$2:M1980)</f>
        <v>190743600</v>
      </c>
      <c r="P1980" s="34">
        <f t="shared" si="247"/>
        <v>1</v>
      </c>
      <c r="Q1980" s="37">
        <v>0</v>
      </c>
      <c r="R1980" s="31">
        <v>0</v>
      </c>
      <c r="S1980" s="31">
        <v>0</v>
      </c>
      <c r="T1980" s="31">
        <v>0</v>
      </c>
      <c r="U1980" s="37">
        <v>3.4</v>
      </c>
      <c r="V1980" s="31">
        <v>13</v>
      </c>
      <c r="W1980" s="31">
        <v>1</v>
      </c>
      <c r="X1980" s="38">
        <v>14</v>
      </c>
      <c r="Y1980" s="31">
        <v>1</v>
      </c>
      <c r="Z1980" s="31">
        <v>0</v>
      </c>
      <c r="AA1980" s="31" t="s">
        <v>212</v>
      </c>
      <c r="AB1980" s="31" t="s">
        <v>220</v>
      </c>
      <c r="AC1980" s="41">
        <f>IFERROR(LOOKUP(M1980,打分卡!$F$7:$J$7,打分卡!$K$7:$O$7),1)</f>
        <v>1</v>
      </c>
      <c r="AD1980" s="41">
        <f>IFERROR(LOOKUP(S1980,打分卡!$F$8:$J$8,打分卡!$K$8:$O$8),1)</f>
        <v>1</v>
      </c>
      <c r="AE1980" s="41">
        <f>IFERROR(LOOKUP(T1980,打分卡!$F$9:$I$9,打分卡!$K$9:$N$9),1)</f>
        <v>1</v>
      </c>
      <c r="AF1980" s="41">
        <f>IFERROR(LOOKUP(Q1980,打分卡!$F$10:$J$10,打分卡!$K$10:$O$10),1)</f>
        <v>1</v>
      </c>
      <c r="AG1980" s="41">
        <f>IFERROR(LOOKUP(R1980,打分卡!$F$11:$J$11,打分卡!$K$11:$O$11),1)</f>
        <v>1</v>
      </c>
      <c r="AH1980" s="41">
        <f>IFERROR(LOOKUP(U1980,打分卡!$F$12:$J$12,打分卡!$K$12:$O$12),1)</f>
        <v>2</v>
      </c>
      <c r="AI1980" s="41">
        <f>IFERROR(LOOKUP(X1980,打分卡!$F$13:$J$13,打分卡!$K$13:$O$13),1)</f>
        <v>1</v>
      </c>
      <c r="AJ1980" s="41">
        <f>IFERROR(LOOKUP(Y1980,打分卡!$F$14:$J$14,打分卡!$K$14:$O$14),1)</f>
        <v>2</v>
      </c>
      <c r="AK1980" s="41">
        <f>IFERROR(LOOKUP(W1980,打分卡!$F$15:$J$15,打分卡!$K$15:$O$15),1)</f>
        <v>2</v>
      </c>
      <c r="AL1980" s="43">
        <f t="shared" si="241"/>
        <v>1</v>
      </c>
      <c r="AM1980" s="41">
        <f>IFERROR(LOOKUP(Z1980,打分卡!$F$17:$H$17,打分卡!$K$17:$M$17),1)</f>
        <v>1</v>
      </c>
      <c r="AN1980" s="44">
        <f>(打分卡!$D$7*AC1980+打分卡!$D$8*AD1980+打分卡!$D$9*AE1980)/5</f>
        <v>8</v>
      </c>
      <c r="AO1980" s="44">
        <f>(打分卡!$D$10*AF1980+打分卡!$D$11*AG1980)/5</f>
        <v>4</v>
      </c>
      <c r="AP1980" s="44">
        <f>(打分卡!$D$12*AH1980+打分卡!$D$13*AI1980+打分卡!$D$14*AJ1980+打分卡!$D$15*AK1980)/5</f>
        <v>10.4</v>
      </c>
      <c r="AQ1980" s="44">
        <f>(打分卡!$D$16*AL1980+打分卡!$D$17*AM1980)/5</f>
        <v>2</v>
      </c>
      <c r="AR1980" s="47">
        <f t="shared" si="242"/>
        <v>24.4</v>
      </c>
      <c r="AS1980" s="43" t="str">
        <f t="shared" si="243"/>
        <v>未激活</v>
      </c>
      <c r="AT1980" s="43" t="str">
        <f t="shared" si="244"/>
        <v>连续下降-预警</v>
      </c>
      <c r="AU1980" s="43" t="str">
        <f t="shared" si="245"/>
        <v>唤醒：短信模板+首充补贴</v>
      </c>
    </row>
    <row r="1981" ht="15" customHeight="1" spans="1:47">
      <c r="A1981" s="20" t="s">
        <v>4974</v>
      </c>
      <c r="B1981" s="22" t="s">
        <v>4975</v>
      </c>
      <c r="C1981" s="22" t="s">
        <v>189</v>
      </c>
      <c r="D1981" s="22" t="s">
        <v>227</v>
      </c>
      <c r="E1981" s="22" t="s">
        <v>181</v>
      </c>
      <c r="F1981" s="20" t="s">
        <v>4132</v>
      </c>
      <c r="G1981" s="22">
        <v>34</v>
      </c>
      <c r="H1981" s="22" t="s">
        <v>3535</v>
      </c>
      <c r="I1981" s="22" t="s">
        <v>302</v>
      </c>
      <c r="J1981" s="36">
        <v>0</v>
      </c>
      <c r="K1981" s="36">
        <v>0</v>
      </c>
      <c r="L1981" s="36">
        <v>0</v>
      </c>
      <c r="M1981" s="36">
        <f t="shared" si="240"/>
        <v>0</v>
      </c>
      <c r="N1981" s="34">
        <f t="shared" si="246"/>
        <v>0</v>
      </c>
      <c r="O1981" s="35">
        <f>SUM($M$2:M1981)</f>
        <v>190743600</v>
      </c>
      <c r="P1981" s="34">
        <f t="shared" si="247"/>
        <v>1</v>
      </c>
      <c r="Q1981" s="39">
        <v>0</v>
      </c>
      <c r="R1981" s="22">
        <v>0</v>
      </c>
      <c r="S1981" s="22">
        <v>0</v>
      </c>
      <c r="T1981" s="22">
        <v>0</v>
      </c>
      <c r="U1981" s="39">
        <v>11.2</v>
      </c>
      <c r="V1981" s="22">
        <v>2</v>
      </c>
      <c r="W1981" s="22">
        <v>1</v>
      </c>
      <c r="X1981" s="40">
        <v>9</v>
      </c>
      <c r="Y1981" s="22">
        <v>0</v>
      </c>
      <c r="Z1981" s="22">
        <v>0</v>
      </c>
      <c r="AA1981" s="22" t="s">
        <v>212</v>
      </c>
      <c r="AB1981" s="22" t="s">
        <v>220</v>
      </c>
      <c r="AC1981" s="42">
        <f>IFERROR(LOOKUP(M1981,打分卡!$F$7:$J$7,打分卡!$K$7:$O$7),1)</f>
        <v>1</v>
      </c>
      <c r="AD1981" s="42">
        <f>IFERROR(LOOKUP(S1981,打分卡!$F$8:$J$8,打分卡!$K$8:$O$8),1)</f>
        <v>1</v>
      </c>
      <c r="AE1981" s="42">
        <f>IFERROR(LOOKUP(T1981,打分卡!$F$9:$I$9,打分卡!$K$9:$N$9),1)</f>
        <v>1</v>
      </c>
      <c r="AF1981" s="42">
        <f>IFERROR(LOOKUP(Q1981,打分卡!$F$10:$J$10,打分卡!$K$10:$O$10),1)</f>
        <v>1</v>
      </c>
      <c r="AG1981" s="42">
        <f>IFERROR(LOOKUP(R1981,打分卡!$F$11:$J$11,打分卡!$K$11:$O$11),1)</f>
        <v>1</v>
      </c>
      <c r="AH1981" s="42">
        <f>IFERROR(LOOKUP(U1981,打分卡!$F$12:$J$12,打分卡!$K$12:$O$12),1)</f>
        <v>3</v>
      </c>
      <c r="AI1981" s="42">
        <f>IFERROR(LOOKUP(X1981,打分卡!$F$13:$J$13,打分卡!$K$13:$O$13),1)</f>
        <v>1</v>
      </c>
      <c r="AJ1981" s="42">
        <f>IFERROR(LOOKUP(Y1981,打分卡!$F$14:$J$14,打分卡!$K$14:$O$14),1)</f>
        <v>1</v>
      </c>
      <c r="AK1981" s="42">
        <f>IFERROR(LOOKUP(W1981,打分卡!$F$15:$J$15,打分卡!$K$15:$O$15),1)</f>
        <v>2</v>
      </c>
      <c r="AL1981" s="45">
        <f t="shared" si="241"/>
        <v>1</v>
      </c>
      <c r="AM1981" s="42">
        <f>IFERROR(LOOKUP(Z1981,打分卡!$F$17:$H$17,打分卡!$K$17:$M$17),1)</f>
        <v>1</v>
      </c>
      <c r="AN1981" s="46">
        <f>(打分卡!$D$7*AC1981+打分卡!$D$8*AD1981+打分卡!$D$9*AE1981)/5</f>
        <v>8</v>
      </c>
      <c r="AO1981" s="46">
        <f>(打分卡!$D$10*AF1981+打分卡!$D$11*AG1981)/5</f>
        <v>4</v>
      </c>
      <c r="AP1981" s="46">
        <f>(打分卡!$D$12*AH1981+打分卡!$D$13*AI1981+打分卡!$D$14*AJ1981+打分卡!$D$15*AK1981)/5</f>
        <v>11.6</v>
      </c>
      <c r="AQ1981" s="46">
        <f>(打分卡!$D$16*AL1981+打分卡!$D$17*AM1981)/5</f>
        <v>2</v>
      </c>
      <c r="AR1981" s="48">
        <f t="shared" si="242"/>
        <v>25.6</v>
      </c>
      <c r="AS1981" s="45" t="str">
        <f t="shared" si="243"/>
        <v>未激活</v>
      </c>
      <c r="AT1981" s="45" t="str">
        <f t="shared" si="244"/>
        <v>连续下降-预警</v>
      </c>
      <c r="AU1981" s="45" t="str">
        <f t="shared" si="245"/>
        <v>唤醒：短信模板+首充补贴</v>
      </c>
    </row>
    <row r="1982" ht="15" customHeight="1" spans="1:47">
      <c r="A1982" s="30" t="s">
        <v>4976</v>
      </c>
      <c r="B1982" s="31" t="s">
        <v>4977</v>
      </c>
      <c r="C1982" s="31" t="s">
        <v>218</v>
      </c>
      <c r="D1982" s="31" t="s">
        <v>190</v>
      </c>
      <c r="E1982" s="31" t="s">
        <v>181</v>
      </c>
      <c r="F1982" s="30" t="s">
        <v>4978</v>
      </c>
      <c r="G1982" s="31">
        <v>25</v>
      </c>
      <c r="H1982" s="31" t="s">
        <v>3535</v>
      </c>
      <c r="I1982" s="31" t="s">
        <v>302</v>
      </c>
      <c r="J1982" s="33">
        <v>0</v>
      </c>
      <c r="K1982" s="33">
        <v>0</v>
      </c>
      <c r="L1982" s="33">
        <v>0</v>
      </c>
      <c r="M1982" s="33">
        <f t="shared" si="240"/>
        <v>0</v>
      </c>
      <c r="N1982" s="34">
        <f t="shared" si="246"/>
        <v>0</v>
      </c>
      <c r="O1982" s="35">
        <f>SUM($M$2:M1982)</f>
        <v>190743600</v>
      </c>
      <c r="P1982" s="34">
        <f t="shared" si="247"/>
        <v>1</v>
      </c>
      <c r="Q1982" s="37">
        <v>0</v>
      </c>
      <c r="R1982" s="31">
        <v>0</v>
      </c>
      <c r="S1982" s="31">
        <v>0</v>
      </c>
      <c r="T1982" s="31">
        <v>0</v>
      </c>
      <c r="U1982" s="37">
        <v>21</v>
      </c>
      <c r="V1982" s="31">
        <v>14</v>
      </c>
      <c r="W1982" s="31">
        <v>1</v>
      </c>
      <c r="X1982" s="38">
        <v>77</v>
      </c>
      <c r="Y1982" s="31">
        <v>0</v>
      </c>
      <c r="Z1982" s="31">
        <v>0</v>
      </c>
      <c r="AA1982" s="31" t="s">
        <v>212</v>
      </c>
      <c r="AB1982" s="31" t="s">
        <v>220</v>
      </c>
      <c r="AC1982" s="41">
        <f>IFERROR(LOOKUP(M1982,打分卡!$F$7:$J$7,打分卡!$K$7:$O$7),1)</f>
        <v>1</v>
      </c>
      <c r="AD1982" s="41">
        <f>IFERROR(LOOKUP(S1982,打分卡!$F$8:$J$8,打分卡!$K$8:$O$8),1)</f>
        <v>1</v>
      </c>
      <c r="AE1982" s="41">
        <f>IFERROR(LOOKUP(T1982,打分卡!$F$9:$I$9,打分卡!$K$9:$N$9),1)</f>
        <v>1</v>
      </c>
      <c r="AF1982" s="41">
        <f>IFERROR(LOOKUP(Q1982,打分卡!$F$10:$J$10,打分卡!$K$10:$O$10),1)</f>
        <v>1</v>
      </c>
      <c r="AG1982" s="41">
        <f>IFERROR(LOOKUP(R1982,打分卡!$F$11:$J$11,打分卡!$K$11:$O$11),1)</f>
        <v>1</v>
      </c>
      <c r="AH1982" s="41">
        <f>IFERROR(LOOKUP(U1982,打分卡!$F$12:$J$12,打分卡!$K$12:$O$12),1)</f>
        <v>3</v>
      </c>
      <c r="AI1982" s="41">
        <f>IFERROR(LOOKUP(X1982,打分卡!$F$13:$J$13,打分卡!$K$13:$O$13),1)</f>
        <v>3</v>
      </c>
      <c r="AJ1982" s="41">
        <f>IFERROR(LOOKUP(Y1982,打分卡!$F$14:$J$14,打分卡!$K$14:$O$14),1)</f>
        <v>1</v>
      </c>
      <c r="AK1982" s="41">
        <f>IFERROR(LOOKUP(W1982,打分卡!$F$15:$J$15,打分卡!$K$15:$O$15),1)</f>
        <v>2</v>
      </c>
      <c r="AL1982" s="43">
        <f t="shared" si="241"/>
        <v>1</v>
      </c>
      <c r="AM1982" s="41">
        <f>IFERROR(LOOKUP(Z1982,打分卡!$F$17:$H$17,打分卡!$K$17:$M$17),1)</f>
        <v>1</v>
      </c>
      <c r="AN1982" s="44">
        <f>(打分卡!$D$7*AC1982+打分卡!$D$8*AD1982+打分卡!$D$9*AE1982)/5</f>
        <v>8</v>
      </c>
      <c r="AO1982" s="44">
        <f>(打分卡!$D$10*AF1982+打分卡!$D$11*AG1982)/5</f>
        <v>4</v>
      </c>
      <c r="AP1982" s="44">
        <f>(打分卡!$D$12*AH1982+打分卡!$D$13*AI1982+打分卡!$D$14*AJ1982+打分卡!$D$15*AK1982)/5</f>
        <v>14.8</v>
      </c>
      <c r="AQ1982" s="44">
        <f>(打分卡!$D$16*AL1982+打分卡!$D$17*AM1982)/5</f>
        <v>2</v>
      </c>
      <c r="AR1982" s="47">
        <f t="shared" si="242"/>
        <v>28.8</v>
      </c>
      <c r="AS1982" s="43" t="str">
        <f t="shared" si="243"/>
        <v>未激活</v>
      </c>
      <c r="AT1982" s="43" t="str">
        <f t="shared" si="244"/>
        <v>连续下降-预警</v>
      </c>
      <c r="AU1982" s="43" t="str">
        <f t="shared" si="245"/>
        <v>唤醒：短信模板+首充补贴</v>
      </c>
    </row>
    <row r="1983" ht="15" customHeight="1" spans="1:47">
      <c r="A1983" s="20" t="s">
        <v>4979</v>
      </c>
      <c r="B1983" s="22" t="s">
        <v>4980</v>
      </c>
      <c r="C1983" s="22" t="s">
        <v>189</v>
      </c>
      <c r="D1983" s="22" t="s">
        <v>190</v>
      </c>
      <c r="E1983" s="22" t="s">
        <v>181</v>
      </c>
      <c r="F1983" s="20" t="s">
        <v>224</v>
      </c>
      <c r="G1983" s="22">
        <v>19</v>
      </c>
      <c r="H1983" s="22" t="s">
        <v>3535</v>
      </c>
      <c r="I1983" s="22" t="s">
        <v>302</v>
      </c>
      <c r="J1983" s="36">
        <v>0</v>
      </c>
      <c r="K1983" s="36">
        <v>0</v>
      </c>
      <c r="L1983" s="36">
        <v>0</v>
      </c>
      <c r="M1983" s="36">
        <f t="shared" si="240"/>
        <v>0</v>
      </c>
      <c r="N1983" s="34">
        <f t="shared" si="246"/>
        <v>0</v>
      </c>
      <c r="O1983" s="35">
        <f>SUM($M$2:M1983)</f>
        <v>190743600</v>
      </c>
      <c r="P1983" s="34">
        <f t="shared" si="247"/>
        <v>1</v>
      </c>
      <c r="Q1983" s="39">
        <v>0</v>
      </c>
      <c r="R1983" s="22">
        <v>0</v>
      </c>
      <c r="S1983" s="22">
        <v>0</v>
      </c>
      <c r="T1983" s="22">
        <v>0</v>
      </c>
      <c r="U1983" s="39">
        <v>2.7</v>
      </c>
      <c r="V1983" s="22">
        <v>3</v>
      </c>
      <c r="W1983" s="22">
        <v>0</v>
      </c>
      <c r="X1983" s="40">
        <v>13</v>
      </c>
      <c r="Y1983" s="22">
        <v>0</v>
      </c>
      <c r="Z1983" s="22">
        <v>0</v>
      </c>
      <c r="AA1983" s="22" t="s">
        <v>212</v>
      </c>
      <c r="AB1983" s="22" t="s">
        <v>220</v>
      </c>
      <c r="AC1983" s="42">
        <f>IFERROR(LOOKUP(M1983,打分卡!$F$7:$J$7,打分卡!$K$7:$O$7),1)</f>
        <v>1</v>
      </c>
      <c r="AD1983" s="42">
        <f>IFERROR(LOOKUP(S1983,打分卡!$F$8:$J$8,打分卡!$K$8:$O$8),1)</f>
        <v>1</v>
      </c>
      <c r="AE1983" s="42">
        <f>IFERROR(LOOKUP(T1983,打分卡!$F$9:$I$9,打分卡!$K$9:$N$9),1)</f>
        <v>1</v>
      </c>
      <c r="AF1983" s="42">
        <f>IFERROR(LOOKUP(Q1983,打分卡!$F$10:$J$10,打分卡!$K$10:$O$10),1)</f>
        <v>1</v>
      </c>
      <c r="AG1983" s="42">
        <f>IFERROR(LOOKUP(R1983,打分卡!$F$11:$J$11,打分卡!$K$11:$O$11),1)</f>
        <v>1</v>
      </c>
      <c r="AH1983" s="42">
        <f>IFERROR(LOOKUP(U1983,打分卡!$F$12:$J$12,打分卡!$K$12:$O$12),1)</f>
        <v>1</v>
      </c>
      <c r="AI1983" s="42">
        <f>IFERROR(LOOKUP(X1983,打分卡!$F$13:$J$13,打分卡!$K$13:$O$13),1)</f>
        <v>1</v>
      </c>
      <c r="AJ1983" s="42">
        <f>IFERROR(LOOKUP(Y1983,打分卡!$F$14:$J$14,打分卡!$K$14:$O$14),1)</f>
        <v>1</v>
      </c>
      <c r="AK1983" s="42">
        <f>IFERROR(LOOKUP(W1983,打分卡!$F$15:$J$15,打分卡!$K$15:$O$15),1)</f>
        <v>1</v>
      </c>
      <c r="AL1983" s="45">
        <f t="shared" si="241"/>
        <v>1</v>
      </c>
      <c r="AM1983" s="42">
        <f>IFERROR(LOOKUP(Z1983,打分卡!$F$17:$H$17,打分卡!$K$17:$M$17),1)</f>
        <v>1</v>
      </c>
      <c r="AN1983" s="46">
        <f>(打分卡!$D$7*AC1983+打分卡!$D$8*AD1983+打分卡!$D$9*AE1983)/5</f>
        <v>8</v>
      </c>
      <c r="AO1983" s="46">
        <f>(打分卡!$D$10*AF1983+打分卡!$D$11*AG1983)/5</f>
        <v>4</v>
      </c>
      <c r="AP1983" s="46">
        <f>(打分卡!$D$12*AH1983+打分卡!$D$13*AI1983+打分卡!$D$14*AJ1983+打分卡!$D$15*AK1983)/5</f>
        <v>6</v>
      </c>
      <c r="AQ1983" s="46">
        <f>(打分卡!$D$16*AL1983+打分卡!$D$17*AM1983)/5</f>
        <v>2</v>
      </c>
      <c r="AR1983" s="48">
        <f t="shared" si="242"/>
        <v>20</v>
      </c>
      <c r="AS1983" s="45" t="str">
        <f t="shared" si="243"/>
        <v>未激活</v>
      </c>
      <c r="AT1983" s="45" t="str">
        <f t="shared" si="244"/>
        <v>连续下降-预警</v>
      </c>
      <c r="AU1983" s="45" t="str">
        <f t="shared" si="245"/>
        <v>唤醒：短信模板+首充补贴</v>
      </c>
    </row>
    <row r="1984" ht="15" customHeight="1" spans="1:47">
      <c r="A1984" s="30" t="s">
        <v>4981</v>
      </c>
      <c r="B1984" s="31" t="s">
        <v>4982</v>
      </c>
      <c r="C1984" s="31" t="s">
        <v>179</v>
      </c>
      <c r="D1984" s="31" t="s">
        <v>202</v>
      </c>
      <c r="E1984" s="31" t="s">
        <v>181</v>
      </c>
      <c r="F1984" s="30" t="s">
        <v>734</v>
      </c>
      <c r="G1984" s="31">
        <v>24</v>
      </c>
      <c r="H1984" s="31" t="s">
        <v>3535</v>
      </c>
      <c r="I1984" s="31" t="s">
        <v>302</v>
      </c>
      <c r="J1984" s="33">
        <v>0</v>
      </c>
      <c r="K1984" s="33">
        <v>0</v>
      </c>
      <c r="L1984" s="33">
        <v>0</v>
      </c>
      <c r="M1984" s="33">
        <f t="shared" si="240"/>
        <v>0</v>
      </c>
      <c r="N1984" s="34">
        <f t="shared" si="246"/>
        <v>0</v>
      </c>
      <c r="O1984" s="35">
        <f>SUM($M$2:M1984)</f>
        <v>190743600</v>
      </c>
      <c r="P1984" s="34">
        <f t="shared" si="247"/>
        <v>1</v>
      </c>
      <c r="Q1984" s="37">
        <v>0</v>
      </c>
      <c r="R1984" s="31">
        <v>0</v>
      </c>
      <c r="S1984" s="31">
        <v>0</v>
      </c>
      <c r="T1984" s="31">
        <v>0</v>
      </c>
      <c r="U1984" s="37">
        <v>16.1</v>
      </c>
      <c r="V1984" s="31">
        <v>2</v>
      </c>
      <c r="W1984" s="31">
        <v>2</v>
      </c>
      <c r="X1984" s="38">
        <v>40</v>
      </c>
      <c r="Y1984" s="31">
        <v>1</v>
      </c>
      <c r="Z1984" s="31">
        <v>0</v>
      </c>
      <c r="AA1984" s="31" t="s">
        <v>212</v>
      </c>
      <c r="AB1984" s="31" t="s">
        <v>220</v>
      </c>
      <c r="AC1984" s="41">
        <f>IFERROR(LOOKUP(M1984,打分卡!$F$7:$J$7,打分卡!$K$7:$O$7),1)</f>
        <v>1</v>
      </c>
      <c r="AD1984" s="41">
        <f>IFERROR(LOOKUP(S1984,打分卡!$F$8:$J$8,打分卡!$K$8:$O$8),1)</f>
        <v>1</v>
      </c>
      <c r="AE1984" s="41">
        <f>IFERROR(LOOKUP(T1984,打分卡!$F$9:$I$9,打分卡!$K$9:$N$9),1)</f>
        <v>1</v>
      </c>
      <c r="AF1984" s="41">
        <f>IFERROR(LOOKUP(Q1984,打分卡!$F$10:$J$10,打分卡!$K$10:$O$10),1)</f>
        <v>1</v>
      </c>
      <c r="AG1984" s="41">
        <f>IFERROR(LOOKUP(R1984,打分卡!$F$11:$J$11,打分卡!$K$11:$O$11),1)</f>
        <v>1</v>
      </c>
      <c r="AH1984" s="41">
        <f>IFERROR(LOOKUP(U1984,打分卡!$F$12:$J$12,打分卡!$K$12:$O$12),1)</f>
        <v>3</v>
      </c>
      <c r="AI1984" s="41">
        <f>IFERROR(LOOKUP(X1984,打分卡!$F$13:$J$13,打分卡!$K$13:$O$13),1)</f>
        <v>3</v>
      </c>
      <c r="AJ1984" s="41">
        <f>IFERROR(LOOKUP(Y1984,打分卡!$F$14:$J$14,打分卡!$K$14:$O$14),1)</f>
        <v>2</v>
      </c>
      <c r="AK1984" s="41">
        <f>IFERROR(LOOKUP(W1984,打分卡!$F$15:$J$15,打分卡!$K$15:$O$15),1)</f>
        <v>2</v>
      </c>
      <c r="AL1984" s="43">
        <f t="shared" si="241"/>
        <v>1</v>
      </c>
      <c r="AM1984" s="41">
        <f>IFERROR(LOOKUP(Z1984,打分卡!$F$17:$H$17,打分卡!$K$17:$M$17),1)</f>
        <v>1</v>
      </c>
      <c r="AN1984" s="44">
        <f>(打分卡!$D$7*AC1984+打分卡!$D$8*AD1984+打分卡!$D$9*AE1984)/5</f>
        <v>8</v>
      </c>
      <c r="AO1984" s="44">
        <f>(打分卡!$D$10*AF1984+打分卡!$D$11*AG1984)/5</f>
        <v>4</v>
      </c>
      <c r="AP1984" s="44">
        <f>(打分卡!$D$12*AH1984+打分卡!$D$13*AI1984+打分卡!$D$14*AJ1984+打分卡!$D$15*AK1984)/5</f>
        <v>16</v>
      </c>
      <c r="AQ1984" s="44">
        <f>(打分卡!$D$16*AL1984+打分卡!$D$17*AM1984)/5</f>
        <v>2</v>
      </c>
      <c r="AR1984" s="47">
        <f t="shared" si="242"/>
        <v>30</v>
      </c>
      <c r="AS1984" s="43" t="str">
        <f t="shared" si="243"/>
        <v>未激活</v>
      </c>
      <c r="AT1984" s="43" t="str">
        <f t="shared" si="244"/>
        <v>连续下降-预警</v>
      </c>
      <c r="AU1984" s="43" t="str">
        <f t="shared" si="245"/>
        <v>唤醒：短信模板+首充补贴</v>
      </c>
    </row>
    <row r="1985" ht="15" customHeight="1" spans="1:47">
      <c r="A1985" s="20" t="s">
        <v>4983</v>
      </c>
      <c r="B1985" s="22" t="s">
        <v>4984</v>
      </c>
      <c r="C1985" s="22" t="s">
        <v>239</v>
      </c>
      <c r="D1985" s="22" t="s">
        <v>196</v>
      </c>
      <c r="E1985" s="22" t="s">
        <v>181</v>
      </c>
      <c r="F1985" s="20" t="s">
        <v>1267</v>
      </c>
      <c r="G1985" s="22">
        <v>19</v>
      </c>
      <c r="H1985" s="22" t="s">
        <v>3535</v>
      </c>
      <c r="I1985" s="22" t="s">
        <v>302</v>
      </c>
      <c r="J1985" s="36">
        <v>0</v>
      </c>
      <c r="K1985" s="36">
        <v>0</v>
      </c>
      <c r="L1985" s="36">
        <v>0</v>
      </c>
      <c r="M1985" s="36">
        <f t="shared" si="240"/>
        <v>0</v>
      </c>
      <c r="N1985" s="34">
        <f t="shared" si="246"/>
        <v>0</v>
      </c>
      <c r="O1985" s="35">
        <f>SUM($M$2:M1985)</f>
        <v>190743600</v>
      </c>
      <c r="P1985" s="34">
        <f t="shared" si="247"/>
        <v>1</v>
      </c>
      <c r="Q1985" s="39">
        <v>0</v>
      </c>
      <c r="R1985" s="22">
        <v>0</v>
      </c>
      <c r="S1985" s="22">
        <v>0</v>
      </c>
      <c r="T1985" s="22">
        <v>0</v>
      </c>
      <c r="U1985" s="39">
        <v>1.5</v>
      </c>
      <c r="V1985" s="22">
        <v>0</v>
      </c>
      <c r="W1985" s="22">
        <v>1</v>
      </c>
      <c r="X1985" s="40">
        <v>35</v>
      </c>
      <c r="Y1985" s="22">
        <v>1</v>
      </c>
      <c r="Z1985" s="22">
        <v>0</v>
      </c>
      <c r="AA1985" s="22" t="s">
        <v>212</v>
      </c>
      <c r="AB1985" s="22" t="s">
        <v>220</v>
      </c>
      <c r="AC1985" s="42">
        <f>IFERROR(LOOKUP(M1985,打分卡!$F$7:$J$7,打分卡!$K$7:$O$7),1)</f>
        <v>1</v>
      </c>
      <c r="AD1985" s="42">
        <f>IFERROR(LOOKUP(S1985,打分卡!$F$8:$J$8,打分卡!$K$8:$O$8),1)</f>
        <v>1</v>
      </c>
      <c r="AE1985" s="42">
        <f>IFERROR(LOOKUP(T1985,打分卡!$F$9:$I$9,打分卡!$K$9:$N$9),1)</f>
        <v>1</v>
      </c>
      <c r="AF1985" s="42">
        <f>IFERROR(LOOKUP(Q1985,打分卡!$F$10:$J$10,打分卡!$K$10:$O$10),1)</f>
        <v>1</v>
      </c>
      <c r="AG1985" s="42">
        <f>IFERROR(LOOKUP(R1985,打分卡!$F$11:$J$11,打分卡!$K$11:$O$11),1)</f>
        <v>1</v>
      </c>
      <c r="AH1985" s="42">
        <f>IFERROR(LOOKUP(U1985,打分卡!$F$12:$J$12,打分卡!$K$12:$O$12),1)</f>
        <v>1</v>
      </c>
      <c r="AI1985" s="42">
        <f>IFERROR(LOOKUP(X1985,打分卡!$F$13:$J$13,打分卡!$K$13:$O$13),1)</f>
        <v>2</v>
      </c>
      <c r="AJ1985" s="42">
        <f>IFERROR(LOOKUP(Y1985,打分卡!$F$14:$J$14,打分卡!$K$14:$O$14),1)</f>
        <v>2</v>
      </c>
      <c r="AK1985" s="42">
        <f>IFERROR(LOOKUP(W1985,打分卡!$F$15:$J$15,打分卡!$K$15:$O$15),1)</f>
        <v>2</v>
      </c>
      <c r="AL1985" s="45">
        <f t="shared" si="241"/>
        <v>1</v>
      </c>
      <c r="AM1985" s="42">
        <f>IFERROR(LOOKUP(Z1985,打分卡!$F$17:$H$17,打分卡!$K$17:$M$17),1)</f>
        <v>1</v>
      </c>
      <c r="AN1985" s="46">
        <f>(打分卡!$D$7*AC1985+打分卡!$D$8*AD1985+打分卡!$D$9*AE1985)/5</f>
        <v>8</v>
      </c>
      <c r="AO1985" s="46">
        <f>(打分卡!$D$10*AF1985+打分卡!$D$11*AG1985)/5</f>
        <v>4</v>
      </c>
      <c r="AP1985" s="46">
        <f>(打分卡!$D$12*AH1985+打分卡!$D$13*AI1985+打分卡!$D$14*AJ1985+打分卡!$D$15*AK1985)/5</f>
        <v>9.6</v>
      </c>
      <c r="AQ1985" s="46">
        <f>(打分卡!$D$16*AL1985+打分卡!$D$17*AM1985)/5</f>
        <v>2</v>
      </c>
      <c r="AR1985" s="48">
        <f t="shared" si="242"/>
        <v>23.6</v>
      </c>
      <c r="AS1985" s="45" t="str">
        <f t="shared" si="243"/>
        <v>未激活</v>
      </c>
      <c r="AT1985" s="45" t="str">
        <f t="shared" si="244"/>
        <v>连续下降-预警</v>
      </c>
      <c r="AU1985" s="45" t="str">
        <f t="shared" si="245"/>
        <v>唤醒：短信模板+首充补贴</v>
      </c>
    </row>
    <row r="1986" ht="15" customHeight="1" spans="1:47">
      <c r="A1986" s="30" t="s">
        <v>4985</v>
      </c>
      <c r="B1986" s="31" t="s">
        <v>4986</v>
      </c>
      <c r="C1986" s="31" t="s">
        <v>189</v>
      </c>
      <c r="D1986" s="31" t="s">
        <v>190</v>
      </c>
      <c r="E1986" s="31" t="s">
        <v>197</v>
      </c>
      <c r="F1986" s="30" t="s">
        <v>4987</v>
      </c>
      <c r="G1986" s="31">
        <v>29</v>
      </c>
      <c r="H1986" s="31" t="s">
        <v>3535</v>
      </c>
      <c r="I1986" s="31" t="s">
        <v>302</v>
      </c>
      <c r="J1986" s="33">
        <v>0</v>
      </c>
      <c r="K1986" s="33">
        <v>0</v>
      </c>
      <c r="L1986" s="33">
        <v>0</v>
      </c>
      <c r="M1986" s="33">
        <f t="shared" ref="M1986:M2049" si="248">SUM(J1986:L1986)</f>
        <v>0</v>
      </c>
      <c r="N1986" s="34">
        <f t="shared" si="246"/>
        <v>0</v>
      </c>
      <c r="O1986" s="35">
        <f>SUM($M$2:M1986)</f>
        <v>190743600</v>
      </c>
      <c r="P1986" s="34">
        <f t="shared" si="247"/>
        <v>1</v>
      </c>
      <c r="Q1986" s="37">
        <v>0</v>
      </c>
      <c r="R1986" s="31">
        <v>0</v>
      </c>
      <c r="S1986" s="31">
        <v>0</v>
      </c>
      <c r="T1986" s="31">
        <v>0</v>
      </c>
      <c r="U1986" s="37">
        <v>0.6</v>
      </c>
      <c r="V1986" s="31">
        <v>9</v>
      </c>
      <c r="W1986" s="31">
        <v>2</v>
      </c>
      <c r="X1986" s="38">
        <v>6</v>
      </c>
      <c r="Y1986" s="31">
        <v>1</v>
      </c>
      <c r="Z1986" s="31">
        <v>0</v>
      </c>
      <c r="AA1986" s="31" t="s">
        <v>212</v>
      </c>
      <c r="AB1986" s="31" t="s">
        <v>220</v>
      </c>
      <c r="AC1986" s="41">
        <f>IFERROR(LOOKUP(M1986,打分卡!$F$7:$J$7,打分卡!$K$7:$O$7),1)</f>
        <v>1</v>
      </c>
      <c r="AD1986" s="41">
        <f>IFERROR(LOOKUP(S1986,打分卡!$F$8:$J$8,打分卡!$K$8:$O$8),1)</f>
        <v>1</v>
      </c>
      <c r="AE1986" s="41">
        <f>IFERROR(LOOKUP(T1986,打分卡!$F$9:$I$9,打分卡!$K$9:$N$9),1)</f>
        <v>1</v>
      </c>
      <c r="AF1986" s="41">
        <f>IFERROR(LOOKUP(Q1986,打分卡!$F$10:$J$10,打分卡!$K$10:$O$10),1)</f>
        <v>1</v>
      </c>
      <c r="AG1986" s="41">
        <f>IFERROR(LOOKUP(R1986,打分卡!$F$11:$J$11,打分卡!$K$11:$O$11),1)</f>
        <v>1</v>
      </c>
      <c r="AH1986" s="41">
        <f>IFERROR(LOOKUP(U1986,打分卡!$F$12:$J$12,打分卡!$K$12:$O$12),1)</f>
        <v>1</v>
      </c>
      <c r="AI1986" s="41">
        <f>IFERROR(LOOKUP(X1986,打分卡!$F$13:$J$13,打分卡!$K$13:$O$13),1)</f>
        <v>1</v>
      </c>
      <c r="AJ1986" s="41">
        <f>IFERROR(LOOKUP(Y1986,打分卡!$F$14:$J$14,打分卡!$K$14:$O$14),1)</f>
        <v>2</v>
      </c>
      <c r="AK1986" s="41">
        <f>IFERROR(LOOKUP(W1986,打分卡!$F$15:$J$15,打分卡!$K$15:$O$15),1)</f>
        <v>2</v>
      </c>
      <c r="AL1986" s="43">
        <f t="shared" ref="AL1986:AL2001" si="249">IF(AA1986="连续下降",1,IF(AA1986="下降",2,IF(AA1986="上升",5,3)))</f>
        <v>1</v>
      </c>
      <c r="AM1986" s="41">
        <f>IFERROR(LOOKUP(Z1986,打分卡!$F$17:$H$17,打分卡!$K$17:$M$17),1)</f>
        <v>1</v>
      </c>
      <c r="AN1986" s="44">
        <f>(打分卡!$D$7*AC1986+打分卡!$D$8*AD1986+打分卡!$D$9*AE1986)/5</f>
        <v>8</v>
      </c>
      <c r="AO1986" s="44">
        <f>(打分卡!$D$10*AF1986+打分卡!$D$11*AG1986)/5</f>
        <v>4</v>
      </c>
      <c r="AP1986" s="44">
        <f>(打分卡!$D$12*AH1986+打分卡!$D$13*AI1986+打分卡!$D$14*AJ1986+打分卡!$D$15*AK1986)/5</f>
        <v>8</v>
      </c>
      <c r="AQ1986" s="44">
        <f>(打分卡!$D$16*AL1986+打分卡!$D$17*AM1986)/5</f>
        <v>2</v>
      </c>
      <c r="AR1986" s="47">
        <f t="shared" ref="AR1986:AR2049" si="250">IF(G1986&lt;3,AP1986/30*40+AO1986+AP1986+AQ1986,AN1986+AO1986+AP1986+AQ1986)</f>
        <v>22</v>
      </c>
      <c r="AS1986" s="43" t="str">
        <f t="shared" ref="AS1986:AS2049" si="251">IF(M1986=0,IF(G1986&lt;3,"新客观察期","未激活"),IF(AR1986&gt;=90,"SKA",IF(AR1986&gt;=75,"KA",IF(AR1986&gt;=40,"腰部","基础长尾"))))</f>
        <v>未激活</v>
      </c>
      <c r="AT1986" s="43" t="str">
        <f t="shared" ref="AT1986:AT2001" si="252">IF(AA1986="连续下降","连续下降-预警","")</f>
        <v>连续下降-预警</v>
      </c>
      <c r="AU1986" s="43" t="str">
        <f t="shared" ref="AU1986:AU2001" si="253">IF(AS1986="SKA","守·共创：卡片短信/AI外呼新场景POC",IF(AS1986="KA","扩·深化：AI外呼场景深化+Push/企微补全",IF(AS1986="腰部","拉·主攻：主推AI外呼+大促作战包",IF(AS1986="新客观察期","培育：入门包+1v1场景教育",IF(AS1986="基础长尾","激活：企微+Push低成本先跑","唤醒：短信模板+首充补贴")))))</f>
        <v>唤醒：短信模板+首充补贴</v>
      </c>
    </row>
    <row r="1987" ht="15" customHeight="1" spans="1:47">
      <c r="A1987" s="20" t="s">
        <v>4988</v>
      </c>
      <c r="B1987" s="22" t="s">
        <v>4989</v>
      </c>
      <c r="C1987" s="22" t="s">
        <v>189</v>
      </c>
      <c r="D1987" s="22" t="s">
        <v>227</v>
      </c>
      <c r="E1987" s="22" t="s">
        <v>181</v>
      </c>
      <c r="F1987" s="20" t="s">
        <v>4990</v>
      </c>
      <c r="G1987" s="22">
        <v>31</v>
      </c>
      <c r="H1987" s="22" t="s">
        <v>3535</v>
      </c>
      <c r="I1987" s="22" t="s">
        <v>302</v>
      </c>
      <c r="J1987" s="36">
        <v>0</v>
      </c>
      <c r="K1987" s="36">
        <v>0</v>
      </c>
      <c r="L1987" s="36">
        <v>0</v>
      </c>
      <c r="M1987" s="36">
        <f t="shared" si="248"/>
        <v>0</v>
      </c>
      <c r="N1987" s="34">
        <f t="shared" ref="N1987:N2001" si="254">M1987/$M$2002</f>
        <v>0</v>
      </c>
      <c r="O1987" s="35">
        <f>SUM($M$2:M1987)</f>
        <v>190743600</v>
      </c>
      <c r="P1987" s="34">
        <f t="shared" ref="P1987:P2001" si="255">O1987/$M$2002</f>
        <v>1</v>
      </c>
      <c r="Q1987" s="39">
        <v>0</v>
      </c>
      <c r="R1987" s="22">
        <v>0</v>
      </c>
      <c r="S1987" s="22">
        <v>0</v>
      </c>
      <c r="T1987" s="22">
        <v>0</v>
      </c>
      <c r="U1987" s="39">
        <v>38.1</v>
      </c>
      <c r="V1987" s="22">
        <v>2</v>
      </c>
      <c r="W1987" s="22">
        <v>1</v>
      </c>
      <c r="X1987" s="40">
        <v>13</v>
      </c>
      <c r="Y1987" s="22">
        <v>1</v>
      </c>
      <c r="Z1987" s="22">
        <v>0</v>
      </c>
      <c r="AA1987" s="22" t="s">
        <v>212</v>
      </c>
      <c r="AB1987" s="22" t="s">
        <v>220</v>
      </c>
      <c r="AC1987" s="42">
        <f>IFERROR(LOOKUP(M1987,打分卡!$F$7:$J$7,打分卡!$K$7:$O$7),1)</f>
        <v>1</v>
      </c>
      <c r="AD1987" s="42">
        <f>IFERROR(LOOKUP(S1987,打分卡!$F$8:$J$8,打分卡!$K$8:$O$8),1)</f>
        <v>1</v>
      </c>
      <c r="AE1987" s="42">
        <f>IFERROR(LOOKUP(T1987,打分卡!$F$9:$I$9,打分卡!$K$9:$N$9),1)</f>
        <v>1</v>
      </c>
      <c r="AF1987" s="42">
        <f>IFERROR(LOOKUP(Q1987,打分卡!$F$10:$J$10,打分卡!$K$10:$O$10),1)</f>
        <v>1</v>
      </c>
      <c r="AG1987" s="42">
        <f>IFERROR(LOOKUP(R1987,打分卡!$F$11:$J$11,打分卡!$K$11:$O$11),1)</f>
        <v>1</v>
      </c>
      <c r="AH1987" s="42">
        <f>IFERROR(LOOKUP(U1987,打分卡!$F$12:$J$12,打分卡!$K$12:$O$12),1)</f>
        <v>4</v>
      </c>
      <c r="AI1987" s="42">
        <f>IFERROR(LOOKUP(X1987,打分卡!$F$13:$J$13,打分卡!$K$13:$O$13),1)</f>
        <v>1</v>
      </c>
      <c r="AJ1987" s="42">
        <f>IFERROR(LOOKUP(Y1987,打分卡!$F$14:$J$14,打分卡!$K$14:$O$14),1)</f>
        <v>2</v>
      </c>
      <c r="AK1987" s="42">
        <f>IFERROR(LOOKUP(W1987,打分卡!$F$15:$J$15,打分卡!$K$15:$O$15),1)</f>
        <v>2</v>
      </c>
      <c r="AL1987" s="45">
        <f t="shared" si="249"/>
        <v>1</v>
      </c>
      <c r="AM1987" s="42">
        <f>IFERROR(LOOKUP(Z1987,打分卡!$F$17:$H$17,打分卡!$K$17:$M$17),1)</f>
        <v>1</v>
      </c>
      <c r="AN1987" s="46">
        <f>(打分卡!$D$7*AC1987+打分卡!$D$8*AD1987+打分卡!$D$9*AE1987)/5</f>
        <v>8</v>
      </c>
      <c r="AO1987" s="46">
        <f>(打分卡!$D$10*AF1987+打分卡!$D$11*AG1987)/5</f>
        <v>4</v>
      </c>
      <c r="AP1987" s="46">
        <f>(打分卡!$D$12*AH1987+打分卡!$D$13*AI1987+打分卡!$D$14*AJ1987+打分卡!$D$15*AK1987)/5</f>
        <v>15.2</v>
      </c>
      <c r="AQ1987" s="46">
        <f>(打分卡!$D$16*AL1987+打分卡!$D$17*AM1987)/5</f>
        <v>2</v>
      </c>
      <c r="AR1987" s="48">
        <f t="shared" si="250"/>
        <v>29.2</v>
      </c>
      <c r="AS1987" s="45" t="str">
        <f t="shared" si="251"/>
        <v>未激活</v>
      </c>
      <c r="AT1987" s="45" t="str">
        <f t="shared" si="252"/>
        <v>连续下降-预警</v>
      </c>
      <c r="AU1987" s="45" t="str">
        <f t="shared" si="253"/>
        <v>唤醒：短信模板+首充补贴</v>
      </c>
    </row>
    <row r="1988" ht="15" customHeight="1" spans="1:47">
      <c r="A1988" s="30" t="s">
        <v>4991</v>
      </c>
      <c r="B1988" s="31" t="s">
        <v>4992</v>
      </c>
      <c r="C1988" s="31" t="s">
        <v>218</v>
      </c>
      <c r="D1988" s="31" t="s">
        <v>202</v>
      </c>
      <c r="E1988" s="31" t="s">
        <v>181</v>
      </c>
      <c r="F1988" s="30" t="s">
        <v>4993</v>
      </c>
      <c r="G1988" s="31">
        <v>36</v>
      </c>
      <c r="H1988" s="31" t="s">
        <v>3535</v>
      </c>
      <c r="I1988" s="31" t="s">
        <v>302</v>
      </c>
      <c r="J1988" s="33">
        <v>0</v>
      </c>
      <c r="K1988" s="33">
        <v>0</v>
      </c>
      <c r="L1988" s="33">
        <v>0</v>
      </c>
      <c r="M1988" s="33">
        <f t="shared" si="248"/>
        <v>0</v>
      </c>
      <c r="N1988" s="34">
        <f t="shared" si="254"/>
        <v>0</v>
      </c>
      <c r="O1988" s="35">
        <f>SUM($M$2:M1988)</f>
        <v>190743600</v>
      </c>
      <c r="P1988" s="34">
        <f t="shared" si="255"/>
        <v>1</v>
      </c>
      <c r="Q1988" s="37">
        <v>0</v>
      </c>
      <c r="R1988" s="31">
        <v>0</v>
      </c>
      <c r="S1988" s="31">
        <v>0</v>
      </c>
      <c r="T1988" s="31">
        <v>0</v>
      </c>
      <c r="U1988" s="37">
        <v>5.7</v>
      </c>
      <c r="V1988" s="31">
        <v>7</v>
      </c>
      <c r="W1988" s="31">
        <v>1</v>
      </c>
      <c r="X1988" s="38">
        <v>6</v>
      </c>
      <c r="Y1988" s="31">
        <v>1</v>
      </c>
      <c r="Z1988" s="31">
        <v>0</v>
      </c>
      <c r="AA1988" s="31" t="s">
        <v>212</v>
      </c>
      <c r="AB1988" s="31" t="s">
        <v>220</v>
      </c>
      <c r="AC1988" s="41">
        <f>IFERROR(LOOKUP(M1988,打分卡!$F$7:$J$7,打分卡!$K$7:$O$7),1)</f>
        <v>1</v>
      </c>
      <c r="AD1988" s="41">
        <f>IFERROR(LOOKUP(S1988,打分卡!$F$8:$J$8,打分卡!$K$8:$O$8),1)</f>
        <v>1</v>
      </c>
      <c r="AE1988" s="41">
        <f>IFERROR(LOOKUP(T1988,打分卡!$F$9:$I$9,打分卡!$K$9:$N$9),1)</f>
        <v>1</v>
      </c>
      <c r="AF1988" s="41">
        <f>IFERROR(LOOKUP(Q1988,打分卡!$F$10:$J$10,打分卡!$K$10:$O$10),1)</f>
        <v>1</v>
      </c>
      <c r="AG1988" s="41">
        <f>IFERROR(LOOKUP(R1988,打分卡!$F$11:$J$11,打分卡!$K$11:$O$11),1)</f>
        <v>1</v>
      </c>
      <c r="AH1988" s="41">
        <f>IFERROR(LOOKUP(U1988,打分卡!$F$12:$J$12,打分卡!$K$12:$O$12),1)</f>
        <v>2</v>
      </c>
      <c r="AI1988" s="41">
        <f>IFERROR(LOOKUP(X1988,打分卡!$F$13:$J$13,打分卡!$K$13:$O$13),1)</f>
        <v>1</v>
      </c>
      <c r="AJ1988" s="41">
        <f>IFERROR(LOOKUP(Y1988,打分卡!$F$14:$J$14,打分卡!$K$14:$O$14),1)</f>
        <v>2</v>
      </c>
      <c r="AK1988" s="41">
        <f>IFERROR(LOOKUP(W1988,打分卡!$F$15:$J$15,打分卡!$K$15:$O$15),1)</f>
        <v>2</v>
      </c>
      <c r="AL1988" s="43">
        <f t="shared" si="249"/>
        <v>1</v>
      </c>
      <c r="AM1988" s="41">
        <f>IFERROR(LOOKUP(Z1988,打分卡!$F$17:$H$17,打分卡!$K$17:$M$17),1)</f>
        <v>1</v>
      </c>
      <c r="AN1988" s="44">
        <f>(打分卡!$D$7*AC1988+打分卡!$D$8*AD1988+打分卡!$D$9*AE1988)/5</f>
        <v>8</v>
      </c>
      <c r="AO1988" s="44">
        <f>(打分卡!$D$10*AF1988+打分卡!$D$11*AG1988)/5</f>
        <v>4</v>
      </c>
      <c r="AP1988" s="44">
        <f>(打分卡!$D$12*AH1988+打分卡!$D$13*AI1988+打分卡!$D$14*AJ1988+打分卡!$D$15*AK1988)/5</f>
        <v>10.4</v>
      </c>
      <c r="AQ1988" s="44">
        <f>(打分卡!$D$16*AL1988+打分卡!$D$17*AM1988)/5</f>
        <v>2</v>
      </c>
      <c r="AR1988" s="47">
        <f t="shared" si="250"/>
        <v>24.4</v>
      </c>
      <c r="AS1988" s="43" t="str">
        <f t="shared" si="251"/>
        <v>未激活</v>
      </c>
      <c r="AT1988" s="43" t="str">
        <f t="shared" si="252"/>
        <v>连续下降-预警</v>
      </c>
      <c r="AU1988" s="43" t="str">
        <f t="shared" si="253"/>
        <v>唤醒：短信模板+首充补贴</v>
      </c>
    </row>
    <row r="1989" ht="15" customHeight="1" spans="1:47">
      <c r="A1989" s="20" t="s">
        <v>4994</v>
      </c>
      <c r="B1989" s="22" t="s">
        <v>4995</v>
      </c>
      <c r="C1989" s="22" t="s">
        <v>218</v>
      </c>
      <c r="D1989" s="22" t="s">
        <v>202</v>
      </c>
      <c r="E1989" s="22" t="s">
        <v>181</v>
      </c>
      <c r="F1989" s="20" t="s">
        <v>4996</v>
      </c>
      <c r="G1989" s="22">
        <v>32</v>
      </c>
      <c r="H1989" s="22" t="s">
        <v>3535</v>
      </c>
      <c r="I1989" s="22" t="s">
        <v>302</v>
      </c>
      <c r="J1989" s="36">
        <v>0</v>
      </c>
      <c r="K1989" s="36">
        <v>0</v>
      </c>
      <c r="L1989" s="36">
        <v>0</v>
      </c>
      <c r="M1989" s="36">
        <f t="shared" si="248"/>
        <v>0</v>
      </c>
      <c r="N1989" s="34">
        <f t="shared" si="254"/>
        <v>0</v>
      </c>
      <c r="O1989" s="35">
        <f>SUM($M$2:M1989)</f>
        <v>190743600</v>
      </c>
      <c r="P1989" s="34">
        <f t="shared" si="255"/>
        <v>1</v>
      </c>
      <c r="Q1989" s="39">
        <v>0</v>
      </c>
      <c r="R1989" s="22">
        <v>0</v>
      </c>
      <c r="S1989" s="22">
        <v>0</v>
      </c>
      <c r="T1989" s="22">
        <v>0</v>
      </c>
      <c r="U1989" s="39">
        <v>1.6</v>
      </c>
      <c r="V1989" s="22">
        <v>5</v>
      </c>
      <c r="W1989" s="22">
        <v>0</v>
      </c>
      <c r="X1989" s="40">
        <v>29</v>
      </c>
      <c r="Y1989" s="22">
        <v>1</v>
      </c>
      <c r="Z1989" s="22">
        <v>0</v>
      </c>
      <c r="AA1989" s="22" t="s">
        <v>212</v>
      </c>
      <c r="AB1989" s="22" t="s">
        <v>220</v>
      </c>
      <c r="AC1989" s="42">
        <f>IFERROR(LOOKUP(M1989,打分卡!$F$7:$J$7,打分卡!$K$7:$O$7),1)</f>
        <v>1</v>
      </c>
      <c r="AD1989" s="42">
        <f>IFERROR(LOOKUP(S1989,打分卡!$F$8:$J$8,打分卡!$K$8:$O$8),1)</f>
        <v>1</v>
      </c>
      <c r="AE1989" s="42">
        <f>IFERROR(LOOKUP(T1989,打分卡!$F$9:$I$9,打分卡!$K$9:$N$9),1)</f>
        <v>1</v>
      </c>
      <c r="AF1989" s="42">
        <f>IFERROR(LOOKUP(Q1989,打分卡!$F$10:$J$10,打分卡!$K$10:$O$10),1)</f>
        <v>1</v>
      </c>
      <c r="AG1989" s="42">
        <f>IFERROR(LOOKUP(R1989,打分卡!$F$11:$J$11,打分卡!$K$11:$O$11),1)</f>
        <v>1</v>
      </c>
      <c r="AH1989" s="42">
        <f>IFERROR(LOOKUP(U1989,打分卡!$F$12:$J$12,打分卡!$K$12:$O$12),1)</f>
        <v>1</v>
      </c>
      <c r="AI1989" s="42">
        <f>IFERROR(LOOKUP(X1989,打分卡!$F$13:$J$13,打分卡!$K$13:$O$13),1)</f>
        <v>2</v>
      </c>
      <c r="AJ1989" s="42">
        <f>IFERROR(LOOKUP(Y1989,打分卡!$F$14:$J$14,打分卡!$K$14:$O$14),1)</f>
        <v>2</v>
      </c>
      <c r="AK1989" s="42">
        <f>IFERROR(LOOKUP(W1989,打分卡!$F$15:$J$15,打分卡!$K$15:$O$15),1)</f>
        <v>1</v>
      </c>
      <c r="AL1989" s="45">
        <f t="shared" si="249"/>
        <v>1</v>
      </c>
      <c r="AM1989" s="42">
        <f>IFERROR(LOOKUP(Z1989,打分卡!$F$17:$H$17,打分卡!$K$17:$M$17),1)</f>
        <v>1</v>
      </c>
      <c r="AN1989" s="46">
        <f>(打分卡!$D$7*AC1989+打分卡!$D$8*AD1989+打分卡!$D$9*AE1989)/5</f>
        <v>8</v>
      </c>
      <c r="AO1989" s="46">
        <f>(打分卡!$D$10*AF1989+打分卡!$D$11*AG1989)/5</f>
        <v>4</v>
      </c>
      <c r="AP1989" s="46">
        <f>(打分卡!$D$12*AH1989+打分卡!$D$13*AI1989+打分卡!$D$14*AJ1989+打分卡!$D$15*AK1989)/5</f>
        <v>8.8</v>
      </c>
      <c r="AQ1989" s="46">
        <f>(打分卡!$D$16*AL1989+打分卡!$D$17*AM1989)/5</f>
        <v>2</v>
      </c>
      <c r="AR1989" s="48">
        <f t="shared" si="250"/>
        <v>22.8</v>
      </c>
      <c r="AS1989" s="45" t="str">
        <f t="shared" si="251"/>
        <v>未激活</v>
      </c>
      <c r="AT1989" s="45" t="str">
        <f t="shared" si="252"/>
        <v>连续下降-预警</v>
      </c>
      <c r="AU1989" s="45" t="str">
        <f t="shared" si="253"/>
        <v>唤醒：短信模板+首充补贴</v>
      </c>
    </row>
    <row r="1990" ht="15" customHeight="1" spans="1:47">
      <c r="A1990" s="30" t="s">
        <v>4997</v>
      </c>
      <c r="B1990" s="31" t="s">
        <v>4998</v>
      </c>
      <c r="C1990" s="31" t="s">
        <v>179</v>
      </c>
      <c r="D1990" s="31" t="s">
        <v>202</v>
      </c>
      <c r="E1990" s="31" t="s">
        <v>181</v>
      </c>
      <c r="F1990" s="30" t="s">
        <v>4999</v>
      </c>
      <c r="G1990" s="31">
        <v>31</v>
      </c>
      <c r="H1990" s="31" t="s">
        <v>3535</v>
      </c>
      <c r="I1990" s="31" t="s">
        <v>302</v>
      </c>
      <c r="J1990" s="33">
        <v>0</v>
      </c>
      <c r="K1990" s="33">
        <v>0</v>
      </c>
      <c r="L1990" s="33">
        <v>0</v>
      </c>
      <c r="M1990" s="33">
        <f t="shared" si="248"/>
        <v>0</v>
      </c>
      <c r="N1990" s="34">
        <f t="shared" si="254"/>
        <v>0</v>
      </c>
      <c r="O1990" s="35">
        <f>SUM($M$2:M1990)</f>
        <v>190743600</v>
      </c>
      <c r="P1990" s="34">
        <f t="shared" si="255"/>
        <v>1</v>
      </c>
      <c r="Q1990" s="37">
        <v>0</v>
      </c>
      <c r="R1990" s="31">
        <v>0</v>
      </c>
      <c r="S1990" s="31">
        <v>0</v>
      </c>
      <c r="T1990" s="31">
        <v>0</v>
      </c>
      <c r="U1990" s="37">
        <v>8.7</v>
      </c>
      <c r="V1990" s="31">
        <v>11</v>
      </c>
      <c r="W1990" s="31">
        <v>1</v>
      </c>
      <c r="X1990" s="38">
        <v>17</v>
      </c>
      <c r="Y1990" s="31">
        <v>1</v>
      </c>
      <c r="Z1990" s="31">
        <v>0</v>
      </c>
      <c r="AA1990" s="31" t="s">
        <v>212</v>
      </c>
      <c r="AB1990" s="31" t="s">
        <v>220</v>
      </c>
      <c r="AC1990" s="41">
        <f>IFERROR(LOOKUP(M1990,打分卡!$F$7:$J$7,打分卡!$K$7:$O$7),1)</f>
        <v>1</v>
      </c>
      <c r="AD1990" s="41">
        <f>IFERROR(LOOKUP(S1990,打分卡!$F$8:$J$8,打分卡!$K$8:$O$8),1)</f>
        <v>1</v>
      </c>
      <c r="AE1990" s="41">
        <f>IFERROR(LOOKUP(T1990,打分卡!$F$9:$I$9,打分卡!$K$9:$N$9),1)</f>
        <v>1</v>
      </c>
      <c r="AF1990" s="41">
        <f>IFERROR(LOOKUP(Q1990,打分卡!$F$10:$J$10,打分卡!$K$10:$O$10),1)</f>
        <v>1</v>
      </c>
      <c r="AG1990" s="41">
        <f>IFERROR(LOOKUP(R1990,打分卡!$F$11:$J$11,打分卡!$K$11:$O$11),1)</f>
        <v>1</v>
      </c>
      <c r="AH1990" s="41">
        <f>IFERROR(LOOKUP(U1990,打分卡!$F$12:$J$12,打分卡!$K$12:$O$12),1)</f>
        <v>2</v>
      </c>
      <c r="AI1990" s="41">
        <f>IFERROR(LOOKUP(X1990,打分卡!$F$13:$J$13,打分卡!$K$13:$O$13),1)</f>
        <v>1</v>
      </c>
      <c r="AJ1990" s="41">
        <f>IFERROR(LOOKUP(Y1990,打分卡!$F$14:$J$14,打分卡!$K$14:$O$14),1)</f>
        <v>2</v>
      </c>
      <c r="AK1990" s="41">
        <f>IFERROR(LOOKUP(W1990,打分卡!$F$15:$J$15,打分卡!$K$15:$O$15),1)</f>
        <v>2</v>
      </c>
      <c r="AL1990" s="43">
        <f t="shared" si="249"/>
        <v>1</v>
      </c>
      <c r="AM1990" s="41">
        <f>IFERROR(LOOKUP(Z1990,打分卡!$F$17:$H$17,打分卡!$K$17:$M$17),1)</f>
        <v>1</v>
      </c>
      <c r="AN1990" s="44">
        <f>(打分卡!$D$7*AC1990+打分卡!$D$8*AD1990+打分卡!$D$9*AE1990)/5</f>
        <v>8</v>
      </c>
      <c r="AO1990" s="44">
        <f>(打分卡!$D$10*AF1990+打分卡!$D$11*AG1990)/5</f>
        <v>4</v>
      </c>
      <c r="AP1990" s="44">
        <f>(打分卡!$D$12*AH1990+打分卡!$D$13*AI1990+打分卡!$D$14*AJ1990+打分卡!$D$15*AK1990)/5</f>
        <v>10.4</v>
      </c>
      <c r="AQ1990" s="44">
        <f>(打分卡!$D$16*AL1990+打分卡!$D$17*AM1990)/5</f>
        <v>2</v>
      </c>
      <c r="AR1990" s="47">
        <f t="shared" si="250"/>
        <v>24.4</v>
      </c>
      <c r="AS1990" s="43" t="str">
        <f t="shared" si="251"/>
        <v>未激活</v>
      </c>
      <c r="AT1990" s="43" t="str">
        <f t="shared" si="252"/>
        <v>连续下降-预警</v>
      </c>
      <c r="AU1990" s="43" t="str">
        <f t="shared" si="253"/>
        <v>唤醒：短信模板+首充补贴</v>
      </c>
    </row>
    <row r="1991" ht="15" customHeight="1" spans="1:47">
      <c r="A1991" s="20" t="s">
        <v>5000</v>
      </c>
      <c r="B1991" s="22" t="s">
        <v>5001</v>
      </c>
      <c r="C1991" s="22" t="s">
        <v>218</v>
      </c>
      <c r="D1991" s="22" t="s">
        <v>227</v>
      </c>
      <c r="E1991" s="22" t="s">
        <v>181</v>
      </c>
      <c r="F1991" s="20" t="s">
        <v>539</v>
      </c>
      <c r="G1991" s="22">
        <v>15</v>
      </c>
      <c r="H1991" s="22" t="s">
        <v>3535</v>
      </c>
      <c r="I1991" s="22" t="s">
        <v>302</v>
      </c>
      <c r="J1991" s="36">
        <v>0</v>
      </c>
      <c r="K1991" s="36">
        <v>0</v>
      </c>
      <c r="L1991" s="36">
        <v>0</v>
      </c>
      <c r="M1991" s="36">
        <f t="shared" si="248"/>
        <v>0</v>
      </c>
      <c r="N1991" s="34">
        <f t="shared" si="254"/>
        <v>0</v>
      </c>
      <c r="O1991" s="35">
        <f>SUM($M$2:M1991)</f>
        <v>190743600</v>
      </c>
      <c r="P1991" s="34">
        <f t="shared" si="255"/>
        <v>1</v>
      </c>
      <c r="Q1991" s="39">
        <v>0</v>
      </c>
      <c r="R1991" s="22">
        <v>0</v>
      </c>
      <c r="S1991" s="22">
        <v>0</v>
      </c>
      <c r="T1991" s="22">
        <v>0</v>
      </c>
      <c r="U1991" s="39">
        <v>14.5</v>
      </c>
      <c r="V1991" s="22">
        <v>13</v>
      </c>
      <c r="W1991" s="22">
        <v>0</v>
      </c>
      <c r="X1991" s="40">
        <v>53</v>
      </c>
      <c r="Y1991" s="22">
        <v>0</v>
      </c>
      <c r="Z1991" s="22">
        <v>0</v>
      </c>
      <c r="AA1991" s="22" t="s">
        <v>212</v>
      </c>
      <c r="AB1991" s="22" t="s">
        <v>220</v>
      </c>
      <c r="AC1991" s="42">
        <f>IFERROR(LOOKUP(M1991,打分卡!$F$7:$J$7,打分卡!$K$7:$O$7),1)</f>
        <v>1</v>
      </c>
      <c r="AD1991" s="42">
        <f>IFERROR(LOOKUP(S1991,打分卡!$F$8:$J$8,打分卡!$K$8:$O$8),1)</f>
        <v>1</v>
      </c>
      <c r="AE1991" s="42">
        <f>IFERROR(LOOKUP(T1991,打分卡!$F$9:$I$9,打分卡!$K$9:$N$9),1)</f>
        <v>1</v>
      </c>
      <c r="AF1991" s="42">
        <f>IFERROR(LOOKUP(Q1991,打分卡!$F$10:$J$10,打分卡!$K$10:$O$10),1)</f>
        <v>1</v>
      </c>
      <c r="AG1991" s="42">
        <f>IFERROR(LOOKUP(R1991,打分卡!$F$11:$J$11,打分卡!$K$11:$O$11),1)</f>
        <v>1</v>
      </c>
      <c r="AH1991" s="42">
        <f>IFERROR(LOOKUP(U1991,打分卡!$F$12:$J$12,打分卡!$K$12:$O$12),1)</f>
        <v>3</v>
      </c>
      <c r="AI1991" s="42">
        <f>IFERROR(LOOKUP(X1991,打分卡!$F$13:$J$13,打分卡!$K$13:$O$13),1)</f>
        <v>3</v>
      </c>
      <c r="AJ1991" s="42">
        <f>IFERROR(LOOKUP(Y1991,打分卡!$F$14:$J$14,打分卡!$K$14:$O$14),1)</f>
        <v>1</v>
      </c>
      <c r="AK1991" s="42">
        <f>IFERROR(LOOKUP(W1991,打分卡!$F$15:$J$15,打分卡!$K$15:$O$15),1)</f>
        <v>1</v>
      </c>
      <c r="AL1991" s="45">
        <f t="shared" si="249"/>
        <v>1</v>
      </c>
      <c r="AM1991" s="42">
        <f>IFERROR(LOOKUP(Z1991,打分卡!$F$17:$H$17,打分卡!$K$17:$M$17),1)</f>
        <v>1</v>
      </c>
      <c r="AN1991" s="46">
        <f>(打分卡!$D$7*AC1991+打分卡!$D$8*AD1991+打分卡!$D$9*AE1991)/5</f>
        <v>8</v>
      </c>
      <c r="AO1991" s="46">
        <f>(打分卡!$D$10*AF1991+打分卡!$D$11*AG1991)/5</f>
        <v>4</v>
      </c>
      <c r="AP1991" s="46">
        <f>(打分卡!$D$12*AH1991+打分卡!$D$13*AI1991+打分卡!$D$14*AJ1991+打分卡!$D$15*AK1991)/5</f>
        <v>14</v>
      </c>
      <c r="AQ1991" s="46">
        <f>(打分卡!$D$16*AL1991+打分卡!$D$17*AM1991)/5</f>
        <v>2</v>
      </c>
      <c r="AR1991" s="48">
        <f t="shared" si="250"/>
        <v>28</v>
      </c>
      <c r="AS1991" s="45" t="str">
        <f t="shared" si="251"/>
        <v>未激活</v>
      </c>
      <c r="AT1991" s="45" t="str">
        <f t="shared" si="252"/>
        <v>连续下降-预警</v>
      </c>
      <c r="AU1991" s="45" t="str">
        <f t="shared" si="253"/>
        <v>唤醒：短信模板+首充补贴</v>
      </c>
    </row>
    <row r="1992" ht="15" customHeight="1" spans="1:47">
      <c r="A1992" s="30" t="s">
        <v>5002</v>
      </c>
      <c r="B1992" s="31" t="s">
        <v>5003</v>
      </c>
      <c r="C1992" s="31" t="s">
        <v>189</v>
      </c>
      <c r="D1992" s="31" t="s">
        <v>196</v>
      </c>
      <c r="E1992" s="31" t="s">
        <v>181</v>
      </c>
      <c r="F1992" s="30" t="s">
        <v>5004</v>
      </c>
      <c r="G1992" s="31">
        <v>24</v>
      </c>
      <c r="H1992" s="31" t="s">
        <v>3535</v>
      </c>
      <c r="I1992" s="31" t="s">
        <v>302</v>
      </c>
      <c r="J1992" s="33">
        <v>0</v>
      </c>
      <c r="K1992" s="33">
        <v>0</v>
      </c>
      <c r="L1992" s="33">
        <v>0</v>
      </c>
      <c r="M1992" s="33">
        <f t="shared" si="248"/>
        <v>0</v>
      </c>
      <c r="N1992" s="34">
        <f t="shared" si="254"/>
        <v>0</v>
      </c>
      <c r="O1992" s="35">
        <f>SUM($M$2:M1992)</f>
        <v>190743600</v>
      </c>
      <c r="P1992" s="34">
        <f t="shared" si="255"/>
        <v>1</v>
      </c>
      <c r="Q1992" s="37">
        <v>0</v>
      </c>
      <c r="R1992" s="31">
        <v>0</v>
      </c>
      <c r="S1992" s="31">
        <v>0</v>
      </c>
      <c r="T1992" s="31">
        <v>0</v>
      </c>
      <c r="U1992" s="37">
        <v>22.1</v>
      </c>
      <c r="V1992" s="31">
        <v>5</v>
      </c>
      <c r="W1992" s="31">
        <v>0</v>
      </c>
      <c r="X1992" s="38">
        <v>28</v>
      </c>
      <c r="Y1992" s="31">
        <v>0</v>
      </c>
      <c r="Z1992" s="31">
        <v>0</v>
      </c>
      <c r="AA1992" s="31" t="s">
        <v>212</v>
      </c>
      <c r="AB1992" s="31" t="s">
        <v>220</v>
      </c>
      <c r="AC1992" s="41">
        <f>IFERROR(LOOKUP(M1992,打分卡!$F$7:$J$7,打分卡!$K$7:$O$7),1)</f>
        <v>1</v>
      </c>
      <c r="AD1992" s="41">
        <f>IFERROR(LOOKUP(S1992,打分卡!$F$8:$J$8,打分卡!$K$8:$O$8),1)</f>
        <v>1</v>
      </c>
      <c r="AE1992" s="41">
        <f>IFERROR(LOOKUP(T1992,打分卡!$F$9:$I$9,打分卡!$K$9:$N$9),1)</f>
        <v>1</v>
      </c>
      <c r="AF1992" s="41">
        <f>IFERROR(LOOKUP(Q1992,打分卡!$F$10:$J$10,打分卡!$K$10:$O$10),1)</f>
        <v>1</v>
      </c>
      <c r="AG1992" s="41">
        <f>IFERROR(LOOKUP(R1992,打分卡!$F$11:$J$11,打分卡!$K$11:$O$11),1)</f>
        <v>1</v>
      </c>
      <c r="AH1992" s="41">
        <f>IFERROR(LOOKUP(U1992,打分卡!$F$12:$J$12,打分卡!$K$12:$O$12),1)</f>
        <v>3</v>
      </c>
      <c r="AI1992" s="41">
        <f>IFERROR(LOOKUP(X1992,打分卡!$F$13:$J$13,打分卡!$K$13:$O$13),1)</f>
        <v>2</v>
      </c>
      <c r="AJ1992" s="41">
        <f>IFERROR(LOOKUP(Y1992,打分卡!$F$14:$J$14,打分卡!$K$14:$O$14),1)</f>
        <v>1</v>
      </c>
      <c r="AK1992" s="41">
        <f>IFERROR(LOOKUP(W1992,打分卡!$F$15:$J$15,打分卡!$K$15:$O$15),1)</f>
        <v>1</v>
      </c>
      <c r="AL1992" s="43">
        <f t="shared" si="249"/>
        <v>1</v>
      </c>
      <c r="AM1992" s="41">
        <f>IFERROR(LOOKUP(Z1992,打分卡!$F$17:$H$17,打分卡!$K$17:$M$17),1)</f>
        <v>1</v>
      </c>
      <c r="AN1992" s="44">
        <f>(打分卡!$D$7*AC1992+打分卡!$D$8*AD1992+打分卡!$D$9*AE1992)/5</f>
        <v>8</v>
      </c>
      <c r="AO1992" s="44">
        <f>(打分卡!$D$10*AF1992+打分卡!$D$11*AG1992)/5</f>
        <v>4</v>
      </c>
      <c r="AP1992" s="44">
        <f>(打分卡!$D$12*AH1992+打分卡!$D$13*AI1992+打分卡!$D$14*AJ1992+打分卡!$D$15*AK1992)/5</f>
        <v>12.4</v>
      </c>
      <c r="AQ1992" s="44">
        <f>(打分卡!$D$16*AL1992+打分卡!$D$17*AM1992)/5</f>
        <v>2</v>
      </c>
      <c r="AR1992" s="47">
        <f t="shared" si="250"/>
        <v>26.4</v>
      </c>
      <c r="AS1992" s="43" t="str">
        <f t="shared" si="251"/>
        <v>未激活</v>
      </c>
      <c r="AT1992" s="43" t="str">
        <f t="shared" si="252"/>
        <v>连续下降-预警</v>
      </c>
      <c r="AU1992" s="43" t="str">
        <f t="shared" si="253"/>
        <v>唤醒：短信模板+首充补贴</v>
      </c>
    </row>
    <row r="1993" ht="15" customHeight="1" spans="1:47">
      <c r="A1993" s="20" t="s">
        <v>5005</v>
      </c>
      <c r="B1993" s="22" t="s">
        <v>5006</v>
      </c>
      <c r="C1993" s="22" t="s">
        <v>195</v>
      </c>
      <c r="D1993" s="22" t="s">
        <v>190</v>
      </c>
      <c r="E1993" s="22" t="s">
        <v>181</v>
      </c>
      <c r="F1993" s="20" t="s">
        <v>5007</v>
      </c>
      <c r="G1993" s="22">
        <v>33</v>
      </c>
      <c r="H1993" s="22" t="s">
        <v>3535</v>
      </c>
      <c r="I1993" s="22" t="s">
        <v>302</v>
      </c>
      <c r="J1993" s="36">
        <v>0</v>
      </c>
      <c r="K1993" s="36">
        <v>0</v>
      </c>
      <c r="L1993" s="36">
        <v>0</v>
      </c>
      <c r="M1993" s="36">
        <f t="shared" si="248"/>
        <v>0</v>
      </c>
      <c r="N1993" s="34">
        <f t="shared" si="254"/>
        <v>0</v>
      </c>
      <c r="O1993" s="35">
        <f>SUM($M$2:M1993)</f>
        <v>190743600</v>
      </c>
      <c r="P1993" s="34">
        <f t="shared" si="255"/>
        <v>1</v>
      </c>
      <c r="Q1993" s="39">
        <v>0</v>
      </c>
      <c r="R1993" s="22">
        <v>0</v>
      </c>
      <c r="S1993" s="22">
        <v>0</v>
      </c>
      <c r="T1993" s="22">
        <v>0</v>
      </c>
      <c r="U1993" s="39">
        <v>1.3</v>
      </c>
      <c r="V1993" s="22">
        <v>7</v>
      </c>
      <c r="W1993" s="22">
        <v>1</v>
      </c>
      <c r="X1993" s="40">
        <v>8</v>
      </c>
      <c r="Y1993" s="22">
        <v>0</v>
      </c>
      <c r="Z1993" s="22">
        <v>0</v>
      </c>
      <c r="AA1993" s="22" t="s">
        <v>212</v>
      </c>
      <c r="AB1993" s="22" t="s">
        <v>220</v>
      </c>
      <c r="AC1993" s="42">
        <f>IFERROR(LOOKUP(M1993,打分卡!$F$7:$J$7,打分卡!$K$7:$O$7),1)</f>
        <v>1</v>
      </c>
      <c r="AD1993" s="42">
        <f>IFERROR(LOOKUP(S1993,打分卡!$F$8:$J$8,打分卡!$K$8:$O$8),1)</f>
        <v>1</v>
      </c>
      <c r="AE1993" s="42">
        <f>IFERROR(LOOKUP(T1993,打分卡!$F$9:$I$9,打分卡!$K$9:$N$9),1)</f>
        <v>1</v>
      </c>
      <c r="AF1993" s="42">
        <f>IFERROR(LOOKUP(Q1993,打分卡!$F$10:$J$10,打分卡!$K$10:$O$10),1)</f>
        <v>1</v>
      </c>
      <c r="AG1993" s="42">
        <f>IFERROR(LOOKUP(R1993,打分卡!$F$11:$J$11,打分卡!$K$11:$O$11),1)</f>
        <v>1</v>
      </c>
      <c r="AH1993" s="42">
        <f>IFERROR(LOOKUP(U1993,打分卡!$F$12:$J$12,打分卡!$K$12:$O$12),1)</f>
        <v>1</v>
      </c>
      <c r="AI1993" s="42">
        <f>IFERROR(LOOKUP(X1993,打分卡!$F$13:$J$13,打分卡!$K$13:$O$13),1)</f>
        <v>1</v>
      </c>
      <c r="AJ1993" s="42">
        <f>IFERROR(LOOKUP(Y1993,打分卡!$F$14:$J$14,打分卡!$K$14:$O$14),1)</f>
        <v>1</v>
      </c>
      <c r="AK1993" s="42">
        <f>IFERROR(LOOKUP(W1993,打分卡!$F$15:$J$15,打分卡!$K$15:$O$15),1)</f>
        <v>2</v>
      </c>
      <c r="AL1993" s="45">
        <f t="shared" si="249"/>
        <v>1</v>
      </c>
      <c r="AM1993" s="42">
        <f>IFERROR(LOOKUP(Z1993,打分卡!$F$17:$H$17,打分卡!$K$17:$M$17),1)</f>
        <v>1</v>
      </c>
      <c r="AN1993" s="46">
        <f>(打分卡!$D$7*AC1993+打分卡!$D$8*AD1993+打分卡!$D$9*AE1993)/5</f>
        <v>8</v>
      </c>
      <c r="AO1993" s="46">
        <f>(打分卡!$D$10*AF1993+打分卡!$D$11*AG1993)/5</f>
        <v>4</v>
      </c>
      <c r="AP1993" s="46">
        <f>(打分卡!$D$12*AH1993+打分卡!$D$13*AI1993+打分卡!$D$14*AJ1993+打分卡!$D$15*AK1993)/5</f>
        <v>6.8</v>
      </c>
      <c r="AQ1993" s="46">
        <f>(打分卡!$D$16*AL1993+打分卡!$D$17*AM1993)/5</f>
        <v>2</v>
      </c>
      <c r="AR1993" s="48">
        <f t="shared" si="250"/>
        <v>20.8</v>
      </c>
      <c r="AS1993" s="45" t="str">
        <f t="shared" si="251"/>
        <v>未激活</v>
      </c>
      <c r="AT1993" s="45" t="str">
        <f t="shared" si="252"/>
        <v>连续下降-预警</v>
      </c>
      <c r="AU1993" s="45" t="str">
        <f t="shared" si="253"/>
        <v>唤醒：短信模板+首充补贴</v>
      </c>
    </row>
    <row r="1994" ht="15" customHeight="1" spans="1:47">
      <c r="A1994" s="30" t="s">
        <v>5008</v>
      </c>
      <c r="B1994" s="31" t="s">
        <v>5009</v>
      </c>
      <c r="C1994" s="31" t="s">
        <v>234</v>
      </c>
      <c r="D1994" s="31" t="s">
        <v>227</v>
      </c>
      <c r="E1994" s="31" t="s">
        <v>181</v>
      </c>
      <c r="F1994" s="30" t="s">
        <v>3894</v>
      </c>
      <c r="G1994" s="31">
        <v>29</v>
      </c>
      <c r="H1994" s="31" t="s">
        <v>3535</v>
      </c>
      <c r="I1994" s="31" t="s">
        <v>302</v>
      </c>
      <c r="J1994" s="33">
        <v>0</v>
      </c>
      <c r="K1994" s="33">
        <v>0</v>
      </c>
      <c r="L1994" s="33">
        <v>0</v>
      </c>
      <c r="M1994" s="33">
        <f t="shared" si="248"/>
        <v>0</v>
      </c>
      <c r="N1994" s="34">
        <f t="shared" si="254"/>
        <v>0</v>
      </c>
      <c r="O1994" s="35">
        <f>SUM($M$2:M1994)</f>
        <v>190743600</v>
      </c>
      <c r="P1994" s="34">
        <f t="shared" si="255"/>
        <v>1</v>
      </c>
      <c r="Q1994" s="37">
        <v>0</v>
      </c>
      <c r="R1994" s="31">
        <v>0</v>
      </c>
      <c r="S1994" s="31">
        <v>0</v>
      </c>
      <c r="T1994" s="31">
        <v>0</v>
      </c>
      <c r="U1994" s="37">
        <v>0.7</v>
      </c>
      <c r="V1994" s="31">
        <v>4</v>
      </c>
      <c r="W1994" s="31">
        <v>2</v>
      </c>
      <c r="X1994" s="38">
        <v>41</v>
      </c>
      <c r="Y1994" s="31">
        <v>0</v>
      </c>
      <c r="Z1994" s="31">
        <v>0</v>
      </c>
      <c r="AA1994" s="31" t="s">
        <v>212</v>
      </c>
      <c r="AB1994" s="31" t="s">
        <v>220</v>
      </c>
      <c r="AC1994" s="41">
        <f>IFERROR(LOOKUP(M1994,打分卡!$F$7:$J$7,打分卡!$K$7:$O$7),1)</f>
        <v>1</v>
      </c>
      <c r="AD1994" s="41">
        <f>IFERROR(LOOKUP(S1994,打分卡!$F$8:$J$8,打分卡!$K$8:$O$8),1)</f>
        <v>1</v>
      </c>
      <c r="AE1994" s="41">
        <f>IFERROR(LOOKUP(T1994,打分卡!$F$9:$I$9,打分卡!$K$9:$N$9),1)</f>
        <v>1</v>
      </c>
      <c r="AF1994" s="41">
        <f>IFERROR(LOOKUP(Q1994,打分卡!$F$10:$J$10,打分卡!$K$10:$O$10),1)</f>
        <v>1</v>
      </c>
      <c r="AG1994" s="41">
        <f>IFERROR(LOOKUP(R1994,打分卡!$F$11:$J$11,打分卡!$K$11:$O$11),1)</f>
        <v>1</v>
      </c>
      <c r="AH1994" s="41">
        <f>IFERROR(LOOKUP(U1994,打分卡!$F$12:$J$12,打分卡!$K$12:$O$12),1)</f>
        <v>1</v>
      </c>
      <c r="AI1994" s="41">
        <f>IFERROR(LOOKUP(X1994,打分卡!$F$13:$J$13,打分卡!$K$13:$O$13),1)</f>
        <v>3</v>
      </c>
      <c r="AJ1994" s="41">
        <f>IFERROR(LOOKUP(Y1994,打分卡!$F$14:$J$14,打分卡!$K$14:$O$14),1)</f>
        <v>1</v>
      </c>
      <c r="AK1994" s="41">
        <f>IFERROR(LOOKUP(W1994,打分卡!$F$15:$J$15,打分卡!$K$15:$O$15),1)</f>
        <v>2</v>
      </c>
      <c r="AL1994" s="43">
        <f t="shared" si="249"/>
        <v>1</v>
      </c>
      <c r="AM1994" s="41">
        <f>IFERROR(LOOKUP(Z1994,打分卡!$F$17:$H$17,打分卡!$K$17:$M$17),1)</f>
        <v>1</v>
      </c>
      <c r="AN1994" s="44">
        <f>(打分卡!$D$7*AC1994+打分卡!$D$8*AD1994+打分卡!$D$9*AE1994)/5</f>
        <v>8</v>
      </c>
      <c r="AO1994" s="44">
        <f>(打分卡!$D$10*AF1994+打分卡!$D$11*AG1994)/5</f>
        <v>4</v>
      </c>
      <c r="AP1994" s="44">
        <f>(打分卡!$D$12*AH1994+打分卡!$D$13*AI1994+打分卡!$D$14*AJ1994+打分卡!$D$15*AK1994)/5</f>
        <v>10</v>
      </c>
      <c r="AQ1994" s="44">
        <f>(打分卡!$D$16*AL1994+打分卡!$D$17*AM1994)/5</f>
        <v>2</v>
      </c>
      <c r="AR1994" s="47">
        <f t="shared" si="250"/>
        <v>24</v>
      </c>
      <c r="AS1994" s="43" t="str">
        <f t="shared" si="251"/>
        <v>未激活</v>
      </c>
      <c r="AT1994" s="43" t="str">
        <f t="shared" si="252"/>
        <v>连续下降-预警</v>
      </c>
      <c r="AU1994" s="43" t="str">
        <f t="shared" si="253"/>
        <v>唤醒：短信模板+首充补贴</v>
      </c>
    </row>
    <row r="1995" ht="15" customHeight="1" spans="1:47">
      <c r="A1995" s="20" t="s">
        <v>5010</v>
      </c>
      <c r="B1995" s="22" t="s">
        <v>5011</v>
      </c>
      <c r="C1995" s="22" t="s">
        <v>179</v>
      </c>
      <c r="D1995" s="22" t="s">
        <v>252</v>
      </c>
      <c r="E1995" s="22" t="s">
        <v>181</v>
      </c>
      <c r="F1995" s="20" t="s">
        <v>5012</v>
      </c>
      <c r="G1995" s="22">
        <v>25</v>
      </c>
      <c r="H1995" s="22" t="s">
        <v>3535</v>
      </c>
      <c r="I1995" s="22" t="s">
        <v>302</v>
      </c>
      <c r="J1995" s="36">
        <v>0</v>
      </c>
      <c r="K1995" s="36">
        <v>0</v>
      </c>
      <c r="L1995" s="36">
        <v>0</v>
      </c>
      <c r="M1995" s="36">
        <f t="shared" si="248"/>
        <v>0</v>
      </c>
      <c r="N1995" s="34">
        <f t="shared" si="254"/>
        <v>0</v>
      </c>
      <c r="O1995" s="35">
        <f>SUM($M$2:M1995)</f>
        <v>190743600</v>
      </c>
      <c r="P1995" s="34">
        <f t="shared" si="255"/>
        <v>1</v>
      </c>
      <c r="Q1995" s="39">
        <v>0</v>
      </c>
      <c r="R1995" s="22">
        <v>0</v>
      </c>
      <c r="S1995" s="22">
        <v>0</v>
      </c>
      <c r="T1995" s="22">
        <v>0</v>
      </c>
      <c r="U1995" s="39">
        <v>4.7</v>
      </c>
      <c r="V1995" s="22">
        <v>15</v>
      </c>
      <c r="W1995" s="22">
        <v>2</v>
      </c>
      <c r="X1995" s="40">
        <v>12</v>
      </c>
      <c r="Y1995" s="22">
        <v>1</v>
      </c>
      <c r="Z1995" s="22">
        <v>0</v>
      </c>
      <c r="AA1995" s="22" t="s">
        <v>212</v>
      </c>
      <c r="AB1995" s="22" t="s">
        <v>220</v>
      </c>
      <c r="AC1995" s="42">
        <f>IFERROR(LOOKUP(M1995,打分卡!$F$7:$J$7,打分卡!$K$7:$O$7),1)</f>
        <v>1</v>
      </c>
      <c r="AD1995" s="42">
        <f>IFERROR(LOOKUP(S1995,打分卡!$F$8:$J$8,打分卡!$K$8:$O$8),1)</f>
        <v>1</v>
      </c>
      <c r="AE1995" s="42">
        <f>IFERROR(LOOKUP(T1995,打分卡!$F$9:$I$9,打分卡!$K$9:$N$9),1)</f>
        <v>1</v>
      </c>
      <c r="AF1995" s="42">
        <f>IFERROR(LOOKUP(Q1995,打分卡!$F$10:$J$10,打分卡!$K$10:$O$10),1)</f>
        <v>1</v>
      </c>
      <c r="AG1995" s="42">
        <f>IFERROR(LOOKUP(R1995,打分卡!$F$11:$J$11,打分卡!$K$11:$O$11),1)</f>
        <v>1</v>
      </c>
      <c r="AH1995" s="42">
        <f>IFERROR(LOOKUP(U1995,打分卡!$F$12:$J$12,打分卡!$K$12:$O$12),1)</f>
        <v>2</v>
      </c>
      <c r="AI1995" s="42">
        <f>IFERROR(LOOKUP(X1995,打分卡!$F$13:$J$13,打分卡!$K$13:$O$13),1)</f>
        <v>1</v>
      </c>
      <c r="AJ1995" s="42">
        <f>IFERROR(LOOKUP(Y1995,打分卡!$F$14:$J$14,打分卡!$K$14:$O$14),1)</f>
        <v>2</v>
      </c>
      <c r="AK1995" s="42">
        <f>IFERROR(LOOKUP(W1995,打分卡!$F$15:$J$15,打分卡!$K$15:$O$15),1)</f>
        <v>2</v>
      </c>
      <c r="AL1995" s="45">
        <f t="shared" si="249"/>
        <v>1</v>
      </c>
      <c r="AM1995" s="42">
        <f>IFERROR(LOOKUP(Z1995,打分卡!$F$17:$H$17,打分卡!$K$17:$M$17),1)</f>
        <v>1</v>
      </c>
      <c r="AN1995" s="46">
        <f>(打分卡!$D$7*AC1995+打分卡!$D$8*AD1995+打分卡!$D$9*AE1995)/5</f>
        <v>8</v>
      </c>
      <c r="AO1995" s="46">
        <f>(打分卡!$D$10*AF1995+打分卡!$D$11*AG1995)/5</f>
        <v>4</v>
      </c>
      <c r="AP1995" s="46">
        <f>(打分卡!$D$12*AH1995+打分卡!$D$13*AI1995+打分卡!$D$14*AJ1995+打分卡!$D$15*AK1995)/5</f>
        <v>10.4</v>
      </c>
      <c r="AQ1995" s="46">
        <f>(打分卡!$D$16*AL1995+打分卡!$D$17*AM1995)/5</f>
        <v>2</v>
      </c>
      <c r="AR1995" s="48">
        <f t="shared" si="250"/>
        <v>24.4</v>
      </c>
      <c r="AS1995" s="45" t="str">
        <f t="shared" si="251"/>
        <v>未激活</v>
      </c>
      <c r="AT1995" s="45" t="str">
        <f t="shared" si="252"/>
        <v>连续下降-预警</v>
      </c>
      <c r="AU1995" s="45" t="str">
        <f t="shared" si="253"/>
        <v>唤醒：短信模板+首充补贴</v>
      </c>
    </row>
    <row r="1996" ht="15" customHeight="1" spans="1:47">
      <c r="A1996" s="30" t="s">
        <v>5013</v>
      </c>
      <c r="B1996" s="31" t="s">
        <v>5014</v>
      </c>
      <c r="C1996" s="31" t="s">
        <v>223</v>
      </c>
      <c r="D1996" s="31" t="s">
        <v>202</v>
      </c>
      <c r="E1996" s="31" t="s">
        <v>197</v>
      </c>
      <c r="F1996" s="30" t="s">
        <v>285</v>
      </c>
      <c r="G1996" s="31">
        <v>15</v>
      </c>
      <c r="H1996" s="31" t="s">
        <v>3535</v>
      </c>
      <c r="I1996" s="31" t="s">
        <v>302</v>
      </c>
      <c r="J1996" s="33">
        <v>0</v>
      </c>
      <c r="K1996" s="33">
        <v>0</v>
      </c>
      <c r="L1996" s="33">
        <v>0</v>
      </c>
      <c r="M1996" s="33">
        <f t="shared" si="248"/>
        <v>0</v>
      </c>
      <c r="N1996" s="34">
        <f t="shared" si="254"/>
        <v>0</v>
      </c>
      <c r="O1996" s="35">
        <f>SUM($M$2:M1996)</f>
        <v>190743600</v>
      </c>
      <c r="P1996" s="34">
        <f t="shared" si="255"/>
        <v>1</v>
      </c>
      <c r="Q1996" s="37">
        <v>0</v>
      </c>
      <c r="R1996" s="31">
        <v>0</v>
      </c>
      <c r="S1996" s="31">
        <v>0</v>
      </c>
      <c r="T1996" s="31">
        <v>0</v>
      </c>
      <c r="U1996" s="37">
        <v>0.5</v>
      </c>
      <c r="V1996" s="31">
        <v>11</v>
      </c>
      <c r="W1996" s="31">
        <v>0</v>
      </c>
      <c r="X1996" s="38">
        <v>9</v>
      </c>
      <c r="Y1996" s="31">
        <v>1</v>
      </c>
      <c r="Z1996" s="31">
        <v>0</v>
      </c>
      <c r="AA1996" s="31" t="s">
        <v>212</v>
      </c>
      <c r="AB1996" s="31" t="s">
        <v>220</v>
      </c>
      <c r="AC1996" s="41">
        <f>IFERROR(LOOKUP(M1996,打分卡!$F$7:$J$7,打分卡!$K$7:$O$7),1)</f>
        <v>1</v>
      </c>
      <c r="AD1996" s="41">
        <f>IFERROR(LOOKUP(S1996,打分卡!$F$8:$J$8,打分卡!$K$8:$O$8),1)</f>
        <v>1</v>
      </c>
      <c r="AE1996" s="41">
        <f>IFERROR(LOOKUP(T1996,打分卡!$F$9:$I$9,打分卡!$K$9:$N$9),1)</f>
        <v>1</v>
      </c>
      <c r="AF1996" s="41">
        <f>IFERROR(LOOKUP(Q1996,打分卡!$F$10:$J$10,打分卡!$K$10:$O$10),1)</f>
        <v>1</v>
      </c>
      <c r="AG1996" s="41">
        <f>IFERROR(LOOKUP(R1996,打分卡!$F$11:$J$11,打分卡!$K$11:$O$11),1)</f>
        <v>1</v>
      </c>
      <c r="AH1996" s="41">
        <f>IFERROR(LOOKUP(U1996,打分卡!$F$12:$J$12,打分卡!$K$12:$O$12),1)</f>
        <v>1</v>
      </c>
      <c r="AI1996" s="41">
        <f>IFERROR(LOOKUP(X1996,打分卡!$F$13:$J$13,打分卡!$K$13:$O$13),1)</f>
        <v>1</v>
      </c>
      <c r="AJ1996" s="41">
        <f>IFERROR(LOOKUP(Y1996,打分卡!$F$14:$J$14,打分卡!$K$14:$O$14),1)</f>
        <v>2</v>
      </c>
      <c r="AK1996" s="41">
        <f>IFERROR(LOOKUP(W1996,打分卡!$F$15:$J$15,打分卡!$K$15:$O$15),1)</f>
        <v>1</v>
      </c>
      <c r="AL1996" s="43">
        <f t="shared" si="249"/>
        <v>1</v>
      </c>
      <c r="AM1996" s="41">
        <f>IFERROR(LOOKUP(Z1996,打分卡!$F$17:$H$17,打分卡!$K$17:$M$17),1)</f>
        <v>1</v>
      </c>
      <c r="AN1996" s="44">
        <f>(打分卡!$D$7*AC1996+打分卡!$D$8*AD1996+打分卡!$D$9*AE1996)/5</f>
        <v>8</v>
      </c>
      <c r="AO1996" s="44">
        <f>(打分卡!$D$10*AF1996+打分卡!$D$11*AG1996)/5</f>
        <v>4</v>
      </c>
      <c r="AP1996" s="44">
        <f>(打分卡!$D$12*AH1996+打分卡!$D$13*AI1996+打分卡!$D$14*AJ1996+打分卡!$D$15*AK1996)/5</f>
        <v>7.2</v>
      </c>
      <c r="AQ1996" s="44">
        <f>(打分卡!$D$16*AL1996+打分卡!$D$17*AM1996)/5</f>
        <v>2</v>
      </c>
      <c r="AR1996" s="47">
        <f t="shared" si="250"/>
        <v>21.2</v>
      </c>
      <c r="AS1996" s="43" t="str">
        <f t="shared" si="251"/>
        <v>未激活</v>
      </c>
      <c r="AT1996" s="43" t="str">
        <f t="shared" si="252"/>
        <v>连续下降-预警</v>
      </c>
      <c r="AU1996" s="43" t="str">
        <f t="shared" si="253"/>
        <v>唤醒：短信模板+首充补贴</v>
      </c>
    </row>
    <row r="1997" ht="15" customHeight="1" spans="1:47">
      <c r="A1997" s="20" t="s">
        <v>5015</v>
      </c>
      <c r="B1997" s="22" t="s">
        <v>5016</v>
      </c>
      <c r="C1997" s="22" t="s">
        <v>218</v>
      </c>
      <c r="D1997" s="22" t="s">
        <v>196</v>
      </c>
      <c r="E1997" s="22" t="s">
        <v>197</v>
      </c>
      <c r="F1997" s="20" t="s">
        <v>3606</v>
      </c>
      <c r="G1997" s="22">
        <v>13</v>
      </c>
      <c r="H1997" s="22" t="s">
        <v>3535</v>
      </c>
      <c r="I1997" s="22" t="s">
        <v>302</v>
      </c>
      <c r="J1997" s="36">
        <v>0</v>
      </c>
      <c r="K1997" s="36">
        <v>0</v>
      </c>
      <c r="L1997" s="36">
        <v>0</v>
      </c>
      <c r="M1997" s="36">
        <f t="shared" si="248"/>
        <v>0</v>
      </c>
      <c r="N1997" s="34">
        <f t="shared" si="254"/>
        <v>0</v>
      </c>
      <c r="O1997" s="35">
        <f>SUM($M$2:M1997)</f>
        <v>190743600</v>
      </c>
      <c r="P1997" s="34">
        <f t="shared" si="255"/>
        <v>1</v>
      </c>
      <c r="Q1997" s="39">
        <v>0</v>
      </c>
      <c r="R1997" s="22">
        <v>0</v>
      </c>
      <c r="S1997" s="22">
        <v>0</v>
      </c>
      <c r="T1997" s="22">
        <v>0</v>
      </c>
      <c r="U1997" s="39">
        <v>5.2</v>
      </c>
      <c r="V1997" s="22">
        <v>7</v>
      </c>
      <c r="W1997" s="22">
        <v>2</v>
      </c>
      <c r="X1997" s="40">
        <v>78</v>
      </c>
      <c r="Y1997" s="22">
        <v>1</v>
      </c>
      <c r="Z1997" s="22">
        <v>0</v>
      </c>
      <c r="AA1997" s="22" t="s">
        <v>212</v>
      </c>
      <c r="AB1997" s="22" t="s">
        <v>220</v>
      </c>
      <c r="AC1997" s="42">
        <f>IFERROR(LOOKUP(M1997,打分卡!$F$7:$J$7,打分卡!$K$7:$O$7),1)</f>
        <v>1</v>
      </c>
      <c r="AD1997" s="42">
        <f>IFERROR(LOOKUP(S1997,打分卡!$F$8:$J$8,打分卡!$K$8:$O$8),1)</f>
        <v>1</v>
      </c>
      <c r="AE1997" s="42">
        <f>IFERROR(LOOKUP(T1997,打分卡!$F$9:$I$9,打分卡!$K$9:$N$9),1)</f>
        <v>1</v>
      </c>
      <c r="AF1997" s="42">
        <f>IFERROR(LOOKUP(Q1997,打分卡!$F$10:$J$10,打分卡!$K$10:$O$10),1)</f>
        <v>1</v>
      </c>
      <c r="AG1997" s="42">
        <f>IFERROR(LOOKUP(R1997,打分卡!$F$11:$J$11,打分卡!$K$11:$O$11),1)</f>
        <v>1</v>
      </c>
      <c r="AH1997" s="42">
        <f>IFERROR(LOOKUP(U1997,打分卡!$F$12:$J$12,打分卡!$K$12:$O$12),1)</f>
        <v>2</v>
      </c>
      <c r="AI1997" s="42">
        <f>IFERROR(LOOKUP(X1997,打分卡!$F$13:$J$13,打分卡!$K$13:$O$13),1)</f>
        <v>3</v>
      </c>
      <c r="AJ1997" s="42">
        <f>IFERROR(LOOKUP(Y1997,打分卡!$F$14:$J$14,打分卡!$K$14:$O$14),1)</f>
        <v>2</v>
      </c>
      <c r="AK1997" s="42">
        <f>IFERROR(LOOKUP(W1997,打分卡!$F$15:$J$15,打分卡!$K$15:$O$15),1)</f>
        <v>2</v>
      </c>
      <c r="AL1997" s="45">
        <f t="shared" si="249"/>
        <v>1</v>
      </c>
      <c r="AM1997" s="42">
        <f>IFERROR(LOOKUP(Z1997,打分卡!$F$17:$H$17,打分卡!$K$17:$M$17),1)</f>
        <v>1</v>
      </c>
      <c r="AN1997" s="46">
        <f>(打分卡!$D$7*AC1997+打分卡!$D$8*AD1997+打分卡!$D$9*AE1997)/5</f>
        <v>8</v>
      </c>
      <c r="AO1997" s="46">
        <f>(打分卡!$D$10*AF1997+打分卡!$D$11*AG1997)/5</f>
        <v>4</v>
      </c>
      <c r="AP1997" s="46">
        <f>(打分卡!$D$12*AH1997+打分卡!$D$13*AI1997+打分卡!$D$14*AJ1997+打分卡!$D$15*AK1997)/5</f>
        <v>13.6</v>
      </c>
      <c r="AQ1997" s="46">
        <f>(打分卡!$D$16*AL1997+打分卡!$D$17*AM1997)/5</f>
        <v>2</v>
      </c>
      <c r="AR1997" s="48">
        <f t="shared" si="250"/>
        <v>27.6</v>
      </c>
      <c r="AS1997" s="45" t="str">
        <f t="shared" si="251"/>
        <v>未激活</v>
      </c>
      <c r="AT1997" s="45" t="str">
        <f t="shared" si="252"/>
        <v>连续下降-预警</v>
      </c>
      <c r="AU1997" s="45" t="str">
        <f t="shared" si="253"/>
        <v>唤醒：短信模板+首充补贴</v>
      </c>
    </row>
    <row r="1998" ht="15" customHeight="1" spans="1:47">
      <c r="A1998" s="30" t="s">
        <v>5017</v>
      </c>
      <c r="B1998" s="31" t="s">
        <v>5018</v>
      </c>
      <c r="C1998" s="31" t="s">
        <v>179</v>
      </c>
      <c r="D1998" s="31" t="s">
        <v>227</v>
      </c>
      <c r="E1998" s="31" t="s">
        <v>197</v>
      </c>
      <c r="F1998" s="30" t="s">
        <v>321</v>
      </c>
      <c r="G1998" s="31">
        <v>27</v>
      </c>
      <c r="H1998" s="31" t="s">
        <v>3535</v>
      </c>
      <c r="I1998" s="31" t="s">
        <v>302</v>
      </c>
      <c r="J1998" s="33">
        <v>0</v>
      </c>
      <c r="K1998" s="33">
        <v>0</v>
      </c>
      <c r="L1998" s="33">
        <v>0</v>
      </c>
      <c r="M1998" s="33">
        <f t="shared" si="248"/>
        <v>0</v>
      </c>
      <c r="N1998" s="34">
        <f t="shared" si="254"/>
        <v>0</v>
      </c>
      <c r="O1998" s="35">
        <f>SUM($M$2:M1998)</f>
        <v>190743600</v>
      </c>
      <c r="P1998" s="34">
        <f t="shared" si="255"/>
        <v>1</v>
      </c>
      <c r="Q1998" s="37">
        <v>0</v>
      </c>
      <c r="R1998" s="31">
        <v>0</v>
      </c>
      <c r="S1998" s="31">
        <v>0</v>
      </c>
      <c r="T1998" s="31">
        <v>0</v>
      </c>
      <c r="U1998" s="37">
        <v>6.2</v>
      </c>
      <c r="V1998" s="31">
        <v>8</v>
      </c>
      <c r="W1998" s="31">
        <v>2</v>
      </c>
      <c r="X1998" s="38">
        <v>16</v>
      </c>
      <c r="Y1998" s="31">
        <v>1</v>
      </c>
      <c r="Z1998" s="31">
        <v>0</v>
      </c>
      <c r="AA1998" s="31" t="s">
        <v>212</v>
      </c>
      <c r="AB1998" s="31" t="s">
        <v>220</v>
      </c>
      <c r="AC1998" s="41">
        <f>IFERROR(LOOKUP(M1998,打分卡!$F$7:$J$7,打分卡!$K$7:$O$7),1)</f>
        <v>1</v>
      </c>
      <c r="AD1998" s="41">
        <f>IFERROR(LOOKUP(S1998,打分卡!$F$8:$J$8,打分卡!$K$8:$O$8),1)</f>
        <v>1</v>
      </c>
      <c r="AE1998" s="41">
        <f>IFERROR(LOOKUP(T1998,打分卡!$F$9:$I$9,打分卡!$K$9:$N$9),1)</f>
        <v>1</v>
      </c>
      <c r="AF1998" s="41">
        <f>IFERROR(LOOKUP(Q1998,打分卡!$F$10:$J$10,打分卡!$K$10:$O$10),1)</f>
        <v>1</v>
      </c>
      <c r="AG1998" s="41">
        <f>IFERROR(LOOKUP(R1998,打分卡!$F$11:$J$11,打分卡!$K$11:$O$11),1)</f>
        <v>1</v>
      </c>
      <c r="AH1998" s="41">
        <f>IFERROR(LOOKUP(U1998,打分卡!$F$12:$J$12,打分卡!$K$12:$O$12),1)</f>
        <v>2</v>
      </c>
      <c r="AI1998" s="41">
        <f>IFERROR(LOOKUP(X1998,打分卡!$F$13:$J$13,打分卡!$K$13:$O$13),1)</f>
        <v>1</v>
      </c>
      <c r="AJ1998" s="41">
        <f>IFERROR(LOOKUP(Y1998,打分卡!$F$14:$J$14,打分卡!$K$14:$O$14),1)</f>
        <v>2</v>
      </c>
      <c r="AK1998" s="41">
        <f>IFERROR(LOOKUP(W1998,打分卡!$F$15:$J$15,打分卡!$K$15:$O$15),1)</f>
        <v>2</v>
      </c>
      <c r="AL1998" s="43">
        <f t="shared" si="249"/>
        <v>1</v>
      </c>
      <c r="AM1998" s="41">
        <f>IFERROR(LOOKUP(Z1998,打分卡!$F$17:$H$17,打分卡!$K$17:$M$17),1)</f>
        <v>1</v>
      </c>
      <c r="AN1998" s="44">
        <f>(打分卡!$D$7*AC1998+打分卡!$D$8*AD1998+打分卡!$D$9*AE1998)/5</f>
        <v>8</v>
      </c>
      <c r="AO1998" s="44">
        <f>(打分卡!$D$10*AF1998+打分卡!$D$11*AG1998)/5</f>
        <v>4</v>
      </c>
      <c r="AP1998" s="44">
        <f>(打分卡!$D$12*AH1998+打分卡!$D$13*AI1998+打分卡!$D$14*AJ1998+打分卡!$D$15*AK1998)/5</f>
        <v>10.4</v>
      </c>
      <c r="AQ1998" s="44">
        <f>(打分卡!$D$16*AL1998+打分卡!$D$17*AM1998)/5</f>
        <v>2</v>
      </c>
      <c r="AR1998" s="47">
        <f t="shared" si="250"/>
        <v>24.4</v>
      </c>
      <c r="AS1998" s="43" t="str">
        <f t="shared" si="251"/>
        <v>未激活</v>
      </c>
      <c r="AT1998" s="43" t="str">
        <f t="shared" si="252"/>
        <v>连续下降-预警</v>
      </c>
      <c r="AU1998" s="43" t="str">
        <f t="shared" si="253"/>
        <v>唤醒：短信模板+首充补贴</v>
      </c>
    </row>
    <row r="1999" ht="15" customHeight="1" spans="1:47">
      <c r="A1999" s="20" t="s">
        <v>5019</v>
      </c>
      <c r="B1999" s="22" t="s">
        <v>5020</v>
      </c>
      <c r="C1999" s="22" t="s">
        <v>189</v>
      </c>
      <c r="D1999" s="22" t="s">
        <v>202</v>
      </c>
      <c r="E1999" s="22" t="s">
        <v>181</v>
      </c>
      <c r="F1999" s="20" t="s">
        <v>4549</v>
      </c>
      <c r="G1999" s="22">
        <v>31</v>
      </c>
      <c r="H1999" s="22" t="s">
        <v>3535</v>
      </c>
      <c r="I1999" s="22" t="s">
        <v>302</v>
      </c>
      <c r="J1999" s="36">
        <v>0</v>
      </c>
      <c r="K1999" s="36">
        <v>0</v>
      </c>
      <c r="L1999" s="36">
        <v>0</v>
      </c>
      <c r="M1999" s="36">
        <f t="shared" si="248"/>
        <v>0</v>
      </c>
      <c r="N1999" s="34">
        <f t="shared" si="254"/>
        <v>0</v>
      </c>
      <c r="O1999" s="35">
        <f>SUM($M$2:M1999)</f>
        <v>190743600</v>
      </c>
      <c r="P1999" s="34">
        <f t="shared" si="255"/>
        <v>1</v>
      </c>
      <c r="Q1999" s="39">
        <v>0</v>
      </c>
      <c r="R1999" s="22">
        <v>0</v>
      </c>
      <c r="S1999" s="22">
        <v>0</v>
      </c>
      <c r="T1999" s="22">
        <v>0</v>
      </c>
      <c r="U1999" s="39">
        <v>1.2</v>
      </c>
      <c r="V1999" s="22">
        <v>14</v>
      </c>
      <c r="W1999" s="22">
        <v>1</v>
      </c>
      <c r="X1999" s="40">
        <v>7</v>
      </c>
      <c r="Y1999" s="22">
        <v>1</v>
      </c>
      <c r="Z1999" s="22">
        <v>0</v>
      </c>
      <c r="AA1999" s="22" t="s">
        <v>212</v>
      </c>
      <c r="AB1999" s="22" t="s">
        <v>220</v>
      </c>
      <c r="AC1999" s="42">
        <f>IFERROR(LOOKUP(M1999,打分卡!$F$7:$J$7,打分卡!$K$7:$O$7),1)</f>
        <v>1</v>
      </c>
      <c r="AD1999" s="42">
        <f>IFERROR(LOOKUP(S1999,打分卡!$F$8:$J$8,打分卡!$K$8:$O$8),1)</f>
        <v>1</v>
      </c>
      <c r="AE1999" s="42">
        <f>IFERROR(LOOKUP(T1999,打分卡!$F$9:$I$9,打分卡!$K$9:$N$9),1)</f>
        <v>1</v>
      </c>
      <c r="AF1999" s="42">
        <f>IFERROR(LOOKUP(Q1999,打分卡!$F$10:$J$10,打分卡!$K$10:$O$10),1)</f>
        <v>1</v>
      </c>
      <c r="AG1999" s="42">
        <f>IFERROR(LOOKUP(R1999,打分卡!$F$11:$J$11,打分卡!$K$11:$O$11),1)</f>
        <v>1</v>
      </c>
      <c r="AH1999" s="42">
        <f>IFERROR(LOOKUP(U1999,打分卡!$F$12:$J$12,打分卡!$K$12:$O$12),1)</f>
        <v>1</v>
      </c>
      <c r="AI1999" s="42">
        <f>IFERROR(LOOKUP(X1999,打分卡!$F$13:$J$13,打分卡!$K$13:$O$13),1)</f>
        <v>1</v>
      </c>
      <c r="AJ1999" s="42">
        <f>IFERROR(LOOKUP(Y1999,打分卡!$F$14:$J$14,打分卡!$K$14:$O$14),1)</f>
        <v>2</v>
      </c>
      <c r="AK1999" s="42">
        <f>IFERROR(LOOKUP(W1999,打分卡!$F$15:$J$15,打分卡!$K$15:$O$15),1)</f>
        <v>2</v>
      </c>
      <c r="AL1999" s="45">
        <f t="shared" si="249"/>
        <v>1</v>
      </c>
      <c r="AM1999" s="42">
        <f>IFERROR(LOOKUP(Z1999,打分卡!$F$17:$H$17,打分卡!$K$17:$M$17),1)</f>
        <v>1</v>
      </c>
      <c r="AN1999" s="46">
        <f>(打分卡!$D$7*AC1999+打分卡!$D$8*AD1999+打分卡!$D$9*AE1999)/5</f>
        <v>8</v>
      </c>
      <c r="AO1999" s="46">
        <f>(打分卡!$D$10*AF1999+打分卡!$D$11*AG1999)/5</f>
        <v>4</v>
      </c>
      <c r="AP1999" s="46">
        <f>(打分卡!$D$12*AH1999+打分卡!$D$13*AI1999+打分卡!$D$14*AJ1999+打分卡!$D$15*AK1999)/5</f>
        <v>8</v>
      </c>
      <c r="AQ1999" s="46">
        <f>(打分卡!$D$16*AL1999+打分卡!$D$17*AM1999)/5</f>
        <v>2</v>
      </c>
      <c r="AR1999" s="48">
        <f t="shared" si="250"/>
        <v>22</v>
      </c>
      <c r="AS1999" s="45" t="str">
        <f t="shared" si="251"/>
        <v>未激活</v>
      </c>
      <c r="AT1999" s="45" t="str">
        <f t="shared" si="252"/>
        <v>连续下降-预警</v>
      </c>
      <c r="AU1999" s="45" t="str">
        <f t="shared" si="253"/>
        <v>唤醒：短信模板+首充补贴</v>
      </c>
    </row>
    <row r="2000" ht="15" customHeight="1" spans="1:47">
      <c r="A2000" s="30" t="s">
        <v>5021</v>
      </c>
      <c r="B2000" s="31" t="s">
        <v>5022</v>
      </c>
      <c r="C2000" s="31" t="s">
        <v>209</v>
      </c>
      <c r="D2000" s="31" t="s">
        <v>235</v>
      </c>
      <c r="E2000" s="31" t="s">
        <v>197</v>
      </c>
      <c r="F2000" s="30" t="s">
        <v>4999</v>
      </c>
      <c r="G2000" s="31">
        <v>31</v>
      </c>
      <c r="H2000" s="31" t="s">
        <v>3535</v>
      </c>
      <c r="I2000" s="31" t="s">
        <v>302</v>
      </c>
      <c r="J2000" s="33">
        <v>0</v>
      </c>
      <c r="K2000" s="33">
        <v>0</v>
      </c>
      <c r="L2000" s="33">
        <v>0</v>
      </c>
      <c r="M2000" s="33">
        <f t="shared" si="248"/>
        <v>0</v>
      </c>
      <c r="N2000" s="34">
        <f t="shared" si="254"/>
        <v>0</v>
      </c>
      <c r="O2000" s="35">
        <f>SUM($M$2:M2000)</f>
        <v>190743600</v>
      </c>
      <c r="P2000" s="34">
        <f t="shared" si="255"/>
        <v>1</v>
      </c>
      <c r="Q2000" s="37">
        <v>0</v>
      </c>
      <c r="R2000" s="31">
        <v>0</v>
      </c>
      <c r="S2000" s="31">
        <v>0</v>
      </c>
      <c r="T2000" s="31">
        <v>0</v>
      </c>
      <c r="U2000" s="37">
        <v>7.4</v>
      </c>
      <c r="V2000" s="31">
        <v>0</v>
      </c>
      <c r="W2000" s="31">
        <v>2</v>
      </c>
      <c r="X2000" s="38">
        <v>69</v>
      </c>
      <c r="Y2000" s="31">
        <v>0</v>
      </c>
      <c r="Z2000" s="31">
        <v>0</v>
      </c>
      <c r="AA2000" s="31" t="s">
        <v>212</v>
      </c>
      <c r="AB2000" s="31" t="s">
        <v>220</v>
      </c>
      <c r="AC2000" s="41">
        <f>IFERROR(LOOKUP(M2000,打分卡!$F$7:$J$7,打分卡!$K$7:$O$7),1)</f>
        <v>1</v>
      </c>
      <c r="AD2000" s="41">
        <f>IFERROR(LOOKUP(S2000,打分卡!$F$8:$J$8,打分卡!$K$8:$O$8),1)</f>
        <v>1</v>
      </c>
      <c r="AE2000" s="41">
        <f>IFERROR(LOOKUP(T2000,打分卡!$F$9:$I$9,打分卡!$K$9:$N$9),1)</f>
        <v>1</v>
      </c>
      <c r="AF2000" s="41">
        <f>IFERROR(LOOKUP(Q2000,打分卡!$F$10:$J$10,打分卡!$K$10:$O$10),1)</f>
        <v>1</v>
      </c>
      <c r="AG2000" s="41">
        <f>IFERROR(LOOKUP(R2000,打分卡!$F$11:$J$11,打分卡!$K$11:$O$11),1)</f>
        <v>1</v>
      </c>
      <c r="AH2000" s="41">
        <f>IFERROR(LOOKUP(U2000,打分卡!$F$12:$J$12,打分卡!$K$12:$O$12),1)</f>
        <v>2</v>
      </c>
      <c r="AI2000" s="41">
        <f>IFERROR(LOOKUP(X2000,打分卡!$F$13:$J$13,打分卡!$K$13:$O$13),1)</f>
        <v>3</v>
      </c>
      <c r="AJ2000" s="41">
        <f>IFERROR(LOOKUP(Y2000,打分卡!$F$14:$J$14,打分卡!$K$14:$O$14),1)</f>
        <v>1</v>
      </c>
      <c r="AK2000" s="41">
        <f>IFERROR(LOOKUP(W2000,打分卡!$F$15:$J$15,打分卡!$K$15:$O$15),1)</f>
        <v>2</v>
      </c>
      <c r="AL2000" s="43">
        <f t="shared" si="249"/>
        <v>1</v>
      </c>
      <c r="AM2000" s="41">
        <f>IFERROR(LOOKUP(Z2000,打分卡!$F$17:$H$17,打分卡!$K$17:$M$17),1)</f>
        <v>1</v>
      </c>
      <c r="AN2000" s="44">
        <f>(打分卡!$D$7*AC2000+打分卡!$D$8*AD2000+打分卡!$D$9*AE2000)/5</f>
        <v>8</v>
      </c>
      <c r="AO2000" s="44">
        <f>(打分卡!$D$10*AF2000+打分卡!$D$11*AG2000)/5</f>
        <v>4</v>
      </c>
      <c r="AP2000" s="44">
        <f>(打分卡!$D$12*AH2000+打分卡!$D$13*AI2000+打分卡!$D$14*AJ2000+打分卡!$D$15*AK2000)/5</f>
        <v>12.4</v>
      </c>
      <c r="AQ2000" s="44">
        <f>(打分卡!$D$16*AL2000+打分卡!$D$17*AM2000)/5</f>
        <v>2</v>
      </c>
      <c r="AR2000" s="47">
        <f t="shared" si="250"/>
        <v>26.4</v>
      </c>
      <c r="AS2000" s="43" t="str">
        <f t="shared" si="251"/>
        <v>未激活</v>
      </c>
      <c r="AT2000" s="43" t="str">
        <f t="shared" si="252"/>
        <v>连续下降-预警</v>
      </c>
      <c r="AU2000" s="43" t="str">
        <f t="shared" si="253"/>
        <v>唤醒：短信模板+首充补贴</v>
      </c>
    </row>
    <row r="2001" ht="15" customHeight="1" spans="1:47">
      <c r="A2001" s="20" t="s">
        <v>5023</v>
      </c>
      <c r="B2001" s="22" t="s">
        <v>5024</v>
      </c>
      <c r="C2001" s="22" t="s">
        <v>189</v>
      </c>
      <c r="D2001" s="22" t="s">
        <v>196</v>
      </c>
      <c r="E2001" s="22" t="s">
        <v>197</v>
      </c>
      <c r="F2001" s="20" t="s">
        <v>920</v>
      </c>
      <c r="G2001" s="22">
        <v>24</v>
      </c>
      <c r="H2001" s="22" t="s">
        <v>3535</v>
      </c>
      <c r="I2001" s="22" t="s">
        <v>302</v>
      </c>
      <c r="J2001" s="36">
        <v>0</v>
      </c>
      <c r="K2001" s="36">
        <v>0</v>
      </c>
      <c r="L2001" s="36">
        <v>0</v>
      </c>
      <c r="M2001" s="36">
        <f t="shared" si="248"/>
        <v>0</v>
      </c>
      <c r="N2001" s="34">
        <f t="shared" si="254"/>
        <v>0</v>
      </c>
      <c r="O2001" s="35">
        <f>SUM($M$2:M2001)</f>
        <v>190743600</v>
      </c>
      <c r="P2001" s="34">
        <f t="shared" si="255"/>
        <v>1</v>
      </c>
      <c r="Q2001" s="39">
        <v>0</v>
      </c>
      <c r="R2001" s="22">
        <v>0</v>
      </c>
      <c r="S2001" s="22">
        <v>0</v>
      </c>
      <c r="T2001" s="22">
        <v>0</v>
      </c>
      <c r="U2001" s="39">
        <v>1.5</v>
      </c>
      <c r="V2001" s="22">
        <v>4</v>
      </c>
      <c r="W2001" s="22">
        <v>2</v>
      </c>
      <c r="X2001" s="40">
        <v>59</v>
      </c>
      <c r="Y2001" s="22">
        <v>1</v>
      </c>
      <c r="Z2001" s="22">
        <v>0</v>
      </c>
      <c r="AA2001" s="22" t="s">
        <v>212</v>
      </c>
      <c r="AB2001" s="22" t="s">
        <v>220</v>
      </c>
      <c r="AC2001" s="42">
        <f>IFERROR(LOOKUP(M2001,打分卡!$F$7:$J$7,打分卡!$K$7:$O$7),1)</f>
        <v>1</v>
      </c>
      <c r="AD2001" s="42">
        <f>IFERROR(LOOKUP(S2001,打分卡!$F$8:$J$8,打分卡!$K$8:$O$8),1)</f>
        <v>1</v>
      </c>
      <c r="AE2001" s="42">
        <f>IFERROR(LOOKUP(T2001,打分卡!$F$9:$I$9,打分卡!$K$9:$N$9),1)</f>
        <v>1</v>
      </c>
      <c r="AF2001" s="42">
        <f>IFERROR(LOOKUP(Q2001,打分卡!$F$10:$J$10,打分卡!$K$10:$O$10),1)</f>
        <v>1</v>
      </c>
      <c r="AG2001" s="42">
        <f>IFERROR(LOOKUP(R2001,打分卡!$F$11:$J$11,打分卡!$K$11:$O$11),1)</f>
        <v>1</v>
      </c>
      <c r="AH2001" s="42">
        <f>IFERROR(LOOKUP(U2001,打分卡!$F$12:$J$12,打分卡!$K$12:$O$12),1)</f>
        <v>1</v>
      </c>
      <c r="AI2001" s="42">
        <f>IFERROR(LOOKUP(X2001,打分卡!$F$13:$J$13,打分卡!$K$13:$O$13),1)</f>
        <v>3</v>
      </c>
      <c r="AJ2001" s="42">
        <f>IFERROR(LOOKUP(Y2001,打分卡!$F$14:$J$14,打分卡!$K$14:$O$14),1)</f>
        <v>2</v>
      </c>
      <c r="AK2001" s="42">
        <f>IFERROR(LOOKUP(W2001,打分卡!$F$15:$J$15,打分卡!$K$15:$O$15),1)</f>
        <v>2</v>
      </c>
      <c r="AL2001" s="45">
        <f t="shared" si="249"/>
        <v>1</v>
      </c>
      <c r="AM2001" s="42">
        <f>IFERROR(LOOKUP(Z2001,打分卡!$F$17:$H$17,打分卡!$K$17:$M$17),1)</f>
        <v>1</v>
      </c>
      <c r="AN2001" s="46">
        <f>(打分卡!$D$7*AC2001+打分卡!$D$8*AD2001+打分卡!$D$9*AE2001)/5</f>
        <v>8</v>
      </c>
      <c r="AO2001" s="46">
        <f>(打分卡!$D$10*AF2001+打分卡!$D$11*AG2001)/5</f>
        <v>4</v>
      </c>
      <c r="AP2001" s="46">
        <f>(打分卡!$D$12*AH2001+打分卡!$D$13*AI2001+打分卡!$D$14*AJ2001+打分卡!$D$15*AK2001)/5</f>
        <v>11.2</v>
      </c>
      <c r="AQ2001" s="46">
        <f>(打分卡!$D$16*AL2001+打分卡!$D$17*AM2001)/5</f>
        <v>2</v>
      </c>
      <c r="AR2001" s="48">
        <f t="shared" si="250"/>
        <v>25.2</v>
      </c>
      <c r="AS2001" s="45" t="str">
        <f t="shared" si="251"/>
        <v>未激活</v>
      </c>
      <c r="AT2001" s="45" t="str">
        <f t="shared" si="252"/>
        <v>连续下降-预警</v>
      </c>
      <c r="AU2001" s="45" t="str">
        <f t="shared" si="253"/>
        <v>唤醒：短信模板+首充补贴</v>
      </c>
    </row>
    <row r="2002" spans="13:13">
      <c r="M2002" s="49">
        <f>SUM(M2:M2001)</f>
        <v>190743600</v>
      </c>
    </row>
  </sheetData>
  <conditionalFormatting sqref="M2:P2001">
    <cfRule type="dataBar" priority="2">
      <dataBar>
        <cfvo type="num" val="0"/>
        <cfvo type="num" val="9000000"/>
        <color rgb="FF4A90D9"/>
      </dataBar>
      <extLst>
        <ext xmlns:x14="http://schemas.microsoft.com/office/spreadsheetml/2009/9/main" uri="{B025F937-C7B1-47D3-B67F-A62EFF666E3E}">
          <x14:id>{4cd275c9-b1ff-481e-955d-4be51a468281}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d275c9-b1ff-481e-955d-4be51a468281}">
            <x14:dataBar minLength="10" maxLength="90" axisPosition="none">
              <x14:cfvo type="num">
                <xm:f>0</xm:f>
              </x14:cfvo>
              <x14:cfvo type="num">
                <xm:f>9000000</xm:f>
              </x14:cfvo>
              <x14:negativeFillColor rgb="FF4A90D9"/>
              <x14:axisColor indexed="65"/>
            </x14:dataBar>
          </x14:cfRule>
          <xm:sqref>M2:P2001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I30"/>
  <sheetViews>
    <sheetView showGridLines="0" workbookViewId="0">
      <selection activeCell="B30" sqref="B30:I30"/>
    </sheetView>
  </sheetViews>
  <sheetFormatPr defaultColWidth="8.62962962962963" defaultRowHeight="14.4"/>
  <cols>
    <col min="1" max="1" width="3" customWidth="1"/>
    <col min="2" max="2" width="14" customWidth="1"/>
    <col min="3" max="3" width="10" customWidth="1"/>
    <col min="4" max="4" width="11" customWidth="1"/>
    <col min="5" max="5" width="15" customWidth="1"/>
    <col min="6" max="6" width="11" customWidth="1"/>
    <col min="7" max="8" width="12" customWidth="1"/>
    <col min="9" max="9" width="13" customWidth="1"/>
  </cols>
  <sheetData>
    <row r="2" ht="30" customHeight="1" spans="2:9">
      <c r="B2" s="1" t="s">
        <v>5025</v>
      </c>
      <c r="C2" s="1"/>
      <c r="D2" s="1"/>
      <c r="E2" s="1"/>
      <c r="F2" s="1"/>
      <c r="G2" s="1"/>
      <c r="H2" s="1"/>
      <c r="I2" s="1"/>
    </row>
    <row r="3" ht="15" customHeight="1" spans="2:2">
      <c r="B3" s="2" t="s">
        <v>5026</v>
      </c>
    </row>
    <row r="5" ht="15" customHeight="1" spans="2:9">
      <c r="B5" s="3" t="s">
        <v>5027</v>
      </c>
      <c r="C5" s="3" t="s">
        <v>5028</v>
      </c>
      <c r="D5" s="3" t="s">
        <v>5029</v>
      </c>
      <c r="E5" s="3" t="s">
        <v>5030</v>
      </c>
      <c r="F5" s="3" t="s">
        <v>5031</v>
      </c>
      <c r="G5" s="3" t="s">
        <v>5032</v>
      </c>
      <c r="H5" s="3" t="s">
        <v>5033</v>
      </c>
      <c r="I5" s="3" t="s">
        <v>5034</v>
      </c>
    </row>
    <row r="6" ht="15" customHeight="1" spans="2:9">
      <c r="B6" s="4" t="s">
        <v>122</v>
      </c>
      <c r="C6" s="5">
        <f>COUNTIF(商家明细!$AS$2:$AS$2001,B6)</f>
        <v>26</v>
      </c>
      <c r="D6" s="6">
        <f>C6/COUNTA(商家明细!$A$2:$A$2001)</f>
        <v>0.013</v>
      </c>
      <c r="E6" s="7">
        <f>SUMIF(商家明细!$AS$2:$AS$2001,B6,商家明细!$M$2:$M$2001)</f>
        <v>73911300</v>
      </c>
      <c r="F6" s="6">
        <f>E6/SUM(商家明细!$M$2:$M$2001)</f>
        <v>0.387490327329462</v>
      </c>
      <c r="G6" s="8">
        <f>IFERROR(AVERAGEIF(商家明细!$AS$2:$AS$2001,B6,商家明细!$AR$2:$AR$2001),"-")</f>
        <v>94.3769230769231</v>
      </c>
      <c r="H6" s="8">
        <f>IFERROR(AVERAGEIF(商家明细!$AS$2:$AS$2001,B6,商家明细!$S$2:$S$2001),"-")</f>
        <v>4.73076923076923</v>
      </c>
      <c r="I6" s="29" t="s">
        <v>5035</v>
      </c>
    </row>
    <row r="7" ht="15" customHeight="1" spans="2:9">
      <c r="B7" s="9" t="s">
        <v>124</v>
      </c>
      <c r="C7" s="10">
        <f>COUNTIF(商家明细!$AS$2:$AS$2001,B7)</f>
        <v>121</v>
      </c>
      <c r="D7" s="11">
        <f>C7/COUNTA(商家明细!$A$2:$A$2001)</f>
        <v>0.0605</v>
      </c>
      <c r="E7" s="12">
        <f>SUMIF(商家明细!$AS$2:$AS$2001,B7,商家明细!$M$2:$M$2001)</f>
        <v>62513700</v>
      </c>
      <c r="F7" s="11">
        <f>E7/SUM(商家明细!$M$2:$M$2001)</f>
        <v>0.327736815285021</v>
      </c>
      <c r="G7" s="13">
        <f>IFERROR(AVERAGEIF(商家明细!$AS$2:$AS$2001,B7,商家明细!$AR$2:$AR$2001),"-")</f>
        <v>81.1146005509642</v>
      </c>
      <c r="H7" s="13">
        <f>IFERROR(AVERAGEIF(商家明细!$AS$2:$AS$2001,B7,商家明细!$S$2:$S$2001),"-")</f>
        <v>2.8099173553719</v>
      </c>
      <c r="I7" s="26" t="s">
        <v>5036</v>
      </c>
    </row>
    <row r="8" ht="15" customHeight="1" spans="2:9">
      <c r="B8" s="14" t="s">
        <v>126</v>
      </c>
      <c r="C8" s="5">
        <f>COUNTIF(商家明细!$AS$2:$AS$2001,B8)</f>
        <v>695</v>
      </c>
      <c r="D8" s="6">
        <f>C8/COUNTA(商家明细!$A$2:$A$2001)</f>
        <v>0.3475</v>
      </c>
      <c r="E8" s="7">
        <f>SUMIF(商家明细!$AS$2:$AS$2001,B8,商家明细!$M$2:$M$2001)</f>
        <v>48496800</v>
      </c>
      <c r="F8" s="6">
        <f>E8/SUM(商家明细!$M$2:$M$2001)</f>
        <v>0.254251256660774</v>
      </c>
      <c r="G8" s="8">
        <f>IFERROR(AVERAGEIF(商家明细!$AS$2:$AS$2001,B8,商家明细!$AR$2:$AR$2001),"-")</f>
        <v>48.4688729016787</v>
      </c>
      <c r="H8" s="8">
        <f>IFERROR(AVERAGEIF(商家明细!$AS$2:$AS$2001,B8,商家明细!$S$2:$S$2001),"-")</f>
        <v>1.89064748201439</v>
      </c>
      <c r="I8" s="29" t="s">
        <v>5037</v>
      </c>
    </row>
    <row r="9" ht="15" customHeight="1" spans="2:9">
      <c r="B9" s="15" t="s">
        <v>128</v>
      </c>
      <c r="C9" s="10">
        <f>COUNTIF(商家明细!$AS$2:$AS$2001,B9)</f>
        <v>528</v>
      </c>
      <c r="D9" s="11">
        <f>C9/COUNTA(商家明细!$A$2:$A$2001)</f>
        <v>0.264</v>
      </c>
      <c r="E9" s="12">
        <f>SUMIF(商家明细!$AS$2:$AS$2001,B9,商家明细!$M$2:$M$2001)</f>
        <v>5821800</v>
      </c>
      <c r="F9" s="11">
        <f>E9/SUM(商家明细!$M$2:$M$2001)</f>
        <v>0.0305216007247425</v>
      </c>
      <c r="G9" s="13">
        <f>IFERROR(AVERAGEIF(商家明细!$AS$2:$AS$2001,B9,商家明细!$AR$2:$AR$2001),"-")</f>
        <v>33.952398989899</v>
      </c>
      <c r="H9" s="13">
        <f>IFERROR(AVERAGEIF(商家明细!$AS$2:$AS$2001,B9,商家明细!$S$2:$S$2001),"-")</f>
        <v>0.998106060606061</v>
      </c>
      <c r="I9" s="26" t="s">
        <v>5038</v>
      </c>
    </row>
    <row r="10" ht="15" customHeight="1" spans="2:9">
      <c r="B10" s="14" t="s">
        <v>130</v>
      </c>
      <c r="C10" s="5">
        <f>COUNTIF(商家明细!$AS$2:$AS$2001,B10)</f>
        <v>4</v>
      </c>
      <c r="D10" s="6">
        <f>C10/COUNTA(商家明细!$A$2:$A$2001)</f>
        <v>0.002</v>
      </c>
      <c r="E10" s="7">
        <f>SUMIF(商家明细!$AS$2:$AS$2001,B10,商家明细!$M$2:$M$2001)</f>
        <v>0</v>
      </c>
      <c r="F10" s="6">
        <f>E10/SUM(商家明细!$M$2:$M$2001)</f>
        <v>0</v>
      </c>
      <c r="G10" s="8">
        <f>IFERROR(AVERAGEIF(商家明细!$AS$2:$AS$2001,B10,商家明细!$AR$2:$AR$2001),"-")</f>
        <v>77.5333333333333</v>
      </c>
      <c r="H10" s="8">
        <f>IFERROR(AVERAGEIF(商家明细!$AS$2:$AS$2001,B10,商家明细!$S$2:$S$2001),"-")</f>
        <v>0</v>
      </c>
      <c r="I10" s="29" t="s">
        <v>5039</v>
      </c>
    </row>
    <row r="11" ht="15" customHeight="1" spans="2:9">
      <c r="B11" s="15" t="s">
        <v>132</v>
      </c>
      <c r="C11" s="10">
        <f>COUNTIF(商家明细!$AS$2:$AS$2001,B11)</f>
        <v>626</v>
      </c>
      <c r="D11" s="11">
        <f>C11/COUNTA(商家明细!$A$2:$A$2001)</f>
        <v>0.313</v>
      </c>
      <c r="E11" s="12">
        <f>SUMIF(商家明细!$AS$2:$AS$2001,B11,商家明细!$M$2:$M$2001)</f>
        <v>0</v>
      </c>
      <c r="F11" s="11">
        <f>E11/SUM(商家明细!$M$2:$M$2001)</f>
        <v>0</v>
      </c>
      <c r="G11" s="13">
        <f>IFERROR(AVERAGEIF(商家明细!$AS$2:$AS$2001,B11,商家明细!$AR$2:$AR$2001),"-")</f>
        <v>25.3316293929713</v>
      </c>
      <c r="H11" s="13">
        <f>IFERROR(AVERAGEIF(商家明细!$AS$2:$AS$2001,B11,商家明细!$S$2:$S$2001),"-")</f>
        <v>0</v>
      </c>
      <c r="I11" s="26" t="s">
        <v>5040</v>
      </c>
    </row>
    <row r="12" ht="15" customHeight="1" spans="2:5">
      <c r="B12" s="16" t="s">
        <v>5041</v>
      </c>
      <c r="C12" s="17">
        <f>SUM(C6:C11)</f>
        <v>2000</v>
      </c>
      <c r="E12" s="18">
        <f>SUM(E6:E11)</f>
        <v>190743600</v>
      </c>
    </row>
    <row r="14" ht="15" customHeight="1" spans="2:2">
      <c r="B14" s="19" t="s">
        <v>5042</v>
      </c>
    </row>
    <row r="15" ht="15" customHeight="1" spans="2:5">
      <c r="B15" s="20" t="s">
        <v>5043</v>
      </c>
      <c r="C15" s="20"/>
      <c r="D15" s="20"/>
      <c r="E15" s="21">
        <f>C6/COUNTA(商家明细!$A$2:$A$2001)</f>
        <v>0.013</v>
      </c>
    </row>
    <row r="16" ht="15" customHeight="1" spans="2:5">
      <c r="B16" s="20" t="s">
        <v>5044</v>
      </c>
      <c r="C16" s="20"/>
      <c r="D16" s="20"/>
      <c r="E16" s="21">
        <f>F6+F7</f>
        <v>0.715227142614484</v>
      </c>
    </row>
    <row r="17" ht="15" customHeight="1" spans="2:5">
      <c r="B17" s="22" t="s">
        <v>5045</v>
      </c>
      <c r="C17" s="22"/>
      <c r="D17" s="22"/>
      <c r="E17" s="23">
        <f>COUNTIF(商家明细!$AT$2:$AT$2001,"连续下降-预警")</f>
        <v>634</v>
      </c>
    </row>
    <row r="20" ht="15" customHeight="1" spans="2:2">
      <c r="B20" s="19" t="s">
        <v>5046</v>
      </c>
    </row>
    <row r="21" ht="30" customHeight="1" spans="2:9">
      <c r="B21" s="24" t="s">
        <v>5047</v>
      </c>
      <c r="C21" s="24"/>
      <c r="D21" s="24"/>
      <c r="E21" s="24"/>
      <c r="F21" s="24"/>
      <c r="G21" s="24"/>
      <c r="H21" s="24"/>
      <c r="I21" s="24"/>
    </row>
    <row r="22" ht="15" customHeight="1" spans="2:9">
      <c r="B22" s="25" t="s">
        <v>5027</v>
      </c>
      <c r="C22" s="25" t="s">
        <v>5034</v>
      </c>
      <c r="D22" s="25" t="s">
        <v>5048</v>
      </c>
      <c r="E22" s="25"/>
      <c r="F22" s="25"/>
      <c r="G22" s="25"/>
      <c r="H22" s="25"/>
      <c r="I22" s="25"/>
    </row>
    <row r="23" ht="31.5" customHeight="1" spans="2:9">
      <c r="B23" s="9" t="s">
        <v>122</v>
      </c>
      <c r="C23" s="26" t="s">
        <v>5035</v>
      </c>
      <c r="D23" s="27" t="s">
        <v>5049</v>
      </c>
      <c r="E23" s="27"/>
      <c r="F23" s="27"/>
      <c r="G23" s="27"/>
      <c r="H23" s="27"/>
      <c r="I23" s="27"/>
    </row>
    <row r="24" ht="31.5" customHeight="1" spans="2:9">
      <c r="B24" s="9" t="s">
        <v>124</v>
      </c>
      <c r="C24" s="26" t="s">
        <v>5036</v>
      </c>
      <c r="D24" s="27" t="s">
        <v>5050</v>
      </c>
      <c r="E24" s="27"/>
      <c r="F24" s="27"/>
      <c r="G24" s="27"/>
      <c r="H24" s="27"/>
      <c r="I24" s="27"/>
    </row>
    <row r="25" ht="31.5" customHeight="1" spans="2:9">
      <c r="B25" s="15" t="s">
        <v>126</v>
      </c>
      <c r="C25" s="26" t="s">
        <v>5037</v>
      </c>
      <c r="D25" s="27" t="s">
        <v>5051</v>
      </c>
      <c r="E25" s="27"/>
      <c r="F25" s="27"/>
      <c r="G25" s="27"/>
      <c r="H25" s="27"/>
      <c r="I25" s="27"/>
    </row>
    <row r="26" ht="31.5" customHeight="1" spans="2:9">
      <c r="B26" s="15" t="s">
        <v>128</v>
      </c>
      <c r="C26" s="26" t="s">
        <v>5038</v>
      </c>
      <c r="D26" s="27" t="s">
        <v>5052</v>
      </c>
      <c r="E26" s="27"/>
      <c r="F26" s="27"/>
      <c r="G26" s="27"/>
      <c r="H26" s="27"/>
      <c r="I26" s="27"/>
    </row>
    <row r="27" ht="31.5" customHeight="1" spans="2:9">
      <c r="B27" s="15" t="s">
        <v>130</v>
      </c>
      <c r="C27" s="26" t="s">
        <v>5039</v>
      </c>
      <c r="D27" s="27" t="s">
        <v>5053</v>
      </c>
      <c r="E27" s="27"/>
      <c r="F27" s="27"/>
      <c r="G27" s="27"/>
      <c r="H27" s="27"/>
      <c r="I27" s="27"/>
    </row>
    <row r="28" ht="31.5" customHeight="1" spans="2:9">
      <c r="B28" s="15" t="s">
        <v>132</v>
      </c>
      <c r="C28" s="26" t="s">
        <v>5040</v>
      </c>
      <c r="D28" s="27" t="s">
        <v>5054</v>
      </c>
      <c r="E28" s="27"/>
      <c r="F28" s="27"/>
      <c r="G28" s="27"/>
      <c r="H28" s="27"/>
      <c r="I28" s="27"/>
    </row>
    <row r="30" ht="15" customHeight="1" spans="2:9">
      <c r="B30" s="28" t="s">
        <v>5055</v>
      </c>
      <c r="C30" s="28"/>
      <c r="D30" s="28"/>
      <c r="E30" s="28"/>
      <c r="F30" s="28"/>
      <c r="G30" s="28"/>
      <c r="H30" s="28"/>
      <c r="I30" s="28"/>
    </row>
  </sheetData>
  <mergeCells count="13">
    <mergeCell ref="B2:I2"/>
    <mergeCell ref="B15:D15"/>
    <mergeCell ref="B16:D16"/>
    <mergeCell ref="B17:D17"/>
    <mergeCell ref="B21:I21"/>
    <mergeCell ref="D22:I22"/>
    <mergeCell ref="D23:I23"/>
    <mergeCell ref="D24:I24"/>
    <mergeCell ref="D25:I25"/>
    <mergeCell ref="D26:I26"/>
    <mergeCell ref="D27:I27"/>
    <mergeCell ref="D28:I28"/>
    <mergeCell ref="B30:I30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封面说明</vt:lpstr>
      <vt:lpstr>字段字典与作业指引</vt:lpstr>
      <vt:lpstr>打分卡</vt:lpstr>
      <vt:lpstr>商家明细</vt:lpstr>
      <vt:lpstr>分层结果与业务动作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kaka</cp:lastModifiedBy>
  <cp:revision>0</cp:revision>
  <dcterms:created xsi:type="dcterms:W3CDTF">2026-07-25T12:09:00Z</dcterms:created>
  <dcterms:modified xsi:type="dcterms:W3CDTF">2026-08-20T11:53:38Z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1C0C33B55B11481B8C736948EEDBA9B4_12</vt:lpwstr>
  </property>
  <property fmtid="{D5CDD505-2E9C-101B-9397-08002B2CF9AE}" pid="3" name="KSOProductBuildVer">
    <vt:lpwstr>2052-12.1.0.15712</vt:lpwstr>
  </property>
</Properties>
</file>